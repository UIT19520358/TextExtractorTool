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FB32F950-6B94-4D4A-AE62-3BAE8408AE2D}" xr6:coauthVersionLast="47" xr6:coauthVersionMax="47" xr10:uidLastSave="{00000000-0000-0000-0000-000000000000}"/>
  <bookViews>
    <workbookView xWindow="-120" yWindow="-120" windowWidth="29040" windowHeight="15720" firstSheet="4" activeTab="18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  <sheet name="23-03" sheetId="16" r:id="rId12"/>
    <sheet name="24-03" sheetId="17" r:id="rId13"/>
    <sheet name="25-03" sheetId="18" r:id="rId14"/>
    <sheet name="26-03" sheetId="19" r:id="rId15"/>
    <sheet name="27-03" sheetId="20" r:id="rId16"/>
    <sheet name="28-03" sheetId="21" r:id="rId17"/>
    <sheet name="30-03" sheetId="22" r:id="rId18"/>
    <sheet name="31-03" sheetId="23" r:id="rId19"/>
  </sheets>
  <definedNames>
    <definedName name="_xlnm._FilterDatabase" localSheetId="1" hidden="1">'09-03'!$A$2:$Q$64</definedName>
    <definedName name="_xlnm._FilterDatabase" localSheetId="2" hidden="1">'10-03'!$A$2:$S$34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0" i="23" l="1"/>
  <c r="I29" i="23"/>
  <c r="I31" i="23"/>
  <c r="I27" i="23"/>
  <c r="I28" i="23"/>
  <c r="I26" i="23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G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</calcChain>
</file>

<file path=xl/sharedStrings.xml><?xml version="1.0" encoding="utf-8"?>
<sst xmlns="http://schemas.openxmlformats.org/spreadsheetml/2006/main" count="6008" uniqueCount="1998">
  <si>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</si>
  <si>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</si>
  <si>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</si>
  <si>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</si>
  <si>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</si>
  <si>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</si>
  <si>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</si>
  <si>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</si>
  <si>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</si>
  <si>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</si>
  <si>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</si>
  <si>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</si>
  <si>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</si>
  <si>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</si>
  <si>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</si>
  <si>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</si>
  <si>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</si>
  <si>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</si>
  <si>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</si>
  <si>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</si>
  <si>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</si>
  <si>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</si>
  <si>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</si>
  <si>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</si>
  <si>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</si>
  <si>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</si>
  <si>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</si>
  <si>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</si>
  <si>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</si>
  <si>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</si>
  <si>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</si>
  <si>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</si>
  <si>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</si>
  <si>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</si>
  <si>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</si>
  <si>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</si>
  <si>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</si>
  <si>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</si>
  <si>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</si>
  <si>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</si>
  <si>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</si>
  <si>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</si>
  <si>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</si>
  <si>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</si>
  <si>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</si>
  <si>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</si>
  <si>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</si>
  <si>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</si>
  <si>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</si>
  <si>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</si>
  <si>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</si>
  <si>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</si>
  <si>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</si>
  <si>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</si>
  <si>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</si>
  <si>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</si>
  <si>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</si>
  <si>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</si>
  <si>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</si>
  <si>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</si>
  <si>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</si>
  <si>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</si>
  <si>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</si>
  <si>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</si>
  <si>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</si>
  <si>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</si>
  <si>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</si>
  <si>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</si>
  <si>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</si>
  <si>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</si>
  <si>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</si>
  <si>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</si>
  <si>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</si>
  <si>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</si>
  <si>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</si>
  <si>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</si>
  <si>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</si>
  <si>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</si>
  <si>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</si>
  <si>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</si>
  <si>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</si>
  <si>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</si>
  <si>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</si>
  <si>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</si>
  <si>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</si>
  <si>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</si>
  <si>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</si>
  <si>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</si>
  <si>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</si>
  <si>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</si>
  <si>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</si>
  <si>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</si>
  <si>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</si>
  <si>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</si>
  <si>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</si>
  <si>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</si>
  <si>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</si>
  <si>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</si>
  <si>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</si>
  <si>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</si>
  <si>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</si>
  <si>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</si>
  <si>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</si>
  <si>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</si>
  <si>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</si>
  <si>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</si>
  <si>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</si>
  <si>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</si>
  <si>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</si>
  <si>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</si>
  <si>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</si>
  <si>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</si>
  <si>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</si>
  <si>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</si>
  <si>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</si>
  <si>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</si>
  <si>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</si>
  <si>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</si>
  <si>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</si>
  <si>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</si>
  <si>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</si>
  <si>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</si>
  <si>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</si>
  <si>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</si>
  <si>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</si>
  <si>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</si>
  <si>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</si>
  <si>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</si>
  <si>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</si>
  <si>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</si>
  <si>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</si>
  <si>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</si>
  <si>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</si>
  <si>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</si>
  <si>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</si>
  <si>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</si>
  <si>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</si>
  <si>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</si>
  <si>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</si>
  <si>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</si>
  <si>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</si>
  <si>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</si>
  <si>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</si>
  <si>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</si>
  <si>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</si>
  <si>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</si>
  <si>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</si>
  <si>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</si>
  <si>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</si>
  <si>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</si>
  <si>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</si>
  <si>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</si>
  <si>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</si>
  <si>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</si>
  <si>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</si>
  <si>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</si>
  <si>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</si>
  <si>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</si>
  <si>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</si>
  <si>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</si>
  <si>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</si>
  <si>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</si>
  <si>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</si>
  <si>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</si>
  <si>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</si>
  <si>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</si>
  <si>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</si>
  <si>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</si>
  <si>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</si>
  <si>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</si>
  <si>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</si>
  <si>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</si>
  <si>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</si>
  <si>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</si>
  <si>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</si>
  <si>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</si>
  <si>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</si>
  <si>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</si>
  <si>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</si>
  <si>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</si>
  <si>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</si>
  <si>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</si>
  <si>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</si>
  <si>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</si>
  <si>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</si>
  <si>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</si>
  <si>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</si>
  <si>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</si>
  <si>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</si>
  <si>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</si>
  <si>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</si>
  <si>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</si>
  <si>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</si>
  <si>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</si>
  <si>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</si>
  <si>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</si>
  <si>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</si>
  <si>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</si>
  <si>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</si>
  <si>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</si>
  <si>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</si>
  <si>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</si>
  <si>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</si>
  <si>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</si>
  <si>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</si>
  <si>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</si>
  <si>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</si>
  <si>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</si>
  <si>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</si>
  <si>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</si>
  <si>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</si>
  <si>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</si>
  <si>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</si>
  <si>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</si>
  <si>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</si>
  <si>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</si>
  <si>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</si>
  <si>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</si>
  <si>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</si>
  <si>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</si>
  <si>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</si>
  <si>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</si>
  <si>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</si>
  <si>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</si>
  <si>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</si>
  <si>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</si>
  <si>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</si>
  <si>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</si>
  <si>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</si>
  <si>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</si>
  <si>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</si>
  <si>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</si>
  <si>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</si>
  <si>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</si>
  <si>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</si>
  <si>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</si>
  <si>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</si>
  <si>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</si>
  <si>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</si>
  <si>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</si>
  <si>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</si>
  <si>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</si>
  <si>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</si>
  <si>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</si>
  <si>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</si>
  <si>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</si>
  <si>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</si>
  <si>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</si>
  <si>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</si>
  <si>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</si>
  <si>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</si>
  <si>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</si>
  <si>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</si>
  <si>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</si>
  <si>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</si>
  <si>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</si>
  <si>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</si>
  <si>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</si>
  <si>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</si>
  <si>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</si>
  <si>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</si>
  <si>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</si>
  <si>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</si>
  <si>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</si>
  <si>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</si>
  <si>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</si>
  <si>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</si>
  <si>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</si>
  <si>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</si>
  <si>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</si>
  <si>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</si>
  <si>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</si>
  <si>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</si>
  <si>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</si>
  <si>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</si>
  <si>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</si>
  <si>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</si>
  <si>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</si>
  <si>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</si>
  <si>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</si>
  <si>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</si>
  <si>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</si>
  <si>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</si>
  <si>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</si>
  <si>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</si>
  <si>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</si>
  <si>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</si>
  <si>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</si>
  <si>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</si>
  <si>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</si>
  <si>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</si>
  <si>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</si>
  <si>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</si>
  <si>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</si>
  <si>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</si>
  <si>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</si>
  <si>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</si>
  <si>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</si>
  <si>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</si>
  <si>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</si>
  <si>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</si>
  <si>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</si>
  <si>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</si>
  <si>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</si>
  <si>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</si>
  <si>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</si>
  <si>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</si>
  <si>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</si>
  <si>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</si>
  <si>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</si>
  <si>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</si>
  <si>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</si>
  <si>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</si>
  <si>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</si>
  <si>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</si>
  <si>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</si>
  <si>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</si>
  <si>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</si>
  <si>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</si>
  <si>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</si>
  <si>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</si>
  <si>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</si>
  <si>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</si>
  <si>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</si>
  <si>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</si>
  <si>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</si>
  <si>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</si>
  <si>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</si>
  <si>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</si>
  <si>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</si>
  <si>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</si>
  <si>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</si>
  <si>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</si>
  <si>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</si>
  <si>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</si>
  <si>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</si>
  <si>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</si>
  <si>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</si>
  <si>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</si>
  <si>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</si>
  <si>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</si>
  <si>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</si>
  <si>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</si>
  <si>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</si>
  <si>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</si>
  <si>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</si>
  <si>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</si>
  <si>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</si>
  <si>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</si>
  <si>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</si>
  <si>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</si>
  <si>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</si>
  <si>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</si>
  <si>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</si>
  <si>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</si>
  <si>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</si>
  <si>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</si>
  <si>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</si>
  <si>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</si>
  <si>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</si>
  <si>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</si>
  <si>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</si>
  <si>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</si>
  <si>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</si>
  <si>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</si>
  <si>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</si>
  <si>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</si>
  <si>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</si>
  <si>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</si>
  <si>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</si>
  <si>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</si>
  <si>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</si>
  <si>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</si>
  <si>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</si>
  <si>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</si>
  <si>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</si>
  <si>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</si>
  <si>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</si>
  <si>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</si>
  <si>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</si>
  <si>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</si>
  <si>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</si>
  <si>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</si>
  <si>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</si>
  <si>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</si>
  <si>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</si>
  <si>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</si>
  <si>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</si>
  <si>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</si>
  <si>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</si>
  <si>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</si>
  <si>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</si>
  <si>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</si>
  <si>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</si>
  <si>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</si>
  <si>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</si>
  <si>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</si>
  <si>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</si>
  <si>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</si>
  <si>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</si>
  <si>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</si>
  <si>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</si>
  <si>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</si>
  <si>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</si>
  <si>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</si>
  <si>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</si>
  <si>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</si>
  <si>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</si>
  <si>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</si>
  <si>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</si>
  <si>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</si>
  <si>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</si>
  <si>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</si>
  <si>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</si>
  <si>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</si>
  <si>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</si>
  <si>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</si>
  <si>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</si>
  <si>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</si>
  <si>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</si>
  <si>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</si>
  <si>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</si>
  <si>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</si>
  <si>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</si>
  <si>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</si>
  <si>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</si>
  <si>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</si>
  <si>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</si>
  <si>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</si>
  <si>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</si>
  <si>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</si>
  <si>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</si>
  <si>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</si>
  <si>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</si>
  <si>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</si>
  <si>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</si>
  <si>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</si>
  <si>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</si>
  <si>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</si>
  <si>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</si>
  <si>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</si>
  <si>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</si>
  <si>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</si>
  <si>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</si>
  <si>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</si>
  <si>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</si>
  <si>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</si>
  <si>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</si>
  <si>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</si>
  <si>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</si>
  <si>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</si>
  <si>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</si>
  <si>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</si>
  <si>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</si>
  <si>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</si>
  <si>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</si>
  <si>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</si>
  <si>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</si>
  <si>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</si>
  <si>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</si>
  <si>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</si>
  <si>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</si>
  <si>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</si>
  <si>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</si>
  <si>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</si>
  <si>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</si>
  <si>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</si>
  <si>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</si>
  <si>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</si>
  <si>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</si>
  <si>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</si>
  <si>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</si>
  <si>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</si>
  <si>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</si>
  <si>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</si>
  <si>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</si>
  <si>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</si>
  <si>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</si>
  <si>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</si>
  <si>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</si>
  <si>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</si>
  <si>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</si>
  <si>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</si>
  <si>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</si>
  <si>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</si>
  <si>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</si>
  <si>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</si>
  <si>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</si>
  <si>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</si>
  <si>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</si>
  <si>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</si>
  <si>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</si>
  <si>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</si>
  <si>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</si>
  <si>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</si>
  <si>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</si>
  <si>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</si>
  <si>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</si>
  <si>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</si>
  <si>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</si>
  <si>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</si>
  <si>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</si>
  <si>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</si>
  <si>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</si>
  <si>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</si>
  <si>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</si>
  <si>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</si>
  <si>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</si>
  <si>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</si>
  <si>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</si>
  <si>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</si>
  <si>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</si>
  <si>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</si>
  <si>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</si>
  <si>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</si>
  <si>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</si>
  <si>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</si>
  <si>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</si>
  <si>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</si>
  <si>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</si>
  <si>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</si>
  <si>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</si>
  <si>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</si>
  <si>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</si>
  <si>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</si>
  <si>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</si>
  <si>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</si>
  <si>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</si>
  <si>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</si>
  <si>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</si>
  <si>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</si>
  <si>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</si>
  <si>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</si>
  <si>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</si>
  <si>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</si>
  <si>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</si>
  <si>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</si>
  <si>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</si>
  <si>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</si>
  <si>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</si>
  <si>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</si>
  <si>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</si>
  <si>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</si>
  <si>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</si>
  <si>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</si>
  <si>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</si>
  <si>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</si>
  <si>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</si>
  <si>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</si>
  <si>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</si>
  <si>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</si>
  <si>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</si>
  <si>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</si>
  <si>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</si>
  <si>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</si>
  <si>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</si>
  <si>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</si>
  <si>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</si>
  <si>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</si>
  <si>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</si>
  <si>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</si>
  <si>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</si>
  <si>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</si>
  <si>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</si>
  <si>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</si>
  <si>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</si>
  <si>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</si>
  <si>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</si>
  <si>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</si>
  <si>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</si>
  <si>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</si>
  <si>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</si>
  <si>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</si>
  <si>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</si>
  <si>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</si>
  <si>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</si>
  <si>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</si>
  <si>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</si>
  <si>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</si>
  <si>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</si>
  <si>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</si>
  <si>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</si>
  <si>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</si>
  <si>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</si>
  <si>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</si>
  <si>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</si>
  <si>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</si>
  <si>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</si>
  <si>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</si>
  <si>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</si>
  <si>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</si>
  <si>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</si>
  <si>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</si>
  <si>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</si>
  <si>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</si>
  <si>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</si>
  <si>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</si>
  <si>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</si>
  <si>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</si>
  <si>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</si>
  <si>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</si>
  <si>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</si>
  <si>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</si>
  <si>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</si>
  <si>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</si>
  <si>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</si>
  <si>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</si>
  <si>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</si>
  <si>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</si>
  <si>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</si>
  <si>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</si>
  <si>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</si>
  <si>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</si>
  <si>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</si>
  <si>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</si>
  <si>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</si>
  <si>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</si>
  <si>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</si>
  <si>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</si>
  <si>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</si>
  <si>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</si>
  <si>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</si>
  <si>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</si>
  <si>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</si>
  <si>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</si>
  <si>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</si>
  <si>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</si>
  <si>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</si>
  <si>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</si>
  <si>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</si>
  <si>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</si>
  <si>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</si>
  <si>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</si>
  <si>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</si>
  <si>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</si>
  <si>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</si>
  <si>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</si>
  <si>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</si>
  <si>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</si>
  <si>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</si>
  <si>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</si>
  <si>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</si>
  <si>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</si>
  <si>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</si>
  <si>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</si>
  <si>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</si>
  <si>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</si>
  <si>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</si>
  <si>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</si>
  <si>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</si>
  <si>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</si>
  <si>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</si>
  <si>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</si>
  <si>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</si>
  <si>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</si>
  <si>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</si>
  <si>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</si>
  <si>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</si>
  <si>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</si>
  <si>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</si>
  <si>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</si>
  <si>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</si>
  <si>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</si>
  <si>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</si>
  <si>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</si>
  <si>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</si>
  <si>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</si>
  <si>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</si>
  <si>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</si>
  <si>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</si>
  <si>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</si>
  <si>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</si>
  <si>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</si>
  <si>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</si>
  <si>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</si>
  <si>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</si>
  <si>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</si>
  <si>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</si>
  <si>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</si>
  <si>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</si>
  <si>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</si>
  <si>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</si>
  <si>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</si>
  <si>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</si>
  <si>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</si>
  <si>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</si>
  <si>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</si>
  <si>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</si>
  <si>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</si>
  <si>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</si>
  <si>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</si>
  <si>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</si>
  <si>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</si>
  <si>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</si>
  <si>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</si>
  <si>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</si>
  <si>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</si>
  <si>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</si>
  <si>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</si>
  <si>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</si>
  <si>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</si>
  <si>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</si>
  <si>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</si>
  <si>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</si>
  <si>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</si>
  <si>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</si>
  <si>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</si>
  <si>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</si>
  <si>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</si>
  <si>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</si>
  <si>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</si>
  <si>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</si>
  <si>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</si>
  <si>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</si>
  <si>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</si>
  <si>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</si>
  <si>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</si>
  <si>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</si>
  <si>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</si>
  <si>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</si>
  <si>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</si>
  <si>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</si>
  <si>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</si>
  <si>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</si>
  <si>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</si>
  <si>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</si>
  <si>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</si>
  <si>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</si>
  <si>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</si>
  <si>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</si>
  <si>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</si>
  <si>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</si>
  <si>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</si>
  <si>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</si>
  <si>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</si>
  <si>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</si>
  <si>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</si>
  <si>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</si>
  <si>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</si>
  <si>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</si>
  <si>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</si>
  <si>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</si>
  <si>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</si>
  <si>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</si>
  <si>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</si>
  <si>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</si>
  <si>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</si>
  <si>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</si>
  <si>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</si>
  <si>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</si>
  <si>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</si>
  <si>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</si>
  <si>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</si>
  <si>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</si>
  <si>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</si>
  <si>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</si>
  <si>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</si>
  <si>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</si>
  <si>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</si>
  <si>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</si>
  <si>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</si>
  <si>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</si>
  <si>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</si>
  <si>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</si>
  <si>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</si>
  <si>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</si>
  <si>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</si>
  <si>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</si>
  <si>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</si>
  <si>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</si>
  <si>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</si>
  <si>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</si>
  <si>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</si>
  <si>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</si>
  <si>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</si>
  <si>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</si>
  <si>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</si>
  <si>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</si>
  <si>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</si>
  <si>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</si>
  <si>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</si>
  <si>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</si>
  <si>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</si>
  <si>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</si>
  <si>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</si>
  <si>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</si>
  <si>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</si>
  <si>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</si>
  <si>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</si>
  <si>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</si>
  <si>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</si>
  <si>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</si>
  <si>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</si>
  <si>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</si>
  <si>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</si>
  <si>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</si>
  <si>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</si>
  <si>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</si>
  <si>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</si>
  <si>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</si>
  <si>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</si>
  <si>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</si>
  <si>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</si>
  <si>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</si>
  <si>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</si>
  <si>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</si>
  <si>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</si>
  <si>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</si>
  <si>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</si>
  <si>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</si>
  <si>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</si>
  <si>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</si>
  <si>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</si>
  <si>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</si>
  <si>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</si>
  <si>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</si>
  <si>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</si>
  <si>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</si>
  <si>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</si>
  <si>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</si>
  <si>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</si>
  <si>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</si>
  <si>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</si>
  <si>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</si>
  <si>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</si>
  <si>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</si>
  <si>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</si>
  <si>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</si>
  <si>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</si>
  <si>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</si>
  <si>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</si>
  <si>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</si>
  <si>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</si>
  <si>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</si>
  <si>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</si>
  <si>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</si>
  <si>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</si>
  <si>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</si>
  <si>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</si>
  <si>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</si>
  <si>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</si>
  <si>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</si>
  <si>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</si>
  <si>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</si>
  <si>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</si>
  <si>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</si>
  <si>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</si>
  <si>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</si>
  <si>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</si>
  <si>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</si>
  <si>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</si>
  <si>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</si>
  <si>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</si>
  <si>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</si>
  <si>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</si>
  <si>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</si>
  <si>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</si>
  <si>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</si>
  <si>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</si>
  <si>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</si>
  <si>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</si>
  <si>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</si>
  <si>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</si>
  <si>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</si>
  <si>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</si>
  <si>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</si>
  <si>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</si>
  <si>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</si>
  <si>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</si>
  <si>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</si>
  <si>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</si>
  <si>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</si>
  <si>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</si>
  <si>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</si>
  <si>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</si>
  <si>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</si>
  <si>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</si>
  <si>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</si>
  <si>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</si>
  <si>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</si>
  <si>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</si>
  <si>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</si>
  <si>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</si>
  <si>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</si>
  <si>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</si>
  <si>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</si>
  <si>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</si>
  <si>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</si>
  <si>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</si>
  <si>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</si>
  <si>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</si>
  <si>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</si>
  <si>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</si>
  <si>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</si>
  <si>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</si>
  <si>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</si>
  <si>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</si>
  <si>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</si>
  <si>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</si>
  <si>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</si>
  <si>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</si>
  <si>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</si>
  <si>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</si>
  <si>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</si>
  <si>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</si>
  <si>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</si>
  <si>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</si>
  <si>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</si>
  <si>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</si>
  <si>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</si>
  <si>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</si>
  <si>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</si>
  <si>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</si>
  <si>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</si>
  <si>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</si>
  <si>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</si>
  <si>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</si>
  <si>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</si>
  <si>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</si>
  <si>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</si>
  <si>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</si>
  <si>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</si>
  <si>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</si>
  <si>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</si>
  <si>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</si>
  <si>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</si>
  <si>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</si>
  <si>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</si>
  <si>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</si>
  <si>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</si>
  <si>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</si>
  <si>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</si>
  <si>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</si>
  <si>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</si>
  <si>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</si>
  <si>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</si>
  <si>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</si>
  <si>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</si>
  <si>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</si>
  <si>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</si>
  <si>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</si>
  <si>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</si>
  <si>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</si>
  <si>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</si>
  <si>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</si>
  <si>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</si>
  <si>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</si>
  <si>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</si>
  <si>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</si>
  <si>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</si>
  <si>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</si>
  <si>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</si>
  <si>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</si>
  <si>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</si>
  <si>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</si>
  <si>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</si>
  <si>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</si>
  <si>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</si>
  <si>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</si>
  <si>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</si>
  <si>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</si>
  <si>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</si>
  <si>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</si>
  <si>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</si>
  <si>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</si>
  <si>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</si>
  <si>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</si>
  <si>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</si>
  <si>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</si>
  <si>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</si>
  <si>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</si>
  <si>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</si>
  <si>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</si>
  <si>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</si>
  <si>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</si>
  <si>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</si>
  <si>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</si>
  <si>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</si>
  <si>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</si>
  <si>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</si>
  <si>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</si>
  <si>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</si>
  <si>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</si>
  <si>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</si>
  <si>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</si>
  <si>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</si>
  <si>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</si>
  <si>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</si>
  <si>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</si>
  <si>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</si>
  <si>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</si>
  <si>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</si>
  <si>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</si>
  <si>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</si>
  <si>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</si>
  <si>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</si>
  <si>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</si>
  <si>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</si>
  <si>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</si>
  <si>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</si>
  <si>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</si>
  <si>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</si>
  <si>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</si>
  <si>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</si>
  <si>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</si>
  <si>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</si>
  <si>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</si>
  <si>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</si>
  <si>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</si>
  <si>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</si>
  <si>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</si>
  <si>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</si>
  <si>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</si>
  <si>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</si>
  <si>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</si>
  <si>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</si>
  <si>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</si>
  <si>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</si>
  <si>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</si>
  <si>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</si>
  <si>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</si>
  <si>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</si>
  <si>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</si>
  <si>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</si>
  <si>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</si>
  <si>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</si>
  <si>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</si>
  <si>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</si>
  <si>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</si>
  <si>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</si>
  <si>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</si>
  <si>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</si>
  <si>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</si>
  <si>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</si>
  <si>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</si>
  <si>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</si>
  <si>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</si>
  <si>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</si>
  <si>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</si>
  <si>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</si>
  <si>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</si>
  <si>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</si>
  <si>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</si>
  <si>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</si>
  <si>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</si>
  <si>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</si>
  <si>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</si>
  <si>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</si>
  <si>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</si>
  <si>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</si>
  <si>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</si>
  <si>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</si>
  <si>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</si>
  <si>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</si>
  <si>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</si>
  <si>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</si>
  <si>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</si>
  <si>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</si>
  <si>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</si>
  <si>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</si>
  <si>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</si>
  <si>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</si>
  <si>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</si>
  <si>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</si>
  <si>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</si>
  <si>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</si>
  <si>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</si>
  <si>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</si>
  <si>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</si>
  <si>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</si>
  <si>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</si>
  <si>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</si>
  <si>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</si>
  <si>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</si>
  <si>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</si>
  <si>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</si>
  <si>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</si>
  <si>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</si>
  <si>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</si>
  <si>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</si>
  <si>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</si>
  <si>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</si>
  <si>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</si>
  <si>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</si>
  <si>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</si>
  <si>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</si>
  <si>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</si>
  <si>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</si>
  <si>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</si>
  <si>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</si>
  <si>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</si>
  <si>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</si>
  <si>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</si>
  <si>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</si>
  <si>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</si>
  <si>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</si>
  <si>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</si>
  <si>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</si>
  <si>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</si>
  <si>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</si>
  <si>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</si>
  <si>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</si>
  <si>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</si>
  <si>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</si>
  <si>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</si>
  <si>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</si>
  <si>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</si>
  <si>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</si>
  <si>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</si>
  <si>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</si>
  <si>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</si>
  <si>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</si>
  <si>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</si>
  <si>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</si>
  <si>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</si>
  <si>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</si>
  <si>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</si>
  <si>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</si>
  <si>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</si>
  <si>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</si>
  <si>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</si>
  <si>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</si>
  <si>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</si>
  <si>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</si>
  <si>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</si>
  <si>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</si>
  <si>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</si>
  <si>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</si>
  <si>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</si>
  <si>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</si>
  <si>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</si>
  <si>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</si>
  <si>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</si>
  <si>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</si>
  <si>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</si>
  <si>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</si>
  <si>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</si>
  <si>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</si>
  <si>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</si>
  <si>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</si>
  <si>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</si>
  <si>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</si>
  <si>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</si>
  <si>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</si>
  <si>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</si>
  <si>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</si>
  <si>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</si>
  <si>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</si>
  <si>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</si>
  <si>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</si>
  <si>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</si>
  <si>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</si>
  <si>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</si>
  <si>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</si>
  <si>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</si>
  <si>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</si>
  <si>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</si>
  <si>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</si>
  <si>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</si>
  <si>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</si>
  <si>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</si>
  <si>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</si>
  <si>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</si>
  <si>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</si>
  <si>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</si>
  <si>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</si>
  <si>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</si>
  <si>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</si>
  <si>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</si>
  <si>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</si>
  <si>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</si>
  <si>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</si>
  <si>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</si>
  <si>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</si>
  <si>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</si>
  <si>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</si>
  <si>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</si>
  <si>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</si>
  <si>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</si>
  <si>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</si>
  <si>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</si>
  <si>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</si>
  <si>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</si>
  <si>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</si>
  <si>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</si>
  <si>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</si>
  <si>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</si>
  <si>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</si>
  <si>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</si>
  <si>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</si>
  <si>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</si>
  <si>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</si>
  <si>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</si>
  <si>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</si>
  <si>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</si>
  <si>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</si>
  <si>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</si>
  <si>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</si>
  <si>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</si>
  <si>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</si>
  <si>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</si>
  <si>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</si>
  <si>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</si>
  <si>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</si>
  <si>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</si>
  <si>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</si>
  <si>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</si>
  <si>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</si>
  <si>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</si>
  <si>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</si>
  <si>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</si>
  <si>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</si>
  <si>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</si>
  <si>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</si>
  <si>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</si>
  <si>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</si>
  <si>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</si>
  <si>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</si>
  <si>
    <t>NGAY 23-3</t>
  </si>
  <si>
    <t>Chau Bui</t>
  </si>
  <si>
    <t>HD004121</t>
  </si>
  <si>
    <t>20-22 phạm ngọc thạch</t>
  </si>
  <si>
    <t>3</t>
  </si>
  <si>
    <t>23-03-2026</t>
  </si>
  <si>
    <t>HD003920</t>
  </si>
  <si>
    <t>55 nguyễn cư trinh</t>
  </si>
  <si>
    <t>1</t>
  </si>
  <si>
    <t>Kim Diệu</t>
  </si>
  <si>
    <t>HD004101</t>
  </si>
  <si>
    <t>24 yên thế, tân sơn hòa</t>
  </si>
  <si>
    <t>HD004240</t>
  </si>
  <si>
    <t>7</t>
  </si>
  <si>
    <t>AT 23-03</t>
  </si>
  <si>
    <t>Ái Ph</t>
  </si>
  <si>
    <t>HD003994</t>
  </si>
  <si>
    <t>chợ phạm văn hai p3</t>
  </si>
  <si>
    <t>HD003860</t>
  </si>
  <si>
    <t>Sảnh B2 chung cư Emerald phường sơn kỳ</t>
  </si>
  <si>
    <t>My Yến</t>
  </si>
  <si>
    <t>HD004141</t>
  </si>
  <si>
    <t>334/33/1C Chu văn an, phường 12</t>
  </si>
  <si>
    <t>NGUYỄN DUY BÀO - fb Nguyễn Hoàng Yến</t>
  </si>
  <si>
    <t>HD003449</t>
  </si>
  <si>
    <t>129/23D, Nguyễn Trãi, phường Chợ Quán</t>
  </si>
  <si>
    <t>5</t>
  </si>
  <si>
    <t>Ngọc Tuyền</t>
  </si>
  <si>
    <t>HD004129</t>
  </si>
  <si>
    <t>Saigon Royal OT2</t>
  </si>
  <si>
    <t>4</t>
  </si>
  <si>
    <t>Dung Nguyen</t>
  </si>
  <si>
    <t>HD003942</t>
  </si>
  <si>
    <t>1123 quốc lộ 1a, tân tạo, chung cư an gia the star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</si>
  <si>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</si>
  <si>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</si>
  <si>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</si>
  <si>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</si>
  <si>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</si>
  <si>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</si>
  <si>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Ruby Thao Tran</t>
  </si>
  <si>
    <t>HD004126</t>
  </si>
  <si>
    <t>86/2 đình phong Phu Tang Nhơn Phú</t>
  </si>
  <si>
    <t>9</t>
  </si>
  <si>
    <t>HD003937</t>
  </si>
  <si>
    <t>10</t>
  </si>
  <si>
    <t>vi</t>
  </si>
  <si>
    <t>HD004117</t>
  </si>
  <si>
    <t>261b hai bà trưng phường võ thị sáu</t>
  </si>
  <si>
    <t>Diễm Phúc</t>
  </si>
  <si>
    <t>HD003938</t>
  </si>
  <si>
    <t>314/138 đường âu dương lân, p3</t>
  </si>
  <si>
    <t>8</t>
  </si>
  <si>
    <t>Nguyễn Ánh Dương</t>
  </si>
  <si>
    <t>HD003876</t>
  </si>
  <si>
    <t>382/3/22 nguyễn thái sơn khu phố 1 phường An Nhơn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</si>
  <si>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</si>
  <si>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</si>
  <si>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</si>
  <si>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</si>
  <si>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</si>
  <si>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</si>
  <si>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</si>
  <si>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</si>
  <si>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</si>
  <si>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Mon Huỳnh</t>
  </si>
  <si>
    <t>HD004205</t>
  </si>
  <si>
    <t>93 đường số 1 PHƯỜNG 4</t>
  </si>
  <si>
    <t>Tram Ho</t>
  </si>
  <si>
    <t>HD004103</t>
  </si>
  <si>
    <t>50/63/21 TX25, phường thới an</t>
  </si>
  <si>
    <t>12</t>
  </si>
  <si>
    <t>Suby Phạm</t>
  </si>
  <si>
    <t>HD003905</t>
  </si>
  <si>
    <t>16 đường 36 Tân quy</t>
  </si>
  <si>
    <t>Mỹ Nga</t>
  </si>
  <si>
    <t>HD004094</t>
  </si>
  <si>
    <t>75/19/7 nguyen sy sach p tân sơn</t>
  </si>
  <si>
    <t>HD004049</t>
  </si>
  <si>
    <t>địa chỉ 13 mai am p9</t>
  </si>
  <si>
    <t>Ngọc Mai</t>
  </si>
  <si>
    <t>HD004035</t>
  </si>
  <si>
    <t>TPHCM: 5/5 Nguyễn Văn Vĩnh, Phường 4</t>
  </si>
  <si>
    <t>Mỹ</t>
  </si>
  <si>
    <t>HD004090</t>
  </si>
  <si>
    <t>Toà Landmark 6 - Vinhomes Central Park 208 Nguyễn Hữu Cảnh Phường 22</t>
  </si>
  <si>
    <t>Le Hai</t>
  </si>
  <si>
    <t>HD003826</t>
  </si>
  <si>
    <t>161B/50 lạc long quân, p3</t>
  </si>
  <si>
    <t>11</t>
  </si>
  <si>
    <t>Mai Thị Thu Phương</t>
  </si>
  <si>
    <t>HD003912</t>
  </si>
  <si>
    <t>Đường Số 297 Hẻm 5 Số Nhà 35/31D, Phường Phước Long B</t>
  </si>
  <si>
    <t>Trần Khả Nhi</t>
  </si>
  <si>
    <t>HD003918</t>
  </si>
  <si>
    <t>288/30 duong bá trạc p2</t>
  </si>
  <si>
    <t>Mộng Cầm</t>
  </si>
  <si>
    <t>HD003869</t>
  </si>
  <si>
    <t>222 nguyễn văn đậu p bình lợi trung</t>
  </si>
  <si>
    <t>Võ Ngọc Trâm</t>
  </si>
  <si>
    <t>HD004100</t>
  </si>
  <si>
    <t>491 Điện Biên Phủ P3</t>
  </si>
  <si>
    <t>Giang Thạch Thảo</t>
  </si>
  <si>
    <t>HD003948</t>
  </si>
  <si>
    <t>24 đường 10 Thảo Điền</t>
  </si>
  <si>
    <t>2</t>
  </si>
  <si>
    <t>HD003946</t>
  </si>
  <si>
    <t>(LDVKH1211714)177C ( Đối diện 93C) Đường Số 1, Phường Hưng Hoà B , BÃI XE MINH CHÂU</t>
  </si>
  <si>
    <t>Mai Thuy Lin</t>
  </si>
  <si>
    <t>HD003835</t>
  </si>
  <si>
    <t>Số 10A đại lộ hữu nghị</t>
  </si>
  <si>
    <t>Trần Thục Oanh</t>
  </si>
  <si>
    <t>HD003882</t>
  </si>
  <si>
    <t>118 đường 3/2, p12</t>
  </si>
  <si>
    <t>chị ngọc</t>
  </si>
  <si>
    <t>HD003777</t>
  </si>
  <si>
    <t>C4/68 phạm hùng</t>
  </si>
  <si>
    <t>HD003873</t>
  </si>
  <si>
    <t>18/42/9/36 Đường số 53, Phường 14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</si>
  <si>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</si>
  <si>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</si>
  <si>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</si>
  <si>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</si>
  <si>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</si>
  <si>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</si>
  <si>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</si>
  <si>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</si>
  <si>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</si>
  <si>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</si>
  <si>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Nguyễn Huỳnh Cẩm Tú</t>
  </si>
  <si>
    <t>HD004266</t>
  </si>
  <si>
    <t>Chung cư park 1, Vinhomes Central Park, Phường 22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</si>
  <si>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</si>
  <si>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</si>
  <si>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</si>
  <si>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</si>
  <si>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</si>
  <si>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</si>
  <si>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</si>
  <si>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</si>
  <si>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</si>
  <si>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</si>
  <si>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</si>
  <si>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</si>
  <si>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</si>
  <si>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</si>
  <si>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Ngọc Anh</t>
  </si>
  <si>
    <t>HD003762</t>
  </si>
  <si>
    <t>chung cư flora novia, block b phạm văn đồng, an bình</t>
  </si>
  <si>
    <t>HD004125</t>
  </si>
  <si>
    <t>Nguyễn Phương Thảo</t>
  </si>
  <si>
    <t>HD004071</t>
  </si>
  <si>
    <t>Địa chỉ 97 Thành Công Tân Thành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</si>
  <si>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</si>
  <si>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</si>
  <si>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</si>
  <si>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</si>
  <si>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</si>
  <si>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</si>
  <si>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HD003772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</si>
  <si>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</si>
  <si>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</si>
  <si>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</si>
  <si>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</si>
  <si>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</si>
  <si>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</si>
  <si>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Huỳnh Quế Trinh</t>
  </si>
  <si>
    <t>HD004044</t>
  </si>
  <si>
    <t>166 đường số 1, khu phố 25, phường Bình Hưng Hòa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</si>
  <si>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</si>
  <si>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</si>
  <si>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</si>
  <si>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</si>
  <si>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</si>
  <si>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</si>
  <si>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</si>
  <si>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</si>
  <si>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HD004063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</si>
  <si>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</si>
  <si>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</si>
  <si>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</si>
  <si>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</si>
  <si>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</si>
  <si>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</si>
  <si>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Trúc Nguyễn</t>
  </si>
  <si>
    <t>HD004008</t>
  </si>
  <si>
    <t>33 Đường 6 Linh Chiểu</t>
  </si>
  <si>
    <t>Jess-9244</t>
  </si>
  <si>
    <t>6</t>
  </si>
  <si>
    <t>Phuong truong - Bình Trần</t>
  </si>
  <si>
    <t>MINH ZU</t>
  </si>
  <si>
    <t>631 nguyễn văn quá đông hưng thuận</t>
  </si>
  <si>
    <t>BOS BMB</t>
  </si>
  <si>
    <t>119 hoàng diệu 2 linh trung</t>
  </si>
  <si>
    <t>Chung cư Sunshine, 23 Phú Thuận Tân Phú</t>
  </si>
  <si>
    <t>Tuyết Nhi ZL2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</si>
  <si>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</si>
  <si>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</si>
  <si>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</si>
  <si>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</si>
  <si>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</si>
  <si>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</si>
  <si>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</si>
  <si>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</si>
  <si>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</si>
  <si>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</si>
  <si>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</si>
  <si>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</si>
  <si>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</si>
  <si>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</si>
  <si>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</si>
  <si>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</si>
  <si>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</si>
  <si>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</si>
  <si>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</si>
  <si>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</si>
  <si>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</si>
  <si>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</si>
  <si>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</si>
  <si>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</si>
  <si>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</si>
  <si>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</si>
  <si>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</si>
  <si>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</si>
  <si>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</si>
  <si>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</si>
  <si>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</si>
  <si>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</si>
  <si>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</si>
  <si>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</si>
  <si>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</si>
  <si>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</si>
  <si>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</si>
  <si>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</si>
  <si>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</si>
  <si>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</si>
  <si>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</si>
  <si>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</si>
  <si>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</si>
  <si>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</si>
  <si>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</si>
  <si>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</si>
  <si>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</si>
  <si>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</si>
  <si>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NGAY 25-3</t>
  </si>
  <si>
    <t>Kim Anh Phan</t>
  </si>
  <si>
    <t>HD004636</t>
  </si>
  <si>
    <t>16 cư xã bình minh, đường dương bá trạc phường 1</t>
  </si>
  <si>
    <t>AT 25-03</t>
  </si>
  <si>
    <t>25-03-2026</t>
  </si>
  <si>
    <t>HD004632</t>
  </si>
  <si>
    <t>1123 quốc lộ la, tân tạo, bình tân, tphcm chung cư an gia the star</t>
  </si>
  <si>
    <t>Công Thanh - fb Bảo Trân</t>
  </si>
  <si>
    <t>HD004634</t>
  </si>
  <si>
    <t>Giao về 63/5 dương đình hội, phước long B</t>
  </si>
  <si>
    <t>HD004533</t>
  </si>
  <si>
    <t>chung cư Flora Kikyo Phú Hữu</t>
  </si>
  <si>
    <t>HD004339</t>
  </si>
  <si>
    <t>Nhung Bùi</t>
  </si>
  <si>
    <t>HD004593</t>
  </si>
  <si>
    <t>409/108/32/14c huynh thị hai tân chánh hiệp 12</t>
  </si>
  <si>
    <t>Minh Thư +Esther</t>
  </si>
  <si>
    <t>HD004601</t>
  </si>
  <si>
    <t>36/91 Lê Thị Hồng, phường gò vấp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</si>
  <si>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</si>
  <si>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</si>
  <si>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</si>
  <si>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</si>
  <si>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</si>
  <si>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</si>
  <si>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TRÂM ANH</t>
  </si>
  <si>
    <t>HD004402</t>
  </si>
  <si>
    <t>Địa chỉ: B2/1 đường 385 Tăng Nhơn Phú A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</si>
  <si>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</si>
  <si>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</si>
  <si>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</si>
  <si>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</si>
  <si>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</si>
  <si>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</si>
  <si>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</si>
  <si>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</si>
  <si>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</si>
  <si>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Chị Diễm</t>
  </si>
  <si>
    <t>HD004592</t>
  </si>
  <si>
    <t>Số 62 đường d2 kdc dassia khang điền, phú hữu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</si>
  <si>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</si>
  <si>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</si>
  <si>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</si>
  <si>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</si>
  <si>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</si>
  <si>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</si>
  <si>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Hằng Minh</t>
  </si>
  <si>
    <t>HD004528</t>
  </si>
  <si>
    <t>83/20/11 Phạm Văn Bạch, phường 15</t>
  </si>
  <si>
    <t>NGAY 26-3</t>
  </si>
  <si>
    <t>( Thạch Thảo )</t>
  </si>
  <si>
    <t>HD004653</t>
  </si>
  <si>
    <t>1446/2B Lê Đức Thọ, phường 13</t>
  </si>
  <si>
    <t>26-03-2026</t>
  </si>
  <si>
    <t>Xuân Quỳnh</t>
  </si>
  <si>
    <t>HD004859</t>
  </si>
  <si>
    <t>S8 01 Origami, Long Bình</t>
  </si>
  <si>
    <t>Quynh Nhu</t>
  </si>
  <si>
    <t>HD004790</t>
  </si>
  <si>
    <t>tòa w4 sunrise city central, số 25 nguyễn hữu thọ tân hưng p606</t>
  </si>
  <si>
    <t>AT 26-03</t>
  </si>
  <si>
    <t>SREYEGNEGN NOEUN 0967415920 (Insta dalissd)- VIP</t>
  </si>
  <si>
    <t>HD004522</t>
  </si>
  <si>
    <t>363-365-367, 363 Đ. Hùng Vương - Khải Nam Transport</t>
  </si>
  <si>
    <t>Kiều Nga fb Nguyễn Đan</t>
  </si>
  <si>
    <t>HD004942</t>
  </si>
  <si>
    <t>Địa chỉ: 33 Nguyễn Hữu Thọ, phường Tân Hưng ,(Sunrise City View_tháp A)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</si>
  <si>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</si>
  <si>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</si>
  <si>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</si>
  <si>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</si>
  <si>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</si>
  <si>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</si>
  <si>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Thanh Tuyền</t>
  </si>
  <si>
    <t>HD004713</t>
  </si>
  <si>
    <t>64 Trần thị liền Lê văn lương Phước kiểng</t>
  </si>
  <si>
    <t>Phương Nga fb Quyên(indonesia)</t>
  </si>
  <si>
    <t>HD004803</t>
  </si>
  <si>
    <t>154/4/7 Nguyễn Phúc Chu, P.15</t>
  </si>
  <si>
    <t>Nguyễn thị nhung fb Yuna Tasaki</t>
  </si>
  <si>
    <t>HD004865</t>
  </si>
  <si>
    <t>21 lê văn lương Chung cư golden palm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</si>
  <si>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</si>
  <si>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</si>
  <si>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</si>
  <si>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</si>
  <si>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</si>
  <si>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</si>
  <si>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TRẦN TRỌNG NGHĨA - Nhóm Biển</t>
  </si>
  <si>
    <t>HD004819</t>
  </si>
  <si>
    <t>Ha My</t>
  </si>
  <si>
    <t>HD004826</t>
  </si>
  <si>
    <t>27a Hoa Sứ P7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</si>
  <si>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</si>
  <si>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</si>
  <si>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</si>
  <si>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</si>
  <si>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</si>
  <si>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</si>
  <si>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</si>
  <si>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</si>
  <si>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</si>
  <si>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</si>
  <si>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</si>
  <si>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</si>
  <si>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xuân nguyên - fb Diễm My</t>
  </si>
  <si>
    <t>HD004479</t>
  </si>
  <si>
    <t>30/1/13 lê đức thọ phường 17</t>
  </si>
  <si>
    <t>Ngân Suri</t>
  </si>
  <si>
    <t>HD004657</t>
  </si>
  <si>
    <t>72 Lê Thánh Tôn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</si>
  <si>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</si>
  <si>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</si>
  <si>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</si>
  <si>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</si>
  <si>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</si>
  <si>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</si>
  <si>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Bảo Ngọc</t>
  </si>
  <si>
    <t>HD004680</t>
  </si>
  <si>
    <t>Vinhomes central Park park 6A (p6-44.03)</t>
  </si>
  <si>
    <t>Yên Yên</t>
  </si>
  <si>
    <t>HD004773</t>
  </si>
  <si>
    <t>104-102 đường số 28 p bình trị đồng b</t>
  </si>
  <si>
    <t>Ka Nguyễn</t>
  </si>
  <si>
    <t>HD004786</t>
  </si>
  <si>
    <t>cc Golden Mansion - Toà GM2 - 119 Đ. Phổ Quang, Phường 9</t>
  </si>
  <si>
    <t>HD004800</t>
  </si>
  <si>
    <t>Việt Trinh</t>
  </si>
  <si>
    <t>HD004794</t>
  </si>
  <si>
    <t>53 Nguyễn trọng lội phường 4</t>
  </si>
  <si>
    <t>Trương Ngọc Ngân</t>
  </si>
  <si>
    <t>HD004707</t>
  </si>
  <si>
    <t>Chung cư bình đăng lộ D, đường số 1, p6</t>
  </si>
  <si>
    <t>Trần Thị Hoài Thương</t>
  </si>
  <si>
    <t>HD004703</t>
  </si>
  <si>
    <t>Chung cư kingdom, 101 block c 334 tô hiến thành</t>
  </si>
  <si>
    <t>HD004777</t>
  </si>
  <si>
    <t>Tuyết Nhi</t>
  </si>
  <si>
    <t>HD004817</t>
  </si>
  <si>
    <t>Block d2, chung cư sài gòn riverside (số 4 đào trí, phú thuận )</t>
  </si>
  <si>
    <t>NGAY 27-3</t>
  </si>
  <si>
    <t>27-03-2026</t>
  </si>
  <si>
    <t>Fangfang</t>
  </si>
  <si>
    <t>A75/6B/2 Bạch Đằng, Phường 2</t>
  </si>
  <si>
    <t>Venny (Indo)</t>
  </si>
  <si>
    <t>Mhome Sài Gòn 384/6 Lê Văn Sỹ</t>
  </si>
  <si>
    <t>AT 27-03</t>
  </si>
  <si>
    <t>Người nhận: Ngọc Bích</t>
  </si>
  <si>
    <t>HD005290</t>
  </si>
  <si>
    <t>90 Pasteur, phường Bến Nghé</t>
  </si>
  <si>
    <t>Xuân Hương</t>
  </si>
  <si>
    <t>HD005026</t>
  </si>
  <si>
    <t>Căn Hộ B3.16.05 116 Lý chiêu hoàng, phường Bình Phú</t>
  </si>
  <si>
    <t>HD005206</t>
  </si>
  <si>
    <t>HD005008</t>
  </si>
  <si>
    <t>Rivergate Apartment 155 bến văn đồn , HCMC Sảnh B</t>
  </si>
  <si>
    <t>Mai Diệu Trang</t>
  </si>
  <si>
    <t>HD005312</t>
  </si>
  <si>
    <t>765 Hồng bằng chung cư dhome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</si>
  <si>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</si>
  <si>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</si>
  <si>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</si>
  <si>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</si>
  <si>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</si>
  <si>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</si>
  <si>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Thảo Trần</t>
  </si>
  <si>
    <t>HD005059</t>
  </si>
  <si>
    <t>sunrise w1, 25 nguyễn hữu thọ, tân hưng</t>
  </si>
  <si>
    <t>Nguyễn Trần Thanh Hà</t>
  </si>
  <si>
    <t>HD005278</t>
  </si>
  <si>
    <t>43/2a3 đường số 8 hoàng diệu 2, linh trung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</si>
  <si>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</si>
  <si>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</si>
  <si>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</si>
  <si>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</si>
  <si>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</si>
  <si>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</si>
  <si>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</si>
  <si>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</si>
  <si>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</si>
  <si>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</si>
  <si>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</si>
  <si>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</si>
  <si>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</si>
  <si>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Hiếu Phan</t>
  </si>
  <si>
    <t>HD005081</t>
  </si>
  <si>
    <t>BS10A vinhomes grand park phường long binh</t>
  </si>
  <si>
    <t>Yến Oanh</t>
  </si>
  <si>
    <t>HD005268</t>
  </si>
  <si>
    <t>33 Đ. Nguyễn Hữu Thọ, Tân Hưng, Sunrise city view block B</t>
  </si>
  <si>
    <t>Thiện Nhi</t>
  </si>
  <si>
    <t>HD005085</t>
  </si>
  <si>
    <t>129/33 huỳnh văn nghệ p12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</si>
  <si>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</si>
  <si>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</si>
  <si>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</si>
  <si>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</si>
  <si>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</si>
  <si>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</si>
  <si>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</si>
  <si>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</si>
  <si>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</si>
  <si>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</si>
  <si>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</si>
  <si>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</si>
  <si>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HD005291</t>
  </si>
  <si>
    <t>334 tô hiến thành p14 cuộn 10 Chung cư kingdom101 block a</t>
  </si>
  <si>
    <t>Nguyễn Thảo Vi</t>
  </si>
  <si>
    <t>HD005258</t>
  </si>
  <si>
    <t>Chung cư Saigon pearl toà ruby 1 số 92 nguyễn hữu cảnh</t>
  </si>
  <si>
    <t>Nguyễn Uyên</t>
  </si>
  <si>
    <t>HD005087</t>
  </si>
  <si>
    <t>525/44 tô hiến thành p diên hồng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</si>
  <si>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</si>
  <si>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</si>
  <si>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</si>
  <si>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</si>
  <si>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</si>
  <si>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</si>
  <si>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HD005127</t>
  </si>
  <si>
    <t>Jemial Vo</t>
  </si>
  <si>
    <t>HD005141</t>
  </si>
  <si>
    <t>438 phan văn trị, p. hạnh thông</t>
  </si>
  <si>
    <t>HD005294</t>
  </si>
  <si>
    <t>HD005310</t>
  </si>
  <si>
    <t>HD005110</t>
  </si>
  <si>
    <t>Topaz phoenix Ib phường 4</t>
  </si>
  <si>
    <t>NGAY 28-3</t>
  </si>
  <si>
    <t>AT 28-03</t>
  </si>
  <si>
    <t>28-03-2026</t>
  </si>
  <si>
    <t>Rann Visetha</t>
  </si>
  <si>
    <t>HD005457</t>
  </si>
  <si>
    <t>nx khải nam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</si>
  <si>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</si>
  <si>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</si>
  <si>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</si>
  <si>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</si>
  <si>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</si>
  <si>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</si>
  <si>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</si>
  <si>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Thuỷ Tờ Rần</t>
  </si>
  <si>
    <t>HD005661</t>
  </si>
  <si>
    <t>68 nguyễn lâm f6</t>
  </si>
  <si>
    <t>Thuy Nga</t>
  </si>
  <si>
    <t>HD005472</t>
  </si>
  <si>
    <t>56 bình phú phường tam phú</t>
  </si>
  <si>
    <t>Cao Huyền Anh</t>
  </si>
  <si>
    <t>HD005421</t>
  </si>
  <si>
    <t>765 hồng bàng p bình tây</t>
  </si>
  <si>
    <t>Yen Thi Kim Le</t>
  </si>
  <si>
    <t>HD005338</t>
  </si>
  <si>
    <t>549 Điện Biên Phủ bàn cờ</t>
  </si>
  <si>
    <t>Thao Doan</t>
  </si>
  <si>
    <t>HD005490</t>
  </si>
  <si>
    <t>81/64 Nguyễn Cửu Vân, p17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</si>
  <si>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</si>
  <si>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</si>
  <si>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</si>
  <si>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</si>
  <si>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</si>
  <si>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</si>
  <si>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Phước Ngọc</t>
  </si>
  <si>
    <t>HD005146</t>
  </si>
  <si>
    <t>landmark 3 vinhomes center park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</si>
  <si>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</si>
  <si>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</si>
  <si>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</si>
  <si>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</si>
  <si>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</si>
  <si>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</si>
  <si>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Mai Đỗ Phi Phụng</t>
  </si>
  <si>
    <t>HD005478</t>
  </si>
  <si>
    <t>Empire city, toà tilia D12, đại lộ vòng cung, thủ thiêm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</si>
  <si>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</si>
  <si>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</si>
  <si>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</si>
  <si>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</si>
  <si>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</si>
  <si>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</si>
  <si>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</si>
  <si>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</si>
  <si>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</si>
  <si>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Ngọc Hương</t>
  </si>
  <si>
    <t>HD005685</t>
  </si>
  <si>
    <t>19 Hoàng dư Khương phường 12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</si>
  <si>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</si>
  <si>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</si>
  <si>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</si>
  <si>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</si>
  <si>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</si>
  <si>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</si>
  <si>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</si>
  <si>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</si>
  <si>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</si>
  <si>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</si>
  <si>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</si>
  <si>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</si>
  <si>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Châu Bui</t>
  </si>
  <si>
    <t>HD005467</t>
  </si>
  <si>
    <t>Huỳnh Thanh Thanh</t>
  </si>
  <si>
    <t>HD005533</t>
  </si>
  <si>
    <t>26/2 đường 36 phường bình trưng tây</t>
  </si>
  <si>
    <t>NGAY 30-3</t>
  </si>
  <si>
    <t>30-03-2026</t>
  </si>
  <si>
    <t>HƯƠNG TRẦN</t>
  </si>
  <si>
    <t>261/2c chu văn an p12</t>
  </si>
  <si>
    <t>AT 30-03</t>
  </si>
  <si>
    <t>BELLA TRẦN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</si>
  <si>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</si>
  <si>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</si>
  <si>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</si>
  <si>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</si>
  <si>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</si>
  <si>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</si>
  <si>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</si>
  <si>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</si>
  <si>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</si>
  <si>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</si>
  <si>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</si>
  <si>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</si>
  <si>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</si>
  <si>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</si>
  <si>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</si>
  <si>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</si>
  <si>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</si>
  <si>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</si>
  <si>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</si>
  <si>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</si>
  <si>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</si>
  <si>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</si>
  <si>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</si>
  <si>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</si>
  <si>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</si>
  <si>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HD005930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</si>
  <si>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</si>
  <si>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</si>
  <si>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</si>
  <si>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</si>
  <si>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</si>
  <si>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</si>
  <si>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</si>
  <si>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</si>
  <si>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</si>
  <si>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</si>
  <si>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</si>
  <si>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</si>
  <si>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</si>
  <si>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</si>
  <si>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</si>
  <si>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</si>
  <si>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</si>
  <si>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</si>
  <si>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</si>
  <si>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</si>
  <si>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</si>
  <si>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</si>
  <si>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</si>
  <si>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</si>
  <si>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</si>
  <si>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</si>
  <si>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</si>
  <si>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</si>
  <si>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</si>
  <si>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</si>
  <si>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</si>
  <si>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</si>
  <si>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</si>
  <si>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</si>
  <si>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</si>
  <si>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</si>
  <si>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</si>
  <si>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</si>
  <si>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</si>
  <si>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</si>
  <si>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</si>
  <si>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</si>
  <si>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</si>
  <si>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</si>
  <si>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</si>
  <si>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</si>
  <si>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</si>
  <si>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</si>
  <si>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</si>
  <si>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</si>
  <si>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</si>
  <si>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</si>
  <si>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</si>
  <si>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</si>
  <si>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</si>
  <si>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</si>
  <si>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</si>
  <si>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</si>
  <si>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</si>
  <si>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</si>
  <si>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</si>
  <si>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</si>
  <si>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</si>
  <si>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</si>
  <si>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</si>
  <si>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HD005838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</si>
  <si>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</si>
  <si>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</si>
  <si>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</si>
  <si>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</si>
  <si>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</si>
  <si>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</si>
  <si>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</si>
  <si>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</si>
  <si>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</si>
  <si>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</si>
  <si>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</si>
  <si>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</si>
  <si>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</si>
  <si>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</si>
  <si>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</si>
  <si>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</si>
  <si>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</si>
  <si>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</si>
  <si>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</si>
  <si>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</si>
  <si>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</si>
  <si>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</si>
  <si>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</si>
  <si>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</si>
  <si>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</si>
  <si>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</si>
  <si>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</si>
  <si>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</si>
  <si>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</si>
  <si>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</si>
  <si>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</si>
  <si>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</si>
  <si>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</si>
  <si>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</si>
  <si>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</si>
  <si>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</si>
  <si>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</si>
  <si>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</si>
  <si>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</si>
  <si>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</si>
  <si>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</si>
  <si>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</si>
  <si>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</si>
  <si>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</si>
  <si>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</si>
  <si>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</si>
  <si>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</si>
  <si>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</si>
  <si>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</si>
  <si>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</si>
  <si>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</si>
  <si>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</si>
  <si>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</si>
  <si>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</si>
  <si>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</si>
  <si>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</si>
  <si>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</si>
  <si>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</si>
  <si>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</si>
  <si>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</si>
  <si>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</si>
  <si>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</si>
  <si>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</si>
  <si>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</si>
  <si>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</si>
  <si>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</si>
  <si>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</si>
  <si>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</si>
  <si>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</si>
  <si>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</si>
  <si>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</si>
  <si>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</si>
  <si>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</si>
  <si>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</si>
  <si>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</si>
  <si>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</si>
  <si>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</si>
  <si>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</si>
  <si>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</si>
  <si>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</si>
  <si>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</si>
  <si>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</si>
  <si>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</si>
  <si>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</si>
  <si>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</si>
  <si>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</si>
  <si>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</si>
  <si>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</si>
  <si>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</si>
  <si>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</si>
  <si>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HD006441</t>
  </si>
  <si>
    <t>Winnie Chua</t>
  </si>
  <si>
    <t>HD006544</t>
  </si>
  <si>
    <t>Nguyễn Lý Kim Ngân</t>
  </si>
  <si>
    <t>HD006531</t>
  </si>
  <si>
    <t>Đông Nhi</t>
  </si>
  <si>
    <t>HD006448</t>
  </si>
  <si>
    <t>HD006228</t>
  </si>
  <si>
    <t>X.Anh</t>
  </si>
  <si>
    <t>HD006503</t>
  </si>
  <si>
    <t>Thanh Ngân</t>
  </si>
  <si>
    <t>HD006607</t>
  </si>
  <si>
    <t>HD006339</t>
  </si>
  <si>
    <t>Hanh Corado</t>
  </si>
  <si>
    <t>HD006621</t>
  </si>
  <si>
    <t>Vân NA Vy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</si>
  <si>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</si>
  <si>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</si>
  <si>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</si>
  <si>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</si>
  <si>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</si>
  <si>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</si>
  <si>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</si>
  <si>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</si>
  <si>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</si>
  <si>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</si>
  <si>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</si>
  <si>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W2459</t>
  </si>
  <si>
    <t>BN882</t>
  </si>
  <si>
    <t>Ivy Huyền</t>
  </si>
  <si>
    <t>Số 5 Nhất Chi Mai phường 13</t>
  </si>
  <si>
    <t>29/18 đường số 5 bình trưng đông</t>
  </si>
  <si>
    <t>09 Đường số 2, P. An Khánh</t>
  </si>
  <si>
    <t>93 đường số 1, phường 4(phường 1 hoặc phường Hạnh Thông)</t>
  </si>
  <si>
    <t>dolly dolly</t>
  </si>
  <si>
    <t>21 võ trường toản thảo điền</t>
  </si>
  <si>
    <t>346 quang trung, phường thông tây hội</t>
  </si>
  <si>
    <t>Căn 603, lô B2 chung cư orchard parkview, 130-132 hồng hà, p. Đức nhuận</t>
  </si>
  <si>
    <t>HD006389</t>
  </si>
  <si>
    <t>Chung cư lavida plus Nguyễn Văn Linh, phường Tân Phong</t>
  </si>
  <si>
    <t>HD006405</t>
  </si>
  <si>
    <t>37 trương vĩnh ký, phường Tân Thạnh</t>
  </si>
  <si>
    <t>chung cư tera mia đường số 2 kdc B intressco, xã bình hưng</t>
  </si>
  <si>
    <t>210 bùi văn ba p.tan thuận đông kdc Jamona golden silk đường N3 căn M8</t>
  </si>
  <si>
    <t>137/31/14 phan anh phường bình trị đông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</si>
</sst>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  <xf numFmtId="49" fontId="2" fillId="0" borderId="0" xfId="0" applyNumberFormat="1" applyFont="1"/>
    <xf numFmtId="0" fontId="2" fillId="13" borderId="0" xfId="0" applyFont="1" applyFill="1"/>
    <xf numFmtId="0" fontId="4" fillId="0" borderId="0" xfId="0" applyFont="1"/>
    <xf numFmtId="0" fontId="2" fillId="7" borderId="0" xfId="0" applyFont="1" applyFill="1"/>
    <xf numFmtId="49" fontId="2" fillId="7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0" xfId="0" applyFont="1" applyFill="1" applyAlignment="1">
      <alignment horizontal="left"/>
    </xf>
    <xf numFmtId="49" fontId="4" fillId="4" borderId="0" xfId="0" applyNumberFormat="1" applyFont="1" applyFill="1"/>
    <xf numFmtId="0" fontId="4" fillId="1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71" activePane="bottomLeft" state="frozenSplit"/>
      <selection activeCell="J73" sqref="J73"/>
      <selection pane="bottomLeft" activeCell="E75" sqref="E75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1">
        <v>6</v>
      </c>
      <c r="G3">
        <v>810</v>
      </c>
      <c r="H3">
        <v>25</v>
      </c>
      <c r="I3">
        <f t="shared" ref="I3:I34" si="0">G3-H3</f>
        <v>785</v>
      </c>
      <c r="K3" t="s">
        <v>22</v>
      </c>
      <c r="L3" t="s">
        <v>23</v>
      </c>
    </row>
    <row r="4" spans="1:16" x14ac:dyDescent="0.25">
      <c r="B4" t="s">
        <v>18</v>
      </c>
      <c r="C4" t="s">
        <v>24</v>
      </c>
      <c r="D4" t="s">
        <v>25</v>
      </c>
      <c r="E4" t="s">
        <v>26</v>
      </c>
      <c r="F4" s="1">
        <v>10</v>
      </c>
      <c r="G4">
        <v>990</v>
      </c>
      <c r="H4">
        <v>25</v>
      </c>
      <c r="I4">
        <f t="shared" si="0"/>
        <v>965</v>
      </c>
      <c r="J4" t="s">
        <v>27</v>
      </c>
      <c r="K4" t="s">
        <v>22</v>
      </c>
      <c r="L4" t="s">
        <v>23</v>
      </c>
      <c r="M4" t="s">
        <v>28</v>
      </c>
    </row>
    <row r="5" spans="1:16" x14ac:dyDescent="0.25">
      <c r="B5" t="s">
        <v>18</v>
      </c>
      <c r="C5" t="s">
        <v>29</v>
      </c>
      <c r="D5" t="s">
        <v>30</v>
      </c>
      <c r="E5" t="s">
        <v>31</v>
      </c>
      <c r="F5" s="1">
        <v>1</v>
      </c>
      <c r="G5">
        <v>740</v>
      </c>
      <c r="H5">
        <v>25</v>
      </c>
      <c r="I5">
        <f t="shared" si="0"/>
        <v>715</v>
      </c>
      <c r="J5" t="s">
        <v>27</v>
      </c>
      <c r="K5" t="s">
        <v>22</v>
      </c>
      <c r="L5" t="s">
        <v>23</v>
      </c>
    </row>
    <row r="6" spans="1:16" x14ac:dyDescent="0.25">
      <c r="B6" t="s">
        <v>18</v>
      </c>
      <c r="C6" t="s">
        <v>32</v>
      </c>
      <c r="D6" t="s">
        <v>33</v>
      </c>
      <c r="E6" t="s">
        <v>34</v>
      </c>
      <c r="F6" s="1" t="s">
        <v>35</v>
      </c>
      <c r="G6">
        <v>740</v>
      </c>
      <c r="H6">
        <v>30</v>
      </c>
      <c r="I6">
        <f t="shared" si="0"/>
        <v>710</v>
      </c>
      <c r="J6" t="s">
        <v>22</v>
      </c>
      <c r="K6" t="s">
        <v>22</v>
      </c>
      <c r="L6" t="s">
        <v>23</v>
      </c>
    </row>
    <row r="7" spans="1:16" x14ac:dyDescent="0.25">
      <c r="B7" t="s">
        <v>18</v>
      </c>
      <c r="C7" t="s">
        <v>36</v>
      </c>
      <c r="D7" t="s">
        <v>37</v>
      </c>
      <c r="E7" t="s">
        <v>38</v>
      </c>
      <c r="F7" s="1" t="s">
        <v>39</v>
      </c>
      <c r="G7">
        <v>670</v>
      </c>
      <c r="H7">
        <v>35</v>
      </c>
      <c r="I7">
        <f t="shared" si="0"/>
        <v>635</v>
      </c>
      <c r="K7" t="s">
        <v>22</v>
      </c>
      <c r="L7" t="s">
        <v>23</v>
      </c>
    </row>
    <row r="8" spans="1:16" x14ac:dyDescent="0.25">
      <c r="B8" t="s">
        <v>18</v>
      </c>
      <c r="C8" t="s">
        <v>40</v>
      </c>
      <c r="D8" t="s">
        <v>41</v>
      </c>
      <c r="E8" t="s">
        <v>42</v>
      </c>
      <c r="F8" s="1" t="s">
        <v>35</v>
      </c>
      <c r="G8">
        <v>342</v>
      </c>
      <c r="H8">
        <v>30</v>
      </c>
      <c r="I8">
        <f t="shared" si="0"/>
        <v>312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43</v>
      </c>
      <c r="D9" t="s">
        <v>44</v>
      </c>
      <c r="E9" t="s">
        <v>45</v>
      </c>
      <c r="F9" s="1">
        <v>1</v>
      </c>
      <c r="G9">
        <v>756</v>
      </c>
      <c r="H9">
        <v>25</v>
      </c>
      <c r="I9">
        <f t="shared" si="0"/>
        <v>731</v>
      </c>
      <c r="K9" t="s">
        <v>22</v>
      </c>
      <c r="L9" t="s">
        <v>23</v>
      </c>
    </row>
    <row r="10" spans="1:16" x14ac:dyDescent="0.25">
      <c r="B10" t="s">
        <v>18</v>
      </c>
      <c r="C10" t="s">
        <v>46</v>
      </c>
      <c r="D10" t="s">
        <v>47</v>
      </c>
      <c r="E10" t="s">
        <v>48</v>
      </c>
      <c r="F10" s="1" t="s">
        <v>49</v>
      </c>
      <c r="G10">
        <v>670</v>
      </c>
      <c r="H10">
        <v>30</v>
      </c>
      <c r="I10">
        <f t="shared" si="0"/>
        <v>640</v>
      </c>
      <c r="K10" t="s">
        <v>22</v>
      </c>
      <c r="L10" t="s">
        <v>23</v>
      </c>
    </row>
    <row r="11" spans="1:16" x14ac:dyDescent="0.25">
      <c r="B11" t="s">
        <v>18</v>
      </c>
      <c r="C11" t="s">
        <v>50</v>
      </c>
      <c r="D11" t="s">
        <v>51</v>
      </c>
      <c r="E11" t="s">
        <v>52</v>
      </c>
      <c r="F11" s="1" t="s">
        <v>53</v>
      </c>
      <c r="G11">
        <v>1630</v>
      </c>
      <c r="H11">
        <v>20</v>
      </c>
      <c r="I11">
        <f t="shared" si="0"/>
        <v>1610</v>
      </c>
      <c r="J11" t="s">
        <v>22</v>
      </c>
      <c r="K11" t="s">
        <v>22</v>
      </c>
      <c r="L11" t="s">
        <v>23</v>
      </c>
    </row>
    <row r="12" spans="1:16" x14ac:dyDescent="0.25">
      <c r="B12" t="s">
        <v>18</v>
      </c>
      <c r="C12" t="s">
        <v>54</v>
      </c>
      <c r="D12" t="s">
        <v>55</v>
      </c>
      <c r="E12" t="s">
        <v>56</v>
      </c>
      <c r="F12" s="1" t="s">
        <v>49</v>
      </c>
      <c r="G12">
        <v>380</v>
      </c>
      <c r="H12">
        <v>30</v>
      </c>
      <c r="I12">
        <f t="shared" si="0"/>
        <v>350</v>
      </c>
      <c r="K12" t="s">
        <v>22</v>
      </c>
      <c r="L12" t="s">
        <v>23</v>
      </c>
    </row>
    <row r="13" spans="1:16" x14ac:dyDescent="0.25">
      <c r="B13" t="s">
        <v>18</v>
      </c>
      <c r="C13" t="s">
        <v>57</v>
      </c>
      <c r="D13" t="s">
        <v>58</v>
      </c>
      <c r="E13" t="s">
        <v>59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60</v>
      </c>
      <c r="D14" t="s">
        <v>61</v>
      </c>
      <c r="E14" t="s">
        <v>62</v>
      </c>
      <c r="F14" s="1" t="s">
        <v>63</v>
      </c>
      <c r="G14">
        <v>840</v>
      </c>
      <c r="H14">
        <v>25</v>
      </c>
      <c r="I14">
        <f t="shared" si="0"/>
        <v>815</v>
      </c>
      <c r="K14" t="s">
        <v>22</v>
      </c>
      <c r="L14" t="s">
        <v>23</v>
      </c>
    </row>
    <row r="15" spans="1:16" x14ac:dyDescent="0.25">
      <c r="B15" t="s">
        <v>18</v>
      </c>
      <c r="C15" t="s">
        <v>64</v>
      </c>
      <c r="D15" t="s">
        <v>65</v>
      </c>
      <c r="E15" t="s">
        <v>66</v>
      </c>
      <c r="F15" s="1">
        <v>4</v>
      </c>
      <c r="G15">
        <v>1350</v>
      </c>
      <c r="H15">
        <v>25</v>
      </c>
      <c r="I15">
        <f t="shared" si="0"/>
        <v>1325</v>
      </c>
      <c r="J15" t="s">
        <v>27</v>
      </c>
      <c r="K15" t="s">
        <v>22</v>
      </c>
      <c r="L15" t="s">
        <v>23</v>
      </c>
    </row>
    <row r="16" spans="1:16" x14ac:dyDescent="0.25">
      <c r="B16" t="s">
        <v>18</v>
      </c>
      <c r="C16" t="s">
        <v>67</v>
      </c>
      <c r="D16" t="s">
        <v>68</v>
      </c>
      <c r="E16" t="s">
        <v>69</v>
      </c>
      <c r="F16" s="1" t="s">
        <v>49</v>
      </c>
      <c r="G16">
        <v>0</v>
      </c>
      <c r="H16">
        <v>30</v>
      </c>
      <c r="I16">
        <f t="shared" si="0"/>
        <v>-30</v>
      </c>
      <c r="K16" t="s">
        <v>22</v>
      </c>
      <c r="L16" t="s">
        <v>23</v>
      </c>
    </row>
    <row r="17" spans="2:13" x14ac:dyDescent="0.25">
      <c r="B17" t="s">
        <v>18</v>
      </c>
      <c r="C17" t="s">
        <v>70</v>
      </c>
      <c r="D17" t="s">
        <v>71</v>
      </c>
      <c r="E17" t="s">
        <v>72</v>
      </c>
      <c r="F17" s="1" t="s">
        <v>73</v>
      </c>
      <c r="G17">
        <v>0</v>
      </c>
      <c r="H17">
        <v>35</v>
      </c>
      <c r="I17">
        <f t="shared" si="0"/>
        <v>-35</v>
      </c>
      <c r="K17" t="s">
        <v>22</v>
      </c>
      <c r="L17" t="s">
        <v>23</v>
      </c>
      <c r="M17" t="s">
        <v>74</v>
      </c>
    </row>
    <row r="18" spans="2:13" x14ac:dyDescent="0.25">
      <c r="B18" t="s">
        <v>18</v>
      </c>
      <c r="C18" t="s">
        <v>75</v>
      </c>
      <c r="D18" t="s">
        <v>76</v>
      </c>
      <c r="E18" t="s">
        <v>77</v>
      </c>
      <c r="F18" s="1" t="s">
        <v>63</v>
      </c>
      <c r="G18">
        <v>670</v>
      </c>
      <c r="H18">
        <v>25</v>
      </c>
      <c r="I18">
        <f t="shared" si="0"/>
        <v>645</v>
      </c>
      <c r="K18" t="s">
        <v>22</v>
      </c>
      <c r="L18" t="s">
        <v>23</v>
      </c>
    </row>
    <row r="19" spans="2:13" x14ac:dyDescent="0.25">
      <c r="B19" t="s">
        <v>18</v>
      </c>
      <c r="C19" t="s">
        <v>78</v>
      </c>
      <c r="D19" t="s">
        <v>79</v>
      </c>
      <c r="E19" t="s">
        <v>80</v>
      </c>
      <c r="F19" s="1" t="s">
        <v>63</v>
      </c>
      <c r="G19">
        <v>940</v>
      </c>
      <c r="H19">
        <v>25</v>
      </c>
      <c r="I19">
        <f t="shared" si="0"/>
        <v>915</v>
      </c>
      <c r="K19" t="s">
        <v>22</v>
      </c>
      <c r="L19" t="s">
        <v>23</v>
      </c>
    </row>
    <row r="20" spans="2:13" x14ac:dyDescent="0.25">
      <c r="B20" t="s">
        <v>18</v>
      </c>
      <c r="C20" t="s">
        <v>81</v>
      </c>
      <c r="D20" t="s">
        <v>82</v>
      </c>
      <c r="E20" t="s">
        <v>83</v>
      </c>
      <c r="F20" s="1">
        <v>7</v>
      </c>
      <c r="G20">
        <v>0</v>
      </c>
      <c r="H20">
        <v>30</v>
      </c>
      <c r="I20">
        <f t="shared" si="0"/>
        <v>-30</v>
      </c>
      <c r="K20" t="s">
        <v>22</v>
      </c>
      <c r="L20" t="s">
        <v>23</v>
      </c>
    </row>
    <row r="21" spans="2:13" x14ac:dyDescent="0.25">
      <c r="B21" t="s">
        <v>18</v>
      </c>
      <c r="C21" t="s">
        <v>84</v>
      </c>
      <c r="D21" t="s">
        <v>85</v>
      </c>
      <c r="E21" t="s">
        <v>86</v>
      </c>
      <c r="F21" s="1">
        <v>6</v>
      </c>
      <c r="G21">
        <v>1680</v>
      </c>
      <c r="H21">
        <v>25</v>
      </c>
      <c r="I21">
        <f t="shared" si="0"/>
        <v>1655</v>
      </c>
      <c r="K21" t="s">
        <v>22</v>
      </c>
      <c r="L21" t="s">
        <v>23</v>
      </c>
    </row>
    <row r="22" spans="2:13" x14ac:dyDescent="0.25">
      <c r="B22" t="s">
        <v>18</v>
      </c>
      <c r="C22" t="s">
        <v>87</v>
      </c>
      <c r="D22" t="s">
        <v>88</v>
      </c>
      <c r="E22" t="s">
        <v>89</v>
      </c>
      <c r="F22" s="1" t="s">
        <v>49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90</v>
      </c>
      <c r="D23" t="s">
        <v>91</v>
      </c>
      <c r="E23" t="s">
        <v>92</v>
      </c>
      <c r="F23" s="1" t="s">
        <v>93</v>
      </c>
      <c r="G23">
        <v>670</v>
      </c>
      <c r="H23">
        <v>20</v>
      </c>
      <c r="I23">
        <f t="shared" si="0"/>
        <v>650</v>
      </c>
      <c r="J23" t="s">
        <v>27</v>
      </c>
      <c r="K23" t="s">
        <v>22</v>
      </c>
      <c r="L23" t="s">
        <v>23</v>
      </c>
    </row>
    <row r="24" spans="2:13" x14ac:dyDescent="0.25">
      <c r="B24" t="s">
        <v>18</v>
      </c>
      <c r="C24" t="s">
        <v>94</v>
      </c>
      <c r="D24" t="s">
        <v>95</v>
      </c>
      <c r="E24" t="s">
        <v>96</v>
      </c>
      <c r="F24" s="1" t="s">
        <v>97</v>
      </c>
      <c r="G24">
        <v>0</v>
      </c>
      <c r="H24">
        <v>25</v>
      </c>
      <c r="I24">
        <f t="shared" si="0"/>
        <v>-25</v>
      </c>
      <c r="J24" t="s">
        <v>22</v>
      </c>
      <c r="K24" t="s">
        <v>22</v>
      </c>
      <c r="L24" t="s">
        <v>98</v>
      </c>
    </row>
    <row r="25" spans="2:13" x14ac:dyDescent="0.25">
      <c r="B25" t="s">
        <v>18</v>
      </c>
      <c r="C25" t="s">
        <v>99</v>
      </c>
      <c r="D25" t="s">
        <v>100</v>
      </c>
      <c r="E25" t="s">
        <v>101</v>
      </c>
      <c r="F25" s="1">
        <v>8</v>
      </c>
      <c r="G25">
        <v>0</v>
      </c>
      <c r="H25">
        <v>25</v>
      </c>
      <c r="I25">
        <f t="shared" si="0"/>
        <v>-25</v>
      </c>
      <c r="K25" t="s">
        <v>22</v>
      </c>
      <c r="L25" t="s">
        <v>98</v>
      </c>
    </row>
    <row r="26" spans="2:13" x14ac:dyDescent="0.25">
      <c r="B26" t="s">
        <v>18</v>
      </c>
      <c r="C26" t="s">
        <v>102</v>
      </c>
      <c r="D26" t="s">
        <v>103</v>
      </c>
      <c r="E26" t="s">
        <v>104</v>
      </c>
      <c r="F26" s="1" t="s">
        <v>63</v>
      </c>
      <c r="G26">
        <v>740</v>
      </c>
      <c r="H26">
        <v>25</v>
      </c>
      <c r="I26">
        <f t="shared" si="0"/>
        <v>715</v>
      </c>
      <c r="K26" t="s">
        <v>22</v>
      </c>
      <c r="L26" t="s">
        <v>98</v>
      </c>
    </row>
    <row r="27" spans="2:13" x14ac:dyDescent="0.25">
      <c r="B27" t="s">
        <v>18</v>
      </c>
      <c r="C27" t="s">
        <v>105</v>
      </c>
      <c r="D27" t="s">
        <v>106</v>
      </c>
      <c r="E27" t="s">
        <v>107</v>
      </c>
      <c r="F27" s="1">
        <v>7</v>
      </c>
      <c r="G27">
        <v>790</v>
      </c>
      <c r="H27">
        <v>30</v>
      </c>
      <c r="I27">
        <f t="shared" si="0"/>
        <v>760</v>
      </c>
      <c r="K27" t="s">
        <v>22</v>
      </c>
      <c r="L27" t="s">
        <v>98</v>
      </c>
    </row>
    <row r="28" spans="2:13" x14ac:dyDescent="0.25">
      <c r="B28" t="s">
        <v>18</v>
      </c>
      <c r="C28" t="s">
        <v>108</v>
      </c>
      <c r="D28" t="s">
        <v>109</v>
      </c>
      <c r="E28" t="s">
        <v>110</v>
      </c>
      <c r="F28" s="1">
        <v>2</v>
      </c>
      <c r="G28">
        <v>0</v>
      </c>
      <c r="H28">
        <v>30</v>
      </c>
      <c r="I28">
        <f t="shared" si="0"/>
        <v>-30</v>
      </c>
      <c r="J28" t="s">
        <v>22</v>
      </c>
      <c r="K28" t="s">
        <v>22</v>
      </c>
      <c r="L28" t="s">
        <v>98</v>
      </c>
    </row>
    <row r="29" spans="2:13" x14ac:dyDescent="0.25">
      <c r="B29" t="s">
        <v>18</v>
      </c>
      <c r="C29" t="s">
        <v>111</v>
      </c>
      <c r="D29" t="s">
        <v>112</v>
      </c>
      <c r="E29" t="s">
        <v>113</v>
      </c>
      <c r="F29" s="1" t="s">
        <v>97</v>
      </c>
      <c r="G29">
        <v>1630</v>
      </c>
      <c r="H29">
        <v>25</v>
      </c>
      <c r="I29">
        <f t="shared" si="0"/>
        <v>1605</v>
      </c>
      <c r="J29" t="s">
        <v>27</v>
      </c>
      <c r="K29" t="s">
        <v>22</v>
      </c>
      <c r="L29" t="s">
        <v>114</v>
      </c>
    </row>
    <row r="30" spans="2:13" x14ac:dyDescent="0.25">
      <c r="B30" t="s">
        <v>18</v>
      </c>
      <c r="C30" t="s">
        <v>115</v>
      </c>
      <c r="D30" t="s">
        <v>116</v>
      </c>
      <c r="E30" t="s">
        <v>117</v>
      </c>
      <c r="F30" s="1" t="s">
        <v>118</v>
      </c>
      <c r="G30">
        <v>690</v>
      </c>
      <c r="H30">
        <v>25</v>
      </c>
      <c r="I30">
        <f t="shared" si="0"/>
        <v>665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119</v>
      </c>
      <c r="D31" t="s">
        <v>120</v>
      </c>
      <c r="E31" t="s">
        <v>121</v>
      </c>
      <c r="F31" s="1">
        <v>10</v>
      </c>
      <c r="G31">
        <v>780</v>
      </c>
      <c r="H31">
        <v>25</v>
      </c>
      <c r="I31">
        <f t="shared" si="0"/>
        <v>755</v>
      </c>
      <c r="J31" t="s">
        <v>27</v>
      </c>
      <c r="K31" t="s">
        <v>22</v>
      </c>
      <c r="L31" t="s">
        <v>98</v>
      </c>
    </row>
    <row r="32" spans="2:13" x14ac:dyDescent="0.25">
      <c r="B32" t="s">
        <v>18</v>
      </c>
      <c r="C32" t="s">
        <v>122</v>
      </c>
      <c r="D32" t="s">
        <v>123</v>
      </c>
      <c r="E32" t="s">
        <v>124</v>
      </c>
      <c r="F32" s="1">
        <v>7</v>
      </c>
      <c r="G32">
        <v>790</v>
      </c>
      <c r="H32">
        <v>30</v>
      </c>
      <c r="I32">
        <f t="shared" si="0"/>
        <v>760</v>
      </c>
      <c r="K32" t="s">
        <v>22</v>
      </c>
      <c r="L32" t="s">
        <v>98</v>
      </c>
    </row>
    <row r="33" spans="2:12" x14ac:dyDescent="0.25">
      <c r="B33" t="s">
        <v>18</v>
      </c>
      <c r="C33" t="s">
        <v>125</v>
      </c>
      <c r="D33" t="s">
        <v>126</v>
      </c>
      <c r="E33" t="s">
        <v>127</v>
      </c>
      <c r="F33" s="1">
        <v>10</v>
      </c>
      <c r="G33">
        <v>670</v>
      </c>
      <c r="H33">
        <v>25</v>
      </c>
      <c r="I33">
        <f t="shared" si="0"/>
        <v>645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128</v>
      </c>
      <c r="D34" t="s">
        <v>129</v>
      </c>
      <c r="E34" t="s">
        <v>130</v>
      </c>
      <c r="F34" s="1" t="s">
        <v>93</v>
      </c>
      <c r="G34">
        <v>670</v>
      </c>
      <c r="H34">
        <v>20</v>
      </c>
      <c r="I34">
        <f t="shared" si="0"/>
        <v>650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131</v>
      </c>
      <c r="D35" t="s">
        <v>132</v>
      </c>
      <c r="E35" t="s">
        <v>133</v>
      </c>
      <c r="F35" s="1" t="s">
        <v>53</v>
      </c>
      <c r="G35">
        <v>840</v>
      </c>
      <c r="H35">
        <v>20</v>
      </c>
      <c r="I35">
        <f t="shared" ref="I35:I66" si="1">G35-H35</f>
        <v>820</v>
      </c>
      <c r="J35" t="s">
        <v>22</v>
      </c>
      <c r="K35" t="s">
        <v>22</v>
      </c>
      <c r="L35" t="s">
        <v>98</v>
      </c>
    </row>
    <row r="36" spans="2:12" x14ac:dyDescent="0.25">
      <c r="B36" t="s">
        <v>18</v>
      </c>
      <c r="C36" t="s">
        <v>134</v>
      </c>
      <c r="D36" t="s">
        <v>135</v>
      </c>
      <c r="E36" t="s">
        <v>136</v>
      </c>
      <c r="F36" s="1" t="s">
        <v>63</v>
      </c>
      <c r="G36">
        <v>0</v>
      </c>
      <c r="H36">
        <v>25</v>
      </c>
      <c r="I36">
        <f t="shared" si="1"/>
        <v>-25</v>
      </c>
      <c r="K36" t="s">
        <v>22</v>
      </c>
      <c r="L36" t="s">
        <v>98</v>
      </c>
    </row>
    <row r="37" spans="2:12" x14ac:dyDescent="0.25">
      <c r="B37" t="s">
        <v>18</v>
      </c>
      <c r="C37" t="s">
        <v>137</v>
      </c>
      <c r="D37" t="s">
        <v>138</v>
      </c>
      <c r="E37" t="s">
        <v>139</v>
      </c>
      <c r="F37" s="1" t="s">
        <v>49</v>
      </c>
      <c r="G37">
        <v>780</v>
      </c>
      <c r="H37">
        <v>30</v>
      </c>
      <c r="I37">
        <f t="shared" si="1"/>
        <v>750</v>
      </c>
      <c r="K37" t="s">
        <v>22</v>
      </c>
      <c r="L37" t="s">
        <v>98</v>
      </c>
    </row>
    <row r="38" spans="2:12" x14ac:dyDescent="0.25">
      <c r="B38" t="s">
        <v>18</v>
      </c>
      <c r="C38" t="s">
        <v>140</v>
      </c>
      <c r="D38" t="s">
        <v>141</v>
      </c>
      <c r="E38" t="s">
        <v>142</v>
      </c>
      <c r="F38" s="1" t="s">
        <v>143</v>
      </c>
      <c r="G38">
        <v>670</v>
      </c>
      <c r="H38">
        <v>35</v>
      </c>
      <c r="I38">
        <f t="shared" si="1"/>
        <v>635</v>
      </c>
      <c r="K38" t="s">
        <v>22</v>
      </c>
      <c r="L38" t="s">
        <v>98</v>
      </c>
    </row>
    <row r="39" spans="2:12" x14ac:dyDescent="0.25">
      <c r="B39" t="s">
        <v>18</v>
      </c>
      <c r="C39" t="s">
        <v>144</v>
      </c>
      <c r="D39" t="s">
        <v>145</v>
      </c>
      <c r="E39" t="s">
        <v>146</v>
      </c>
      <c r="F39" s="1" t="s">
        <v>49</v>
      </c>
      <c r="G39">
        <v>1540</v>
      </c>
      <c r="H39">
        <v>30</v>
      </c>
      <c r="I39">
        <f t="shared" si="1"/>
        <v>1510</v>
      </c>
      <c r="K39" t="s">
        <v>22</v>
      </c>
      <c r="L39" t="s">
        <v>98</v>
      </c>
    </row>
    <row r="40" spans="2:12" x14ac:dyDescent="0.25">
      <c r="B40" t="s">
        <v>18</v>
      </c>
      <c r="C40" t="s">
        <v>147</v>
      </c>
      <c r="D40" t="s">
        <v>148</v>
      </c>
      <c r="E40" t="s">
        <v>149</v>
      </c>
      <c r="F40" s="1" t="s">
        <v>49</v>
      </c>
      <c r="G40">
        <v>810</v>
      </c>
      <c r="H40">
        <v>30</v>
      </c>
      <c r="I40">
        <f t="shared" si="1"/>
        <v>780</v>
      </c>
      <c r="K40" t="s">
        <v>22</v>
      </c>
      <c r="L40" t="s">
        <v>98</v>
      </c>
    </row>
    <row r="41" spans="2:12" x14ac:dyDescent="0.25">
      <c r="B41" t="s">
        <v>18</v>
      </c>
      <c r="C41" t="s">
        <v>150</v>
      </c>
      <c r="D41" t="s">
        <v>151</v>
      </c>
      <c r="E41" t="s">
        <v>152</v>
      </c>
      <c r="F41" s="1">
        <v>1</v>
      </c>
      <c r="G41">
        <v>740</v>
      </c>
      <c r="H41">
        <v>25</v>
      </c>
      <c r="I41">
        <f t="shared" si="1"/>
        <v>715</v>
      </c>
      <c r="J41" t="s">
        <v>27</v>
      </c>
      <c r="K41" t="s">
        <v>22</v>
      </c>
      <c r="L41" t="s">
        <v>98</v>
      </c>
    </row>
    <row r="42" spans="2:12" x14ac:dyDescent="0.25">
      <c r="B42" t="s">
        <v>18</v>
      </c>
      <c r="C42" t="s">
        <v>153</v>
      </c>
      <c r="D42" t="s">
        <v>154</v>
      </c>
      <c r="E42" t="s">
        <v>155</v>
      </c>
      <c r="F42" s="1" t="s">
        <v>118</v>
      </c>
      <c r="G42">
        <v>780</v>
      </c>
      <c r="H42">
        <v>25</v>
      </c>
      <c r="I42">
        <f t="shared" si="1"/>
        <v>755</v>
      </c>
      <c r="J42" t="s">
        <v>22</v>
      </c>
      <c r="K42" t="s">
        <v>22</v>
      </c>
      <c r="L42" t="s">
        <v>98</v>
      </c>
    </row>
    <row r="43" spans="2:12" x14ac:dyDescent="0.25">
      <c r="B43" t="s">
        <v>18</v>
      </c>
      <c r="C43" t="s">
        <v>156</v>
      </c>
      <c r="D43" t="s">
        <v>157</v>
      </c>
      <c r="E43" t="s">
        <v>158</v>
      </c>
      <c r="F43" s="1" t="s">
        <v>53</v>
      </c>
      <c r="G43">
        <v>0</v>
      </c>
      <c r="H43">
        <v>20</v>
      </c>
      <c r="I43">
        <f t="shared" si="1"/>
        <v>-20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159</v>
      </c>
      <c r="D44" t="s">
        <v>160</v>
      </c>
      <c r="E44" t="s">
        <v>161</v>
      </c>
      <c r="F44" s="1" t="s">
        <v>49</v>
      </c>
      <c r="G44">
        <v>0</v>
      </c>
      <c r="H44">
        <v>30</v>
      </c>
      <c r="I44">
        <f t="shared" si="1"/>
        <v>-30</v>
      </c>
      <c r="K44" t="s">
        <v>22</v>
      </c>
      <c r="L44" t="s">
        <v>98</v>
      </c>
    </row>
    <row r="45" spans="2:12" x14ac:dyDescent="0.25">
      <c r="B45" t="s">
        <v>18</v>
      </c>
      <c r="C45" t="s">
        <v>162</v>
      </c>
      <c r="D45" t="s">
        <v>163</v>
      </c>
      <c r="E45" t="s">
        <v>164</v>
      </c>
      <c r="F45" s="1" t="s">
        <v>93</v>
      </c>
      <c r="G45">
        <v>670</v>
      </c>
      <c r="H45">
        <v>20</v>
      </c>
      <c r="I45">
        <f t="shared" si="1"/>
        <v>650</v>
      </c>
      <c r="J45" t="s">
        <v>27</v>
      </c>
      <c r="K45" t="s">
        <v>22</v>
      </c>
      <c r="L45" t="s">
        <v>98</v>
      </c>
    </row>
    <row r="46" spans="2:12" x14ac:dyDescent="0.25">
      <c r="B46" t="s">
        <v>18</v>
      </c>
      <c r="C46" t="s">
        <v>165</v>
      </c>
      <c r="D46" t="s">
        <v>166</v>
      </c>
      <c r="E46" t="s">
        <v>167</v>
      </c>
      <c r="F46" s="1">
        <v>8</v>
      </c>
      <c r="G46">
        <v>670</v>
      </c>
      <c r="H46">
        <v>25</v>
      </c>
      <c r="I46">
        <f t="shared" si="1"/>
        <v>645</v>
      </c>
      <c r="K46" t="s">
        <v>22</v>
      </c>
      <c r="L46" t="s">
        <v>98</v>
      </c>
    </row>
    <row r="47" spans="2:12" x14ac:dyDescent="0.25">
      <c r="B47" t="s">
        <v>18</v>
      </c>
      <c r="C47" t="s">
        <v>168</v>
      </c>
      <c r="D47" t="s">
        <v>169</v>
      </c>
      <c r="E47" t="s">
        <v>170</v>
      </c>
      <c r="F47" s="1" t="s">
        <v>35</v>
      </c>
      <c r="G47">
        <v>670</v>
      </c>
      <c r="H47">
        <v>30</v>
      </c>
      <c r="I47">
        <f t="shared" si="1"/>
        <v>640</v>
      </c>
      <c r="J47" t="s">
        <v>22</v>
      </c>
      <c r="K47" t="s">
        <v>22</v>
      </c>
      <c r="L47" t="s">
        <v>98</v>
      </c>
    </row>
    <row r="48" spans="2:12" x14ac:dyDescent="0.25">
      <c r="B48" t="s">
        <v>18</v>
      </c>
      <c r="C48" t="s">
        <v>171</v>
      </c>
      <c r="D48" t="s">
        <v>172</v>
      </c>
      <c r="E48" t="s">
        <v>173</v>
      </c>
      <c r="F48" s="1" t="s">
        <v>49</v>
      </c>
      <c r="G48">
        <v>1200</v>
      </c>
      <c r="H48">
        <v>30</v>
      </c>
      <c r="I48">
        <f t="shared" si="1"/>
        <v>1170</v>
      </c>
      <c r="K48" t="s">
        <v>22</v>
      </c>
      <c r="L48" t="s">
        <v>98</v>
      </c>
    </row>
    <row r="49" spans="2:12" x14ac:dyDescent="0.25">
      <c r="B49" t="s">
        <v>18</v>
      </c>
      <c r="C49" t="s">
        <v>174</v>
      </c>
      <c r="D49" t="s">
        <v>175</v>
      </c>
      <c r="E49" t="s">
        <v>176</v>
      </c>
      <c r="F49" s="1">
        <v>2</v>
      </c>
      <c r="G49">
        <v>0</v>
      </c>
      <c r="H49">
        <v>30</v>
      </c>
      <c r="I49">
        <f t="shared" si="1"/>
        <v>-30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177</v>
      </c>
      <c r="D50" t="s">
        <v>178</v>
      </c>
      <c r="E50" t="s">
        <v>179</v>
      </c>
      <c r="F50" s="1" t="s">
        <v>118</v>
      </c>
      <c r="G50">
        <v>660</v>
      </c>
      <c r="H50">
        <v>25</v>
      </c>
      <c r="I50">
        <f t="shared" si="1"/>
        <v>635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180</v>
      </c>
      <c r="D51" t="s">
        <v>181</v>
      </c>
      <c r="E51" t="s">
        <v>182</v>
      </c>
      <c r="F51" s="1" t="s">
        <v>63</v>
      </c>
      <c r="G51">
        <v>670</v>
      </c>
      <c r="H51">
        <v>25</v>
      </c>
      <c r="I51">
        <f t="shared" si="1"/>
        <v>645</v>
      </c>
      <c r="K51" t="s">
        <v>22</v>
      </c>
      <c r="L51" t="s">
        <v>114</v>
      </c>
    </row>
    <row r="52" spans="2:12" x14ac:dyDescent="0.25">
      <c r="B52" t="s">
        <v>18</v>
      </c>
      <c r="C52" t="s">
        <v>183</v>
      </c>
      <c r="D52" t="s">
        <v>184</v>
      </c>
      <c r="E52" t="s">
        <v>185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98</v>
      </c>
    </row>
    <row r="53" spans="2:12" x14ac:dyDescent="0.25">
      <c r="B53" t="s">
        <v>18</v>
      </c>
      <c r="C53" t="s">
        <v>186</v>
      </c>
      <c r="D53" t="s">
        <v>187</v>
      </c>
      <c r="E53" t="s">
        <v>188</v>
      </c>
      <c r="F53" s="1">
        <v>7</v>
      </c>
      <c r="G53">
        <v>780</v>
      </c>
      <c r="H53">
        <v>30</v>
      </c>
      <c r="I53">
        <f t="shared" si="1"/>
        <v>750</v>
      </c>
      <c r="K53" t="s">
        <v>22</v>
      </c>
      <c r="L53" t="s">
        <v>98</v>
      </c>
    </row>
    <row r="54" spans="2:12" x14ac:dyDescent="0.25">
      <c r="B54" t="s">
        <v>18</v>
      </c>
      <c r="C54" t="s">
        <v>189</v>
      </c>
      <c r="D54" t="s">
        <v>190</v>
      </c>
      <c r="E54" t="s">
        <v>191</v>
      </c>
      <c r="F54" s="1" t="s">
        <v>35</v>
      </c>
      <c r="G54">
        <v>700</v>
      </c>
      <c r="H54">
        <v>30</v>
      </c>
      <c r="I54">
        <f t="shared" si="1"/>
        <v>670</v>
      </c>
      <c r="J54" t="s">
        <v>22</v>
      </c>
      <c r="K54" t="s">
        <v>22</v>
      </c>
      <c r="L54" t="s">
        <v>114</v>
      </c>
    </row>
    <row r="55" spans="2:12" x14ac:dyDescent="0.25">
      <c r="B55" t="s">
        <v>18</v>
      </c>
      <c r="C55" t="s">
        <v>192</v>
      </c>
      <c r="D55" t="s">
        <v>193</v>
      </c>
      <c r="E55" t="s">
        <v>194</v>
      </c>
      <c r="F55" s="1" t="s">
        <v>97</v>
      </c>
      <c r="G55">
        <v>670</v>
      </c>
      <c r="H55">
        <v>25</v>
      </c>
      <c r="I55">
        <f t="shared" si="1"/>
        <v>645</v>
      </c>
      <c r="J55" t="s">
        <v>27</v>
      </c>
      <c r="K55" t="s">
        <v>22</v>
      </c>
      <c r="L55" t="s">
        <v>98</v>
      </c>
    </row>
    <row r="56" spans="2:12" x14ac:dyDescent="0.25">
      <c r="B56" t="s">
        <v>18</v>
      </c>
      <c r="C56" t="s">
        <v>195</v>
      </c>
      <c r="D56" t="s">
        <v>196</v>
      </c>
      <c r="E56" t="s">
        <v>197</v>
      </c>
      <c r="F56" s="1" t="s">
        <v>118</v>
      </c>
      <c r="G56">
        <v>670</v>
      </c>
      <c r="H56">
        <v>25</v>
      </c>
      <c r="I56">
        <f t="shared" si="1"/>
        <v>645</v>
      </c>
      <c r="J56" t="s">
        <v>22</v>
      </c>
      <c r="K56" t="s">
        <v>22</v>
      </c>
      <c r="L56" t="s">
        <v>98</v>
      </c>
    </row>
    <row r="57" spans="2:12" x14ac:dyDescent="0.25">
      <c r="B57" t="s">
        <v>18</v>
      </c>
      <c r="C57" t="s">
        <v>198</v>
      </c>
      <c r="D57" t="s">
        <v>199</v>
      </c>
      <c r="E57" t="s">
        <v>200</v>
      </c>
      <c r="F57" s="1">
        <v>8</v>
      </c>
      <c r="G57">
        <v>670</v>
      </c>
      <c r="H57">
        <v>25</v>
      </c>
      <c r="I57">
        <f t="shared" si="1"/>
        <v>645</v>
      </c>
      <c r="K57" t="s">
        <v>22</v>
      </c>
      <c r="L57" t="s">
        <v>98</v>
      </c>
    </row>
    <row r="58" spans="2:12" x14ac:dyDescent="0.25">
      <c r="B58" t="s">
        <v>18</v>
      </c>
      <c r="C58" t="s">
        <v>201</v>
      </c>
      <c r="D58" t="s">
        <v>202</v>
      </c>
      <c r="E58" t="s">
        <v>203</v>
      </c>
      <c r="F58" s="1">
        <v>12</v>
      </c>
      <c r="G58">
        <v>0</v>
      </c>
      <c r="H58">
        <v>30</v>
      </c>
      <c r="I58">
        <f t="shared" si="1"/>
        <v>-30</v>
      </c>
      <c r="K58" t="s">
        <v>22</v>
      </c>
      <c r="L58" t="s">
        <v>98</v>
      </c>
    </row>
    <row r="59" spans="2:12" x14ac:dyDescent="0.25">
      <c r="B59" t="s">
        <v>18</v>
      </c>
      <c r="C59" t="s">
        <v>204</v>
      </c>
      <c r="D59" t="s">
        <v>205</v>
      </c>
      <c r="E59" t="s">
        <v>206</v>
      </c>
      <c r="F59" s="1" t="s">
        <v>49</v>
      </c>
      <c r="G59">
        <v>840</v>
      </c>
      <c r="H59">
        <v>30</v>
      </c>
      <c r="I59">
        <f t="shared" si="1"/>
        <v>810</v>
      </c>
      <c r="K59" t="s">
        <v>22</v>
      </c>
      <c r="L59" t="s">
        <v>98</v>
      </c>
    </row>
    <row r="60" spans="2:12" x14ac:dyDescent="0.25">
      <c r="B60" t="s">
        <v>18</v>
      </c>
      <c r="C60" t="s">
        <v>207</v>
      </c>
      <c r="D60" t="s">
        <v>208</v>
      </c>
      <c r="E60" t="s">
        <v>209</v>
      </c>
      <c r="F60" s="1">
        <v>6</v>
      </c>
      <c r="G60">
        <v>670</v>
      </c>
      <c r="H60">
        <v>25</v>
      </c>
      <c r="I60">
        <f t="shared" si="1"/>
        <v>645</v>
      </c>
      <c r="K60" t="s">
        <v>22</v>
      </c>
      <c r="L60" t="s">
        <v>210</v>
      </c>
    </row>
    <row r="61" spans="2:12" x14ac:dyDescent="0.25">
      <c r="B61" t="s">
        <v>18</v>
      </c>
      <c r="C61" t="s">
        <v>211</v>
      </c>
      <c r="D61" t="s">
        <v>212</v>
      </c>
      <c r="E61" t="s">
        <v>213</v>
      </c>
      <c r="F61" s="1" t="s">
        <v>118</v>
      </c>
      <c r="G61">
        <v>0</v>
      </c>
      <c r="H61">
        <v>25</v>
      </c>
      <c r="I61">
        <f t="shared" si="1"/>
        <v>-25</v>
      </c>
      <c r="J61" t="s">
        <v>22</v>
      </c>
      <c r="K61" t="s">
        <v>22</v>
      </c>
      <c r="L61" t="s">
        <v>210</v>
      </c>
    </row>
    <row r="62" spans="2:12" x14ac:dyDescent="0.25">
      <c r="B62" t="s">
        <v>18</v>
      </c>
      <c r="C62" t="s">
        <v>214</v>
      </c>
      <c r="D62" t="s">
        <v>215</v>
      </c>
      <c r="E62" t="s">
        <v>216</v>
      </c>
      <c r="F62" s="1" t="s">
        <v>35</v>
      </c>
      <c r="G62">
        <v>980</v>
      </c>
      <c r="H62">
        <v>30</v>
      </c>
      <c r="I62">
        <f t="shared" si="1"/>
        <v>950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217</v>
      </c>
      <c r="D63" t="s">
        <v>218</v>
      </c>
      <c r="E63" t="s">
        <v>219</v>
      </c>
      <c r="F63" s="1">
        <v>2</v>
      </c>
      <c r="G63">
        <v>1160</v>
      </c>
      <c r="H63">
        <v>30</v>
      </c>
      <c r="I63">
        <f t="shared" si="1"/>
        <v>1130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220</v>
      </c>
      <c r="D64" t="s">
        <v>221</v>
      </c>
      <c r="E64" t="s">
        <v>222</v>
      </c>
      <c r="F64" s="1" t="s">
        <v>49</v>
      </c>
      <c r="G64">
        <v>0</v>
      </c>
      <c r="H64">
        <v>30</v>
      </c>
      <c r="I64">
        <f t="shared" si="1"/>
        <v>-30</v>
      </c>
      <c r="K64" t="s">
        <v>22</v>
      </c>
      <c r="L64" t="s">
        <v>210</v>
      </c>
    </row>
    <row r="65" spans="1:12" x14ac:dyDescent="0.25">
      <c r="B65" t="s">
        <v>18</v>
      </c>
      <c r="C65" t="s">
        <v>223</v>
      </c>
      <c r="D65" t="s">
        <v>224</v>
      </c>
      <c r="E65" t="s">
        <v>225</v>
      </c>
      <c r="F65" s="1">
        <v>2</v>
      </c>
      <c r="G65">
        <v>840</v>
      </c>
      <c r="H65">
        <v>30</v>
      </c>
      <c r="I65">
        <f t="shared" si="1"/>
        <v>810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226</v>
      </c>
      <c r="D66" t="s">
        <v>227</v>
      </c>
      <c r="E66" t="s">
        <v>228</v>
      </c>
      <c r="F66" s="1" t="s">
        <v>39</v>
      </c>
      <c r="G66">
        <v>790</v>
      </c>
      <c r="H66">
        <v>35</v>
      </c>
      <c r="I66">
        <f t="shared" si="1"/>
        <v>755</v>
      </c>
      <c r="K66" t="s">
        <v>22</v>
      </c>
      <c r="L66" t="s">
        <v>210</v>
      </c>
    </row>
    <row r="67" spans="1:12" x14ac:dyDescent="0.25">
      <c r="B67" t="s">
        <v>18</v>
      </c>
      <c r="C67" t="s">
        <v>229</v>
      </c>
      <c r="D67" t="s">
        <v>230</v>
      </c>
      <c r="E67" t="s">
        <v>231</v>
      </c>
      <c r="F67" s="1" t="s">
        <v>63</v>
      </c>
      <c r="G67">
        <v>690</v>
      </c>
      <c r="H67">
        <v>25</v>
      </c>
      <c r="I67">
        <f t="shared" ref="I67:I76" si="2">G67-H67</f>
        <v>665</v>
      </c>
      <c r="K67" t="s">
        <v>22</v>
      </c>
      <c r="L67" t="s">
        <v>210</v>
      </c>
    </row>
    <row r="68" spans="1:12" x14ac:dyDescent="0.25">
      <c r="B68" t="s">
        <v>18</v>
      </c>
      <c r="C68" t="s">
        <v>232</v>
      </c>
      <c r="D68" t="s">
        <v>233</v>
      </c>
      <c r="E68" t="s">
        <v>234</v>
      </c>
      <c r="F68" s="1">
        <v>10</v>
      </c>
      <c r="G68">
        <v>890</v>
      </c>
      <c r="H68">
        <v>25</v>
      </c>
      <c r="I68">
        <f t="shared" si="2"/>
        <v>865</v>
      </c>
      <c r="J68" t="s">
        <v>27</v>
      </c>
      <c r="K68" t="s">
        <v>22</v>
      </c>
      <c r="L68" t="s">
        <v>210</v>
      </c>
    </row>
    <row r="69" spans="1:12" x14ac:dyDescent="0.25">
      <c r="B69" t="s">
        <v>18</v>
      </c>
      <c r="C69" t="s">
        <v>235</v>
      </c>
      <c r="D69" t="s">
        <v>236</v>
      </c>
      <c r="E69" t="s">
        <v>237</v>
      </c>
      <c r="F69" s="1">
        <v>2</v>
      </c>
      <c r="G69">
        <v>520</v>
      </c>
      <c r="H69">
        <v>30</v>
      </c>
      <c r="I69">
        <f t="shared" si="2"/>
        <v>490</v>
      </c>
      <c r="J69" t="s">
        <v>22</v>
      </c>
      <c r="K69" t="s">
        <v>22</v>
      </c>
      <c r="L69" t="s">
        <v>210</v>
      </c>
    </row>
    <row r="70" spans="1:12" x14ac:dyDescent="0.25">
      <c r="B70" t="s">
        <v>18</v>
      </c>
      <c r="C70" t="s">
        <v>238</v>
      </c>
      <c r="D70" t="s">
        <v>239</v>
      </c>
      <c r="E70" t="s">
        <v>240</v>
      </c>
      <c r="F70" s="1">
        <v>9</v>
      </c>
      <c r="G70">
        <v>860</v>
      </c>
      <c r="H70">
        <v>30</v>
      </c>
      <c r="I70">
        <f t="shared" si="2"/>
        <v>830</v>
      </c>
      <c r="J70" t="s">
        <v>241</v>
      </c>
      <c r="K70" t="s">
        <v>22</v>
      </c>
      <c r="L70" t="s">
        <v>210</v>
      </c>
    </row>
    <row r="71" spans="1:12" x14ac:dyDescent="0.25">
      <c r="B71" t="s">
        <v>18</v>
      </c>
      <c r="C71" t="s">
        <v>242</v>
      </c>
      <c r="D71" t="s">
        <v>243</v>
      </c>
      <c r="E71" t="s">
        <v>244</v>
      </c>
      <c r="F71" s="1">
        <v>2</v>
      </c>
      <c r="G71">
        <v>890</v>
      </c>
      <c r="H71">
        <v>30</v>
      </c>
      <c r="I71">
        <f t="shared" si="2"/>
        <v>860</v>
      </c>
      <c r="J71" t="s">
        <v>22</v>
      </c>
      <c r="K71" t="s">
        <v>22</v>
      </c>
      <c r="L71" t="s">
        <v>245</v>
      </c>
    </row>
    <row r="72" spans="1:12" x14ac:dyDescent="0.25">
      <c r="B72" t="s">
        <v>18</v>
      </c>
      <c r="C72" t="s">
        <v>246</v>
      </c>
      <c r="D72" t="s">
        <v>247</v>
      </c>
      <c r="E72" t="s">
        <v>248</v>
      </c>
      <c r="F72" s="1">
        <v>11</v>
      </c>
      <c r="G72">
        <v>670</v>
      </c>
      <c r="H72">
        <v>25</v>
      </c>
      <c r="I72">
        <f t="shared" si="2"/>
        <v>645</v>
      </c>
      <c r="K72" t="s">
        <v>22</v>
      </c>
      <c r="L72" t="s">
        <v>210</v>
      </c>
    </row>
    <row r="73" spans="1:12" x14ac:dyDescent="0.25">
      <c r="B73" t="s">
        <v>18</v>
      </c>
      <c r="C73" t="s">
        <v>249</v>
      </c>
      <c r="D73" t="s">
        <v>250</v>
      </c>
      <c r="E73" t="s">
        <v>251</v>
      </c>
      <c r="F73" s="1" t="s">
        <v>118</v>
      </c>
      <c r="G73">
        <v>790</v>
      </c>
      <c r="H73">
        <v>25</v>
      </c>
      <c r="I73">
        <f t="shared" si="2"/>
        <v>765</v>
      </c>
      <c r="J73" t="s">
        <v>22</v>
      </c>
      <c r="K73" t="s">
        <v>22</v>
      </c>
      <c r="L73" t="s">
        <v>210</v>
      </c>
    </row>
    <row r="74" spans="1:12" x14ac:dyDescent="0.25">
      <c r="B74" t="s">
        <v>18</v>
      </c>
      <c r="C74" t="s">
        <v>252</v>
      </c>
      <c r="D74" t="s">
        <v>253</v>
      </c>
      <c r="E74" t="s">
        <v>254</v>
      </c>
      <c r="F74" s="1" t="s">
        <v>97</v>
      </c>
      <c r="G74">
        <v>670</v>
      </c>
      <c r="H74">
        <v>25</v>
      </c>
      <c r="I74">
        <f t="shared" si="2"/>
        <v>645</v>
      </c>
      <c r="J74" t="s">
        <v>27</v>
      </c>
      <c r="K74" t="s">
        <v>22</v>
      </c>
      <c r="L74" t="s">
        <v>210</v>
      </c>
    </row>
    <row r="75" spans="1:12" x14ac:dyDescent="0.25">
      <c r="A75" t="s">
        <v>255</v>
      </c>
      <c r="B75" t="s">
        <v>18</v>
      </c>
      <c r="C75" t="s">
        <v>256</v>
      </c>
      <c r="E75" t="s">
        <v>257</v>
      </c>
      <c r="F75" s="1">
        <v>6</v>
      </c>
      <c r="G75">
        <v>0</v>
      </c>
      <c r="H75">
        <v>25</v>
      </c>
      <c r="I75">
        <f t="shared" si="2"/>
        <v>-25</v>
      </c>
      <c r="K75" t="s">
        <v>22</v>
      </c>
      <c r="L75" t="s">
        <v>245</v>
      </c>
    </row>
    <row r="76" spans="1:12" x14ac:dyDescent="0.25">
      <c r="A76" t="s">
        <v>255</v>
      </c>
      <c r="B76" t="s">
        <v>18</v>
      </c>
      <c r="C76" t="s">
        <v>258</v>
      </c>
      <c r="E76" t="s">
        <v>259</v>
      </c>
      <c r="F76" s="1" t="s">
        <v>118</v>
      </c>
      <c r="G76">
        <v>0</v>
      </c>
      <c r="H76">
        <v>25</v>
      </c>
      <c r="I76">
        <f t="shared" si="2"/>
        <v>-25</v>
      </c>
      <c r="J76" t="s">
        <v>22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260</v>
      </c>
      <c r="E77" t="s">
        <v>261</v>
      </c>
      <c r="F77" t="s">
        <v>97</v>
      </c>
      <c r="G77">
        <v>0</v>
      </c>
      <c r="H77">
        <v>25</v>
      </c>
      <c r="I77">
        <v>-25</v>
      </c>
      <c r="J77" t="s">
        <v>27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262</v>
      </c>
      <c r="E78" t="s">
        <v>263</v>
      </c>
      <c r="F78">
        <v>6</v>
      </c>
      <c r="G78">
        <v>2020</v>
      </c>
      <c r="H78">
        <v>25</v>
      </c>
      <c r="I78">
        <v>1995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6">
    <sortCondition ref="D2:D76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2" zoomScale="80" zoomScaleNormal="80" workbookViewId="0">
      <selection activeCell="E29" sqref="E2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38" si="0">G3-H3</f>
        <v>0</v>
      </c>
      <c r="L3" s="8"/>
    </row>
    <row r="4" spans="1:17" s="5" customFormat="1" x14ac:dyDescent="0.25">
      <c r="B4" s="5" t="s">
        <v>18</v>
      </c>
      <c r="C4" s="5" t="s">
        <v>265</v>
      </c>
      <c r="D4" s="5" t="s">
        <v>266</v>
      </c>
      <c r="E4" s="5" t="s">
        <v>267</v>
      </c>
      <c r="F4" s="7">
        <v>12</v>
      </c>
      <c r="G4" s="5">
        <v>0</v>
      </c>
      <c r="H4" s="5">
        <v>30</v>
      </c>
      <c r="I4" s="5">
        <f t="shared" si="0"/>
        <v>-30</v>
      </c>
      <c r="J4" s="5" t="s">
        <v>268</v>
      </c>
      <c r="K4" s="5" t="s">
        <v>22</v>
      </c>
      <c r="L4" s="8" t="s">
        <v>269</v>
      </c>
      <c r="Q4" s="5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6" customFormat="1" x14ac:dyDescent="0.25">
      <c r="A10" s="5"/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M10" s="5"/>
      <c r="N10" s="5"/>
      <c r="O10" s="5"/>
      <c r="P10" s="5"/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5" customFormat="1" x14ac:dyDescent="0.25"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9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5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>-H39</f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ref="I40:I58" si="1">G40-H40</f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 t="shared" si="1"/>
        <v>740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si="1"/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10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5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9" customFormat="1" x14ac:dyDescent="0.25">
      <c r="B54" s="9" t="s">
        <v>18</v>
      </c>
      <c r="C54" s="9" t="s">
        <v>413</v>
      </c>
      <c r="D54" s="9" t="s">
        <v>414</v>
      </c>
      <c r="E54" s="9" t="s">
        <v>415</v>
      </c>
      <c r="F54" s="26" t="s">
        <v>118</v>
      </c>
      <c r="G54" s="9">
        <v>1555</v>
      </c>
      <c r="H54" s="9">
        <v>25</v>
      </c>
      <c r="I54" s="9">
        <f t="shared" si="1"/>
        <v>1530</v>
      </c>
      <c r="J54" s="9" t="s">
        <v>22</v>
      </c>
      <c r="K54" s="9" t="s">
        <v>22</v>
      </c>
      <c r="L54" s="27" t="s">
        <v>269</v>
      </c>
      <c r="Q54" s="9">
        <v>1</v>
      </c>
    </row>
    <row r="55" spans="1:17" s="6" customFormat="1" x14ac:dyDescent="0.25">
      <c r="B55" s="6" t="s">
        <v>18</v>
      </c>
      <c r="C55" s="6" t="s">
        <v>416</v>
      </c>
      <c r="D55" s="6" t="s">
        <v>417</v>
      </c>
      <c r="E55" s="6" t="s">
        <v>418</v>
      </c>
      <c r="F55" s="11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17" t="s">
        <v>269</v>
      </c>
      <c r="Q55" s="6">
        <v>1</v>
      </c>
    </row>
    <row r="56" spans="1:17" s="5" customFormat="1" x14ac:dyDescent="0.25">
      <c r="B56" s="5" t="s">
        <v>18</v>
      </c>
      <c r="C56" s="5" t="s">
        <v>419</v>
      </c>
      <c r="D56" s="5" t="s">
        <v>420</v>
      </c>
      <c r="E56" s="5" t="s">
        <v>421</v>
      </c>
      <c r="F56" s="7">
        <v>6</v>
      </c>
      <c r="G56" s="5">
        <v>605</v>
      </c>
      <c r="H56" s="5">
        <v>25</v>
      </c>
      <c r="I56" s="5">
        <f t="shared" si="1"/>
        <v>580</v>
      </c>
      <c r="J56" s="5" t="s">
        <v>268</v>
      </c>
      <c r="K56" s="5" t="s">
        <v>22</v>
      </c>
      <c r="L56" s="8" t="s">
        <v>269</v>
      </c>
      <c r="Q56" s="5">
        <v>1</v>
      </c>
    </row>
    <row r="57" spans="1:17" s="5" customFormat="1" ht="14.25" customHeight="1" x14ac:dyDescent="0.25">
      <c r="B57" s="5" t="s">
        <v>18</v>
      </c>
      <c r="C57" s="5" t="s">
        <v>422</v>
      </c>
      <c r="D57" s="5" t="s">
        <v>423</v>
      </c>
      <c r="E57" s="5" t="s">
        <v>424</v>
      </c>
      <c r="F57" s="7">
        <v>2</v>
      </c>
      <c r="G57" s="5">
        <v>870</v>
      </c>
      <c r="H57" s="5">
        <v>30</v>
      </c>
      <c r="I57" s="5">
        <f t="shared" si="1"/>
        <v>840</v>
      </c>
      <c r="J57" s="5" t="s">
        <v>425</v>
      </c>
      <c r="K57" s="5" t="s">
        <v>22</v>
      </c>
      <c r="L57" s="8" t="s">
        <v>269</v>
      </c>
      <c r="M57" s="5" t="s">
        <v>426</v>
      </c>
      <c r="N57" s="5" t="s">
        <v>275</v>
      </c>
      <c r="P57" s="5" t="s">
        <v>427</v>
      </c>
      <c r="Q57" s="5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>-H59</f>
        <v>-25</v>
      </c>
      <c r="J59" s="5" t="s">
        <v>268</v>
      </c>
      <c r="K59" s="5" t="s">
        <v>22</v>
      </c>
      <c r="L59" s="8" t="s">
        <v>269</v>
      </c>
      <c r="M59" s="13"/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>G60-H60</f>
        <v>-30</v>
      </c>
      <c r="J60" s="5" t="s">
        <v>268</v>
      </c>
      <c r="K60" s="5" t="s">
        <v>22</v>
      </c>
      <c r="L60" s="8" t="s">
        <v>269</v>
      </c>
      <c r="M60" s="13"/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H61</f>
        <v>35</v>
      </c>
      <c r="J61" s="5" t="s">
        <v>27</v>
      </c>
      <c r="K61" s="5" t="s">
        <v>22</v>
      </c>
      <c r="L61" s="8" t="s">
        <v>269</v>
      </c>
      <c r="M61" s="13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3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-H63</f>
        <v>-30</v>
      </c>
      <c r="J63" s="5" t="s">
        <v>22</v>
      </c>
      <c r="K63" s="5" t="s">
        <v>22</v>
      </c>
      <c r="L63" s="8" t="s">
        <v>269</v>
      </c>
      <c r="M63" s="13" t="s">
        <v>443</v>
      </c>
      <c r="Q63" s="5">
        <v>1</v>
      </c>
    </row>
    <row r="64" spans="1:17" x14ac:dyDescent="0.25">
      <c r="A64" s="5" t="s">
        <v>255</v>
      </c>
      <c r="B64" s="5" t="s">
        <v>18</v>
      </c>
      <c r="C64" s="5" t="s">
        <v>260</v>
      </c>
      <c r="D64" s="5"/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3" t="s">
        <v>443</v>
      </c>
      <c r="N64" s="5"/>
      <c r="O64" s="5"/>
      <c r="P64" s="5"/>
      <c r="Q64" s="5">
        <v>1</v>
      </c>
    </row>
    <row r="65" spans="1:17" x14ac:dyDescent="0.25">
      <c r="A65" t="s">
        <v>255</v>
      </c>
      <c r="B65" t="s">
        <v>18</v>
      </c>
      <c r="C65" t="s">
        <v>444</v>
      </c>
      <c r="E65" t="s">
        <v>445</v>
      </c>
      <c r="F65" t="s">
        <v>35</v>
      </c>
      <c r="G65">
        <v>35</v>
      </c>
      <c r="H65">
        <v>35</v>
      </c>
      <c r="I65">
        <v>0</v>
      </c>
      <c r="J65" t="s">
        <v>22</v>
      </c>
      <c r="K65" t="s">
        <v>22</v>
      </c>
      <c r="L65" t="s">
        <v>269</v>
      </c>
      <c r="M65" s="13" t="s">
        <v>443</v>
      </c>
      <c r="Q65">
        <v>1</v>
      </c>
    </row>
    <row r="66" spans="1:17" x14ac:dyDescent="0.25">
      <c r="A66" t="s">
        <v>255</v>
      </c>
      <c r="B66" t="s">
        <v>18</v>
      </c>
      <c r="C66" t="s">
        <v>256</v>
      </c>
      <c r="E66" t="s">
        <v>446</v>
      </c>
      <c r="F66">
        <v>6</v>
      </c>
      <c r="G66">
        <v>0</v>
      </c>
      <c r="H66">
        <v>30</v>
      </c>
      <c r="I66">
        <v>-30</v>
      </c>
      <c r="J66" t="s">
        <v>268</v>
      </c>
      <c r="K66" t="s">
        <v>22</v>
      </c>
      <c r="L66" t="s">
        <v>269</v>
      </c>
      <c r="M66" t="s">
        <v>442</v>
      </c>
      <c r="Q66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t="s">
        <v>443</v>
      </c>
      <c r="Q67">
        <v>1</v>
      </c>
    </row>
  </sheetData>
  <autoFilter ref="A2:Q64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opLeftCell="A10" workbookViewId="0">
      <selection activeCell="A29" sqref="A29:XFD30"/>
    </sheetView>
  </sheetViews>
  <sheetFormatPr defaultColWidth="9" defaultRowHeight="15" x14ac:dyDescent="0.25"/>
  <cols>
    <col min="1" max="1" width="9" style="13" customWidth="1"/>
    <col min="2" max="2" width="17.42578125" style="13" bestFit="1" customWidth="1"/>
    <col min="3" max="3" width="38.28515625" style="13" bestFit="1" customWidth="1"/>
    <col min="4" max="4" width="9.42578125" style="13" bestFit="1" customWidth="1"/>
    <col min="5" max="5" width="59.140625" style="13" bestFit="1" customWidth="1"/>
    <col min="6" max="11" width="9" style="13" customWidth="1"/>
    <col min="12" max="12" width="12.140625" style="13" bestFit="1" customWidth="1"/>
    <col min="13" max="13" width="9" style="13" customWidth="1"/>
    <col min="14" max="16384" width="9" style="13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451</v>
      </c>
      <c r="R2" s="25" t="s">
        <v>452</v>
      </c>
      <c r="S2" s="25" t="s">
        <v>453</v>
      </c>
    </row>
    <row r="3" spans="1:19" x14ac:dyDescent="0.25">
      <c r="A3" s="5"/>
      <c r="B3" s="5" t="s">
        <v>18</v>
      </c>
      <c r="C3" s="5" t="s">
        <v>454</v>
      </c>
      <c r="D3" s="5" t="s">
        <v>455</v>
      </c>
      <c r="E3" s="5" t="s">
        <v>456</v>
      </c>
      <c r="F3" s="14">
        <v>4</v>
      </c>
      <c r="G3" s="5">
        <v>895</v>
      </c>
      <c r="H3" s="5">
        <v>25</v>
      </c>
      <c r="I3" s="5">
        <f t="shared" ref="I3:I35" si="0">G3-H3</f>
        <v>870</v>
      </c>
      <c r="J3" s="5" t="s">
        <v>27</v>
      </c>
      <c r="K3" s="5" t="s">
        <v>22</v>
      </c>
      <c r="L3" s="5" t="s">
        <v>457</v>
      </c>
      <c r="M3" s="5"/>
      <c r="N3" s="5"/>
      <c r="O3" s="5"/>
      <c r="P3" s="5"/>
      <c r="Q3" s="5">
        <v>1</v>
      </c>
    </row>
    <row r="4" spans="1:19" x14ac:dyDescent="0.25">
      <c r="A4" s="23"/>
      <c r="B4" s="23" t="s">
        <v>18</v>
      </c>
      <c r="C4" s="23" t="s">
        <v>458</v>
      </c>
      <c r="D4" s="23" t="s">
        <v>459</v>
      </c>
      <c r="E4" s="23" t="s">
        <v>460</v>
      </c>
      <c r="F4" s="24">
        <v>8</v>
      </c>
      <c r="G4" s="23">
        <v>745</v>
      </c>
      <c r="H4" s="23">
        <v>25</v>
      </c>
      <c r="I4" s="23">
        <f t="shared" si="0"/>
        <v>720</v>
      </c>
      <c r="J4" s="23" t="s">
        <v>461</v>
      </c>
      <c r="K4" s="23" t="s">
        <v>22</v>
      </c>
      <c r="L4" s="23" t="s">
        <v>457</v>
      </c>
      <c r="M4" s="23"/>
      <c r="N4" s="23"/>
      <c r="O4" s="23"/>
      <c r="P4" s="23"/>
      <c r="Q4" s="23">
        <v>1</v>
      </c>
    </row>
    <row r="5" spans="1:19" x14ac:dyDescent="0.25">
      <c r="A5" s="15"/>
      <c r="B5" s="15" t="s">
        <v>18</v>
      </c>
      <c r="C5" s="15" t="s">
        <v>462</v>
      </c>
      <c r="D5" s="15" t="s">
        <v>463</v>
      </c>
      <c r="E5" s="15" t="s">
        <v>464</v>
      </c>
      <c r="F5" s="16">
        <v>2</v>
      </c>
      <c r="G5" s="15">
        <v>0</v>
      </c>
      <c r="H5" s="15">
        <v>30</v>
      </c>
      <c r="I5" s="15">
        <f t="shared" si="0"/>
        <v>-30</v>
      </c>
      <c r="J5" s="15" t="s">
        <v>22</v>
      </c>
      <c r="K5" s="15" t="s">
        <v>22</v>
      </c>
      <c r="L5" s="15" t="s">
        <v>457</v>
      </c>
      <c r="M5" s="15"/>
      <c r="N5" s="15"/>
      <c r="O5" s="15"/>
      <c r="P5" s="15"/>
      <c r="Q5" s="15">
        <v>1</v>
      </c>
    </row>
    <row r="6" spans="1:19" x14ac:dyDescent="0.25">
      <c r="A6" s="15"/>
      <c r="B6" s="15" t="s">
        <v>18</v>
      </c>
      <c r="C6" s="15" t="s">
        <v>293</v>
      </c>
      <c r="D6" s="15" t="s">
        <v>465</v>
      </c>
      <c r="E6" s="15" t="s">
        <v>466</v>
      </c>
      <c r="F6" s="16">
        <v>7</v>
      </c>
      <c r="G6" s="15">
        <v>850</v>
      </c>
      <c r="H6" s="15">
        <v>30</v>
      </c>
      <c r="I6" s="15">
        <f t="shared" si="0"/>
        <v>820</v>
      </c>
      <c r="J6" s="15" t="s">
        <v>461</v>
      </c>
      <c r="K6" s="15" t="s">
        <v>22</v>
      </c>
      <c r="L6" s="15" t="s">
        <v>457</v>
      </c>
      <c r="M6" s="15"/>
      <c r="N6" s="15"/>
      <c r="O6" s="15"/>
      <c r="P6" s="15"/>
      <c r="Q6" s="15">
        <v>1</v>
      </c>
    </row>
    <row r="7" spans="1:19" x14ac:dyDescent="0.25">
      <c r="A7" s="18"/>
      <c r="B7" s="18" t="s">
        <v>18</v>
      </c>
      <c r="C7" s="18" t="s">
        <v>467</v>
      </c>
      <c r="D7" s="18" t="s">
        <v>468</v>
      </c>
      <c r="E7" s="18" t="s">
        <v>469</v>
      </c>
      <c r="F7" s="19">
        <v>1</v>
      </c>
      <c r="G7" s="18">
        <v>815</v>
      </c>
      <c r="H7" s="18">
        <v>25</v>
      </c>
      <c r="I7" s="18">
        <f t="shared" si="0"/>
        <v>790</v>
      </c>
      <c r="J7" s="18" t="s">
        <v>27</v>
      </c>
      <c r="K7" s="18" t="s">
        <v>22</v>
      </c>
      <c r="L7" s="18" t="s">
        <v>457</v>
      </c>
      <c r="M7" s="18"/>
      <c r="N7" s="18"/>
      <c r="O7" s="18"/>
      <c r="P7" s="18"/>
      <c r="Q7" s="18">
        <v>1</v>
      </c>
    </row>
    <row r="8" spans="1:19" x14ac:dyDescent="0.25">
      <c r="A8" s="5"/>
      <c r="B8" s="5" t="s">
        <v>18</v>
      </c>
      <c r="C8" s="5" t="s">
        <v>470</v>
      </c>
      <c r="D8" s="5" t="s">
        <v>471</v>
      </c>
      <c r="E8" s="5" t="s">
        <v>472</v>
      </c>
      <c r="F8" s="14">
        <v>5</v>
      </c>
      <c r="G8" s="5">
        <v>385</v>
      </c>
      <c r="H8" s="5">
        <v>25</v>
      </c>
      <c r="I8" s="5">
        <f t="shared" si="0"/>
        <v>360</v>
      </c>
      <c r="J8" s="5" t="s">
        <v>27</v>
      </c>
      <c r="K8" s="5" t="s">
        <v>22</v>
      </c>
      <c r="L8" s="5" t="s">
        <v>457</v>
      </c>
      <c r="M8" s="5"/>
      <c r="N8" s="5"/>
      <c r="O8" s="5"/>
      <c r="P8" s="5"/>
      <c r="Q8" s="5">
        <v>1</v>
      </c>
    </row>
    <row r="9" spans="1:19" x14ac:dyDescent="0.25">
      <c r="A9" s="15"/>
      <c r="B9" s="15" t="s">
        <v>18</v>
      </c>
      <c r="C9" s="15" t="s">
        <v>473</v>
      </c>
      <c r="D9" s="15" t="s">
        <v>474</v>
      </c>
      <c r="E9" s="15" t="s">
        <v>475</v>
      </c>
      <c r="F9" s="16">
        <v>9</v>
      </c>
      <c r="G9" s="15">
        <v>390</v>
      </c>
      <c r="H9" s="15">
        <v>30</v>
      </c>
      <c r="I9" s="15">
        <f t="shared" si="0"/>
        <v>360</v>
      </c>
      <c r="J9" s="15" t="s">
        <v>241</v>
      </c>
      <c r="K9" s="15" t="s">
        <v>22</v>
      </c>
      <c r="L9" s="15" t="s">
        <v>457</v>
      </c>
      <c r="M9" s="15"/>
      <c r="N9" s="15"/>
      <c r="O9" s="15"/>
      <c r="P9" s="15"/>
      <c r="Q9" s="15">
        <v>1</v>
      </c>
    </row>
    <row r="10" spans="1:19" x14ac:dyDescent="0.25">
      <c r="A10" s="23"/>
      <c r="B10" s="23" t="s">
        <v>18</v>
      </c>
      <c r="C10" s="23" t="s">
        <v>476</v>
      </c>
      <c r="D10" s="23" t="s">
        <v>477</v>
      </c>
      <c r="E10" s="23" t="s">
        <v>478</v>
      </c>
      <c r="F10" s="24">
        <v>2</v>
      </c>
      <c r="G10" s="23">
        <v>850</v>
      </c>
      <c r="H10" s="23">
        <v>30</v>
      </c>
      <c r="I10" s="23">
        <f t="shared" si="0"/>
        <v>820</v>
      </c>
      <c r="J10" s="23" t="s">
        <v>22</v>
      </c>
      <c r="K10" s="23" t="s">
        <v>22</v>
      </c>
      <c r="L10" s="23" t="s">
        <v>457</v>
      </c>
      <c r="M10" s="23"/>
      <c r="N10" s="23"/>
      <c r="O10" s="23"/>
      <c r="P10" s="23"/>
      <c r="Q10" s="23">
        <v>1</v>
      </c>
    </row>
    <row r="11" spans="1:19" x14ac:dyDescent="0.25">
      <c r="A11" s="5"/>
      <c r="B11" s="5" t="s">
        <v>18</v>
      </c>
      <c r="C11" s="5" t="s">
        <v>479</v>
      </c>
      <c r="D11" s="5" t="s">
        <v>480</v>
      </c>
      <c r="E11" s="5" t="s">
        <v>234</v>
      </c>
      <c r="F11" s="14">
        <v>10</v>
      </c>
      <c r="G11" s="5">
        <v>0</v>
      </c>
      <c r="H11" s="5">
        <v>25</v>
      </c>
      <c r="I11" s="5">
        <f t="shared" si="0"/>
        <v>-25</v>
      </c>
      <c r="J11" s="5" t="s">
        <v>27</v>
      </c>
      <c r="K11" s="5" t="s">
        <v>22</v>
      </c>
      <c r="L11" s="5" t="s">
        <v>457</v>
      </c>
      <c r="M11" s="5"/>
      <c r="N11" s="5"/>
      <c r="O11" s="5"/>
      <c r="P11" s="5"/>
      <c r="Q11" s="5">
        <v>1</v>
      </c>
    </row>
    <row r="12" spans="1:19" x14ac:dyDescent="0.25">
      <c r="A12" s="23"/>
      <c r="B12" s="23" t="s">
        <v>18</v>
      </c>
      <c r="C12" s="23" t="s">
        <v>481</v>
      </c>
      <c r="D12" s="23" t="s">
        <v>482</v>
      </c>
      <c r="E12" s="23" t="s">
        <v>483</v>
      </c>
      <c r="F12" s="24" t="s">
        <v>49</v>
      </c>
      <c r="G12" s="23">
        <v>0</v>
      </c>
      <c r="H12" s="23">
        <v>30</v>
      </c>
      <c r="I12" s="23">
        <f t="shared" si="0"/>
        <v>-30</v>
      </c>
      <c r="J12" s="23" t="s">
        <v>461</v>
      </c>
      <c r="K12" s="23" t="s">
        <v>22</v>
      </c>
      <c r="L12" s="23" t="s">
        <v>457</v>
      </c>
      <c r="M12" s="23"/>
      <c r="N12" s="23"/>
      <c r="O12" s="23"/>
      <c r="P12" s="23"/>
      <c r="Q12" s="23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4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15"/>
      <c r="B14" s="15" t="s">
        <v>18</v>
      </c>
      <c r="C14" s="15" t="s">
        <v>487</v>
      </c>
      <c r="D14" s="15" t="s">
        <v>488</v>
      </c>
      <c r="E14" s="15" t="s">
        <v>489</v>
      </c>
      <c r="F14" s="16" t="s">
        <v>63</v>
      </c>
      <c r="G14" s="15">
        <v>835</v>
      </c>
      <c r="H14" s="15">
        <v>25</v>
      </c>
      <c r="I14" s="15">
        <f t="shared" si="0"/>
        <v>810</v>
      </c>
      <c r="J14" s="15" t="s">
        <v>461</v>
      </c>
      <c r="K14" s="15" t="s">
        <v>22</v>
      </c>
      <c r="L14" s="15" t="s">
        <v>457</v>
      </c>
      <c r="M14" s="15"/>
      <c r="N14" s="15"/>
      <c r="O14" s="15"/>
      <c r="P14" s="15"/>
      <c r="Q14" s="15">
        <v>1</v>
      </c>
    </row>
    <row r="15" spans="1:19" x14ac:dyDescent="0.25">
      <c r="A15" s="15"/>
      <c r="B15" s="15" t="s">
        <v>18</v>
      </c>
      <c r="C15" s="15" t="s">
        <v>490</v>
      </c>
      <c r="D15" s="15" t="s">
        <v>491</v>
      </c>
      <c r="E15" s="15" t="s">
        <v>492</v>
      </c>
      <c r="F15" s="16">
        <v>2</v>
      </c>
      <c r="G15" s="15">
        <v>820</v>
      </c>
      <c r="H15" s="15">
        <v>30</v>
      </c>
      <c r="I15" s="15">
        <f t="shared" si="0"/>
        <v>790</v>
      </c>
      <c r="J15" s="15" t="s">
        <v>22</v>
      </c>
      <c r="K15" s="15" t="s">
        <v>22</v>
      </c>
      <c r="L15" s="15" t="s">
        <v>457</v>
      </c>
      <c r="M15" s="15"/>
      <c r="N15" s="15"/>
      <c r="O15" s="15"/>
      <c r="P15" s="15"/>
      <c r="Q15" s="15">
        <v>1</v>
      </c>
    </row>
    <row r="16" spans="1:19" x14ac:dyDescent="0.25">
      <c r="A16" s="5"/>
      <c r="B16" s="5" t="s">
        <v>18</v>
      </c>
      <c r="C16" s="5" t="s">
        <v>428</v>
      </c>
      <c r="D16" s="5" t="s">
        <v>493</v>
      </c>
      <c r="E16" s="5" t="s">
        <v>430</v>
      </c>
      <c r="F16" s="14">
        <v>5</v>
      </c>
      <c r="G16" s="5">
        <v>0</v>
      </c>
      <c r="H16" s="5">
        <v>25</v>
      </c>
      <c r="I16" s="5">
        <f t="shared" si="0"/>
        <v>-25</v>
      </c>
      <c r="J16" s="5" t="s">
        <v>27</v>
      </c>
      <c r="K16" s="5" t="s">
        <v>22</v>
      </c>
      <c r="L16" s="5" t="s">
        <v>457</v>
      </c>
      <c r="M16" s="5"/>
      <c r="N16" s="5"/>
      <c r="O16" s="5"/>
      <c r="P16" s="5"/>
      <c r="Q16" s="5">
        <v>1</v>
      </c>
    </row>
    <row r="17" spans="1:19" x14ac:dyDescent="0.25">
      <c r="A17" s="5"/>
      <c r="B17" s="5" t="s">
        <v>18</v>
      </c>
      <c r="C17" s="5" t="s">
        <v>494</v>
      </c>
      <c r="D17" s="5" t="s">
        <v>495</v>
      </c>
      <c r="E17" s="5" t="s">
        <v>496</v>
      </c>
      <c r="F17" s="14">
        <v>1</v>
      </c>
      <c r="G17" s="5">
        <v>0</v>
      </c>
      <c r="H17" s="5">
        <v>25</v>
      </c>
      <c r="I17" s="5">
        <f t="shared" si="0"/>
        <v>-25</v>
      </c>
      <c r="J17" s="5" t="s">
        <v>27</v>
      </c>
      <c r="K17" s="5" t="s">
        <v>22</v>
      </c>
      <c r="L17" s="5" t="s">
        <v>457</v>
      </c>
      <c r="M17" s="5"/>
      <c r="N17" s="5"/>
      <c r="O17" s="5"/>
      <c r="P17" s="5"/>
      <c r="Q17" s="5">
        <v>1</v>
      </c>
    </row>
    <row r="18" spans="1:19" x14ac:dyDescent="0.25">
      <c r="A18" s="23"/>
      <c r="B18" s="23" t="s">
        <v>18</v>
      </c>
      <c r="C18" s="23" t="s">
        <v>497</v>
      </c>
      <c r="D18" s="23" t="s">
        <v>498</v>
      </c>
      <c r="E18" s="23" t="s">
        <v>499</v>
      </c>
      <c r="F18" s="24">
        <v>2</v>
      </c>
      <c r="G18" s="23">
        <v>0</v>
      </c>
      <c r="H18" s="23">
        <v>30</v>
      </c>
      <c r="I18" s="23">
        <f t="shared" si="0"/>
        <v>-30</v>
      </c>
      <c r="J18" s="23" t="s">
        <v>22</v>
      </c>
      <c r="K18" s="23" t="s">
        <v>22</v>
      </c>
      <c r="L18" s="23" t="s">
        <v>457</v>
      </c>
      <c r="M18" s="23"/>
      <c r="N18" s="23"/>
      <c r="O18" s="23"/>
      <c r="P18" s="23"/>
      <c r="Q18" s="23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4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3"/>
      <c r="B20" s="23" t="s">
        <v>18</v>
      </c>
      <c r="C20" s="23" t="s">
        <v>502</v>
      </c>
      <c r="D20" s="23" t="s">
        <v>503</v>
      </c>
      <c r="E20" s="23" t="s">
        <v>504</v>
      </c>
      <c r="F20" s="24" t="s">
        <v>49</v>
      </c>
      <c r="G20" s="23">
        <v>0</v>
      </c>
      <c r="H20" s="23">
        <v>30</v>
      </c>
      <c r="I20" s="23">
        <f t="shared" si="0"/>
        <v>-30</v>
      </c>
      <c r="J20" s="23" t="s">
        <v>461</v>
      </c>
      <c r="K20" s="23" t="s">
        <v>22</v>
      </c>
      <c r="L20" s="23" t="s">
        <v>457</v>
      </c>
      <c r="M20" s="23"/>
      <c r="N20" s="23"/>
      <c r="O20" s="23"/>
      <c r="P20" s="23"/>
      <c r="Q20" s="23">
        <v>1</v>
      </c>
    </row>
    <row r="21" spans="1:19" x14ac:dyDescent="0.25">
      <c r="A21" s="15"/>
      <c r="B21" s="15" t="s">
        <v>18</v>
      </c>
      <c r="C21" s="15" t="s">
        <v>505</v>
      </c>
      <c r="D21" s="15" t="s">
        <v>506</v>
      </c>
      <c r="E21" s="15" t="s">
        <v>507</v>
      </c>
      <c r="F21" s="16" t="s">
        <v>53</v>
      </c>
      <c r="G21" s="15">
        <v>810</v>
      </c>
      <c r="H21" s="15">
        <v>20</v>
      </c>
      <c r="I21" s="15">
        <f t="shared" si="0"/>
        <v>790</v>
      </c>
      <c r="J21" s="15" t="s">
        <v>22</v>
      </c>
      <c r="K21" s="15" t="s">
        <v>22</v>
      </c>
      <c r="L21" s="15" t="s">
        <v>457</v>
      </c>
      <c r="M21" s="15"/>
      <c r="N21" s="15"/>
      <c r="O21" s="15"/>
      <c r="P21" s="15"/>
      <c r="Q21" s="15">
        <v>1</v>
      </c>
    </row>
    <row r="22" spans="1:19" x14ac:dyDescent="0.25">
      <c r="A22" s="23"/>
      <c r="B22" s="23" t="s">
        <v>18</v>
      </c>
      <c r="C22" s="23" t="s">
        <v>508</v>
      </c>
      <c r="D22" s="23" t="s">
        <v>509</v>
      </c>
      <c r="E22" s="23" t="s">
        <v>510</v>
      </c>
      <c r="F22" s="24">
        <v>7</v>
      </c>
      <c r="G22" s="23">
        <v>470</v>
      </c>
      <c r="H22" s="23">
        <v>30</v>
      </c>
      <c r="I22" s="23">
        <f t="shared" si="0"/>
        <v>440</v>
      </c>
      <c r="J22" s="23" t="s">
        <v>461</v>
      </c>
      <c r="K22" s="23" t="s">
        <v>22</v>
      </c>
      <c r="L22" s="23" t="s">
        <v>457</v>
      </c>
      <c r="M22" s="23"/>
      <c r="N22" s="23"/>
      <c r="O22" s="23"/>
      <c r="P22" s="23"/>
      <c r="Q22" s="23">
        <v>1</v>
      </c>
    </row>
    <row r="23" spans="1:19" x14ac:dyDescent="0.25">
      <c r="A23" s="23"/>
      <c r="B23" s="23" t="s">
        <v>18</v>
      </c>
      <c r="C23" s="23" t="s">
        <v>511</v>
      </c>
      <c r="D23" s="23" t="s">
        <v>512</v>
      </c>
      <c r="E23" s="23" t="s">
        <v>513</v>
      </c>
      <c r="F23" s="24">
        <v>1</v>
      </c>
      <c r="G23" s="23">
        <v>745</v>
      </c>
      <c r="H23" s="23">
        <v>25</v>
      </c>
      <c r="I23" s="23">
        <f t="shared" si="0"/>
        <v>720</v>
      </c>
      <c r="J23" s="23" t="s">
        <v>27</v>
      </c>
      <c r="K23" s="23" t="s">
        <v>22</v>
      </c>
      <c r="L23" s="23" t="s">
        <v>457</v>
      </c>
      <c r="M23" s="23"/>
      <c r="N23" s="23"/>
      <c r="O23" s="23"/>
      <c r="P23" s="23"/>
      <c r="Q23" s="23">
        <v>1</v>
      </c>
    </row>
    <row r="24" spans="1:19" x14ac:dyDescent="0.25">
      <c r="A24" s="5"/>
      <c r="B24" s="5" t="s">
        <v>18</v>
      </c>
      <c r="C24" s="5" t="s">
        <v>514</v>
      </c>
      <c r="D24" s="5" t="s">
        <v>515</v>
      </c>
      <c r="E24" s="5" t="s">
        <v>516</v>
      </c>
      <c r="F24" s="14">
        <v>7</v>
      </c>
      <c r="G24" s="5">
        <v>750</v>
      </c>
      <c r="H24" s="5">
        <v>30</v>
      </c>
      <c r="I24" s="5">
        <f t="shared" si="0"/>
        <v>720</v>
      </c>
      <c r="J24" s="5" t="s">
        <v>461</v>
      </c>
      <c r="K24" s="5" t="s">
        <v>22</v>
      </c>
      <c r="L24" s="5" t="s">
        <v>457</v>
      </c>
      <c r="M24" s="5"/>
      <c r="N24" s="5"/>
      <c r="O24" s="5"/>
      <c r="P24" s="5"/>
      <c r="Q24" s="5">
        <v>1</v>
      </c>
    </row>
    <row r="25" spans="1:19" x14ac:dyDescent="0.25">
      <c r="A25" s="5"/>
      <c r="B25" s="5" t="s">
        <v>18</v>
      </c>
      <c r="C25" s="5" t="s">
        <v>517</v>
      </c>
      <c r="D25" s="5" t="s">
        <v>518</v>
      </c>
      <c r="E25" s="5" t="s">
        <v>519</v>
      </c>
      <c r="F25" s="14">
        <v>8</v>
      </c>
      <c r="G25" s="5">
        <v>1065</v>
      </c>
      <c r="H25" s="5">
        <v>25</v>
      </c>
      <c r="I25" s="5">
        <f t="shared" si="0"/>
        <v>1040</v>
      </c>
      <c r="J25" s="5" t="s">
        <v>461</v>
      </c>
      <c r="K25" s="5" t="s">
        <v>22</v>
      </c>
      <c r="L25" s="5" t="s">
        <v>457</v>
      </c>
      <c r="M25" s="5"/>
      <c r="N25" s="5"/>
      <c r="O25" s="5"/>
      <c r="P25" s="5"/>
      <c r="Q25" s="5">
        <v>1</v>
      </c>
    </row>
    <row r="26" spans="1:19" x14ac:dyDescent="0.25">
      <c r="A26" s="15"/>
      <c r="B26" s="15" t="s">
        <v>18</v>
      </c>
      <c r="C26" s="15" t="s">
        <v>520</v>
      </c>
      <c r="D26" s="15" t="s">
        <v>521</v>
      </c>
      <c r="E26" s="15" t="s">
        <v>522</v>
      </c>
      <c r="F26" s="16" t="s">
        <v>35</v>
      </c>
      <c r="G26" s="15">
        <v>820</v>
      </c>
      <c r="H26" s="15">
        <v>30</v>
      </c>
      <c r="I26" s="15">
        <f t="shared" si="0"/>
        <v>790</v>
      </c>
      <c r="J26" s="15" t="s">
        <v>22</v>
      </c>
      <c r="K26" s="15" t="s">
        <v>22</v>
      </c>
      <c r="L26" s="15" t="s">
        <v>457</v>
      </c>
      <c r="M26" s="15"/>
      <c r="N26" s="15"/>
      <c r="O26" s="15"/>
      <c r="P26" s="15"/>
      <c r="Q26" s="1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4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5"/>
      <c r="B28" s="5" t="s">
        <v>18</v>
      </c>
      <c r="C28" s="5" t="s">
        <v>526</v>
      </c>
      <c r="D28" s="5" t="s">
        <v>527</v>
      </c>
      <c r="E28" s="5" t="s">
        <v>528</v>
      </c>
      <c r="F28" s="14">
        <v>1</v>
      </c>
      <c r="G28" s="5">
        <v>815</v>
      </c>
      <c r="H28" s="5">
        <v>25</v>
      </c>
      <c r="I28" s="5">
        <f t="shared" si="0"/>
        <v>790</v>
      </c>
      <c r="J28" s="5" t="s">
        <v>27</v>
      </c>
      <c r="K28" s="5" t="s">
        <v>22</v>
      </c>
      <c r="L28" s="5" t="s">
        <v>457</v>
      </c>
      <c r="M28" s="5"/>
      <c r="N28" s="5"/>
      <c r="O28" s="5"/>
      <c r="P28" s="5"/>
      <c r="Q28" s="5">
        <v>1</v>
      </c>
    </row>
    <row r="29" spans="1:19" s="51" customFormat="1" x14ac:dyDescent="0.25">
      <c r="B29" s="51" t="s">
        <v>18</v>
      </c>
      <c r="C29" s="51" t="s">
        <v>529</v>
      </c>
      <c r="D29" s="51" t="s">
        <v>530</v>
      </c>
      <c r="E29" s="51" t="s">
        <v>531</v>
      </c>
      <c r="F29" s="52" t="s">
        <v>97</v>
      </c>
      <c r="G29" s="51">
        <v>745</v>
      </c>
      <c r="H29" s="51">
        <v>25</v>
      </c>
      <c r="I29" s="51">
        <f t="shared" si="0"/>
        <v>720</v>
      </c>
      <c r="J29" s="51" t="s">
        <v>22</v>
      </c>
      <c r="K29" s="51" t="s">
        <v>22</v>
      </c>
      <c r="L29" s="53" t="s">
        <v>457</v>
      </c>
      <c r="Q29" s="51">
        <v>1</v>
      </c>
    </row>
    <row r="30" spans="1:19" s="51" customFormat="1" x14ac:dyDescent="0.25">
      <c r="B30" s="51" t="s">
        <v>18</v>
      </c>
      <c r="C30" s="51" t="s">
        <v>532</v>
      </c>
      <c r="D30" s="51" t="s">
        <v>533</v>
      </c>
      <c r="E30" s="51" t="s">
        <v>534</v>
      </c>
      <c r="F30" s="52" t="s">
        <v>118</v>
      </c>
      <c r="G30" s="51">
        <v>1595</v>
      </c>
      <c r="H30" s="51">
        <v>25</v>
      </c>
      <c r="I30" s="51">
        <f t="shared" si="0"/>
        <v>1570</v>
      </c>
      <c r="J30" s="51" t="s">
        <v>22</v>
      </c>
      <c r="K30" s="51" t="s">
        <v>22</v>
      </c>
      <c r="L30" s="53" t="s">
        <v>457</v>
      </c>
      <c r="Q30" s="51">
        <v>1</v>
      </c>
    </row>
    <row r="31" spans="1:19" x14ac:dyDescent="0.25">
      <c r="A31" s="20"/>
      <c r="B31" s="20" t="s">
        <v>18</v>
      </c>
      <c r="C31" s="20" t="s">
        <v>75</v>
      </c>
      <c r="D31" s="20" t="s">
        <v>279</v>
      </c>
      <c r="E31" s="20" t="s">
        <v>280</v>
      </c>
      <c r="F31" s="21" t="s">
        <v>118</v>
      </c>
      <c r="G31" s="20">
        <v>845</v>
      </c>
      <c r="H31" s="20">
        <v>25</v>
      </c>
      <c r="I31" s="20">
        <f t="shared" si="0"/>
        <v>820</v>
      </c>
      <c r="J31" s="20" t="s">
        <v>425</v>
      </c>
      <c r="K31" s="20" t="s">
        <v>22</v>
      </c>
      <c r="L31" s="22" t="s">
        <v>269</v>
      </c>
      <c r="M31" s="20" t="s">
        <v>74</v>
      </c>
      <c r="N31" s="20" t="s">
        <v>275</v>
      </c>
      <c r="O31" s="20"/>
      <c r="P31" s="20" t="s">
        <v>427</v>
      </c>
      <c r="Q31" s="20">
        <v>1</v>
      </c>
      <c r="R31" s="20"/>
      <c r="S31" s="20"/>
    </row>
    <row r="32" spans="1:19" x14ac:dyDescent="0.25">
      <c r="A32" s="20"/>
      <c r="B32" s="20" t="s">
        <v>18</v>
      </c>
      <c r="C32" s="20" t="s">
        <v>296</v>
      </c>
      <c r="D32" s="20" t="s">
        <v>297</v>
      </c>
      <c r="E32" s="20" t="s">
        <v>298</v>
      </c>
      <c r="F32" s="21">
        <v>1</v>
      </c>
      <c r="G32" s="20">
        <v>0</v>
      </c>
      <c r="H32" s="20">
        <v>25</v>
      </c>
      <c r="I32" s="20">
        <f t="shared" si="0"/>
        <v>-25</v>
      </c>
      <c r="J32" s="20" t="s">
        <v>425</v>
      </c>
      <c r="K32" s="20" t="s">
        <v>22</v>
      </c>
      <c r="L32" s="22" t="s">
        <v>269</v>
      </c>
      <c r="M32" s="20" t="s">
        <v>74</v>
      </c>
      <c r="N32" s="20" t="s">
        <v>275</v>
      </c>
      <c r="O32" s="20"/>
      <c r="P32" s="20" t="s">
        <v>427</v>
      </c>
      <c r="Q32" s="20">
        <v>1</v>
      </c>
      <c r="R32" s="20"/>
      <c r="S32" s="20"/>
    </row>
    <row r="33" spans="1:19" s="20" customFormat="1" x14ac:dyDescent="0.25">
      <c r="A33" s="49"/>
      <c r="B33" s="49" t="s">
        <v>18</v>
      </c>
      <c r="C33" s="49" t="s">
        <v>306</v>
      </c>
      <c r="D33" s="49" t="s">
        <v>307</v>
      </c>
      <c r="E33" s="49" t="s">
        <v>308</v>
      </c>
      <c r="F33" s="50" t="s">
        <v>53</v>
      </c>
      <c r="G33" s="49">
        <v>2600</v>
      </c>
      <c r="H33" s="49">
        <v>25</v>
      </c>
      <c r="I33" s="49">
        <f t="shared" si="0"/>
        <v>2575</v>
      </c>
      <c r="J33" s="49" t="s">
        <v>425</v>
      </c>
      <c r="K33" s="49" t="s">
        <v>22</v>
      </c>
      <c r="L33" s="49" t="s">
        <v>269</v>
      </c>
      <c r="M33" s="49" t="s">
        <v>74</v>
      </c>
      <c r="N33" s="49" t="s">
        <v>275</v>
      </c>
      <c r="O33" s="49"/>
      <c r="P33" s="49" t="s">
        <v>427</v>
      </c>
      <c r="Q33" s="49">
        <v>1</v>
      </c>
    </row>
    <row r="34" spans="1:19" s="20" customFormat="1" x14ac:dyDescent="0.25">
      <c r="A34" s="49"/>
      <c r="B34" s="49" t="s">
        <v>18</v>
      </c>
      <c r="C34" s="49" t="s">
        <v>313</v>
      </c>
      <c r="D34" s="49" t="s">
        <v>314</v>
      </c>
      <c r="E34" s="49" t="s">
        <v>315</v>
      </c>
      <c r="F34" s="50">
        <v>10</v>
      </c>
      <c r="G34" s="49">
        <v>25</v>
      </c>
      <c r="H34" s="49">
        <v>25</v>
      </c>
      <c r="I34" s="49">
        <f t="shared" si="0"/>
        <v>0</v>
      </c>
      <c r="J34" s="49" t="s">
        <v>425</v>
      </c>
      <c r="K34" s="49" t="s">
        <v>22</v>
      </c>
      <c r="L34" s="49" t="s">
        <v>269</v>
      </c>
      <c r="M34" s="49" t="s">
        <v>74</v>
      </c>
      <c r="N34" s="49" t="s">
        <v>275</v>
      </c>
      <c r="O34" s="49"/>
      <c r="P34" s="49" t="s">
        <v>427</v>
      </c>
      <c r="Q34" s="49">
        <v>1</v>
      </c>
    </row>
    <row r="35" spans="1:19" s="20" customFormat="1" x14ac:dyDescent="0.25">
      <c r="A35" s="18"/>
      <c r="B35" s="18" t="s">
        <v>18</v>
      </c>
      <c r="C35" s="18" t="s">
        <v>535</v>
      </c>
      <c r="D35" s="18" t="s">
        <v>536</v>
      </c>
      <c r="E35" s="18" t="s">
        <v>537</v>
      </c>
      <c r="F35" s="19">
        <v>12</v>
      </c>
      <c r="G35" s="18">
        <v>0</v>
      </c>
      <c r="H35" s="18">
        <v>30</v>
      </c>
      <c r="I35" s="18">
        <f t="shared" si="0"/>
        <v>-30</v>
      </c>
      <c r="J35" s="18" t="s">
        <v>461</v>
      </c>
      <c r="K35" s="18" t="s">
        <v>22</v>
      </c>
      <c r="L35" s="18" t="s">
        <v>457</v>
      </c>
      <c r="M35" s="18"/>
      <c r="N35" s="18"/>
      <c r="O35" s="18"/>
      <c r="P35" s="18"/>
      <c r="Q35" s="18">
        <v>1</v>
      </c>
      <c r="R35" s="13"/>
      <c r="S35" s="13"/>
    </row>
    <row r="36" spans="1:19" s="20" customFormat="1" x14ac:dyDescent="0.25">
      <c r="A36" s="15"/>
      <c r="B36" s="15" t="s">
        <v>18</v>
      </c>
      <c r="C36" s="15" t="s">
        <v>538</v>
      </c>
      <c r="D36" s="15" t="s">
        <v>539</v>
      </c>
      <c r="E36" s="15" t="s">
        <v>540</v>
      </c>
      <c r="F36" s="16">
        <v>9</v>
      </c>
      <c r="G36" s="15">
        <v>850</v>
      </c>
      <c r="H36" s="15">
        <v>30</v>
      </c>
      <c r="I36" s="15">
        <f>-H36</f>
        <v>-30</v>
      </c>
      <c r="J36" s="15" t="s">
        <v>461</v>
      </c>
      <c r="K36" s="15" t="s">
        <v>22</v>
      </c>
      <c r="L36" s="15" t="s">
        <v>457</v>
      </c>
      <c r="M36" s="15"/>
      <c r="N36" s="15"/>
      <c r="O36" s="15"/>
      <c r="P36" s="15"/>
      <c r="Q36" s="15">
        <v>1</v>
      </c>
      <c r="R36" s="13"/>
      <c r="S36" s="13"/>
    </row>
    <row r="37" spans="1:19" s="20" customFormat="1" x14ac:dyDescent="0.25">
      <c r="A37" s="5" t="s">
        <v>255</v>
      </c>
      <c r="B37" s="5" t="s">
        <v>18</v>
      </c>
      <c r="C37" s="5" t="s">
        <v>541</v>
      </c>
      <c r="D37" s="5"/>
      <c r="E37" s="5" t="s">
        <v>542</v>
      </c>
      <c r="F37" s="14">
        <v>9</v>
      </c>
      <c r="G37" s="5">
        <v>1065</v>
      </c>
      <c r="H37" s="5">
        <v>35</v>
      </c>
      <c r="I37" s="5">
        <f>G37-H37</f>
        <v>1030</v>
      </c>
      <c r="J37" s="5" t="s">
        <v>241</v>
      </c>
      <c r="K37" s="5" t="s">
        <v>22</v>
      </c>
      <c r="L37" s="5" t="s">
        <v>457</v>
      </c>
      <c r="M37" s="5"/>
      <c r="N37" s="5"/>
      <c r="O37" s="5"/>
      <c r="P37" s="5"/>
      <c r="Q37" s="5">
        <v>1</v>
      </c>
      <c r="R37" s="13"/>
      <c r="S37" s="13"/>
    </row>
    <row r="38" spans="1:19" s="20" customFormat="1" x14ac:dyDescent="0.25">
      <c r="A38" s="5" t="s">
        <v>255</v>
      </c>
      <c r="B38" s="5" t="s">
        <v>18</v>
      </c>
      <c r="C38" s="5" t="s">
        <v>543</v>
      </c>
      <c r="D38" s="5"/>
      <c r="E38" s="5" t="s">
        <v>544</v>
      </c>
      <c r="F38" s="14">
        <v>4</v>
      </c>
      <c r="G38" s="5">
        <v>0</v>
      </c>
      <c r="H38" s="5">
        <v>25</v>
      </c>
      <c r="I38" s="5">
        <f>G38-H38</f>
        <v>-25</v>
      </c>
      <c r="J38" s="5" t="s">
        <v>27</v>
      </c>
      <c r="K38" s="5" t="s">
        <v>22</v>
      </c>
      <c r="L38" s="5" t="s">
        <v>457</v>
      </c>
      <c r="M38" s="5" t="s">
        <v>443</v>
      </c>
      <c r="N38" s="5"/>
      <c r="O38" s="5"/>
      <c r="P38" s="5"/>
      <c r="Q38" s="5">
        <v>1</v>
      </c>
      <c r="R38" s="13"/>
      <c r="S38" s="13"/>
    </row>
    <row r="39" spans="1:19" x14ac:dyDescent="0.25">
      <c r="A39" s="13" t="s">
        <v>255</v>
      </c>
      <c r="B39" s="13" t="s">
        <v>18</v>
      </c>
      <c r="C39" s="13" t="s">
        <v>545</v>
      </c>
      <c r="E39" s="13" t="s">
        <v>546</v>
      </c>
      <c r="F39" s="13" t="s">
        <v>118</v>
      </c>
      <c r="G39" s="13">
        <v>2170</v>
      </c>
      <c r="H39" s="13">
        <v>30</v>
      </c>
      <c r="I39" s="13">
        <v>2140</v>
      </c>
      <c r="J39" s="13" t="s">
        <v>22</v>
      </c>
      <c r="K39" s="13" t="s">
        <v>22</v>
      </c>
      <c r="L39" s="13" t="s">
        <v>457</v>
      </c>
      <c r="M39" s="13" t="s">
        <v>547</v>
      </c>
      <c r="Q39" s="13">
        <v>1</v>
      </c>
    </row>
    <row r="40" spans="1:19" x14ac:dyDescent="0.25">
      <c r="A40" s="13" t="s">
        <v>255</v>
      </c>
      <c r="B40" s="13" t="s">
        <v>18</v>
      </c>
      <c r="C40" s="13" t="s">
        <v>548</v>
      </c>
      <c r="E40" s="13" t="s">
        <v>549</v>
      </c>
      <c r="F40" s="13" t="s">
        <v>118</v>
      </c>
      <c r="G40" s="13">
        <v>30</v>
      </c>
      <c r="H40" s="13">
        <v>30</v>
      </c>
      <c r="I40" s="13">
        <v>0</v>
      </c>
      <c r="J40" s="13" t="s">
        <v>22</v>
      </c>
      <c r="K40" s="13" t="s">
        <v>22</v>
      </c>
      <c r="L40" s="13" t="s">
        <v>457</v>
      </c>
      <c r="M40" s="13" t="s">
        <v>443</v>
      </c>
      <c r="Q40" s="13">
        <v>1</v>
      </c>
    </row>
  </sheetData>
  <autoFilter ref="A2:S34" xr:uid="{00000000-0009-0000-0000-000002000000}">
    <sortState xmlns:xlrd2="http://schemas.microsoft.com/office/spreadsheetml/2017/richdata2" ref="A3:S34">
      <sortCondition ref="D2:D34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4" sqref="M24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550</v>
      </c>
      <c r="C1" s="3" t="s">
        <v>551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15" customFormat="1" x14ac:dyDescent="0.25">
      <c r="A3" s="5"/>
      <c r="B3" s="5" t="s">
        <v>18</v>
      </c>
      <c r="C3" s="5" t="s">
        <v>125</v>
      </c>
      <c r="D3" s="5" t="s">
        <v>552</v>
      </c>
      <c r="E3" s="5" t="s">
        <v>553</v>
      </c>
      <c r="F3" s="7">
        <v>10</v>
      </c>
      <c r="G3" s="5">
        <v>715</v>
      </c>
      <c r="H3" s="5">
        <v>25</v>
      </c>
      <c r="I3" s="5">
        <v>690</v>
      </c>
      <c r="J3" s="5" t="s">
        <v>27</v>
      </c>
      <c r="K3" s="5" t="s">
        <v>22</v>
      </c>
      <c r="L3" s="5" t="s">
        <v>554</v>
      </c>
      <c r="M3" s="5"/>
      <c r="N3" s="5"/>
      <c r="O3" s="5"/>
      <c r="P3" s="5"/>
      <c r="Q3" s="5">
        <v>1</v>
      </c>
    </row>
    <row r="4" spans="1:17" s="15" customFormat="1" x14ac:dyDescent="0.25">
      <c r="A4" s="5"/>
      <c r="B4" s="5" t="s">
        <v>18</v>
      </c>
      <c r="C4" s="5" t="s">
        <v>555</v>
      </c>
      <c r="D4" s="5" t="s">
        <v>556</v>
      </c>
      <c r="E4" s="5" t="s">
        <v>557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554</v>
      </c>
      <c r="M4" s="5"/>
      <c r="N4" s="5"/>
      <c r="O4" s="5"/>
      <c r="P4" s="5"/>
      <c r="Q4" s="5">
        <v>1</v>
      </c>
    </row>
    <row r="5" spans="1:17" s="15" customFormat="1" x14ac:dyDescent="0.25">
      <c r="A5" s="28"/>
      <c r="B5" s="28" t="s">
        <v>18</v>
      </c>
      <c r="C5" s="28" t="s">
        <v>558</v>
      </c>
      <c r="D5" s="28" t="s">
        <v>559</v>
      </c>
      <c r="E5" s="28" t="s">
        <v>560</v>
      </c>
      <c r="F5" s="30" t="s">
        <v>97</v>
      </c>
      <c r="G5" s="28">
        <v>385</v>
      </c>
      <c r="H5" s="28">
        <v>25</v>
      </c>
      <c r="I5" s="28">
        <v>360</v>
      </c>
      <c r="J5" s="28" t="s">
        <v>22</v>
      </c>
      <c r="K5" s="28" t="s">
        <v>22</v>
      </c>
      <c r="L5" s="28" t="s">
        <v>554</v>
      </c>
      <c r="M5" s="28"/>
      <c r="N5" s="28"/>
      <c r="O5" s="28"/>
      <c r="P5" s="28"/>
      <c r="Q5" s="28">
        <v>1</v>
      </c>
    </row>
    <row r="6" spans="1:17" x14ac:dyDescent="0.25">
      <c r="A6" s="28"/>
      <c r="B6" s="28" t="s">
        <v>18</v>
      </c>
      <c r="C6" s="28" t="s">
        <v>561</v>
      </c>
      <c r="D6" s="28" t="s">
        <v>562</v>
      </c>
      <c r="E6" s="28" t="s">
        <v>563</v>
      </c>
      <c r="F6" s="30" t="s">
        <v>53</v>
      </c>
      <c r="G6" s="28">
        <v>740</v>
      </c>
      <c r="H6" s="28">
        <v>20</v>
      </c>
      <c r="I6" s="28">
        <v>720</v>
      </c>
      <c r="J6" s="28" t="s">
        <v>22</v>
      </c>
      <c r="K6" s="28" t="s">
        <v>22</v>
      </c>
      <c r="L6" s="28" t="s">
        <v>554</v>
      </c>
      <c r="M6" s="28"/>
      <c r="N6" s="28"/>
      <c r="O6" s="28"/>
      <c r="P6" s="28"/>
      <c r="Q6" s="28">
        <v>1</v>
      </c>
    </row>
    <row r="7" spans="1:17" s="15" customFormat="1" x14ac:dyDescent="0.25">
      <c r="B7" s="15" t="s">
        <v>18</v>
      </c>
      <c r="C7" s="15" t="s">
        <v>564</v>
      </c>
      <c r="D7" s="15" t="s">
        <v>565</v>
      </c>
      <c r="E7" s="15" t="s">
        <v>566</v>
      </c>
      <c r="F7" s="29" t="s">
        <v>49</v>
      </c>
      <c r="G7" s="15">
        <v>0</v>
      </c>
      <c r="H7" s="15">
        <v>30</v>
      </c>
      <c r="I7" s="15">
        <v>-30</v>
      </c>
      <c r="J7" s="15" t="s">
        <v>567</v>
      </c>
      <c r="K7" s="15" t="s">
        <v>22</v>
      </c>
      <c r="L7" s="15" t="s">
        <v>554</v>
      </c>
      <c r="Q7" s="15">
        <v>1</v>
      </c>
    </row>
    <row r="8" spans="1:17" s="5" customFormat="1" x14ac:dyDescent="0.25">
      <c r="B8" s="5" t="s">
        <v>18</v>
      </c>
      <c r="C8" s="5" t="s">
        <v>458</v>
      </c>
      <c r="D8" s="5" t="s">
        <v>568</v>
      </c>
      <c r="E8" s="5" t="s">
        <v>569</v>
      </c>
      <c r="F8" s="7">
        <v>8</v>
      </c>
      <c r="G8" s="5">
        <v>365</v>
      </c>
      <c r="H8" s="5">
        <v>25</v>
      </c>
      <c r="I8" s="5">
        <v>340</v>
      </c>
      <c r="J8" s="5" t="s">
        <v>567</v>
      </c>
      <c r="K8" s="5" t="s">
        <v>22</v>
      </c>
      <c r="L8" s="5" t="s">
        <v>554</v>
      </c>
      <c r="Q8" s="5">
        <v>1</v>
      </c>
    </row>
    <row r="9" spans="1:17" s="5" customFormat="1" x14ac:dyDescent="0.25">
      <c r="B9" s="5" t="s">
        <v>18</v>
      </c>
      <c r="C9" s="5" t="s">
        <v>570</v>
      </c>
      <c r="D9" s="5" t="s">
        <v>571</v>
      </c>
      <c r="E9" s="5" t="s">
        <v>572</v>
      </c>
      <c r="F9" s="7">
        <v>4</v>
      </c>
      <c r="G9" s="5">
        <v>605</v>
      </c>
      <c r="H9" s="5">
        <v>25</v>
      </c>
      <c r="I9" s="5">
        <v>580</v>
      </c>
      <c r="J9" s="5" t="s">
        <v>27</v>
      </c>
      <c r="K9" s="5" t="s">
        <v>22</v>
      </c>
      <c r="L9" s="5" t="s">
        <v>554</v>
      </c>
      <c r="Q9" s="5">
        <v>1</v>
      </c>
    </row>
    <row r="10" spans="1:17" s="5" customFormat="1" x14ac:dyDescent="0.25">
      <c r="A10" s="15"/>
      <c r="B10" s="15" t="s">
        <v>18</v>
      </c>
      <c r="C10" s="15" t="s">
        <v>573</v>
      </c>
      <c r="D10" s="15" t="s">
        <v>574</v>
      </c>
      <c r="E10" s="15" t="s">
        <v>575</v>
      </c>
      <c r="F10" s="16" t="s">
        <v>118</v>
      </c>
      <c r="G10" s="15">
        <v>815</v>
      </c>
      <c r="H10" s="15">
        <v>25</v>
      </c>
      <c r="I10" s="15">
        <v>790</v>
      </c>
      <c r="J10" s="15" t="s">
        <v>22</v>
      </c>
      <c r="K10" s="15" t="s">
        <v>22</v>
      </c>
      <c r="L10" s="15" t="s">
        <v>554</v>
      </c>
      <c r="M10" s="15"/>
      <c r="N10" s="15"/>
      <c r="O10" s="15"/>
      <c r="P10" s="15"/>
      <c r="Q10" s="15">
        <v>1</v>
      </c>
    </row>
    <row r="11" spans="1:17" s="5" customFormat="1" x14ac:dyDescent="0.25">
      <c r="A11" s="28"/>
      <c r="B11" s="28" t="s">
        <v>18</v>
      </c>
      <c r="C11" s="28" t="s">
        <v>576</v>
      </c>
      <c r="D11" s="28" t="s">
        <v>577</v>
      </c>
      <c r="E11" s="28" t="s">
        <v>578</v>
      </c>
      <c r="F11" s="31" t="s">
        <v>53</v>
      </c>
      <c r="G11" s="28">
        <v>0</v>
      </c>
      <c r="H11" s="28">
        <v>20</v>
      </c>
      <c r="I11" s="28">
        <v>-20</v>
      </c>
      <c r="J11" s="28" t="s">
        <v>22</v>
      </c>
      <c r="K11" s="28" t="s">
        <v>22</v>
      </c>
      <c r="L11" s="28" t="s">
        <v>554</v>
      </c>
      <c r="M11" s="28"/>
      <c r="N11" s="28"/>
      <c r="O11" s="28"/>
      <c r="P11" s="28"/>
      <c r="Q11" s="28">
        <v>1</v>
      </c>
    </row>
    <row r="12" spans="1:17" s="15" customFormat="1" x14ac:dyDescent="0.25">
      <c r="B12" s="15" t="s">
        <v>18</v>
      </c>
      <c r="C12" s="15" t="s">
        <v>579</v>
      </c>
      <c r="D12" s="15" t="s">
        <v>580</v>
      </c>
      <c r="E12" s="15" t="s">
        <v>581</v>
      </c>
      <c r="F12" s="29">
        <v>10</v>
      </c>
      <c r="G12" s="15">
        <v>760</v>
      </c>
      <c r="H12" s="15">
        <v>30</v>
      </c>
      <c r="I12" s="15">
        <v>730</v>
      </c>
      <c r="J12" s="15" t="s">
        <v>27</v>
      </c>
      <c r="K12" s="15" t="s">
        <v>22</v>
      </c>
      <c r="L12" s="15" t="s">
        <v>554</v>
      </c>
      <c r="Q12" s="15">
        <v>1</v>
      </c>
    </row>
    <row r="13" spans="1:17" s="5" customFormat="1" x14ac:dyDescent="0.25">
      <c r="B13" s="5" t="s">
        <v>18</v>
      </c>
      <c r="C13" s="5" t="s">
        <v>582</v>
      </c>
      <c r="D13" s="5" t="s">
        <v>583</v>
      </c>
      <c r="E13" s="5" t="s">
        <v>584</v>
      </c>
      <c r="F13" s="7">
        <v>7</v>
      </c>
      <c r="G13" s="5">
        <v>395</v>
      </c>
      <c r="H13" s="5">
        <v>25</v>
      </c>
      <c r="I13" s="5">
        <v>370</v>
      </c>
      <c r="J13" s="5" t="s">
        <v>567</v>
      </c>
      <c r="K13" s="5" t="s">
        <v>22</v>
      </c>
      <c r="L13" s="5" t="s">
        <v>554</v>
      </c>
      <c r="Q13" s="5">
        <v>1</v>
      </c>
    </row>
    <row r="14" spans="1:17" s="15" customFormat="1" x14ac:dyDescent="0.25">
      <c r="B14" s="15" t="s">
        <v>18</v>
      </c>
      <c r="C14" s="15" t="s">
        <v>585</v>
      </c>
      <c r="D14" s="15" t="s">
        <v>586</v>
      </c>
      <c r="E14" s="15" t="s">
        <v>587</v>
      </c>
      <c r="F14" s="29" t="s">
        <v>97</v>
      </c>
      <c r="G14" s="15">
        <v>30</v>
      </c>
      <c r="H14" s="15">
        <v>30</v>
      </c>
      <c r="I14" s="15">
        <v>0</v>
      </c>
      <c r="J14" s="15" t="s">
        <v>27</v>
      </c>
      <c r="K14" s="15" t="s">
        <v>22</v>
      </c>
      <c r="L14" s="15" t="s">
        <v>554</v>
      </c>
      <c r="Q14" s="15">
        <v>1</v>
      </c>
    </row>
    <row r="15" spans="1:17" s="28" customFormat="1" x14ac:dyDescent="0.25">
      <c r="A15" s="6"/>
      <c r="B15" s="6" t="s">
        <v>18</v>
      </c>
      <c r="C15" s="6" t="s">
        <v>588</v>
      </c>
      <c r="D15" s="6" t="s">
        <v>589</v>
      </c>
      <c r="E15" s="6" t="s">
        <v>590</v>
      </c>
      <c r="F15" s="11">
        <v>2</v>
      </c>
      <c r="G15" s="6">
        <v>0</v>
      </c>
      <c r="H15" s="6">
        <v>25</v>
      </c>
      <c r="I15" s="6">
        <v>-25</v>
      </c>
      <c r="J15" s="6" t="s">
        <v>22</v>
      </c>
      <c r="K15" s="6" t="s">
        <v>22</v>
      </c>
      <c r="L15" s="6" t="s">
        <v>554</v>
      </c>
      <c r="M15" s="6" t="s">
        <v>299</v>
      </c>
      <c r="N15" s="6"/>
      <c r="O15" s="6"/>
      <c r="P15" s="6"/>
      <c r="Q15" s="6">
        <v>1</v>
      </c>
    </row>
    <row r="16" spans="1:17" s="28" customFormat="1" x14ac:dyDescent="0.25">
      <c r="B16" s="28" t="s">
        <v>18</v>
      </c>
      <c r="C16" s="28" t="s">
        <v>591</v>
      </c>
      <c r="D16" s="28" t="s">
        <v>592</v>
      </c>
      <c r="E16" s="28" t="s">
        <v>593</v>
      </c>
      <c r="F16" s="30">
        <v>4</v>
      </c>
      <c r="G16" s="28">
        <v>490</v>
      </c>
      <c r="H16" s="28">
        <v>0</v>
      </c>
      <c r="I16" s="28">
        <v>490</v>
      </c>
      <c r="J16" s="28" t="s">
        <v>27</v>
      </c>
      <c r="K16" s="28" t="s">
        <v>22</v>
      </c>
      <c r="L16" s="28" t="s">
        <v>554</v>
      </c>
      <c r="Q16" s="28">
        <v>1</v>
      </c>
    </row>
    <row r="17" spans="1:17" s="15" customFormat="1" x14ac:dyDescent="0.25">
      <c r="B17" s="15" t="s">
        <v>18</v>
      </c>
      <c r="C17" s="15" t="s">
        <v>594</v>
      </c>
      <c r="D17" s="15" t="s">
        <v>595</v>
      </c>
      <c r="E17" s="15" t="s">
        <v>596</v>
      </c>
      <c r="F17" s="29" t="s">
        <v>118</v>
      </c>
      <c r="G17" s="15">
        <v>710</v>
      </c>
      <c r="H17" s="15">
        <v>30</v>
      </c>
      <c r="I17" s="15">
        <v>680</v>
      </c>
      <c r="J17" s="15" t="s">
        <v>425</v>
      </c>
      <c r="K17" s="15" t="s">
        <v>22</v>
      </c>
      <c r="L17" s="15" t="s">
        <v>554</v>
      </c>
      <c r="N17" s="15" t="s">
        <v>275</v>
      </c>
      <c r="P17" s="15" t="s">
        <v>427</v>
      </c>
      <c r="Q17" s="15">
        <v>1</v>
      </c>
    </row>
    <row r="18" spans="1:17" s="28" customFormat="1" x14ac:dyDescent="0.25">
      <c r="A18" s="15"/>
      <c r="B18" s="15" t="s">
        <v>18</v>
      </c>
      <c r="C18" s="15" t="s">
        <v>597</v>
      </c>
      <c r="D18" s="15" t="s">
        <v>598</v>
      </c>
      <c r="E18" s="15" t="s">
        <v>599</v>
      </c>
      <c r="F18" s="29" t="s">
        <v>49</v>
      </c>
      <c r="G18" s="15">
        <v>840</v>
      </c>
      <c r="H18" s="15">
        <v>20</v>
      </c>
      <c r="I18" s="15">
        <v>820</v>
      </c>
      <c r="J18" s="15" t="s">
        <v>567</v>
      </c>
      <c r="K18" s="15" t="s">
        <v>22</v>
      </c>
      <c r="L18" s="15" t="s">
        <v>554</v>
      </c>
      <c r="M18" s="15"/>
      <c r="N18" s="15"/>
      <c r="O18" s="15"/>
      <c r="P18" s="15"/>
      <c r="Q18" s="15">
        <v>1</v>
      </c>
    </row>
    <row r="19" spans="1:17" s="6" customFormat="1" x14ac:dyDescent="0.25">
      <c r="A19" s="5"/>
      <c r="B19" s="5" t="s">
        <v>18</v>
      </c>
      <c r="C19" s="5" t="s">
        <v>600</v>
      </c>
      <c r="D19" s="5" t="s">
        <v>601</v>
      </c>
      <c r="E19" s="5" t="s">
        <v>602</v>
      </c>
      <c r="F19" s="7" t="s">
        <v>93</v>
      </c>
      <c r="G19" s="5">
        <v>130</v>
      </c>
      <c r="H19" s="5">
        <v>30</v>
      </c>
      <c r="I19" s="5">
        <v>100</v>
      </c>
      <c r="J19" s="5" t="s">
        <v>27</v>
      </c>
      <c r="K19" s="5" t="s">
        <v>22</v>
      </c>
      <c r="L19" s="5" t="s">
        <v>554</v>
      </c>
      <c r="M19" s="5"/>
      <c r="N19" s="5"/>
      <c r="O19" s="5"/>
      <c r="P19" s="5"/>
      <c r="Q19" s="5">
        <v>1</v>
      </c>
    </row>
    <row r="20" spans="1:17" s="28" customFormat="1" x14ac:dyDescent="0.25">
      <c r="A20" s="15"/>
      <c r="B20" s="15" t="s">
        <v>18</v>
      </c>
      <c r="C20" s="15" t="s">
        <v>603</v>
      </c>
      <c r="D20" s="15" t="s">
        <v>604</v>
      </c>
      <c r="E20" s="15" t="s">
        <v>605</v>
      </c>
      <c r="F20" s="29">
        <v>7</v>
      </c>
      <c r="G20" s="15">
        <v>1565</v>
      </c>
      <c r="H20" s="15">
        <v>25</v>
      </c>
      <c r="I20" s="15">
        <v>1540</v>
      </c>
      <c r="J20" s="15" t="s">
        <v>27</v>
      </c>
      <c r="K20" s="15" t="s">
        <v>22</v>
      </c>
      <c r="L20" s="15" t="s">
        <v>554</v>
      </c>
      <c r="M20" s="15" t="s">
        <v>299</v>
      </c>
      <c r="N20" s="15"/>
      <c r="O20" s="15"/>
      <c r="P20" s="15"/>
      <c r="Q20" s="15">
        <v>1</v>
      </c>
    </row>
    <row r="21" spans="1:17" s="5" customFormat="1" x14ac:dyDescent="0.25">
      <c r="A21"/>
      <c r="B21" t="s">
        <v>18</v>
      </c>
      <c r="C21" t="s">
        <v>606</v>
      </c>
      <c r="D21" t="s">
        <v>607</v>
      </c>
      <c r="E21" t="s">
        <v>608</v>
      </c>
      <c r="F21" s="32" t="s">
        <v>97</v>
      </c>
      <c r="G21">
        <v>390</v>
      </c>
      <c r="H21">
        <v>20</v>
      </c>
      <c r="I21">
        <v>370</v>
      </c>
      <c r="J21" t="s">
        <v>22</v>
      </c>
      <c r="K21" t="s">
        <v>22</v>
      </c>
      <c r="L21" t="s">
        <v>554</v>
      </c>
      <c r="M21"/>
      <c r="N21"/>
      <c r="O21"/>
      <c r="P21"/>
      <c r="Q21">
        <v>1</v>
      </c>
    </row>
    <row r="22" spans="1:17" s="28" customFormat="1" x14ac:dyDescent="0.25">
      <c r="A22" s="20"/>
      <c r="B22" s="20" t="s">
        <v>18</v>
      </c>
      <c r="C22" s="20" t="s">
        <v>609</v>
      </c>
      <c r="D22" s="20" t="s">
        <v>610</v>
      </c>
      <c r="E22" s="20" t="s">
        <v>611</v>
      </c>
      <c r="F22" s="21" t="s">
        <v>93</v>
      </c>
      <c r="G22" s="20">
        <v>820</v>
      </c>
      <c r="H22" s="20">
        <v>30</v>
      </c>
      <c r="I22" s="20">
        <v>790</v>
      </c>
      <c r="J22" s="20" t="s">
        <v>27</v>
      </c>
      <c r="K22" s="20" t="s">
        <v>22</v>
      </c>
      <c r="L22" s="22" t="s">
        <v>554</v>
      </c>
      <c r="M22" s="20"/>
      <c r="N22" s="20"/>
      <c r="O22" s="20"/>
      <c r="P22" s="20"/>
      <c r="Q22" s="20">
        <v>1</v>
      </c>
    </row>
    <row r="23" spans="1:17" s="20" customFormat="1" x14ac:dyDescent="0.25">
      <c r="A23" s="28"/>
      <c r="B23" s="28" t="s">
        <v>18</v>
      </c>
      <c r="C23" s="28" t="s">
        <v>612</v>
      </c>
      <c r="D23" s="28" t="s">
        <v>613</v>
      </c>
      <c r="E23" s="28" t="s">
        <v>614</v>
      </c>
      <c r="F23" s="30">
        <v>9</v>
      </c>
      <c r="G23" s="28">
        <v>385</v>
      </c>
      <c r="H23" s="28">
        <v>25</v>
      </c>
      <c r="I23" s="28">
        <v>360</v>
      </c>
      <c r="J23" s="28" t="s">
        <v>241</v>
      </c>
      <c r="K23" s="28" t="s">
        <v>22</v>
      </c>
      <c r="L23" s="28" t="s">
        <v>554</v>
      </c>
      <c r="M23" s="28"/>
      <c r="N23" s="28"/>
      <c r="O23" s="28"/>
      <c r="P23" s="28"/>
      <c r="Q23" s="28">
        <v>1</v>
      </c>
    </row>
    <row r="24" spans="1:17" s="33" customFormat="1" x14ac:dyDescent="0.25">
      <c r="B24" s="33" t="s">
        <v>18</v>
      </c>
      <c r="C24" s="33" t="s">
        <v>385</v>
      </c>
      <c r="D24" s="33" t="s">
        <v>386</v>
      </c>
      <c r="E24" s="33" t="s">
        <v>387</v>
      </c>
      <c r="F24" s="33" t="s">
        <v>35</v>
      </c>
      <c r="G24" s="33">
        <v>440</v>
      </c>
      <c r="H24" s="33">
        <v>0</v>
      </c>
      <c r="I24" s="33">
        <v>440</v>
      </c>
      <c r="J24" s="33" t="s">
        <v>425</v>
      </c>
      <c r="K24" s="33" t="s">
        <v>22</v>
      </c>
      <c r="L24" s="33" t="s">
        <v>269</v>
      </c>
      <c r="M24" s="33" t="s">
        <v>74</v>
      </c>
      <c r="N24" s="33" t="s">
        <v>275</v>
      </c>
      <c r="O24" s="33" t="s">
        <v>275</v>
      </c>
      <c r="P24" s="33" t="s">
        <v>427</v>
      </c>
      <c r="Q24" s="33">
        <v>1</v>
      </c>
    </row>
    <row r="25" spans="1:17" x14ac:dyDescent="0.25">
      <c r="A25" t="s">
        <v>255</v>
      </c>
      <c r="B25" t="s">
        <v>18</v>
      </c>
      <c r="C25" t="s">
        <v>615</v>
      </c>
      <c r="E25" t="s">
        <v>616</v>
      </c>
      <c r="F25" t="s">
        <v>63</v>
      </c>
      <c r="G25">
        <f>SUM(G3:G23)</f>
        <v>11830</v>
      </c>
      <c r="H25">
        <v>50</v>
      </c>
      <c r="I25">
        <v>7800</v>
      </c>
      <c r="J25" t="s">
        <v>567</v>
      </c>
      <c r="K25" t="s">
        <v>22</v>
      </c>
      <c r="L25" t="s">
        <v>554</v>
      </c>
      <c r="M25" t="s">
        <v>617</v>
      </c>
      <c r="Q25">
        <v>1</v>
      </c>
    </row>
    <row r="26" spans="1:17" x14ac:dyDescent="0.25">
      <c r="G26">
        <v>12270</v>
      </c>
    </row>
    <row r="27" spans="1:17" x14ac:dyDescent="0.25">
      <c r="G27">
        <v>20120</v>
      </c>
    </row>
  </sheetData>
  <sortState xmlns:xlrd2="http://schemas.microsoft.com/office/spreadsheetml/2017/richdata2" ref="A3:Q23">
    <sortCondition ref="D2:D23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M45" sqref="M45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618</v>
      </c>
      <c r="C1" s="3" t="s">
        <v>619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x14ac:dyDescent="0.25">
      <c r="B3" t="s">
        <v>18</v>
      </c>
      <c r="C3" t="s">
        <v>620</v>
      </c>
      <c r="D3" t="s">
        <v>621</v>
      </c>
      <c r="E3" t="s">
        <v>622</v>
      </c>
      <c r="F3" s="1" t="s">
        <v>118</v>
      </c>
      <c r="G3">
        <v>785</v>
      </c>
      <c r="H3">
        <v>25</v>
      </c>
      <c r="I3">
        <f t="shared" ref="I3:I14" si="0">G3-H3</f>
        <v>760</v>
      </c>
      <c r="J3" t="s">
        <v>22</v>
      </c>
      <c r="K3" t="s">
        <v>22</v>
      </c>
      <c r="L3" t="s">
        <v>623</v>
      </c>
      <c r="Q3">
        <v>1</v>
      </c>
    </row>
    <row r="4" spans="1:17" s="5" customFormat="1" x14ac:dyDescent="0.25">
      <c r="B4" s="5" t="s">
        <v>18</v>
      </c>
      <c r="C4" s="5" t="s">
        <v>624</v>
      </c>
      <c r="D4" s="5" t="s">
        <v>625</v>
      </c>
      <c r="E4" s="5" t="s">
        <v>626</v>
      </c>
      <c r="F4" s="8" t="s">
        <v>39</v>
      </c>
      <c r="G4" s="5">
        <v>795</v>
      </c>
      <c r="H4" s="5">
        <v>35</v>
      </c>
      <c r="I4" s="5">
        <f t="shared" si="0"/>
        <v>760</v>
      </c>
      <c r="J4" s="5" t="s">
        <v>627</v>
      </c>
      <c r="K4" s="5" t="s">
        <v>22</v>
      </c>
      <c r="L4" s="5" t="s">
        <v>623</v>
      </c>
      <c r="Q4" s="5">
        <v>1</v>
      </c>
    </row>
    <row r="5" spans="1:17" x14ac:dyDescent="0.25">
      <c r="B5" t="s">
        <v>18</v>
      </c>
      <c r="C5" t="s">
        <v>284</v>
      </c>
      <c r="D5" t="s">
        <v>628</v>
      </c>
      <c r="E5" t="s">
        <v>286</v>
      </c>
      <c r="F5" s="1">
        <v>6</v>
      </c>
      <c r="G5">
        <v>1525</v>
      </c>
      <c r="H5">
        <v>25</v>
      </c>
      <c r="I5">
        <f t="shared" si="0"/>
        <v>1500</v>
      </c>
      <c r="J5" t="s">
        <v>627</v>
      </c>
      <c r="K5" t="s">
        <v>22</v>
      </c>
      <c r="L5" t="s">
        <v>623</v>
      </c>
      <c r="Q5">
        <v>1</v>
      </c>
    </row>
    <row r="6" spans="1:17" s="5" customFormat="1" x14ac:dyDescent="0.25">
      <c r="B6" s="5" t="s">
        <v>18</v>
      </c>
      <c r="C6" s="5" t="s">
        <v>629</v>
      </c>
      <c r="D6" s="5" t="s">
        <v>630</v>
      </c>
      <c r="E6" s="5" t="s">
        <v>631</v>
      </c>
      <c r="F6" s="8">
        <v>2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623</v>
      </c>
      <c r="Q6" s="5">
        <v>1</v>
      </c>
    </row>
    <row r="7" spans="1:17" x14ac:dyDescent="0.25">
      <c r="B7" t="s">
        <v>18</v>
      </c>
      <c r="C7" t="s">
        <v>632</v>
      </c>
      <c r="D7" t="s">
        <v>633</v>
      </c>
      <c r="E7" t="s">
        <v>634</v>
      </c>
      <c r="F7" s="1">
        <v>7</v>
      </c>
      <c r="G7">
        <v>1620</v>
      </c>
      <c r="H7">
        <v>30</v>
      </c>
      <c r="I7">
        <f t="shared" si="0"/>
        <v>1590</v>
      </c>
      <c r="J7" t="s">
        <v>627</v>
      </c>
      <c r="K7" t="s">
        <v>22</v>
      </c>
      <c r="L7" t="s">
        <v>623</v>
      </c>
      <c r="Q7">
        <v>1</v>
      </c>
    </row>
    <row r="8" spans="1:17" s="34" customFormat="1" x14ac:dyDescent="0.25">
      <c r="B8" s="34" t="s">
        <v>18</v>
      </c>
      <c r="C8" s="34" t="s">
        <v>635</v>
      </c>
      <c r="D8" s="34" t="s">
        <v>636</v>
      </c>
      <c r="E8" s="36" t="s">
        <v>637</v>
      </c>
      <c r="F8" s="35">
        <v>2</v>
      </c>
      <c r="G8" s="34">
        <v>850</v>
      </c>
      <c r="H8" s="34">
        <v>30</v>
      </c>
      <c r="I8" s="34">
        <f t="shared" si="0"/>
        <v>820</v>
      </c>
      <c r="J8" s="34" t="s">
        <v>22</v>
      </c>
      <c r="K8" s="34" t="s">
        <v>22</v>
      </c>
      <c r="L8" s="34" t="s">
        <v>623</v>
      </c>
      <c r="Q8" s="34">
        <v>1</v>
      </c>
    </row>
    <row r="9" spans="1:17" x14ac:dyDescent="0.25">
      <c r="B9" t="s">
        <v>18</v>
      </c>
      <c r="C9" t="s">
        <v>638</v>
      </c>
      <c r="D9" t="s">
        <v>639</v>
      </c>
      <c r="E9" t="s">
        <v>640</v>
      </c>
      <c r="F9" s="1">
        <v>7</v>
      </c>
      <c r="G9">
        <v>790</v>
      </c>
      <c r="H9">
        <v>30</v>
      </c>
      <c r="I9">
        <f t="shared" si="0"/>
        <v>760</v>
      </c>
      <c r="J9" t="s">
        <v>627</v>
      </c>
      <c r="K9" t="s">
        <v>22</v>
      </c>
      <c r="L9" t="s">
        <v>623</v>
      </c>
      <c r="Q9">
        <v>1</v>
      </c>
    </row>
    <row r="10" spans="1:17" s="5" customFormat="1" x14ac:dyDescent="0.25">
      <c r="B10" s="5" t="s">
        <v>18</v>
      </c>
      <c r="C10" s="5" t="s">
        <v>641</v>
      </c>
      <c r="D10" s="5" t="s">
        <v>642</v>
      </c>
      <c r="E10" s="5" t="s">
        <v>643</v>
      </c>
      <c r="F10" s="8" t="s">
        <v>97</v>
      </c>
      <c r="G10" s="5">
        <v>605</v>
      </c>
      <c r="H10" s="5">
        <v>25</v>
      </c>
      <c r="I10" s="5">
        <f t="shared" si="0"/>
        <v>580</v>
      </c>
      <c r="J10" s="5" t="s">
        <v>27</v>
      </c>
      <c r="K10" s="5" t="s">
        <v>22</v>
      </c>
      <c r="L10" s="5" t="s">
        <v>623</v>
      </c>
      <c r="Q10" s="5">
        <v>1</v>
      </c>
    </row>
    <row r="11" spans="1:17" s="34" customFormat="1" x14ac:dyDescent="0.25">
      <c r="B11" s="34" t="s">
        <v>18</v>
      </c>
      <c r="C11" s="34" t="s">
        <v>644</v>
      </c>
      <c r="D11" s="34" t="s">
        <v>645</v>
      </c>
      <c r="E11" s="34" t="s">
        <v>646</v>
      </c>
      <c r="F11" s="35">
        <v>8</v>
      </c>
      <c r="G11" s="34">
        <v>605</v>
      </c>
      <c r="H11" s="34">
        <v>25</v>
      </c>
      <c r="I11" s="34">
        <f t="shared" si="0"/>
        <v>580</v>
      </c>
      <c r="J11" s="34" t="s">
        <v>627</v>
      </c>
      <c r="K11" s="34" t="s">
        <v>22</v>
      </c>
      <c r="L11" s="34" t="s">
        <v>623</v>
      </c>
      <c r="Q11" s="34">
        <v>1</v>
      </c>
    </row>
    <row r="12" spans="1:17" x14ac:dyDescent="0.25">
      <c r="B12" t="s">
        <v>18</v>
      </c>
      <c r="C12" t="s">
        <v>647</v>
      </c>
      <c r="D12" t="s">
        <v>648</v>
      </c>
      <c r="E12" t="s">
        <v>649</v>
      </c>
      <c r="F12" s="1" t="s">
        <v>118</v>
      </c>
      <c r="G12">
        <v>1045</v>
      </c>
      <c r="H12">
        <v>25</v>
      </c>
      <c r="I12">
        <f t="shared" si="0"/>
        <v>1020</v>
      </c>
      <c r="J12" t="s">
        <v>22</v>
      </c>
      <c r="K12" t="s">
        <v>22</v>
      </c>
      <c r="L12" t="s">
        <v>623</v>
      </c>
      <c r="Q12">
        <v>1</v>
      </c>
    </row>
    <row r="13" spans="1:17" x14ac:dyDescent="0.25">
      <c r="B13" t="s">
        <v>18</v>
      </c>
      <c r="C13" t="s">
        <v>650</v>
      </c>
      <c r="D13" t="s">
        <v>651</v>
      </c>
      <c r="E13" t="s">
        <v>652</v>
      </c>
      <c r="F13" s="1">
        <v>1</v>
      </c>
      <c r="G13">
        <v>655</v>
      </c>
      <c r="H13">
        <v>25</v>
      </c>
      <c r="I13">
        <f t="shared" si="0"/>
        <v>630</v>
      </c>
      <c r="J13" t="s">
        <v>27</v>
      </c>
      <c r="K13" t="s">
        <v>22</v>
      </c>
      <c r="L13" t="s">
        <v>623</v>
      </c>
      <c r="Q13">
        <v>1</v>
      </c>
    </row>
    <row r="14" spans="1:17" s="5" customFormat="1" x14ac:dyDescent="0.25">
      <c r="B14" s="5" t="s">
        <v>18</v>
      </c>
      <c r="C14" s="5" t="s">
        <v>653</v>
      </c>
      <c r="D14" s="5" t="s">
        <v>654</v>
      </c>
      <c r="E14" s="5" t="s">
        <v>655</v>
      </c>
      <c r="F14" s="8">
        <v>8</v>
      </c>
      <c r="G14" s="5">
        <v>715</v>
      </c>
      <c r="H14" s="5">
        <v>25</v>
      </c>
      <c r="I14" s="5">
        <f t="shared" si="0"/>
        <v>690</v>
      </c>
      <c r="J14" s="5" t="s">
        <v>627</v>
      </c>
      <c r="K14" s="5" t="s">
        <v>22</v>
      </c>
      <c r="L14" s="5" t="s">
        <v>623</v>
      </c>
      <c r="Q14" s="5">
        <v>1</v>
      </c>
    </row>
    <row r="15" spans="1:17" x14ac:dyDescent="0.25">
      <c r="B15" t="s">
        <v>18</v>
      </c>
      <c r="C15" t="s">
        <v>656</v>
      </c>
      <c r="D15" t="s">
        <v>657</v>
      </c>
      <c r="E15" t="s">
        <v>658</v>
      </c>
      <c r="F15" s="1">
        <v>7</v>
      </c>
      <c r="G15">
        <v>790</v>
      </c>
      <c r="H15">
        <v>30</v>
      </c>
      <c r="I15">
        <f>-H15</f>
        <v>-30</v>
      </c>
      <c r="J15" t="s">
        <v>627</v>
      </c>
      <c r="K15" t="s">
        <v>22</v>
      </c>
      <c r="L15" t="s">
        <v>623</v>
      </c>
      <c r="Q15">
        <v>1</v>
      </c>
    </row>
    <row r="16" spans="1:17" x14ac:dyDescent="0.25">
      <c r="B16" t="s">
        <v>18</v>
      </c>
      <c r="C16" t="s">
        <v>659</v>
      </c>
      <c r="D16" t="s">
        <v>660</v>
      </c>
      <c r="E16" t="s">
        <v>661</v>
      </c>
      <c r="F16" s="1">
        <v>2</v>
      </c>
      <c r="G16">
        <v>0</v>
      </c>
      <c r="H16">
        <v>30</v>
      </c>
      <c r="I16">
        <f t="shared" ref="I16:I37" si="1">G16-H16</f>
        <v>-30</v>
      </c>
      <c r="J16" t="s">
        <v>22</v>
      </c>
      <c r="K16" t="s">
        <v>22</v>
      </c>
      <c r="L16" t="s">
        <v>623</v>
      </c>
      <c r="Q16">
        <v>1</v>
      </c>
    </row>
    <row r="17" spans="2:17" s="34" customFormat="1" x14ac:dyDescent="0.25">
      <c r="B17" s="34" t="s">
        <v>18</v>
      </c>
      <c r="C17" s="34" t="s">
        <v>662</v>
      </c>
      <c r="D17" s="34" t="s">
        <v>663</v>
      </c>
      <c r="E17" s="34" t="s">
        <v>664</v>
      </c>
      <c r="F17" s="35">
        <v>7</v>
      </c>
      <c r="G17" s="34">
        <v>0</v>
      </c>
      <c r="H17" s="34">
        <v>30</v>
      </c>
      <c r="I17" s="34">
        <f t="shared" si="1"/>
        <v>-30</v>
      </c>
      <c r="J17" s="34" t="s">
        <v>627</v>
      </c>
      <c r="K17" s="34" t="s">
        <v>22</v>
      </c>
      <c r="L17" s="34" t="s">
        <v>623</v>
      </c>
      <c r="Q17" s="34">
        <v>1</v>
      </c>
    </row>
    <row r="18" spans="2:17" s="34" customFormat="1" x14ac:dyDescent="0.25">
      <c r="B18" s="34" t="s">
        <v>18</v>
      </c>
      <c r="C18" s="34" t="s">
        <v>665</v>
      </c>
      <c r="D18" s="34" t="s">
        <v>666</v>
      </c>
      <c r="E18" s="34" t="s">
        <v>667</v>
      </c>
      <c r="F18" s="35">
        <v>8</v>
      </c>
      <c r="G18" s="34">
        <v>855</v>
      </c>
      <c r="H18" s="34">
        <v>25</v>
      </c>
      <c r="I18" s="34">
        <f t="shared" si="1"/>
        <v>830</v>
      </c>
      <c r="J18" s="34" t="s">
        <v>627</v>
      </c>
      <c r="K18" s="34" t="s">
        <v>22</v>
      </c>
      <c r="L18" s="34" t="s">
        <v>623</v>
      </c>
      <c r="Q18" s="34">
        <v>1</v>
      </c>
    </row>
    <row r="19" spans="2:17" s="34" customFormat="1" x14ac:dyDescent="0.25">
      <c r="B19" s="34" t="s">
        <v>18</v>
      </c>
      <c r="C19" s="34" t="s">
        <v>609</v>
      </c>
      <c r="D19" s="34" t="s">
        <v>668</v>
      </c>
      <c r="E19" s="34" t="s">
        <v>669</v>
      </c>
      <c r="F19" s="35" t="s">
        <v>93</v>
      </c>
      <c r="G19" s="34">
        <v>390</v>
      </c>
      <c r="H19" s="34">
        <v>20</v>
      </c>
      <c r="I19" s="34">
        <f t="shared" si="1"/>
        <v>370</v>
      </c>
      <c r="J19" s="34" t="s">
        <v>27</v>
      </c>
      <c r="K19" s="34" t="s">
        <v>22</v>
      </c>
      <c r="L19" s="34" t="s">
        <v>623</v>
      </c>
      <c r="Q19" s="34">
        <v>1</v>
      </c>
    </row>
    <row r="20" spans="2:17" s="5" customFormat="1" x14ac:dyDescent="0.25">
      <c r="B20" s="5" t="s">
        <v>18</v>
      </c>
      <c r="C20" s="5" t="s">
        <v>670</v>
      </c>
      <c r="D20" s="5" t="s">
        <v>671</v>
      </c>
      <c r="E20" s="5" t="s">
        <v>672</v>
      </c>
      <c r="F20" s="8" t="s">
        <v>97</v>
      </c>
      <c r="G20" s="5">
        <v>385</v>
      </c>
      <c r="H20" s="5">
        <v>25</v>
      </c>
      <c r="I20" s="5">
        <f t="shared" si="1"/>
        <v>360</v>
      </c>
      <c r="J20" s="5" t="s">
        <v>27</v>
      </c>
      <c r="K20" s="5" t="s">
        <v>22</v>
      </c>
      <c r="L20" s="5" t="s">
        <v>623</v>
      </c>
      <c r="Q20" s="5">
        <v>1</v>
      </c>
    </row>
    <row r="21" spans="2:17" s="34" customFormat="1" x14ac:dyDescent="0.25">
      <c r="B21" s="34" t="s">
        <v>18</v>
      </c>
      <c r="C21" s="34" t="s">
        <v>673</v>
      </c>
      <c r="D21" s="34" t="s">
        <v>674</v>
      </c>
      <c r="E21" s="34" t="s">
        <v>675</v>
      </c>
      <c r="F21" s="35" t="s">
        <v>97</v>
      </c>
      <c r="G21" s="34">
        <v>995</v>
      </c>
      <c r="H21" s="34">
        <v>25</v>
      </c>
      <c r="I21" s="34">
        <f t="shared" si="1"/>
        <v>970</v>
      </c>
      <c r="J21" s="34" t="s">
        <v>27</v>
      </c>
      <c r="K21" s="34" t="s">
        <v>22</v>
      </c>
      <c r="L21" s="34" t="s">
        <v>623</v>
      </c>
      <c r="Q21" s="34">
        <v>1</v>
      </c>
    </row>
    <row r="22" spans="2:17" s="5" customFormat="1" x14ac:dyDescent="0.25">
      <c r="B22" s="5" t="s">
        <v>18</v>
      </c>
      <c r="C22" s="5" t="s">
        <v>676</v>
      </c>
      <c r="D22" s="5" t="s">
        <v>677</v>
      </c>
      <c r="E22" s="5" t="s">
        <v>678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623</v>
      </c>
      <c r="Q22" s="5">
        <v>1</v>
      </c>
    </row>
    <row r="23" spans="2:17" s="34" customFormat="1" x14ac:dyDescent="0.25">
      <c r="B23" s="34" t="s">
        <v>18</v>
      </c>
      <c r="C23" s="34" t="s">
        <v>679</v>
      </c>
      <c r="D23" s="34" t="s">
        <v>680</v>
      </c>
      <c r="E23" s="34" t="s">
        <v>681</v>
      </c>
      <c r="F23" s="35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623</v>
      </c>
      <c r="Q23" s="34">
        <v>1</v>
      </c>
    </row>
    <row r="24" spans="2:17" s="34" customFormat="1" x14ac:dyDescent="0.25">
      <c r="B24" s="34" t="s">
        <v>18</v>
      </c>
      <c r="C24" s="34" t="s">
        <v>682</v>
      </c>
      <c r="D24" s="34" t="s">
        <v>683</v>
      </c>
      <c r="E24" s="34" t="s">
        <v>684</v>
      </c>
      <c r="F24" s="35" t="s">
        <v>118</v>
      </c>
      <c r="G24" s="34">
        <v>1435</v>
      </c>
      <c r="H24" s="34">
        <v>25</v>
      </c>
      <c r="I24" s="34">
        <f t="shared" si="1"/>
        <v>1410</v>
      </c>
      <c r="J24" s="34" t="s">
        <v>22</v>
      </c>
      <c r="K24" s="34" t="s">
        <v>22</v>
      </c>
      <c r="L24" s="34" t="s">
        <v>623</v>
      </c>
      <c r="Q24" s="34">
        <v>1</v>
      </c>
    </row>
    <row r="25" spans="2:17" x14ac:dyDescent="0.25">
      <c r="B25" t="s">
        <v>18</v>
      </c>
      <c r="C25" t="s">
        <v>685</v>
      </c>
      <c r="D25" t="s">
        <v>686</v>
      </c>
      <c r="E25" t="s">
        <v>687</v>
      </c>
      <c r="F25" s="1">
        <v>1</v>
      </c>
      <c r="G25">
        <v>745</v>
      </c>
      <c r="H25">
        <v>25</v>
      </c>
      <c r="I25">
        <f t="shared" si="1"/>
        <v>720</v>
      </c>
      <c r="J25" t="s">
        <v>27</v>
      </c>
      <c r="K25" t="s">
        <v>22</v>
      </c>
      <c r="L25" t="s">
        <v>623</v>
      </c>
      <c r="Q25">
        <v>1</v>
      </c>
    </row>
    <row r="26" spans="2:17" x14ac:dyDescent="0.25">
      <c r="B26" t="s">
        <v>18</v>
      </c>
      <c r="C26" t="s">
        <v>688</v>
      </c>
      <c r="D26" t="s">
        <v>689</v>
      </c>
      <c r="E26" t="s">
        <v>690</v>
      </c>
      <c r="F26" s="1">
        <v>10</v>
      </c>
      <c r="G26">
        <v>705</v>
      </c>
      <c r="H26">
        <v>25</v>
      </c>
      <c r="I26">
        <f t="shared" si="1"/>
        <v>680</v>
      </c>
      <c r="J26" t="s">
        <v>27</v>
      </c>
      <c r="K26" t="s">
        <v>22</v>
      </c>
      <c r="L26" t="s">
        <v>623</v>
      </c>
      <c r="Q26">
        <v>1</v>
      </c>
    </row>
    <row r="27" spans="2:17" x14ac:dyDescent="0.25">
      <c r="B27" t="s">
        <v>18</v>
      </c>
      <c r="C27" t="s">
        <v>691</v>
      </c>
      <c r="D27" t="s">
        <v>692</v>
      </c>
      <c r="E27" t="s">
        <v>693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627</v>
      </c>
      <c r="K27" t="s">
        <v>22</v>
      </c>
      <c r="L27" t="s">
        <v>623</v>
      </c>
      <c r="Q27">
        <v>1</v>
      </c>
    </row>
    <row r="28" spans="2:17" x14ac:dyDescent="0.25">
      <c r="B28" t="s">
        <v>18</v>
      </c>
      <c r="C28" t="s">
        <v>694</v>
      </c>
      <c r="D28" t="s">
        <v>695</v>
      </c>
      <c r="E28" t="s">
        <v>696</v>
      </c>
      <c r="F28" s="1">
        <v>8</v>
      </c>
      <c r="G28">
        <v>0</v>
      </c>
      <c r="H28">
        <v>25</v>
      </c>
      <c r="I28">
        <f t="shared" si="1"/>
        <v>-25</v>
      </c>
      <c r="J28" t="s">
        <v>627</v>
      </c>
      <c r="K28" t="s">
        <v>22</v>
      </c>
      <c r="L28" t="s">
        <v>623</v>
      </c>
      <c r="Q28">
        <v>1</v>
      </c>
    </row>
    <row r="29" spans="2:17" x14ac:dyDescent="0.25">
      <c r="B29" t="s">
        <v>18</v>
      </c>
      <c r="C29" t="s">
        <v>697</v>
      </c>
      <c r="D29" t="s">
        <v>698</v>
      </c>
      <c r="E29" t="s">
        <v>699</v>
      </c>
      <c r="F29" s="1">
        <v>7</v>
      </c>
      <c r="G29">
        <v>790</v>
      </c>
      <c r="H29">
        <v>30</v>
      </c>
      <c r="I29">
        <f t="shared" si="1"/>
        <v>760</v>
      </c>
      <c r="J29" t="s">
        <v>627</v>
      </c>
      <c r="K29" t="s">
        <v>22</v>
      </c>
      <c r="L29" t="s">
        <v>623</v>
      </c>
      <c r="Q29">
        <v>1</v>
      </c>
    </row>
    <row r="30" spans="2:17" x14ac:dyDescent="0.25">
      <c r="B30" t="s">
        <v>18</v>
      </c>
      <c r="C30" t="s">
        <v>700</v>
      </c>
      <c r="D30" t="s">
        <v>701</v>
      </c>
      <c r="E30" t="s">
        <v>702</v>
      </c>
      <c r="F30" s="1">
        <v>8</v>
      </c>
      <c r="G30">
        <v>745</v>
      </c>
      <c r="H30">
        <v>25</v>
      </c>
      <c r="I30">
        <f t="shared" si="1"/>
        <v>720</v>
      </c>
      <c r="J30" t="s">
        <v>627</v>
      </c>
      <c r="K30" t="s">
        <v>22</v>
      </c>
      <c r="L30" t="s">
        <v>623</v>
      </c>
      <c r="Q30">
        <v>1</v>
      </c>
    </row>
    <row r="31" spans="2:17" x14ac:dyDescent="0.25">
      <c r="B31" t="s">
        <v>18</v>
      </c>
      <c r="C31" t="s">
        <v>703</v>
      </c>
      <c r="D31" t="s">
        <v>704</v>
      </c>
      <c r="E31" t="s">
        <v>705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627</v>
      </c>
      <c r="K31" t="s">
        <v>22</v>
      </c>
      <c r="L31" t="s">
        <v>623</v>
      </c>
      <c r="Q31">
        <v>1</v>
      </c>
    </row>
    <row r="32" spans="2:17" x14ac:dyDescent="0.25">
      <c r="B32" t="s">
        <v>18</v>
      </c>
      <c r="C32" t="s">
        <v>706</v>
      </c>
      <c r="D32" t="s">
        <v>707</v>
      </c>
      <c r="E32" t="s">
        <v>708</v>
      </c>
      <c r="F32" s="1">
        <v>7</v>
      </c>
      <c r="G32">
        <v>790</v>
      </c>
      <c r="H32">
        <v>30</v>
      </c>
      <c r="I32">
        <f t="shared" si="1"/>
        <v>760</v>
      </c>
      <c r="J32" t="s">
        <v>627</v>
      </c>
      <c r="K32" t="s">
        <v>22</v>
      </c>
      <c r="L32" t="s">
        <v>623</v>
      </c>
      <c r="Q32">
        <v>1</v>
      </c>
    </row>
    <row r="33" spans="1:17" s="5" customFormat="1" x14ac:dyDescent="0.25">
      <c r="B33" s="5" t="s">
        <v>18</v>
      </c>
      <c r="C33" s="5" t="s">
        <v>709</v>
      </c>
      <c r="D33" s="5" t="s">
        <v>710</v>
      </c>
      <c r="E33" s="5" t="s">
        <v>711</v>
      </c>
      <c r="F33" s="8">
        <v>7</v>
      </c>
      <c r="G33" s="5">
        <v>820</v>
      </c>
      <c r="H33" s="5">
        <v>30</v>
      </c>
      <c r="I33" s="5">
        <f t="shared" si="1"/>
        <v>790</v>
      </c>
      <c r="J33" s="5" t="s">
        <v>627</v>
      </c>
      <c r="K33" s="5" t="s">
        <v>22</v>
      </c>
      <c r="L33" s="5" t="s">
        <v>623</v>
      </c>
      <c r="Q33" s="5">
        <v>1</v>
      </c>
    </row>
    <row r="34" spans="1:17" s="34" customFormat="1" x14ac:dyDescent="0.25">
      <c r="B34" s="34" t="s">
        <v>18</v>
      </c>
      <c r="C34" s="34" t="s">
        <v>712</v>
      </c>
      <c r="D34" s="34" t="s">
        <v>713</v>
      </c>
      <c r="E34" s="34" t="s">
        <v>714</v>
      </c>
      <c r="F34" s="35" t="s">
        <v>63</v>
      </c>
      <c r="G34" s="34">
        <v>365</v>
      </c>
      <c r="H34" s="34">
        <v>25</v>
      </c>
      <c r="I34" s="34">
        <f t="shared" si="1"/>
        <v>340</v>
      </c>
      <c r="J34" s="34" t="s">
        <v>627</v>
      </c>
      <c r="K34" s="34" t="s">
        <v>22</v>
      </c>
      <c r="L34" s="34" t="s">
        <v>623</v>
      </c>
      <c r="Q34" s="34">
        <v>1</v>
      </c>
    </row>
    <row r="35" spans="1:17" s="34" customFormat="1" x14ac:dyDescent="0.25">
      <c r="B35" s="34" t="s">
        <v>18</v>
      </c>
      <c r="C35" s="34" t="s">
        <v>395</v>
      </c>
      <c r="D35" s="34" t="s">
        <v>715</v>
      </c>
      <c r="E35" s="34" t="s">
        <v>716</v>
      </c>
      <c r="F35" s="35" t="s">
        <v>35</v>
      </c>
      <c r="G35" s="34">
        <v>790</v>
      </c>
      <c r="H35" s="34">
        <v>30</v>
      </c>
      <c r="I35" s="34">
        <f t="shared" si="1"/>
        <v>760</v>
      </c>
      <c r="J35" s="34" t="s">
        <v>22</v>
      </c>
      <c r="K35" s="34" t="s">
        <v>22</v>
      </c>
      <c r="L35" s="34" t="s">
        <v>623</v>
      </c>
      <c r="Q35" s="34">
        <v>1</v>
      </c>
    </row>
    <row r="36" spans="1:17" s="34" customFormat="1" x14ac:dyDescent="0.25">
      <c r="B36" s="34" t="s">
        <v>18</v>
      </c>
      <c r="C36" s="34" t="s">
        <v>717</v>
      </c>
      <c r="D36" s="34" t="s">
        <v>718</v>
      </c>
      <c r="E36" s="34" t="s">
        <v>719</v>
      </c>
      <c r="F36" s="35">
        <v>5</v>
      </c>
      <c r="G36" s="34">
        <v>605</v>
      </c>
      <c r="H36" s="34">
        <v>25</v>
      </c>
      <c r="I36" s="34">
        <f t="shared" si="1"/>
        <v>580</v>
      </c>
      <c r="J36" s="34" t="s">
        <v>27</v>
      </c>
      <c r="K36" s="34" t="s">
        <v>22</v>
      </c>
      <c r="L36" s="34" t="s">
        <v>623</v>
      </c>
      <c r="Q36" s="34">
        <v>1</v>
      </c>
    </row>
    <row r="37" spans="1:17" s="5" customFormat="1" x14ac:dyDescent="0.25">
      <c r="B37" s="5" t="s">
        <v>18</v>
      </c>
      <c r="C37" s="5" t="s">
        <v>720</v>
      </c>
      <c r="D37" s="5" t="s">
        <v>721</v>
      </c>
      <c r="E37" s="5" t="s">
        <v>722</v>
      </c>
      <c r="F37" s="8" t="s">
        <v>97</v>
      </c>
      <c r="G37" s="5">
        <v>0</v>
      </c>
      <c r="H37" s="5">
        <v>25</v>
      </c>
      <c r="I37" s="5">
        <f t="shared" si="1"/>
        <v>-25</v>
      </c>
      <c r="J37" s="5" t="s">
        <v>27</v>
      </c>
      <c r="K37" s="5" t="s">
        <v>22</v>
      </c>
      <c r="L37" s="5" t="s">
        <v>623</v>
      </c>
      <c r="Q37" s="5">
        <v>1</v>
      </c>
    </row>
    <row r="38" spans="1:17" s="5" customFormat="1" x14ac:dyDescent="0.25">
      <c r="A38" s="5" t="s">
        <v>255</v>
      </c>
      <c r="B38" s="5" t="s">
        <v>18</v>
      </c>
      <c r="C38" s="5" t="s">
        <v>543</v>
      </c>
      <c r="E38" s="5" t="s">
        <v>723</v>
      </c>
      <c r="F38" s="8">
        <v>4</v>
      </c>
      <c r="G38" s="5">
        <v>25</v>
      </c>
      <c r="H38" s="5">
        <v>25</v>
      </c>
      <c r="I38" s="5">
        <f>H38</f>
        <v>25</v>
      </c>
      <c r="J38" s="5" t="s">
        <v>27</v>
      </c>
      <c r="K38" s="5" t="s">
        <v>22</v>
      </c>
      <c r="L38" s="5" t="s">
        <v>623</v>
      </c>
      <c r="M38" s="5" t="s">
        <v>724</v>
      </c>
      <c r="Q38" s="5">
        <v>1</v>
      </c>
    </row>
    <row r="39" spans="1:17" s="13" customFormat="1" x14ac:dyDescent="0.25">
      <c r="A39" s="13" t="s">
        <v>255</v>
      </c>
      <c r="B39" s="13" t="s">
        <v>18</v>
      </c>
      <c r="C39" s="13" t="s">
        <v>258</v>
      </c>
      <c r="E39" s="13" t="s">
        <v>725</v>
      </c>
      <c r="F39" s="37" t="s">
        <v>118</v>
      </c>
      <c r="G39" s="13">
        <v>30</v>
      </c>
      <c r="H39" s="13">
        <v>30</v>
      </c>
      <c r="I39" s="13">
        <f>G39-H39</f>
        <v>0</v>
      </c>
      <c r="J39" s="13" t="s">
        <v>22</v>
      </c>
      <c r="K39" s="13" t="s">
        <v>22</v>
      </c>
      <c r="L39" s="13" t="s">
        <v>623</v>
      </c>
      <c r="M39" s="13" t="s">
        <v>724</v>
      </c>
      <c r="Q39" s="13">
        <v>1</v>
      </c>
    </row>
    <row r="40" spans="1:17" x14ac:dyDescent="0.25">
      <c r="A40" t="s">
        <v>255</v>
      </c>
      <c r="B40" t="s">
        <v>18</v>
      </c>
      <c r="C40" t="s">
        <v>726</v>
      </c>
      <c r="E40" t="s">
        <v>727</v>
      </c>
      <c r="F40" s="1">
        <v>2</v>
      </c>
      <c r="G40">
        <v>35</v>
      </c>
      <c r="H40">
        <v>35</v>
      </c>
      <c r="I40">
        <f>G40-H40</f>
        <v>0</v>
      </c>
      <c r="J40" t="s">
        <v>22</v>
      </c>
      <c r="K40" t="s">
        <v>22</v>
      </c>
      <c r="L40" t="s">
        <v>623</v>
      </c>
      <c r="M40" t="s">
        <v>724</v>
      </c>
      <c r="Q40">
        <v>1</v>
      </c>
    </row>
    <row r="41" spans="1:17" s="34" customFormat="1" x14ac:dyDescent="0.25">
      <c r="A41" s="34" t="s">
        <v>255</v>
      </c>
      <c r="B41" s="34" t="s">
        <v>18</v>
      </c>
      <c r="C41" s="34" t="s">
        <v>728</v>
      </c>
      <c r="E41" s="34" t="s">
        <v>729</v>
      </c>
      <c r="F41" s="35" t="s">
        <v>118</v>
      </c>
      <c r="G41" s="34">
        <v>615</v>
      </c>
      <c r="H41" s="34">
        <v>25</v>
      </c>
      <c r="I41" s="34">
        <f>-H41</f>
        <v>-25</v>
      </c>
      <c r="J41" s="34" t="s">
        <v>22</v>
      </c>
      <c r="K41" s="34" t="s">
        <v>22</v>
      </c>
      <c r="L41" s="34" t="s">
        <v>623</v>
      </c>
      <c r="M41" s="34" t="s">
        <v>730</v>
      </c>
      <c r="Q41" s="34">
        <v>1</v>
      </c>
    </row>
    <row r="42" spans="1:17" s="34" customFormat="1" x14ac:dyDescent="0.25">
      <c r="A42" s="34" t="s">
        <v>255</v>
      </c>
      <c r="B42" s="34" t="s">
        <v>18</v>
      </c>
      <c r="C42" s="34" t="s">
        <v>731</v>
      </c>
      <c r="E42" s="34" t="s">
        <v>732</v>
      </c>
      <c r="F42" s="35"/>
      <c r="G42" s="34">
        <v>1830</v>
      </c>
      <c r="H42" s="34">
        <v>30</v>
      </c>
      <c r="I42" s="34">
        <f>G42-H42</f>
        <v>1800</v>
      </c>
      <c r="J42" s="34" t="s">
        <v>627</v>
      </c>
      <c r="K42" s="34" t="s">
        <v>22</v>
      </c>
      <c r="L42" s="34" t="s">
        <v>623</v>
      </c>
      <c r="M42" s="34" t="s">
        <v>733</v>
      </c>
      <c r="Q42" s="34">
        <v>1</v>
      </c>
    </row>
    <row r="43" spans="1:17" s="48" customFormat="1" x14ac:dyDescent="0.25">
      <c r="A43" s="48" t="s">
        <v>255</v>
      </c>
      <c r="B43" s="48" t="s">
        <v>18</v>
      </c>
      <c r="C43" s="48" t="s">
        <v>260</v>
      </c>
      <c r="E43" s="48" t="s">
        <v>261</v>
      </c>
      <c r="F43" s="48" t="s">
        <v>97</v>
      </c>
      <c r="G43" s="48">
        <v>0</v>
      </c>
      <c r="H43" s="48">
        <v>25</v>
      </c>
      <c r="I43" s="48">
        <v>-25</v>
      </c>
      <c r="J43" s="48" t="s">
        <v>27</v>
      </c>
      <c r="K43" s="48" t="s">
        <v>22</v>
      </c>
      <c r="L43" s="48" t="s">
        <v>623</v>
      </c>
      <c r="Q43" s="48">
        <v>1</v>
      </c>
    </row>
    <row r="44" spans="1:17" x14ac:dyDescent="0.25">
      <c r="A44" t="s">
        <v>255</v>
      </c>
      <c r="B44" t="s">
        <v>18</v>
      </c>
      <c r="C44" t="s">
        <v>734</v>
      </c>
      <c r="E44" t="s">
        <v>735</v>
      </c>
      <c r="F44" t="s">
        <v>97</v>
      </c>
      <c r="G44">
        <v>1270</v>
      </c>
      <c r="H44">
        <v>30</v>
      </c>
      <c r="I44">
        <v>1240</v>
      </c>
      <c r="J44" t="s">
        <v>27</v>
      </c>
      <c r="K44" t="s">
        <v>22</v>
      </c>
      <c r="L44" t="s">
        <v>623</v>
      </c>
      <c r="Q44">
        <v>1</v>
      </c>
    </row>
    <row r="45" spans="1:17" s="33" customFormat="1" x14ac:dyDescent="0.25">
      <c r="B45" s="33" t="s">
        <v>18</v>
      </c>
      <c r="C45" s="33" t="s">
        <v>523</v>
      </c>
      <c r="D45" s="33" t="s">
        <v>524</v>
      </c>
      <c r="E45" s="33" t="s">
        <v>525</v>
      </c>
      <c r="F45" s="33" t="s">
        <v>35</v>
      </c>
      <c r="G45" s="33">
        <v>610</v>
      </c>
      <c r="H45" s="33">
        <v>30</v>
      </c>
      <c r="I45" s="33">
        <v>580</v>
      </c>
      <c r="J45" s="33" t="s">
        <v>425</v>
      </c>
      <c r="K45" s="33" t="s">
        <v>22</v>
      </c>
      <c r="L45" s="33" t="s">
        <v>457</v>
      </c>
      <c r="M45" s="33" t="s">
        <v>74</v>
      </c>
      <c r="N45" s="33" t="s">
        <v>275</v>
      </c>
      <c r="O45" s="33" t="s">
        <v>275</v>
      </c>
      <c r="P45" s="33" t="s">
        <v>427</v>
      </c>
      <c r="Q45" s="33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737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738</v>
      </c>
      <c r="D3" s="5" t="s">
        <v>739</v>
      </c>
      <c r="E3" s="5" t="s">
        <v>740</v>
      </c>
      <c r="F3" s="5" t="s">
        <v>93</v>
      </c>
      <c r="G3" s="5">
        <v>0</v>
      </c>
      <c r="H3" s="5">
        <v>20</v>
      </c>
      <c r="I3" s="5">
        <f t="shared" ref="I3:I39" si="0">G3-H3</f>
        <v>-20</v>
      </c>
      <c r="J3" s="5" t="s">
        <v>27</v>
      </c>
      <c r="K3" s="5" t="s">
        <v>22</v>
      </c>
      <c r="L3" s="5" t="s">
        <v>741</v>
      </c>
      <c r="Q3" s="5">
        <v>1</v>
      </c>
    </row>
    <row r="4" spans="1:17" s="34" customFormat="1" x14ac:dyDescent="0.25">
      <c r="B4" s="34" t="s">
        <v>18</v>
      </c>
      <c r="C4" s="34" t="s">
        <v>147</v>
      </c>
      <c r="D4" s="34" t="s">
        <v>742</v>
      </c>
      <c r="E4" s="34" t="s">
        <v>743</v>
      </c>
      <c r="F4" s="34" t="s">
        <v>744</v>
      </c>
      <c r="G4" s="34">
        <v>780</v>
      </c>
      <c r="H4" s="34">
        <v>30</v>
      </c>
      <c r="I4" s="34">
        <f t="shared" si="0"/>
        <v>750</v>
      </c>
      <c r="J4" s="34" t="s">
        <v>745</v>
      </c>
      <c r="K4" s="34" t="s">
        <v>22</v>
      </c>
      <c r="L4" s="34" t="s">
        <v>741</v>
      </c>
      <c r="Q4" s="34">
        <v>1</v>
      </c>
    </row>
    <row r="5" spans="1:17" s="40" customFormat="1" x14ac:dyDescent="0.25">
      <c r="B5" s="40" t="s">
        <v>18</v>
      </c>
      <c r="C5" s="40" t="s">
        <v>746</v>
      </c>
      <c r="D5" s="40" t="s">
        <v>747</v>
      </c>
      <c r="E5" s="40" t="s">
        <v>525</v>
      </c>
      <c r="F5" s="41" t="s">
        <v>35</v>
      </c>
      <c r="G5" s="40">
        <v>0</v>
      </c>
      <c r="H5" s="40">
        <v>30</v>
      </c>
      <c r="I5" s="40">
        <f t="shared" si="0"/>
        <v>-30</v>
      </c>
      <c r="J5" s="40" t="s">
        <v>22</v>
      </c>
      <c r="K5" s="40" t="s">
        <v>22</v>
      </c>
      <c r="L5" s="40" t="s">
        <v>741</v>
      </c>
      <c r="Q5" s="40">
        <v>1</v>
      </c>
    </row>
    <row r="6" spans="1:17" s="40" customFormat="1" x14ac:dyDescent="0.25">
      <c r="B6" s="40" t="s">
        <v>18</v>
      </c>
      <c r="C6" s="40" t="s">
        <v>748</v>
      </c>
      <c r="D6" s="40" t="s">
        <v>749</v>
      </c>
      <c r="E6" s="40" t="s">
        <v>750</v>
      </c>
      <c r="F6" s="40">
        <v>10</v>
      </c>
      <c r="G6" s="40">
        <v>785</v>
      </c>
      <c r="H6" s="40">
        <v>25</v>
      </c>
      <c r="I6" s="40">
        <f t="shared" si="0"/>
        <v>760</v>
      </c>
      <c r="J6" s="40" t="s">
        <v>27</v>
      </c>
      <c r="K6" s="40" t="s">
        <v>22</v>
      </c>
      <c r="L6" s="40" t="s">
        <v>741</v>
      </c>
      <c r="Q6" s="40">
        <v>1</v>
      </c>
    </row>
    <row r="7" spans="1:17" s="5" customFormat="1" x14ac:dyDescent="0.25">
      <c r="B7" s="5" t="s">
        <v>18</v>
      </c>
      <c r="C7" s="5" t="s">
        <v>751</v>
      </c>
      <c r="D7" s="5" t="s">
        <v>752</v>
      </c>
      <c r="E7" s="5" t="s">
        <v>753</v>
      </c>
      <c r="F7" s="5">
        <v>9</v>
      </c>
      <c r="G7" s="5">
        <v>750</v>
      </c>
      <c r="H7" s="5">
        <v>30</v>
      </c>
      <c r="I7" s="5">
        <f t="shared" si="0"/>
        <v>720</v>
      </c>
      <c r="J7" s="5" t="s">
        <v>745</v>
      </c>
      <c r="K7" s="5" t="s">
        <v>22</v>
      </c>
      <c r="L7" s="5" t="s">
        <v>741</v>
      </c>
      <c r="Q7" s="5">
        <v>1</v>
      </c>
    </row>
    <row r="8" spans="1:17" s="40" customFormat="1" x14ac:dyDescent="0.25">
      <c r="B8" s="40" t="s">
        <v>18</v>
      </c>
      <c r="C8" s="40" t="s">
        <v>754</v>
      </c>
      <c r="D8" s="40" t="s">
        <v>755</v>
      </c>
      <c r="E8" s="40" t="s">
        <v>756</v>
      </c>
      <c r="F8" s="41">
        <v>7</v>
      </c>
      <c r="G8" s="40">
        <v>790</v>
      </c>
      <c r="H8" s="40">
        <v>30</v>
      </c>
      <c r="I8" s="40">
        <f t="shared" si="0"/>
        <v>760</v>
      </c>
      <c r="J8" s="40" t="s">
        <v>745</v>
      </c>
      <c r="K8" s="40" t="s">
        <v>22</v>
      </c>
      <c r="L8" s="40" t="s">
        <v>741</v>
      </c>
      <c r="Q8" s="40">
        <v>1</v>
      </c>
    </row>
    <row r="9" spans="1:17" s="34" customFormat="1" x14ac:dyDescent="0.25">
      <c r="B9" s="34" t="s">
        <v>18</v>
      </c>
      <c r="C9" s="34" t="s">
        <v>757</v>
      </c>
      <c r="D9" s="34" t="s">
        <v>758</v>
      </c>
      <c r="E9" s="34" t="s">
        <v>759</v>
      </c>
      <c r="F9" s="34">
        <v>2</v>
      </c>
      <c r="G9" s="34">
        <v>790</v>
      </c>
      <c r="H9" s="34">
        <v>30</v>
      </c>
      <c r="I9" s="34">
        <f t="shared" si="0"/>
        <v>760</v>
      </c>
      <c r="J9" s="34" t="s">
        <v>22</v>
      </c>
      <c r="K9" s="34" t="s">
        <v>22</v>
      </c>
      <c r="L9" s="34" t="s">
        <v>741</v>
      </c>
      <c r="Q9" s="34">
        <v>1</v>
      </c>
    </row>
    <row r="10" spans="1:17" s="5" customFormat="1" x14ac:dyDescent="0.25">
      <c r="B10" s="5" t="s">
        <v>18</v>
      </c>
      <c r="C10" s="5" t="s">
        <v>760</v>
      </c>
      <c r="D10" s="5" t="s">
        <v>761</v>
      </c>
      <c r="E10" s="5" t="s">
        <v>762</v>
      </c>
      <c r="F10" s="5">
        <v>7</v>
      </c>
      <c r="G10" s="5">
        <v>390</v>
      </c>
      <c r="H10" s="5">
        <v>30</v>
      </c>
      <c r="I10" s="5">
        <f t="shared" si="0"/>
        <v>360</v>
      </c>
      <c r="J10" s="5" t="s">
        <v>745</v>
      </c>
      <c r="K10" s="5" t="s">
        <v>22</v>
      </c>
      <c r="L10" s="5" t="s">
        <v>741</v>
      </c>
      <c r="Q10" s="5">
        <v>1</v>
      </c>
    </row>
    <row r="11" spans="1:17" s="34" customFormat="1" x14ac:dyDescent="0.25">
      <c r="B11" s="34" t="s">
        <v>18</v>
      </c>
      <c r="C11" s="34" t="s">
        <v>763</v>
      </c>
      <c r="D11" s="34" t="s">
        <v>764</v>
      </c>
      <c r="E11" s="34" t="s">
        <v>765</v>
      </c>
      <c r="F11" s="34" t="s">
        <v>97</v>
      </c>
      <c r="G11" s="34">
        <v>815</v>
      </c>
      <c r="H11" s="34">
        <v>25</v>
      </c>
      <c r="I11" s="34">
        <f t="shared" si="0"/>
        <v>790</v>
      </c>
      <c r="J11" s="34" t="s">
        <v>27</v>
      </c>
      <c r="K11" s="34" t="s">
        <v>22</v>
      </c>
      <c r="L11" s="34" t="s">
        <v>741</v>
      </c>
      <c r="Q11" s="34">
        <v>1</v>
      </c>
    </row>
    <row r="12" spans="1:17" s="38" customFormat="1" x14ac:dyDescent="0.25">
      <c r="B12" s="38" t="s">
        <v>18</v>
      </c>
      <c r="C12" s="38" t="s">
        <v>766</v>
      </c>
      <c r="D12" s="38" t="s">
        <v>767</v>
      </c>
      <c r="E12" s="38" t="s">
        <v>768</v>
      </c>
      <c r="F12" s="38" t="s">
        <v>97</v>
      </c>
      <c r="G12" s="38">
        <v>1535</v>
      </c>
      <c r="H12" s="38">
        <v>25</v>
      </c>
      <c r="I12" s="38">
        <f t="shared" si="0"/>
        <v>1510</v>
      </c>
      <c r="J12" s="38" t="s">
        <v>22</v>
      </c>
      <c r="K12" s="38" t="s">
        <v>22</v>
      </c>
      <c r="L12" s="38" t="s">
        <v>741</v>
      </c>
      <c r="Q12" s="38">
        <v>1</v>
      </c>
    </row>
    <row r="13" spans="1:17" s="40" customFormat="1" x14ac:dyDescent="0.25">
      <c r="B13" s="40" t="s">
        <v>18</v>
      </c>
      <c r="C13" s="40" t="s">
        <v>769</v>
      </c>
      <c r="D13" s="40" t="s">
        <v>770</v>
      </c>
      <c r="E13" s="40" t="s">
        <v>771</v>
      </c>
      <c r="F13" s="40">
        <v>4</v>
      </c>
      <c r="G13" s="40">
        <v>775</v>
      </c>
      <c r="H13" s="40">
        <v>25</v>
      </c>
      <c r="I13" s="40">
        <f t="shared" si="0"/>
        <v>750</v>
      </c>
      <c r="J13" s="40" t="s">
        <v>27</v>
      </c>
      <c r="K13" s="40" t="s">
        <v>22</v>
      </c>
      <c r="L13" s="40" t="s">
        <v>741</v>
      </c>
      <c r="Q13" s="40">
        <v>1</v>
      </c>
    </row>
    <row r="14" spans="1:17" s="40" customFormat="1" x14ac:dyDescent="0.25">
      <c r="B14" s="40" t="s">
        <v>18</v>
      </c>
      <c r="C14" s="40" t="s">
        <v>772</v>
      </c>
      <c r="D14" s="40" t="s">
        <v>773</v>
      </c>
      <c r="E14" s="40" t="s">
        <v>774</v>
      </c>
      <c r="F14" s="40">
        <v>9</v>
      </c>
      <c r="G14" s="40">
        <v>750</v>
      </c>
      <c r="H14" s="40">
        <v>30</v>
      </c>
      <c r="I14" s="40">
        <f t="shared" si="0"/>
        <v>720</v>
      </c>
      <c r="J14" s="40" t="s">
        <v>241</v>
      </c>
      <c r="K14" s="40" t="s">
        <v>22</v>
      </c>
      <c r="L14" s="40" t="s">
        <v>741</v>
      </c>
      <c r="Q14" s="40">
        <v>1</v>
      </c>
    </row>
    <row r="15" spans="1:17" s="34" customFormat="1" x14ac:dyDescent="0.25">
      <c r="B15" s="34" t="s">
        <v>18</v>
      </c>
      <c r="C15" s="34" t="s">
        <v>775</v>
      </c>
      <c r="D15" s="34" t="s">
        <v>776</v>
      </c>
      <c r="E15" s="34" t="s">
        <v>777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s="34" t="s">
        <v>745</v>
      </c>
      <c r="K15" s="34" t="s">
        <v>22</v>
      </c>
      <c r="L15" s="34" t="s">
        <v>741</v>
      </c>
      <c r="Q15" s="34">
        <v>1</v>
      </c>
    </row>
    <row r="16" spans="1:17" s="40" customFormat="1" x14ac:dyDescent="0.25">
      <c r="B16" s="40" t="s">
        <v>18</v>
      </c>
      <c r="C16" s="40" t="s">
        <v>165</v>
      </c>
      <c r="D16" s="40" t="s">
        <v>778</v>
      </c>
      <c r="E16" s="40" t="s">
        <v>779</v>
      </c>
      <c r="F16" s="40">
        <v>8</v>
      </c>
      <c r="G16" s="40">
        <v>985</v>
      </c>
      <c r="H16" s="40">
        <v>25</v>
      </c>
      <c r="I16" s="40">
        <f t="shared" si="0"/>
        <v>960</v>
      </c>
      <c r="J16" s="40" t="s">
        <v>745</v>
      </c>
      <c r="K16" s="40" t="s">
        <v>22</v>
      </c>
      <c r="L16" s="40" t="s">
        <v>741</v>
      </c>
      <c r="Q16" s="40">
        <v>1</v>
      </c>
    </row>
    <row r="17" spans="2:17" s="34" customFormat="1" x14ac:dyDescent="0.25">
      <c r="B17" s="34" t="s">
        <v>18</v>
      </c>
      <c r="C17" s="34" t="s">
        <v>780</v>
      </c>
      <c r="D17" s="34" t="s">
        <v>781</v>
      </c>
      <c r="E17" s="34" t="s">
        <v>782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s="34" t="s">
        <v>27</v>
      </c>
      <c r="K17" s="34" t="s">
        <v>22</v>
      </c>
      <c r="L17" s="34" t="s">
        <v>741</v>
      </c>
      <c r="Q17" s="34">
        <v>1</v>
      </c>
    </row>
    <row r="18" spans="2:17" s="34" customFormat="1" x14ac:dyDescent="0.25">
      <c r="B18" s="34" t="s">
        <v>18</v>
      </c>
      <c r="C18" s="34" t="s">
        <v>783</v>
      </c>
      <c r="D18" s="34" t="s">
        <v>784</v>
      </c>
      <c r="E18" s="34" t="s">
        <v>785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s="34" t="s">
        <v>745</v>
      </c>
      <c r="K18" s="34" t="s">
        <v>22</v>
      </c>
      <c r="L18" s="34" t="s">
        <v>741</v>
      </c>
      <c r="M18" s="34" t="s">
        <v>786</v>
      </c>
      <c r="Q18" s="34">
        <v>1</v>
      </c>
    </row>
    <row r="19" spans="2:17" s="5" customFormat="1" x14ac:dyDescent="0.25">
      <c r="B19" s="5" t="s">
        <v>18</v>
      </c>
      <c r="C19" s="5" t="s">
        <v>787</v>
      </c>
      <c r="D19" s="5" t="s">
        <v>788</v>
      </c>
      <c r="E19" s="5" t="s">
        <v>789</v>
      </c>
      <c r="F19" s="5">
        <v>1</v>
      </c>
      <c r="G19" s="5">
        <v>785</v>
      </c>
      <c r="H19" s="5">
        <v>25</v>
      </c>
      <c r="I19" s="5">
        <f t="shared" si="0"/>
        <v>760</v>
      </c>
      <c r="J19" s="5" t="s">
        <v>27</v>
      </c>
      <c r="K19" s="5" t="s">
        <v>22</v>
      </c>
      <c r="L19" s="5" t="s">
        <v>741</v>
      </c>
      <c r="Q19" s="5">
        <v>1</v>
      </c>
    </row>
    <row r="20" spans="2:17" s="40" customFormat="1" x14ac:dyDescent="0.25">
      <c r="B20" s="40" t="s">
        <v>18</v>
      </c>
      <c r="C20" s="40" t="s">
        <v>790</v>
      </c>
      <c r="D20" s="40" t="s">
        <v>791</v>
      </c>
      <c r="E20" s="40" t="s">
        <v>792</v>
      </c>
      <c r="F20" s="40">
        <v>1</v>
      </c>
      <c r="G20" s="40">
        <v>785</v>
      </c>
      <c r="H20" s="40">
        <v>25</v>
      </c>
      <c r="I20" s="40">
        <f t="shared" si="0"/>
        <v>760</v>
      </c>
      <c r="J20" s="40" t="s">
        <v>27</v>
      </c>
      <c r="K20" s="40" t="s">
        <v>22</v>
      </c>
      <c r="L20" s="40" t="s">
        <v>741</v>
      </c>
      <c r="Q20" s="40">
        <v>1</v>
      </c>
    </row>
    <row r="21" spans="2:17" s="40" customFormat="1" x14ac:dyDescent="0.25">
      <c r="B21" s="40" t="s">
        <v>18</v>
      </c>
      <c r="C21" s="40" t="s">
        <v>793</v>
      </c>
      <c r="D21" s="40" t="s">
        <v>794</v>
      </c>
      <c r="E21" s="40" t="s">
        <v>325</v>
      </c>
      <c r="F21" s="40" t="s">
        <v>35</v>
      </c>
      <c r="G21" s="40">
        <v>750</v>
      </c>
      <c r="H21" s="40">
        <v>30</v>
      </c>
      <c r="I21" s="40">
        <f t="shared" si="0"/>
        <v>720</v>
      </c>
      <c r="J21" s="40" t="s">
        <v>22</v>
      </c>
      <c r="K21" s="40" t="s">
        <v>22</v>
      </c>
      <c r="L21" s="40" t="s">
        <v>741</v>
      </c>
      <c r="Q21" s="40">
        <v>1</v>
      </c>
    </row>
    <row r="22" spans="2:17" s="40" customFormat="1" x14ac:dyDescent="0.25">
      <c r="B22" s="40" t="s">
        <v>18</v>
      </c>
      <c r="C22" s="40" t="s">
        <v>795</v>
      </c>
      <c r="D22" s="40" t="s">
        <v>796</v>
      </c>
      <c r="E22" s="40" t="s">
        <v>797</v>
      </c>
      <c r="F22" s="40" t="s">
        <v>49</v>
      </c>
      <c r="G22" s="40">
        <v>1070</v>
      </c>
      <c r="H22" s="40">
        <v>30</v>
      </c>
      <c r="I22" s="40">
        <f t="shared" si="0"/>
        <v>1040</v>
      </c>
      <c r="J22" s="40" t="s">
        <v>745</v>
      </c>
      <c r="K22" s="40" t="s">
        <v>22</v>
      </c>
      <c r="L22" s="40" t="s">
        <v>741</v>
      </c>
      <c r="Q22" s="40">
        <v>1</v>
      </c>
    </row>
    <row r="23" spans="2:17" s="34" customFormat="1" x14ac:dyDescent="0.25">
      <c r="B23" s="34" t="s">
        <v>18</v>
      </c>
      <c r="C23" s="34" t="s">
        <v>798</v>
      </c>
      <c r="D23" s="34" t="s">
        <v>799</v>
      </c>
      <c r="E23" s="34" t="s">
        <v>800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s="34" t="s">
        <v>745</v>
      </c>
      <c r="K23" s="34" t="s">
        <v>22</v>
      </c>
      <c r="L23" s="34" t="s">
        <v>741</v>
      </c>
      <c r="Q23" s="34">
        <v>1</v>
      </c>
    </row>
    <row r="24" spans="2:17" s="40" customFormat="1" x14ac:dyDescent="0.25">
      <c r="B24" s="40" t="s">
        <v>18</v>
      </c>
      <c r="C24" s="40" t="s">
        <v>801</v>
      </c>
      <c r="D24" s="40" t="s">
        <v>802</v>
      </c>
      <c r="E24" s="40" t="s">
        <v>803</v>
      </c>
      <c r="F24" s="40">
        <v>6</v>
      </c>
      <c r="G24" s="40">
        <v>785</v>
      </c>
      <c r="H24" s="40">
        <v>25</v>
      </c>
      <c r="I24" s="40">
        <f t="shared" si="0"/>
        <v>760</v>
      </c>
      <c r="J24" s="40" t="s">
        <v>745</v>
      </c>
      <c r="K24" s="40" t="s">
        <v>22</v>
      </c>
      <c r="L24" s="40" t="s">
        <v>741</v>
      </c>
      <c r="Q24" s="40">
        <v>1</v>
      </c>
    </row>
    <row r="25" spans="2:17" s="5" customFormat="1" x14ac:dyDescent="0.25">
      <c r="B25" s="5" t="s">
        <v>18</v>
      </c>
      <c r="C25" s="5" t="s">
        <v>804</v>
      </c>
      <c r="D25" s="5" t="s">
        <v>805</v>
      </c>
      <c r="E25" s="5" t="s">
        <v>806</v>
      </c>
      <c r="F25" s="5">
        <v>4</v>
      </c>
      <c r="G25" s="5">
        <v>605</v>
      </c>
      <c r="H25" s="5">
        <v>25</v>
      </c>
      <c r="I25" s="5">
        <f t="shared" si="0"/>
        <v>580</v>
      </c>
      <c r="J25" s="5" t="s">
        <v>27</v>
      </c>
      <c r="K25" s="5" t="s">
        <v>22</v>
      </c>
      <c r="L25" s="5" t="s">
        <v>741</v>
      </c>
      <c r="Q25" s="5">
        <v>1</v>
      </c>
    </row>
    <row r="26" spans="2:17" s="34" customFormat="1" x14ac:dyDescent="0.25">
      <c r="B26" s="34" t="s">
        <v>18</v>
      </c>
      <c r="C26" s="34" t="s">
        <v>807</v>
      </c>
      <c r="D26" s="34" t="s">
        <v>808</v>
      </c>
      <c r="E26" s="34" t="s">
        <v>809</v>
      </c>
      <c r="F26" s="34" t="s">
        <v>63</v>
      </c>
      <c r="G26" s="34">
        <v>1015</v>
      </c>
      <c r="H26" s="34">
        <v>25</v>
      </c>
      <c r="I26" s="34">
        <f t="shared" si="0"/>
        <v>990</v>
      </c>
      <c r="J26" s="34" t="s">
        <v>745</v>
      </c>
      <c r="K26" s="34" t="s">
        <v>22</v>
      </c>
      <c r="L26" s="34" t="s">
        <v>741</v>
      </c>
      <c r="Q26" s="34">
        <v>1</v>
      </c>
    </row>
    <row r="27" spans="2:17" s="5" customFormat="1" x14ac:dyDescent="0.25">
      <c r="B27" s="5" t="s">
        <v>18</v>
      </c>
      <c r="C27" s="5" t="s">
        <v>810</v>
      </c>
      <c r="D27" s="5" t="s">
        <v>811</v>
      </c>
      <c r="E27" s="5" t="s">
        <v>812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741</v>
      </c>
      <c r="Q27" s="5">
        <v>1</v>
      </c>
    </row>
    <row r="28" spans="2:17" s="40" customFormat="1" x14ac:dyDescent="0.25">
      <c r="B28" s="40" t="s">
        <v>18</v>
      </c>
      <c r="C28" s="40" t="s">
        <v>813</v>
      </c>
      <c r="D28" s="40" t="s">
        <v>814</v>
      </c>
      <c r="E28" s="40" t="s">
        <v>815</v>
      </c>
      <c r="F28" s="40">
        <v>4</v>
      </c>
      <c r="G28" s="40">
        <v>655</v>
      </c>
      <c r="H28" s="40">
        <v>25</v>
      </c>
      <c r="I28" s="40">
        <f t="shared" si="0"/>
        <v>630</v>
      </c>
      <c r="J28" s="40" t="s">
        <v>27</v>
      </c>
      <c r="K28" s="40" t="s">
        <v>22</v>
      </c>
      <c r="L28" s="40" t="s">
        <v>741</v>
      </c>
      <c r="Q28" s="40">
        <v>1</v>
      </c>
    </row>
    <row r="29" spans="2:17" s="5" customFormat="1" x14ac:dyDescent="0.25">
      <c r="B29" s="5" t="s">
        <v>18</v>
      </c>
      <c r="C29" s="5" t="s">
        <v>816</v>
      </c>
      <c r="D29" s="5" t="s">
        <v>817</v>
      </c>
      <c r="E29" s="5" t="s">
        <v>818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741</v>
      </c>
      <c r="Q29" s="5">
        <v>1</v>
      </c>
    </row>
    <row r="30" spans="2:17" s="40" customFormat="1" x14ac:dyDescent="0.25">
      <c r="B30" s="40" t="s">
        <v>18</v>
      </c>
      <c r="C30" s="40" t="s">
        <v>819</v>
      </c>
      <c r="D30" s="40" t="s">
        <v>820</v>
      </c>
      <c r="E30" s="40" t="s">
        <v>821</v>
      </c>
      <c r="F30" s="40">
        <v>7</v>
      </c>
      <c r="G30" s="40">
        <v>750</v>
      </c>
      <c r="H30" s="40">
        <v>30</v>
      </c>
      <c r="I30" s="40">
        <f t="shared" si="0"/>
        <v>720</v>
      </c>
      <c r="J30" s="40" t="s">
        <v>745</v>
      </c>
      <c r="K30" s="40" t="s">
        <v>22</v>
      </c>
      <c r="L30" s="40" t="s">
        <v>741</v>
      </c>
      <c r="Q30" s="40">
        <v>1</v>
      </c>
    </row>
    <row r="31" spans="2:17" s="40" customFormat="1" x14ac:dyDescent="0.25">
      <c r="B31" s="40" t="s">
        <v>18</v>
      </c>
      <c r="C31" s="40" t="s">
        <v>822</v>
      </c>
      <c r="D31" s="40" t="s">
        <v>823</v>
      </c>
      <c r="E31" s="40" t="s">
        <v>824</v>
      </c>
      <c r="F31" s="40" t="s">
        <v>118</v>
      </c>
      <c r="G31" s="40">
        <v>85</v>
      </c>
      <c r="H31" s="40">
        <v>25</v>
      </c>
      <c r="I31" s="40">
        <f t="shared" si="0"/>
        <v>60</v>
      </c>
      <c r="J31" s="40" t="s">
        <v>22</v>
      </c>
      <c r="K31" s="40" t="s">
        <v>22</v>
      </c>
      <c r="L31" s="40" t="s">
        <v>741</v>
      </c>
      <c r="M31" s="40" t="s">
        <v>299</v>
      </c>
      <c r="Q31" s="40">
        <v>1</v>
      </c>
    </row>
    <row r="32" spans="2:17" s="40" customFormat="1" x14ac:dyDescent="0.25">
      <c r="B32" s="40" t="s">
        <v>18</v>
      </c>
      <c r="C32" s="40" t="s">
        <v>825</v>
      </c>
      <c r="D32" s="40" t="s">
        <v>826</v>
      </c>
      <c r="E32" s="40" t="s">
        <v>827</v>
      </c>
      <c r="F32" s="40">
        <v>7</v>
      </c>
      <c r="G32" s="40">
        <v>710</v>
      </c>
      <c r="H32" s="40">
        <v>30</v>
      </c>
      <c r="I32" s="40">
        <f t="shared" si="0"/>
        <v>680</v>
      </c>
      <c r="J32" s="40" t="s">
        <v>745</v>
      </c>
      <c r="K32" s="40" t="s">
        <v>22</v>
      </c>
      <c r="L32" s="40" t="s">
        <v>741</v>
      </c>
      <c r="Q32" s="40">
        <v>1</v>
      </c>
    </row>
    <row r="33" spans="1:17" s="34" customFormat="1" x14ac:dyDescent="0.25">
      <c r="B33" s="34" t="s">
        <v>18</v>
      </c>
      <c r="C33" s="34" t="s">
        <v>828</v>
      </c>
      <c r="D33" s="34" t="s">
        <v>829</v>
      </c>
      <c r="E33" s="34" t="s">
        <v>830</v>
      </c>
      <c r="F33" s="34" t="s">
        <v>831</v>
      </c>
      <c r="G33" s="34">
        <v>790</v>
      </c>
      <c r="H33" s="34">
        <v>30</v>
      </c>
      <c r="I33" s="34">
        <f t="shared" si="0"/>
        <v>760</v>
      </c>
      <c r="J33" s="34" t="s">
        <v>745</v>
      </c>
      <c r="K33" s="34" t="s">
        <v>22</v>
      </c>
      <c r="L33" s="34" t="s">
        <v>741</v>
      </c>
      <c r="Q33" s="34">
        <v>1</v>
      </c>
    </row>
    <row r="34" spans="1:17" s="5" customFormat="1" x14ac:dyDescent="0.25">
      <c r="B34" s="5" t="s">
        <v>18</v>
      </c>
      <c r="C34" s="5" t="s">
        <v>832</v>
      </c>
      <c r="D34" s="5" t="s">
        <v>833</v>
      </c>
      <c r="E34" s="5" t="s">
        <v>834</v>
      </c>
      <c r="F34" s="5" t="s">
        <v>97</v>
      </c>
      <c r="G34" s="5">
        <v>605</v>
      </c>
      <c r="H34" s="5">
        <v>25</v>
      </c>
      <c r="I34" s="5">
        <f t="shared" si="0"/>
        <v>580</v>
      </c>
      <c r="J34" s="5" t="s">
        <v>745</v>
      </c>
      <c r="K34" s="5" t="s">
        <v>22</v>
      </c>
      <c r="L34" s="5" t="s">
        <v>741</v>
      </c>
      <c r="Q34" s="5">
        <v>1</v>
      </c>
    </row>
    <row r="35" spans="1:17" s="38" customFormat="1" x14ac:dyDescent="0.25">
      <c r="B35" s="38" t="s">
        <v>18</v>
      </c>
      <c r="C35" s="38" t="s">
        <v>835</v>
      </c>
      <c r="D35" s="38" t="s">
        <v>836</v>
      </c>
      <c r="E35" s="38" t="s">
        <v>837</v>
      </c>
      <c r="F35" s="38" t="s">
        <v>97</v>
      </c>
      <c r="G35" s="38">
        <v>745</v>
      </c>
      <c r="H35" s="38">
        <v>25</v>
      </c>
      <c r="I35" s="38">
        <f t="shared" si="0"/>
        <v>720</v>
      </c>
      <c r="J35" s="38" t="s">
        <v>27</v>
      </c>
      <c r="K35" s="38" t="s">
        <v>22</v>
      </c>
      <c r="L35" s="38" t="s">
        <v>741</v>
      </c>
      <c r="Q35" s="38">
        <v>1</v>
      </c>
    </row>
    <row r="36" spans="1:17" s="40" customFormat="1" x14ac:dyDescent="0.25">
      <c r="B36" s="40" t="s">
        <v>18</v>
      </c>
      <c r="C36" s="40" t="s">
        <v>838</v>
      </c>
      <c r="D36" s="40" t="s">
        <v>839</v>
      </c>
      <c r="E36" s="40" t="s">
        <v>840</v>
      </c>
      <c r="F36" s="40" t="s">
        <v>53</v>
      </c>
      <c r="G36" s="40">
        <v>390</v>
      </c>
      <c r="H36" s="40">
        <v>20</v>
      </c>
      <c r="I36" s="40">
        <f t="shared" si="0"/>
        <v>370</v>
      </c>
      <c r="J36" s="40" t="s">
        <v>22</v>
      </c>
      <c r="K36" s="40" t="s">
        <v>22</v>
      </c>
      <c r="L36" s="40" t="s">
        <v>741</v>
      </c>
      <c r="Q36" s="40">
        <v>1</v>
      </c>
    </row>
    <row r="37" spans="1:17" s="34" customFormat="1" ht="30" customHeight="1" x14ac:dyDescent="0.25">
      <c r="A37" s="34" t="s">
        <v>255</v>
      </c>
      <c r="B37" s="34" t="s">
        <v>18</v>
      </c>
      <c r="C37" s="39" t="s">
        <v>841</v>
      </c>
      <c r="E37" s="34" t="s">
        <v>842</v>
      </c>
      <c r="F37" s="34">
        <v>9</v>
      </c>
      <c r="G37" s="34">
        <v>35</v>
      </c>
      <c r="H37" s="34">
        <v>35</v>
      </c>
      <c r="I37" s="34">
        <f t="shared" si="0"/>
        <v>0</v>
      </c>
      <c r="J37" s="34" t="s">
        <v>241</v>
      </c>
      <c r="K37" s="34" t="s">
        <v>22</v>
      </c>
      <c r="L37" s="34" t="s">
        <v>741</v>
      </c>
      <c r="Q37" s="34">
        <v>1</v>
      </c>
    </row>
    <row r="38" spans="1:17" s="5" customFormat="1" x14ac:dyDescent="0.25">
      <c r="A38" s="5" t="s">
        <v>255</v>
      </c>
      <c r="B38" s="5" t="s">
        <v>18</v>
      </c>
      <c r="C38" s="5" t="s">
        <v>843</v>
      </c>
      <c r="E38" s="5" t="s">
        <v>844</v>
      </c>
      <c r="F38" s="5">
        <v>6</v>
      </c>
      <c r="G38" s="5">
        <v>30</v>
      </c>
      <c r="H38" s="5">
        <v>30</v>
      </c>
      <c r="I38" s="5">
        <f t="shared" si="0"/>
        <v>0</v>
      </c>
      <c r="J38" s="5" t="s">
        <v>745</v>
      </c>
      <c r="K38" s="5" t="s">
        <v>22</v>
      </c>
      <c r="L38" s="5" t="s">
        <v>741</v>
      </c>
      <c r="Q38" s="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845</v>
      </c>
      <c r="E39" s="5" t="s">
        <v>846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741</v>
      </c>
      <c r="Q39" s="5">
        <v>1</v>
      </c>
    </row>
    <row r="40" spans="1:17" x14ac:dyDescent="0.25">
      <c r="A40" t="s">
        <v>255</v>
      </c>
      <c r="B40" t="s">
        <v>18</v>
      </c>
      <c r="C40" t="s">
        <v>847</v>
      </c>
      <c r="E40" t="s">
        <v>846</v>
      </c>
      <c r="F40" t="s">
        <v>97</v>
      </c>
      <c r="G40">
        <v>30</v>
      </c>
      <c r="H40">
        <v>30</v>
      </c>
      <c r="I40">
        <v>0</v>
      </c>
      <c r="J40" t="s">
        <v>22</v>
      </c>
      <c r="K40" t="s">
        <v>22</v>
      </c>
      <c r="L40" t="s">
        <v>741</v>
      </c>
      <c r="Q40">
        <v>1</v>
      </c>
    </row>
    <row r="41" spans="1:17" x14ac:dyDescent="0.25">
      <c r="B41" t="s">
        <v>18</v>
      </c>
      <c r="C41" t="s">
        <v>848</v>
      </c>
      <c r="D41" t="s">
        <v>849</v>
      </c>
      <c r="E41" t="s">
        <v>850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741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852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851</v>
      </c>
      <c r="C3" s="5" t="s">
        <v>852</v>
      </c>
      <c r="I3" s="5">
        <f t="shared" ref="I3:I32" si="0">G3-H3</f>
        <v>0</v>
      </c>
    </row>
    <row r="4" spans="1:17" s="34" customFormat="1" x14ac:dyDescent="0.25">
      <c r="A4" s="34" t="s">
        <v>255</v>
      </c>
      <c r="B4" s="34" t="s">
        <v>18</v>
      </c>
      <c r="C4" s="34" t="s">
        <v>543</v>
      </c>
      <c r="E4" s="34" t="s">
        <v>853</v>
      </c>
      <c r="F4" s="34">
        <v>4</v>
      </c>
      <c r="G4" s="34">
        <v>30</v>
      </c>
      <c r="H4" s="34">
        <v>30</v>
      </c>
      <c r="I4" s="34">
        <f t="shared" si="0"/>
        <v>0</v>
      </c>
      <c r="J4" s="34" t="s">
        <v>27</v>
      </c>
      <c r="K4" s="34" t="s">
        <v>22</v>
      </c>
      <c r="L4" s="34" t="s">
        <v>854</v>
      </c>
      <c r="Q4" s="34">
        <v>1</v>
      </c>
    </row>
    <row r="5" spans="1:17" s="43" customFormat="1" x14ac:dyDescent="0.25">
      <c r="A5" s="43" t="s">
        <v>255</v>
      </c>
      <c r="B5" s="43" t="s">
        <v>18</v>
      </c>
      <c r="C5" s="43" t="s">
        <v>548</v>
      </c>
      <c r="E5" s="43" t="s">
        <v>549</v>
      </c>
      <c r="F5" s="43" t="s">
        <v>118</v>
      </c>
      <c r="G5" s="43">
        <v>650</v>
      </c>
      <c r="H5" s="43">
        <v>30</v>
      </c>
      <c r="I5" s="43">
        <f t="shared" si="0"/>
        <v>620</v>
      </c>
      <c r="J5" s="43" t="s">
        <v>22</v>
      </c>
      <c r="K5" s="43" t="s">
        <v>22</v>
      </c>
      <c r="L5" s="43" t="s">
        <v>854</v>
      </c>
      <c r="Q5" s="43">
        <v>1</v>
      </c>
    </row>
    <row r="6" spans="1:17" s="43" customFormat="1" x14ac:dyDescent="0.25">
      <c r="A6" s="43" t="s">
        <v>255</v>
      </c>
      <c r="B6" s="43" t="s">
        <v>18</v>
      </c>
      <c r="C6" s="43" t="s">
        <v>855</v>
      </c>
      <c r="E6" s="43" t="s">
        <v>856</v>
      </c>
      <c r="F6" s="43">
        <v>5</v>
      </c>
      <c r="G6" s="43">
        <v>25</v>
      </c>
      <c r="H6" s="43">
        <v>25</v>
      </c>
      <c r="I6" s="43">
        <f t="shared" si="0"/>
        <v>0</v>
      </c>
      <c r="J6" s="43" t="s">
        <v>27</v>
      </c>
      <c r="K6" s="43" t="s">
        <v>22</v>
      </c>
      <c r="L6" s="43" t="s">
        <v>854</v>
      </c>
      <c r="Q6" s="43">
        <v>1</v>
      </c>
    </row>
    <row r="7" spans="1:17" s="43" customFormat="1" x14ac:dyDescent="0.25">
      <c r="A7" s="43" t="s">
        <v>255</v>
      </c>
      <c r="B7" s="43" t="s">
        <v>18</v>
      </c>
      <c r="C7" s="43" t="s">
        <v>262</v>
      </c>
      <c r="E7" s="43" t="s">
        <v>857</v>
      </c>
      <c r="F7" s="43">
        <v>6</v>
      </c>
      <c r="G7" s="43">
        <v>765</v>
      </c>
      <c r="H7" s="43">
        <v>25</v>
      </c>
      <c r="I7" s="43">
        <f t="shared" si="0"/>
        <v>740</v>
      </c>
      <c r="J7" s="43" t="s">
        <v>858</v>
      </c>
      <c r="K7" s="43" t="s">
        <v>22</v>
      </c>
      <c r="L7" s="43" t="s">
        <v>854</v>
      </c>
      <c r="M7" s="43" t="s">
        <v>859</v>
      </c>
      <c r="Q7" s="43">
        <v>1</v>
      </c>
    </row>
    <row r="8" spans="1:17" s="5" customFormat="1" x14ac:dyDescent="0.25">
      <c r="B8" s="5" t="s">
        <v>18</v>
      </c>
      <c r="C8" s="5" t="s">
        <v>860</v>
      </c>
      <c r="D8" s="5" t="s">
        <v>861</v>
      </c>
      <c r="E8" s="5" t="s">
        <v>862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858</v>
      </c>
      <c r="K8" s="5" t="s">
        <v>22</v>
      </c>
      <c r="L8" s="5" t="s">
        <v>854</v>
      </c>
      <c r="Q8" s="5">
        <v>1</v>
      </c>
    </row>
    <row r="9" spans="1:17" s="34" customFormat="1" x14ac:dyDescent="0.25">
      <c r="B9" s="34" t="s">
        <v>18</v>
      </c>
      <c r="C9" s="34" t="s">
        <v>863</v>
      </c>
      <c r="D9" s="34" t="s">
        <v>864</v>
      </c>
      <c r="E9" s="34" t="s">
        <v>865</v>
      </c>
      <c r="F9" s="34">
        <v>6</v>
      </c>
      <c r="G9" s="34">
        <v>735</v>
      </c>
      <c r="H9" s="34">
        <v>25</v>
      </c>
      <c r="I9" s="34">
        <f t="shared" si="0"/>
        <v>710</v>
      </c>
      <c r="J9" s="34" t="s">
        <v>858</v>
      </c>
      <c r="K9" s="34" t="s">
        <v>22</v>
      </c>
      <c r="L9" s="34" t="s">
        <v>854</v>
      </c>
      <c r="Q9" s="34">
        <v>1</v>
      </c>
    </row>
    <row r="10" spans="1:17" s="34" customFormat="1" x14ac:dyDescent="0.25">
      <c r="B10" s="34" t="s">
        <v>18</v>
      </c>
      <c r="C10" s="34" t="s">
        <v>866</v>
      </c>
      <c r="D10" s="34" t="s">
        <v>867</v>
      </c>
      <c r="E10" s="34" t="s">
        <v>868</v>
      </c>
      <c r="F10" s="34" t="s">
        <v>118</v>
      </c>
      <c r="G10" s="34">
        <v>1575</v>
      </c>
      <c r="H10" s="34">
        <v>25</v>
      </c>
      <c r="I10" s="34">
        <f t="shared" si="0"/>
        <v>1550</v>
      </c>
      <c r="J10" s="34" t="s">
        <v>22</v>
      </c>
      <c r="K10" s="34" t="s">
        <v>22</v>
      </c>
      <c r="L10" s="34" t="s">
        <v>854</v>
      </c>
      <c r="Q10" s="34">
        <v>1</v>
      </c>
    </row>
    <row r="11" spans="1:17" s="43" customFormat="1" x14ac:dyDescent="0.25">
      <c r="B11" s="43" t="s">
        <v>18</v>
      </c>
      <c r="C11" s="43" t="s">
        <v>869</v>
      </c>
      <c r="D11" s="43" t="s">
        <v>870</v>
      </c>
      <c r="E11" s="43" t="s">
        <v>871</v>
      </c>
      <c r="F11" s="43">
        <v>10</v>
      </c>
      <c r="G11" s="43">
        <v>2250</v>
      </c>
      <c r="H11" s="43">
        <v>25</v>
      </c>
      <c r="I11" s="43">
        <f t="shared" si="0"/>
        <v>2225</v>
      </c>
      <c r="J11" s="43" t="s">
        <v>27</v>
      </c>
      <c r="K11" s="43" t="s">
        <v>22</v>
      </c>
      <c r="L11" s="43" t="s">
        <v>854</v>
      </c>
      <c r="M11" s="43" t="s">
        <v>786</v>
      </c>
      <c r="Q11" s="43">
        <v>1</v>
      </c>
    </row>
    <row r="12" spans="1:17" s="34" customFormat="1" x14ac:dyDescent="0.25">
      <c r="B12" s="34" t="s">
        <v>18</v>
      </c>
      <c r="C12" s="34" t="s">
        <v>872</v>
      </c>
      <c r="D12" s="34" t="s">
        <v>873</v>
      </c>
      <c r="E12" s="34" t="s">
        <v>874</v>
      </c>
      <c r="F12" s="34" t="s">
        <v>93</v>
      </c>
      <c r="G12" s="34">
        <v>520</v>
      </c>
      <c r="H12" s="34">
        <v>20</v>
      </c>
      <c r="I12" s="34">
        <f t="shared" si="0"/>
        <v>500</v>
      </c>
      <c r="J12" s="34" t="s">
        <v>27</v>
      </c>
      <c r="K12" s="34" t="s">
        <v>22</v>
      </c>
      <c r="L12" s="34" t="s">
        <v>854</v>
      </c>
      <c r="Q12" s="34">
        <v>1</v>
      </c>
    </row>
    <row r="13" spans="1:17" s="5" customFormat="1" x14ac:dyDescent="0.25">
      <c r="B13" s="5" t="s">
        <v>18</v>
      </c>
      <c r="C13" s="5" t="s">
        <v>875</v>
      </c>
      <c r="D13" s="5" t="s">
        <v>876</v>
      </c>
      <c r="E13" s="5" t="s">
        <v>877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858</v>
      </c>
      <c r="K13" s="5" t="s">
        <v>22</v>
      </c>
      <c r="L13" s="5" t="s">
        <v>854</v>
      </c>
      <c r="Q13" s="5">
        <v>1</v>
      </c>
    </row>
    <row r="14" spans="1:17" s="43" customFormat="1" x14ac:dyDescent="0.25">
      <c r="B14" s="43" t="s">
        <v>18</v>
      </c>
      <c r="C14" s="43" t="s">
        <v>878</v>
      </c>
      <c r="D14" s="43" t="s">
        <v>879</v>
      </c>
      <c r="E14" s="43" t="s">
        <v>880</v>
      </c>
      <c r="F14" s="43">
        <v>1</v>
      </c>
      <c r="G14" s="43">
        <v>395</v>
      </c>
      <c r="H14" s="43">
        <v>25</v>
      </c>
      <c r="I14" s="43">
        <f t="shared" si="0"/>
        <v>370</v>
      </c>
      <c r="J14" s="43" t="s">
        <v>27</v>
      </c>
      <c r="K14" s="43" t="s">
        <v>22</v>
      </c>
      <c r="L14" s="43" t="s">
        <v>854</v>
      </c>
      <c r="Q14" s="43">
        <v>1</v>
      </c>
    </row>
    <row r="15" spans="1:17" s="34" customFormat="1" x14ac:dyDescent="0.25">
      <c r="B15" s="34" t="s">
        <v>18</v>
      </c>
      <c r="C15" s="34" t="s">
        <v>881</v>
      </c>
      <c r="D15" s="34" t="s">
        <v>882</v>
      </c>
      <c r="E15" s="34" t="s">
        <v>883</v>
      </c>
      <c r="F15" s="34" t="s">
        <v>39</v>
      </c>
      <c r="G15" s="34">
        <v>820</v>
      </c>
      <c r="H15" s="34">
        <v>30</v>
      </c>
      <c r="I15" s="34">
        <f t="shared" si="0"/>
        <v>790</v>
      </c>
      <c r="J15" s="34" t="s">
        <v>22</v>
      </c>
      <c r="K15" s="34" t="s">
        <v>22</v>
      </c>
      <c r="L15" s="34" t="s">
        <v>854</v>
      </c>
      <c r="Q15" s="34">
        <v>1</v>
      </c>
    </row>
    <row r="16" spans="1:17" s="34" customFormat="1" x14ac:dyDescent="0.25">
      <c r="B16" s="34" t="s">
        <v>18</v>
      </c>
      <c r="C16" s="34" t="s">
        <v>884</v>
      </c>
      <c r="D16" s="34" t="s">
        <v>885</v>
      </c>
      <c r="E16" s="34" t="s">
        <v>886</v>
      </c>
      <c r="F16" s="34">
        <v>6</v>
      </c>
      <c r="G16" s="34">
        <v>0</v>
      </c>
      <c r="H16" s="34">
        <v>25</v>
      </c>
      <c r="I16" s="34">
        <f t="shared" si="0"/>
        <v>-25</v>
      </c>
      <c r="J16" s="34" t="s">
        <v>858</v>
      </c>
      <c r="K16" s="34" t="s">
        <v>22</v>
      </c>
      <c r="L16" s="34" t="s">
        <v>854</v>
      </c>
      <c r="Q16" s="34">
        <v>1</v>
      </c>
    </row>
    <row r="17" spans="2:17" s="34" customFormat="1" x14ac:dyDescent="0.25">
      <c r="B17" s="34" t="s">
        <v>18</v>
      </c>
      <c r="C17" s="34" t="s">
        <v>887</v>
      </c>
      <c r="D17" s="34" t="s">
        <v>888</v>
      </c>
      <c r="E17" s="34" t="s">
        <v>889</v>
      </c>
      <c r="F17" s="34">
        <v>1</v>
      </c>
      <c r="G17" s="34">
        <v>0</v>
      </c>
      <c r="H17" s="34">
        <v>25</v>
      </c>
      <c r="I17" s="34">
        <f t="shared" si="0"/>
        <v>-25</v>
      </c>
      <c r="J17" s="34" t="s">
        <v>27</v>
      </c>
      <c r="K17" s="34" t="s">
        <v>22</v>
      </c>
      <c r="L17" s="34" t="s">
        <v>854</v>
      </c>
      <c r="Q17" s="34">
        <v>1</v>
      </c>
    </row>
    <row r="18" spans="2:17" s="5" customFormat="1" x14ac:dyDescent="0.25">
      <c r="B18" s="5" t="s">
        <v>18</v>
      </c>
      <c r="C18" s="5" t="s">
        <v>890</v>
      </c>
      <c r="D18" s="5" t="s">
        <v>891</v>
      </c>
      <c r="E18" s="5" t="s">
        <v>892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854</v>
      </c>
      <c r="Q18" s="5">
        <v>1</v>
      </c>
    </row>
    <row r="19" spans="2:17" s="34" customFormat="1" x14ac:dyDescent="0.25">
      <c r="B19" s="34" t="s">
        <v>18</v>
      </c>
      <c r="C19" s="34" t="s">
        <v>893</v>
      </c>
      <c r="D19" s="34" t="s">
        <v>894</v>
      </c>
      <c r="E19" s="34" t="s">
        <v>895</v>
      </c>
      <c r="F19" s="34">
        <v>3</v>
      </c>
      <c r="G19" s="34">
        <v>405</v>
      </c>
      <c r="H19" s="34">
        <v>25</v>
      </c>
      <c r="I19" s="34">
        <f t="shared" si="0"/>
        <v>380</v>
      </c>
      <c r="J19" s="34" t="s">
        <v>27</v>
      </c>
      <c r="K19" s="34" t="s">
        <v>22</v>
      </c>
      <c r="L19" s="34" t="s">
        <v>854</v>
      </c>
      <c r="Q19" s="34">
        <v>1</v>
      </c>
    </row>
    <row r="20" spans="2:17" s="5" customFormat="1" x14ac:dyDescent="0.25">
      <c r="B20" s="5" t="s">
        <v>18</v>
      </c>
      <c r="C20" s="5" t="s">
        <v>896</v>
      </c>
      <c r="D20" s="5" t="s">
        <v>897</v>
      </c>
      <c r="E20" s="5" t="s">
        <v>898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854</v>
      </c>
      <c r="Q20" s="5">
        <v>1</v>
      </c>
    </row>
    <row r="21" spans="2:17" s="43" customFormat="1" x14ac:dyDescent="0.25">
      <c r="B21" s="43" t="s">
        <v>18</v>
      </c>
      <c r="C21" s="43" t="s">
        <v>899</v>
      </c>
      <c r="D21" s="43" t="s">
        <v>900</v>
      </c>
      <c r="E21" s="43" t="s">
        <v>815</v>
      </c>
      <c r="F21" s="43">
        <v>4</v>
      </c>
      <c r="G21" s="43">
        <v>875</v>
      </c>
      <c r="H21" s="43">
        <v>25</v>
      </c>
      <c r="I21" s="43">
        <f t="shared" si="0"/>
        <v>850</v>
      </c>
      <c r="J21" s="43" t="s">
        <v>27</v>
      </c>
      <c r="K21" s="43" t="s">
        <v>22</v>
      </c>
      <c r="L21" s="43" t="s">
        <v>854</v>
      </c>
      <c r="Q21" s="43">
        <v>1</v>
      </c>
    </row>
    <row r="22" spans="2:17" s="34" customFormat="1" x14ac:dyDescent="0.25">
      <c r="B22" s="34" t="s">
        <v>18</v>
      </c>
      <c r="C22" s="34" t="s">
        <v>901</v>
      </c>
      <c r="D22" s="34" t="s">
        <v>902</v>
      </c>
      <c r="E22" s="34" t="s">
        <v>903</v>
      </c>
      <c r="F22" s="34">
        <v>2</v>
      </c>
      <c r="G22" s="34">
        <v>1350</v>
      </c>
      <c r="H22" s="34">
        <v>30</v>
      </c>
      <c r="I22" s="34">
        <f t="shared" si="0"/>
        <v>1320</v>
      </c>
      <c r="J22" s="34" t="s">
        <v>22</v>
      </c>
      <c r="K22" s="34" t="s">
        <v>22</v>
      </c>
      <c r="L22" s="34" t="s">
        <v>854</v>
      </c>
      <c r="Q22" s="34">
        <v>1</v>
      </c>
    </row>
    <row r="23" spans="2:17" s="43" customFormat="1" x14ac:dyDescent="0.25">
      <c r="B23" s="43" t="s">
        <v>18</v>
      </c>
      <c r="C23" s="43" t="s">
        <v>904</v>
      </c>
      <c r="D23" s="43" t="s">
        <v>905</v>
      </c>
      <c r="E23" s="43" t="s">
        <v>906</v>
      </c>
      <c r="F23" s="44" t="s">
        <v>49</v>
      </c>
      <c r="G23" s="43">
        <v>1640</v>
      </c>
      <c r="H23" s="43">
        <v>30</v>
      </c>
      <c r="I23" s="43">
        <f t="shared" si="0"/>
        <v>1610</v>
      </c>
      <c r="J23" s="43" t="s">
        <v>858</v>
      </c>
      <c r="K23" s="43" t="s">
        <v>22</v>
      </c>
      <c r="L23" s="43" t="s">
        <v>854</v>
      </c>
      <c r="Q23" s="43">
        <v>1</v>
      </c>
    </row>
    <row r="24" spans="2:17" s="43" customFormat="1" x14ac:dyDescent="0.25">
      <c r="B24" s="43" t="s">
        <v>18</v>
      </c>
      <c r="C24" s="43" t="s">
        <v>907</v>
      </c>
      <c r="D24" s="43" t="s">
        <v>908</v>
      </c>
      <c r="E24" s="43" t="s">
        <v>909</v>
      </c>
      <c r="F24" s="43">
        <v>3</v>
      </c>
      <c r="G24" s="43">
        <v>0</v>
      </c>
      <c r="H24" s="43">
        <v>25</v>
      </c>
      <c r="I24" s="43">
        <f t="shared" si="0"/>
        <v>-25</v>
      </c>
      <c r="J24" s="43" t="s">
        <v>27</v>
      </c>
      <c r="K24" s="43" t="s">
        <v>22</v>
      </c>
      <c r="L24" s="43" t="s">
        <v>854</v>
      </c>
      <c r="Q24" s="43">
        <v>1</v>
      </c>
    </row>
    <row r="25" spans="2:17" s="34" customFormat="1" x14ac:dyDescent="0.25">
      <c r="B25" s="34" t="s">
        <v>18</v>
      </c>
      <c r="C25" s="34" t="s">
        <v>910</v>
      </c>
      <c r="D25" s="34" t="s">
        <v>911</v>
      </c>
      <c r="E25" s="34" t="s">
        <v>912</v>
      </c>
      <c r="F25" s="34">
        <v>8</v>
      </c>
      <c r="G25" s="34">
        <v>815</v>
      </c>
      <c r="H25" s="34">
        <v>25</v>
      </c>
      <c r="I25" s="34">
        <f t="shared" si="0"/>
        <v>790</v>
      </c>
      <c r="J25" s="34" t="s">
        <v>858</v>
      </c>
      <c r="K25" s="34" t="s">
        <v>22</v>
      </c>
      <c r="L25" s="34" t="s">
        <v>854</v>
      </c>
      <c r="Q25" s="34">
        <v>1</v>
      </c>
    </row>
    <row r="26" spans="2:17" s="34" customFormat="1" x14ac:dyDescent="0.25">
      <c r="B26" s="34" t="s">
        <v>18</v>
      </c>
      <c r="C26" s="34" t="s">
        <v>913</v>
      </c>
      <c r="D26" s="34" t="s">
        <v>914</v>
      </c>
      <c r="E26" s="34" t="s">
        <v>915</v>
      </c>
      <c r="F26" s="34" t="s">
        <v>49</v>
      </c>
      <c r="G26" s="34">
        <v>820</v>
      </c>
      <c r="H26" s="34">
        <v>30</v>
      </c>
      <c r="I26" s="34">
        <f t="shared" si="0"/>
        <v>790</v>
      </c>
      <c r="J26" s="34" t="s">
        <v>858</v>
      </c>
      <c r="K26" s="34" t="s">
        <v>22</v>
      </c>
      <c r="L26" s="34" t="s">
        <v>854</v>
      </c>
      <c r="Q26" s="34">
        <v>1</v>
      </c>
    </row>
    <row r="27" spans="2:17" s="5" customFormat="1" x14ac:dyDescent="0.25">
      <c r="B27" s="5" t="s">
        <v>18</v>
      </c>
      <c r="C27" s="5" t="s">
        <v>916</v>
      </c>
      <c r="D27" s="5" t="s">
        <v>917</v>
      </c>
      <c r="E27" s="5" t="s">
        <v>918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854</v>
      </c>
      <c r="Q27" s="5">
        <v>1</v>
      </c>
    </row>
    <row r="28" spans="2:17" s="43" customFormat="1" x14ac:dyDescent="0.25">
      <c r="B28" s="43" t="s">
        <v>18</v>
      </c>
      <c r="C28" s="43" t="s">
        <v>919</v>
      </c>
      <c r="D28" s="43" t="s">
        <v>920</v>
      </c>
      <c r="E28" s="43" t="s">
        <v>921</v>
      </c>
      <c r="F28" s="43" t="s">
        <v>93</v>
      </c>
      <c r="G28" s="43">
        <v>730</v>
      </c>
      <c r="H28" s="43">
        <v>20</v>
      </c>
      <c r="I28" s="43">
        <f t="shared" si="0"/>
        <v>710</v>
      </c>
      <c r="J28" s="43" t="s">
        <v>27</v>
      </c>
      <c r="K28" s="43" t="s">
        <v>22</v>
      </c>
      <c r="L28" s="43" t="s">
        <v>854</v>
      </c>
      <c r="Q28" s="43">
        <v>1</v>
      </c>
    </row>
    <row r="29" spans="2:17" s="34" customFormat="1" x14ac:dyDescent="0.25">
      <c r="B29" s="34" t="s">
        <v>18</v>
      </c>
      <c r="C29" s="34" t="s">
        <v>395</v>
      </c>
      <c r="D29" s="34" t="s">
        <v>922</v>
      </c>
      <c r="E29" s="34" t="s">
        <v>716</v>
      </c>
      <c r="F29" s="34" t="s">
        <v>35</v>
      </c>
      <c r="G29" s="34">
        <v>770</v>
      </c>
      <c r="H29" s="34">
        <v>30</v>
      </c>
      <c r="I29" s="34">
        <f t="shared" si="0"/>
        <v>740</v>
      </c>
      <c r="J29" s="34" t="s">
        <v>22</v>
      </c>
      <c r="K29" s="34" t="s">
        <v>22</v>
      </c>
      <c r="L29" s="34" t="s">
        <v>854</v>
      </c>
      <c r="Q29" s="34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923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858</v>
      </c>
      <c r="K30" s="5" t="s">
        <v>22</v>
      </c>
      <c r="L30" s="5" t="s">
        <v>854</v>
      </c>
      <c r="Q30" s="5">
        <v>1</v>
      </c>
    </row>
    <row r="31" spans="2:17" s="20" customFormat="1" x14ac:dyDescent="0.25">
      <c r="B31" s="20" t="s">
        <v>18</v>
      </c>
      <c r="C31" s="20" t="s">
        <v>924</v>
      </c>
      <c r="D31" s="20" t="s">
        <v>925</v>
      </c>
      <c r="E31" s="20" t="s">
        <v>681</v>
      </c>
      <c r="F31" s="42" t="s">
        <v>97</v>
      </c>
      <c r="G31" s="20">
        <v>0</v>
      </c>
      <c r="H31" s="20">
        <v>25</v>
      </c>
      <c r="I31" s="20">
        <f t="shared" si="0"/>
        <v>-25</v>
      </c>
      <c r="J31" s="20" t="s">
        <v>27</v>
      </c>
      <c r="K31" s="20" t="s">
        <v>22</v>
      </c>
      <c r="L31" s="20" t="s">
        <v>854</v>
      </c>
      <c r="Q31" s="20">
        <v>1</v>
      </c>
    </row>
    <row r="32" spans="2:17" s="34" customFormat="1" x14ac:dyDescent="0.25">
      <c r="B32" s="34" t="s">
        <v>18</v>
      </c>
      <c r="C32" s="34" t="s">
        <v>926</v>
      </c>
      <c r="D32" s="34" t="s">
        <v>927</v>
      </c>
      <c r="E32" s="34" t="s">
        <v>928</v>
      </c>
      <c r="F32" s="34">
        <v>2</v>
      </c>
      <c r="G32" s="34">
        <v>410</v>
      </c>
      <c r="H32" s="34">
        <v>30</v>
      </c>
      <c r="I32" s="34">
        <f t="shared" si="0"/>
        <v>380</v>
      </c>
      <c r="J32" s="34" t="s">
        <v>22</v>
      </c>
      <c r="K32" s="34" t="s">
        <v>22</v>
      </c>
      <c r="L32" s="34" t="s">
        <v>854</v>
      </c>
      <c r="Q32" s="34">
        <v>1</v>
      </c>
    </row>
    <row r="33" spans="2:17" x14ac:dyDescent="0.25">
      <c r="B33" t="s">
        <v>18</v>
      </c>
      <c r="C33" t="s">
        <v>473</v>
      </c>
      <c r="D33" t="s">
        <v>474</v>
      </c>
      <c r="E33" t="s">
        <v>475</v>
      </c>
      <c r="F33">
        <v>9</v>
      </c>
      <c r="G33">
        <v>390</v>
      </c>
      <c r="H33">
        <v>30</v>
      </c>
      <c r="I33">
        <v>360</v>
      </c>
      <c r="J33" t="s">
        <v>425</v>
      </c>
      <c r="K33" t="s">
        <v>22</v>
      </c>
      <c r="L33" t="s">
        <v>457</v>
      </c>
      <c r="N33" t="s">
        <v>275</v>
      </c>
      <c r="O33" t="s">
        <v>275</v>
      </c>
      <c r="P33" t="s">
        <v>427</v>
      </c>
      <c r="Q33">
        <v>1</v>
      </c>
    </row>
    <row r="34" spans="2:17" x14ac:dyDescent="0.25">
      <c r="B34" t="s">
        <v>18</v>
      </c>
      <c r="C34" t="s">
        <v>929</v>
      </c>
      <c r="D34" t="s">
        <v>930</v>
      </c>
      <c r="E34" t="s">
        <v>931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854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932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550</v>
      </c>
      <c r="C3" s="43" t="s">
        <v>932</v>
      </c>
      <c r="I3" s="43">
        <f t="shared" ref="I3:I19" si="0">G3-H3</f>
        <v>0</v>
      </c>
    </row>
    <row r="4" spans="1:16" s="34" customFormat="1" x14ac:dyDescent="0.25">
      <c r="B4" s="34" t="s">
        <v>18</v>
      </c>
      <c r="C4" s="34" t="s">
        <v>933</v>
      </c>
      <c r="D4" s="34" t="s">
        <v>934</v>
      </c>
      <c r="E4" s="34" t="s">
        <v>935</v>
      </c>
      <c r="F4" s="34">
        <v>7</v>
      </c>
      <c r="G4" s="34">
        <v>670</v>
      </c>
      <c r="H4" s="34">
        <v>30</v>
      </c>
      <c r="I4" s="34">
        <f t="shared" si="0"/>
        <v>640</v>
      </c>
      <c r="J4" s="34" t="s">
        <v>936</v>
      </c>
      <c r="K4" s="34" t="s">
        <v>22</v>
      </c>
      <c r="L4" s="34" t="s">
        <v>937</v>
      </c>
      <c r="M4" s="34" t="s">
        <v>341</v>
      </c>
    </row>
    <row r="5" spans="1:16" s="5" customFormat="1" x14ac:dyDescent="0.25">
      <c r="B5" s="5" t="s">
        <v>18</v>
      </c>
      <c r="C5" s="5" t="s">
        <v>938</v>
      </c>
      <c r="D5" s="5" t="s">
        <v>939</v>
      </c>
      <c r="E5" s="5" t="s">
        <v>940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936</v>
      </c>
      <c r="K5" s="5" t="s">
        <v>22</v>
      </c>
      <c r="L5" s="5" t="s">
        <v>937</v>
      </c>
    </row>
    <row r="6" spans="1:16" s="43" customFormat="1" x14ac:dyDescent="0.25">
      <c r="B6" s="43" t="s">
        <v>18</v>
      </c>
      <c r="C6" s="43" t="s">
        <v>941</v>
      </c>
      <c r="D6" s="43" t="s">
        <v>942</v>
      </c>
      <c r="E6" s="43" t="s">
        <v>943</v>
      </c>
      <c r="F6" s="43" t="s">
        <v>97</v>
      </c>
      <c r="G6" s="43">
        <v>875</v>
      </c>
      <c r="H6" s="43">
        <v>25</v>
      </c>
      <c r="I6" s="43">
        <f t="shared" si="0"/>
        <v>850</v>
      </c>
      <c r="J6" s="43" t="s">
        <v>27</v>
      </c>
      <c r="K6" s="43" t="s">
        <v>22</v>
      </c>
      <c r="L6" s="43" t="s">
        <v>937</v>
      </c>
    </row>
    <row r="7" spans="1:16" s="34" customFormat="1" x14ac:dyDescent="0.25">
      <c r="B7" s="34" t="s">
        <v>18</v>
      </c>
      <c r="C7" s="34" t="s">
        <v>944</v>
      </c>
      <c r="D7" s="34" t="s">
        <v>945</v>
      </c>
      <c r="E7" s="34" t="s">
        <v>946</v>
      </c>
      <c r="F7" s="34" t="s">
        <v>53</v>
      </c>
      <c r="G7" s="34">
        <v>1630</v>
      </c>
      <c r="H7" s="34">
        <v>20</v>
      </c>
      <c r="I7" s="34">
        <f t="shared" si="0"/>
        <v>1610</v>
      </c>
      <c r="J7" s="34" t="s">
        <v>22</v>
      </c>
      <c r="K7" s="34" t="s">
        <v>22</v>
      </c>
      <c r="L7" s="34" t="s">
        <v>937</v>
      </c>
    </row>
    <row r="8" spans="1:16" s="5" customFormat="1" x14ac:dyDescent="0.25">
      <c r="B8" s="5" t="s">
        <v>18</v>
      </c>
      <c r="C8" s="5" t="s">
        <v>933</v>
      </c>
      <c r="D8" s="5" t="s">
        <v>947</v>
      </c>
      <c r="E8" s="5" t="s">
        <v>935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936</v>
      </c>
      <c r="K8" s="5" t="s">
        <v>22</v>
      </c>
      <c r="L8" s="5" t="s">
        <v>937</v>
      </c>
      <c r="M8" s="5" t="s">
        <v>341</v>
      </c>
    </row>
    <row r="9" spans="1:16" s="43" customFormat="1" x14ac:dyDescent="0.25">
      <c r="B9" s="43" t="s">
        <v>18</v>
      </c>
      <c r="C9" s="43" t="s">
        <v>948</v>
      </c>
      <c r="D9" s="43" t="s">
        <v>949</v>
      </c>
      <c r="E9" s="43" t="s">
        <v>950</v>
      </c>
      <c r="F9" s="43" t="s">
        <v>93</v>
      </c>
      <c r="G9" s="43">
        <v>660</v>
      </c>
      <c r="H9" s="43">
        <v>20</v>
      </c>
      <c r="I9" s="43">
        <f t="shared" si="0"/>
        <v>640</v>
      </c>
      <c r="J9" s="43" t="s">
        <v>27</v>
      </c>
      <c r="K9" s="43" t="s">
        <v>22</v>
      </c>
      <c r="L9" s="43" t="s">
        <v>937</v>
      </c>
    </row>
    <row r="10" spans="1:16" s="43" customFormat="1" x14ac:dyDescent="0.25">
      <c r="B10" s="43" t="s">
        <v>18</v>
      </c>
      <c r="C10" s="43" t="s">
        <v>951</v>
      </c>
      <c r="D10" s="43" t="s">
        <v>952</v>
      </c>
      <c r="E10" s="43" t="s">
        <v>953</v>
      </c>
      <c r="F10" s="43" t="s">
        <v>53</v>
      </c>
      <c r="G10" s="43">
        <v>0</v>
      </c>
      <c r="H10" s="43">
        <v>20</v>
      </c>
      <c r="I10" s="43">
        <f t="shared" si="0"/>
        <v>-20</v>
      </c>
      <c r="J10" s="43" t="s">
        <v>22</v>
      </c>
      <c r="K10" s="43" t="s">
        <v>22</v>
      </c>
      <c r="L10" s="43" t="s">
        <v>937</v>
      </c>
    </row>
    <row r="11" spans="1:16" s="43" customFormat="1" x14ac:dyDescent="0.25">
      <c r="B11" s="43" t="s">
        <v>18</v>
      </c>
      <c r="C11" s="43" t="s">
        <v>954</v>
      </c>
      <c r="D11" s="43" t="s">
        <v>955</v>
      </c>
      <c r="E11" s="43" t="s">
        <v>956</v>
      </c>
      <c r="F11" s="44">
        <v>12</v>
      </c>
      <c r="G11" s="43">
        <v>0</v>
      </c>
      <c r="H11" s="43">
        <v>30</v>
      </c>
      <c r="I11" s="43">
        <f t="shared" si="0"/>
        <v>-30</v>
      </c>
      <c r="J11" s="43" t="s">
        <v>936</v>
      </c>
      <c r="K11" s="43" t="s">
        <v>22</v>
      </c>
      <c r="L11" s="43" t="s">
        <v>937</v>
      </c>
    </row>
    <row r="12" spans="1:16" s="43" customFormat="1" x14ac:dyDescent="0.25">
      <c r="B12" s="43" t="s">
        <v>18</v>
      </c>
      <c r="C12" s="43" t="s">
        <v>957</v>
      </c>
      <c r="D12" s="43" t="s">
        <v>958</v>
      </c>
      <c r="E12" s="43" t="s">
        <v>959</v>
      </c>
      <c r="F12" s="44" t="s">
        <v>63</v>
      </c>
      <c r="G12" s="43">
        <v>755</v>
      </c>
      <c r="H12" s="43">
        <v>25</v>
      </c>
      <c r="I12" s="43">
        <f t="shared" si="0"/>
        <v>730</v>
      </c>
      <c r="J12" s="43" t="s">
        <v>936</v>
      </c>
      <c r="K12" s="43" t="s">
        <v>22</v>
      </c>
      <c r="L12" s="43" t="s">
        <v>937</v>
      </c>
    </row>
    <row r="13" spans="1:16" s="34" customFormat="1" x14ac:dyDescent="0.25">
      <c r="B13" s="34" t="s">
        <v>18</v>
      </c>
      <c r="C13" s="34" t="s">
        <v>960</v>
      </c>
      <c r="D13" s="34" t="s">
        <v>961</v>
      </c>
      <c r="E13" s="34" t="s">
        <v>962</v>
      </c>
      <c r="F13" s="34">
        <v>9</v>
      </c>
      <c r="G13" s="34">
        <v>670</v>
      </c>
      <c r="H13" s="34">
        <v>30</v>
      </c>
      <c r="I13" s="34">
        <f t="shared" si="0"/>
        <v>640</v>
      </c>
      <c r="J13" s="34" t="s">
        <v>936</v>
      </c>
      <c r="K13" s="34" t="s">
        <v>22</v>
      </c>
      <c r="L13" s="34" t="s">
        <v>937</v>
      </c>
    </row>
    <row r="14" spans="1:16" s="34" customFormat="1" x14ac:dyDescent="0.25">
      <c r="B14" s="34" t="s">
        <v>18</v>
      </c>
      <c r="C14" s="34" t="s">
        <v>963</v>
      </c>
      <c r="D14" s="34" t="s">
        <v>964</v>
      </c>
      <c r="E14" s="34" t="s">
        <v>965</v>
      </c>
      <c r="F14" s="34">
        <v>12</v>
      </c>
      <c r="G14" s="34">
        <v>0</v>
      </c>
      <c r="H14" s="34">
        <v>30</v>
      </c>
      <c r="I14" s="34">
        <f t="shared" si="0"/>
        <v>-30</v>
      </c>
      <c r="J14" s="34" t="s">
        <v>936</v>
      </c>
      <c r="K14" s="34" t="s">
        <v>22</v>
      </c>
      <c r="L14" s="34" t="s">
        <v>937</v>
      </c>
      <c r="M14" s="34" t="s">
        <v>299</v>
      </c>
    </row>
    <row r="15" spans="1:16" s="5" customFormat="1" x14ac:dyDescent="0.25">
      <c r="B15" s="5" t="s">
        <v>18</v>
      </c>
      <c r="C15" s="5" t="s">
        <v>966</v>
      </c>
      <c r="D15" s="5" t="s">
        <v>967</v>
      </c>
      <c r="E15" s="5" t="s">
        <v>968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937</v>
      </c>
    </row>
    <row r="16" spans="1:16" s="5" customFormat="1" x14ac:dyDescent="0.25">
      <c r="B16" s="5" t="s">
        <v>18</v>
      </c>
      <c r="C16" s="5" t="s">
        <v>128</v>
      </c>
      <c r="D16" s="5" t="s">
        <v>969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937</v>
      </c>
    </row>
    <row r="17" spans="1:12" s="5" customFormat="1" x14ac:dyDescent="0.25">
      <c r="B17" s="5" t="s">
        <v>18</v>
      </c>
      <c r="C17" s="5" t="s">
        <v>970</v>
      </c>
      <c r="D17" s="5" t="s">
        <v>971</v>
      </c>
      <c r="E17" s="5" t="s">
        <v>972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937</v>
      </c>
    </row>
    <row r="18" spans="1:12" s="5" customFormat="1" x14ac:dyDescent="0.25">
      <c r="B18" s="5" t="s">
        <v>18</v>
      </c>
      <c r="C18" s="5" t="s">
        <v>973</v>
      </c>
      <c r="D18" s="5" t="s">
        <v>974</v>
      </c>
      <c r="E18" s="5" t="s">
        <v>975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937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937</v>
      </c>
    </row>
    <row r="20" spans="1:12" x14ac:dyDescent="0.25">
      <c r="A20" t="s">
        <v>255</v>
      </c>
      <c r="B20" t="s">
        <v>18</v>
      </c>
      <c r="C20" t="s">
        <v>976</v>
      </c>
      <c r="E20" t="s">
        <v>977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937</v>
      </c>
    </row>
    <row r="21" spans="1:12" x14ac:dyDescent="0.25">
      <c r="A21" t="s">
        <v>255</v>
      </c>
      <c r="B21" t="s">
        <v>18</v>
      </c>
      <c r="C21" t="s">
        <v>978</v>
      </c>
      <c r="E21" t="s">
        <v>979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937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E31" sqref="E31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980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618</v>
      </c>
      <c r="C3" s="34" t="s">
        <v>980</v>
      </c>
      <c r="I3" s="34">
        <f t="shared" ref="I3:I28" si="0">G3-H3</f>
        <v>0</v>
      </c>
    </row>
    <row r="4" spans="1:17" s="43" customFormat="1" x14ac:dyDescent="0.25">
      <c r="B4" s="43" t="s">
        <v>18</v>
      </c>
      <c r="C4" s="43" t="s">
        <v>981</v>
      </c>
      <c r="D4" s="43" t="s">
        <v>982</v>
      </c>
      <c r="E4" s="43" t="s">
        <v>983</v>
      </c>
      <c r="F4" s="43" t="s">
        <v>53</v>
      </c>
      <c r="G4" s="43">
        <v>1450</v>
      </c>
      <c r="H4" s="43">
        <v>20</v>
      </c>
      <c r="I4" s="43">
        <f t="shared" si="0"/>
        <v>1430</v>
      </c>
      <c r="J4" s="43" t="s">
        <v>22</v>
      </c>
      <c r="K4" s="43" t="s">
        <v>22</v>
      </c>
      <c r="L4" s="43" t="s">
        <v>984</v>
      </c>
      <c r="Q4" s="43">
        <v>1</v>
      </c>
    </row>
    <row r="5" spans="1:17" s="43" customFormat="1" x14ac:dyDescent="0.25">
      <c r="B5" s="43" t="s">
        <v>18</v>
      </c>
      <c r="C5" s="43" t="s">
        <v>985</v>
      </c>
      <c r="D5" s="43" t="s">
        <v>986</v>
      </c>
      <c r="E5" s="43" t="s">
        <v>987</v>
      </c>
      <c r="F5" s="44">
        <v>4</v>
      </c>
      <c r="G5" s="43">
        <v>885</v>
      </c>
      <c r="H5" s="43">
        <v>25</v>
      </c>
      <c r="I5" s="43">
        <f t="shared" si="0"/>
        <v>860</v>
      </c>
      <c r="J5" s="43" t="s">
        <v>27</v>
      </c>
      <c r="K5" s="43" t="s">
        <v>22</v>
      </c>
      <c r="L5" s="43" t="s">
        <v>984</v>
      </c>
      <c r="Q5" s="43">
        <v>1</v>
      </c>
    </row>
    <row r="6" spans="1:17" s="38" customFormat="1" x14ac:dyDescent="0.25">
      <c r="B6" s="38" t="s">
        <v>18</v>
      </c>
      <c r="C6" s="38" t="s">
        <v>988</v>
      </c>
      <c r="D6" s="38" t="s">
        <v>989</v>
      </c>
      <c r="E6" s="38" t="s">
        <v>990</v>
      </c>
      <c r="F6" s="38" t="s">
        <v>39</v>
      </c>
      <c r="G6" s="38">
        <v>745</v>
      </c>
      <c r="H6" s="38">
        <v>35</v>
      </c>
      <c r="I6" s="38">
        <f t="shared" si="0"/>
        <v>710</v>
      </c>
      <c r="J6" s="38" t="s">
        <v>991</v>
      </c>
      <c r="K6" s="38" t="s">
        <v>22</v>
      </c>
      <c r="L6" s="38" t="s">
        <v>984</v>
      </c>
      <c r="Q6" s="38">
        <v>1</v>
      </c>
    </row>
    <row r="7" spans="1:17" s="43" customFormat="1" x14ac:dyDescent="0.25">
      <c r="B7" s="43" t="s">
        <v>18</v>
      </c>
      <c r="C7" s="43" t="s">
        <v>992</v>
      </c>
      <c r="D7" s="43" t="s">
        <v>993</v>
      </c>
      <c r="E7" s="43" t="s">
        <v>994</v>
      </c>
      <c r="F7" s="43">
        <v>6</v>
      </c>
      <c r="G7" s="43">
        <v>735</v>
      </c>
      <c r="H7" s="43">
        <v>25</v>
      </c>
      <c r="I7" s="43">
        <f t="shared" si="0"/>
        <v>710</v>
      </c>
      <c r="J7" s="43" t="s">
        <v>22</v>
      </c>
      <c r="K7" s="43" t="s">
        <v>22</v>
      </c>
      <c r="L7" s="43" t="s">
        <v>984</v>
      </c>
      <c r="Q7" s="43">
        <v>1</v>
      </c>
    </row>
    <row r="8" spans="1:17" s="5" customFormat="1" x14ac:dyDescent="0.25">
      <c r="B8" s="5" t="s">
        <v>18</v>
      </c>
      <c r="C8" s="5" t="s">
        <v>995</v>
      </c>
      <c r="D8" s="5" t="s">
        <v>996</v>
      </c>
      <c r="E8" s="5" t="s">
        <v>997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984</v>
      </c>
      <c r="Q8" s="5">
        <v>1</v>
      </c>
    </row>
    <row r="9" spans="1:17" s="34" customFormat="1" x14ac:dyDescent="0.25">
      <c r="B9" s="34" t="s">
        <v>18</v>
      </c>
      <c r="C9" s="34" t="s">
        <v>998</v>
      </c>
      <c r="D9" s="34" t="s">
        <v>999</v>
      </c>
      <c r="E9" s="34" t="s">
        <v>1000</v>
      </c>
      <c r="F9" s="34">
        <v>7</v>
      </c>
      <c r="G9" s="34">
        <v>510</v>
      </c>
      <c r="H9" s="34">
        <v>30</v>
      </c>
      <c r="I9" s="34">
        <f t="shared" si="0"/>
        <v>480</v>
      </c>
      <c r="J9" s="34" t="s">
        <v>991</v>
      </c>
      <c r="K9" s="34" t="s">
        <v>22</v>
      </c>
      <c r="L9" s="34" t="s">
        <v>984</v>
      </c>
      <c r="Q9" s="34">
        <v>1</v>
      </c>
    </row>
    <row r="10" spans="1:17" s="43" customFormat="1" x14ac:dyDescent="0.25">
      <c r="B10" s="43" t="s">
        <v>18</v>
      </c>
      <c r="C10" s="43" t="s">
        <v>1001</v>
      </c>
      <c r="D10" s="43" t="s">
        <v>1002</v>
      </c>
      <c r="E10" s="43" t="s">
        <v>1003</v>
      </c>
      <c r="F10" s="43" t="s">
        <v>97</v>
      </c>
      <c r="G10" s="43">
        <v>765</v>
      </c>
      <c r="H10" s="43">
        <v>25</v>
      </c>
      <c r="I10" s="43">
        <f t="shared" si="0"/>
        <v>740</v>
      </c>
      <c r="J10" s="43" t="s">
        <v>22</v>
      </c>
      <c r="K10" s="43" t="s">
        <v>22</v>
      </c>
      <c r="L10" s="43" t="s">
        <v>984</v>
      </c>
      <c r="Q10" s="43">
        <v>1</v>
      </c>
    </row>
    <row r="11" spans="1:17" s="43" customFormat="1" x14ac:dyDescent="0.25">
      <c r="B11" s="43" t="s">
        <v>18</v>
      </c>
      <c r="C11" s="43" t="s">
        <v>1004</v>
      </c>
      <c r="D11" s="43" t="s">
        <v>1005</v>
      </c>
      <c r="E11" s="43" t="s">
        <v>1006</v>
      </c>
      <c r="F11" s="43">
        <v>3</v>
      </c>
      <c r="G11" s="43">
        <v>1455</v>
      </c>
      <c r="H11" s="43">
        <v>25</v>
      </c>
      <c r="I11" s="43">
        <f t="shared" si="0"/>
        <v>1430</v>
      </c>
      <c r="J11" s="43" t="s">
        <v>27</v>
      </c>
      <c r="K11" s="43" t="s">
        <v>22</v>
      </c>
      <c r="L11" s="43" t="s">
        <v>984</v>
      </c>
      <c r="Q11" s="43">
        <v>1</v>
      </c>
    </row>
    <row r="12" spans="1:17" s="43" customFormat="1" x14ac:dyDescent="0.25">
      <c r="B12" s="43" t="s">
        <v>18</v>
      </c>
      <c r="C12" s="43" t="s">
        <v>1007</v>
      </c>
      <c r="D12" s="43" t="s">
        <v>1008</v>
      </c>
      <c r="E12" s="43" t="s">
        <v>1009</v>
      </c>
      <c r="F12" s="43" t="s">
        <v>49</v>
      </c>
      <c r="G12" s="43">
        <v>1760</v>
      </c>
      <c r="H12" s="43">
        <v>30</v>
      </c>
      <c r="I12" s="43">
        <f t="shared" si="0"/>
        <v>1730</v>
      </c>
      <c r="J12" s="43" t="s">
        <v>991</v>
      </c>
      <c r="K12" s="43" t="s">
        <v>22</v>
      </c>
      <c r="L12" s="43" t="s">
        <v>984</v>
      </c>
      <c r="Q12" s="43">
        <v>1</v>
      </c>
    </row>
    <row r="13" spans="1:17" s="43" customFormat="1" x14ac:dyDescent="0.25">
      <c r="B13" s="43" t="s">
        <v>18</v>
      </c>
      <c r="C13" s="43" t="s">
        <v>1010</v>
      </c>
      <c r="D13" s="43" t="s">
        <v>1011</v>
      </c>
      <c r="E13" s="43" t="s">
        <v>1012</v>
      </c>
      <c r="F13" s="43" t="s">
        <v>143</v>
      </c>
      <c r="G13" s="43">
        <v>115</v>
      </c>
      <c r="H13" s="43">
        <v>35</v>
      </c>
      <c r="I13" s="43">
        <f t="shared" si="0"/>
        <v>80</v>
      </c>
      <c r="J13" s="43" t="s">
        <v>991</v>
      </c>
      <c r="K13" s="43" t="s">
        <v>22</v>
      </c>
      <c r="L13" s="43" t="s">
        <v>984</v>
      </c>
      <c r="Q13" s="43">
        <v>1</v>
      </c>
    </row>
    <row r="14" spans="1:17" s="34" customFormat="1" x14ac:dyDescent="0.25">
      <c r="B14" s="34" t="s">
        <v>18</v>
      </c>
      <c r="C14" s="34" t="s">
        <v>180</v>
      </c>
      <c r="D14" s="34" t="s">
        <v>1013</v>
      </c>
      <c r="E14" s="34" t="s">
        <v>1014</v>
      </c>
      <c r="F14" s="34" t="s">
        <v>63</v>
      </c>
      <c r="G14" s="34">
        <v>885</v>
      </c>
      <c r="H14" s="34">
        <v>25</v>
      </c>
      <c r="I14" s="34">
        <f t="shared" si="0"/>
        <v>860</v>
      </c>
      <c r="J14" s="34" t="s">
        <v>991</v>
      </c>
      <c r="K14" s="34" t="s">
        <v>22</v>
      </c>
      <c r="L14" s="34" t="s">
        <v>984</v>
      </c>
      <c r="Q14" s="34">
        <v>1</v>
      </c>
    </row>
    <row r="15" spans="1:17" s="43" customFormat="1" x14ac:dyDescent="0.25">
      <c r="B15" s="43" t="s">
        <v>18</v>
      </c>
      <c r="C15" s="43" t="s">
        <v>265</v>
      </c>
      <c r="D15" s="43" t="s">
        <v>1015</v>
      </c>
      <c r="E15" s="43" t="s">
        <v>1016</v>
      </c>
      <c r="F15" s="43" t="s">
        <v>39</v>
      </c>
      <c r="G15" s="43">
        <v>0</v>
      </c>
      <c r="H15" s="43">
        <v>35</v>
      </c>
      <c r="I15" s="43">
        <f t="shared" si="0"/>
        <v>-35</v>
      </c>
      <c r="J15" s="43" t="s">
        <v>991</v>
      </c>
      <c r="K15" s="43" t="s">
        <v>22</v>
      </c>
      <c r="L15" s="43" t="s">
        <v>984</v>
      </c>
      <c r="Q15" s="43">
        <v>1</v>
      </c>
    </row>
    <row r="16" spans="1:17" s="43" customFormat="1" x14ac:dyDescent="0.25">
      <c r="B16" s="43" t="s">
        <v>18</v>
      </c>
      <c r="C16" s="43" t="s">
        <v>1017</v>
      </c>
      <c r="D16" s="43" t="s">
        <v>1018</v>
      </c>
      <c r="E16" s="43" t="s">
        <v>1019</v>
      </c>
      <c r="F16" s="43" t="s">
        <v>39</v>
      </c>
      <c r="G16" s="43">
        <v>765</v>
      </c>
      <c r="H16" s="43">
        <v>35</v>
      </c>
      <c r="I16" s="43">
        <f t="shared" si="0"/>
        <v>730</v>
      </c>
      <c r="J16" s="43" t="s">
        <v>27</v>
      </c>
      <c r="K16" s="43" t="s">
        <v>22</v>
      </c>
      <c r="L16" s="43" t="s">
        <v>984</v>
      </c>
      <c r="Q16" s="43">
        <v>1</v>
      </c>
    </row>
    <row r="17" spans="1:17" s="43" customFormat="1" x14ac:dyDescent="0.25">
      <c r="B17" s="43" t="s">
        <v>18</v>
      </c>
      <c r="C17" s="43" t="s">
        <v>1020</v>
      </c>
      <c r="D17" s="43" t="s">
        <v>1021</v>
      </c>
      <c r="E17" s="43" t="s">
        <v>1022</v>
      </c>
      <c r="F17" s="43" t="s">
        <v>63</v>
      </c>
      <c r="G17" s="43">
        <v>745</v>
      </c>
      <c r="H17" s="43">
        <v>25</v>
      </c>
      <c r="I17" s="43">
        <f t="shared" si="0"/>
        <v>720</v>
      </c>
      <c r="J17" s="43" t="s">
        <v>991</v>
      </c>
      <c r="K17" s="43" t="s">
        <v>22</v>
      </c>
      <c r="L17" s="43" t="s">
        <v>984</v>
      </c>
      <c r="Q17" s="43">
        <v>1</v>
      </c>
    </row>
    <row r="18" spans="1:17" s="43" customFormat="1" x14ac:dyDescent="0.25">
      <c r="B18" s="43" t="s">
        <v>18</v>
      </c>
      <c r="C18" s="43" t="s">
        <v>1023</v>
      </c>
      <c r="D18" s="43" t="s">
        <v>1024</v>
      </c>
      <c r="E18" s="43" t="s">
        <v>1025</v>
      </c>
      <c r="F18" s="44" t="s">
        <v>49</v>
      </c>
      <c r="G18" s="43">
        <v>670</v>
      </c>
      <c r="H18" s="43">
        <v>30</v>
      </c>
      <c r="I18" s="43">
        <f t="shared" si="0"/>
        <v>640</v>
      </c>
      <c r="J18" s="43" t="s">
        <v>991</v>
      </c>
      <c r="K18" s="43" t="s">
        <v>22</v>
      </c>
      <c r="L18" s="43" t="s">
        <v>984</v>
      </c>
      <c r="Q18" s="43">
        <v>1</v>
      </c>
    </row>
    <row r="19" spans="1:17" s="5" customFormat="1" x14ac:dyDescent="0.25">
      <c r="B19" s="5" t="s">
        <v>18</v>
      </c>
      <c r="C19" s="5" t="s">
        <v>916</v>
      </c>
      <c r="D19" s="5" t="s">
        <v>1026</v>
      </c>
      <c r="E19" s="5" t="s">
        <v>918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991</v>
      </c>
      <c r="K19" s="5" t="s">
        <v>22</v>
      </c>
      <c r="L19" s="5" t="s">
        <v>984</v>
      </c>
      <c r="Q19" s="5">
        <v>1</v>
      </c>
    </row>
    <row r="20" spans="1:17" s="34" customFormat="1" x14ac:dyDescent="0.25">
      <c r="B20" s="34" t="s">
        <v>18</v>
      </c>
      <c r="C20" s="34" t="s">
        <v>1027</v>
      </c>
      <c r="D20" s="34" t="s">
        <v>1028</v>
      </c>
      <c r="E20" s="34" t="s">
        <v>1029</v>
      </c>
      <c r="F20" s="34">
        <v>12</v>
      </c>
      <c r="G20" s="34">
        <v>820</v>
      </c>
      <c r="H20" s="34">
        <v>30</v>
      </c>
      <c r="I20" s="34">
        <f t="shared" si="0"/>
        <v>790</v>
      </c>
      <c r="J20" s="34" t="s">
        <v>991</v>
      </c>
      <c r="K20" s="34" t="s">
        <v>22</v>
      </c>
      <c r="L20" s="34" t="s">
        <v>984</v>
      </c>
      <c r="Q20" s="34">
        <v>1</v>
      </c>
    </row>
    <row r="21" spans="1:17" s="34" customFormat="1" x14ac:dyDescent="0.25">
      <c r="B21" s="34" t="s">
        <v>18</v>
      </c>
      <c r="C21" s="34" t="s">
        <v>1030</v>
      </c>
      <c r="D21" s="34" t="s">
        <v>1031</v>
      </c>
      <c r="E21" s="34" t="s">
        <v>1032</v>
      </c>
      <c r="F21" s="34" t="s">
        <v>53</v>
      </c>
      <c r="G21" s="34">
        <v>20</v>
      </c>
      <c r="H21" s="34">
        <v>20</v>
      </c>
      <c r="I21" s="34">
        <f t="shared" si="0"/>
        <v>0</v>
      </c>
      <c r="J21" s="34" t="s">
        <v>22</v>
      </c>
      <c r="K21" s="34" t="s">
        <v>22</v>
      </c>
      <c r="L21" s="34" t="s">
        <v>984</v>
      </c>
      <c r="M21" s="34" t="s">
        <v>299</v>
      </c>
      <c r="Q21" s="34">
        <v>1</v>
      </c>
    </row>
    <row r="22" spans="1:17" s="34" customFormat="1" x14ac:dyDescent="0.25">
      <c r="B22" s="34" t="s">
        <v>18</v>
      </c>
      <c r="C22" s="34" t="s">
        <v>828</v>
      </c>
      <c r="D22" s="34" t="s">
        <v>1033</v>
      </c>
      <c r="E22" s="34" t="s">
        <v>1034</v>
      </c>
      <c r="F22" s="34" t="s">
        <v>39</v>
      </c>
      <c r="G22" s="34">
        <v>415</v>
      </c>
      <c r="H22" s="34">
        <v>35</v>
      </c>
      <c r="I22" s="34">
        <f t="shared" si="0"/>
        <v>380</v>
      </c>
      <c r="J22" s="34" t="s">
        <v>27</v>
      </c>
      <c r="K22" s="34" t="s">
        <v>22</v>
      </c>
      <c r="L22" s="34" t="s">
        <v>984</v>
      </c>
      <c r="Q22" s="34">
        <v>1</v>
      </c>
    </row>
    <row r="23" spans="1:17" s="5" customFormat="1" x14ac:dyDescent="0.25">
      <c r="B23" s="5" t="s">
        <v>18</v>
      </c>
      <c r="C23" s="5" t="s">
        <v>1035</v>
      </c>
      <c r="D23" s="5" t="s">
        <v>1036</v>
      </c>
      <c r="E23" s="5" t="s">
        <v>1037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984</v>
      </c>
      <c r="Q23" s="5">
        <v>1</v>
      </c>
    </row>
    <row r="24" spans="1:17" s="43" customFormat="1" x14ac:dyDescent="0.25">
      <c r="B24" s="43" t="s">
        <v>18</v>
      </c>
      <c r="C24" s="43" t="s">
        <v>1038</v>
      </c>
      <c r="D24" s="43" t="s">
        <v>1039</v>
      </c>
      <c r="E24" s="43" t="s">
        <v>1040</v>
      </c>
      <c r="F24" s="43">
        <v>4</v>
      </c>
      <c r="G24" s="43">
        <v>1525</v>
      </c>
      <c r="H24" s="43">
        <v>25</v>
      </c>
      <c r="I24" s="43">
        <f t="shared" si="0"/>
        <v>1500</v>
      </c>
      <c r="J24" s="43" t="s">
        <v>27</v>
      </c>
      <c r="K24" s="43" t="s">
        <v>22</v>
      </c>
      <c r="L24" s="43" t="s">
        <v>984</v>
      </c>
      <c r="Q24" s="43">
        <v>1</v>
      </c>
    </row>
    <row r="25" spans="1:17" s="34" customFormat="1" x14ac:dyDescent="0.25">
      <c r="B25" s="34" t="s">
        <v>18</v>
      </c>
      <c r="C25" s="34" t="s">
        <v>1041</v>
      </c>
      <c r="D25" s="34" t="s">
        <v>1042</v>
      </c>
      <c r="E25" s="34" t="s">
        <v>1043</v>
      </c>
      <c r="F25" s="35">
        <v>2</v>
      </c>
      <c r="G25" s="34">
        <v>890</v>
      </c>
      <c r="H25" s="34">
        <v>30</v>
      </c>
      <c r="I25" s="34">
        <f t="shared" si="0"/>
        <v>860</v>
      </c>
      <c r="J25" s="34" t="s">
        <v>22</v>
      </c>
      <c r="K25" s="34" t="s">
        <v>22</v>
      </c>
      <c r="L25" s="34" t="s">
        <v>984</v>
      </c>
      <c r="Q25" s="34">
        <v>1</v>
      </c>
    </row>
    <row r="26" spans="1:17" s="43" customFormat="1" x14ac:dyDescent="0.25">
      <c r="B26" s="43" t="s">
        <v>18</v>
      </c>
      <c r="C26" s="43" t="s">
        <v>1044</v>
      </c>
      <c r="D26" s="43" t="s">
        <v>1045</v>
      </c>
      <c r="E26" s="43" t="s">
        <v>1046</v>
      </c>
      <c r="F26" s="43">
        <v>7</v>
      </c>
      <c r="G26" s="43">
        <v>1610</v>
      </c>
      <c r="H26" s="43">
        <v>30</v>
      </c>
      <c r="I26" s="43">
        <f t="shared" si="0"/>
        <v>1580</v>
      </c>
      <c r="J26" s="43" t="s">
        <v>991</v>
      </c>
      <c r="K26" s="43" t="s">
        <v>22</v>
      </c>
      <c r="L26" s="43" t="s">
        <v>984</v>
      </c>
      <c r="Q26" s="43">
        <v>1</v>
      </c>
    </row>
    <row r="27" spans="1:17" s="34" customFormat="1" x14ac:dyDescent="0.25">
      <c r="B27" s="34" t="s">
        <v>18</v>
      </c>
      <c r="C27" s="34" t="s">
        <v>1047</v>
      </c>
      <c r="D27" s="34" t="s">
        <v>1048</v>
      </c>
      <c r="E27" s="34" t="s">
        <v>1049</v>
      </c>
      <c r="F27" s="34">
        <v>1</v>
      </c>
      <c r="G27" s="34">
        <v>1015</v>
      </c>
      <c r="H27" s="34">
        <v>25</v>
      </c>
      <c r="I27" s="34">
        <f t="shared" si="0"/>
        <v>990</v>
      </c>
      <c r="J27" s="34" t="s">
        <v>27</v>
      </c>
      <c r="K27" s="34" t="s">
        <v>22</v>
      </c>
      <c r="L27" s="34" t="s">
        <v>984</v>
      </c>
      <c r="Q27" s="34">
        <v>1</v>
      </c>
    </row>
    <row r="28" spans="1:17" s="38" customFormat="1" x14ac:dyDescent="0.25">
      <c r="B28" s="38" t="s">
        <v>18</v>
      </c>
      <c r="C28" s="38" t="s">
        <v>1050</v>
      </c>
      <c r="D28" s="38" t="s">
        <v>1051</v>
      </c>
      <c r="E28" s="38" t="s">
        <v>1052</v>
      </c>
      <c r="F28" s="45">
        <v>8</v>
      </c>
      <c r="G28" s="38">
        <v>850</v>
      </c>
      <c r="H28" s="38">
        <v>30</v>
      </c>
      <c r="I28" s="38">
        <f t="shared" si="0"/>
        <v>820</v>
      </c>
      <c r="J28" s="38" t="s">
        <v>991</v>
      </c>
      <c r="K28" s="38" t="s">
        <v>22</v>
      </c>
      <c r="L28" s="38" t="s">
        <v>984</v>
      </c>
      <c r="Q28" s="38">
        <v>1</v>
      </c>
    </row>
    <row r="29" spans="1:17" s="43" customFormat="1" x14ac:dyDescent="0.25">
      <c r="B29" s="43" t="s">
        <v>18</v>
      </c>
      <c r="C29" s="43" t="s">
        <v>1053</v>
      </c>
      <c r="D29" s="43" t="s">
        <v>1054</v>
      </c>
      <c r="E29" s="43" t="s">
        <v>1055</v>
      </c>
      <c r="F29" s="44">
        <v>1</v>
      </c>
      <c r="G29" s="43">
        <v>1155</v>
      </c>
      <c r="H29" s="43">
        <v>25</v>
      </c>
      <c r="I29" s="43">
        <f>-H29</f>
        <v>-25</v>
      </c>
      <c r="J29" s="43" t="s">
        <v>27</v>
      </c>
      <c r="K29" s="43" t="s">
        <v>22</v>
      </c>
      <c r="L29" s="43" t="s">
        <v>984</v>
      </c>
      <c r="Q29" s="43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541</v>
      </c>
      <c r="E30" s="5" t="s">
        <v>1056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984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1057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991</v>
      </c>
      <c r="K31" s="5" t="s">
        <v>22</v>
      </c>
      <c r="L31" s="5" t="s">
        <v>984</v>
      </c>
      <c r="Q31" s="5">
        <v>1</v>
      </c>
    </row>
    <row r="32" spans="1:17" s="34" customFormat="1" x14ac:dyDescent="0.25">
      <c r="A32" s="34" t="s">
        <v>255</v>
      </c>
      <c r="B32" s="34" t="s">
        <v>18</v>
      </c>
      <c r="C32" s="34" t="s">
        <v>545</v>
      </c>
      <c r="E32" s="34" t="s">
        <v>1058</v>
      </c>
      <c r="F32" s="35" t="s">
        <v>118</v>
      </c>
      <c r="G32" s="34">
        <v>1530</v>
      </c>
      <c r="H32" s="34">
        <v>30</v>
      </c>
      <c r="I32" s="34">
        <f>G32-H32</f>
        <v>1500</v>
      </c>
      <c r="J32" s="34" t="s">
        <v>22</v>
      </c>
      <c r="K32" s="34" t="s">
        <v>22</v>
      </c>
      <c r="L32" s="34" t="s">
        <v>984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1059</v>
      </c>
      <c r="E33" s="34" t="s">
        <v>1060</v>
      </c>
      <c r="F33" s="34" t="s">
        <v>97</v>
      </c>
      <c r="G33" s="34">
        <v>30</v>
      </c>
      <c r="H33" s="34">
        <v>30</v>
      </c>
      <c r="I33" s="34">
        <f>G33-H33</f>
        <v>0</v>
      </c>
      <c r="J33" s="34" t="s">
        <v>22</v>
      </c>
      <c r="K33" s="34" t="s">
        <v>22</v>
      </c>
      <c r="L33" s="34" t="s">
        <v>984</v>
      </c>
      <c r="Q33" s="34">
        <v>1</v>
      </c>
    </row>
    <row r="34" spans="1:17" x14ac:dyDescent="0.25">
      <c r="A34" t="s">
        <v>255</v>
      </c>
      <c r="B34" t="s">
        <v>18</v>
      </c>
      <c r="C34" t="s">
        <v>543</v>
      </c>
      <c r="E34" t="s">
        <v>853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984</v>
      </c>
      <c r="Q34">
        <v>1</v>
      </c>
    </row>
    <row r="35" spans="1:17" x14ac:dyDescent="0.25">
      <c r="A35" t="s">
        <v>255</v>
      </c>
      <c r="B35" t="s">
        <v>18</v>
      </c>
      <c r="C35" t="s">
        <v>1061</v>
      </c>
      <c r="E35" t="s">
        <v>1062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984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E4" sqref="E4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1063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B3" s="43" t="s">
        <v>736</v>
      </c>
      <c r="C3" s="43" t="s">
        <v>1063</v>
      </c>
      <c r="I3" s="43">
        <f t="shared" ref="I3:I27" si="0">G3-H3</f>
        <v>0</v>
      </c>
    </row>
    <row r="4" spans="1:17" s="43" customFormat="1" x14ac:dyDescent="0.25">
      <c r="B4" s="43" t="s">
        <v>18</v>
      </c>
      <c r="C4" s="43" t="s">
        <v>226</v>
      </c>
      <c r="D4" s="43" t="s">
        <v>1064</v>
      </c>
      <c r="E4" s="43" t="s">
        <v>228</v>
      </c>
      <c r="F4" s="43" t="s">
        <v>39</v>
      </c>
      <c r="G4" s="43">
        <v>155</v>
      </c>
      <c r="H4" s="43">
        <v>35</v>
      </c>
      <c r="I4" s="43">
        <f t="shared" si="0"/>
        <v>120</v>
      </c>
      <c r="J4" s="43" t="s">
        <v>1065</v>
      </c>
      <c r="K4" s="43" t="s">
        <v>22</v>
      </c>
      <c r="L4" s="43" t="s">
        <v>1066</v>
      </c>
      <c r="M4" s="43" t="s">
        <v>299</v>
      </c>
      <c r="Q4" s="43">
        <v>1</v>
      </c>
    </row>
    <row r="5" spans="1:17" s="34" customFormat="1" x14ac:dyDescent="0.25">
      <c r="B5" s="34" t="s">
        <v>18</v>
      </c>
      <c r="C5" s="34" t="s">
        <v>1067</v>
      </c>
      <c r="D5" s="34" t="s">
        <v>1068</v>
      </c>
      <c r="E5" s="34" t="s">
        <v>1069</v>
      </c>
      <c r="F5" s="34">
        <v>11</v>
      </c>
      <c r="G5" s="34">
        <v>0</v>
      </c>
      <c r="H5" s="34">
        <v>25</v>
      </c>
      <c r="I5" s="34">
        <f t="shared" si="0"/>
        <v>-25</v>
      </c>
      <c r="J5" s="34" t="s">
        <v>1065</v>
      </c>
      <c r="K5" s="34" t="s">
        <v>22</v>
      </c>
      <c r="L5" s="34" t="s">
        <v>1066</v>
      </c>
      <c r="Q5" s="34">
        <v>1</v>
      </c>
    </row>
    <row r="6" spans="1:17" s="43" customFormat="1" x14ac:dyDescent="0.25">
      <c r="B6" s="43" t="s">
        <v>18</v>
      </c>
      <c r="C6" s="43" t="s">
        <v>769</v>
      </c>
      <c r="D6" s="43" t="s">
        <v>1070</v>
      </c>
      <c r="E6" s="43" t="s">
        <v>1071</v>
      </c>
      <c r="F6" s="43">
        <v>4</v>
      </c>
      <c r="G6" s="43">
        <v>405</v>
      </c>
      <c r="H6" s="43">
        <v>25</v>
      </c>
      <c r="I6" s="43">
        <f t="shared" si="0"/>
        <v>380</v>
      </c>
      <c r="J6" s="43" t="s">
        <v>27</v>
      </c>
      <c r="K6" s="43" t="s">
        <v>22</v>
      </c>
      <c r="L6" s="43" t="s">
        <v>1066</v>
      </c>
      <c r="Q6" s="43">
        <v>1</v>
      </c>
    </row>
    <row r="7" spans="1:17" s="34" customFormat="1" x14ac:dyDescent="0.25">
      <c r="B7" s="34" t="s">
        <v>18</v>
      </c>
      <c r="C7" s="34" t="s">
        <v>1072</v>
      </c>
      <c r="D7" s="34" t="s">
        <v>1073</v>
      </c>
      <c r="E7" s="34" t="s">
        <v>1074</v>
      </c>
      <c r="F7" s="34" t="s">
        <v>1075</v>
      </c>
      <c r="G7" s="34">
        <v>415</v>
      </c>
      <c r="H7" s="34">
        <v>35</v>
      </c>
      <c r="I7" s="34">
        <f t="shared" si="0"/>
        <v>380</v>
      </c>
      <c r="J7" s="34" t="s">
        <v>1065</v>
      </c>
      <c r="K7" s="34" t="s">
        <v>22</v>
      </c>
      <c r="L7" s="34" t="s">
        <v>1066</v>
      </c>
      <c r="Q7" s="34">
        <v>1</v>
      </c>
    </row>
    <row r="8" spans="1:17" s="34" customFormat="1" x14ac:dyDescent="0.25">
      <c r="B8" s="34" t="s">
        <v>18</v>
      </c>
      <c r="C8" s="34" t="s">
        <v>1076</v>
      </c>
      <c r="D8" s="34" t="s">
        <v>1077</v>
      </c>
      <c r="E8" s="34" t="s">
        <v>1078</v>
      </c>
      <c r="F8" s="34">
        <v>10</v>
      </c>
      <c r="G8" s="34">
        <v>405</v>
      </c>
      <c r="H8" s="34">
        <v>25</v>
      </c>
      <c r="I8" s="34">
        <f t="shared" si="0"/>
        <v>380</v>
      </c>
      <c r="J8" s="34" t="s">
        <v>27</v>
      </c>
      <c r="K8" s="34" t="s">
        <v>22</v>
      </c>
      <c r="L8" s="34" t="s">
        <v>1066</v>
      </c>
      <c r="Q8" s="34">
        <v>1</v>
      </c>
    </row>
    <row r="9" spans="1:17" s="34" customFormat="1" x14ac:dyDescent="0.25">
      <c r="B9" s="34" t="s">
        <v>18</v>
      </c>
      <c r="C9" s="34" t="s">
        <v>1079</v>
      </c>
      <c r="D9" s="34" t="s">
        <v>1080</v>
      </c>
      <c r="E9" s="34" t="s">
        <v>1081</v>
      </c>
      <c r="F9" s="34">
        <v>1</v>
      </c>
      <c r="G9" s="34">
        <v>875</v>
      </c>
      <c r="H9" s="34">
        <v>25</v>
      </c>
      <c r="I9" s="34">
        <f t="shared" si="0"/>
        <v>850</v>
      </c>
      <c r="J9" s="34" t="s">
        <v>27</v>
      </c>
      <c r="K9" s="34" t="s">
        <v>22</v>
      </c>
      <c r="L9" s="34" t="s">
        <v>1066</v>
      </c>
      <c r="Q9" s="34">
        <v>1</v>
      </c>
    </row>
    <row r="10" spans="1:17" s="43" customFormat="1" x14ac:dyDescent="0.25">
      <c r="B10" s="43" t="s">
        <v>18</v>
      </c>
      <c r="C10" s="43" t="s">
        <v>1082</v>
      </c>
      <c r="D10" s="43" t="s">
        <v>1083</v>
      </c>
      <c r="E10" s="43" t="s">
        <v>1084</v>
      </c>
      <c r="F10" s="43">
        <v>5</v>
      </c>
      <c r="G10" s="43">
        <v>0</v>
      </c>
      <c r="H10" s="43">
        <v>25</v>
      </c>
      <c r="I10" s="43">
        <f t="shared" si="0"/>
        <v>-25</v>
      </c>
      <c r="J10" s="43" t="s">
        <v>27</v>
      </c>
      <c r="K10" s="43" t="s">
        <v>22</v>
      </c>
      <c r="L10" s="43" t="s">
        <v>1066</v>
      </c>
      <c r="Q10" s="43">
        <v>1</v>
      </c>
    </row>
    <row r="11" spans="1:17" s="5" customFormat="1" x14ac:dyDescent="0.25">
      <c r="B11" s="5" t="s">
        <v>18</v>
      </c>
      <c r="C11" s="5" t="s">
        <v>1085</v>
      </c>
      <c r="D11" s="5" t="s">
        <v>1086</v>
      </c>
      <c r="E11" s="5" t="s">
        <v>1087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1065</v>
      </c>
      <c r="K11" s="5" t="s">
        <v>22</v>
      </c>
      <c r="L11" s="5" t="s">
        <v>1066</v>
      </c>
      <c r="Q11" s="5">
        <v>1</v>
      </c>
    </row>
    <row r="12" spans="1:17" s="43" customFormat="1" x14ac:dyDescent="0.25">
      <c r="B12" s="43" t="s">
        <v>18</v>
      </c>
      <c r="C12" s="43" t="s">
        <v>1088</v>
      </c>
      <c r="D12" s="43" t="s">
        <v>1089</v>
      </c>
      <c r="E12" s="43" t="s">
        <v>1090</v>
      </c>
      <c r="F12" s="43" t="s">
        <v>1091</v>
      </c>
      <c r="G12" s="43">
        <v>760</v>
      </c>
      <c r="H12" s="43">
        <v>30</v>
      </c>
      <c r="I12" s="43">
        <f t="shared" si="0"/>
        <v>730</v>
      </c>
      <c r="J12" s="43" t="s">
        <v>22</v>
      </c>
      <c r="K12" s="43" t="s">
        <v>22</v>
      </c>
      <c r="L12" s="43" t="s">
        <v>1066</v>
      </c>
      <c r="Q12" s="43">
        <v>1</v>
      </c>
    </row>
    <row r="13" spans="1:17" s="5" customFormat="1" x14ac:dyDescent="0.25">
      <c r="B13" s="5" t="s">
        <v>18</v>
      </c>
      <c r="C13" s="5" t="s">
        <v>1092</v>
      </c>
      <c r="D13" s="5" t="s">
        <v>1093</v>
      </c>
      <c r="E13" s="5" t="s">
        <v>1094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1065</v>
      </c>
      <c r="K13" s="5" t="s">
        <v>22</v>
      </c>
      <c r="L13" s="5" t="s">
        <v>1066</v>
      </c>
      <c r="Q13" s="5">
        <v>1</v>
      </c>
    </row>
    <row r="14" spans="1:17" s="43" customFormat="1" x14ac:dyDescent="0.25">
      <c r="B14" s="43" t="s">
        <v>18</v>
      </c>
      <c r="C14" s="43" t="s">
        <v>1095</v>
      </c>
      <c r="D14" s="43" t="s">
        <v>1096</v>
      </c>
      <c r="E14" s="43" t="s">
        <v>1097</v>
      </c>
      <c r="F14" s="43" t="s">
        <v>35</v>
      </c>
      <c r="G14" s="43">
        <v>1100</v>
      </c>
      <c r="H14" s="43">
        <v>30</v>
      </c>
      <c r="I14" s="43">
        <f t="shared" si="0"/>
        <v>1070</v>
      </c>
      <c r="J14" s="43" t="s">
        <v>22</v>
      </c>
      <c r="K14" s="43" t="s">
        <v>22</v>
      </c>
      <c r="L14" s="43" t="s">
        <v>1066</v>
      </c>
      <c r="Q14" s="43">
        <v>1</v>
      </c>
    </row>
    <row r="15" spans="1:17" s="34" customFormat="1" x14ac:dyDescent="0.25">
      <c r="B15" s="34" t="s">
        <v>18</v>
      </c>
      <c r="C15" s="34" t="s">
        <v>1098</v>
      </c>
      <c r="D15" s="34" t="s">
        <v>1099</v>
      </c>
      <c r="E15" s="34" t="s">
        <v>1100</v>
      </c>
      <c r="F15" s="34">
        <v>12</v>
      </c>
      <c r="G15" s="34">
        <v>820</v>
      </c>
      <c r="H15" s="34">
        <v>30</v>
      </c>
      <c r="I15" s="34">
        <f t="shared" si="0"/>
        <v>790</v>
      </c>
      <c r="J15" s="34" t="s">
        <v>1065</v>
      </c>
      <c r="K15" s="34" t="s">
        <v>22</v>
      </c>
      <c r="L15" s="34" t="s">
        <v>1066</v>
      </c>
      <c r="Q15" s="34">
        <v>1</v>
      </c>
    </row>
    <row r="16" spans="1:17" s="43" customFormat="1" x14ac:dyDescent="0.25">
      <c r="B16" s="43" t="s">
        <v>18</v>
      </c>
      <c r="C16" s="43" t="s">
        <v>1047</v>
      </c>
      <c r="D16" s="43" t="s">
        <v>1101</v>
      </c>
      <c r="E16" s="43" t="s">
        <v>1049</v>
      </c>
      <c r="F16" s="43">
        <v>1</v>
      </c>
      <c r="G16" s="43">
        <v>375</v>
      </c>
      <c r="H16" s="43">
        <v>25</v>
      </c>
      <c r="I16" s="43">
        <f t="shared" si="0"/>
        <v>350</v>
      </c>
      <c r="J16" s="43" t="s">
        <v>27</v>
      </c>
      <c r="K16" s="43" t="s">
        <v>22</v>
      </c>
      <c r="L16" s="43" t="s">
        <v>1066</v>
      </c>
      <c r="Q16" s="43">
        <v>1</v>
      </c>
    </row>
    <row r="17" spans="1:17" s="5" customFormat="1" x14ac:dyDescent="0.25">
      <c r="B17" s="5" t="s">
        <v>18</v>
      </c>
      <c r="C17" s="5" t="s">
        <v>951</v>
      </c>
      <c r="D17" s="5" t="s">
        <v>1102</v>
      </c>
      <c r="E17" s="5" t="s">
        <v>1103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1065</v>
      </c>
      <c r="K17" s="5" t="s">
        <v>22</v>
      </c>
      <c r="L17" s="5" t="s">
        <v>1066</v>
      </c>
      <c r="Q17" s="5">
        <v>1</v>
      </c>
    </row>
    <row r="18" spans="1:17" s="5" customFormat="1" x14ac:dyDescent="0.25">
      <c r="B18" s="5" t="s">
        <v>18</v>
      </c>
      <c r="C18" s="5" t="s">
        <v>1104</v>
      </c>
      <c r="D18" s="5" t="s">
        <v>1105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1066</v>
      </c>
      <c r="Q18" s="5">
        <v>1</v>
      </c>
    </row>
    <row r="19" spans="1:17" s="5" customFormat="1" x14ac:dyDescent="0.25">
      <c r="B19" s="5" t="s">
        <v>18</v>
      </c>
      <c r="C19" s="5" t="s">
        <v>1106</v>
      </c>
      <c r="D19" s="5" t="s">
        <v>1107</v>
      </c>
      <c r="E19" s="5" t="s">
        <v>1108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1066</v>
      </c>
      <c r="Q19" s="5">
        <v>1</v>
      </c>
    </row>
    <row r="20" spans="1:17" s="34" customFormat="1" x14ac:dyDescent="0.25">
      <c r="B20" s="34" t="s">
        <v>18</v>
      </c>
      <c r="C20" s="34" t="s">
        <v>1109</v>
      </c>
      <c r="D20" s="34" t="s">
        <v>1110</v>
      </c>
      <c r="E20" s="34" t="s">
        <v>1111</v>
      </c>
      <c r="F20" s="34" t="s">
        <v>53</v>
      </c>
      <c r="G20" s="34">
        <v>720</v>
      </c>
      <c r="H20" s="34">
        <v>20</v>
      </c>
      <c r="I20" s="34">
        <f t="shared" si="0"/>
        <v>700</v>
      </c>
      <c r="J20" s="34" t="s">
        <v>22</v>
      </c>
      <c r="K20" s="34" t="s">
        <v>22</v>
      </c>
      <c r="L20" s="34" t="s">
        <v>1066</v>
      </c>
      <c r="Q20" s="34">
        <v>1</v>
      </c>
    </row>
    <row r="21" spans="1:17" s="38" customFormat="1" x14ac:dyDescent="0.25">
      <c r="B21" s="38" t="s">
        <v>18</v>
      </c>
      <c r="C21" s="38" t="s">
        <v>1112</v>
      </c>
      <c r="D21" s="38" t="s">
        <v>1113</v>
      </c>
      <c r="E21" s="38" t="s">
        <v>1114</v>
      </c>
      <c r="F21" s="38" t="s">
        <v>97</v>
      </c>
      <c r="G21" s="38">
        <v>0</v>
      </c>
      <c r="H21" s="38">
        <v>25</v>
      </c>
      <c r="I21" s="38">
        <f t="shared" si="0"/>
        <v>-25</v>
      </c>
      <c r="J21" s="38" t="s">
        <v>27</v>
      </c>
      <c r="K21" s="38" t="s">
        <v>22</v>
      </c>
      <c r="L21" s="38" t="s">
        <v>1066</v>
      </c>
      <c r="Q21" s="38">
        <v>1</v>
      </c>
    </row>
    <row r="22" spans="1:17" s="34" customFormat="1" x14ac:dyDescent="0.25">
      <c r="B22" s="34" t="s">
        <v>18</v>
      </c>
      <c r="C22" s="34" t="s">
        <v>1115</v>
      </c>
      <c r="D22" s="34" t="s">
        <v>1116</v>
      </c>
      <c r="E22" s="34" t="s">
        <v>1117</v>
      </c>
      <c r="F22" s="34">
        <v>9</v>
      </c>
      <c r="G22" s="34">
        <v>470</v>
      </c>
      <c r="H22" s="34">
        <v>30</v>
      </c>
      <c r="I22" s="34">
        <f t="shared" si="0"/>
        <v>440</v>
      </c>
      <c r="J22" s="34" t="s">
        <v>241</v>
      </c>
      <c r="K22" s="34" t="s">
        <v>22</v>
      </c>
      <c r="L22" s="34" t="s">
        <v>1066</v>
      </c>
      <c r="Q22" s="34">
        <v>1</v>
      </c>
    </row>
    <row r="23" spans="1:17" s="34" customFormat="1" x14ac:dyDescent="0.25">
      <c r="B23" s="34" t="s">
        <v>18</v>
      </c>
      <c r="C23" s="34" t="s">
        <v>1118</v>
      </c>
      <c r="D23" s="34" t="s">
        <v>1119</v>
      </c>
      <c r="E23" s="34" t="s">
        <v>1120</v>
      </c>
      <c r="F23" s="34">
        <v>1</v>
      </c>
      <c r="G23" s="34">
        <v>405</v>
      </c>
      <c r="H23" s="34">
        <v>25</v>
      </c>
      <c r="I23" s="34">
        <f t="shared" si="0"/>
        <v>380</v>
      </c>
      <c r="J23" s="34" t="s">
        <v>27</v>
      </c>
      <c r="K23" s="34" t="s">
        <v>22</v>
      </c>
      <c r="L23" s="34" t="s">
        <v>1066</v>
      </c>
      <c r="Q23" s="34">
        <v>1</v>
      </c>
    </row>
    <row r="24" spans="1:17" s="5" customFormat="1" x14ac:dyDescent="0.25">
      <c r="B24" s="5" t="s">
        <v>18</v>
      </c>
      <c r="C24" s="5" t="s">
        <v>1121</v>
      </c>
      <c r="D24" s="5" t="s">
        <v>1122</v>
      </c>
      <c r="E24" s="5" t="s">
        <v>1123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1066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1124</v>
      </c>
      <c r="E25" s="5" t="s">
        <v>1125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1066</v>
      </c>
      <c r="Q25" s="5">
        <v>1</v>
      </c>
    </row>
    <row r="26" spans="1:17" s="38" customFormat="1" x14ac:dyDescent="0.25">
      <c r="A26" s="38" t="s">
        <v>255</v>
      </c>
      <c r="B26" s="38" t="s">
        <v>18</v>
      </c>
      <c r="C26" s="38" t="s">
        <v>1126</v>
      </c>
      <c r="E26" s="38" t="s">
        <v>1127</v>
      </c>
      <c r="F26" s="45" t="s">
        <v>53</v>
      </c>
      <c r="G26" s="38">
        <v>305</v>
      </c>
      <c r="H26" s="38">
        <v>25</v>
      </c>
      <c r="I26" s="38">
        <f t="shared" si="0"/>
        <v>280</v>
      </c>
      <c r="J26" s="38" t="s">
        <v>22</v>
      </c>
      <c r="K26" s="38" t="s">
        <v>22</v>
      </c>
      <c r="L26" s="38" t="s">
        <v>1066</v>
      </c>
      <c r="Q26" s="38">
        <v>1</v>
      </c>
    </row>
    <row r="27" spans="1:17" s="33" customFormat="1" x14ac:dyDescent="0.25">
      <c r="A27" s="33" t="s">
        <v>255</v>
      </c>
      <c r="B27" s="33" t="s">
        <v>18</v>
      </c>
      <c r="C27" s="33" t="s">
        <v>1128</v>
      </c>
      <c r="E27" s="33" t="s">
        <v>1129</v>
      </c>
      <c r="F27" s="33">
        <v>9</v>
      </c>
      <c r="G27" s="33">
        <v>35</v>
      </c>
      <c r="H27" s="33">
        <v>35</v>
      </c>
      <c r="I27" s="33">
        <f t="shared" si="0"/>
        <v>0</v>
      </c>
      <c r="J27" s="33" t="s">
        <v>241</v>
      </c>
      <c r="K27" s="33" t="s">
        <v>22</v>
      </c>
      <c r="L27" s="33" t="s">
        <v>1066</v>
      </c>
      <c r="Q27" s="33">
        <v>1</v>
      </c>
    </row>
    <row r="28" spans="1:17" x14ac:dyDescent="0.25">
      <c r="B28" t="s">
        <v>18</v>
      </c>
      <c r="C28" t="s">
        <v>981</v>
      </c>
      <c r="D28" t="s">
        <v>982</v>
      </c>
      <c r="E28" t="s">
        <v>983</v>
      </c>
      <c r="F28" t="s">
        <v>53</v>
      </c>
      <c r="G28">
        <v>0</v>
      </c>
      <c r="H28">
        <v>30</v>
      </c>
      <c r="I28">
        <v>-30</v>
      </c>
      <c r="J28" t="s">
        <v>425</v>
      </c>
      <c r="K28" t="s">
        <v>22</v>
      </c>
      <c r="L28" t="s">
        <v>984</v>
      </c>
      <c r="N28" t="s">
        <v>275</v>
      </c>
      <c r="O28" t="s">
        <v>275</v>
      </c>
      <c r="P28" t="s">
        <v>427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zoomScale="90" zoomScaleNormal="90" workbookViewId="0">
      <selection activeCell="B17" sqref="B17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1130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851</v>
      </c>
      <c r="C3" s="34" t="s">
        <v>1130</v>
      </c>
      <c r="I3" s="34">
        <f t="shared" ref="I3:I12" si="0">G3-H3</f>
        <v>0</v>
      </c>
    </row>
    <row r="4" spans="1:17" s="43" customFormat="1" x14ac:dyDescent="0.25">
      <c r="B4" s="43" t="s">
        <v>18</v>
      </c>
      <c r="C4" s="43" t="s">
        <v>1131</v>
      </c>
      <c r="D4" s="43" t="s">
        <v>1132</v>
      </c>
      <c r="E4" s="43" t="s">
        <v>1133</v>
      </c>
      <c r="F4" s="43">
        <v>1</v>
      </c>
      <c r="G4" s="43">
        <v>365</v>
      </c>
      <c r="H4" s="43">
        <v>25</v>
      </c>
      <c r="I4" s="43">
        <f t="shared" si="0"/>
        <v>340</v>
      </c>
      <c r="J4" s="43" t="s">
        <v>27</v>
      </c>
      <c r="K4" s="43" t="s">
        <v>22</v>
      </c>
      <c r="L4" s="43" t="s">
        <v>1134</v>
      </c>
      <c r="Q4" s="43">
        <v>1</v>
      </c>
    </row>
    <row r="5" spans="1:17" s="34" customFormat="1" x14ac:dyDescent="0.25">
      <c r="B5" s="34" t="s">
        <v>18</v>
      </c>
      <c r="C5" s="34" t="s">
        <v>1135</v>
      </c>
      <c r="D5" s="34" t="s">
        <v>1136</v>
      </c>
      <c r="E5" s="34" t="s">
        <v>1137</v>
      </c>
      <c r="F5" s="35">
        <v>7</v>
      </c>
      <c r="G5" s="34">
        <v>890</v>
      </c>
      <c r="H5" s="34">
        <v>30</v>
      </c>
      <c r="I5" s="34">
        <f t="shared" si="0"/>
        <v>860</v>
      </c>
      <c r="J5" s="34" t="s">
        <v>1138</v>
      </c>
      <c r="K5" s="34" t="s">
        <v>22</v>
      </c>
      <c r="L5" s="34" t="s">
        <v>1134</v>
      </c>
      <c r="Q5" s="34">
        <v>1</v>
      </c>
    </row>
    <row r="6" spans="1:17" s="5" customFormat="1" x14ac:dyDescent="0.25">
      <c r="B6" s="5" t="s">
        <v>18</v>
      </c>
      <c r="C6" s="5" t="s">
        <v>1139</v>
      </c>
      <c r="D6" s="5" t="s">
        <v>1140</v>
      </c>
      <c r="E6" s="5" t="s">
        <v>1141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1134</v>
      </c>
      <c r="Q6" s="5">
        <v>1</v>
      </c>
    </row>
    <row r="7" spans="1:17" s="34" customFormat="1" x14ac:dyDescent="0.25">
      <c r="B7" s="34" t="s">
        <v>18</v>
      </c>
      <c r="C7" s="34" t="s">
        <v>1142</v>
      </c>
      <c r="D7" s="34" t="s">
        <v>1143</v>
      </c>
      <c r="E7" s="34" t="s">
        <v>1144</v>
      </c>
      <c r="F7" s="34" t="s">
        <v>118</v>
      </c>
      <c r="G7" s="34">
        <v>975</v>
      </c>
      <c r="H7" s="34">
        <v>25</v>
      </c>
      <c r="I7" s="34">
        <f t="shared" si="0"/>
        <v>950</v>
      </c>
      <c r="J7" s="34" t="s">
        <v>22</v>
      </c>
      <c r="K7" s="34" t="s">
        <v>22</v>
      </c>
      <c r="L7" s="34" t="s">
        <v>1134</v>
      </c>
      <c r="Q7" s="34">
        <v>1</v>
      </c>
    </row>
    <row r="8" spans="1:17" s="5" customFormat="1" x14ac:dyDescent="0.25">
      <c r="B8" s="5" t="s">
        <v>18</v>
      </c>
      <c r="C8" s="5" t="s">
        <v>1145</v>
      </c>
      <c r="D8" s="5" t="s">
        <v>1146</v>
      </c>
      <c r="E8" s="5" t="s">
        <v>1147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1134</v>
      </c>
      <c r="Q8" s="5">
        <v>1</v>
      </c>
    </row>
    <row r="9" spans="1:17" s="43" customFormat="1" x14ac:dyDescent="0.25">
      <c r="B9" s="43" t="s">
        <v>18</v>
      </c>
      <c r="C9" s="43" t="s">
        <v>1148</v>
      </c>
      <c r="D9" s="43" t="s">
        <v>1149</v>
      </c>
      <c r="E9" s="43" t="s">
        <v>1150</v>
      </c>
      <c r="F9" s="43" t="s">
        <v>53</v>
      </c>
      <c r="G9" s="43">
        <v>600</v>
      </c>
      <c r="H9" s="43">
        <v>20</v>
      </c>
      <c r="I9" s="43">
        <f t="shared" si="0"/>
        <v>580</v>
      </c>
      <c r="J9" s="43" t="s">
        <v>22</v>
      </c>
      <c r="K9" s="43" t="s">
        <v>22</v>
      </c>
      <c r="L9" s="43" t="s">
        <v>1134</v>
      </c>
      <c r="Q9" s="43">
        <v>1</v>
      </c>
    </row>
    <row r="10" spans="1:17" s="5" customFormat="1" x14ac:dyDescent="0.25">
      <c r="B10" s="5" t="s">
        <v>18</v>
      </c>
      <c r="C10" s="5" t="s">
        <v>1151</v>
      </c>
      <c r="D10" s="5" t="s">
        <v>1152</v>
      </c>
      <c r="E10" s="5" t="s">
        <v>1153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1138</v>
      </c>
      <c r="K10" s="5" t="s">
        <v>22</v>
      </c>
      <c r="L10" s="5" t="s">
        <v>1134</v>
      </c>
      <c r="Q10" s="5">
        <v>1</v>
      </c>
    </row>
    <row r="11" spans="1:17" s="43" customFormat="1" x14ac:dyDescent="0.25">
      <c r="B11" s="43" t="s">
        <v>18</v>
      </c>
      <c r="C11" s="43" t="s">
        <v>1154</v>
      </c>
      <c r="D11" s="43" t="s">
        <v>1155</v>
      </c>
      <c r="E11" s="43" t="s">
        <v>1156</v>
      </c>
      <c r="F11" s="43" t="s">
        <v>53</v>
      </c>
      <c r="G11" s="43">
        <v>660</v>
      </c>
      <c r="H11" s="43">
        <v>20</v>
      </c>
      <c r="I11" s="43">
        <f t="shared" si="0"/>
        <v>640</v>
      </c>
      <c r="J11" s="43" t="s">
        <v>22</v>
      </c>
      <c r="K11" s="43" t="s">
        <v>22</v>
      </c>
      <c r="L11" s="43" t="s">
        <v>1134</v>
      </c>
      <c r="Q11" s="43">
        <v>1</v>
      </c>
    </row>
    <row r="12" spans="1:17" s="5" customFormat="1" x14ac:dyDescent="0.25">
      <c r="B12" s="5" t="s">
        <v>18</v>
      </c>
      <c r="C12" s="5" t="s">
        <v>1157</v>
      </c>
      <c r="D12" s="5" t="s">
        <v>1158</v>
      </c>
      <c r="E12" s="5" t="s">
        <v>1159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1138</v>
      </c>
      <c r="K12" s="5" t="s">
        <v>22</v>
      </c>
      <c r="L12" s="5" t="s">
        <v>1134</v>
      </c>
      <c r="Q12" s="5">
        <v>1</v>
      </c>
    </row>
    <row r="13" spans="1:17" s="5" customFormat="1" x14ac:dyDescent="0.25">
      <c r="B13" s="5" t="s">
        <v>18</v>
      </c>
      <c r="C13" s="5" t="s">
        <v>1160</v>
      </c>
      <c r="D13" s="5" t="s">
        <v>1161</v>
      </c>
      <c r="E13" s="5" t="s">
        <v>1162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1134</v>
      </c>
      <c r="Q13" s="5">
        <v>1</v>
      </c>
    </row>
    <row r="14" spans="1:17" s="43" customFormat="1" x14ac:dyDescent="0.25">
      <c r="B14" s="43" t="s">
        <v>18</v>
      </c>
      <c r="C14" s="43" t="s">
        <v>1163</v>
      </c>
      <c r="D14" s="43" t="s">
        <v>1164</v>
      </c>
      <c r="E14" s="43" t="s">
        <v>1165</v>
      </c>
      <c r="F14" s="44">
        <v>2</v>
      </c>
      <c r="G14" s="43">
        <v>0</v>
      </c>
      <c r="H14" s="43">
        <v>30</v>
      </c>
      <c r="I14" s="43">
        <f>G14-H14</f>
        <v>-30</v>
      </c>
      <c r="J14" s="43" t="s">
        <v>22</v>
      </c>
      <c r="K14" s="43" t="s">
        <v>22</v>
      </c>
      <c r="L14" s="43" t="s">
        <v>1134</v>
      </c>
      <c r="Q14" s="43">
        <v>1</v>
      </c>
    </row>
    <row r="15" spans="1:17" s="43" customFormat="1" x14ac:dyDescent="0.25">
      <c r="B15" s="43" t="s">
        <v>18</v>
      </c>
      <c r="C15" s="43" t="s">
        <v>1166</v>
      </c>
      <c r="D15" s="43" t="s">
        <v>1167</v>
      </c>
      <c r="E15" s="43" t="s">
        <v>1168</v>
      </c>
      <c r="F15" s="43">
        <v>8</v>
      </c>
      <c r="G15" s="43">
        <v>0</v>
      </c>
      <c r="H15" s="43">
        <v>25</v>
      </c>
      <c r="I15" s="43">
        <f>G15-H15</f>
        <v>-25</v>
      </c>
      <c r="J15" s="43" t="s">
        <v>1138</v>
      </c>
      <c r="K15" s="43" t="s">
        <v>22</v>
      </c>
      <c r="L15" s="43" t="s">
        <v>1134</v>
      </c>
      <c r="Q15" s="43">
        <v>1</v>
      </c>
    </row>
    <row r="16" spans="1:17" s="34" customFormat="1" x14ac:dyDescent="0.25">
      <c r="B16" s="34" t="s">
        <v>18</v>
      </c>
      <c r="C16" s="34" t="s">
        <v>1169</v>
      </c>
      <c r="D16" s="34" t="s">
        <v>1170</v>
      </c>
      <c r="E16" s="34" t="s">
        <v>1171</v>
      </c>
      <c r="F16" s="34">
        <v>7</v>
      </c>
      <c r="G16" s="34">
        <v>670</v>
      </c>
      <c r="H16" s="34">
        <v>30</v>
      </c>
      <c r="I16" s="34">
        <f>-H16</f>
        <v>-30</v>
      </c>
      <c r="J16" s="34" t="s">
        <v>1138</v>
      </c>
      <c r="K16" s="34" t="s">
        <v>22</v>
      </c>
      <c r="L16" s="34" t="s">
        <v>1134</v>
      </c>
      <c r="Q16" s="34">
        <v>1</v>
      </c>
    </row>
    <row r="17" spans="2:17" s="43" customFormat="1" x14ac:dyDescent="0.25">
      <c r="B17" s="43" t="s">
        <v>18</v>
      </c>
      <c r="C17" s="43" t="s">
        <v>1172</v>
      </c>
      <c r="D17" s="43" t="s">
        <v>1173</v>
      </c>
      <c r="E17" s="43" t="s">
        <v>1174</v>
      </c>
      <c r="F17" s="43" t="s">
        <v>93</v>
      </c>
      <c r="G17" s="43">
        <v>0</v>
      </c>
      <c r="H17" s="43">
        <v>20</v>
      </c>
      <c r="I17" s="43">
        <f t="shared" ref="I17:I34" si="1">G17-H17</f>
        <v>-20</v>
      </c>
      <c r="J17" s="43" t="s">
        <v>27</v>
      </c>
      <c r="K17" s="43" t="s">
        <v>22</v>
      </c>
      <c r="L17" s="43" t="s">
        <v>1134</v>
      </c>
      <c r="Q17" s="43">
        <v>1</v>
      </c>
    </row>
    <row r="18" spans="2:17" s="5" customFormat="1" x14ac:dyDescent="0.25">
      <c r="B18" s="5" t="s">
        <v>18</v>
      </c>
      <c r="C18" s="5" t="s">
        <v>1175</v>
      </c>
      <c r="D18" s="5" t="s">
        <v>1176</v>
      </c>
      <c r="E18" s="5" t="s">
        <v>1177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1138</v>
      </c>
      <c r="K18" s="5" t="s">
        <v>22</v>
      </c>
      <c r="L18" s="5" t="s">
        <v>1134</v>
      </c>
      <c r="Q18" s="5">
        <v>1</v>
      </c>
    </row>
    <row r="19" spans="2:17" s="43" customFormat="1" x14ac:dyDescent="0.25">
      <c r="B19" s="43" t="s">
        <v>18</v>
      </c>
      <c r="C19" s="43" t="s">
        <v>1178</v>
      </c>
      <c r="D19" s="43" t="s">
        <v>1179</v>
      </c>
      <c r="E19" s="43" t="s">
        <v>1180</v>
      </c>
      <c r="F19" s="43" t="s">
        <v>118</v>
      </c>
      <c r="G19" s="43">
        <v>745</v>
      </c>
      <c r="H19" s="43">
        <v>25</v>
      </c>
      <c r="I19" s="43">
        <f t="shared" si="1"/>
        <v>720</v>
      </c>
      <c r="J19" s="43" t="s">
        <v>22</v>
      </c>
      <c r="K19" s="43" t="s">
        <v>22</v>
      </c>
      <c r="L19" s="43" t="s">
        <v>1134</v>
      </c>
      <c r="Q19" s="43">
        <v>1</v>
      </c>
    </row>
    <row r="20" spans="2:17" s="5" customFormat="1" x14ac:dyDescent="0.25">
      <c r="B20" s="5" t="s">
        <v>18</v>
      </c>
      <c r="C20" s="5" t="s">
        <v>647</v>
      </c>
      <c r="D20" s="5" t="s">
        <v>1181</v>
      </c>
      <c r="E20" s="5" t="s">
        <v>1182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1138</v>
      </c>
      <c r="K20" s="5" t="s">
        <v>22</v>
      </c>
      <c r="L20" s="5" t="s">
        <v>1134</v>
      </c>
      <c r="Q20" s="5">
        <v>1</v>
      </c>
    </row>
    <row r="21" spans="2:17" s="34" customFormat="1" x14ac:dyDescent="0.25">
      <c r="B21" s="34" t="s">
        <v>18</v>
      </c>
      <c r="C21" s="34" t="s">
        <v>1183</v>
      </c>
      <c r="D21" s="34" t="s">
        <v>1184</v>
      </c>
      <c r="E21" s="34" t="s">
        <v>1185</v>
      </c>
      <c r="F21" s="34" t="s">
        <v>118</v>
      </c>
      <c r="G21" s="34">
        <v>755</v>
      </c>
      <c r="H21" s="34">
        <v>25</v>
      </c>
      <c r="I21" s="34">
        <f t="shared" si="1"/>
        <v>730</v>
      </c>
      <c r="J21" s="34" t="s">
        <v>22</v>
      </c>
      <c r="K21" s="34" t="s">
        <v>22</v>
      </c>
      <c r="L21" s="34" t="s">
        <v>1134</v>
      </c>
      <c r="Q21" s="34">
        <v>1</v>
      </c>
    </row>
    <row r="22" spans="2:17" s="5" customFormat="1" x14ac:dyDescent="0.25">
      <c r="B22" s="5" t="s">
        <v>18</v>
      </c>
      <c r="C22" s="5" t="s">
        <v>1186</v>
      </c>
      <c r="D22" s="5" t="s">
        <v>1187</v>
      </c>
      <c r="E22" s="5" t="s">
        <v>1188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1134</v>
      </c>
      <c r="Q22" s="5">
        <v>1</v>
      </c>
    </row>
    <row r="23" spans="2:17" s="43" customFormat="1" x14ac:dyDescent="0.25">
      <c r="B23" s="43" t="s">
        <v>18</v>
      </c>
      <c r="C23" s="43" t="s">
        <v>111</v>
      </c>
      <c r="D23" s="43" t="s">
        <v>1189</v>
      </c>
      <c r="E23" s="43" t="s">
        <v>1190</v>
      </c>
      <c r="F23" s="43" t="s">
        <v>35</v>
      </c>
      <c r="G23" s="43">
        <v>520</v>
      </c>
      <c r="H23" s="43">
        <v>30</v>
      </c>
      <c r="I23" s="43">
        <f t="shared" si="1"/>
        <v>490</v>
      </c>
      <c r="J23" s="43" t="s">
        <v>22</v>
      </c>
      <c r="K23" s="43" t="s">
        <v>22</v>
      </c>
      <c r="L23" s="43" t="s">
        <v>1134</v>
      </c>
      <c r="Q23" s="43">
        <v>1</v>
      </c>
    </row>
    <row r="24" spans="2:17" s="43" customFormat="1" x14ac:dyDescent="0.25">
      <c r="B24" s="43" t="s">
        <v>18</v>
      </c>
      <c r="C24" s="43" t="s">
        <v>1191</v>
      </c>
      <c r="D24" s="43" t="s">
        <v>1192</v>
      </c>
      <c r="E24" s="43" t="s">
        <v>1193</v>
      </c>
      <c r="F24" s="43" t="s">
        <v>63</v>
      </c>
      <c r="G24" s="43">
        <v>405</v>
      </c>
      <c r="H24" s="43">
        <v>25</v>
      </c>
      <c r="I24" s="43">
        <f t="shared" si="1"/>
        <v>380</v>
      </c>
      <c r="J24" s="43" t="s">
        <v>1138</v>
      </c>
      <c r="K24" s="43" t="s">
        <v>22</v>
      </c>
      <c r="L24" s="43" t="s">
        <v>1134</v>
      </c>
      <c r="Q24" s="43">
        <v>1</v>
      </c>
    </row>
    <row r="25" spans="2:17" s="43" customFormat="1" x14ac:dyDescent="0.25">
      <c r="B25" s="43" t="s">
        <v>18</v>
      </c>
      <c r="C25" s="43" t="s">
        <v>1194</v>
      </c>
      <c r="D25" s="43" t="s">
        <v>1195</v>
      </c>
      <c r="E25" s="43" t="s">
        <v>1196</v>
      </c>
      <c r="F25" s="43" t="s">
        <v>49</v>
      </c>
      <c r="G25" s="43">
        <v>0</v>
      </c>
      <c r="H25" s="43">
        <v>25</v>
      </c>
      <c r="I25" s="43">
        <f t="shared" si="1"/>
        <v>-25</v>
      </c>
      <c r="J25" s="43" t="s">
        <v>1138</v>
      </c>
      <c r="K25" s="43" t="s">
        <v>22</v>
      </c>
      <c r="L25" s="43" t="s">
        <v>1134</v>
      </c>
      <c r="Q25" s="43">
        <v>1</v>
      </c>
    </row>
    <row r="26" spans="2:17" s="34" customFormat="1" x14ac:dyDescent="0.25">
      <c r="B26" s="34" t="s">
        <v>18</v>
      </c>
      <c r="C26" s="34" t="s">
        <v>1197</v>
      </c>
      <c r="D26" s="34" t="s">
        <v>1198</v>
      </c>
      <c r="E26" s="34" t="s">
        <v>1199</v>
      </c>
      <c r="F26" s="34" t="s">
        <v>49</v>
      </c>
      <c r="G26" s="34">
        <v>610</v>
      </c>
      <c r="H26" s="34">
        <v>30</v>
      </c>
      <c r="I26" s="34">
        <f t="shared" si="1"/>
        <v>580</v>
      </c>
      <c r="J26" s="34" t="s">
        <v>1138</v>
      </c>
      <c r="K26" s="34" t="s">
        <v>22</v>
      </c>
      <c r="L26" s="34" t="s">
        <v>1134</v>
      </c>
      <c r="Q26" s="34">
        <v>1</v>
      </c>
    </row>
    <row r="27" spans="2:17" s="43" customFormat="1" x14ac:dyDescent="0.25">
      <c r="B27" s="43" t="s">
        <v>18</v>
      </c>
      <c r="C27" s="43" t="s">
        <v>1200</v>
      </c>
      <c r="D27" s="43" t="s">
        <v>1201</v>
      </c>
      <c r="E27" s="43" t="s">
        <v>1202</v>
      </c>
      <c r="F27" s="43" t="s">
        <v>97</v>
      </c>
      <c r="G27" s="43">
        <v>0</v>
      </c>
      <c r="H27" s="43">
        <v>25</v>
      </c>
      <c r="I27" s="43">
        <f t="shared" si="1"/>
        <v>-25</v>
      </c>
      <c r="J27" s="43" t="s">
        <v>27</v>
      </c>
      <c r="K27" s="43" t="s">
        <v>22</v>
      </c>
      <c r="L27" s="43" t="s">
        <v>1134</v>
      </c>
      <c r="Q27" s="43">
        <v>1</v>
      </c>
    </row>
    <row r="28" spans="2:17" s="43" customFormat="1" x14ac:dyDescent="0.25">
      <c r="B28" s="43" t="s">
        <v>18</v>
      </c>
      <c r="C28" s="43" t="s">
        <v>828</v>
      </c>
      <c r="D28" s="43" t="s">
        <v>1203</v>
      </c>
      <c r="E28" s="43" t="s">
        <v>830</v>
      </c>
      <c r="F28" s="43" t="s">
        <v>831</v>
      </c>
      <c r="G28" s="43">
        <v>380</v>
      </c>
      <c r="H28" s="43">
        <v>30</v>
      </c>
      <c r="I28" s="43">
        <f t="shared" si="1"/>
        <v>350</v>
      </c>
      <c r="J28" s="43" t="s">
        <v>1138</v>
      </c>
      <c r="K28" s="43" t="s">
        <v>22</v>
      </c>
      <c r="L28" s="43" t="s">
        <v>1134</v>
      </c>
      <c r="Q28" s="43">
        <v>1</v>
      </c>
    </row>
    <row r="29" spans="2:17" s="43" customFormat="1" x14ac:dyDescent="0.25">
      <c r="B29" s="43" t="s">
        <v>18</v>
      </c>
      <c r="C29" s="43" t="s">
        <v>1204</v>
      </c>
      <c r="D29" s="43" t="s">
        <v>1205</v>
      </c>
      <c r="E29" s="43" t="s">
        <v>1206</v>
      </c>
      <c r="F29" s="43" t="s">
        <v>1075</v>
      </c>
      <c r="G29" s="43">
        <v>625</v>
      </c>
      <c r="H29" s="43">
        <v>35</v>
      </c>
      <c r="I29" s="43">
        <f t="shared" si="1"/>
        <v>590</v>
      </c>
      <c r="J29" s="43" t="s">
        <v>1138</v>
      </c>
      <c r="K29" s="43" t="s">
        <v>22</v>
      </c>
      <c r="L29" s="43" t="s">
        <v>1134</v>
      </c>
      <c r="Q29" s="43">
        <v>1</v>
      </c>
    </row>
    <row r="30" spans="2:17" s="43" customFormat="1" x14ac:dyDescent="0.25">
      <c r="B30" s="43" t="s">
        <v>18</v>
      </c>
      <c r="C30" s="43" t="s">
        <v>1207</v>
      </c>
      <c r="D30" s="43" t="s">
        <v>1208</v>
      </c>
      <c r="E30" s="43" t="s">
        <v>1209</v>
      </c>
      <c r="F30" s="43">
        <v>8</v>
      </c>
      <c r="G30" s="43">
        <v>405</v>
      </c>
      <c r="H30" s="43">
        <v>25</v>
      </c>
      <c r="I30" s="43">
        <f t="shared" si="1"/>
        <v>380</v>
      </c>
      <c r="J30" s="43" t="s">
        <v>1138</v>
      </c>
      <c r="K30" s="43" t="s">
        <v>22</v>
      </c>
      <c r="L30" s="43" t="s">
        <v>1134</v>
      </c>
      <c r="Q30" s="43">
        <v>1</v>
      </c>
    </row>
    <row r="31" spans="2:17" s="43" customFormat="1" x14ac:dyDescent="0.25">
      <c r="B31" s="43" t="s">
        <v>18</v>
      </c>
      <c r="C31" s="43" t="s">
        <v>1210</v>
      </c>
      <c r="D31" s="43" t="s">
        <v>1211</v>
      </c>
      <c r="E31" s="43" t="s">
        <v>1212</v>
      </c>
      <c r="F31" s="43" t="s">
        <v>39</v>
      </c>
      <c r="G31" s="43">
        <v>995</v>
      </c>
      <c r="H31" s="43">
        <v>35</v>
      </c>
      <c r="I31" s="43">
        <f t="shared" si="1"/>
        <v>960</v>
      </c>
      <c r="J31" s="43" t="s">
        <v>1138</v>
      </c>
      <c r="K31" s="43" t="s">
        <v>22</v>
      </c>
      <c r="L31" s="43" t="s">
        <v>1134</v>
      </c>
      <c r="Q31" s="43">
        <v>1</v>
      </c>
    </row>
    <row r="32" spans="2:17" s="34" customFormat="1" x14ac:dyDescent="0.25">
      <c r="B32" s="34" t="s">
        <v>18</v>
      </c>
      <c r="C32" s="34" t="s">
        <v>1092</v>
      </c>
      <c r="D32" s="34" t="s">
        <v>1213</v>
      </c>
      <c r="E32" s="34" t="s">
        <v>1094</v>
      </c>
      <c r="F32" s="35">
        <v>7</v>
      </c>
      <c r="G32" s="34">
        <v>0</v>
      </c>
      <c r="H32" s="34">
        <v>30</v>
      </c>
      <c r="I32" s="34">
        <f t="shared" si="1"/>
        <v>-30</v>
      </c>
      <c r="J32" s="34" t="s">
        <v>1138</v>
      </c>
      <c r="K32" s="34" t="s">
        <v>22</v>
      </c>
      <c r="L32" s="34" t="s">
        <v>1134</v>
      </c>
      <c r="M32" s="34" t="s">
        <v>299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1214</v>
      </c>
      <c r="E33" s="34" t="s">
        <v>1215</v>
      </c>
      <c r="F33" s="35">
        <v>5</v>
      </c>
      <c r="G33" s="34">
        <v>0</v>
      </c>
      <c r="H33" s="34">
        <v>30</v>
      </c>
      <c r="I33" s="34">
        <f t="shared" si="1"/>
        <v>-30</v>
      </c>
      <c r="J33" s="34" t="s">
        <v>27</v>
      </c>
      <c r="K33" s="34" t="s">
        <v>22</v>
      </c>
      <c r="L33" s="34" t="s">
        <v>1134</v>
      </c>
      <c r="Q33" s="34">
        <v>1</v>
      </c>
    </row>
    <row r="34" spans="1:17" s="34" customFormat="1" x14ac:dyDescent="0.25">
      <c r="A34" s="34" t="s">
        <v>255</v>
      </c>
      <c r="B34" s="34" t="s">
        <v>18</v>
      </c>
      <c r="C34" s="34" t="s">
        <v>543</v>
      </c>
      <c r="E34" s="34" t="s">
        <v>853</v>
      </c>
      <c r="F34" s="34">
        <v>4</v>
      </c>
      <c r="G34" s="34">
        <v>30</v>
      </c>
      <c r="H34" s="34">
        <v>30</v>
      </c>
      <c r="I34" s="34">
        <f t="shared" si="1"/>
        <v>0</v>
      </c>
      <c r="J34" s="34" t="s">
        <v>27</v>
      </c>
      <c r="K34" s="34" t="s">
        <v>22</v>
      </c>
      <c r="L34" s="34" t="s">
        <v>1134</v>
      </c>
      <c r="Q34" s="34">
        <v>1</v>
      </c>
    </row>
    <row r="35" spans="1:17" x14ac:dyDescent="0.25">
      <c r="A35" t="s">
        <v>255</v>
      </c>
      <c r="B35" t="s">
        <v>18</v>
      </c>
      <c r="C35" t="s">
        <v>1216</v>
      </c>
      <c r="E35" t="s">
        <v>1217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1134</v>
      </c>
      <c r="Q35">
        <v>1</v>
      </c>
    </row>
    <row r="36" spans="1:17" s="20" customFormat="1" x14ac:dyDescent="0.25">
      <c r="B36" s="20" t="s">
        <v>18</v>
      </c>
      <c r="C36" s="20" t="s">
        <v>1098</v>
      </c>
      <c r="D36" s="20" t="s">
        <v>1099</v>
      </c>
      <c r="E36" s="20" t="s">
        <v>1100</v>
      </c>
      <c r="F36" s="20">
        <v>12</v>
      </c>
      <c r="G36" s="20">
        <v>820</v>
      </c>
      <c r="H36" s="20">
        <v>0</v>
      </c>
      <c r="I36" s="20">
        <f>G36-H36</f>
        <v>820</v>
      </c>
      <c r="J36" s="20" t="s">
        <v>425</v>
      </c>
      <c r="K36" s="20" t="s">
        <v>22</v>
      </c>
      <c r="L36" s="20" t="s">
        <v>1066</v>
      </c>
      <c r="N36" s="20" t="s">
        <v>275</v>
      </c>
      <c r="O36" s="20" t="s">
        <v>275</v>
      </c>
      <c r="P36" s="20" t="s">
        <v>427</v>
      </c>
      <c r="Q36" s="20">
        <v>1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77"/>
  <sheetViews>
    <sheetView topLeftCell="A39" zoomScale="85" zoomScaleNormal="85" workbookViewId="0">
      <selection activeCell="E67" sqref="E67"/>
    </sheetView>
  </sheetViews>
  <sheetFormatPr defaultRowHeight="15" x14ac:dyDescent="0.25"/>
  <cols>
    <col min="1" max="1" width="9.140625" customWidth="1"/>
    <col min="2" max="2" width="17.5703125" bestFit="1" customWidth="1"/>
    <col min="3" max="3" width="37.42578125" bestFit="1" customWidth="1"/>
    <col min="4" max="4" width="9.5703125" bestFit="1" customWidth="1"/>
    <col min="5" max="5" width="102.7109375" bestFit="1" customWidth="1"/>
    <col min="6" max="6" width="11" customWidth="1"/>
    <col min="7" max="11" width="9.140625" customWidth="1"/>
    <col min="12" max="12" width="10.42578125" bestFit="1" customWidth="1"/>
    <col min="13" max="13" width="14.140625" bestFit="1" customWidth="1"/>
  </cols>
  <sheetData>
    <row r="1" spans="1:17" x14ac:dyDescent="0.25">
      <c r="B1" s="3" t="s">
        <v>0</v>
      </c>
      <c r="C1" s="3" t="s">
        <v>1218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1219</v>
      </c>
      <c r="D3" s="34" t="s">
        <v>1220</v>
      </c>
      <c r="E3" s="34" t="s">
        <v>1221</v>
      </c>
      <c r="F3" s="34" t="s">
        <v>1222</v>
      </c>
      <c r="G3" s="34">
        <v>0</v>
      </c>
      <c r="H3" s="34">
        <v>25</v>
      </c>
      <c r="I3" s="34">
        <f t="shared" ref="I3:I34" si="0">G3-H3</f>
        <v>-25</v>
      </c>
      <c r="J3" s="34" t="s">
        <v>27</v>
      </c>
      <c r="K3" s="34" t="s">
        <v>22</v>
      </c>
      <c r="L3" s="34" t="s">
        <v>1223</v>
      </c>
      <c r="Q3" s="34">
        <v>1</v>
      </c>
    </row>
    <row r="4" spans="1:17" s="34" customFormat="1" x14ac:dyDescent="0.25">
      <c r="B4" s="34" t="s">
        <v>18</v>
      </c>
      <c r="C4" s="34" t="s">
        <v>1079</v>
      </c>
      <c r="D4" s="34" t="s">
        <v>1224</v>
      </c>
      <c r="E4" s="34" t="s">
        <v>1225</v>
      </c>
      <c r="F4" s="34" t="s">
        <v>1226</v>
      </c>
      <c r="G4" s="34">
        <v>865</v>
      </c>
      <c r="H4" s="34">
        <v>25</v>
      </c>
      <c r="I4" s="34">
        <f t="shared" si="0"/>
        <v>840</v>
      </c>
      <c r="J4" s="34" t="s">
        <v>27</v>
      </c>
      <c r="K4" s="34" t="s">
        <v>22</v>
      </c>
      <c r="L4" s="34" t="s">
        <v>1223</v>
      </c>
      <c r="Q4" s="34">
        <v>1</v>
      </c>
    </row>
    <row r="5" spans="1:17" s="34" customFormat="1" x14ac:dyDescent="0.25">
      <c r="B5" s="34" t="s">
        <v>18</v>
      </c>
      <c r="C5" s="34" t="s">
        <v>1227</v>
      </c>
      <c r="D5" s="34" t="s">
        <v>1228</v>
      </c>
      <c r="E5" s="34" t="s">
        <v>1229</v>
      </c>
      <c r="F5" s="34" t="s">
        <v>97</v>
      </c>
      <c r="G5" s="34">
        <v>1635</v>
      </c>
      <c r="H5" s="34">
        <v>25</v>
      </c>
      <c r="I5" s="34">
        <f t="shared" si="0"/>
        <v>1610</v>
      </c>
      <c r="J5" s="34" t="s">
        <v>27</v>
      </c>
      <c r="K5" s="34" t="s">
        <v>22</v>
      </c>
      <c r="L5" s="34" t="s">
        <v>1223</v>
      </c>
      <c r="Q5" s="34">
        <v>1</v>
      </c>
    </row>
    <row r="6" spans="1:17" s="43" customFormat="1" x14ac:dyDescent="0.25">
      <c r="B6" s="43" t="s">
        <v>18</v>
      </c>
      <c r="C6" s="43" t="s">
        <v>638</v>
      </c>
      <c r="D6" s="43" t="s">
        <v>1230</v>
      </c>
      <c r="E6" s="43" t="s">
        <v>640</v>
      </c>
      <c r="F6" s="43" t="s">
        <v>1231</v>
      </c>
      <c r="G6" s="43">
        <v>0</v>
      </c>
      <c r="H6" s="43">
        <v>30</v>
      </c>
      <c r="I6" s="43">
        <f t="shared" si="0"/>
        <v>-30</v>
      </c>
      <c r="J6" s="43" t="s">
        <v>1232</v>
      </c>
      <c r="K6" s="43" t="s">
        <v>22</v>
      </c>
      <c r="L6" s="43" t="s">
        <v>1223</v>
      </c>
      <c r="Q6" s="43">
        <v>1</v>
      </c>
    </row>
    <row r="7" spans="1:17" s="34" customFormat="1" x14ac:dyDescent="0.25">
      <c r="B7" s="34" t="s">
        <v>18</v>
      </c>
      <c r="C7" s="34" t="s">
        <v>1233</v>
      </c>
      <c r="D7" s="34" t="s">
        <v>1234</v>
      </c>
      <c r="E7" s="34" t="s">
        <v>1235</v>
      </c>
      <c r="F7" s="34" t="s">
        <v>97</v>
      </c>
      <c r="G7" s="34">
        <v>645</v>
      </c>
      <c r="H7" s="34">
        <v>25</v>
      </c>
      <c r="I7" s="34">
        <f t="shared" si="0"/>
        <v>620</v>
      </c>
      <c r="J7" s="34" t="s">
        <v>27</v>
      </c>
      <c r="K7" s="34" t="s">
        <v>22</v>
      </c>
      <c r="L7" s="34" t="s">
        <v>1223</v>
      </c>
      <c r="Q7" s="34">
        <v>1</v>
      </c>
    </row>
    <row r="8" spans="1:17" s="43" customFormat="1" x14ac:dyDescent="0.25">
      <c r="B8" s="43" t="s">
        <v>18</v>
      </c>
      <c r="C8" s="43" t="s">
        <v>807</v>
      </c>
      <c r="D8" s="43" t="s">
        <v>1236</v>
      </c>
      <c r="E8" s="43" t="s">
        <v>1237</v>
      </c>
      <c r="F8" s="43" t="s">
        <v>63</v>
      </c>
      <c r="G8" s="43">
        <v>1315</v>
      </c>
      <c r="H8" s="43">
        <v>25</v>
      </c>
      <c r="I8" s="43">
        <f t="shared" si="0"/>
        <v>1290</v>
      </c>
      <c r="J8" s="43" t="s">
        <v>1232</v>
      </c>
      <c r="K8" s="43" t="s">
        <v>22</v>
      </c>
      <c r="L8" s="43" t="s">
        <v>1223</v>
      </c>
      <c r="Q8" s="43">
        <v>1</v>
      </c>
    </row>
    <row r="9" spans="1:17" s="5" customFormat="1" x14ac:dyDescent="0.25">
      <c r="B9" s="5" t="s">
        <v>18</v>
      </c>
      <c r="C9" s="5" t="s">
        <v>1238</v>
      </c>
      <c r="D9" s="5" t="s">
        <v>1239</v>
      </c>
      <c r="E9" s="5" t="s">
        <v>1240</v>
      </c>
      <c r="F9" s="5" t="s">
        <v>53</v>
      </c>
      <c r="G9" s="5">
        <v>60</v>
      </c>
      <c r="H9" s="5">
        <v>20</v>
      </c>
      <c r="I9" s="5">
        <f t="shared" si="0"/>
        <v>40</v>
      </c>
      <c r="J9" s="5" t="s">
        <v>22</v>
      </c>
      <c r="K9" s="5" t="s">
        <v>22</v>
      </c>
      <c r="L9" s="5" t="s">
        <v>1223</v>
      </c>
      <c r="Q9" s="5">
        <v>1</v>
      </c>
    </row>
    <row r="10" spans="1:17" s="34" customFormat="1" x14ac:dyDescent="0.25">
      <c r="B10" s="34" t="s">
        <v>18</v>
      </c>
      <c r="C10" s="34" t="s">
        <v>1241</v>
      </c>
      <c r="D10" s="34" t="s">
        <v>1242</v>
      </c>
      <c r="E10" s="34" t="s">
        <v>1243</v>
      </c>
      <c r="F10" s="35" t="s">
        <v>1244</v>
      </c>
      <c r="G10" s="34">
        <v>605</v>
      </c>
      <c r="H10" s="34">
        <v>25</v>
      </c>
      <c r="I10" s="34">
        <f t="shared" si="0"/>
        <v>580</v>
      </c>
      <c r="J10" s="34" t="s">
        <v>27</v>
      </c>
      <c r="K10" s="34" t="s">
        <v>22</v>
      </c>
      <c r="L10" s="34" t="s">
        <v>1223</v>
      </c>
      <c r="Q10" s="34">
        <v>1</v>
      </c>
    </row>
    <row r="11" spans="1:17" s="34" customFormat="1" x14ac:dyDescent="0.25">
      <c r="B11" s="34" t="s">
        <v>18</v>
      </c>
      <c r="C11" s="34" t="s">
        <v>1245</v>
      </c>
      <c r="D11" s="34" t="s">
        <v>1246</v>
      </c>
      <c r="E11" s="34" t="s">
        <v>1247</v>
      </c>
      <c r="F11" s="34" t="s">
        <v>1248</v>
      </c>
      <c r="G11" s="34">
        <v>735</v>
      </c>
      <c r="H11" s="34">
        <v>25</v>
      </c>
      <c r="I11" s="34">
        <f t="shared" si="0"/>
        <v>710</v>
      </c>
      <c r="J11" s="34" t="s">
        <v>27</v>
      </c>
      <c r="K11" s="34" t="s">
        <v>22</v>
      </c>
      <c r="L11" s="34" t="s">
        <v>1223</v>
      </c>
      <c r="Q11" s="34">
        <v>1</v>
      </c>
    </row>
    <row r="12" spans="1:17" s="43" customFormat="1" x14ac:dyDescent="0.25">
      <c r="B12" s="43" t="s">
        <v>18</v>
      </c>
      <c r="C12" s="43" t="s">
        <v>1249</v>
      </c>
      <c r="D12" s="43" t="s">
        <v>1250</v>
      </c>
      <c r="E12" s="43" t="s">
        <v>1251</v>
      </c>
      <c r="F12" s="43" t="s">
        <v>49</v>
      </c>
      <c r="G12" s="43">
        <v>510</v>
      </c>
      <c r="H12" s="43">
        <v>30</v>
      </c>
      <c r="I12" s="43">
        <f t="shared" si="0"/>
        <v>480</v>
      </c>
      <c r="J12" s="43" t="s">
        <v>1232</v>
      </c>
      <c r="K12" s="43" t="s">
        <v>22</v>
      </c>
      <c r="L12" s="43" t="s">
        <v>1223</v>
      </c>
      <c r="Q12" s="43">
        <v>1</v>
      </c>
    </row>
    <row r="13" spans="1:17" s="5" customFormat="1" x14ac:dyDescent="0.25">
      <c r="B13" s="5" t="s">
        <v>18</v>
      </c>
      <c r="C13" s="5" t="s">
        <v>1252</v>
      </c>
      <c r="D13" s="5" t="s">
        <v>1253</v>
      </c>
      <c r="E13" s="5" t="s">
        <v>1254</v>
      </c>
      <c r="F13" s="5" t="s">
        <v>118</v>
      </c>
      <c r="G13" s="5">
        <v>935</v>
      </c>
      <c r="H13" s="5">
        <v>25</v>
      </c>
      <c r="I13" s="5">
        <f t="shared" si="0"/>
        <v>910</v>
      </c>
      <c r="J13" s="5" t="s">
        <v>22</v>
      </c>
      <c r="K13" s="5" t="s">
        <v>22</v>
      </c>
      <c r="L13" s="5" t="s">
        <v>1223</v>
      </c>
      <c r="Q13" s="5">
        <v>1</v>
      </c>
    </row>
    <row r="14" spans="1:17" s="5" customFormat="1" x14ac:dyDescent="0.25">
      <c r="B14" s="5" t="s">
        <v>18</v>
      </c>
      <c r="C14" s="5" t="s">
        <v>1255</v>
      </c>
      <c r="D14" s="5" t="s">
        <v>1256</v>
      </c>
      <c r="E14" s="5" t="s">
        <v>1257</v>
      </c>
      <c r="F14" s="5" t="s">
        <v>53</v>
      </c>
      <c r="G14" s="5">
        <v>690</v>
      </c>
      <c r="H14" s="5">
        <v>20</v>
      </c>
      <c r="I14" s="5">
        <f t="shared" si="0"/>
        <v>670</v>
      </c>
      <c r="J14" s="5" t="s">
        <v>22</v>
      </c>
      <c r="K14" s="5" t="s">
        <v>22</v>
      </c>
      <c r="L14" s="5" t="s">
        <v>1223</v>
      </c>
      <c r="Q14" s="5">
        <v>1</v>
      </c>
    </row>
    <row r="15" spans="1:17" s="38" customFormat="1" x14ac:dyDescent="0.25">
      <c r="B15" s="38" t="s">
        <v>18</v>
      </c>
      <c r="C15" s="38" t="s">
        <v>1258</v>
      </c>
      <c r="D15" s="38" t="s">
        <v>1259</v>
      </c>
      <c r="E15" s="38" t="s">
        <v>1260</v>
      </c>
      <c r="F15" s="38" t="s">
        <v>1261</v>
      </c>
      <c r="G15" s="38">
        <v>850</v>
      </c>
      <c r="H15" s="38">
        <v>30</v>
      </c>
      <c r="I15" s="38">
        <f t="shared" si="0"/>
        <v>820</v>
      </c>
      <c r="J15" s="38" t="s">
        <v>241</v>
      </c>
      <c r="K15" s="38" t="s">
        <v>22</v>
      </c>
      <c r="L15" s="38" t="s">
        <v>1223</v>
      </c>
      <c r="Q15" s="38">
        <v>1</v>
      </c>
    </row>
    <row r="16" spans="1:17" s="34" customFormat="1" x14ac:dyDescent="0.25">
      <c r="B16" s="34" t="s">
        <v>18</v>
      </c>
      <c r="C16" s="34" t="s">
        <v>688</v>
      </c>
      <c r="D16" s="34" t="s">
        <v>1262</v>
      </c>
      <c r="E16" s="34" t="s">
        <v>690</v>
      </c>
      <c r="F16" s="34" t="s">
        <v>1263</v>
      </c>
      <c r="G16" s="34">
        <v>945</v>
      </c>
      <c r="H16" s="34">
        <v>25</v>
      </c>
      <c r="I16" s="34">
        <f t="shared" si="0"/>
        <v>920</v>
      </c>
      <c r="J16" s="34" t="s">
        <v>27</v>
      </c>
      <c r="K16" s="34" t="s">
        <v>22</v>
      </c>
      <c r="L16" s="34" t="s">
        <v>1223</v>
      </c>
      <c r="Q16" s="34">
        <v>1</v>
      </c>
    </row>
    <row r="17" spans="2:17" s="34" customFormat="1" x14ac:dyDescent="0.25">
      <c r="B17" s="34" t="s">
        <v>18</v>
      </c>
      <c r="C17" s="34" t="s">
        <v>1264</v>
      </c>
      <c r="D17" s="34" t="s">
        <v>1265</v>
      </c>
      <c r="E17" s="34" t="s">
        <v>1266</v>
      </c>
      <c r="F17" s="35">
        <v>3</v>
      </c>
      <c r="G17" s="34">
        <v>935</v>
      </c>
      <c r="H17" s="34">
        <v>25</v>
      </c>
      <c r="I17" s="34">
        <f t="shared" si="0"/>
        <v>910</v>
      </c>
      <c r="J17" s="34" t="s">
        <v>27</v>
      </c>
      <c r="K17" s="34" t="s">
        <v>22</v>
      </c>
      <c r="L17" s="34" t="s">
        <v>1223</v>
      </c>
      <c r="Q17" s="34">
        <v>1</v>
      </c>
    </row>
    <row r="18" spans="2:17" s="43" customFormat="1" x14ac:dyDescent="0.25">
      <c r="B18" s="43" t="s">
        <v>18</v>
      </c>
      <c r="C18" s="43" t="s">
        <v>1267</v>
      </c>
      <c r="D18" s="43" t="s">
        <v>1268</v>
      </c>
      <c r="E18" s="43" t="s">
        <v>1269</v>
      </c>
      <c r="F18" s="43" t="s">
        <v>1270</v>
      </c>
      <c r="G18" s="43">
        <v>935</v>
      </c>
      <c r="H18" s="43">
        <v>25</v>
      </c>
      <c r="I18" s="43">
        <f t="shared" si="0"/>
        <v>910</v>
      </c>
      <c r="J18" s="43" t="s">
        <v>1232</v>
      </c>
      <c r="K18" s="43" t="s">
        <v>22</v>
      </c>
      <c r="L18" s="43" t="s">
        <v>1223</v>
      </c>
      <c r="Q18" s="43">
        <v>1</v>
      </c>
    </row>
    <row r="19" spans="2:17" s="5" customFormat="1" x14ac:dyDescent="0.25">
      <c r="B19" s="5" t="s">
        <v>18</v>
      </c>
      <c r="C19" s="5" t="s">
        <v>1271</v>
      </c>
      <c r="D19" s="5" t="s">
        <v>1272</v>
      </c>
      <c r="E19" s="5" t="s">
        <v>1273</v>
      </c>
      <c r="F19" s="5" t="s">
        <v>118</v>
      </c>
      <c r="G19" s="5">
        <v>1325</v>
      </c>
      <c r="H19" s="5">
        <v>25</v>
      </c>
      <c r="I19" s="5">
        <f t="shared" si="0"/>
        <v>1300</v>
      </c>
      <c r="J19" s="5" t="s">
        <v>22</v>
      </c>
      <c r="K19" s="5" t="s">
        <v>22</v>
      </c>
      <c r="L19" s="5" t="s">
        <v>1223</v>
      </c>
      <c r="Q19" s="5">
        <v>1</v>
      </c>
    </row>
    <row r="20" spans="2:17" s="43" customFormat="1" x14ac:dyDescent="0.25">
      <c r="B20" s="43" t="s">
        <v>18</v>
      </c>
      <c r="C20" s="43" t="s">
        <v>1274</v>
      </c>
      <c r="D20" s="43" t="s">
        <v>1275</v>
      </c>
      <c r="E20" s="43" t="s">
        <v>1276</v>
      </c>
      <c r="F20" s="43" t="s">
        <v>1075</v>
      </c>
      <c r="G20" s="43">
        <v>675</v>
      </c>
      <c r="H20" s="43">
        <v>35</v>
      </c>
      <c r="I20" s="43">
        <f t="shared" si="0"/>
        <v>640</v>
      </c>
      <c r="J20" s="43" t="s">
        <v>1232</v>
      </c>
      <c r="K20" s="43" t="s">
        <v>22</v>
      </c>
      <c r="L20" s="43" t="s">
        <v>1223</v>
      </c>
      <c r="Q20" s="43">
        <v>1</v>
      </c>
    </row>
    <row r="21" spans="2:17" s="43" customFormat="1" x14ac:dyDescent="0.25">
      <c r="B21" s="43" t="s">
        <v>18</v>
      </c>
      <c r="C21" s="43" t="s">
        <v>1277</v>
      </c>
      <c r="D21" s="43" t="s">
        <v>1278</v>
      </c>
      <c r="E21" s="43" t="s">
        <v>1279</v>
      </c>
      <c r="F21" s="43" t="s">
        <v>49</v>
      </c>
      <c r="G21" s="43">
        <v>670</v>
      </c>
      <c r="H21" s="43">
        <v>30</v>
      </c>
      <c r="I21" s="43">
        <f t="shared" si="0"/>
        <v>640</v>
      </c>
      <c r="J21" s="43" t="s">
        <v>1232</v>
      </c>
      <c r="K21" s="43" t="s">
        <v>22</v>
      </c>
      <c r="L21" s="43" t="s">
        <v>1223</v>
      </c>
      <c r="Q21" s="43">
        <v>1</v>
      </c>
    </row>
    <row r="22" spans="2:17" s="43" customFormat="1" x14ac:dyDescent="0.25">
      <c r="B22" s="43" t="s">
        <v>18</v>
      </c>
      <c r="C22" s="43" t="s">
        <v>1280</v>
      </c>
      <c r="D22" s="43" t="s">
        <v>1281</v>
      </c>
      <c r="E22" s="43" t="s">
        <v>1282</v>
      </c>
      <c r="F22" s="44" t="s">
        <v>1270</v>
      </c>
      <c r="G22" s="43">
        <v>0</v>
      </c>
      <c r="H22" s="43">
        <v>25</v>
      </c>
      <c r="I22" s="43">
        <f t="shared" si="0"/>
        <v>-25</v>
      </c>
      <c r="J22" s="43" t="s">
        <v>1232</v>
      </c>
      <c r="K22" s="43" t="s">
        <v>22</v>
      </c>
      <c r="L22" s="43" t="s">
        <v>1223</v>
      </c>
      <c r="Q22" s="43">
        <v>1</v>
      </c>
    </row>
    <row r="23" spans="2:17" s="5" customFormat="1" x14ac:dyDescent="0.25">
      <c r="B23" s="5" t="s">
        <v>18</v>
      </c>
      <c r="C23" s="5" t="s">
        <v>1283</v>
      </c>
      <c r="D23" s="5" t="s">
        <v>1284</v>
      </c>
      <c r="E23" s="5" t="s">
        <v>1285</v>
      </c>
      <c r="F23" s="5" t="s">
        <v>118</v>
      </c>
      <c r="G23" s="5">
        <v>0</v>
      </c>
      <c r="H23" s="5">
        <v>25</v>
      </c>
      <c r="I23" s="5">
        <f t="shared" si="0"/>
        <v>-25</v>
      </c>
      <c r="J23" s="5" t="s">
        <v>22</v>
      </c>
      <c r="K23" s="5" t="s">
        <v>22</v>
      </c>
      <c r="L23" s="5" t="s">
        <v>1223</v>
      </c>
      <c r="Q23" s="5">
        <v>1</v>
      </c>
    </row>
    <row r="24" spans="2:17" s="43" customFormat="1" x14ac:dyDescent="0.25">
      <c r="B24" s="43" t="s">
        <v>18</v>
      </c>
      <c r="C24" s="43" t="s">
        <v>1286</v>
      </c>
      <c r="D24" s="43" t="s">
        <v>1287</v>
      </c>
      <c r="E24" s="43" t="s">
        <v>1288</v>
      </c>
      <c r="F24" s="44" t="s">
        <v>1289</v>
      </c>
      <c r="G24" s="43">
        <v>410</v>
      </c>
      <c r="H24" s="43">
        <v>30</v>
      </c>
      <c r="I24" s="43">
        <f t="shared" si="0"/>
        <v>380</v>
      </c>
      <c r="J24" s="43" t="s">
        <v>1232</v>
      </c>
      <c r="K24" s="43" t="s">
        <v>22</v>
      </c>
      <c r="L24" s="43" t="s">
        <v>1223</v>
      </c>
      <c r="Q24" s="43">
        <v>1</v>
      </c>
    </row>
    <row r="25" spans="2:17" s="43" customFormat="1" x14ac:dyDescent="0.25">
      <c r="B25" s="43" t="s">
        <v>18</v>
      </c>
      <c r="C25" s="43" t="s">
        <v>1290</v>
      </c>
      <c r="D25" s="43" t="s">
        <v>1291</v>
      </c>
      <c r="E25" s="43" t="s">
        <v>1292</v>
      </c>
      <c r="F25" s="43" t="s">
        <v>1231</v>
      </c>
      <c r="G25" s="43">
        <v>370</v>
      </c>
      <c r="H25" s="43">
        <v>30</v>
      </c>
      <c r="I25" s="43">
        <f t="shared" si="0"/>
        <v>340</v>
      </c>
      <c r="J25" s="43" t="s">
        <v>1232</v>
      </c>
      <c r="K25" s="43" t="s">
        <v>22</v>
      </c>
      <c r="L25" s="43" t="s">
        <v>1223</v>
      </c>
      <c r="Q25" s="43">
        <v>1</v>
      </c>
    </row>
    <row r="26" spans="2:17" s="5" customFormat="1" x14ac:dyDescent="0.25">
      <c r="B26" s="5" t="s">
        <v>18</v>
      </c>
      <c r="C26" s="5" t="s">
        <v>1293</v>
      </c>
      <c r="D26" s="5" t="s">
        <v>1294</v>
      </c>
      <c r="E26" s="5" t="s">
        <v>1295</v>
      </c>
      <c r="F26" s="5" t="s">
        <v>97</v>
      </c>
      <c r="G26" s="5">
        <v>875</v>
      </c>
      <c r="H26" s="5">
        <v>25</v>
      </c>
      <c r="I26" s="5">
        <f t="shared" si="0"/>
        <v>850</v>
      </c>
      <c r="J26" s="5" t="s">
        <v>22</v>
      </c>
      <c r="K26" s="5" t="s">
        <v>22</v>
      </c>
      <c r="L26" s="5" t="s">
        <v>1223</v>
      </c>
      <c r="Q26" s="5">
        <v>1</v>
      </c>
    </row>
    <row r="27" spans="2:17" s="43" customFormat="1" x14ac:dyDescent="0.25">
      <c r="B27" s="43" t="s">
        <v>18</v>
      </c>
      <c r="C27" s="43" t="s">
        <v>19</v>
      </c>
      <c r="D27" s="43" t="s">
        <v>1296</v>
      </c>
      <c r="E27" s="43" t="s">
        <v>1297</v>
      </c>
      <c r="F27" s="44" t="s">
        <v>1270</v>
      </c>
      <c r="G27" s="43">
        <v>1065</v>
      </c>
      <c r="H27" s="43">
        <v>25</v>
      </c>
      <c r="I27" s="43">
        <f t="shared" si="0"/>
        <v>1040</v>
      </c>
      <c r="J27" s="43" t="s">
        <v>1232</v>
      </c>
      <c r="K27" s="43" t="s">
        <v>22</v>
      </c>
      <c r="L27" s="43" t="s">
        <v>1223</v>
      </c>
      <c r="Q27" s="43">
        <v>1</v>
      </c>
    </row>
    <row r="28" spans="2:17" s="34" customFormat="1" x14ac:dyDescent="0.25">
      <c r="B28" s="34" t="s">
        <v>18</v>
      </c>
      <c r="C28" s="34" t="s">
        <v>1298</v>
      </c>
      <c r="D28" s="34" t="s">
        <v>1299</v>
      </c>
      <c r="E28" s="34" t="s">
        <v>1300</v>
      </c>
      <c r="F28" s="34" t="s">
        <v>97</v>
      </c>
      <c r="G28" s="34">
        <v>1765</v>
      </c>
      <c r="H28" s="34">
        <v>25</v>
      </c>
      <c r="I28" s="34">
        <f t="shared" si="0"/>
        <v>1740</v>
      </c>
      <c r="J28" s="34" t="s">
        <v>27</v>
      </c>
      <c r="K28" s="34" t="s">
        <v>22</v>
      </c>
      <c r="L28" s="34" t="s">
        <v>1223</v>
      </c>
      <c r="Q28" s="34">
        <v>1</v>
      </c>
    </row>
    <row r="29" spans="2:17" s="5" customFormat="1" x14ac:dyDescent="0.25">
      <c r="B29" s="5" t="s">
        <v>18</v>
      </c>
      <c r="C29" s="5" t="s">
        <v>1301</v>
      </c>
      <c r="D29" s="5" t="s">
        <v>1302</v>
      </c>
      <c r="E29" s="5" t="s">
        <v>1303</v>
      </c>
      <c r="F29" s="5" t="s">
        <v>53</v>
      </c>
      <c r="G29" s="5">
        <v>810</v>
      </c>
      <c r="H29" s="5">
        <v>20</v>
      </c>
      <c r="I29" s="5">
        <f t="shared" si="0"/>
        <v>790</v>
      </c>
      <c r="J29" s="5" t="s">
        <v>22</v>
      </c>
      <c r="K29" s="5" t="s">
        <v>22</v>
      </c>
      <c r="L29" s="5" t="s">
        <v>1223</v>
      </c>
      <c r="Q29" s="5">
        <v>1</v>
      </c>
    </row>
    <row r="30" spans="2:17" s="43" customFormat="1" x14ac:dyDescent="0.25">
      <c r="B30" s="43" t="s">
        <v>18</v>
      </c>
      <c r="C30" s="43" t="s">
        <v>1304</v>
      </c>
      <c r="D30" s="43" t="s">
        <v>1305</v>
      </c>
      <c r="E30" s="43" t="s">
        <v>1306</v>
      </c>
      <c r="F30" s="44" t="s">
        <v>1307</v>
      </c>
      <c r="G30" s="43">
        <v>1695</v>
      </c>
      <c r="H30" s="43">
        <v>25</v>
      </c>
      <c r="I30" s="43">
        <f t="shared" si="0"/>
        <v>1670</v>
      </c>
      <c r="J30" s="43" t="s">
        <v>1232</v>
      </c>
      <c r="K30" s="43" t="s">
        <v>22</v>
      </c>
      <c r="L30" s="43" t="s">
        <v>1223</v>
      </c>
      <c r="Q30" s="43">
        <v>1</v>
      </c>
    </row>
    <row r="31" spans="2:17" s="38" customFormat="1" x14ac:dyDescent="0.25">
      <c r="B31" s="38" t="s">
        <v>18</v>
      </c>
      <c r="C31" s="38" t="s">
        <v>1308</v>
      </c>
      <c r="D31" s="38" t="s">
        <v>1309</v>
      </c>
      <c r="E31" s="38" t="s">
        <v>1310</v>
      </c>
      <c r="F31" s="38" t="s">
        <v>1261</v>
      </c>
      <c r="G31" s="38">
        <v>850</v>
      </c>
      <c r="H31" s="38">
        <v>30</v>
      </c>
      <c r="I31" s="38">
        <f t="shared" si="0"/>
        <v>820</v>
      </c>
      <c r="J31" s="38" t="s">
        <v>241</v>
      </c>
      <c r="K31" s="38" t="s">
        <v>22</v>
      </c>
      <c r="L31" s="38" t="s">
        <v>1223</v>
      </c>
      <c r="Q31" s="38">
        <v>1</v>
      </c>
    </row>
    <row r="32" spans="2:17" s="43" customFormat="1" x14ac:dyDescent="0.25">
      <c r="B32" s="43" t="s">
        <v>18</v>
      </c>
      <c r="C32" s="43" t="s">
        <v>1311</v>
      </c>
      <c r="D32" s="43" t="s">
        <v>1312</v>
      </c>
      <c r="E32" s="43" t="s">
        <v>1313</v>
      </c>
      <c r="F32" s="44" t="s">
        <v>1270</v>
      </c>
      <c r="G32" s="43">
        <v>605</v>
      </c>
      <c r="H32" s="43">
        <v>25</v>
      </c>
      <c r="I32" s="43">
        <f t="shared" si="0"/>
        <v>580</v>
      </c>
      <c r="J32" s="43" t="s">
        <v>1232</v>
      </c>
      <c r="K32" s="43" t="s">
        <v>22</v>
      </c>
      <c r="L32" s="43" t="s">
        <v>1223</v>
      </c>
      <c r="Q32" s="43">
        <v>1</v>
      </c>
    </row>
    <row r="33" spans="1:17" s="5" customFormat="1" x14ac:dyDescent="0.25">
      <c r="B33" s="5" t="s">
        <v>18</v>
      </c>
      <c r="C33" s="5" t="s">
        <v>1314</v>
      </c>
      <c r="D33" s="5" t="s">
        <v>1315</v>
      </c>
      <c r="E33" s="5" t="s">
        <v>1316</v>
      </c>
      <c r="F33" s="5" t="s">
        <v>53</v>
      </c>
      <c r="G33" s="5">
        <v>0</v>
      </c>
      <c r="H33" s="5">
        <v>20</v>
      </c>
      <c r="I33" s="5">
        <f t="shared" si="0"/>
        <v>-20</v>
      </c>
      <c r="J33" s="5" t="s">
        <v>22</v>
      </c>
      <c r="K33" s="5" t="s">
        <v>22</v>
      </c>
      <c r="L33" s="5" t="s">
        <v>1223</v>
      </c>
      <c r="Q33" s="5">
        <v>1</v>
      </c>
    </row>
    <row r="34" spans="1:17" s="34" customFormat="1" x14ac:dyDescent="0.25">
      <c r="B34" s="34" t="s">
        <v>18</v>
      </c>
      <c r="C34" s="34" t="s">
        <v>1317</v>
      </c>
      <c r="D34" s="34" t="s">
        <v>1318</v>
      </c>
      <c r="E34" s="34" t="s">
        <v>1319</v>
      </c>
      <c r="F34" s="34" t="s">
        <v>1222</v>
      </c>
      <c r="G34" s="34">
        <v>845</v>
      </c>
      <c r="H34" s="34">
        <v>25</v>
      </c>
      <c r="I34" s="34">
        <f t="shared" si="0"/>
        <v>820</v>
      </c>
      <c r="J34" s="34" t="s">
        <v>27</v>
      </c>
      <c r="K34" s="34" t="s">
        <v>22</v>
      </c>
      <c r="L34" s="34" t="s">
        <v>1223</v>
      </c>
      <c r="Q34" s="34">
        <v>1</v>
      </c>
    </row>
    <row r="35" spans="1:17" s="5" customFormat="1" x14ac:dyDescent="0.25">
      <c r="B35" s="5" t="s">
        <v>18</v>
      </c>
      <c r="C35" s="5" t="s">
        <v>1320</v>
      </c>
      <c r="D35" s="5" t="s">
        <v>1321</v>
      </c>
      <c r="E35" s="5" t="s">
        <v>1322</v>
      </c>
      <c r="F35" s="5" t="s">
        <v>1323</v>
      </c>
      <c r="G35" s="5">
        <v>870</v>
      </c>
      <c r="H35" s="5">
        <v>30</v>
      </c>
      <c r="I35" s="5">
        <f t="shared" ref="I35:I66" si="1">G35-H35</f>
        <v>840</v>
      </c>
      <c r="J35" s="5" t="s">
        <v>22</v>
      </c>
      <c r="K35" s="5" t="s">
        <v>22</v>
      </c>
      <c r="L35" s="5" t="s">
        <v>1223</v>
      </c>
      <c r="Q35" s="5">
        <v>1</v>
      </c>
    </row>
    <row r="36" spans="1:17" s="43" customFormat="1" x14ac:dyDescent="0.25">
      <c r="B36" s="43" t="s">
        <v>18</v>
      </c>
      <c r="C36" s="43" t="s">
        <v>1194</v>
      </c>
      <c r="D36" s="43" t="s">
        <v>1324</v>
      </c>
      <c r="E36" s="43" t="s">
        <v>1325</v>
      </c>
      <c r="F36" s="43" t="s">
        <v>49</v>
      </c>
      <c r="G36" s="43">
        <v>0</v>
      </c>
      <c r="H36" s="43">
        <v>30</v>
      </c>
      <c r="I36" s="43">
        <f t="shared" si="1"/>
        <v>-30</v>
      </c>
      <c r="J36" s="43" t="s">
        <v>1232</v>
      </c>
      <c r="K36" s="43" t="s">
        <v>22</v>
      </c>
      <c r="L36" s="43" t="s">
        <v>1223</v>
      </c>
      <c r="Q36" s="43">
        <v>1</v>
      </c>
    </row>
    <row r="37" spans="1:17" s="20" customFormat="1" x14ac:dyDescent="0.25">
      <c r="B37" s="20" t="s">
        <v>18</v>
      </c>
      <c r="C37" s="20" t="s">
        <v>1326</v>
      </c>
      <c r="D37" s="20" t="s">
        <v>1327</v>
      </c>
      <c r="E37" s="20" t="s">
        <v>1328</v>
      </c>
      <c r="F37" s="20" t="s">
        <v>744</v>
      </c>
      <c r="G37" s="20">
        <v>820</v>
      </c>
      <c r="H37" s="20">
        <v>0</v>
      </c>
      <c r="I37" s="20">
        <f t="shared" si="1"/>
        <v>820</v>
      </c>
      <c r="J37" s="20" t="s">
        <v>425</v>
      </c>
      <c r="K37" s="20" t="s">
        <v>22</v>
      </c>
      <c r="L37" s="20" t="s">
        <v>1223</v>
      </c>
      <c r="M37" s="20" t="s">
        <v>426</v>
      </c>
      <c r="N37" s="20" t="s">
        <v>275</v>
      </c>
      <c r="P37" s="20" t="s">
        <v>427</v>
      </c>
      <c r="Q37" s="20">
        <v>1</v>
      </c>
    </row>
    <row r="38" spans="1:17" s="34" customFormat="1" x14ac:dyDescent="0.25">
      <c r="B38" s="34" t="s">
        <v>18</v>
      </c>
      <c r="C38" s="34" t="s">
        <v>1329</v>
      </c>
      <c r="D38" s="34" t="s">
        <v>1330</v>
      </c>
      <c r="E38" s="34" t="s">
        <v>1331</v>
      </c>
      <c r="F38" s="35" t="s">
        <v>1263</v>
      </c>
      <c r="G38" s="34">
        <v>1535</v>
      </c>
      <c r="H38" s="34">
        <v>25</v>
      </c>
      <c r="I38" s="34">
        <f t="shared" si="1"/>
        <v>1510</v>
      </c>
      <c r="J38" s="34" t="s">
        <v>27</v>
      </c>
      <c r="K38" s="34" t="s">
        <v>22</v>
      </c>
      <c r="L38" s="34" t="s">
        <v>1223</v>
      </c>
      <c r="Q38" s="34">
        <v>1</v>
      </c>
    </row>
    <row r="39" spans="1:17" s="43" customFormat="1" x14ac:dyDescent="0.25">
      <c r="B39" s="43" t="s">
        <v>18</v>
      </c>
      <c r="C39" s="43" t="s">
        <v>1332</v>
      </c>
      <c r="D39" s="43" t="s">
        <v>1333</v>
      </c>
      <c r="E39" s="43" t="s">
        <v>1334</v>
      </c>
      <c r="F39" s="44" t="s">
        <v>1270</v>
      </c>
      <c r="G39" s="43">
        <v>855</v>
      </c>
      <c r="H39" s="43">
        <v>35</v>
      </c>
      <c r="I39" s="43">
        <f t="shared" si="1"/>
        <v>820</v>
      </c>
      <c r="J39" s="43" t="s">
        <v>1232</v>
      </c>
      <c r="K39" s="43" t="s">
        <v>22</v>
      </c>
      <c r="L39" s="43" t="s">
        <v>1223</v>
      </c>
      <c r="Q39" s="43">
        <v>1</v>
      </c>
    </row>
    <row r="40" spans="1:17" s="5" customFormat="1" x14ac:dyDescent="0.25">
      <c r="B40" s="5" t="s">
        <v>18</v>
      </c>
      <c r="C40" s="5" t="s">
        <v>647</v>
      </c>
      <c r="D40" s="5" t="s">
        <v>1335</v>
      </c>
      <c r="E40" s="5" t="s">
        <v>1336</v>
      </c>
      <c r="F40" s="5" t="s">
        <v>118</v>
      </c>
      <c r="G40" s="5">
        <v>605</v>
      </c>
      <c r="H40" s="5">
        <v>25</v>
      </c>
      <c r="I40" s="5">
        <f t="shared" si="1"/>
        <v>580</v>
      </c>
      <c r="J40" s="5" t="s">
        <v>22</v>
      </c>
      <c r="K40" s="5" t="s">
        <v>22</v>
      </c>
      <c r="L40" s="5" t="s">
        <v>1223</v>
      </c>
      <c r="Q40" s="5">
        <v>1</v>
      </c>
    </row>
    <row r="41" spans="1:17" s="43" customFormat="1" x14ac:dyDescent="0.25">
      <c r="A41" s="43" t="s">
        <v>255</v>
      </c>
      <c r="B41" s="43" t="s">
        <v>18</v>
      </c>
      <c r="C41" s="43" t="s">
        <v>1216</v>
      </c>
      <c r="E41" s="43" t="s">
        <v>1337</v>
      </c>
      <c r="F41" s="43" t="s">
        <v>63</v>
      </c>
      <c r="G41" s="43">
        <v>30</v>
      </c>
      <c r="H41" s="43">
        <v>30</v>
      </c>
      <c r="I41" s="43">
        <f t="shared" si="1"/>
        <v>0</v>
      </c>
      <c r="J41" s="43" t="s">
        <v>1232</v>
      </c>
      <c r="K41" s="43" t="s">
        <v>22</v>
      </c>
      <c r="L41" s="43" t="s">
        <v>1223</v>
      </c>
      <c r="Q41" s="43">
        <v>1</v>
      </c>
    </row>
    <row r="42" spans="1:17" s="43" customFormat="1" x14ac:dyDescent="0.25">
      <c r="B42" s="43" t="s">
        <v>18</v>
      </c>
      <c r="C42" s="43" t="s">
        <v>1338</v>
      </c>
      <c r="D42" s="43" t="s">
        <v>1339</v>
      </c>
      <c r="E42" s="43" t="s">
        <v>1340</v>
      </c>
      <c r="F42" s="43" t="s">
        <v>1289</v>
      </c>
      <c r="G42" s="43">
        <v>730</v>
      </c>
      <c r="H42" s="43">
        <v>30</v>
      </c>
      <c r="I42" s="43">
        <f t="shared" si="1"/>
        <v>700</v>
      </c>
      <c r="J42" s="43" t="s">
        <v>1232</v>
      </c>
      <c r="K42" s="43" t="s">
        <v>22</v>
      </c>
      <c r="L42" s="43" t="s">
        <v>1223</v>
      </c>
      <c r="Q42" s="43">
        <v>1</v>
      </c>
    </row>
    <row r="43" spans="1:17" s="43" customFormat="1" x14ac:dyDescent="0.25">
      <c r="B43" s="43" t="s">
        <v>18</v>
      </c>
      <c r="C43" s="43" t="s">
        <v>1341</v>
      </c>
      <c r="D43" s="43" t="s">
        <v>1342</v>
      </c>
      <c r="E43" s="43" t="s">
        <v>1343</v>
      </c>
      <c r="F43" s="43" t="s">
        <v>1231</v>
      </c>
      <c r="G43" s="43">
        <v>850</v>
      </c>
      <c r="H43" s="43">
        <v>30</v>
      </c>
      <c r="I43" s="43">
        <f t="shared" si="1"/>
        <v>820</v>
      </c>
      <c r="J43" s="43" t="s">
        <v>1232</v>
      </c>
      <c r="K43" s="43" t="s">
        <v>22</v>
      </c>
      <c r="L43" s="43" t="s">
        <v>1223</v>
      </c>
      <c r="Q43" s="43">
        <v>1</v>
      </c>
    </row>
    <row r="44" spans="1:17" s="43" customFormat="1" x14ac:dyDescent="0.25">
      <c r="B44" s="43" t="s">
        <v>18</v>
      </c>
      <c r="C44" s="43" t="s">
        <v>1344</v>
      </c>
      <c r="D44" s="43" t="s">
        <v>1345</v>
      </c>
      <c r="E44" s="43" t="s">
        <v>1346</v>
      </c>
      <c r="F44" s="43" t="s">
        <v>1231</v>
      </c>
      <c r="G44" s="43">
        <v>0</v>
      </c>
      <c r="H44" s="43">
        <v>30</v>
      </c>
      <c r="I44" s="43">
        <f t="shared" si="1"/>
        <v>-30</v>
      </c>
      <c r="J44" s="43" t="s">
        <v>1232</v>
      </c>
      <c r="K44" s="43" t="s">
        <v>22</v>
      </c>
      <c r="L44" s="43" t="s">
        <v>1223</v>
      </c>
      <c r="Q44" s="43">
        <v>1</v>
      </c>
    </row>
    <row r="45" spans="1:17" s="5" customFormat="1" x14ac:dyDescent="0.25">
      <c r="B45" s="5" t="s">
        <v>18</v>
      </c>
      <c r="C45" s="5" t="s">
        <v>1347</v>
      </c>
      <c r="D45" s="5" t="s">
        <v>1348</v>
      </c>
      <c r="E45" s="5" t="s">
        <v>1349</v>
      </c>
      <c r="F45" s="5" t="s">
        <v>53</v>
      </c>
      <c r="G45" s="5">
        <v>1570</v>
      </c>
      <c r="H45" s="5">
        <v>20</v>
      </c>
      <c r="I45" s="5">
        <f t="shared" si="1"/>
        <v>1550</v>
      </c>
      <c r="J45" s="5" t="s">
        <v>22</v>
      </c>
      <c r="K45" s="5" t="s">
        <v>22</v>
      </c>
      <c r="L45" s="5" t="s">
        <v>1223</v>
      </c>
      <c r="Q45" s="5">
        <v>1</v>
      </c>
    </row>
    <row r="46" spans="1:17" s="34" customFormat="1" x14ac:dyDescent="0.25">
      <c r="B46" s="34" t="s">
        <v>18</v>
      </c>
      <c r="C46" s="34" t="s">
        <v>1350</v>
      </c>
      <c r="D46" s="34" t="s">
        <v>1351</v>
      </c>
      <c r="E46" s="34" t="s">
        <v>1352</v>
      </c>
      <c r="F46" s="34" t="s">
        <v>97</v>
      </c>
      <c r="G46" s="34">
        <v>605</v>
      </c>
      <c r="H46" s="34">
        <v>25</v>
      </c>
      <c r="I46" s="34">
        <f t="shared" si="1"/>
        <v>580</v>
      </c>
      <c r="J46" s="34" t="s">
        <v>27</v>
      </c>
      <c r="K46" s="34" t="s">
        <v>22</v>
      </c>
      <c r="L46" s="34" t="s">
        <v>1223</v>
      </c>
      <c r="Q46" s="34">
        <v>1</v>
      </c>
    </row>
    <row r="47" spans="1:17" s="34" customFormat="1" x14ac:dyDescent="0.25">
      <c r="B47" s="34" t="s">
        <v>18</v>
      </c>
      <c r="C47" s="34" t="s">
        <v>1353</v>
      </c>
      <c r="D47" s="34" t="s">
        <v>1354</v>
      </c>
      <c r="E47" s="34" t="s">
        <v>1355</v>
      </c>
      <c r="F47" s="35">
        <v>1</v>
      </c>
      <c r="G47" s="34">
        <v>605</v>
      </c>
      <c r="H47" s="34">
        <v>25</v>
      </c>
      <c r="I47" s="34">
        <f t="shared" si="1"/>
        <v>580</v>
      </c>
      <c r="J47" s="34" t="s">
        <v>27</v>
      </c>
      <c r="K47" s="34" t="s">
        <v>22</v>
      </c>
      <c r="L47" s="34" t="s">
        <v>1223</v>
      </c>
      <c r="Q47" s="34">
        <v>1</v>
      </c>
    </row>
    <row r="48" spans="1:17" s="34" customFormat="1" x14ac:dyDescent="0.25">
      <c r="B48" s="34" t="s">
        <v>18</v>
      </c>
      <c r="C48" s="34" t="s">
        <v>1356</v>
      </c>
      <c r="D48" s="34" t="s">
        <v>1357</v>
      </c>
      <c r="E48" s="34" t="s">
        <v>1358</v>
      </c>
      <c r="F48" s="34" t="s">
        <v>97</v>
      </c>
      <c r="G48" s="34">
        <v>0</v>
      </c>
      <c r="H48" s="34">
        <v>25</v>
      </c>
      <c r="I48" s="34">
        <f t="shared" si="1"/>
        <v>-25</v>
      </c>
      <c r="J48" s="34" t="s">
        <v>27</v>
      </c>
      <c r="K48" s="34" t="s">
        <v>22</v>
      </c>
      <c r="L48" s="34" t="s">
        <v>1223</v>
      </c>
      <c r="Q48" s="34">
        <v>1</v>
      </c>
    </row>
    <row r="49" spans="2:17" s="34" customFormat="1" x14ac:dyDescent="0.25">
      <c r="B49" s="34" t="s">
        <v>18</v>
      </c>
      <c r="C49" s="34" t="s">
        <v>19</v>
      </c>
      <c r="D49" s="34" t="s">
        <v>1359</v>
      </c>
      <c r="E49" s="34" t="s">
        <v>1360</v>
      </c>
      <c r="F49" s="34" t="s">
        <v>1244</v>
      </c>
      <c r="G49" s="34">
        <v>845</v>
      </c>
      <c r="H49" s="34">
        <v>25</v>
      </c>
      <c r="I49" s="34">
        <f t="shared" si="1"/>
        <v>820</v>
      </c>
      <c r="J49" s="34" t="s">
        <v>27</v>
      </c>
      <c r="K49" s="34" t="s">
        <v>22</v>
      </c>
      <c r="L49" s="34" t="s">
        <v>1223</v>
      </c>
      <c r="Q49" s="34">
        <v>1</v>
      </c>
    </row>
    <row r="50" spans="2:17" s="34" customFormat="1" x14ac:dyDescent="0.25">
      <c r="B50" s="34" t="s">
        <v>18</v>
      </c>
      <c r="C50" s="34" t="s">
        <v>1361</v>
      </c>
      <c r="D50" s="34" t="s">
        <v>1362</v>
      </c>
      <c r="E50" s="34" t="s">
        <v>1363</v>
      </c>
      <c r="F50" s="34" t="s">
        <v>1248</v>
      </c>
      <c r="G50" s="34">
        <v>0</v>
      </c>
      <c r="H50" s="34">
        <v>25</v>
      </c>
      <c r="I50" s="34">
        <f t="shared" si="1"/>
        <v>-25</v>
      </c>
      <c r="J50" s="34" t="s">
        <v>27</v>
      </c>
      <c r="K50" s="34" t="s">
        <v>22</v>
      </c>
      <c r="L50" s="34" t="s">
        <v>1223</v>
      </c>
      <c r="Q50" s="34">
        <v>1</v>
      </c>
    </row>
    <row r="51" spans="2:17" s="5" customFormat="1" x14ac:dyDescent="0.25">
      <c r="B51" s="5" t="s">
        <v>18</v>
      </c>
      <c r="C51" s="5" t="s">
        <v>1364</v>
      </c>
      <c r="D51" s="5" t="s">
        <v>1365</v>
      </c>
      <c r="E51" s="5" t="s">
        <v>1366</v>
      </c>
      <c r="F51" s="5" t="s">
        <v>35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5" t="s">
        <v>1223</v>
      </c>
      <c r="Q51" s="5">
        <v>1</v>
      </c>
    </row>
    <row r="52" spans="2:17" s="43" customFormat="1" x14ac:dyDescent="0.25">
      <c r="B52" s="43" t="s">
        <v>18</v>
      </c>
      <c r="C52" s="43" t="s">
        <v>502</v>
      </c>
      <c r="D52" s="43" t="s">
        <v>1367</v>
      </c>
      <c r="E52" s="43" t="s">
        <v>504</v>
      </c>
      <c r="F52" s="43" t="s">
        <v>49</v>
      </c>
      <c r="G52" s="43">
        <v>0</v>
      </c>
      <c r="H52" s="43">
        <v>30</v>
      </c>
      <c r="I52" s="43">
        <f t="shared" si="1"/>
        <v>-30</v>
      </c>
      <c r="J52" s="43" t="s">
        <v>1232</v>
      </c>
      <c r="K52" s="43" t="s">
        <v>22</v>
      </c>
      <c r="L52" s="43" t="s">
        <v>1223</v>
      </c>
      <c r="Q52" s="43">
        <v>1</v>
      </c>
    </row>
    <row r="53" spans="2:17" s="43" customFormat="1" x14ac:dyDescent="0.25">
      <c r="B53" s="43" t="s">
        <v>18</v>
      </c>
      <c r="C53" s="43" t="s">
        <v>1368</v>
      </c>
      <c r="D53" s="43" t="s">
        <v>1369</v>
      </c>
      <c r="E53" s="43" t="s">
        <v>1370</v>
      </c>
      <c r="F53" s="43" t="s">
        <v>63</v>
      </c>
      <c r="G53" s="43">
        <v>695</v>
      </c>
      <c r="H53" s="43">
        <v>25</v>
      </c>
      <c r="I53" s="43">
        <f t="shared" si="1"/>
        <v>670</v>
      </c>
      <c r="J53" s="43" t="s">
        <v>1232</v>
      </c>
      <c r="K53" s="43" t="s">
        <v>22</v>
      </c>
      <c r="L53" s="43" t="s">
        <v>1223</v>
      </c>
      <c r="Q53" s="43">
        <v>1</v>
      </c>
    </row>
    <row r="54" spans="2:17" s="34" customFormat="1" x14ac:dyDescent="0.25">
      <c r="B54" s="34" t="s">
        <v>18</v>
      </c>
      <c r="C54" s="34" t="s">
        <v>1371</v>
      </c>
      <c r="D54" s="34" t="s">
        <v>1372</v>
      </c>
      <c r="E54" s="34" t="s">
        <v>1373</v>
      </c>
      <c r="F54" s="34" t="s">
        <v>1226</v>
      </c>
      <c r="G54" s="34">
        <v>785</v>
      </c>
      <c r="H54" s="34">
        <v>25</v>
      </c>
      <c r="I54" s="34">
        <f t="shared" si="1"/>
        <v>760</v>
      </c>
      <c r="J54" s="34" t="s">
        <v>27</v>
      </c>
      <c r="K54" s="34" t="s">
        <v>22</v>
      </c>
      <c r="L54" s="34" t="s">
        <v>1223</v>
      </c>
      <c r="Q54" s="34">
        <v>1</v>
      </c>
    </row>
    <row r="55" spans="2:17" s="34" customFormat="1" x14ac:dyDescent="0.25">
      <c r="B55" s="34" t="s">
        <v>18</v>
      </c>
      <c r="C55" s="34" t="s">
        <v>1374</v>
      </c>
      <c r="D55" s="34" t="s">
        <v>1375</v>
      </c>
      <c r="E55" s="34" t="s">
        <v>1376</v>
      </c>
      <c r="F55" s="34" t="s">
        <v>1248</v>
      </c>
      <c r="G55" s="34">
        <v>785</v>
      </c>
      <c r="H55" s="34">
        <v>25</v>
      </c>
      <c r="I55" s="34">
        <f t="shared" si="1"/>
        <v>760</v>
      </c>
      <c r="J55" s="34" t="s">
        <v>27</v>
      </c>
      <c r="K55" s="34" t="s">
        <v>22</v>
      </c>
      <c r="L55" s="34" t="s">
        <v>1223</v>
      </c>
      <c r="Q55" s="34">
        <v>1</v>
      </c>
    </row>
    <row r="56" spans="2:17" s="43" customFormat="1" x14ac:dyDescent="0.25">
      <c r="B56" s="43" t="s">
        <v>18</v>
      </c>
      <c r="C56" s="43" t="s">
        <v>564</v>
      </c>
      <c r="D56" s="43" t="s">
        <v>1377</v>
      </c>
      <c r="E56" s="43" t="s">
        <v>566</v>
      </c>
      <c r="F56" s="43" t="s">
        <v>49</v>
      </c>
      <c r="G56" s="43">
        <v>50</v>
      </c>
      <c r="H56" s="43">
        <v>50</v>
      </c>
      <c r="I56" s="43">
        <f t="shared" si="1"/>
        <v>0</v>
      </c>
      <c r="J56" s="43" t="s">
        <v>1232</v>
      </c>
      <c r="K56" s="43" t="s">
        <v>22</v>
      </c>
      <c r="L56" s="43" t="s">
        <v>1223</v>
      </c>
      <c r="Q56" s="43">
        <v>1</v>
      </c>
    </row>
    <row r="57" spans="2:17" s="5" customFormat="1" x14ac:dyDescent="0.25">
      <c r="B57" s="5" t="s">
        <v>18</v>
      </c>
      <c r="C57" s="5" t="s">
        <v>1378</v>
      </c>
      <c r="D57" s="5" t="s">
        <v>1379</v>
      </c>
      <c r="E57" s="5" t="s">
        <v>1380</v>
      </c>
      <c r="F57" s="5" t="s">
        <v>118</v>
      </c>
      <c r="G57" s="5">
        <v>1855</v>
      </c>
      <c r="H57" s="5">
        <v>25</v>
      </c>
      <c r="I57" s="5">
        <f t="shared" si="1"/>
        <v>1830</v>
      </c>
      <c r="J57" s="5" t="s">
        <v>22</v>
      </c>
      <c r="K57" s="5" t="s">
        <v>22</v>
      </c>
      <c r="L57" s="5" t="s">
        <v>1223</v>
      </c>
      <c r="Q57" s="5">
        <v>1</v>
      </c>
    </row>
    <row r="58" spans="2:17" s="5" customFormat="1" x14ac:dyDescent="0.25">
      <c r="B58" s="5" t="s">
        <v>18</v>
      </c>
      <c r="C58" s="5" t="s">
        <v>1381</v>
      </c>
      <c r="D58" s="5" t="s">
        <v>1382</v>
      </c>
      <c r="E58" s="5" t="s">
        <v>1383</v>
      </c>
      <c r="F58" s="5" t="s">
        <v>97</v>
      </c>
      <c r="G58" s="5">
        <v>605</v>
      </c>
      <c r="H58" s="5">
        <v>25</v>
      </c>
      <c r="I58" s="5">
        <f t="shared" si="1"/>
        <v>580</v>
      </c>
      <c r="J58" s="5" t="s">
        <v>22</v>
      </c>
      <c r="K58" s="5" t="s">
        <v>22</v>
      </c>
      <c r="L58" s="5" t="s">
        <v>1223</v>
      </c>
      <c r="Q58" s="5">
        <v>1</v>
      </c>
    </row>
    <row r="59" spans="2:17" s="43" customFormat="1" x14ac:dyDescent="0.25">
      <c r="B59" s="43" t="s">
        <v>18</v>
      </c>
      <c r="C59" s="43" t="s">
        <v>1384</v>
      </c>
      <c r="D59" s="43" t="s">
        <v>1385</v>
      </c>
      <c r="E59" s="43" t="s">
        <v>1386</v>
      </c>
      <c r="F59" s="43" t="s">
        <v>49</v>
      </c>
      <c r="G59" s="43">
        <v>750</v>
      </c>
      <c r="H59" s="43">
        <v>30</v>
      </c>
      <c r="I59" s="43">
        <f t="shared" si="1"/>
        <v>720</v>
      </c>
      <c r="J59" s="43" t="s">
        <v>1232</v>
      </c>
      <c r="K59" s="43" t="s">
        <v>22</v>
      </c>
      <c r="L59" s="43" t="s">
        <v>1223</v>
      </c>
      <c r="Q59" s="43">
        <v>1</v>
      </c>
    </row>
    <row r="60" spans="2:17" s="34" customFormat="1" x14ac:dyDescent="0.25">
      <c r="B60" s="34" t="s">
        <v>18</v>
      </c>
      <c r="C60" s="34" t="s">
        <v>1387</v>
      </c>
      <c r="D60" s="34" t="s">
        <v>1388</v>
      </c>
      <c r="E60" s="34" t="s">
        <v>1389</v>
      </c>
      <c r="F60" s="34" t="s">
        <v>1222</v>
      </c>
      <c r="G60" s="34">
        <v>2370</v>
      </c>
      <c r="H60" s="34">
        <v>30</v>
      </c>
      <c r="I60" s="34">
        <f t="shared" si="1"/>
        <v>2340</v>
      </c>
      <c r="J60" s="34" t="s">
        <v>27</v>
      </c>
      <c r="K60" s="34" t="s">
        <v>22</v>
      </c>
      <c r="L60" s="34" t="s">
        <v>1223</v>
      </c>
      <c r="M60" s="34" t="s">
        <v>786</v>
      </c>
      <c r="Q60" s="34">
        <v>1</v>
      </c>
    </row>
    <row r="61" spans="2:17" s="34" customFormat="1" x14ac:dyDescent="0.25">
      <c r="B61" s="34" t="s">
        <v>18</v>
      </c>
      <c r="C61" s="34" t="s">
        <v>1030</v>
      </c>
      <c r="D61" s="34" t="s">
        <v>1390</v>
      </c>
      <c r="E61" s="34" t="s">
        <v>1391</v>
      </c>
      <c r="F61" s="34" t="s">
        <v>1248</v>
      </c>
      <c r="G61" s="34">
        <v>765</v>
      </c>
      <c r="H61" s="34">
        <v>25</v>
      </c>
      <c r="I61" s="34">
        <f t="shared" si="1"/>
        <v>740</v>
      </c>
      <c r="J61" s="34" t="s">
        <v>27</v>
      </c>
      <c r="K61" s="34" t="s">
        <v>22</v>
      </c>
      <c r="L61" s="34" t="s">
        <v>1223</v>
      </c>
      <c r="Q61" s="34">
        <v>1</v>
      </c>
    </row>
    <row r="62" spans="2:17" s="34" customFormat="1" x14ac:dyDescent="0.25">
      <c r="B62" s="34" t="s">
        <v>18</v>
      </c>
      <c r="C62" s="34" t="s">
        <v>1392</v>
      </c>
      <c r="D62" s="34" t="s">
        <v>1393</v>
      </c>
      <c r="E62" s="34" t="s">
        <v>1394</v>
      </c>
      <c r="F62" s="34" t="s">
        <v>97</v>
      </c>
      <c r="G62" s="34">
        <v>0</v>
      </c>
      <c r="H62" s="34">
        <v>25</v>
      </c>
      <c r="I62" s="34">
        <f t="shared" si="1"/>
        <v>-25</v>
      </c>
      <c r="J62" s="34" t="s">
        <v>27</v>
      </c>
      <c r="K62" s="34" t="s">
        <v>22</v>
      </c>
      <c r="L62" s="34" t="s">
        <v>1223</v>
      </c>
      <c r="Q62" s="34">
        <v>1</v>
      </c>
    </row>
    <row r="63" spans="2:17" s="5" customFormat="1" x14ac:dyDescent="0.25">
      <c r="B63" s="5" t="s">
        <v>18</v>
      </c>
      <c r="C63" s="5" t="s">
        <v>1106</v>
      </c>
      <c r="D63" s="5" t="s">
        <v>1395</v>
      </c>
      <c r="E63" s="5" t="s">
        <v>1108</v>
      </c>
      <c r="F63" s="5" t="s">
        <v>53</v>
      </c>
      <c r="G63" s="5">
        <v>0</v>
      </c>
      <c r="H63" s="5">
        <v>20</v>
      </c>
      <c r="I63" s="5">
        <f t="shared" si="1"/>
        <v>-20</v>
      </c>
      <c r="J63" s="5" t="s">
        <v>22</v>
      </c>
      <c r="K63" s="5" t="s">
        <v>22</v>
      </c>
      <c r="L63" s="5" t="s">
        <v>1223</v>
      </c>
      <c r="Q63" s="5">
        <v>1</v>
      </c>
    </row>
    <row r="64" spans="2:17" s="43" customFormat="1" x14ac:dyDescent="0.25">
      <c r="B64" s="43" t="s">
        <v>18</v>
      </c>
      <c r="C64" s="43" t="s">
        <v>1396</v>
      </c>
      <c r="D64" s="43" t="s">
        <v>1397</v>
      </c>
      <c r="E64" s="43" t="s">
        <v>1398</v>
      </c>
      <c r="F64" s="43" t="s">
        <v>1307</v>
      </c>
      <c r="G64" s="43">
        <v>0</v>
      </c>
      <c r="H64" s="43">
        <v>25</v>
      </c>
      <c r="I64" s="43">
        <f t="shared" si="1"/>
        <v>-25</v>
      </c>
      <c r="J64" s="43" t="s">
        <v>1232</v>
      </c>
      <c r="K64" s="43" t="s">
        <v>22</v>
      </c>
      <c r="L64" s="43" t="s">
        <v>1223</v>
      </c>
      <c r="Q64" s="43">
        <v>1</v>
      </c>
    </row>
    <row r="65" spans="1:17" s="43" customFormat="1" x14ac:dyDescent="0.25">
      <c r="B65" s="43" t="s">
        <v>18</v>
      </c>
      <c r="C65" s="43" t="s">
        <v>1399</v>
      </c>
      <c r="D65" s="43" t="s">
        <v>1400</v>
      </c>
      <c r="E65" s="43" t="s">
        <v>1401</v>
      </c>
      <c r="F65" s="44" t="s">
        <v>1231</v>
      </c>
      <c r="G65" s="43">
        <v>0</v>
      </c>
      <c r="H65" s="43">
        <v>30</v>
      </c>
      <c r="I65" s="43">
        <f t="shared" si="1"/>
        <v>-30</v>
      </c>
      <c r="J65" s="43" t="s">
        <v>1232</v>
      </c>
      <c r="K65" s="43" t="s">
        <v>22</v>
      </c>
      <c r="L65" s="43" t="s">
        <v>1223</v>
      </c>
      <c r="Q65" s="43">
        <v>1</v>
      </c>
    </row>
    <row r="66" spans="1:17" s="5" customFormat="1" x14ac:dyDescent="0.25">
      <c r="B66" s="5" t="s">
        <v>18</v>
      </c>
      <c r="C66" s="5" t="s">
        <v>1402</v>
      </c>
      <c r="D66" s="5" t="s">
        <v>1403</v>
      </c>
      <c r="E66" s="5" t="s">
        <v>1404</v>
      </c>
      <c r="F66" s="5" t="s">
        <v>35</v>
      </c>
      <c r="G66" s="5">
        <v>760</v>
      </c>
      <c r="H66" s="5">
        <v>30</v>
      </c>
      <c r="I66" s="5">
        <f t="shared" si="1"/>
        <v>730</v>
      </c>
      <c r="J66" s="5" t="s">
        <v>22</v>
      </c>
      <c r="K66" s="5" t="s">
        <v>22</v>
      </c>
      <c r="L66" s="5" t="s">
        <v>1223</v>
      </c>
      <c r="Q66" s="5">
        <v>1</v>
      </c>
    </row>
    <row r="67" spans="1:17" s="43" customFormat="1" x14ac:dyDescent="0.25">
      <c r="A67" s="43" t="s">
        <v>255</v>
      </c>
      <c r="B67" s="43" t="s">
        <v>18</v>
      </c>
      <c r="C67" s="43" t="s">
        <v>1405</v>
      </c>
      <c r="E67" s="43" t="s">
        <v>257</v>
      </c>
      <c r="F67" s="44" t="s">
        <v>1406</v>
      </c>
      <c r="G67" s="43">
        <v>0</v>
      </c>
      <c r="H67" s="43">
        <v>30</v>
      </c>
      <c r="I67" s="43">
        <f>-H67</f>
        <v>-30</v>
      </c>
      <c r="J67" s="43" t="s">
        <v>1232</v>
      </c>
      <c r="K67" s="43" t="s">
        <v>22</v>
      </c>
      <c r="L67" s="43" t="s">
        <v>1223</v>
      </c>
      <c r="Q67" s="43">
        <v>1</v>
      </c>
    </row>
    <row r="68" spans="1:17" s="5" customFormat="1" x14ac:dyDescent="0.25">
      <c r="A68" s="5" t="s">
        <v>255</v>
      </c>
      <c r="B68" s="5" t="s">
        <v>18</v>
      </c>
      <c r="C68" s="5" t="s">
        <v>1407</v>
      </c>
      <c r="E68" s="5" t="s">
        <v>735</v>
      </c>
      <c r="F68" s="5" t="s">
        <v>97</v>
      </c>
      <c r="G68" s="5">
        <v>960</v>
      </c>
      <c r="H68" s="5">
        <v>30</v>
      </c>
      <c r="I68" s="5">
        <f>H68</f>
        <v>30</v>
      </c>
      <c r="J68" s="5" t="s">
        <v>22</v>
      </c>
      <c r="K68" s="5" t="s">
        <v>22</v>
      </c>
      <c r="L68" s="5" t="s">
        <v>1223</v>
      </c>
      <c r="Q68" s="5">
        <v>1</v>
      </c>
    </row>
    <row r="69" spans="1:17" s="5" customFormat="1" x14ac:dyDescent="0.25">
      <c r="A69" s="5" t="s">
        <v>255</v>
      </c>
      <c r="B69" s="5" t="s">
        <v>18</v>
      </c>
      <c r="C69" s="5" t="s">
        <v>258</v>
      </c>
      <c r="E69" s="5" t="s">
        <v>259</v>
      </c>
      <c r="F69" s="5" t="s">
        <v>118</v>
      </c>
      <c r="G69" s="5">
        <v>30</v>
      </c>
      <c r="H69" s="5">
        <v>30</v>
      </c>
      <c r="I69" s="5">
        <f t="shared" ref="I69:I75" si="2">G69-H69</f>
        <v>0</v>
      </c>
      <c r="J69" s="5" t="s">
        <v>22</v>
      </c>
      <c r="K69" s="5" t="s">
        <v>22</v>
      </c>
      <c r="L69" s="5" t="s">
        <v>1223</v>
      </c>
      <c r="Q69" s="5">
        <v>1</v>
      </c>
    </row>
    <row r="70" spans="1:17" s="34" customFormat="1" x14ac:dyDescent="0.25">
      <c r="A70" s="34" t="s">
        <v>255</v>
      </c>
      <c r="B70" s="34" t="s">
        <v>18</v>
      </c>
      <c r="C70" s="34" t="s">
        <v>260</v>
      </c>
      <c r="E70" s="34" t="s">
        <v>261</v>
      </c>
      <c r="F70" s="34" t="s">
        <v>97</v>
      </c>
      <c r="G70" s="34">
        <v>0</v>
      </c>
      <c r="H70" s="34">
        <v>30</v>
      </c>
      <c r="I70" s="34">
        <f t="shared" si="2"/>
        <v>-30</v>
      </c>
      <c r="J70" s="34" t="s">
        <v>27</v>
      </c>
      <c r="K70" s="34" t="s">
        <v>22</v>
      </c>
      <c r="L70" s="34" t="s">
        <v>1223</v>
      </c>
      <c r="Q70" s="34">
        <v>1</v>
      </c>
    </row>
    <row r="71" spans="1:17" s="5" customFormat="1" x14ac:dyDescent="0.25">
      <c r="A71" s="5" t="s">
        <v>255</v>
      </c>
      <c r="B71" s="5" t="s">
        <v>18</v>
      </c>
      <c r="C71" s="5" t="s">
        <v>545</v>
      </c>
      <c r="E71" s="5" t="s">
        <v>1058</v>
      </c>
      <c r="F71" s="5" t="s">
        <v>118</v>
      </c>
      <c r="G71" s="5">
        <v>7090</v>
      </c>
      <c r="H71" s="5">
        <v>30</v>
      </c>
      <c r="I71" s="5">
        <f t="shared" si="2"/>
        <v>7060</v>
      </c>
      <c r="J71" s="5" t="s">
        <v>22</v>
      </c>
      <c r="K71" s="5" t="s">
        <v>22</v>
      </c>
      <c r="L71" s="5" t="s">
        <v>1223</v>
      </c>
      <c r="Q71" s="5">
        <v>1</v>
      </c>
    </row>
    <row r="72" spans="1:17" s="43" customFormat="1" x14ac:dyDescent="0.25">
      <c r="A72" s="43" t="s">
        <v>255</v>
      </c>
      <c r="B72" s="43" t="s">
        <v>18</v>
      </c>
      <c r="C72" s="43" t="s">
        <v>1408</v>
      </c>
      <c r="E72" s="43" t="s">
        <v>1409</v>
      </c>
      <c r="F72" s="44" t="s">
        <v>1289</v>
      </c>
      <c r="G72" s="43">
        <v>645</v>
      </c>
      <c r="H72" s="43">
        <v>35</v>
      </c>
      <c r="I72" s="43">
        <f t="shared" si="2"/>
        <v>610</v>
      </c>
      <c r="J72" s="43" t="s">
        <v>1232</v>
      </c>
      <c r="K72" s="43" t="s">
        <v>22</v>
      </c>
      <c r="L72" s="43" t="s">
        <v>1223</v>
      </c>
      <c r="Q72" s="43">
        <v>1</v>
      </c>
    </row>
    <row r="73" spans="1:17" s="5" customFormat="1" x14ac:dyDescent="0.25">
      <c r="A73" s="5" t="s">
        <v>255</v>
      </c>
      <c r="B73" s="5" t="s">
        <v>18</v>
      </c>
      <c r="C73" s="5" t="s">
        <v>1410</v>
      </c>
      <c r="E73" s="5" t="s">
        <v>1411</v>
      </c>
      <c r="F73" s="5" t="s">
        <v>35</v>
      </c>
      <c r="G73" s="5">
        <v>995</v>
      </c>
      <c r="H73" s="5">
        <v>35</v>
      </c>
      <c r="I73" s="5">
        <f t="shared" si="2"/>
        <v>960</v>
      </c>
      <c r="J73" s="5" t="s">
        <v>22</v>
      </c>
      <c r="K73" s="5" t="s">
        <v>22</v>
      </c>
      <c r="L73" s="5" t="s">
        <v>1223</v>
      </c>
      <c r="Q73" s="5">
        <v>1</v>
      </c>
    </row>
    <row r="74" spans="1:17" s="43" customFormat="1" x14ac:dyDescent="0.25">
      <c r="A74" s="43" t="s">
        <v>255</v>
      </c>
      <c r="B74" s="43" t="s">
        <v>18</v>
      </c>
      <c r="C74" s="43" t="s">
        <v>256</v>
      </c>
      <c r="E74" s="43" t="s">
        <v>1412</v>
      </c>
      <c r="F74" s="44" t="s">
        <v>1406</v>
      </c>
      <c r="G74" s="43">
        <v>0</v>
      </c>
      <c r="H74" s="43">
        <v>25</v>
      </c>
      <c r="I74" s="43">
        <f t="shared" si="2"/>
        <v>-25</v>
      </c>
      <c r="J74" s="43" t="s">
        <v>1232</v>
      </c>
      <c r="K74" s="43" t="s">
        <v>22</v>
      </c>
      <c r="L74" s="43" t="s">
        <v>1223</v>
      </c>
      <c r="Q74" s="43">
        <v>1</v>
      </c>
    </row>
    <row r="75" spans="1:17" s="43" customFormat="1" x14ac:dyDescent="0.25">
      <c r="A75" s="43" t="s">
        <v>255</v>
      </c>
      <c r="B75" s="43" t="s">
        <v>18</v>
      </c>
      <c r="C75" s="43" t="s">
        <v>1413</v>
      </c>
      <c r="E75" s="43" t="s">
        <v>263</v>
      </c>
      <c r="F75" s="44" t="s">
        <v>1406</v>
      </c>
      <c r="G75" s="43">
        <v>2425</v>
      </c>
      <c r="H75" s="43">
        <v>35</v>
      </c>
      <c r="I75" s="43">
        <f t="shared" si="2"/>
        <v>2390</v>
      </c>
      <c r="J75" s="43" t="s">
        <v>1232</v>
      </c>
      <c r="K75" s="43" t="s">
        <v>22</v>
      </c>
      <c r="L75" s="43" t="s">
        <v>1223</v>
      </c>
      <c r="Q75" s="43">
        <v>1</v>
      </c>
    </row>
    <row r="76" spans="1:17" s="33" customFormat="1" x14ac:dyDescent="0.25">
      <c r="B76" s="33" t="s">
        <v>18</v>
      </c>
      <c r="C76" s="33" t="s">
        <v>270</v>
      </c>
      <c r="D76" s="33" t="s">
        <v>271</v>
      </c>
      <c r="E76" s="33" t="s">
        <v>272</v>
      </c>
      <c r="F76" s="46">
        <v>9</v>
      </c>
      <c r="G76" s="33">
        <v>850</v>
      </c>
      <c r="H76" s="33">
        <v>30</v>
      </c>
      <c r="I76" s="33">
        <v>820</v>
      </c>
      <c r="J76" s="33" t="s">
        <v>425</v>
      </c>
      <c r="K76" s="33" t="s">
        <v>22</v>
      </c>
      <c r="L76" s="33" t="s">
        <v>273</v>
      </c>
      <c r="M76" s="33" t="s">
        <v>74</v>
      </c>
      <c r="N76" s="33" t="s">
        <v>275</v>
      </c>
      <c r="O76" s="33" t="s">
        <v>275</v>
      </c>
      <c r="P76" s="33" t="s">
        <v>427</v>
      </c>
      <c r="Q76" s="33">
        <v>1</v>
      </c>
    </row>
    <row r="77" spans="1:17" s="33" customFormat="1" x14ac:dyDescent="0.25">
      <c r="B77" s="33" t="s">
        <v>18</v>
      </c>
      <c r="C77" s="33" t="s">
        <v>1027</v>
      </c>
      <c r="D77" s="33" t="s">
        <v>1028</v>
      </c>
      <c r="E77" s="33" t="s">
        <v>1029</v>
      </c>
      <c r="F77" s="46">
        <v>12</v>
      </c>
      <c r="G77" s="33">
        <v>820</v>
      </c>
      <c r="H77" s="33">
        <v>30</v>
      </c>
      <c r="I77" s="33">
        <v>790</v>
      </c>
      <c r="J77" s="33" t="s">
        <v>991</v>
      </c>
      <c r="K77" s="33" t="s">
        <v>22</v>
      </c>
      <c r="L77" s="33" t="s">
        <v>984</v>
      </c>
      <c r="M77" s="33" t="s">
        <v>74</v>
      </c>
      <c r="N77" s="33" t="s">
        <v>275</v>
      </c>
      <c r="O77" s="33" t="s">
        <v>275</v>
      </c>
      <c r="P77" s="33" t="s">
        <v>427</v>
      </c>
      <c r="Q77" s="33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9"/>
  <sheetViews>
    <sheetView workbookViewId="0">
      <selection activeCell="J18" sqref="J18"/>
    </sheetView>
  </sheetViews>
  <sheetFormatPr defaultRowHeight="15" x14ac:dyDescent="0.25"/>
  <cols>
    <col min="1" max="1" width="12.28515625" bestFit="1" customWidth="1"/>
    <col min="2" max="2" width="9.140625" customWidth="1"/>
    <col min="3" max="3" width="38.28515625" bestFit="1" customWidth="1"/>
    <col min="4" max="4" width="9.5703125" bestFit="1" customWidth="1"/>
    <col min="5" max="5" width="76.140625" bestFit="1" customWidth="1"/>
    <col min="6" max="11" width="9.140625" customWidth="1"/>
    <col min="12" max="12" width="10.42578125" bestFit="1" customWidth="1"/>
  </cols>
  <sheetData>
    <row r="1" spans="1:17" x14ac:dyDescent="0.25">
      <c r="B1" s="3" t="s">
        <v>449</v>
      </c>
      <c r="C1" s="3" t="s">
        <v>1414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1415</v>
      </c>
      <c r="E3" s="5" t="s">
        <v>1416</v>
      </c>
      <c r="F3" s="8" t="s">
        <v>1289</v>
      </c>
      <c r="G3" s="5">
        <v>45</v>
      </c>
      <c r="H3" s="5">
        <v>45</v>
      </c>
      <c r="I3" s="5">
        <f t="shared" ref="I3:I19" si="0">G3-H3</f>
        <v>0</v>
      </c>
      <c r="J3" s="5" t="s">
        <v>22</v>
      </c>
      <c r="K3" s="5" t="s">
        <v>22</v>
      </c>
      <c r="L3" s="5" t="s">
        <v>1417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1418</v>
      </c>
      <c r="E4" s="5" t="s">
        <v>1419</v>
      </c>
      <c r="F4" s="5" t="s">
        <v>1289</v>
      </c>
      <c r="G4" s="5">
        <v>40</v>
      </c>
      <c r="H4" s="5">
        <v>40</v>
      </c>
      <c r="I4" s="5">
        <f t="shared" si="0"/>
        <v>0</v>
      </c>
      <c r="J4" s="5" t="s">
        <v>22</v>
      </c>
      <c r="K4" s="5" t="s">
        <v>22</v>
      </c>
      <c r="L4" s="5" t="s">
        <v>1417</v>
      </c>
      <c r="Q4" s="5">
        <v>1</v>
      </c>
    </row>
    <row r="5" spans="1:17" s="43" customFormat="1" x14ac:dyDescent="0.25">
      <c r="B5" s="43" t="s">
        <v>18</v>
      </c>
      <c r="C5" s="43" t="s">
        <v>564</v>
      </c>
      <c r="D5" s="43" t="s">
        <v>1420</v>
      </c>
      <c r="E5" s="43" t="s">
        <v>566</v>
      </c>
      <c r="F5" s="43" t="s">
        <v>49</v>
      </c>
      <c r="G5" s="43">
        <v>0</v>
      </c>
      <c r="H5" s="43">
        <v>60</v>
      </c>
      <c r="I5" s="43">
        <f t="shared" si="0"/>
        <v>-60</v>
      </c>
      <c r="J5" s="43" t="s">
        <v>1421</v>
      </c>
      <c r="K5" s="43" t="s">
        <v>22</v>
      </c>
      <c r="L5" s="43" t="s">
        <v>1417</v>
      </c>
      <c r="Q5" s="43">
        <v>1</v>
      </c>
    </row>
    <row r="6" spans="1:17" s="43" customFormat="1" x14ac:dyDescent="0.25">
      <c r="B6" s="43" t="s">
        <v>18</v>
      </c>
      <c r="C6" s="43" t="s">
        <v>1422</v>
      </c>
      <c r="D6" s="43" t="s">
        <v>1423</v>
      </c>
      <c r="E6" s="43" t="s">
        <v>1424</v>
      </c>
      <c r="F6" s="43" t="s">
        <v>1075</v>
      </c>
      <c r="G6" s="43">
        <v>0</v>
      </c>
      <c r="H6" s="43">
        <v>35</v>
      </c>
      <c r="I6" s="43">
        <f t="shared" si="0"/>
        <v>-35</v>
      </c>
      <c r="J6" s="43" t="s">
        <v>1421</v>
      </c>
      <c r="K6" s="43" t="s">
        <v>22</v>
      </c>
      <c r="L6" s="43" t="s">
        <v>1417</v>
      </c>
      <c r="Q6" s="43">
        <v>1</v>
      </c>
    </row>
    <row r="7" spans="1:17" s="5" customFormat="1" x14ac:dyDescent="0.25">
      <c r="B7" s="5" t="s">
        <v>18</v>
      </c>
      <c r="C7" s="5" t="s">
        <v>1425</v>
      </c>
      <c r="D7" s="5" t="s">
        <v>1426</v>
      </c>
      <c r="E7" s="5" t="s">
        <v>1427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1417</v>
      </c>
      <c r="Q7" s="5">
        <v>1</v>
      </c>
    </row>
    <row r="8" spans="1:17" s="5" customFormat="1" x14ac:dyDescent="0.25">
      <c r="B8" s="5" t="s">
        <v>18</v>
      </c>
      <c r="C8" s="5" t="s">
        <v>1428</v>
      </c>
      <c r="D8" s="5" t="s">
        <v>1429</v>
      </c>
      <c r="E8" s="5" t="s">
        <v>1430</v>
      </c>
      <c r="F8" s="5" t="s">
        <v>35</v>
      </c>
      <c r="G8" s="5">
        <v>0</v>
      </c>
      <c r="H8" s="5">
        <v>30</v>
      </c>
      <c r="I8" s="5">
        <f t="shared" si="0"/>
        <v>-30</v>
      </c>
      <c r="J8" s="5" t="s">
        <v>22</v>
      </c>
      <c r="K8" s="5" t="s">
        <v>22</v>
      </c>
      <c r="L8" s="5" t="s">
        <v>1417</v>
      </c>
      <c r="Q8" s="5">
        <v>1</v>
      </c>
    </row>
    <row r="9" spans="1:17" s="43" customFormat="1" x14ac:dyDescent="0.25">
      <c r="B9" s="43" t="s">
        <v>18</v>
      </c>
      <c r="C9" s="43" t="s">
        <v>1431</v>
      </c>
      <c r="D9" s="43" t="s">
        <v>1432</v>
      </c>
      <c r="E9" s="43" t="s">
        <v>1433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1421</v>
      </c>
      <c r="K9" s="43" t="s">
        <v>22</v>
      </c>
      <c r="L9" s="43" t="s">
        <v>1417</v>
      </c>
      <c r="Q9" s="43">
        <v>1</v>
      </c>
    </row>
    <row r="10" spans="1:17" s="43" customFormat="1" x14ac:dyDescent="0.25">
      <c r="B10" s="43" t="s">
        <v>18</v>
      </c>
      <c r="C10" s="43" t="s">
        <v>284</v>
      </c>
      <c r="D10" s="43" t="s">
        <v>1434</v>
      </c>
      <c r="E10" s="43" t="s">
        <v>286</v>
      </c>
      <c r="F10" s="43" t="s">
        <v>1406</v>
      </c>
      <c r="G10" s="43">
        <v>745</v>
      </c>
      <c r="H10" s="43">
        <v>25</v>
      </c>
      <c r="I10" s="43">
        <f t="shared" si="0"/>
        <v>720</v>
      </c>
      <c r="J10" s="43" t="s">
        <v>1421</v>
      </c>
      <c r="K10" s="43" t="s">
        <v>22</v>
      </c>
      <c r="L10" s="43" t="s">
        <v>1417</v>
      </c>
      <c r="Q10" s="43">
        <v>1</v>
      </c>
    </row>
    <row r="11" spans="1:17" s="5" customFormat="1" x14ac:dyDescent="0.25">
      <c r="B11" s="5" t="s">
        <v>18</v>
      </c>
      <c r="C11" s="5" t="s">
        <v>1435</v>
      </c>
      <c r="D11" s="5" t="s">
        <v>1436</v>
      </c>
      <c r="E11" s="5" t="s">
        <v>1437</v>
      </c>
      <c r="F11" s="5" t="s">
        <v>35</v>
      </c>
      <c r="G11" s="5">
        <v>950</v>
      </c>
      <c r="H11" s="5">
        <v>30</v>
      </c>
      <c r="I11" s="5">
        <f t="shared" si="0"/>
        <v>920</v>
      </c>
      <c r="J11" s="5" t="s">
        <v>22</v>
      </c>
      <c r="K11" s="5" t="s">
        <v>22</v>
      </c>
      <c r="L11" s="5" t="s">
        <v>1417</v>
      </c>
      <c r="Q11" s="5">
        <v>1</v>
      </c>
    </row>
    <row r="12" spans="1:17" s="43" customFormat="1" x14ac:dyDescent="0.25">
      <c r="B12" s="43" t="s">
        <v>18</v>
      </c>
      <c r="C12" s="43" t="s">
        <v>1438</v>
      </c>
      <c r="D12" s="43" t="s">
        <v>1439</v>
      </c>
      <c r="E12" s="43" t="s">
        <v>1440</v>
      </c>
      <c r="F12" s="43" t="s">
        <v>1231</v>
      </c>
      <c r="G12" s="43">
        <v>1480</v>
      </c>
      <c r="H12" s="43">
        <v>30</v>
      </c>
      <c r="I12" s="43">
        <f t="shared" si="0"/>
        <v>1450</v>
      </c>
      <c r="J12" s="43" t="s">
        <v>1421</v>
      </c>
      <c r="K12" s="43" t="s">
        <v>22</v>
      </c>
      <c r="L12" s="43" t="s">
        <v>1417</v>
      </c>
      <c r="Q12" s="43">
        <v>1</v>
      </c>
    </row>
    <row r="13" spans="1:17" s="43" customFormat="1" x14ac:dyDescent="0.25">
      <c r="B13" s="43" t="s">
        <v>18</v>
      </c>
      <c r="C13" s="43" t="s">
        <v>1441</v>
      </c>
      <c r="D13" s="43" t="s">
        <v>1442</v>
      </c>
      <c r="E13" s="43" t="s">
        <v>1443</v>
      </c>
      <c r="F13" s="43" t="s">
        <v>1231</v>
      </c>
      <c r="G13" s="43">
        <v>760</v>
      </c>
      <c r="H13" s="43">
        <v>30</v>
      </c>
      <c r="I13" s="43">
        <f t="shared" si="0"/>
        <v>730</v>
      </c>
      <c r="J13" s="43" t="s">
        <v>1421</v>
      </c>
      <c r="K13" s="43" t="s">
        <v>22</v>
      </c>
      <c r="L13" s="43" t="s">
        <v>1417</v>
      </c>
      <c r="Q13" s="43">
        <v>1</v>
      </c>
    </row>
    <row r="14" spans="1:17" s="5" customFormat="1" x14ac:dyDescent="0.25">
      <c r="B14" s="5" t="s">
        <v>18</v>
      </c>
      <c r="C14" s="5" t="s">
        <v>1444</v>
      </c>
      <c r="D14" s="5" t="s">
        <v>1445</v>
      </c>
      <c r="E14" s="5" t="s">
        <v>1446</v>
      </c>
      <c r="F14" s="5" t="s">
        <v>118</v>
      </c>
      <c r="G14" s="5">
        <v>755</v>
      </c>
      <c r="H14" s="5">
        <v>25</v>
      </c>
      <c r="I14" s="5">
        <f t="shared" si="0"/>
        <v>730</v>
      </c>
      <c r="J14" s="5" t="s">
        <v>22</v>
      </c>
      <c r="K14" s="5" t="s">
        <v>22</v>
      </c>
      <c r="L14" s="5" t="s">
        <v>1417</v>
      </c>
      <c r="Q14" s="5">
        <v>1</v>
      </c>
    </row>
    <row r="15" spans="1:17" s="43" customFormat="1" x14ac:dyDescent="0.25">
      <c r="B15" s="43" t="s">
        <v>18</v>
      </c>
      <c r="C15" s="43" t="s">
        <v>1447</v>
      </c>
      <c r="D15" s="43" t="s">
        <v>1448</v>
      </c>
      <c r="E15" s="43" t="s">
        <v>1449</v>
      </c>
      <c r="F15" s="43" t="s">
        <v>1263</v>
      </c>
      <c r="G15" s="43">
        <v>845</v>
      </c>
      <c r="H15" s="43">
        <v>25</v>
      </c>
      <c r="I15" s="43">
        <f t="shared" si="0"/>
        <v>820</v>
      </c>
      <c r="J15" s="43" t="s">
        <v>1421</v>
      </c>
      <c r="K15" s="43" t="s">
        <v>22</v>
      </c>
      <c r="L15" s="43" t="s">
        <v>1417</v>
      </c>
      <c r="Q15" s="43">
        <v>1</v>
      </c>
    </row>
    <row r="16" spans="1:17" s="43" customFormat="1" x14ac:dyDescent="0.25">
      <c r="B16" s="43" t="s">
        <v>18</v>
      </c>
      <c r="C16" s="43" t="s">
        <v>1450</v>
      </c>
      <c r="D16" s="43" t="s">
        <v>1451</v>
      </c>
      <c r="E16" s="43" t="s">
        <v>1452</v>
      </c>
      <c r="F16" s="43" t="s">
        <v>1270</v>
      </c>
      <c r="G16" s="43">
        <v>770</v>
      </c>
      <c r="H16" s="43">
        <v>30</v>
      </c>
      <c r="I16" s="43">
        <f t="shared" si="0"/>
        <v>740</v>
      </c>
      <c r="J16" s="43" t="s">
        <v>1421</v>
      </c>
      <c r="K16" s="43" t="s">
        <v>22</v>
      </c>
      <c r="L16" s="43" t="s">
        <v>1417</v>
      </c>
      <c r="Q16" s="43">
        <v>1</v>
      </c>
    </row>
    <row r="17" spans="2:17" s="5" customFormat="1" x14ac:dyDescent="0.25">
      <c r="B17" s="5" t="s">
        <v>18</v>
      </c>
      <c r="C17" s="5" t="s">
        <v>1453</v>
      </c>
      <c r="D17" s="5" t="s">
        <v>1454</v>
      </c>
      <c r="E17" s="5" t="s">
        <v>1455</v>
      </c>
      <c r="F17" s="5" t="s">
        <v>1289</v>
      </c>
      <c r="G17" s="5">
        <v>0</v>
      </c>
      <c r="H17" s="5">
        <v>30</v>
      </c>
      <c r="I17" s="5">
        <f t="shared" si="0"/>
        <v>-30</v>
      </c>
      <c r="J17" s="5" t="s">
        <v>22</v>
      </c>
      <c r="K17" s="5" t="s">
        <v>22</v>
      </c>
      <c r="L17" s="5" t="s">
        <v>1417</v>
      </c>
      <c r="Q17" s="5">
        <v>1</v>
      </c>
    </row>
    <row r="18" spans="2:17" s="43" customFormat="1" x14ac:dyDescent="0.25">
      <c r="B18" s="43" t="s">
        <v>18</v>
      </c>
      <c r="C18" s="43" t="s">
        <v>1456</v>
      </c>
      <c r="D18" s="43" t="s">
        <v>1457</v>
      </c>
      <c r="E18" s="43" t="s">
        <v>1458</v>
      </c>
      <c r="F18" s="43" t="s">
        <v>1226</v>
      </c>
      <c r="G18" s="43">
        <v>695</v>
      </c>
      <c r="H18" s="43">
        <v>25</v>
      </c>
      <c r="I18" s="43">
        <f t="shared" si="0"/>
        <v>670</v>
      </c>
      <c r="J18" s="43" t="s">
        <v>1421</v>
      </c>
      <c r="K18" s="43" t="s">
        <v>22</v>
      </c>
      <c r="L18" s="43" t="s">
        <v>1417</v>
      </c>
      <c r="Q18" s="43">
        <v>1</v>
      </c>
    </row>
    <row r="19" spans="2:17" s="5" customFormat="1" x14ac:dyDescent="0.25">
      <c r="B19" s="5" t="s">
        <v>18</v>
      </c>
      <c r="C19" s="5" t="s">
        <v>1459</v>
      </c>
      <c r="D19" s="5" t="s">
        <v>1460</v>
      </c>
      <c r="E19" s="5" t="s">
        <v>1461</v>
      </c>
      <c r="F19" s="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1417</v>
      </c>
      <c r="Q19" s="5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9"/>
  <sheetViews>
    <sheetView workbookViewId="0">
      <selection activeCell="F17" sqref="F17"/>
    </sheetView>
  </sheetViews>
  <sheetFormatPr defaultRowHeight="15" x14ac:dyDescent="0.25"/>
  <cols>
    <col min="1" max="2" width="9.140625" customWidth="1"/>
    <col min="3" max="3" width="30.5703125" bestFit="1" customWidth="1"/>
    <col min="4" max="4" width="9.140625" customWidth="1"/>
    <col min="5" max="5" width="107.85546875" bestFit="1" customWidth="1"/>
    <col min="6" max="6" width="8.285156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1462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18</v>
      </c>
      <c r="C3" s="43" t="s">
        <v>1463</v>
      </c>
      <c r="D3" s="43" t="s">
        <v>1464</v>
      </c>
      <c r="E3" s="43" t="s">
        <v>1465</v>
      </c>
      <c r="F3" s="43" t="s">
        <v>1270</v>
      </c>
      <c r="G3" s="43">
        <v>745</v>
      </c>
      <c r="H3" s="43">
        <v>25</v>
      </c>
      <c r="I3" s="43">
        <f t="shared" ref="I3:I17" si="0">G3-H3</f>
        <v>720</v>
      </c>
      <c r="J3" s="43" t="s">
        <v>1466</v>
      </c>
      <c r="K3" s="43" t="s">
        <v>22</v>
      </c>
      <c r="L3" s="43" t="s">
        <v>1467</v>
      </c>
    </row>
    <row r="4" spans="1:16" s="43" customFormat="1" x14ac:dyDescent="0.25">
      <c r="B4" s="43" t="s">
        <v>18</v>
      </c>
      <c r="C4" s="43" t="s">
        <v>647</v>
      </c>
      <c r="D4" s="43" t="s">
        <v>1468</v>
      </c>
      <c r="E4" s="43" t="s">
        <v>1469</v>
      </c>
      <c r="F4" s="43" t="s">
        <v>49</v>
      </c>
      <c r="G4" s="43">
        <v>510</v>
      </c>
      <c r="H4" s="43">
        <v>30</v>
      </c>
      <c r="I4" s="43">
        <f t="shared" si="0"/>
        <v>480</v>
      </c>
      <c r="J4" s="43" t="s">
        <v>1466</v>
      </c>
      <c r="K4" s="43" t="s">
        <v>22</v>
      </c>
      <c r="L4" s="43" t="s">
        <v>1467</v>
      </c>
    </row>
    <row r="5" spans="1:16" s="38" customFormat="1" x14ac:dyDescent="0.25">
      <c r="B5" s="38" t="s">
        <v>18</v>
      </c>
      <c r="C5" s="38" t="s">
        <v>1470</v>
      </c>
      <c r="D5" s="38" t="s">
        <v>1471</v>
      </c>
      <c r="E5" s="38" t="s">
        <v>1472</v>
      </c>
      <c r="F5" s="38" t="s">
        <v>1261</v>
      </c>
      <c r="G5" s="38">
        <v>0</v>
      </c>
      <c r="H5" s="38">
        <v>30</v>
      </c>
      <c r="I5" s="38">
        <f t="shared" si="0"/>
        <v>-30</v>
      </c>
      <c r="J5" s="38" t="s">
        <v>241</v>
      </c>
      <c r="K5" s="38" t="s">
        <v>22</v>
      </c>
      <c r="L5" s="38" t="s">
        <v>1467</v>
      </c>
    </row>
    <row r="6" spans="1:16" s="38" customFormat="1" x14ac:dyDescent="0.25">
      <c r="B6" s="38" t="s">
        <v>18</v>
      </c>
      <c r="C6" s="38" t="s">
        <v>772</v>
      </c>
      <c r="D6" s="38" t="s">
        <v>1473</v>
      </c>
      <c r="E6" s="38" t="s">
        <v>1474</v>
      </c>
      <c r="F6" s="38" t="s">
        <v>1261</v>
      </c>
      <c r="G6" s="38">
        <v>790</v>
      </c>
      <c r="H6" s="38">
        <v>30</v>
      </c>
      <c r="I6" s="38">
        <f t="shared" si="0"/>
        <v>760</v>
      </c>
      <c r="J6" s="38" t="s">
        <v>241</v>
      </c>
      <c r="K6" s="38" t="s">
        <v>22</v>
      </c>
      <c r="L6" s="38" t="s">
        <v>1467</v>
      </c>
    </row>
    <row r="7" spans="1:16" s="5" customFormat="1" x14ac:dyDescent="0.25">
      <c r="B7" s="5" t="s">
        <v>18</v>
      </c>
      <c r="C7" s="5" t="s">
        <v>391</v>
      </c>
      <c r="D7" s="5" t="s">
        <v>1475</v>
      </c>
      <c r="E7" s="5" t="s">
        <v>393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1467</v>
      </c>
    </row>
    <row r="8" spans="1:16" s="43" customFormat="1" x14ac:dyDescent="0.25">
      <c r="B8" s="43" t="s">
        <v>18</v>
      </c>
      <c r="C8" s="43" t="s">
        <v>1476</v>
      </c>
      <c r="D8" s="43" t="s">
        <v>1477</v>
      </c>
      <c r="E8" s="43" t="s">
        <v>1478</v>
      </c>
      <c r="F8" s="44" t="s">
        <v>1289</v>
      </c>
      <c r="G8" s="43">
        <v>760</v>
      </c>
      <c r="H8" s="43">
        <v>30</v>
      </c>
      <c r="I8" s="43">
        <f t="shared" si="0"/>
        <v>730</v>
      </c>
      <c r="J8" s="43" t="s">
        <v>1466</v>
      </c>
      <c r="K8" s="43" t="s">
        <v>22</v>
      </c>
      <c r="L8" s="43" t="s">
        <v>1467</v>
      </c>
    </row>
    <row r="9" spans="1:16" s="5" customFormat="1" x14ac:dyDescent="0.25">
      <c r="B9" s="5" t="s">
        <v>18</v>
      </c>
      <c r="C9" s="5" t="s">
        <v>1479</v>
      </c>
      <c r="D9" s="5" t="s">
        <v>1480</v>
      </c>
      <c r="E9" s="5" t="s">
        <v>1481</v>
      </c>
      <c r="F9" s="5" t="s">
        <v>118</v>
      </c>
      <c r="G9" s="5">
        <v>695</v>
      </c>
      <c r="H9" s="5">
        <v>25</v>
      </c>
      <c r="I9" s="5">
        <f t="shared" si="0"/>
        <v>670</v>
      </c>
      <c r="J9" s="5" t="s">
        <v>22</v>
      </c>
      <c r="K9" s="5" t="s">
        <v>22</v>
      </c>
      <c r="L9" s="5" t="s">
        <v>1467</v>
      </c>
    </row>
    <row r="10" spans="1:16" s="43" customFormat="1" x14ac:dyDescent="0.25">
      <c r="B10" s="43" t="s">
        <v>18</v>
      </c>
      <c r="C10" s="43" t="s">
        <v>1482</v>
      </c>
      <c r="D10" s="43" t="s">
        <v>1483</v>
      </c>
      <c r="E10" s="43" t="s">
        <v>1484</v>
      </c>
      <c r="F10" s="43" t="s">
        <v>49</v>
      </c>
      <c r="G10" s="43">
        <v>1530</v>
      </c>
      <c r="H10" s="43">
        <v>30</v>
      </c>
      <c r="I10" s="43">
        <f t="shared" si="0"/>
        <v>1500</v>
      </c>
      <c r="J10" s="43" t="s">
        <v>1466</v>
      </c>
      <c r="K10" s="43" t="s">
        <v>22</v>
      </c>
      <c r="L10" s="43" t="s">
        <v>1467</v>
      </c>
    </row>
    <row r="11" spans="1:16" s="43" customFormat="1" x14ac:dyDescent="0.25">
      <c r="B11" s="43" t="s">
        <v>18</v>
      </c>
      <c r="C11" s="43" t="s">
        <v>1485</v>
      </c>
      <c r="D11" s="43" t="s">
        <v>1486</v>
      </c>
      <c r="E11" s="43" t="s">
        <v>1487</v>
      </c>
      <c r="F11" s="43" t="s">
        <v>49</v>
      </c>
      <c r="G11" s="43">
        <v>940</v>
      </c>
      <c r="H11" s="43">
        <v>30</v>
      </c>
      <c r="I11" s="43">
        <f t="shared" si="0"/>
        <v>910</v>
      </c>
      <c r="J11" s="43" t="s">
        <v>1466</v>
      </c>
      <c r="K11" s="43" t="s">
        <v>22</v>
      </c>
      <c r="L11" s="43" t="s">
        <v>1467</v>
      </c>
    </row>
    <row r="12" spans="1:16" s="38" customFormat="1" x14ac:dyDescent="0.25">
      <c r="B12" s="38" t="s">
        <v>18</v>
      </c>
      <c r="C12" s="38" t="s">
        <v>1488</v>
      </c>
      <c r="D12" s="38" t="s">
        <v>1489</v>
      </c>
      <c r="E12" s="38" t="s">
        <v>1490</v>
      </c>
      <c r="F12" s="38" t="s">
        <v>1261</v>
      </c>
      <c r="G12" s="38">
        <v>0</v>
      </c>
      <c r="H12" s="38">
        <v>30</v>
      </c>
      <c r="I12" s="38">
        <f t="shared" si="0"/>
        <v>-30</v>
      </c>
      <c r="J12" s="38" t="s">
        <v>241</v>
      </c>
      <c r="K12" s="38" t="s">
        <v>22</v>
      </c>
      <c r="L12" s="38" t="s">
        <v>1467</v>
      </c>
    </row>
    <row r="13" spans="1:16" s="5" customFormat="1" x14ac:dyDescent="0.25">
      <c r="B13" s="5" t="s">
        <v>18</v>
      </c>
      <c r="C13" s="5" t="s">
        <v>1491</v>
      </c>
      <c r="D13" s="5" t="s">
        <v>1492</v>
      </c>
      <c r="E13" s="5" t="s">
        <v>1493</v>
      </c>
      <c r="F13" s="5" t="s">
        <v>35</v>
      </c>
      <c r="G13" s="5">
        <v>0</v>
      </c>
      <c r="H13" s="5">
        <v>30</v>
      </c>
      <c r="I13" s="5">
        <f t="shared" si="0"/>
        <v>-30</v>
      </c>
      <c r="J13" s="5" t="s">
        <v>22</v>
      </c>
      <c r="K13" s="5" t="s">
        <v>22</v>
      </c>
      <c r="L13" s="5" t="s">
        <v>1467</v>
      </c>
    </row>
    <row r="14" spans="1:16" s="5" customFormat="1" x14ac:dyDescent="0.25">
      <c r="B14" s="5" t="s">
        <v>18</v>
      </c>
      <c r="C14" s="5" t="s">
        <v>1494</v>
      </c>
      <c r="D14" s="5" t="s">
        <v>1495</v>
      </c>
      <c r="E14" s="5" t="s">
        <v>1496</v>
      </c>
      <c r="F14" s="5" t="s">
        <v>35</v>
      </c>
      <c r="G14" s="5">
        <v>900</v>
      </c>
      <c r="H14" s="5">
        <v>30</v>
      </c>
      <c r="I14" s="5">
        <f t="shared" si="0"/>
        <v>870</v>
      </c>
      <c r="J14" s="5" t="s">
        <v>22</v>
      </c>
      <c r="K14" s="5" t="s">
        <v>22</v>
      </c>
      <c r="L14" s="5" t="s">
        <v>1467</v>
      </c>
    </row>
    <row r="15" spans="1:16" s="5" customFormat="1" x14ac:dyDescent="0.25">
      <c r="B15" s="5" t="s">
        <v>18</v>
      </c>
      <c r="C15" s="5" t="s">
        <v>1497</v>
      </c>
      <c r="D15" s="5" t="s">
        <v>1498</v>
      </c>
      <c r="E15" s="5" t="s">
        <v>1499</v>
      </c>
      <c r="F15" s="5" t="s">
        <v>35</v>
      </c>
      <c r="G15" s="5">
        <v>610</v>
      </c>
      <c r="H15" s="5">
        <v>30</v>
      </c>
      <c r="I15" s="5">
        <f t="shared" si="0"/>
        <v>580</v>
      </c>
      <c r="J15" s="5" t="s">
        <v>22</v>
      </c>
      <c r="K15" s="5" t="s">
        <v>22</v>
      </c>
      <c r="L15" s="5" t="s">
        <v>1467</v>
      </c>
    </row>
    <row r="16" spans="1:16" s="38" customFormat="1" x14ac:dyDescent="0.25">
      <c r="B16" s="38" t="s">
        <v>18</v>
      </c>
      <c r="C16" s="38" t="s">
        <v>1500</v>
      </c>
      <c r="D16" s="38" t="s">
        <v>1501</v>
      </c>
      <c r="E16" s="38" t="s">
        <v>1502</v>
      </c>
      <c r="F16" s="38" t="s">
        <v>1261</v>
      </c>
      <c r="G16" s="38">
        <v>980</v>
      </c>
      <c r="H16" s="38">
        <v>30</v>
      </c>
      <c r="I16" s="38">
        <f t="shared" si="0"/>
        <v>950</v>
      </c>
      <c r="J16" s="38" t="s">
        <v>241</v>
      </c>
      <c r="K16" s="38" t="s">
        <v>22</v>
      </c>
      <c r="L16" s="38" t="s">
        <v>1467</v>
      </c>
    </row>
    <row r="17" spans="2:12" s="43" customFormat="1" x14ac:dyDescent="0.25">
      <c r="B17" s="43" t="s">
        <v>18</v>
      </c>
      <c r="C17" s="43" t="s">
        <v>1503</v>
      </c>
      <c r="D17" s="43" t="s">
        <v>1504</v>
      </c>
      <c r="E17" s="43" t="s">
        <v>1505</v>
      </c>
      <c r="F17" s="43" t="s">
        <v>97</v>
      </c>
      <c r="G17" s="43">
        <v>985</v>
      </c>
      <c r="H17" s="43">
        <v>25</v>
      </c>
      <c r="I17" s="43">
        <f t="shared" si="0"/>
        <v>960</v>
      </c>
      <c r="J17" s="43" t="s">
        <v>1466</v>
      </c>
      <c r="K17" s="43" t="s">
        <v>22</v>
      </c>
      <c r="L17" s="43" t="s">
        <v>1467</v>
      </c>
    </row>
    <row r="18" spans="2:12" s="43" customFormat="1" x14ac:dyDescent="0.25">
      <c r="B18" s="43" t="s">
        <v>18</v>
      </c>
      <c r="C18" s="43" t="s">
        <v>1506</v>
      </c>
      <c r="D18" s="43" t="s">
        <v>1507</v>
      </c>
      <c r="E18" s="43" t="s">
        <v>1508</v>
      </c>
      <c r="F18" s="43" t="s">
        <v>1270</v>
      </c>
      <c r="G18" s="43">
        <v>0</v>
      </c>
      <c r="H18" s="43">
        <v>25</v>
      </c>
      <c r="I18" s="43">
        <f>-H18</f>
        <v>-25</v>
      </c>
      <c r="J18" s="43" t="s">
        <v>1466</v>
      </c>
      <c r="K18" s="43" t="s">
        <v>22</v>
      </c>
      <c r="L18" s="43" t="s">
        <v>1467</v>
      </c>
    </row>
    <row r="19" spans="2:12" s="5" customFormat="1" x14ac:dyDescent="0.25">
      <c r="B19" s="5" t="s">
        <v>18</v>
      </c>
      <c r="C19" s="5" t="s">
        <v>1509</v>
      </c>
      <c r="D19" s="5" t="s">
        <v>1510</v>
      </c>
      <c r="E19" s="5" t="s">
        <v>1511</v>
      </c>
      <c r="F19" s="5" t="s">
        <v>97</v>
      </c>
      <c r="G19" s="5">
        <v>0</v>
      </c>
      <c r="H19" s="5">
        <v>25</v>
      </c>
      <c r="I19" s="5">
        <f>G19-H19</f>
        <v>-25</v>
      </c>
      <c r="J19" s="5" t="s">
        <v>22</v>
      </c>
      <c r="K19" s="5" t="s">
        <v>22</v>
      </c>
      <c r="L19" s="5" t="s">
        <v>1467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33"/>
  <sheetViews>
    <sheetView topLeftCell="C1" workbookViewId="0">
      <selection activeCell="M15" sqref="M15"/>
    </sheetView>
  </sheetViews>
  <sheetFormatPr defaultRowHeight="15" x14ac:dyDescent="0.25"/>
  <cols>
    <col min="1" max="2" width="9.140625" customWidth="1"/>
    <col min="3" max="3" width="48.5703125" bestFit="1" customWidth="1"/>
    <col min="4" max="4" width="9.5703125" bestFit="1" customWidth="1"/>
    <col min="5" max="5" width="107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1512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1513</v>
      </c>
      <c r="D3" s="5" t="s">
        <v>1514</v>
      </c>
      <c r="E3" s="5" t="s">
        <v>1515</v>
      </c>
      <c r="F3" s="5" t="s">
        <v>118</v>
      </c>
      <c r="G3" s="5">
        <v>25</v>
      </c>
      <c r="H3" s="5">
        <v>25</v>
      </c>
      <c r="I3" s="5">
        <f t="shared" ref="I3:I33" si="0">G3-H3</f>
        <v>0</v>
      </c>
      <c r="J3" s="5" t="s">
        <v>22</v>
      </c>
      <c r="K3" s="5" t="s">
        <v>22</v>
      </c>
      <c r="L3" s="5" t="s">
        <v>1516</v>
      </c>
      <c r="M3" s="5" t="s">
        <v>299</v>
      </c>
      <c r="Q3" s="5">
        <v>1</v>
      </c>
    </row>
    <row r="4" spans="1:17" s="38" customFormat="1" x14ac:dyDescent="0.25">
      <c r="B4" s="38" t="s">
        <v>18</v>
      </c>
      <c r="C4" s="38" t="s">
        <v>1517</v>
      </c>
      <c r="D4" s="38" t="s">
        <v>1518</v>
      </c>
      <c r="E4" s="38" t="s">
        <v>1519</v>
      </c>
      <c r="F4" s="38" t="s">
        <v>1261</v>
      </c>
      <c r="G4" s="38">
        <v>0</v>
      </c>
      <c r="H4" s="38">
        <v>30</v>
      </c>
      <c r="I4" s="38">
        <f t="shared" si="0"/>
        <v>-30</v>
      </c>
      <c r="J4" s="38" t="s">
        <v>241</v>
      </c>
      <c r="K4" s="38" t="s">
        <v>22</v>
      </c>
      <c r="L4" s="38" t="s">
        <v>1516</v>
      </c>
      <c r="Q4" s="38">
        <v>1</v>
      </c>
    </row>
    <row r="5" spans="1:17" s="43" customFormat="1" x14ac:dyDescent="0.25">
      <c r="B5" s="43" t="s">
        <v>18</v>
      </c>
      <c r="C5" s="43" t="s">
        <v>1520</v>
      </c>
      <c r="D5" s="43" t="s">
        <v>1521</v>
      </c>
      <c r="E5" s="43" t="s">
        <v>1522</v>
      </c>
      <c r="F5" s="43" t="s">
        <v>1231</v>
      </c>
      <c r="G5" s="43">
        <v>0</v>
      </c>
      <c r="H5" s="43">
        <v>30</v>
      </c>
      <c r="I5" s="43">
        <f t="shared" si="0"/>
        <v>-30</v>
      </c>
      <c r="J5" s="43" t="s">
        <v>1523</v>
      </c>
      <c r="K5" s="43" t="s">
        <v>22</v>
      </c>
      <c r="L5" s="43" t="s">
        <v>1516</v>
      </c>
      <c r="Q5" s="43">
        <v>1</v>
      </c>
    </row>
    <row r="6" spans="1:17" s="34" customFormat="1" x14ac:dyDescent="0.25">
      <c r="B6" s="34" t="s">
        <v>18</v>
      </c>
      <c r="C6" s="34" t="s">
        <v>1524</v>
      </c>
      <c r="D6" s="34" t="s">
        <v>1525</v>
      </c>
      <c r="E6" s="34" t="s">
        <v>1526</v>
      </c>
      <c r="F6" s="35" t="s">
        <v>1244</v>
      </c>
      <c r="G6" s="34">
        <v>0</v>
      </c>
      <c r="H6" s="34">
        <v>25</v>
      </c>
      <c r="I6" s="34">
        <f t="shared" si="0"/>
        <v>-25</v>
      </c>
      <c r="J6" s="34" t="s">
        <v>27</v>
      </c>
      <c r="K6" s="34" t="s">
        <v>22</v>
      </c>
      <c r="L6" s="34" t="s">
        <v>1516</v>
      </c>
      <c r="Q6" s="34">
        <v>1</v>
      </c>
    </row>
    <row r="7" spans="1:17" s="43" customFormat="1" x14ac:dyDescent="0.25">
      <c r="B7" s="43" t="s">
        <v>18</v>
      </c>
      <c r="C7" s="43" t="s">
        <v>1527</v>
      </c>
      <c r="D7" s="43" t="s">
        <v>1528</v>
      </c>
      <c r="E7" s="43" t="s">
        <v>1529</v>
      </c>
      <c r="F7" s="43" t="s">
        <v>1231</v>
      </c>
      <c r="G7" s="43">
        <v>920</v>
      </c>
      <c r="H7" s="43">
        <v>30</v>
      </c>
      <c r="I7" s="43">
        <f t="shared" si="0"/>
        <v>890</v>
      </c>
      <c r="J7" s="43" t="s">
        <v>1523</v>
      </c>
      <c r="K7" s="43" t="s">
        <v>22</v>
      </c>
      <c r="L7" s="43" t="s">
        <v>1516</v>
      </c>
      <c r="Q7" s="43">
        <v>1</v>
      </c>
    </row>
    <row r="8" spans="1:17" s="5" customFormat="1" x14ac:dyDescent="0.25">
      <c r="B8" s="5" t="s">
        <v>18</v>
      </c>
      <c r="C8" s="5" t="s">
        <v>1530</v>
      </c>
      <c r="D8" s="5" t="s">
        <v>1531</v>
      </c>
      <c r="E8" s="5" t="s">
        <v>1532</v>
      </c>
      <c r="F8" s="5" t="s">
        <v>53</v>
      </c>
      <c r="G8" s="5">
        <v>790</v>
      </c>
      <c r="H8" s="5">
        <v>20</v>
      </c>
      <c r="I8" s="5">
        <f t="shared" si="0"/>
        <v>770</v>
      </c>
      <c r="J8" s="5" t="s">
        <v>22</v>
      </c>
      <c r="K8" s="5" t="s">
        <v>22</v>
      </c>
      <c r="L8" s="5" t="s">
        <v>1516</v>
      </c>
      <c r="Q8" s="5">
        <v>1</v>
      </c>
    </row>
    <row r="9" spans="1:17" s="5" customFormat="1" x14ac:dyDescent="0.25">
      <c r="B9" s="5" t="s">
        <v>18</v>
      </c>
      <c r="C9" s="5" t="s">
        <v>1533</v>
      </c>
      <c r="D9" s="5" t="s">
        <v>1534</v>
      </c>
      <c r="E9" s="5" t="s">
        <v>1535</v>
      </c>
      <c r="F9" s="5" t="s">
        <v>97</v>
      </c>
      <c r="G9" s="5">
        <v>895</v>
      </c>
      <c r="H9" s="5">
        <v>25</v>
      </c>
      <c r="I9" s="5">
        <f t="shared" si="0"/>
        <v>870</v>
      </c>
      <c r="J9" s="5" t="s">
        <v>22</v>
      </c>
      <c r="K9" s="5" t="s">
        <v>22</v>
      </c>
      <c r="L9" s="5" t="s">
        <v>1516</v>
      </c>
      <c r="Q9" s="5">
        <v>1</v>
      </c>
    </row>
    <row r="10" spans="1:17" s="43" customFormat="1" x14ac:dyDescent="0.25">
      <c r="B10" s="43" t="s">
        <v>18</v>
      </c>
      <c r="C10" s="43" t="s">
        <v>1536</v>
      </c>
      <c r="D10" s="43" t="s">
        <v>1537</v>
      </c>
      <c r="E10" s="43" t="s">
        <v>1538</v>
      </c>
      <c r="F10" s="43" t="s">
        <v>1075</v>
      </c>
      <c r="G10" s="43">
        <v>415</v>
      </c>
      <c r="H10" s="43">
        <v>35</v>
      </c>
      <c r="I10" s="43">
        <f t="shared" si="0"/>
        <v>380</v>
      </c>
      <c r="J10" s="43" t="s">
        <v>1523</v>
      </c>
      <c r="K10" s="43" t="s">
        <v>22</v>
      </c>
      <c r="L10" s="43" t="s">
        <v>1516</v>
      </c>
      <c r="Q10" s="43">
        <v>1</v>
      </c>
    </row>
    <row r="11" spans="1:17" s="5" customFormat="1" x14ac:dyDescent="0.25">
      <c r="B11" s="5" t="s">
        <v>18</v>
      </c>
      <c r="C11" s="5" t="s">
        <v>1539</v>
      </c>
      <c r="D11" s="5" t="s">
        <v>1540</v>
      </c>
      <c r="E11" s="5" t="s">
        <v>1541</v>
      </c>
      <c r="F11" s="5" t="s">
        <v>97</v>
      </c>
      <c r="G11" s="5">
        <v>885</v>
      </c>
      <c r="H11" s="5">
        <v>25</v>
      </c>
      <c r="I11" s="5">
        <f t="shared" si="0"/>
        <v>860</v>
      </c>
      <c r="J11" s="5" t="s">
        <v>22</v>
      </c>
      <c r="K11" s="5" t="s">
        <v>22</v>
      </c>
      <c r="L11" s="5" t="s">
        <v>1516</v>
      </c>
      <c r="Q11" s="5">
        <v>1</v>
      </c>
    </row>
    <row r="12" spans="1:17" s="33" customFormat="1" x14ac:dyDescent="0.25">
      <c r="B12" s="33" t="s">
        <v>18</v>
      </c>
      <c r="C12" s="33" t="s">
        <v>1542</v>
      </c>
      <c r="D12" s="33" t="s">
        <v>1543</v>
      </c>
      <c r="E12" s="33" t="s">
        <v>1544</v>
      </c>
      <c r="F12" s="47" t="s">
        <v>744</v>
      </c>
      <c r="G12" s="33">
        <v>870</v>
      </c>
      <c r="H12" s="33">
        <v>0</v>
      </c>
      <c r="I12" s="33">
        <f t="shared" si="0"/>
        <v>870</v>
      </c>
      <c r="J12" s="33" t="s">
        <v>425</v>
      </c>
      <c r="K12" s="33" t="s">
        <v>22</v>
      </c>
      <c r="L12" s="33" t="s">
        <v>1516</v>
      </c>
      <c r="M12" s="20" t="s">
        <v>426</v>
      </c>
      <c r="N12" s="20" t="s">
        <v>275</v>
      </c>
      <c r="O12" s="20"/>
      <c r="P12" s="20" t="s">
        <v>427</v>
      </c>
      <c r="Q12" s="20">
        <v>1</v>
      </c>
    </row>
    <row r="13" spans="1:17" s="43" customFormat="1" x14ac:dyDescent="0.25">
      <c r="B13" s="43" t="s">
        <v>18</v>
      </c>
      <c r="C13" s="43" t="s">
        <v>1545</v>
      </c>
      <c r="D13" s="43" t="s">
        <v>1546</v>
      </c>
      <c r="E13" s="43" t="s">
        <v>1547</v>
      </c>
      <c r="F13" s="44" t="s">
        <v>1270</v>
      </c>
      <c r="G13" s="43">
        <v>945</v>
      </c>
      <c r="H13" s="43">
        <v>25</v>
      </c>
      <c r="I13" s="43">
        <f t="shared" si="0"/>
        <v>920</v>
      </c>
      <c r="J13" s="43" t="s">
        <v>1523</v>
      </c>
      <c r="K13" s="43" t="s">
        <v>22</v>
      </c>
      <c r="L13" s="43" t="s">
        <v>1516</v>
      </c>
      <c r="Q13" s="43">
        <v>1</v>
      </c>
    </row>
    <row r="14" spans="1:17" s="43" customFormat="1" x14ac:dyDescent="0.25">
      <c r="B14" s="43" t="s">
        <v>18</v>
      </c>
      <c r="C14" s="43" t="s">
        <v>1548</v>
      </c>
      <c r="D14" s="43" t="s">
        <v>1549</v>
      </c>
      <c r="E14" s="43" t="s">
        <v>1550</v>
      </c>
      <c r="F14" s="43" t="s">
        <v>49</v>
      </c>
      <c r="G14" s="43">
        <v>370</v>
      </c>
      <c r="H14" s="43">
        <v>30</v>
      </c>
      <c r="I14" s="43">
        <f t="shared" si="0"/>
        <v>340</v>
      </c>
      <c r="J14" s="43" t="s">
        <v>1523</v>
      </c>
      <c r="K14" s="43" t="s">
        <v>22</v>
      </c>
      <c r="L14" s="43" t="s">
        <v>1516</v>
      </c>
      <c r="Q14" s="43">
        <v>1</v>
      </c>
    </row>
    <row r="15" spans="1:17" s="5" customFormat="1" x14ac:dyDescent="0.25">
      <c r="B15" s="5" t="s">
        <v>18</v>
      </c>
      <c r="C15" s="5" t="s">
        <v>1551</v>
      </c>
      <c r="D15" s="5" t="s">
        <v>1552</v>
      </c>
      <c r="E15" s="5" t="s">
        <v>1496</v>
      </c>
      <c r="F15" s="5" t="s">
        <v>35</v>
      </c>
      <c r="G15" s="5">
        <v>30</v>
      </c>
      <c r="H15" s="5">
        <v>30</v>
      </c>
      <c r="I15" s="5">
        <f t="shared" si="0"/>
        <v>0</v>
      </c>
      <c r="J15" s="5" t="s">
        <v>22</v>
      </c>
      <c r="K15" s="5" t="s">
        <v>22</v>
      </c>
      <c r="L15" s="5" t="s">
        <v>1516</v>
      </c>
      <c r="M15" s="5" t="s">
        <v>299</v>
      </c>
      <c r="Q15" s="5">
        <v>1</v>
      </c>
    </row>
    <row r="16" spans="1:17" s="34" customFormat="1" x14ac:dyDescent="0.25">
      <c r="B16" s="34" t="s">
        <v>18</v>
      </c>
      <c r="C16" s="34" t="s">
        <v>1553</v>
      </c>
      <c r="D16" s="34" t="s">
        <v>1554</v>
      </c>
      <c r="E16" s="34" t="s">
        <v>1555</v>
      </c>
      <c r="F16" s="34" t="s">
        <v>93</v>
      </c>
      <c r="G16" s="34">
        <v>810</v>
      </c>
      <c r="H16" s="34">
        <v>20</v>
      </c>
      <c r="I16" s="34">
        <f t="shared" si="0"/>
        <v>790</v>
      </c>
      <c r="J16" s="34" t="s">
        <v>27</v>
      </c>
      <c r="K16" s="34" t="s">
        <v>22</v>
      </c>
      <c r="L16" s="34" t="s">
        <v>1516</v>
      </c>
      <c r="Q16" s="34">
        <v>1</v>
      </c>
    </row>
    <row r="17" spans="2:17" s="43" customFormat="1" x14ac:dyDescent="0.25">
      <c r="B17" s="43" t="s">
        <v>18</v>
      </c>
      <c r="C17" s="43" t="s">
        <v>1556</v>
      </c>
      <c r="D17" s="43" t="s">
        <v>1557</v>
      </c>
      <c r="E17" s="43" t="s">
        <v>1558</v>
      </c>
      <c r="F17" s="43" t="s">
        <v>63</v>
      </c>
      <c r="G17" s="43">
        <v>815</v>
      </c>
      <c r="H17" s="43">
        <v>25</v>
      </c>
      <c r="I17" s="43">
        <f t="shared" si="0"/>
        <v>790</v>
      </c>
      <c r="J17" s="43" t="s">
        <v>1523</v>
      </c>
      <c r="K17" s="43" t="s">
        <v>22</v>
      </c>
      <c r="L17" s="43" t="s">
        <v>1516</v>
      </c>
      <c r="Q17" s="43">
        <v>1</v>
      </c>
    </row>
    <row r="18" spans="2:17" s="43" customFormat="1" x14ac:dyDescent="0.25">
      <c r="B18" s="43" t="s">
        <v>18</v>
      </c>
      <c r="C18" s="43" t="s">
        <v>1559</v>
      </c>
      <c r="D18" s="43" t="s">
        <v>1560</v>
      </c>
      <c r="E18" s="43" t="s">
        <v>1561</v>
      </c>
      <c r="F18" s="43" t="s">
        <v>1231</v>
      </c>
      <c r="G18" s="43">
        <v>520</v>
      </c>
      <c r="H18" s="43">
        <v>30</v>
      </c>
      <c r="I18" s="43">
        <f t="shared" si="0"/>
        <v>490</v>
      </c>
      <c r="J18" s="43" t="s">
        <v>1523</v>
      </c>
      <c r="K18" s="43" t="s">
        <v>22</v>
      </c>
      <c r="L18" s="43" t="s">
        <v>1516</v>
      </c>
      <c r="Q18" s="43">
        <v>1</v>
      </c>
    </row>
    <row r="19" spans="2:17" s="43" customFormat="1" x14ac:dyDescent="0.25">
      <c r="B19" s="43" t="s">
        <v>18</v>
      </c>
      <c r="C19" s="43" t="s">
        <v>1562</v>
      </c>
      <c r="D19" s="43" t="s">
        <v>1563</v>
      </c>
      <c r="E19" s="43" t="s">
        <v>1564</v>
      </c>
      <c r="F19" s="43" t="s">
        <v>143</v>
      </c>
      <c r="G19" s="43">
        <v>825</v>
      </c>
      <c r="H19" s="43">
        <v>35</v>
      </c>
      <c r="I19" s="43">
        <f t="shared" si="0"/>
        <v>790</v>
      </c>
      <c r="J19" s="43" t="s">
        <v>1523</v>
      </c>
      <c r="K19" s="43" t="s">
        <v>22</v>
      </c>
      <c r="L19" s="43" t="s">
        <v>1516</v>
      </c>
      <c r="Q19" s="43">
        <v>1</v>
      </c>
    </row>
    <row r="20" spans="2:17" s="43" customFormat="1" x14ac:dyDescent="0.25">
      <c r="B20" s="43" t="s">
        <v>18</v>
      </c>
      <c r="C20" s="43" t="s">
        <v>1565</v>
      </c>
      <c r="D20" s="43" t="s">
        <v>1566</v>
      </c>
      <c r="E20" s="43" t="s">
        <v>1567</v>
      </c>
      <c r="F20" s="44">
        <v>7</v>
      </c>
      <c r="G20" s="43">
        <v>920</v>
      </c>
      <c r="H20" s="43">
        <v>30</v>
      </c>
      <c r="I20" s="43">
        <f t="shared" si="0"/>
        <v>890</v>
      </c>
      <c r="J20" s="43" t="s">
        <v>1523</v>
      </c>
      <c r="K20" s="43" t="s">
        <v>22</v>
      </c>
      <c r="L20" s="43" t="s">
        <v>1516</v>
      </c>
      <c r="Q20" s="43">
        <v>1</v>
      </c>
    </row>
    <row r="21" spans="2:17" s="5" customFormat="1" x14ac:dyDescent="0.25">
      <c r="B21" s="5" t="s">
        <v>18</v>
      </c>
      <c r="C21" s="5" t="s">
        <v>1568</v>
      </c>
      <c r="D21" s="5" t="s">
        <v>1569</v>
      </c>
      <c r="E21" s="5" t="s">
        <v>1570</v>
      </c>
      <c r="F21" s="5" t="s">
        <v>118</v>
      </c>
      <c r="G21" s="5">
        <v>775</v>
      </c>
      <c r="H21" s="5">
        <v>25</v>
      </c>
      <c r="I21" s="5">
        <f t="shared" si="0"/>
        <v>750</v>
      </c>
      <c r="J21" s="5" t="s">
        <v>22</v>
      </c>
      <c r="K21" s="5" t="s">
        <v>22</v>
      </c>
      <c r="L21" s="5" t="s">
        <v>1516</v>
      </c>
      <c r="Q21" s="5">
        <v>1</v>
      </c>
    </row>
    <row r="22" spans="2:17" s="34" customFormat="1" x14ac:dyDescent="0.25">
      <c r="B22" s="34" t="s">
        <v>18</v>
      </c>
      <c r="C22" s="34" t="s">
        <v>1571</v>
      </c>
      <c r="D22" s="34" t="s">
        <v>1572</v>
      </c>
      <c r="E22" s="34" t="s">
        <v>1573</v>
      </c>
      <c r="F22" s="35" t="s">
        <v>1226</v>
      </c>
      <c r="G22" s="34">
        <v>665</v>
      </c>
      <c r="H22" s="34">
        <v>25</v>
      </c>
      <c r="I22" s="34">
        <f t="shared" si="0"/>
        <v>640</v>
      </c>
      <c r="J22" s="34" t="s">
        <v>27</v>
      </c>
      <c r="K22" s="34" t="s">
        <v>22</v>
      </c>
      <c r="L22" s="34" t="s">
        <v>1516</v>
      </c>
      <c r="Q22" s="34">
        <v>1</v>
      </c>
    </row>
    <row r="23" spans="2:17" s="43" customFormat="1" x14ac:dyDescent="0.25">
      <c r="B23" s="43" t="s">
        <v>18</v>
      </c>
      <c r="C23" s="43" t="s">
        <v>1574</v>
      </c>
      <c r="D23" s="43" t="s">
        <v>1575</v>
      </c>
      <c r="E23" s="43" t="s">
        <v>1576</v>
      </c>
      <c r="F23" s="43" t="s">
        <v>1231</v>
      </c>
      <c r="G23" s="43">
        <v>460</v>
      </c>
      <c r="H23" s="43">
        <v>30</v>
      </c>
      <c r="I23" s="43">
        <f t="shared" si="0"/>
        <v>430</v>
      </c>
      <c r="J23" s="43" t="s">
        <v>1523</v>
      </c>
      <c r="K23" s="43" t="s">
        <v>22</v>
      </c>
      <c r="L23" s="43" t="s">
        <v>1516</v>
      </c>
      <c r="Q23" s="43">
        <v>1</v>
      </c>
    </row>
    <row r="24" spans="2:17" s="43" customFormat="1" x14ac:dyDescent="0.25">
      <c r="B24" s="43" t="s">
        <v>18</v>
      </c>
      <c r="C24" s="43" t="s">
        <v>1577</v>
      </c>
      <c r="D24" s="43" t="s">
        <v>1578</v>
      </c>
      <c r="E24" s="43" t="s">
        <v>1579</v>
      </c>
      <c r="F24" s="43" t="s">
        <v>49</v>
      </c>
      <c r="G24" s="43">
        <v>670</v>
      </c>
      <c r="H24" s="43">
        <v>30</v>
      </c>
      <c r="I24" s="43">
        <f t="shared" si="0"/>
        <v>640</v>
      </c>
      <c r="J24" s="43" t="s">
        <v>1523</v>
      </c>
      <c r="K24" s="43" t="s">
        <v>22</v>
      </c>
      <c r="L24" s="43" t="s">
        <v>1516</v>
      </c>
      <c r="Q24" s="43">
        <v>1</v>
      </c>
    </row>
    <row r="25" spans="2:17" s="5" customFormat="1" x14ac:dyDescent="0.25">
      <c r="B25" s="5" t="s">
        <v>18</v>
      </c>
      <c r="C25" s="5" t="s">
        <v>1580</v>
      </c>
      <c r="D25" s="5" t="s">
        <v>1581</v>
      </c>
      <c r="E25" s="5" t="s">
        <v>1582</v>
      </c>
      <c r="F25" s="5" t="s">
        <v>53</v>
      </c>
      <c r="G25" s="5">
        <v>0</v>
      </c>
      <c r="H25" s="5">
        <v>20</v>
      </c>
      <c r="I25" s="5">
        <f t="shared" si="0"/>
        <v>-20</v>
      </c>
      <c r="J25" s="5" t="s">
        <v>22</v>
      </c>
      <c r="K25" s="5" t="s">
        <v>22</v>
      </c>
      <c r="L25" s="5" t="s">
        <v>1516</v>
      </c>
      <c r="Q25" s="5">
        <v>1</v>
      </c>
    </row>
    <row r="26" spans="2:17" s="43" customFormat="1" x14ac:dyDescent="0.25">
      <c r="B26" s="43" t="s">
        <v>18</v>
      </c>
      <c r="C26" s="43" t="s">
        <v>1583</v>
      </c>
      <c r="D26" s="43" t="s">
        <v>1584</v>
      </c>
      <c r="E26" s="43" t="s">
        <v>1585</v>
      </c>
      <c r="F26" s="43" t="s">
        <v>49</v>
      </c>
      <c r="G26" s="43">
        <v>780</v>
      </c>
      <c r="H26" s="43">
        <v>30</v>
      </c>
      <c r="I26" s="43">
        <f t="shared" si="0"/>
        <v>750</v>
      </c>
      <c r="J26" s="43" t="s">
        <v>1523</v>
      </c>
      <c r="K26" s="43" t="s">
        <v>22</v>
      </c>
      <c r="L26" s="43" t="s">
        <v>1516</v>
      </c>
      <c r="Q26" s="43">
        <v>1</v>
      </c>
    </row>
    <row r="27" spans="2:17" s="34" customFormat="1" x14ac:dyDescent="0.25">
      <c r="B27" s="34" t="s">
        <v>18</v>
      </c>
      <c r="C27" s="34" t="s">
        <v>1586</v>
      </c>
      <c r="D27" s="34" t="s">
        <v>1587</v>
      </c>
      <c r="E27" s="34" t="s">
        <v>1588</v>
      </c>
      <c r="F27" s="34" t="s">
        <v>93</v>
      </c>
      <c r="G27" s="34">
        <v>1680</v>
      </c>
      <c r="H27" s="34">
        <v>20</v>
      </c>
      <c r="I27" s="34">
        <f t="shared" si="0"/>
        <v>1660</v>
      </c>
      <c r="J27" s="34" t="s">
        <v>27</v>
      </c>
      <c r="K27" s="34" t="s">
        <v>22</v>
      </c>
      <c r="L27" s="34" t="s">
        <v>1516</v>
      </c>
      <c r="Q27" s="34">
        <v>1</v>
      </c>
    </row>
    <row r="28" spans="2:17" s="5" customFormat="1" x14ac:dyDescent="0.25">
      <c r="B28" s="5" t="s">
        <v>18</v>
      </c>
      <c r="C28" s="5" t="s">
        <v>281</v>
      </c>
      <c r="D28" s="5" t="s">
        <v>1589</v>
      </c>
      <c r="E28" s="5" t="s">
        <v>283</v>
      </c>
      <c r="F28" s="5" t="s">
        <v>97</v>
      </c>
      <c r="G28" s="5">
        <v>0</v>
      </c>
      <c r="H28" s="5">
        <v>25</v>
      </c>
      <c r="I28" s="5">
        <f t="shared" si="0"/>
        <v>-25</v>
      </c>
      <c r="J28" s="5" t="s">
        <v>22</v>
      </c>
      <c r="K28" s="5" t="s">
        <v>22</v>
      </c>
      <c r="L28" s="5" t="s">
        <v>1516</v>
      </c>
      <c r="Q28" s="5">
        <v>1</v>
      </c>
    </row>
    <row r="29" spans="2:17" s="34" customFormat="1" x14ac:dyDescent="0.25">
      <c r="B29" s="34" t="s">
        <v>18</v>
      </c>
      <c r="C29" s="34" t="s">
        <v>1590</v>
      </c>
      <c r="D29" s="34" t="s">
        <v>1591</v>
      </c>
      <c r="E29" s="34" t="s">
        <v>1592</v>
      </c>
      <c r="F29" s="34" t="s">
        <v>97</v>
      </c>
      <c r="G29" s="34">
        <v>915</v>
      </c>
      <c r="H29" s="34">
        <v>25</v>
      </c>
      <c r="I29" s="34">
        <f t="shared" si="0"/>
        <v>890</v>
      </c>
      <c r="J29" s="34" t="s">
        <v>27</v>
      </c>
      <c r="K29" s="34" t="s">
        <v>22</v>
      </c>
      <c r="L29" s="34" t="s">
        <v>1516</v>
      </c>
      <c r="Q29" s="34">
        <v>1</v>
      </c>
    </row>
    <row r="30" spans="2:17" s="43" customFormat="1" x14ac:dyDescent="0.25">
      <c r="B30" s="43" t="s">
        <v>18</v>
      </c>
      <c r="C30" s="43" t="s">
        <v>1593</v>
      </c>
      <c r="D30" s="43" t="s">
        <v>1594</v>
      </c>
      <c r="E30" s="43" t="s">
        <v>1595</v>
      </c>
      <c r="F30" s="43" t="s">
        <v>1270</v>
      </c>
      <c r="G30" s="43">
        <v>30</v>
      </c>
      <c r="H30" s="43">
        <v>30</v>
      </c>
      <c r="I30" s="43">
        <f t="shared" si="0"/>
        <v>0</v>
      </c>
      <c r="J30" s="43" t="s">
        <v>1523</v>
      </c>
      <c r="K30" s="43" t="s">
        <v>22</v>
      </c>
      <c r="L30" s="43" t="s">
        <v>1516</v>
      </c>
      <c r="M30" s="43" t="s">
        <v>299</v>
      </c>
      <c r="Q30" s="43">
        <v>1</v>
      </c>
    </row>
    <row r="31" spans="2:17" s="34" customFormat="1" x14ac:dyDescent="0.25">
      <c r="B31" s="34" t="s">
        <v>18</v>
      </c>
      <c r="C31" s="34" t="s">
        <v>1596</v>
      </c>
      <c r="D31" s="34" t="s">
        <v>1597</v>
      </c>
      <c r="E31" s="34" t="s">
        <v>1598</v>
      </c>
      <c r="F31" s="35" t="s">
        <v>1263</v>
      </c>
      <c r="G31" s="34">
        <v>795</v>
      </c>
      <c r="H31" s="34">
        <v>25</v>
      </c>
      <c r="I31" s="34">
        <f t="shared" si="0"/>
        <v>770</v>
      </c>
      <c r="J31" s="34" t="s">
        <v>27</v>
      </c>
      <c r="K31" s="34" t="s">
        <v>22</v>
      </c>
      <c r="L31" s="34" t="s">
        <v>1516</v>
      </c>
      <c r="Q31" s="34">
        <v>1</v>
      </c>
    </row>
    <row r="32" spans="2:17" s="34" customFormat="1" x14ac:dyDescent="0.25">
      <c r="B32" s="34" t="s">
        <v>18</v>
      </c>
      <c r="C32" s="34" t="s">
        <v>125</v>
      </c>
      <c r="D32" s="34" t="s">
        <v>1599</v>
      </c>
      <c r="E32" s="34" t="s">
        <v>127</v>
      </c>
      <c r="F32" s="34">
        <v>10</v>
      </c>
      <c r="G32" s="34">
        <v>615</v>
      </c>
      <c r="H32" s="34">
        <v>25</v>
      </c>
      <c r="I32" s="34">
        <f t="shared" si="0"/>
        <v>590</v>
      </c>
      <c r="J32" s="34" t="s">
        <v>27</v>
      </c>
      <c r="K32" s="34" t="s">
        <v>22</v>
      </c>
      <c r="L32" s="34" t="s">
        <v>1516</v>
      </c>
      <c r="Q32" s="34">
        <v>1</v>
      </c>
    </row>
    <row r="33" spans="2:17" s="43" customFormat="1" x14ac:dyDescent="0.25">
      <c r="B33" s="43" t="s">
        <v>18</v>
      </c>
      <c r="C33" s="43" t="s">
        <v>1600</v>
      </c>
      <c r="D33" s="43" t="s">
        <v>1601</v>
      </c>
      <c r="E33" s="43" t="s">
        <v>1602</v>
      </c>
      <c r="F33" s="43" t="s">
        <v>1231</v>
      </c>
      <c r="G33" s="43">
        <v>620</v>
      </c>
      <c r="H33" s="43">
        <v>30</v>
      </c>
      <c r="I33" s="43">
        <f t="shared" si="0"/>
        <v>590</v>
      </c>
      <c r="J33" s="43" t="s">
        <v>1523</v>
      </c>
      <c r="K33" s="43" t="s">
        <v>22</v>
      </c>
      <c r="L33" s="43" t="s">
        <v>1516</v>
      </c>
      <c r="Q33" s="43">
        <v>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7"/>
  <sheetViews>
    <sheetView topLeftCell="A6" workbookViewId="0">
      <selection activeCell="E6" sqref="E6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5.28515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736</v>
      </c>
      <c r="C1" s="3" t="s">
        <v>1603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34" customFormat="1" x14ac:dyDescent="0.25">
      <c r="A3" s="34" t="s">
        <v>255</v>
      </c>
      <c r="B3" s="34" t="s">
        <v>18</v>
      </c>
      <c r="C3" s="34" t="s">
        <v>260</v>
      </c>
      <c r="E3" s="34" t="s">
        <v>261</v>
      </c>
      <c r="F3" s="34" t="s">
        <v>97</v>
      </c>
      <c r="G3" s="34">
        <v>30</v>
      </c>
      <c r="H3" s="34">
        <v>30</v>
      </c>
      <c r="I3" s="34">
        <f>G3-H3</f>
        <v>0</v>
      </c>
      <c r="J3" s="34" t="s">
        <v>27</v>
      </c>
      <c r="K3" s="34" t="s">
        <v>22</v>
      </c>
      <c r="L3" s="34" t="s">
        <v>1604</v>
      </c>
    </row>
    <row r="4" spans="1:16" s="34" customFormat="1" x14ac:dyDescent="0.25">
      <c r="A4" s="34" t="s">
        <v>255</v>
      </c>
      <c r="B4" s="34" t="s">
        <v>18</v>
      </c>
      <c r="C4" s="34" t="s">
        <v>1605</v>
      </c>
      <c r="E4" s="34" t="s">
        <v>1606</v>
      </c>
      <c r="F4" s="34" t="s">
        <v>97</v>
      </c>
      <c r="G4" s="34">
        <v>820</v>
      </c>
      <c r="H4" s="34">
        <v>30</v>
      </c>
      <c r="I4" s="34">
        <f>G4-H4</f>
        <v>790</v>
      </c>
      <c r="J4" s="34" t="s">
        <v>27</v>
      </c>
      <c r="K4" s="34" t="s">
        <v>22</v>
      </c>
      <c r="L4" s="34" t="s">
        <v>1604</v>
      </c>
    </row>
    <row r="5" spans="1:16" s="34" customFormat="1" x14ac:dyDescent="0.25">
      <c r="A5" s="34" t="s">
        <v>255</v>
      </c>
      <c r="B5" s="34" t="s">
        <v>18</v>
      </c>
      <c r="C5" s="34" t="s">
        <v>1607</v>
      </c>
      <c r="E5" s="34" t="s">
        <v>1608</v>
      </c>
      <c r="F5" s="35" t="s">
        <v>1222</v>
      </c>
      <c r="G5" s="34">
        <v>25</v>
      </c>
      <c r="H5" s="34">
        <v>25</v>
      </c>
      <c r="I5" s="34">
        <f>-H5</f>
        <v>-25</v>
      </c>
      <c r="J5" s="34" t="s">
        <v>27</v>
      </c>
      <c r="K5" s="34" t="s">
        <v>22</v>
      </c>
      <c r="L5" s="34" t="s">
        <v>1604</v>
      </c>
    </row>
    <row r="6" spans="1:16" s="43" customFormat="1" x14ac:dyDescent="0.25">
      <c r="A6" s="43" t="s">
        <v>255</v>
      </c>
      <c r="B6" s="43" t="s">
        <v>18</v>
      </c>
      <c r="C6" s="43" t="s">
        <v>1405</v>
      </c>
      <c r="E6" s="43" t="s">
        <v>257</v>
      </c>
      <c r="F6" s="44" t="s">
        <v>1406</v>
      </c>
      <c r="G6" s="43">
        <v>0</v>
      </c>
      <c r="H6" s="43">
        <v>30</v>
      </c>
      <c r="I6" s="43">
        <f t="shared" ref="I6:I37" si="0">G6-H6</f>
        <v>-30</v>
      </c>
      <c r="J6" s="43" t="s">
        <v>1609</v>
      </c>
      <c r="K6" s="43" t="s">
        <v>22</v>
      </c>
      <c r="L6" s="43" t="s">
        <v>1604</v>
      </c>
    </row>
    <row r="7" spans="1:16" s="34" customFormat="1" x14ac:dyDescent="0.25">
      <c r="B7" s="34" t="s">
        <v>18</v>
      </c>
      <c r="C7" s="34" t="s">
        <v>1610</v>
      </c>
      <c r="D7" s="34" t="s">
        <v>1611</v>
      </c>
      <c r="E7" s="34" t="s">
        <v>1612</v>
      </c>
      <c r="F7" s="34" t="s">
        <v>1226</v>
      </c>
      <c r="G7" s="34">
        <v>845</v>
      </c>
      <c r="H7" s="34">
        <v>25</v>
      </c>
      <c r="I7" s="34">
        <f t="shared" si="0"/>
        <v>820</v>
      </c>
      <c r="J7" s="34" t="s">
        <v>27</v>
      </c>
      <c r="K7" s="34" t="s">
        <v>22</v>
      </c>
      <c r="L7" s="34" t="s">
        <v>1604</v>
      </c>
    </row>
    <row r="8" spans="1:16" s="43" customFormat="1" x14ac:dyDescent="0.25">
      <c r="B8" s="43" t="s">
        <v>18</v>
      </c>
      <c r="C8" s="43" t="s">
        <v>1613</v>
      </c>
      <c r="D8" s="43" t="s">
        <v>1614</v>
      </c>
      <c r="E8" s="43" t="s">
        <v>1615</v>
      </c>
      <c r="F8" s="43" t="s">
        <v>1406</v>
      </c>
      <c r="G8" s="43">
        <v>885</v>
      </c>
      <c r="H8" s="43">
        <v>25</v>
      </c>
      <c r="I8" s="43">
        <f t="shared" si="0"/>
        <v>860</v>
      </c>
      <c r="J8" s="43" t="s">
        <v>1609</v>
      </c>
      <c r="K8" s="43" t="s">
        <v>22</v>
      </c>
      <c r="L8" s="43" t="s">
        <v>1604</v>
      </c>
    </row>
    <row r="9" spans="1:16" s="43" customFormat="1" x14ac:dyDescent="0.25">
      <c r="B9" s="43" t="s">
        <v>18</v>
      </c>
      <c r="C9" s="43" t="s">
        <v>165</v>
      </c>
      <c r="D9" s="43" t="s">
        <v>1616</v>
      </c>
      <c r="E9" s="43" t="s">
        <v>167</v>
      </c>
      <c r="F9" s="44" t="s">
        <v>1270</v>
      </c>
      <c r="G9" s="43">
        <v>935</v>
      </c>
      <c r="H9" s="43">
        <v>25</v>
      </c>
      <c r="I9" s="43">
        <f t="shared" si="0"/>
        <v>910</v>
      </c>
      <c r="J9" s="43" t="s">
        <v>1609</v>
      </c>
      <c r="K9" s="43" t="s">
        <v>22</v>
      </c>
      <c r="L9" s="43" t="s">
        <v>1604</v>
      </c>
    </row>
    <row r="10" spans="1:16" s="34" customFormat="1" x14ac:dyDescent="0.25">
      <c r="B10" s="34" t="s">
        <v>18</v>
      </c>
      <c r="C10" s="34" t="s">
        <v>43</v>
      </c>
      <c r="D10" s="34" t="s">
        <v>1617</v>
      </c>
      <c r="E10" s="34" t="s">
        <v>1618</v>
      </c>
      <c r="F10" s="34" t="s">
        <v>1248</v>
      </c>
      <c r="G10" s="34">
        <v>915</v>
      </c>
      <c r="H10" s="34">
        <v>25</v>
      </c>
      <c r="I10" s="34">
        <f t="shared" si="0"/>
        <v>890</v>
      </c>
      <c r="J10" s="34" t="s">
        <v>27</v>
      </c>
      <c r="K10" s="34" t="s">
        <v>22</v>
      </c>
      <c r="L10" s="34" t="s">
        <v>1604</v>
      </c>
    </row>
    <row r="11" spans="1:16" s="43" customFormat="1" x14ac:dyDescent="0.25">
      <c r="B11" s="43" t="s">
        <v>18</v>
      </c>
      <c r="C11" s="43" t="s">
        <v>1619</v>
      </c>
      <c r="D11" s="43" t="s">
        <v>1620</v>
      </c>
      <c r="E11" s="43" t="s">
        <v>1621</v>
      </c>
      <c r="F11" s="43" t="s">
        <v>1406</v>
      </c>
      <c r="G11" s="43">
        <v>845</v>
      </c>
      <c r="H11" s="43">
        <v>25</v>
      </c>
      <c r="I11" s="43">
        <f t="shared" si="0"/>
        <v>820</v>
      </c>
      <c r="J11" s="43" t="s">
        <v>1609</v>
      </c>
      <c r="K11" s="43" t="s">
        <v>22</v>
      </c>
      <c r="L11" s="43" t="s">
        <v>1604</v>
      </c>
    </row>
    <row r="12" spans="1:16" s="34" customFormat="1" x14ac:dyDescent="0.25">
      <c r="B12" s="34" t="s">
        <v>18</v>
      </c>
      <c r="C12" s="34" t="s">
        <v>1622</v>
      </c>
      <c r="D12" s="34" t="s">
        <v>1623</v>
      </c>
      <c r="E12" s="34" t="s">
        <v>1624</v>
      </c>
      <c r="F12" s="34" t="s">
        <v>1244</v>
      </c>
      <c r="G12" s="34">
        <v>0</v>
      </c>
      <c r="H12" s="34">
        <v>25</v>
      </c>
      <c r="I12" s="34">
        <f t="shared" si="0"/>
        <v>-25</v>
      </c>
      <c r="J12" s="34" t="s">
        <v>27</v>
      </c>
      <c r="K12" s="34" t="s">
        <v>22</v>
      </c>
      <c r="L12" s="34" t="s">
        <v>1604</v>
      </c>
    </row>
    <row r="13" spans="1:16" s="34" customFormat="1" x14ac:dyDescent="0.25">
      <c r="B13" s="34" t="s">
        <v>18</v>
      </c>
      <c r="C13" s="34" t="s">
        <v>1625</v>
      </c>
      <c r="D13" s="34" t="s">
        <v>1626</v>
      </c>
      <c r="E13" s="34" t="s">
        <v>1627</v>
      </c>
      <c r="F13" s="34" t="s">
        <v>97</v>
      </c>
      <c r="G13" s="34">
        <v>1015</v>
      </c>
      <c r="H13" s="34">
        <v>25</v>
      </c>
      <c r="I13" s="34">
        <f t="shared" si="0"/>
        <v>990</v>
      </c>
      <c r="J13" s="34" t="s">
        <v>27</v>
      </c>
      <c r="K13" s="34" t="s">
        <v>22</v>
      </c>
      <c r="L13" s="34" t="s">
        <v>1604</v>
      </c>
    </row>
    <row r="14" spans="1:16" s="43" customFormat="1" x14ac:dyDescent="0.25">
      <c r="B14" s="43" t="s">
        <v>18</v>
      </c>
      <c r="C14" s="43" t="s">
        <v>1628</v>
      </c>
      <c r="D14" s="43" t="s">
        <v>1629</v>
      </c>
      <c r="E14" s="43" t="s">
        <v>1630</v>
      </c>
      <c r="F14" s="43" t="s">
        <v>1231</v>
      </c>
      <c r="G14" s="43">
        <v>620</v>
      </c>
      <c r="H14" s="43">
        <v>30</v>
      </c>
      <c r="I14" s="43">
        <f t="shared" si="0"/>
        <v>590</v>
      </c>
      <c r="J14" s="43" t="s">
        <v>1609</v>
      </c>
      <c r="K14" s="43" t="s">
        <v>22</v>
      </c>
      <c r="L14" s="43" t="s">
        <v>1604</v>
      </c>
    </row>
    <row r="15" spans="1:16" s="5" customFormat="1" x14ac:dyDescent="0.25">
      <c r="B15" s="5" t="s">
        <v>18</v>
      </c>
      <c r="C15" s="5" t="s">
        <v>1631</v>
      </c>
      <c r="D15" s="5" t="s">
        <v>1632</v>
      </c>
      <c r="E15" s="5" t="s">
        <v>1633</v>
      </c>
      <c r="F15" s="5" t="s">
        <v>35</v>
      </c>
      <c r="G15" s="5">
        <v>920</v>
      </c>
      <c r="H15" s="5">
        <v>30</v>
      </c>
      <c r="I15" s="5">
        <f t="shared" si="0"/>
        <v>890</v>
      </c>
      <c r="J15" s="5" t="s">
        <v>22</v>
      </c>
      <c r="K15" s="5" t="s">
        <v>22</v>
      </c>
      <c r="L15" s="5" t="s">
        <v>1604</v>
      </c>
    </row>
    <row r="16" spans="1:16" s="43" customFormat="1" x14ac:dyDescent="0.25">
      <c r="B16" s="43" t="s">
        <v>18</v>
      </c>
      <c r="C16" s="43" t="s">
        <v>1338</v>
      </c>
      <c r="D16" s="43" t="s">
        <v>1634</v>
      </c>
      <c r="E16" s="43" t="s">
        <v>1635</v>
      </c>
      <c r="F16" s="43" t="s">
        <v>1289</v>
      </c>
      <c r="G16" s="43">
        <v>30</v>
      </c>
      <c r="H16" s="43">
        <v>30</v>
      </c>
      <c r="I16" s="43">
        <f t="shared" si="0"/>
        <v>0</v>
      </c>
      <c r="J16" s="43" t="s">
        <v>1609</v>
      </c>
      <c r="K16" s="43" t="s">
        <v>22</v>
      </c>
      <c r="L16" s="43" t="s">
        <v>1604</v>
      </c>
      <c r="M16" s="43" t="s">
        <v>299</v>
      </c>
    </row>
    <row r="17" spans="2:12" s="43" customFormat="1" x14ac:dyDescent="0.25">
      <c r="B17" s="43" t="s">
        <v>18</v>
      </c>
      <c r="C17" s="43" t="s">
        <v>1636</v>
      </c>
      <c r="D17" s="43" t="s">
        <v>1637</v>
      </c>
      <c r="E17" s="43" t="s">
        <v>1638</v>
      </c>
      <c r="F17" s="43" t="s">
        <v>1075</v>
      </c>
      <c r="G17" s="43">
        <v>925</v>
      </c>
      <c r="H17" s="43">
        <v>35</v>
      </c>
      <c r="I17" s="43">
        <f t="shared" si="0"/>
        <v>890</v>
      </c>
      <c r="J17" s="43" t="s">
        <v>1609</v>
      </c>
      <c r="K17" s="43" t="s">
        <v>22</v>
      </c>
      <c r="L17" s="43" t="s">
        <v>1604</v>
      </c>
    </row>
    <row r="18" spans="2:12" s="43" customFormat="1" x14ac:dyDescent="0.25">
      <c r="B18" s="43" t="s">
        <v>18</v>
      </c>
      <c r="C18" s="43" t="s">
        <v>1639</v>
      </c>
      <c r="D18" s="43" t="s">
        <v>1640</v>
      </c>
      <c r="E18" s="43" t="s">
        <v>1641</v>
      </c>
      <c r="F18" s="43" t="s">
        <v>1231</v>
      </c>
      <c r="G18" s="43">
        <v>1580</v>
      </c>
      <c r="H18" s="43">
        <v>30</v>
      </c>
      <c r="I18" s="43">
        <f t="shared" si="0"/>
        <v>1550</v>
      </c>
      <c r="J18" s="43" t="s">
        <v>1609</v>
      </c>
      <c r="K18" s="43" t="s">
        <v>22</v>
      </c>
      <c r="L18" s="43" t="s">
        <v>1604</v>
      </c>
    </row>
    <row r="19" spans="2:12" s="43" customFormat="1" x14ac:dyDescent="0.25">
      <c r="B19" s="43" t="s">
        <v>18</v>
      </c>
      <c r="C19" s="43" t="s">
        <v>1642</v>
      </c>
      <c r="D19" s="43" t="s">
        <v>1643</v>
      </c>
      <c r="E19" s="43" t="s">
        <v>1199</v>
      </c>
      <c r="F19" s="43" t="s">
        <v>49</v>
      </c>
      <c r="G19" s="43">
        <v>620</v>
      </c>
      <c r="H19" s="43">
        <v>30</v>
      </c>
      <c r="I19" s="43">
        <f t="shared" si="0"/>
        <v>590</v>
      </c>
      <c r="J19" s="43" t="s">
        <v>1609</v>
      </c>
      <c r="K19" s="43" t="s">
        <v>22</v>
      </c>
      <c r="L19" s="43" t="s">
        <v>1604</v>
      </c>
    </row>
    <row r="20" spans="2:12" s="43" customFormat="1" x14ac:dyDescent="0.25">
      <c r="B20" s="43" t="s">
        <v>18</v>
      </c>
      <c r="C20" s="43" t="s">
        <v>1644</v>
      </c>
      <c r="D20" s="43" t="s">
        <v>1645</v>
      </c>
      <c r="E20" s="43" t="s">
        <v>1646</v>
      </c>
      <c r="F20" s="43" t="s">
        <v>63</v>
      </c>
      <c r="G20" s="43">
        <v>785</v>
      </c>
      <c r="H20" s="43">
        <v>25</v>
      </c>
      <c r="I20" s="43">
        <f t="shared" si="0"/>
        <v>760</v>
      </c>
      <c r="J20" s="43" t="s">
        <v>1609</v>
      </c>
      <c r="K20" s="43" t="s">
        <v>22</v>
      </c>
      <c r="L20" s="43" t="s">
        <v>1604</v>
      </c>
    </row>
    <row r="21" spans="2:12" s="38" customFormat="1" x14ac:dyDescent="0.25">
      <c r="B21" s="38" t="s">
        <v>18</v>
      </c>
      <c r="C21" s="38" t="s">
        <v>1647</v>
      </c>
      <c r="D21" s="38" t="s">
        <v>1648</v>
      </c>
      <c r="E21" s="38" t="s">
        <v>1649</v>
      </c>
      <c r="F21" s="45" t="s">
        <v>1261</v>
      </c>
      <c r="G21" s="38">
        <v>700</v>
      </c>
      <c r="H21" s="38">
        <v>30</v>
      </c>
      <c r="I21" s="38">
        <f t="shared" si="0"/>
        <v>670</v>
      </c>
      <c r="J21" s="38" t="s">
        <v>241</v>
      </c>
      <c r="K21" s="38" t="s">
        <v>22</v>
      </c>
      <c r="L21" s="38" t="s">
        <v>1604</v>
      </c>
    </row>
    <row r="22" spans="2:12" s="43" customFormat="1" x14ac:dyDescent="0.25">
      <c r="B22" s="43" t="s">
        <v>18</v>
      </c>
      <c r="C22" s="43" t="s">
        <v>1650</v>
      </c>
      <c r="D22" s="43" t="s">
        <v>1651</v>
      </c>
      <c r="E22" s="43" t="s">
        <v>1652</v>
      </c>
      <c r="F22" s="43" t="s">
        <v>1231</v>
      </c>
      <c r="G22" s="43">
        <v>620</v>
      </c>
      <c r="H22" s="43">
        <v>30</v>
      </c>
      <c r="I22" s="43">
        <f t="shared" si="0"/>
        <v>590</v>
      </c>
      <c r="J22" s="43" t="s">
        <v>1609</v>
      </c>
      <c r="K22" s="43" t="s">
        <v>22</v>
      </c>
      <c r="L22" s="43" t="s">
        <v>1604</v>
      </c>
    </row>
    <row r="23" spans="2:12" s="5" customFormat="1" x14ac:dyDescent="0.25">
      <c r="B23" s="5" t="s">
        <v>18</v>
      </c>
      <c r="C23" s="5" t="s">
        <v>1653</v>
      </c>
      <c r="D23" s="5" t="s">
        <v>1654</v>
      </c>
      <c r="E23" s="5" t="s">
        <v>1655</v>
      </c>
      <c r="F23" s="5" t="s">
        <v>118</v>
      </c>
      <c r="G23" s="5">
        <v>695</v>
      </c>
      <c r="H23" s="5">
        <v>25</v>
      </c>
      <c r="I23" s="5">
        <f t="shared" si="0"/>
        <v>670</v>
      </c>
      <c r="J23" s="5" t="s">
        <v>22</v>
      </c>
      <c r="K23" s="5" t="s">
        <v>22</v>
      </c>
      <c r="L23" s="5" t="s">
        <v>1604</v>
      </c>
    </row>
    <row r="24" spans="2:12" s="43" customFormat="1" x14ac:dyDescent="0.25">
      <c r="B24" s="43" t="s">
        <v>18</v>
      </c>
      <c r="C24" s="43" t="s">
        <v>1656</v>
      </c>
      <c r="D24" s="43" t="s">
        <v>1657</v>
      </c>
      <c r="E24" s="43" t="s">
        <v>1658</v>
      </c>
      <c r="F24" s="43" t="s">
        <v>63</v>
      </c>
      <c r="G24" s="43">
        <v>845</v>
      </c>
      <c r="H24" s="43">
        <v>25</v>
      </c>
      <c r="I24" s="43">
        <f t="shared" si="0"/>
        <v>820</v>
      </c>
      <c r="J24" s="43" t="s">
        <v>1609</v>
      </c>
      <c r="K24" s="43" t="s">
        <v>22</v>
      </c>
      <c r="L24" s="43" t="s">
        <v>1604</v>
      </c>
    </row>
    <row r="25" spans="2:12" s="43" customFormat="1" x14ac:dyDescent="0.25">
      <c r="B25" s="43" t="s">
        <v>18</v>
      </c>
      <c r="C25" s="43" t="s">
        <v>1659</v>
      </c>
      <c r="D25" s="43" t="s">
        <v>1660</v>
      </c>
      <c r="E25" s="43" t="s">
        <v>1661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1609</v>
      </c>
      <c r="K25" s="43" t="s">
        <v>22</v>
      </c>
      <c r="L25" s="43" t="s">
        <v>1604</v>
      </c>
    </row>
    <row r="26" spans="2:12" s="34" customFormat="1" x14ac:dyDescent="0.25">
      <c r="B26" s="34" t="s">
        <v>18</v>
      </c>
      <c r="C26" s="34" t="s">
        <v>1662</v>
      </c>
      <c r="D26" s="34" t="s">
        <v>1663</v>
      </c>
      <c r="E26" s="34" t="s">
        <v>1664</v>
      </c>
      <c r="F26" s="34" t="s">
        <v>1248</v>
      </c>
      <c r="G26" s="34">
        <v>1445</v>
      </c>
      <c r="H26" s="34">
        <v>25</v>
      </c>
      <c r="I26" s="34">
        <f t="shared" si="0"/>
        <v>1420</v>
      </c>
      <c r="J26" s="34" t="s">
        <v>27</v>
      </c>
      <c r="K26" s="34" t="s">
        <v>22</v>
      </c>
      <c r="L26" s="34" t="s">
        <v>1604</v>
      </c>
    </row>
    <row r="27" spans="2:12" s="34" customFormat="1" x14ac:dyDescent="0.25">
      <c r="B27" s="34" t="s">
        <v>18</v>
      </c>
      <c r="C27" s="34" t="s">
        <v>1665</v>
      </c>
      <c r="D27" s="34" t="s">
        <v>1666</v>
      </c>
      <c r="E27" s="34" t="s">
        <v>1667</v>
      </c>
      <c r="F27" s="34" t="s">
        <v>1226</v>
      </c>
      <c r="G27" s="34">
        <v>385</v>
      </c>
      <c r="H27" s="34">
        <v>25</v>
      </c>
      <c r="I27" s="34">
        <f t="shared" si="0"/>
        <v>360</v>
      </c>
      <c r="J27" s="34" t="s">
        <v>27</v>
      </c>
      <c r="K27" s="34" t="s">
        <v>22</v>
      </c>
      <c r="L27" s="34" t="s">
        <v>1604</v>
      </c>
    </row>
    <row r="28" spans="2:12" s="34" customFormat="1" x14ac:dyDescent="0.25">
      <c r="B28" s="34" t="s">
        <v>18</v>
      </c>
      <c r="C28" s="34" t="s">
        <v>748</v>
      </c>
      <c r="D28" s="34" t="s">
        <v>1668</v>
      </c>
      <c r="E28" s="34" t="s">
        <v>1669</v>
      </c>
      <c r="F28" s="34" t="s">
        <v>1263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1604</v>
      </c>
    </row>
    <row r="29" spans="2:12" s="5" customFormat="1" x14ac:dyDescent="0.25">
      <c r="B29" s="5" t="s">
        <v>18</v>
      </c>
      <c r="C29" s="5" t="s">
        <v>1670</v>
      </c>
      <c r="D29" s="5" t="s">
        <v>1671</v>
      </c>
      <c r="E29" s="5" t="s">
        <v>1672</v>
      </c>
      <c r="F29" s="5" t="s">
        <v>53</v>
      </c>
      <c r="G29" s="5">
        <v>840</v>
      </c>
      <c r="H29" s="5">
        <v>20</v>
      </c>
      <c r="I29" s="5">
        <f t="shared" si="0"/>
        <v>820</v>
      </c>
      <c r="J29" s="5" t="s">
        <v>22</v>
      </c>
      <c r="K29" s="5" t="s">
        <v>22</v>
      </c>
      <c r="L29" s="5" t="s">
        <v>1604</v>
      </c>
    </row>
    <row r="30" spans="2:12" s="34" customFormat="1" x14ac:dyDescent="0.25">
      <c r="B30" s="34" t="s">
        <v>18</v>
      </c>
      <c r="C30" s="34" t="s">
        <v>1673</v>
      </c>
      <c r="D30" s="34" t="s">
        <v>1674</v>
      </c>
      <c r="E30" s="34" t="s">
        <v>1675</v>
      </c>
      <c r="F30" s="34" t="s">
        <v>1263</v>
      </c>
      <c r="G30" s="34">
        <v>915</v>
      </c>
      <c r="H30" s="34">
        <v>25</v>
      </c>
      <c r="I30" s="34">
        <f t="shared" si="0"/>
        <v>890</v>
      </c>
      <c r="J30" s="34" t="s">
        <v>27</v>
      </c>
      <c r="K30" s="34" t="s">
        <v>22</v>
      </c>
      <c r="L30" s="34" t="s">
        <v>1604</v>
      </c>
    </row>
    <row r="31" spans="2:12" s="43" customFormat="1" x14ac:dyDescent="0.25">
      <c r="B31" s="43" t="s">
        <v>18</v>
      </c>
      <c r="C31" s="43" t="s">
        <v>1676</v>
      </c>
      <c r="D31" s="43" t="s">
        <v>1677</v>
      </c>
      <c r="E31" s="43" t="s">
        <v>1678</v>
      </c>
      <c r="F31" s="43" t="s">
        <v>63</v>
      </c>
      <c r="G31" s="43">
        <v>915</v>
      </c>
      <c r="H31" s="43">
        <v>25</v>
      </c>
      <c r="I31" s="43">
        <f t="shared" si="0"/>
        <v>890</v>
      </c>
      <c r="J31" s="43" t="s">
        <v>1609</v>
      </c>
      <c r="K31" s="43" t="s">
        <v>22</v>
      </c>
      <c r="L31" s="43" t="s">
        <v>1604</v>
      </c>
    </row>
    <row r="32" spans="2:12" s="43" customFormat="1" x14ac:dyDescent="0.25">
      <c r="B32" s="43" t="s">
        <v>18</v>
      </c>
      <c r="C32" s="43" t="s">
        <v>1679</v>
      </c>
      <c r="D32" s="43" t="s">
        <v>1680</v>
      </c>
      <c r="E32" s="43" t="s">
        <v>1681</v>
      </c>
      <c r="F32" s="44" t="s">
        <v>1289</v>
      </c>
      <c r="G32" s="43">
        <v>1010</v>
      </c>
      <c r="H32" s="43">
        <v>30</v>
      </c>
      <c r="I32" s="43">
        <f t="shared" si="0"/>
        <v>980</v>
      </c>
      <c r="J32" s="43" t="s">
        <v>1609</v>
      </c>
      <c r="K32" s="43" t="s">
        <v>22</v>
      </c>
      <c r="L32" s="43" t="s">
        <v>1604</v>
      </c>
    </row>
    <row r="33" spans="2:12" s="43" customFormat="1" x14ac:dyDescent="0.25">
      <c r="B33" s="43" t="s">
        <v>18</v>
      </c>
      <c r="C33" s="43" t="s">
        <v>43</v>
      </c>
      <c r="D33" s="43" t="s">
        <v>1682</v>
      </c>
      <c r="E33" s="43" t="s">
        <v>45</v>
      </c>
      <c r="F33" s="43" t="s">
        <v>1226</v>
      </c>
      <c r="G33" s="43">
        <v>700</v>
      </c>
      <c r="H33" s="43">
        <v>30</v>
      </c>
      <c r="I33" s="43">
        <f t="shared" si="0"/>
        <v>670</v>
      </c>
      <c r="J33" s="43" t="s">
        <v>1609</v>
      </c>
      <c r="K33" s="43" t="s">
        <v>22</v>
      </c>
      <c r="L33" s="43" t="s">
        <v>1604</v>
      </c>
    </row>
    <row r="34" spans="2:12" s="5" customFormat="1" x14ac:dyDescent="0.25">
      <c r="B34" s="5" t="s">
        <v>18</v>
      </c>
      <c r="C34" s="5" t="s">
        <v>1683</v>
      </c>
      <c r="D34" s="5" t="s">
        <v>1684</v>
      </c>
      <c r="E34" s="5" t="s">
        <v>1685</v>
      </c>
      <c r="F34" s="5" t="s">
        <v>118</v>
      </c>
      <c r="G34" s="5">
        <v>695</v>
      </c>
      <c r="H34" s="5">
        <v>25</v>
      </c>
      <c r="I34" s="5">
        <f t="shared" si="0"/>
        <v>670</v>
      </c>
      <c r="J34" s="5" t="s">
        <v>22</v>
      </c>
      <c r="K34" s="5" t="s">
        <v>22</v>
      </c>
      <c r="L34" s="5" t="s">
        <v>1604</v>
      </c>
    </row>
    <row r="35" spans="2:12" s="5" customFormat="1" x14ac:dyDescent="0.25">
      <c r="B35" s="5" t="s">
        <v>18</v>
      </c>
      <c r="C35" s="5" t="s">
        <v>573</v>
      </c>
      <c r="D35" s="5" t="s">
        <v>1686</v>
      </c>
      <c r="E35" s="5" t="s">
        <v>575</v>
      </c>
      <c r="F35" s="5" t="s">
        <v>118</v>
      </c>
      <c r="G35" s="5">
        <v>845</v>
      </c>
      <c r="H35" s="5">
        <v>25</v>
      </c>
      <c r="I35" s="5">
        <f t="shared" si="0"/>
        <v>820</v>
      </c>
      <c r="J35" s="5" t="s">
        <v>22</v>
      </c>
      <c r="K35" s="5" t="s">
        <v>22</v>
      </c>
      <c r="L35" s="5" t="s">
        <v>1604</v>
      </c>
    </row>
    <row r="36" spans="2:12" s="5" customFormat="1" x14ac:dyDescent="0.25">
      <c r="B36" s="5" t="s">
        <v>18</v>
      </c>
      <c r="C36" s="5" t="s">
        <v>848</v>
      </c>
      <c r="D36" s="5" t="s">
        <v>1687</v>
      </c>
      <c r="E36" s="5" t="s">
        <v>850</v>
      </c>
      <c r="F36" s="5" t="s">
        <v>97</v>
      </c>
      <c r="G36" s="5">
        <v>615</v>
      </c>
      <c r="H36" s="5">
        <v>25</v>
      </c>
      <c r="I36" s="5">
        <f t="shared" si="0"/>
        <v>590</v>
      </c>
      <c r="J36" s="5" t="s">
        <v>22</v>
      </c>
      <c r="K36" s="5" t="s">
        <v>22</v>
      </c>
      <c r="L36" s="5" t="s">
        <v>1604</v>
      </c>
    </row>
    <row r="37" spans="2:12" s="43" customFormat="1" x14ac:dyDescent="0.25">
      <c r="B37" s="43" t="s">
        <v>18</v>
      </c>
      <c r="C37" s="43" t="s">
        <v>662</v>
      </c>
      <c r="D37" s="43" t="s">
        <v>1688</v>
      </c>
      <c r="E37" s="43" t="s">
        <v>1689</v>
      </c>
      <c r="F37" s="43" t="s">
        <v>1270</v>
      </c>
      <c r="G37" s="43">
        <v>845</v>
      </c>
      <c r="H37" s="43">
        <v>25</v>
      </c>
      <c r="I37" s="43">
        <f t="shared" si="0"/>
        <v>820</v>
      </c>
      <c r="J37" s="43" t="s">
        <v>1609</v>
      </c>
      <c r="K37" s="43" t="s">
        <v>22</v>
      </c>
      <c r="L37" s="43" t="s">
        <v>1604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"/>
  <sheetViews>
    <sheetView workbookViewId="0">
      <selection activeCell="E20" sqref="E20"/>
    </sheetView>
  </sheetViews>
  <sheetFormatPr defaultRowHeight="15" x14ac:dyDescent="0.25"/>
  <cols>
    <col min="1" max="2" width="9.140625" customWidth="1"/>
    <col min="3" max="3" width="19.42578125" bestFit="1" customWidth="1"/>
    <col min="4" max="4" width="9.5703125" bestFit="1" customWidth="1"/>
    <col min="5" max="5" width="58.140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1690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A3" s="43" t="s">
        <v>255</v>
      </c>
      <c r="B3" s="43" t="s">
        <v>18</v>
      </c>
      <c r="C3" s="43" t="s">
        <v>262</v>
      </c>
      <c r="E3" s="43" t="s">
        <v>263</v>
      </c>
      <c r="F3" s="44" t="s">
        <v>1406</v>
      </c>
      <c r="G3" s="43">
        <v>720</v>
      </c>
      <c r="H3" s="43">
        <v>30</v>
      </c>
      <c r="I3" s="43">
        <f t="shared" ref="I3:I29" si="0">G3-H3</f>
        <v>690</v>
      </c>
      <c r="J3" s="43" t="s">
        <v>1691</v>
      </c>
      <c r="K3" s="43" t="s">
        <v>22</v>
      </c>
      <c r="L3" s="43" t="s">
        <v>1692</v>
      </c>
      <c r="Q3" s="43">
        <v>1</v>
      </c>
    </row>
    <row r="4" spans="1:17" s="34" customFormat="1" x14ac:dyDescent="0.25">
      <c r="B4" s="34" t="s">
        <v>18</v>
      </c>
      <c r="C4" s="34" t="s">
        <v>1693</v>
      </c>
      <c r="D4" s="34" t="s">
        <v>1694</v>
      </c>
      <c r="E4" s="34" t="s">
        <v>1695</v>
      </c>
      <c r="F4" s="34" t="s">
        <v>1244</v>
      </c>
      <c r="G4" s="34">
        <v>0</v>
      </c>
      <c r="H4" s="34">
        <v>25</v>
      </c>
      <c r="I4" s="34">
        <f t="shared" si="0"/>
        <v>-25</v>
      </c>
      <c r="J4" s="34" t="s">
        <v>27</v>
      </c>
      <c r="K4" s="34" t="s">
        <v>22</v>
      </c>
      <c r="L4" s="34" t="s">
        <v>1692</v>
      </c>
      <c r="Q4" s="34">
        <v>1</v>
      </c>
    </row>
    <row r="5" spans="1:17" s="43" customFormat="1" x14ac:dyDescent="0.25">
      <c r="B5" s="43" t="s">
        <v>18</v>
      </c>
      <c r="C5" s="43" t="s">
        <v>1696</v>
      </c>
      <c r="D5" s="43" t="s">
        <v>1697</v>
      </c>
      <c r="E5" s="43" t="s">
        <v>1698</v>
      </c>
      <c r="F5" s="43" t="s">
        <v>1075</v>
      </c>
      <c r="G5" s="43">
        <v>925</v>
      </c>
      <c r="H5" s="43">
        <v>35</v>
      </c>
      <c r="I5" s="43">
        <f t="shared" si="0"/>
        <v>890</v>
      </c>
      <c r="J5" s="43" t="s">
        <v>1691</v>
      </c>
      <c r="K5" s="43" t="s">
        <v>22</v>
      </c>
      <c r="L5" s="43" t="s">
        <v>1692</v>
      </c>
      <c r="Q5" s="43">
        <v>1</v>
      </c>
    </row>
    <row r="6" spans="1:17" s="43" customFormat="1" x14ac:dyDescent="0.25">
      <c r="B6" s="43" t="s">
        <v>18</v>
      </c>
      <c r="C6" s="43" t="s">
        <v>1699</v>
      </c>
      <c r="D6" s="43" t="s">
        <v>1700</v>
      </c>
      <c r="E6" s="43" t="s">
        <v>1701</v>
      </c>
      <c r="F6" s="43" t="s">
        <v>1270</v>
      </c>
      <c r="G6" s="43">
        <v>745</v>
      </c>
      <c r="H6" s="43">
        <v>25</v>
      </c>
      <c r="I6" s="43">
        <f t="shared" si="0"/>
        <v>720</v>
      </c>
      <c r="J6" s="43" t="s">
        <v>1691</v>
      </c>
      <c r="K6" s="43" t="s">
        <v>22</v>
      </c>
      <c r="L6" s="43" t="s">
        <v>1692</v>
      </c>
      <c r="Q6" s="43">
        <v>1</v>
      </c>
    </row>
    <row r="7" spans="1:17" s="43" customFormat="1" x14ac:dyDescent="0.25">
      <c r="B7" s="43" t="s">
        <v>18</v>
      </c>
      <c r="C7" s="43" t="s">
        <v>1628</v>
      </c>
      <c r="D7" s="43" t="s">
        <v>1702</v>
      </c>
      <c r="E7" s="43" t="s">
        <v>1630</v>
      </c>
      <c r="F7" s="43" t="s">
        <v>1231</v>
      </c>
      <c r="G7" s="43">
        <v>700</v>
      </c>
      <c r="H7" s="43">
        <v>30</v>
      </c>
      <c r="I7" s="43">
        <f t="shared" si="0"/>
        <v>670</v>
      </c>
      <c r="J7" s="43" t="s">
        <v>1691</v>
      </c>
      <c r="K7" s="43" t="s">
        <v>22</v>
      </c>
      <c r="L7" s="43" t="s">
        <v>1692</v>
      </c>
      <c r="Q7" s="43">
        <v>1</v>
      </c>
    </row>
    <row r="8" spans="1:17" s="34" customFormat="1" x14ac:dyDescent="0.25">
      <c r="B8" s="34" t="s">
        <v>18</v>
      </c>
      <c r="C8" s="34" t="s">
        <v>1703</v>
      </c>
      <c r="D8" s="34" t="s">
        <v>1704</v>
      </c>
      <c r="E8" s="34" t="s">
        <v>1705</v>
      </c>
      <c r="F8" s="34" t="s">
        <v>1263</v>
      </c>
      <c r="G8" s="34">
        <v>845</v>
      </c>
      <c r="H8" s="34">
        <v>25</v>
      </c>
      <c r="I8" s="34">
        <f t="shared" si="0"/>
        <v>820</v>
      </c>
      <c r="J8" s="34" t="s">
        <v>27</v>
      </c>
      <c r="K8" s="34" t="s">
        <v>22</v>
      </c>
      <c r="L8" s="34" t="s">
        <v>1692</v>
      </c>
      <c r="Q8" s="34">
        <v>1</v>
      </c>
    </row>
    <row r="9" spans="1:17" s="5" customFormat="1" x14ac:dyDescent="0.25">
      <c r="B9" s="5" t="s">
        <v>18</v>
      </c>
      <c r="C9" s="5" t="s">
        <v>1706</v>
      </c>
      <c r="D9" s="5" t="s">
        <v>1707</v>
      </c>
      <c r="E9" s="5" t="s">
        <v>1708</v>
      </c>
      <c r="F9" s="5" t="s">
        <v>35</v>
      </c>
      <c r="G9" s="5">
        <v>900</v>
      </c>
      <c r="H9" s="5">
        <v>30</v>
      </c>
      <c r="I9" s="5">
        <f t="shared" si="0"/>
        <v>870</v>
      </c>
      <c r="J9" s="5" t="s">
        <v>22</v>
      </c>
      <c r="K9" s="5" t="s">
        <v>22</v>
      </c>
      <c r="L9" s="5" t="s">
        <v>1692</v>
      </c>
      <c r="Q9" s="5">
        <v>1</v>
      </c>
    </row>
    <row r="10" spans="1:17" s="43" customFormat="1" x14ac:dyDescent="0.25">
      <c r="B10" s="43" t="s">
        <v>18</v>
      </c>
      <c r="C10" s="43" t="s">
        <v>1709</v>
      </c>
      <c r="D10" s="43" t="s">
        <v>1710</v>
      </c>
      <c r="E10" s="43" t="s">
        <v>1711</v>
      </c>
      <c r="F10" s="43" t="s">
        <v>1406</v>
      </c>
      <c r="G10" s="43">
        <v>845</v>
      </c>
      <c r="H10" s="43">
        <v>25</v>
      </c>
      <c r="I10" s="43">
        <f t="shared" si="0"/>
        <v>820</v>
      </c>
      <c r="J10" s="43" t="s">
        <v>1691</v>
      </c>
      <c r="K10" s="43" t="s">
        <v>22</v>
      </c>
      <c r="L10" s="43" t="s">
        <v>1692</v>
      </c>
      <c r="Q10" s="43">
        <v>1</v>
      </c>
    </row>
    <row r="11" spans="1:17" s="34" customFormat="1" x14ac:dyDescent="0.25">
      <c r="B11" s="34" t="s">
        <v>18</v>
      </c>
      <c r="C11" s="34" t="s">
        <v>1712</v>
      </c>
      <c r="D11" s="34" t="s">
        <v>1713</v>
      </c>
      <c r="E11" s="34" t="s">
        <v>1714</v>
      </c>
      <c r="F11" s="34" t="s">
        <v>1222</v>
      </c>
      <c r="G11" s="34">
        <v>845</v>
      </c>
      <c r="H11" s="34">
        <v>25</v>
      </c>
      <c r="I11" s="34">
        <f t="shared" si="0"/>
        <v>820</v>
      </c>
      <c r="J11" s="34" t="s">
        <v>27</v>
      </c>
      <c r="K11" s="34" t="s">
        <v>22</v>
      </c>
      <c r="L11" s="34" t="s">
        <v>1692</v>
      </c>
      <c r="Q11" s="34">
        <v>1</v>
      </c>
    </row>
    <row r="12" spans="1:17" s="5" customFormat="1" x14ac:dyDescent="0.25">
      <c r="B12" s="5" t="s">
        <v>18</v>
      </c>
      <c r="C12" s="5" t="s">
        <v>1715</v>
      </c>
      <c r="D12" s="5" t="s">
        <v>1716</v>
      </c>
      <c r="E12" s="5" t="s">
        <v>1717</v>
      </c>
      <c r="F12" s="5" t="s">
        <v>53</v>
      </c>
      <c r="G12" s="5">
        <v>840</v>
      </c>
      <c r="H12" s="5">
        <v>20</v>
      </c>
      <c r="I12" s="5">
        <f t="shared" si="0"/>
        <v>820</v>
      </c>
      <c r="J12" s="5" t="s">
        <v>22</v>
      </c>
      <c r="K12" s="5" t="s">
        <v>22</v>
      </c>
      <c r="L12" s="5" t="s">
        <v>1692</v>
      </c>
      <c r="Q12" s="5">
        <v>1</v>
      </c>
    </row>
    <row r="13" spans="1:17" s="34" customFormat="1" x14ac:dyDescent="0.25">
      <c r="B13" s="34" t="s">
        <v>18</v>
      </c>
      <c r="C13" s="34" t="s">
        <v>1718</v>
      </c>
      <c r="D13" s="34" t="s">
        <v>1719</v>
      </c>
      <c r="E13" s="34" t="s">
        <v>1720</v>
      </c>
      <c r="F13" s="34" t="s">
        <v>97</v>
      </c>
      <c r="G13" s="34">
        <v>0</v>
      </c>
      <c r="H13" s="34">
        <v>25</v>
      </c>
      <c r="I13" s="34">
        <f t="shared" si="0"/>
        <v>-25</v>
      </c>
      <c r="J13" s="34" t="s">
        <v>27</v>
      </c>
      <c r="K13" s="34" t="s">
        <v>22</v>
      </c>
      <c r="L13" s="34" t="s">
        <v>1692</v>
      </c>
      <c r="Q13" s="34">
        <v>1</v>
      </c>
    </row>
    <row r="14" spans="1:17" s="34" customFormat="1" x14ac:dyDescent="0.25">
      <c r="B14" s="34" t="s">
        <v>18</v>
      </c>
      <c r="C14" s="34" t="s">
        <v>1721</v>
      </c>
      <c r="D14" s="34" t="s">
        <v>1722</v>
      </c>
      <c r="E14" s="34" t="s">
        <v>1723</v>
      </c>
      <c r="F14" s="34" t="s">
        <v>1244</v>
      </c>
      <c r="G14" s="34">
        <v>0</v>
      </c>
      <c r="H14" s="34">
        <v>25</v>
      </c>
      <c r="I14" s="34">
        <f t="shared" si="0"/>
        <v>-25</v>
      </c>
      <c r="J14" s="34" t="s">
        <v>27</v>
      </c>
      <c r="K14" s="34" t="s">
        <v>22</v>
      </c>
      <c r="L14" s="34" t="s">
        <v>1692</v>
      </c>
      <c r="Q14" s="34">
        <v>1</v>
      </c>
    </row>
    <row r="15" spans="1:17" s="5" customFormat="1" x14ac:dyDescent="0.25">
      <c r="B15" s="5" t="s">
        <v>18</v>
      </c>
      <c r="C15" s="5" t="s">
        <v>1724</v>
      </c>
      <c r="D15" s="5" t="s">
        <v>1725</v>
      </c>
      <c r="E15" s="5" t="s">
        <v>1726</v>
      </c>
      <c r="F15" s="5" t="s">
        <v>53</v>
      </c>
      <c r="G15" s="5">
        <v>1670</v>
      </c>
      <c r="H15" s="5">
        <v>20</v>
      </c>
      <c r="I15" s="5">
        <f t="shared" si="0"/>
        <v>1650</v>
      </c>
      <c r="J15" s="5" t="s">
        <v>22</v>
      </c>
      <c r="K15" s="5" t="s">
        <v>22</v>
      </c>
      <c r="L15" s="5" t="s">
        <v>1692</v>
      </c>
      <c r="Q15" s="5">
        <v>1</v>
      </c>
    </row>
    <row r="16" spans="1:17" s="34" customFormat="1" x14ac:dyDescent="0.25">
      <c r="B16" s="34" t="s">
        <v>18</v>
      </c>
      <c r="C16" s="34" t="s">
        <v>1727</v>
      </c>
      <c r="D16" s="34" t="s">
        <v>1728</v>
      </c>
      <c r="E16" s="34" t="s">
        <v>1729</v>
      </c>
      <c r="F16" s="34" t="s">
        <v>1226</v>
      </c>
      <c r="G16" s="34">
        <v>0</v>
      </c>
      <c r="H16" s="34">
        <v>25</v>
      </c>
      <c r="I16" s="34">
        <f t="shared" si="0"/>
        <v>-25</v>
      </c>
      <c r="J16" s="34" t="s">
        <v>27</v>
      </c>
      <c r="K16" s="34" t="s">
        <v>22</v>
      </c>
      <c r="L16" s="34" t="s">
        <v>1692</v>
      </c>
      <c r="Q16" s="34">
        <v>1</v>
      </c>
    </row>
    <row r="17" spans="2:17" s="34" customFormat="1" x14ac:dyDescent="0.25">
      <c r="B17" s="34" t="s">
        <v>18</v>
      </c>
      <c r="C17" s="34" t="s">
        <v>1730</v>
      </c>
      <c r="D17" s="34" t="s">
        <v>1731</v>
      </c>
      <c r="E17" s="34" t="s">
        <v>1732</v>
      </c>
      <c r="F17" s="34" t="s">
        <v>97</v>
      </c>
      <c r="G17" s="34">
        <v>595</v>
      </c>
      <c r="H17" s="34">
        <v>25</v>
      </c>
      <c r="I17" s="34">
        <f t="shared" si="0"/>
        <v>570</v>
      </c>
      <c r="J17" s="34" t="s">
        <v>27</v>
      </c>
      <c r="K17" s="34" t="s">
        <v>22</v>
      </c>
      <c r="L17" s="34" t="s">
        <v>1692</v>
      </c>
      <c r="Q17" s="34">
        <v>1</v>
      </c>
    </row>
    <row r="18" spans="2:17" s="5" customFormat="1" x14ac:dyDescent="0.25">
      <c r="B18" s="5" t="s">
        <v>18</v>
      </c>
      <c r="C18" s="5" t="s">
        <v>1733</v>
      </c>
      <c r="D18" s="5" t="s">
        <v>1734</v>
      </c>
      <c r="E18" s="5" t="s">
        <v>1735</v>
      </c>
      <c r="F18" s="5" t="s">
        <v>1323</v>
      </c>
      <c r="G18" s="5">
        <v>700</v>
      </c>
      <c r="H18" s="5">
        <v>30</v>
      </c>
      <c r="I18" s="5">
        <f t="shared" si="0"/>
        <v>670</v>
      </c>
      <c r="J18" s="5" t="s">
        <v>22</v>
      </c>
      <c r="K18" s="5" t="s">
        <v>22</v>
      </c>
      <c r="L18" s="5" t="s">
        <v>1692</v>
      </c>
      <c r="Q18" s="5">
        <v>1</v>
      </c>
    </row>
    <row r="19" spans="2:17" s="43" customFormat="1" x14ac:dyDescent="0.25">
      <c r="B19" s="43" t="s">
        <v>18</v>
      </c>
      <c r="C19" s="43" t="s">
        <v>1736</v>
      </c>
      <c r="D19" s="43" t="s">
        <v>1737</v>
      </c>
      <c r="E19" s="43" t="s">
        <v>1738</v>
      </c>
      <c r="F19" s="43" t="s">
        <v>143</v>
      </c>
      <c r="G19" s="43">
        <v>0</v>
      </c>
      <c r="H19" s="43">
        <v>35</v>
      </c>
      <c r="I19" s="43">
        <f t="shared" si="0"/>
        <v>-35</v>
      </c>
      <c r="J19" s="43" t="s">
        <v>1691</v>
      </c>
      <c r="K19" s="43" t="s">
        <v>22</v>
      </c>
      <c r="L19" s="43" t="s">
        <v>1692</v>
      </c>
      <c r="Q19" s="43">
        <v>1</v>
      </c>
    </row>
    <row r="20" spans="2:17" s="43" customFormat="1" x14ac:dyDescent="0.25">
      <c r="B20" s="43" t="s">
        <v>18</v>
      </c>
      <c r="C20" s="43" t="s">
        <v>1739</v>
      </c>
      <c r="D20" s="43" t="s">
        <v>1740</v>
      </c>
      <c r="E20" s="43" t="s">
        <v>1741</v>
      </c>
      <c r="F20" s="43" t="s">
        <v>1231</v>
      </c>
      <c r="G20" s="43">
        <v>410</v>
      </c>
      <c r="H20" s="43">
        <v>30</v>
      </c>
      <c r="I20" s="43">
        <f t="shared" si="0"/>
        <v>380</v>
      </c>
      <c r="J20" s="43" t="s">
        <v>1691</v>
      </c>
      <c r="K20" s="43" t="s">
        <v>22</v>
      </c>
      <c r="L20" s="43" t="s">
        <v>1692</v>
      </c>
      <c r="Q20" s="43">
        <v>1</v>
      </c>
    </row>
    <row r="21" spans="2:17" s="43" customFormat="1" x14ac:dyDescent="0.25">
      <c r="B21" s="43" t="s">
        <v>18</v>
      </c>
      <c r="C21" s="43" t="s">
        <v>1742</v>
      </c>
      <c r="D21" s="43" t="s">
        <v>1743</v>
      </c>
      <c r="E21" s="43" t="s">
        <v>1744</v>
      </c>
      <c r="F21" s="43" t="s">
        <v>1406</v>
      </c>
      <c r="G21" s="43">
        <v>0</v>
      </c>
      <c r="H21" s="43">
        <v>25</v>
      </c>
      <c r="I21" s="43">
        <f t="shared" si="0"/>
        <v>-25</v>
      </c>
      <c r="J21" s="43" t="s">
        <v>1691</v>
      </c>
      <c r="K21" s="43" t="s">
        <v>22</v>
      </c>
      <c r="L21" s="43" t="s">
        <v>1692</v>
      </c>
      <c r="Q21" s="43">
        <v>1</v>
      </c>
    </row>
    <row r="22" spans="2:17" s="34" customFormat="1" x14ac:dyDescent="0.25">
      <c r="B22" s="34" t="s">
        <v>18</v>
      </c>
      <c r="C22" s="34" t="s">
        <v>1745</v>
      </c>
      <c r="D22" s="34" t="s">
        <v>1746</v>
      </c>
      <c r="E22" s="34" t="s">
        <v>1747</v>
      </c>
      <c r="F22" s="34" t="s">
        <v>1263</v>
      </c>
      <c r="G22" s="34">
        <v>915</v>
      </c>
      <c r="H22" s="34">
        <v>25</v>
      </c>
      <c r="I22" s="34">
        <f t="shared" si="0"/>
        <v>890</v>
      </c>
      <c r="J22" s="34" t="s">
        <v>27</v>
      </c>
      <c r="K22" s="34" t="s">
        <v>22</v>
      </c>
      <c r="L22" s="34" t="s">
        <v>1692</v>
      </c>
      <c r="Q22" s="34">
        <v>1</v>
      </c>
    </row>
    <row r="23" spans="2:17" s="43" customFormat="1" x14ac:dyDescent="0.25">
      <c r="B23" s="43" t="s">
        <v>18</v>
      </c>
      <c r="C23" s="43" t="s">
        <v>1135</v>
      </c>
      <c r="D23" s="43" t="s">
        <v>1748</v>
      </c>
      <c r="E23" s="43" t="s">
        <v>1137</v>
      </c>
      <c r="F23" s="43" t="s">
        <v>1231</v>
      </c>
      <c r="G23" s="43">
        <v>750</v>
      </c>
      <c r="H23" s="43">
        <v>30</v>
      </c>
      <c r="I23" s="43">
        <f t="shared" si="0"/>
        <v>720</v>
      </c>
      <c r="J23" s="43" t="s">
        <v>1691</v>
      </c>
      <c r="K23" s="43" t="s">
        <v>22</v>
      </c>
      <c r="L23" s="43" t="s">
        <v>1692</v>
      </c>
      <c r="Q23" s="43">
        <v>1</v>
      </c>
    </row>
    <row r="24" spans="2:17" s="43" customFormat="1" x14ac:dyDescent="0.25">
      <c r="B24" s="43" t="s">
        <v>18</v>
      </c>
      <c r="C24" s="43" t="s">
        <v>1749</v>
      </c>
      <c r="D24" s="43" t="s">
        <v>1750</v>
      </c>
      <c r="E24" s="43" t="s">
        <v>504</v>
      </c>
      <c r="F24" s="44" t="s">
        <v>49</v>
      </c>
      <c r="G24" s="43">
        <v>0</v>
      </c>
      <c r="H24" s="43">
        <v>30</v>
      </c>
      <c r="I24" s="43">
        <f t="shared" si="0"/>
        <v>-30</v>
      </c>
      <c r="J24" s="43" t="s">
        <v>1691</v>
      </c>
      <c r="K24" s="43" t="s">
        <v>22</v>
      </c>
      <c r="L24" s="43" t="s">
        <v>1692</v>
      </c>
      <c r="Q24" s="43">
        <v>1</v>
      </c>
    </row>
    <row r="25" spans="2:17" s="43" customFormat="1" x14ac:dyDescent="0.25">
      <c r="B25" s="43" t="s">
        <v>18</v>
      </c>
      <c r="C25" s="43" t="s">
        <v>1751</v>
      </c>
      <c r="D25" s="43" t="s">
        <v>1752</v>
      </c>
      <c r="E25" s="43" t="s">
        <v>1753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1691</v>
      </c>
      <c r="K25" s="43" t="s">
        <v>22</v>
      </c>
      <c r="L25" s="43" t="s">
        <v>1692</v>
      </c>
      <c r="Q25" s="43">
        <v>1</v>
      </c>
    </row>
    <row r="26" spans="2:17" s="43" customFormat="1" x14ac:dyDescent="0.25">
      <c r="B26" s="43" t="s">
        <v>18</v>
      </c>
      <c r="C26" s="43" t="s">
        <v>1754</v>
      </c>
      <c r="D26" s="43" t="s">
        <v>1755</v>
      </c>
      <c r="E26" s="43" t="s">
        <v>1756</v>
      </c>
      <c r="F26" s="43" t="s">
        <v>1075</v>
      </c>
      <c r="G26" s="43">
        <v>855</v>
      </c>
      <c r="H26" s="43">
        <v>35</v>
      </c>
      <c r="I26" s="43">
        <f t="shared" si="0"/>
        <v>820</v>
      </c>
      <c r="J26" s="43" t="s">
        <v>1691</v>
      </c>
      <c r="K26" s="43" t="s">
        <v>22</v>
      </c>
      <c r="L26" s="43" t="s">
        <v>1692</v>
      </c>
      <c r="Q26" s="43">
        <v>1</v>
      </c>
    </row>
    <row r="27" spans="2:17" s="43" customFormat="1" x14ac:dyDescent="0.25">
      <c r="B27" s="43" t="s">
        <v>18</v>
      </c>
      <c r="C27" s="43" t="s">
        <v>1757</v>
      </c>
      <c r="D27" s="43" t="s">
        <v>1758</v>
      </c>
      <c r="E27" s="43" t="s">
        <v>1759</v>
      </c>
      <c r="F27" s="43" t="s">
        <v>49</v>
      </c>
      <c r="G27" s="43">
        <v>920</v>
      </c>
      <c r="H27" s="43">
        <v>30</v>
      </c>
      <c r="I27" s="43">
        <f t="shared" si="0"/>
        <v>890</v>
      </c>
      <c r="J27" s="43" t="s">
        <v>1691</v>
      </c>
      <c r="K27" s="43" t="s">
        <v>22</v>
      </c>
      <c r="L27" s="43" t="s">
        <v>1692</v>
      </c>
      <c r="Q27" s="43">
        <v>1</v>
      </c>
    </row>
    <row r="28" spans="2:17" s="34" customFormat="1" x14ac:dyDescent="0.25">
      <c r="B28" s="34" t="s">
        <v>18</v>
      </c>
      <c r="C28" s="34" t="s">
        <v>1760</v>
      </c>
      <c r="D28" s="34" t="s">
        <v>1761</v>
      </c>
      <c r="E28" s="34" t="s">
        <v>1221</v>
      </c>
      <c r="F28" s="34" t="s">
        <v>1222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1692</v>
      </c>
      <c r="Q28" s="34">
        <v>1</v>
      </c>
    </row>
    <row r="29" spans="2:17" s="5" customFormat="1" x14ac:dyDescent="0.25">
      <c r="B29" s="5" t="s">
        <v>18</v>
      </c>
      <c r="C29" s="5" t="s">
        <v>1762</v>
      </c>
      <c r="D29" s="5" t="s">
        <v>1763</v>
      </c>
      <c r="E29" s="5" t="s">
        <v>1764</v>
      </c>
      <c r="F29" s="8" t="s">
        <v>1323</v>
      </c>
      <c r="G29" s="5">
        <v>1770</v>
      </c>
      <c r="H29" s="5">
        <v>30</v>
      </c>
      <c r="I29" s="5">
        <f t="shared" si="0"/>
        <v>1740</v>
      </c>
      <c r="J29" s="5" t="s">
        <v>22</v>
      </c>
      <c r="K29" s="5" t="s">
        <v>22</v>
      </c>
      <c r="L29" s="5" t="s">
        <v>1692</v>
      </c>
      <c r="Q29" s="5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8"/>
  <sheetViews>
    <sheetView topLeftCell="C5" zoomScale="106" zoomScaleNormal="106" workbookViewId="0">
      <selection activeCell="C13" sqref="A13:XFD13"/>
    </sheetView>
  </sheetViews>
  <sheetFormatPr defaultRowHeight="15" x14ac:dyDescent="0.25"/>
  <cols>
    <col min="1" max="2" width="9.140625" customWidth="1"/>
    <col min="3" max="3" width="52.7109375" bestFit="1" customWidth="1"/>
    <col min="4" max="4" width="10.28515625" bestFit="1" customWidth="1"/>
    <col min="5" max="5" width="71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0</v>
      </c>
      <c r="C1" s="3" t="s">
        <v>1765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1059</v>
      </c>
      <c r="E3" s="5" t="s">
        <v>1060</v>
      </c>
      <c r="F3" s="5" t="s">
        <v>97</v>
      </c>
      <c r="G3" s="5">
        <v>30</v>
      </c>
      <c r="H3" s="5">
        <v>30</v>
      </c>
      <c r="I3" s="5">
        <f t="shared" ref="I3:I34" si="0">G3-H3</f>
        <v>0</v>
      </c>
      <c r="J3" s="5" t="s">
        <v>22</v>
      </c>
      <c r="K3" s="5" t="s">
        <v>22</v>
      </c>
      <c r="L3" s="5" t="s">
        <v>1766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1767</v>
      </c>
      <c r="E4" s="5" t="s">
        <v>1768</v>
      </c>
      <c r="F4" s="5" t="s">
        <v>53</v>
      </c>
      <c r="G4" s="5">
        <v>955</v>
      </c>
      <c r="H4" s="5">
        <v>25</v>
      </c>
      <c r="I4" s="5">
        <f t="shared" si="0"/>
        <v>930</v>
      </c>
      <c r="J4" s="5" t="s">
        <v>22</v>
      </c>
      <c r="K4" s="5" t="s">
        <v>22</v>
      </c>
      <c r="L4" s="5" t="s">
        <v>1766</v>
      </c>
      <c r="Q4" s="5">
        <v>1</v>
      </c>
    </row>
    <row r="5" spans="1:17" s="43" customFormat="1" x14ac:dyDescent="0.25">
      <c r="A5" s="43" t="s">
        <v>255</v>
      </c>
      <c r="B5" s="43" t="s">
        <v>18</v>
      </c>
      <c r="C5" s="43" t="s">
        <v>1405</v>
      </c>
      <c r="E5" s="43" t="s">
        <v>257</v>
      </c>
      <c r="F5" s="44" t="s">
        <v>1406</v>
      </c>
      <c r="G5" s="43">
        <v>30</v>
      </c>
      <c r="H5" s="43">
        <v>30</v>
      </c>
      <c r="I5" s="43">
        <f t="shared" si="0"/>
        <v>0</v>
      </c>
      <c r="J5" s="43" t="s">
        <v>1769</v>
      </c>
      <c r="K5" s="43" t="s">
        <v>22</v>
      </c>
      <c r="L5" s="43" t="s">
        <v>1766</v>
      </c>
      <c r="Q5" s="43">
        <v>1</v>
      </c>
    </row>
    <row r="6" spans="1:17" s="34" customFormat="1" x14ac:dyDescent="0.25">
      <c r="A6" s="34" t="s">
        <v>255</v>
      </c>
      <c r="B6" s="34" t="s">
        <v>18</v>
      </c>
      <c r="C6" s="34" t="s">
        <v>543</v>
      </c>
      <c r="E6" s="34" t="s">
        <v>853</v>
      </c>
      <c r="F6" s="35" t="s">
        <v>1248</v>
      </c>
      <c r="G6" s="34">
        <v>30</v>
      </c>
      <c r="H6" s="34">
        <v>30</v>
      </c>
      <c r="I6" s="34">
        <f t="shared" si="0"/>
        <v>0</v>
      </c>
      <c r="J6" s="34" t="s">
        <v>27</v>
      </c>
      <c r="K6" s="34" t="s">
        <v>22</v>
      </c>
      <c r="L6" s="34" t="s">
        <v>1766</v>
      </c>
      <c r="Q6" s="34">
        <v>1</v>
      </c>
    </row>
    <row r="7" spans="1:17" s="43" customFormat="1" x14ac:dyDescent="0.25">
      <c r="A7" s="43" t="s">
        <v>255</v>
      </c>
      <c r="B7" s="43" t="s">
        <v>18</v>
      </c>
      <c r="C7" s="43" t="s">
        <v>1600</v>
      </c>
      <c r="E7" s="43" t="s">
        <v>263</v>
      </c>
      <c r="F7" s="44" t="s">
        <v>1406</v>
      </c>
      <c r="G7" s="43">
        <v>800</v>
      </c>
      <c r="H7" s="43">
        <v>30</v>
      </c>
      <c r="I7" s="43">
        <f t="shared" si="0"/>
        <v>770</v>
      </c>
      <c r="J7" s="43" t="s">
        <v>1769</v>
      </c>
      <c r="K7" s="43" t="s">
        <v>22</v>
      </c>
      <c r="L7" s="43" t="s">
        <v>1766</v>
      </c>
    </row>
    <row r="8" spans="1:17" s="43" customFormat="1" x14ac:dyDescent="0.25">
      <c r="A8" s="43" t="s">
        <v>255</v>
      </c>
      <c r="B8" s="43" t="s">
        <v>18</v>
      </c>
      <c r="C8" s="43" t="s">
        <v>1770</v>
      </c>
      <c r="E8" s="43" t="s">
        <v>844</v>
      </c>
      <c r="F8" s="44" t="s">
        <v>1406</v>
      </c>
      <c r="G8" s="43">
        <v>35</v>
      </c>
      <c r="H8" s="43">
        <v>35</v>
      </c>
      <c r="I8" s="43">
        <f t="shared" si="0"/>
        <v>0</v>
      </c>
      <c r="J8" s="43" t="s">
        <v>1769</v>
      </c>
      <c r="K8" s="43" t="s">
        <v>22</v>
      </c>
      <c r="L8" s="43" t="s">
        <v>1766</v>
      </c>
      <c r="Q8" s="43">
        <v>1</v>
      </c>
    </row>
    <row r="9" spans="1:17" s="34" customFormat="1" x14ac:dyDescent="0.25">
      <c r="B9" s="34" t="s">
        <v>18</v>
      </c>
      <c r="C9" s="34" t="s">
        <v>1771</v>
      </c>
      <c r="D9" s="34" t="s">
        <v>1772</v>
      </c>
      <c r="E9" s="34" t="s">
        <v>1773</v>
      </c>
      <c r="F9" s="34" t="s">
        <v>97</v>
      </c>
      <c r="G9" s="34">
        <v>845</v>
      </c>
      <c r="H9" s="34">
        <v>25</v>
      </c>
      <c r="I9" s="34">
        <f t="shared" si="0"/>
        <v>820</v>
      </c>
      <c r="J9" s="34" t="s">
        <v>27</v>
      </c>
      <c r="K9" s="34" t="s">
        <v>22</v>
      </c>
      <c r="L9" s="34" t="s">
        <v>1766</v>
      </c>
      <c r="Q9" s="34">
        <v>1</v>
      </c>
    </row>
    <row r="10" spans="1:17" s="43" customFormat="1" x14ac:dyDescent="0.25">
      <c r="B10" s="43" t="s">
        <v>18</v>
      </c>
      <c r="C10" s="43" t="s">
        <v>1774</v>
      </c>
      <c r="D10" s="43" t="s">
        <v>1775</v>
      </c>
      <c r="E10" s="43" t="s">
        <v>1776</v>
      </c>
      <c r="F10" s="43" t="s">
        <v>39</v>
      </c>
      <c r="G10" s="43">
        <v>755</v>
      </c>
      <c r="H10" s="43">
        <v>35</v>
      </c>
      <c r="I10" s="43">
        <f t="shared" si="0"/>
        <v>720</v>
      </c>
      <c r="J10" s="43" t="s">
        <v>1769</v>
      </c>
      <c r="K10" s="43" t="s">
        <v>22</v>
      </c>
      <c r="L10" s="43" t="s">
        <v>1766</v>
      </c>
      <c r="Q10" s="43">
        <v>1</v>
      </c>
    </row>
    <row r="11" spans="1:17" s="5" customFormat="1" x14ac:dyDescent="0.25">
      <c r="B11" s="5" t="s">
        <v>18</v>
      </c>
      <c r="C11" s="5" t="s">
        <v>1777</v>
      </c>
      <c r="D11" s="5" t="s">
        <v>1778</v>
      </c>
      <c r="E11" s="5" t="s">
        <v>1779</v>
      </c>
      <c r="F11" s="8" t="s">
        <v>1323</v>
      </c>
      <c r="G11" s="5">
        <v>720</v>
      </c>
      <c r="H11" s="5">
        <v>30</v>
      </c>
      <c r="I11" s="5">
        <f t="shared" si="0"/>
        <v>690</v>
      </c>
      <c r="J11" s="5" t="s">
        <v>22</v>
      </c>
      <c r="K11" s="5" t="s">
        <v>22</v>
      </c>
      <c r="L11" s="5" t="s">
        <v>1766</v>
      </c>
      <c r="Q11" s="5">
        <v>1</v>
      </c>
    </row>
    <row r="12" spans="1:17" s="43" customFormat="1" x14ac:dyDescent="0.25">
      <c r="B12" s="43" t="s">
        <v>18</v>
      </c>
      <c r="C12" s="43" t="s">
        <v>1628</v>
      </c>
      <c r="D12" s="43" t="s">
        <v>1780</v>
      </c>
      <c r="E12" s="43" t="s">
        <v>1630</v>
      </c>
      <c r="F12" s="43" t="s">
        <v>1231</v>
      </c>
      <c r="G12" s="43">
        <v>30</v>
      </c>
      <c r="H12" s="43">
        <v>30</v>
      </c>
      <c r="I12" s="43">
        <f t="shared" si="0"/>
        <v>0</v>
      </c>
      <c r="J12" s="43" t="s">
        <v>1769</v>
      </c>
      <c r="K12" s="43" t="s">
        <v>22</v>
      </c>
      <c r="L12" s="43" t="s">
        <v>1766</v>
      </c>
      <c r="M12" s="43" t="s">
        <v>299</v>
      </c>
      <c r="Q12" s="43">
        <v>1</v>
      </c>
    </row>
    <row r="13" spans="1:17" s="34" customFormat="1" x14ac:dyDescent="0.25">
      <c r="B13" s="34" t="s">
        <v>18</v>
      </c>
      <c r="C13" s="34" t="s">
        <v>1781</v>
      </c>
      <c r="D13" s="34" t="s">
        <v>1782</v>
      </c>
      <c r="E13" s="34" t="s">
        <v>1783</v>
      </c>
      <c r="F13" s="34" t="s">
        <v>1248</v>
      </c>
      <c r="G13" s="34">
        <v>745</v>
      </c>
      <c r="H13" s="34">
        <v>25</v>
      </c>
      <c r="I13" s="34">
        <f t="shared" si="0"/>
        <v>720</v>
      </c>
      <c r="J13" s="34" t="s">
        <v>27</v>
      </c>
      <c r="K13" s="34" t="s">
        <v>22</v>
      </c>
      <c r="L13" s="34" t="s">
        <v>1766</v>
      </c>
      <c r="Q13" s="34">
        <v>1</v>
      </c>
    </row>
    <row r="14" spans="1:17" s="43" customFormat="1" x14ac:dyDescent="0.25">
      <c r="B14" s="43" t="s">
        <v>18</v>
      </c>
      <c r="C14" s="43" t="s">
        <v>1784</v>
      </c>
      <c r="D14" s="43" t="s">
        <v>1785</v>
      </c>
      <c r="E14" s="43" t="s">
        <v>1786</v>
      </c>
      <c r="F14" s="43" t="s">
        <v>1406</v>
      </c>
      <c r="G14" s="43">
        <v>0</v>
      </c>
      <c r="H14" s="43">
        <v>25</v>
      </c>
      <c r="I14" s="43">
        <f t="shared" si="0"/>
        <v>-25</v>
      </c>
      <c r="J14" s="43" t="s">
        <v>1769</v>
      </c>
      <c r="K14" s="43" t="s">
        <v>22</v>
      </c>
      <c r="L14" s="43" t="s">
        <v>1766</v>
      </c>
      <c r="Q14" s="43">
        <v>1</v>
      </c>
    </row>
    <row r="15" spans="1:17" s="5" customFormat="1" x14ac:dyDescent="0.25">
      <c r="B15" s="5" t="s">
        <v>18</v>
      </c>
      <c r="C15" s="5" t="s">
        <v>1787</v>
      </c>
      <c r="D15" s="5" t="s">
        <v>1788</v>
      </c>
      <c r="E15" s="5" t="s">
        <v>1789</v>
      </c>
      <c r="F15" s="5" t="s">
        <v>35</v>
      </c>
      <c r="G15" s="5">
        <v>760</v>
      </c>
      <c r="H15" s="5">
        <v>30</v>
      </c>
      <c r="I15" s="5">
        <f t="shared" si="0"/>
        <v>730</v>
      </c>
      <c r="J15" s="5" t="s">
        <v>22</v>
      </c>
      <c r="K15" s="5" t="s">
        <v>22</v>
      </c>
      <c r="L15" s="5" t="s">
        <v>1766</v>
      </c>
      <c r="Q15" s="5">
        <v>1</v>
      </c>
    </row>
    <row r="16" spans="1:17" s="34" customFormat="1" x14ac:dyDescent="0.25">
      <c r="B16" s="34" t="s">
        <v>18</v>
      </c>
      <c r="C16" s="34" t="s">
        <v>1790</v>
      </c>
      <c r="D16" s="34" t="s">
        <v>1791</v>
      </c>
      <c r="E16" s="34" t="s">
        <v>1792</v>
      </c>
      <c r="F16" s="34" t="s">
        <v>1226</v>
      </c>
      <c r="G16" s="34">
        <v>765</v>
      </c>
      <c r="H16" s="34">
        <v>25</v>
      </c>
      <c r="I16" s="34">
        <f t="shared" si="0"/>
        <v>740</v>
      </c>
      <c r="J16" s="34" t="s">
        <v>27</v>
      </c>
      <c r="K16" s="34" t="s">
        <v>22</v>
      </c>
      <c r="L16" s="34" t="s">
        <v>1766</v>
      </c>
      <c r="Q16" s="34">
        <v>1</v>
      </c>
    </row>
    <row r="17" spans="2:17" s="34" customFormat="1" x14ac:dyDescent="0.25">
      <c r="B17" s="34" t="s">
        <v>18</v>
      </c>
      <c r="C17" s="34" t="s">
        <v>1793</v>
      </c>
      <c r="D17" s="34" t="s">
        <v>1794</v>
      </c>
      <c r="E17" s="34" t="s">
        <v>1795</v>
      </c>
      <c r="F17" s="34" t="s">
        <v>1248</v>
      </c>
      <c r="G17" s="34">
        <v>695</v>
      </c>
      <c r="H17" s="34">
        <v>25</v>
      </c>
      <c r="I17" s="34">
        <f t="shared" si="0"/>
        <v>670</v>
      </c>
      <c r="J17" s="34" t="s">
        <v>27</v>
      </c>
      <c r="K17" s="34" t="s">
        <v>22</v>
      </c>
      <c r="L17" s="34" t="s">
        <v>1766</v>
      </c>
      <c r="Q17" s="34">
        <v>1</v>
      </c>
    </row>
    <row r="18" spans="2:17" s="5" customFormat="1" x14ac:dyDescent="0.25">
      <c r="B18" s="5" t="s">
        <v>18</v>
      </c>
      <c r="C18" s="5" t="s">
        <v>484</v>
      </c>
      <c r="D18" s="5" t="s">
        <v>1796</v>
      </c>
      <c r="E18" s="5" t="s">
        <v>1254</v>
      </c>
      <c r="F18" s="5" t="s">
        <v>118</v>
      </c>
      <c r="G18" s="5">
        <v>745</v>
      </c>
      <c r="H18" s="5">
        <v>25</v>
      </c>
      <c r="I18" s="5">
        <f t="shared" si="0"/>
        <v>720</v>
      </c>
      <c r="J18" s="5" t="s">
        <v>22</v>
      </c>
      <c r="K18" s="5" t="s">
        <v>22</v>
      </c>
      <c r="L18" s="5" t="s">
        <v>1766</v>
      </c>
      <c r="Q18" s="5">
        <v>1</v>
      </c>
    </row>
    <row r="19" spans="2:17" s="5" customFormat="1" x14ac:dyDescent="0.25">
      <c r="B19" s="5" t="s">
        <v>18</v>
      </c>
      <c r="C19" s="5" t="s">
        <v>872</v>
      </c>
      <c r="D19" s="5" t="s">
        <v>1797</v>
      </c>
      <c r="E19" s="5" t="s">
        <v>1798</v>
      </c>
      <c r="F19" s="8" t="s">
        <v>1323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1766</v>
      </c>
      <c r="Q19" s="5">
        <v>1</v>
      </c>
    </row>
    <row r="20" spans="2:17" s="34" customFormat="1" x14ac:dyDescent="0.25">
      <c r="B20" s="34" t="s">
        <v>18</v>
      </c>
      <c r="C20" s="34" t="s">
        <v>1799</v>
      </c>
      <c r="D20" s="34" t="s">
        <v>1800</v>
      </c>
      <c r="E20" s="34" t="s">
        <v>1801</v>
      </c>
      <c r="F20" s="34" t="s">
        <v>1248</v>
      </c>
      <c r="G20" s="34">
        <v>895</v>
      </c>
      <c r="H20" s="34">
        <v>25</v>
      </c>
      <c r="I20" s="34">
        <f t="shared" si="0"/>
        <v>870</v>
      </c>
      <c r="J20" s="34" t="s">
        <v>27</v>
      </c>
      <c r="K20" s="34" t="s">
        <v>22</v>
      </c>
      <c r="L20" s="34" t="s">
        <v>1766</v>
      </c>
      <c r="Q20" s="34">
        <v>1</v>
      </c>
    </row>
    <row r="21" spans="2:17" s="43" customFormat="1" x14ac:dyDescent="0.25">
      <c r="B21" s="43" t="s">
        <v>18</v>
      </c>
      <c r="C21" s="43" t="s">
        <v>1802</v>
      </c>
      <c r="D21" s="43" t="s">
        <v>1803</v>
      </c>
      <c r="E21" s="43" t="s">
        <v>1804</v>
      </c>
      <c r="F21" s="43" t="s">
        <v>49</v>
      </c>
      <c r="G21" s="43">
        <v>750</v>
      </c>
      <c r="H21" s="43">
        <v>30</v>
      </c>
      <c r="I21" s="43">
        <f t="shared" si="0"/>
        <v>720</v>
      </c>
      <c r="J21" s="43" t="s">
        <v>1769</v>
      </c>
      <c r="K21" s="43" t="s">
        <v>22</v>
      </c>
      <c r="L21" s="43" t="s">
        <v>1766</v>
      </c>
      <c r="Q21" s="43">
        <v>1</v>
      </c>
    </row>
    <row r="22" spans="2:17" s="34" customFormat="1" x14ac:dyDescent="0.25">
      <c r="B22" s="34" t="s">
        <v>18</v>
      </c>
      <c r="C22" s="34" t="s">
        <v>1805</v>
      </c>
      <c r="D22" s="34" t="s">
        <v>1806</v>
      </c>
      <c r="E22" s="34" t="s">
        <v>1807</v>
      </c>
      <c r="F22" s="34" t="s">
        <v>97</v>
      </c>
      <c r="G22" s="34">
        <v>745</v>
      </c>
      <c r="H22" s="34">
        <v>25</v>
      </c>
      <c r="I22" s="34">
        <f t="shared" si="0"/>
        <v>720</v>
      </c>
      <c r="J22" s="34" t="s">
        <v>27</v>
      </c>
      <c r="K22" s="34" t="s">
        <v>22</v>
      </c>
      <c r="L22" s="34" t="s">
        <v>1766</v>
      </c>
      <c r="Q22" s="34">
        <v>1</v>
      </c>
    </row>
    <row r="23" spans="2:17" s="5" customFormat="1" x14ac:dyDescent="0.25">
      <c r="B23" s="5" t="s">
        <v>18</v>
      </c>
      <c r="C23" s="5" t="s">
        <v>1808</v>
      </c>
      <c r="D23" s="5" t="s">
        <v>1809</v>
      </c>
      <c r="E23" s="5" t="s">
        <v>1810</v>
      </c>
      <c r="F23" s="5" t="s">
        <v>1323</v>
      </c>
      <c r="G23" s="5">
        <v>0</v>
      </c>
      <c r="H23" s="5">
        <v>30</v>
      </c>
      <c r="I23" s="5">
        <f t="shared" si="0"/>
        <v>-30</v>
      </c>
      <c r="J23" s="5" t="s">
        <v>22</v>
      </c>
      <c r="K23" s="5" t="s">
        <v>22</v>
      </c>
      <c r="L23" s="5" t="s">
        <v>1766</v>
      </c>
      <c r="Q23" s="5">
        <v>1</v>
      </c>
    </row>
    <row r="24" spans="2:17" s="43" customFormat="1" x14ac:dyDescent="0.25">
      <c r="B24" s="43" t="s">
        <v>18</v>
      </c>
      <c r="C24" s="43" t="s">
        <v>1811</v>
      </c>
      <c r="D24" s="43" t="s">
        <v>1812</v>
      </c>
      <c r="E24" s="43" t="s">
        <v>1813</v>
      </c>
      <c r="F24" s="43" t="s">
        <v>1307</v>
      </c>
      <c r="G24" s="43">
        <v>715</v>
      </c>
      <c r="H24" s="43">
        <v>25</v>
      </c>
      <c r="I24" s="43">
        <f t="shared" si="0"/>
        <v>690</v>
      </c>
      <c r="J24" s="43" t="s">
        <v>1769</v>
      </c>
      <c r="K24" s="43" t="s">
        <v>22</v>
      </c>
      <c r="L24" s="43" t="s">
        <v>1766</v>
      </c>
      <c r="Q24" s="43">
        <v>1</v>
      </c>
    </row>
    <row r="25" spans="2:17" s="34" customFormat="1" x14ac:dyDescent="0.25">
      <c r="B25" s="34" t="s">
        <v>18</v>
      </c>
      <c r="C25" s="34" t="s">
        <v>1814</v>
      </c>
      <c r="D25" s="34" t="s">
        <v>1815</v>
      </c>
      <c r="E25" s="34" t="s">
        <v>1816</v>
      </c>
      <c r="F25" s="35" t="s">
        <v>1226</v>
      </c>
      <c r="G25" s="34">
        <v>0</v>
      </c>
      <c r="H25" s="34">
        <v>25</v>
      </c>
      <c r="I25" s="34">
        <f t="shared" si="0"/>
        <v>-25</v>
      </c>
      <c r="J25" s="34" t="s">
        <v>27</v>
      </c>
      <c r="K25" s="34" t="s">
        <v>22</v>
      </c>
      <c r="L25" s="34" t="s">
        <v>1766</v>
      </c>
      <c r="Q25" s="34">
        <v>1</v>
      </c>
    </row>
    <row r="26" spans="2:17" s="43" customFormat="1" x14ac:dyDescent="0.25">
      <c r="B26" s="43" t="s">
        <v>18</v>
      </c>
      <c r="C26" s="43" t="s">
        <v>1817</v>
      </c>
      <c r="D26" s="43" t="s">
        <v>1818</v>
      </c>
      <c r="E26" s="43" t="s">
        <v>1819</v>
      </c>
      <c r="F26" s="43" t="s">
        <v>49</v>
      </c>
      <c r="G26" s="43">
        <v>0</v>
      </c>
      <c r="H26" s="43">
        <v>30</v>
      </c>
      <c r="I26" s="43">
        <f t="shared" si="0"/>
        <v>-30</v>
      </c>
      <c r="J26" s="43" t="s">
        <v>1769</v>
      </c>
      <c r="K26" s="43" t="s">
        <v>22</v>
      </c>
      <c r="L26" s="43" t="s">
        <v>1766</v>
      </c>
      <c r="Q26" s="43">
        <v>1</v>
      </c>
    </row>
    <row r="27" spans="2:17" s="43" customFormat="1" x14ac:dyDescent="0.25">
      <c r="B27" s="43" t="s">
        <v>18</v>
      </c>
      <c r="C27" s="43" t="s">
        <v>1820</v>
      </c>
      <c r="D27" s="43" t="s">
        <v>1821</v>
      </c>
      <c r="E27" s="43" t="s">
        <v>1822</v>
      </c>
      <c r="F27" s="43" t="s">
        <v>49</v>
      </c>
      <c r="G27" s="43">
        <v>740</v>
      </c>
      <c r="H27" s="43">
        <v>30</v>
      </c>
      <c r="I27" s="43">
        <f t="shared" si="0"/>
        <v>710</v>
      </c>
      <c r="J27" s="43" t="s">
        <v>1769</v>
      </c>
      <c r="K27" s="43" t="s">
        <v>22</v>
      </c>
      <c r="L27" s="43" t="s">
        <v>1766</v>
      </c>
      <c r="Q27" s="43">
        <v>1</v>
      </c>
    </row>
    <row r="28" spans="2:17" s="5" customFormat="1" x14ac:dyDescent="0.25">
      <c r="B28" s="5" t="s">
        <v>18</v>
      </c>
      <c r="C28" s="5" t="s">
        <v>848</v>
      </c>
      <c r="D28" s="5" t="s">
        <v>1823</v>
      </c>
      <c r="E28" s="5" t="s">
        <v>1824</v>
      </c>
      <c r="F28" s="5" t="s">
        <v>97</v>
      </c>
      <c r="G28" s="5">
        <v>2110</v>
      </c>
      <c r="H28" s="5">
        <v>30</v>
      </c>
      <c r="I28" s="5">
        <f t="shared" si="0"/>
        <v>2080</v>
      </c>
      <c r="J28" s="5" t="s">
        <v>22</v>
      </c>
      <c r="K28" s="5" t="s">
        <v>22</v>
      </c>
      <c r="L28" s="5" t="s">
        <v>1766</v>
      </c>
      <c r="Q28" s="5">
        <v>1</v>
      </c>
    </row>
    <row r="29" spans="2:17" s="5" customFormat="1" x14ac:dyDescent="0.25">
      <c r="B29" s="5" t="s">
        <v>18</v>
      </c>
      <c r="C29" s="5" t="s">
        <v>1825</v>
      </c>
      <c r="D29" s="5" t="s">
        <v>1826</v>
      </c>
      <c r="E29" s="5" t="s">
        <v>1827</v>
      </c>
      <c r="F29" s="5" t="s">
        <v>35</v>
      </c>
      <c r="G29" s="5">
        <v>0</v>
      </c>
      <c r="H29" s="5">
        <v>30</v>
      </c>
      <c r="I29" s="5">
        <f t="shared" si="0"/>
        <v>-30</v>
      </c>
      <c r="J29" s="5" t="s">
        <v>22</v>
      </c>
      <c r="K29" s="5" t="s">
        <v>22</v>
      </c>
      <c r="L29" s="5" t="s">
        <v>1766</v>
      </c>
      <c r="Q29" s="5">
        <v>1</v>
      </c>
    </row>
    <row r="30" spans="2:17" s="43" customFormat="1" x14ac:dyDescent="0.25">
      <c r="B30" s="43" t="s">
        <v>18</v>
      </c>
      <c r="C30" s="43" t="s">
        <v>1828</v>
      </c>
      <c r="D30" s="43" t="s">
        <v>1829</v>
      </c>
      <c r="E30" s="43" t="s">
        <v>1830</v>
      </c>
      <c r="F30" s="43" t="s">
        <v>1289</v>
      </c>
      <c r="G30" s="43">
        <v>700</v>
      </c>
      <c r="H30" s="43">
        <v>30</v>
      </c>
      <c r="I30" s="43">
        <f t="shared" si="0"/>
        <v>670</v>
      </c>
      <c r="J30" s="43" t="s">
        <v>1769</v>
      </c>
      <c r="K30" s="43" t="s">
        <v>22</v>
      </c>
      <c r="L30" s="43" t="s">
        <v>1766</v>
      </c>
      <c r="Q30" s="43">
        <v>1</v>
      </c>
    </row>
    <row r="31" spans="2:17" s="34" customFormat="1" x14ac:dyDescent="0.25">
      <c r="B31" s="34" t="s">
        <v>18</v>
      </c>
      <c r="C31" s="34" t="s">
        <v>1831</v>
      </c>
      <c r="D31" s="34" t="s">
        <v>1832</v>
      </c>
      <c r="E31" s="34" t="s">
        <v>1606</v>
      </c>
      <c r="F31" s="34" t="s">
        <v>97</v>
      </c>
      <c r="G31" s="34">
        <v>405</v>
      </c>
      <c r="H31" s="34">
        <v>25</v>
      </c>
      <c r="I31" s="34">
        <f t="shared" si="0"/>
        <v>380</v>
      </c>
      <c r="J31" s="34" t="s">
        <v>27</v>
      </c>
      <c r="K31" s="34" t="s">
        <v>22</v>
      </c>
      <c r="L31" s="34" t="s">
        <v>1766</v>
      </c>
      <c r="Q31" s="34">
        <v>1</v>
      </c>
    </row>
    <row r="32" spans="2:17" s="34" customFormat="1" x14ac:dyDescent="0.25">
      <c r="B32" s="34" t="s">
        <v>18</v>
      </c>
      <c r="C32" s="34" t="s">
        <v>1833</v>
      </c>
      <c r="D32" s="34" t="s">
        <v>1834</v>
      </c>
      <c r="E32" s="34" t="s">
        <v>681</v>
      </c>
      <c r="F32" s="34" t="s">
        <v>97</v>
      </c>
      <c r="G32" s="34">
        <v>0</v>
      </c>
      <c r="H32" s="34">
        <v>25</v>
      </c>
      <c r="I32" s="34">
        <f t="shared" si="0"/>
        <v>-25</v>
      </c>
      <c r="J32" s="34" t="s">
        <v>27</v>
      </c>
      <c r="K32" s="34" t="s">
        <v>22</v>
      </c>
      <c r="L32" s="34" t="s">
        <v>1766</v>
      </c>
      <c r="Q32" s="34">
        <v>1</v>
      </c>
    </row>
    <row r="33" spans="2:17" s="43" customFormat="1" x14ac:dyDescent="0.25">
      <c r="B33" s="43" t="s">
        <v>18</v>
      </c>
      <c r="C33" s="43" t="s">
        <v>1245</v>
      </c>
      <c r="D33" s="43" t="s">
        <v>1835</v>
      </c>
      <c r="E33" s="43" t="s">
        <v>1836</v>
      </c>
      <c r="F33" s="43" t="s">
        <v>49</v>
      </c>
      <c r="G33" s="43">
        <v>670</v>
      </c>
      <c r="H33" s="43">
        <v>30</v>
      </c>
      <c r="I33" s="43">
        <f t="shared" si="0"/>
        <v>640</v>
      </c>
      <c r="J33" s="43" t="s">
        <v>1769</v>
      </c>
      <c r="K33" s="43" t="s">
        <v>22</v>
      </c>
      <c r="L33" s="43" t="s">
        <v>1766</v>
      </c>
      <c r="Q33" s="43">
        <v>1</v>
      </c>
    </row>
    <row r="34" spans="2:17" s="34" customFormat="1" x14ac:dyDescent="0.25">
      <c r="B34" s="34" t="s">
        <v>18</v>
      </c>
      <c r="C34" s="34" t="s">
        <v>1837</v>
      </c>
      <c r="D34" s="34" t="s">
        <v>1838</v>
      </c>
      <c r="E34" s="34" t="s">
        <v>1839</v>
      </c>
      <c r="F34" s="34" t="s">
        <v>97</v>
      </c>
      <c r="G34" s="34">
        <v>695</v>
      </c>
      <c r="H34" s="34">
        <v>25</v>
      </c>
      <c r="I34" s="34">
        <f t="shared" si="0"/>
        <v>670</v>
      </c>
      <c r="J34" s="34" t="s">
        <v>27</v>
      </c>
      <c r="K34" s="34" t="s">
        <v>22</v>
      </c>
      <c r="L34" s="34" t="s">
        <v>1766</v>
      </c>
      <c r="Q34" s="34">
        <v>1</v>
      </c>
    </row>
    <row r="35" spans="2:17" s="34" customFormat="1" x14ac:dyDescent="0.25">
      <c r="B35" s="34" t="s">
        <v>18</v>
      </c>
      <c r="C35" s="34" t="s">
        <v>1840</v>
      </c>
      <c r="D35" s="34" t="s">
        <v>1841</v>
      </c>
      <c r="E35" s="34" t="s">
        <v>1842</v>
      </c>
      <c r="F35" s="34" t="s">
        <v>93</v>
      </c>
      <c r="G35" s="34">
        <v>370</v>
      </c>
      <c r="H35" s="34">
        <v>20</v>
      </c>
      <c r="I35" s="34">
        <f t="shared" ref="I35:I66" si="1">G35-H35</f>
        <v>350</v>
      </c>
      <c r="J35" s="34" t="s">
        <v>27</v>
      </c>
      <c r="K35" s="34" t="s">
        <v>22</v>
      </c>
      <c r="L35" s="34" t="s">
        <v>1766</v>
      </c>
      <c r="Q35" s="34">
        <v>1</v>
      </c>
    </row>
    <row r="36" spans="2:17" s="38" customFormat="1" x14ac:dyDescent="0.25">
      <c r="B36" s="38" t="s">
        <v>18</v>
      </c>
      <c r="C36" s="38" t="s">
        <v>1843</v>
      </c>
      <c r="D36" s="38" t="s">
        <v>1844</v>
      </c>
      <c r="E36" s="38" t="s">
        <v>1845</v>
      </c>
      <c r="F36" s="38" t="s">
        <v>1261</v>
      </c>
      <c r="G36" s="38">
        <v>750</v>
      </c>
      <c r="H36" s="38">
        <v>30</v>
      </c>
      <c r="I36" s="38">
        <f t="shared" si="1"/>
        <v>720</v>
      </c>
      <c r="J36" s="38" t="s">
        <v>241</v>
      </c>
      <c r="K36" s="38" t="s">
        <v>22</v>
      </c>
      <c r="L36" s="38" t="s">
        <v>1766</v>
      </c>
      <c r="Q36" s="38">
        <v>1</v>
      </c>
    </row>
    <row r="37" spans="2:17" s="34" customFormat="1" x14ac:dyDescent="0.25">
      <c r="B37" s="34" t="s">
        <v>18</v>
      </c>
      <c r="C37" s="34" t="s">
        <v>1846</v>
      </c>
      <c r="D37" s="34" t="s">
        <v>1847</v>
      </c>
      <c r="E37" s="34" t="s">
        <v>1848</v>
      </c>
      <c r="F37" s="35">
        <v>1</v>
      </c>
      <c r="G37" s="34">
        <v>405</v>
      </c>
      <c r="H37" s="34">
        <v>25</v>
      </c>
      <c r="I37" s="34">
        <f t="shared" si="1"/>
        <v>380</v>
      </c>
      <c r="J37" s="34" t="s">
        <v>27</v>
      </c>
      <c r="K37" s="34" t="s">
        <v>22</v>
      </c>
      <c r="L37" s="34" t="s">
        <v>1766</v>
      </c>
      <c r="Q37" s="34">
        <v>1</v>
      </c>
    </row>
    <row r="38" spans="2:17" s="34" customFormat="1" x14ac:dyDescent="0.25">
      <c r="B38" s="34" t="s">
        <v>18</v>
      </c>
      <c r="C38" s="34" t="s">
        <v>916</v>
      </c>
      <c r="D38" s="34" t="s">
        <v>1849</v>
      </c>
      <c r="E38" s="34" t="s">
        <v>918</v>
      </c>
      <c r="F38" s="34" t="s">
        <v>97</v>
      </c>
      <c r="G38" s="34">
        <v>0</v>
      </c>
      <c r="H38" s="34">
        <v>25</v>
      </c>
      <c r="I38" s="34">
        <f t="shared" si="1"/>
        <v>-25</v>
      </c>
      <c r="J38" s="34" t="s">
        <v>27</v>
      </c>
      <c r="K38" s="34" t="s">
        <v>22</v>
      </c>
      <c r="L38" s="34" t="s">
        <v>1766</v>
      </c>
      <c r="Q38" s="34">
        <v>1</v>
      </c>
    </row>
    <row r="39" spans="2:17" s="43" customFormat="1" x14ac:dyDescent="0.25">
      <c r="B39" s="43" t="s">
        <v>18</v>
      </c>
      <c r="C39" s="43" t="s">
        <v>1850</v>
      </c>
      <c r="D39" s="43" t="s">
        <v>1851</v>
      </c>
      <c r="E39" s="43" t="s">
        <v>1852</v>
      </c>
      <c r="F39" s="43" t="s">
        <v>1231</v>
      </c>
      <c r="G39" s="43">
        <v>750</v>
      </c>
      <c r="H39" s="43">
        <v>30</v>
      </c>
      <c r="I39" s="43">
        <f t="shared" si="1"/>
        <v>720</v>
      </c>
      <c r="J39" s="43" t="s">
        <v>1769</v>
      </c>
      <c r="K39" s="43" t="s">
        <v>22</v>
      </c>
      <c r="L39" s="43" t="s">
        <v>1766</v>
      </c>
      <c r="Q39" s="43">
        <v>1</v>
      </c>
    </row>
    <row r="40" spans="2:17" s="5" customFormat="1" x14ac:dyDescent="0.25">
      <c r="B40" s="5" t="s">
        <v>18</v>
      </c>
      <c r="C40" s="5" t="s">
        <v>1853</v>
      </c>
      <c r="D40" s="5" t="s">
        <v>1854</v>
      </c>
      <c r="E40" s="5" t="s">
        <v>1855</v>
      </c>
      <c r="F40" s="5" t="s">
        <v>118</v>
      </c>
      <c r="G40" s="5">
        <v>795</v>
      </c>
      <c r="H40" s="5">
        <v>25</v>
      </c>
      <c r="I40" s="5">
        <f t="shared" si="1"/>
        <v>770</v>
      </c>
      <c r="J40" s="5" t="s">
        <v>22</v>
      </c>
      <c r="K40" s="5" t="s">
        <v>22</v>
      </c>
      <c r="L40" s="5" t="s">
        <v>1766</v>
      </c>
      <c r="Q40" s="5">
        <v>1</v>
      </c>
    </row>
    <row r="41" spans="2:17" s="34" customFormat="1" x14ac:dyDescent="0.25">
      <c r="B41" s="34" t="s">
        <v>18</v>
      </c>
      <c r="C41" s="34" t="s">
        <v>1856</v>
      </c>
      <c r="D41" s="34" t="s">
        <v>1857</v>
      </c>
      <c r="E41" s="34" t="s">
        <v>1858</v>
      </c>
      <c r="F41" s="34" t="s">
        <v>97</v>
      </c>
      <c r="G41" s="34">
        <v>735</v>
      </c>
      <c r="H41" s="34">
        <v>25</v>
      </c>
      <c r="I41" s="34">
        <f t="shared" si="1"/>
        <v>710</v>
      </c>
      <c r="J41" s="34" t="s">
        <v>27</v>
      </c>
      <c r="K41" s="34" t="s">
        <v>22</v>
      </c>
      <c r="L41" s="34" t="s">
        <v>1766</v>
      </c>
      <c r="Q41" s="34">
        <v>1</v>
      </c>
    </row>
    <row r="42" spans="2:17" s="34" customFormat="1" x14ac:dyDescent="0.25">
      <c r="B42" s="34" t="s">
        <v>18</v>
      </c>
      <c r="C42" s="34" t="s">
        <v>1859</v>
      </c>
      <c r="D42" s="34" t="s">
        <v>1860</v>
      </c>
      <c r="E42" s="34" t="s">
        <v>1861</v>
      </c>
      <c r="F42" s="34" t="s">
        <v>1248</v>
      </c>
      <c r="G42" s="34">
        <v>695</v>
      </c>
      <c r="H42" s="34">
        <v>25</v>
      </c>
      <c r="I42" s="34">
        <f t="shared" si="1"/>
        <v>670</v>
      </c>
      <c r="J42" s="34" t="s">
        <v>27</v>
      </c>
      <c r="K42" s="34" t="s">
        <v>22</v>
      </c>
      <c r="L42" s="34" t="s">
        <v>1766</v>
      </c>
      <c r="Q42" s="34">
        <v>1</v>
      </c>
    </row>
    <row r="43" spans="2:17" s="43" customFormat="1" x14ac:dyDescent="0.25">
      <c r="B43" s="43" t="s">
        <v>18</v>
      </c>
      <c r="C43" s="43" t="s">
        <v>904</v>
      </c>
      <c r="D43" s="43" t="s">
        <v>1862</v>
      </c>
      <c r="E43" s="43" t="s">
        <v>906</v>
      </c>
      <c r="F43" s="43" t="s">
        <v>49</v>
      </c>
      <c r="G43" s="43">
        <v>1660</v>
      </c>
      <c r="H43" s="43">
        <v>30</v>
      </c>
      <c r="I43" s="43">
        <f t="shared" si="1"/>
        <v>1630</v>
      </c>
      <c r="J43" s="43" t="s">
        <v>1769</v>
      </c>
      <c r="K43" s="43" t="s">
        <v>22</v>
      </c>
      <c r="L43" s="43" t="s">
        <v>1766</v>
      </c>
      <c r="Q43" s="43">
        <v>1</v>
      </c>
    </row>
    <row r="44" spans="2:17" s="34" customFormat="1" x14ac:dyDescent="0.25">
      <c r="B44" s="34" t="s">
        <v>18</v>
      </c>
      <c r="C44" s="34" t="s">
        <v>1863</v>
      </c>
      <c r="D44" s="34" t="s">
        <v>1864</v>
      </c>
      <c r="E44" s="34" t="s">
        <v>1865</v>
      </c>
      <c r="F44" s="34" t="s">
        <v>93</v>
      </c>
      <c r="G44" s="34">
        <v>910</v>
      </c>
      <c r="H44" s="34">
        <v>20</v>
      </c>
      <c r="I44" s="34">
        <f t="shared" si="1"/>
        <v>890</v>
      </c>
      <c r="J44" s="34" t="s">
        <v>27</v>
      </c>
      <c r="K44" s="34" t="s">
        <v>22</v>
      </c>
      <c r="L44" s="34" t="s">
        <v>1766</v>
      </c>
      <c r="Q44" s="34">
        <v>1</v>
      </c>
    </row>
    <row r="45" spans="2:17" s="34" customFormat="1" x14ac:dyDescent="0.25">
      <c r="B45" s="34" t="s">
        <v>18</v>
      </c>
      <c r="C45" s="34" t="s">
        <v>1866</v>
      </c>
      <c r="D45" s="34" t="s">
        <v>1867</v>
      </c>
      <c r="E45" s="34" t="s">
        <v>1868</v>
      </c>
      <c r="F45" s="34" t="s">
        <v>97</v>
      </c>
      <c r="G45" s="34">
        <v>815</v>
      </c>
      <c r="H45" s="34">
        <v>25</v>
      </c>
      <c r="I45" s="34">
        <f t="shared" si="1"/>
        <v>790</v>
      </c>
      <c r="J45" s="34" t="s">
        <v>27</v>
      </c>
      <c r="K45" s="34" t="s">
        <v>22</v>
      </c>
      <c r="L45" s="34" t="s">
        <v>1766</v>
      </c>
      <c r="Q45" s="34">
        <v>1</v>
      </c>
    </row>
    <row r="46" spans="2:17" s="43" customFormat="1" x14ac:dyDescent="0.25">
      <c r="B46" s="43" t="s">
        <v>18</v>
      </c>
      <c r="C46" s="43" t="s">
        <v>1869</v>
      </c>
      <c r="D46" s="43" t="s">
        <v>1870</v>
      </c>
      <c r="E46" s="43" t="s">
        <v>1871</v>
      </c>
      <c r="F46" s="43" t="s">
        <v>1307</v>
      </c>
      <c r="G46" s="43">
        <v>915</v>
      </c>
      <c r="H46" s="43">
        <v>25</v>
      </c>
      <c r="I46" s="43">
        <f t="shared" si="1"/>
        <v>890</v>
      </c>
      <c r="J46" s="43" t="s">
        <v>1769</v>
      </c>
      <c r="K46" s="43" t="s">
        <v>22</v>
      </c>
      <c r="L46" s="43" t="s">
        <v>1766</v>
      </c>
      <c r="Q46" s="43">
        <v>1</v>
      </c>
    </row>
    <row r="47" spans="2:17" s="34" customFormat="1" x14ac:dyDescent="0.25">
      <c r="B47" s="34" t="s">
        <v>18</v>
      </c>
      <c r="C47" s="34" t="s">
        <v>1872</v>
      </c>
      <c r="D47" s="34" t="s">
        <v>1873</v>
      </c>
      <c r="E47" s="34" t="s">
        <v>1874</v>
      </c>
      <c r="F47" s="34" t="s">
        <v>97</v>
      </c>
      <c r="G47" s="34">
        <v>695</v>
      </c>
      <c r="H47" s="34">
        <v>25</v>
      </c>
      <c r="I47" s="34">
        <f t="shared" si="1"/>
        <v>670</v>
      </c>
      <c r="J47" s="34" t="s">
        <v>27</v>
      </c>
      <c r="K47" s="34" t="s">
        <v>22</v>
      </c>
      <c r="L47" s="34" t="s">
        <v>1766</v>
      </c>
      <c r="Q47" s="34">
        <v>1</v>
      </c>
    </row>
    <row r="48" spans="2:17" s="5" customFormat="1" x14ac:dyDescent="0.25">
      <c r="B48" s="5" t="s">
        <v>18</v>
      </c>
      <c r="C48" s="5" t="s">
        <v>1875</v>
      </c>
      <c r="D48" s="5" t="s">
        <v>1876</v>
      </c>
      <c r="E48" s="5" t="s">
        <v>1877</v>
      </c>
      <c r="F48" s="5" t="s">
        <v>35</v>
      </c>
      <c r="G48" s="5">
        <v>820</v>
      </c>
      <c r="H48" s="5">
        <v>30</v>
      </c>
      <c r="I48" s="5">
        <f t="shared" si="1"/>
        <v>790</v>
      </c>
      <c r="J48" s="5" t="s">
        <v>22</v>
      </c>
      <c r="K48" s="5" t="s">
        <v>22</v>
      </c>
      <c r="L48" s="5" t="s">
        <v>1766</v>
      </c>
      <c r="Q48" s="5">
        <v>1</v>
      </c>
    </row>
    <row r="49" spans="2:17" s="34" customFormat="1" x14ac:dyDescent="0.25">
      <c r="B49" s="34" t="s">
        <v>18</v>
      </c>
      <c r="C49" s="34" t="s">
        <v>1878</v>
      </c>
      <c r="D49" s="34" t="s">
        <v>1879</v>
      </c>
      <c r="E49" s="34" t="s">
        <v>1880</v>
      </c>
      <c r="F49" s="34" t="s">
        <v>1248</v>
      </c>
      <c r="G49" s="34">
        <v>695</v>
      </c>
      <c r="H49" s="34">
        <v>25</v>
      </c>
      <c r="I49" s="34">
        <f t="shared" si="1"/>
        <v>670</v>
      </c>
      <c r="J49" s="34" t="s">
        <v>27</v>
      </c>
      <c r="K49" s="34" t="s">
        <v>22</v>
      </c>
      <c r="L49" s="34" t="s">
        <v>1766</v>
      </c>
      <c r="Q49" s="34">
        <v>1</v>
      </c>
    </row>
    <row r="50" spans="2:17" s="34" customFormat="1" x14ac:dyDescent="0.25">
      <c r="B50" s="34" t="s">
        <v>18</v>
      </c>
      <c r="C50" s="34" t="s">
        <v>1881</v>
      </c>
      <c r="D50" s="34" t="s">
        <v>1882</v>
      </c>
      <c r="E50" s="34" t="s">
        <v>1883</v>
      </c>
      <c r="F50" s="34" t="s">
        <v>97</v>
      </c>
      <c r="G50" s="34">
        <v>735</v>
      </c>
      <c r="H50" s="34">
        <v>25</v>
      </c>
      <c r="I50" s="34">
        <f t="shared" si="1"/>
        <v>710</v>
      </c>
      <c r="J50" s="34" t="s">
        <v>27</v>
      </c>
      <c r="K50" s="34" t="s">
        <v>22</v>
      </c>
      <c r="L50" s="34" t="s">
        <v>1766</v>
      </c>
      <c r="Q50" s="34">
        <v>1</v>
      </c>
    </row>
    <row r="51" spans="2:17" s="43" customFormat="1" x14ac:dyDescent="0.25">
      <c r="B51" s="43" t="s">
        <v>18</v>
      </c>
      <c r="C51" s="43" t="s">
        <v>1884</v>
      </c>
      <c r="D51" s="43" t="s">
        <v>1885</v>
      </c>
      <c r="E51" s="43" t="s">
        <v>1886</v>
      </c>
      <c r="F51" s="43" t="s">
        <v>1231</v>
      </c>
      <c r="G51" s="43">
        <v>0</v>
      </c>
      <c r="H51" s="43">
        <v>30</v>
      </c>
      <c r="I51" s="43">
        <f t="shared" si="1"/>
        <v>-30</v>
      </c>
      <c r="J51" s="43" t="s">
        <v>1769</v>
      </c>
      <c r="K51" s="43" t="s">
        <v>22</v>
      </c>
      <c r="L51" s="43" t="s">
        <v>1766</v>
      </c>
      <c r="Q51" s="43">
        <v>1</v>
      </c>
    </row>
    <row r="52" spans="2:17" s="43" customFormat="1" x14ac:dyDescent="0.25">
      <c r="B52" s="43" t="s">
        <v>18</v>
      </c>
      <c r="C52" s="43" t="s">
        <v>1887</v>
      </c>
      <c r="D52" s="43" t="s">
        <v>1888</v>
      </c>
      <c r="E52" s="43" t="s">
        <v>1889</v>
      </c>
      <c r="F52" s="44">
        <v>12</v>
      </c>
      <c r="G52" s="43">
        <v>740</v>
      </c>
      <c r="H52" s="43">
        <v>30</v>
      </c>
      <c r="I52" s="43">
        <f t="shared" si="1"/>
        <v>710</v>
      </c>
      <c r="J52" s="43" t="s">
        <v>1769</v>
      </c>
      <c r="K52" s="43" t="s">
        <v>22</v>
      </c>
      <c r="L52" s="43" t="s">
        <v>1766</v>
      </c>
      <c r="Q52" s="43">
        <v>1</v>
      </c>
    </row>
    <row r="53" spans="2:17" s="43" customFormat="1" x14ac:dyDescent="0.25">
      <c r="B53" s="43" t="s">
        <v>18</v>
      </c>
      <c r="C53" s="43" t="s">
        <v>1890</v>
      </c>
      <c r="D53" s="43" t="s">
        <v>1891</v>
      </c>
      <c r="E53" s="43" t="s">
        <v>1892</v>
      </c>
      <c r="F53" s="43" t="s">
        <v>49</v>
      </c>
      <c r="G53" s="43">
        <v>750</v>
      </c>
      <c r="H53" s="43">
        <v>30</v>
      </c>
      <c r="I53" s="43">
        <f t="shared" si="1"/>
        <v>720</v>
      </c>
      <c r="J53" s="43" t="s">
        <v>1769</v>
      </c>
      <c r="K53" s="43" t="s">
        <v>22</v>
      </c>
      <c r="L53" s="43" t="s">
        <v>1766</v>
      </c>
      <c r="Q53" s="43">
        <v>1</v>
      </c>
    </row>
    <row r="54" spans="2:17" s="34" customFormat="1" x14ac:dyDescent="0.25">
      <c r="B54" s="34" t="s">
        <v>18</v>
      </c>
      <c r="C54" s="34" t="s">
        <v>1893</v>
      </c>
      <c r="D54" s="34" t="s">
        <v>1894</v>
      </c>
      <c r="E54" s="34" t="s">
        <v>1895</v>
      </c>
      <c r="F54" s="34" t="s">
        <v>1248</v>
      </c>
      <c r="G54" s="34">
        <v>25</v>
      </c>
      <c r="H54" s="34">
        <v>25</v>
      </c>
      <c r="I54" s="34">
        <f t="shared" si="1"/>
        <v>0</v>
      </c>
      <c r="J54" s="34" t="s">
        <v>27</v>
      </c>
      <c r="K54" s="34" t="s">
        <v>22</v>
      </c>
      <c r="L54" s="34" t="s">
        <v>1766</v>
      </c>
      <c r="M54" s="34" t="s">
        <v>299</v>
      </c>
      <c r="Q54" s="34">
        <v>1</v>
      </c>
    </row>
    <row r="55" spans="2:17" s="43" customFormat="1" x14ac:dyDescent="0.25">
      <c r="B55" s="43" t="s">
        <v>18</v>
      </c>
      <c r="C55" s="43" t="s">
        <v>954</v>
      </c>
      <c r="D55" s="43" t="s">
        <v>1896</v>
      </c>
      <c r="E55" s="43" t="s">
        <v>1897</v>
      </c>
      <c r="F55" s="43" t="s">
        <v>1289</v>
      </c>
      <c r="G55" s="43">
        <v>0</v>
      </c>
      <c r="H55" s="43">
        <v>30</v>
      </c>
      <c r="I55" s="43">
        <f t="shared" si="1"/>
        <v>-30</v>
      </c>
      <c r="J55" s="43" t="s">
        <v>1769</v>
      </c>
      <c r="K55" s="43" t="s">
        <v>22</v>
      </c>
      <c r="L55" s="43" t="s">
        <v>1766</v>
      </c>
      <c r="Q55" s="43">
        <v>1</v>
      </c>
    </row>
    <row r="56" spans="2:17" s="34" customFormat="1" x14ac:dyDescent="0.25">
      <c r="B56" s="34" t="s">
        <v>18</v>
      </c>
      <c r="C56" s="34" t="s">
        <v>1898</v>
      </c>
      <c r="D56" s="34" t="s">
        <v>1899</v>
      </c>
      <c r="E56" s="34" t="s">
        <v>1900</v>
      </c>
      <c r="F56" s="34" t="s">
        <v>1263</v>
      </c>
      <c r="G56" s="34">
        <v>375</v>
      </c>
      <c r="H56" s="34">
        <v>25</v>
      </c>
      <c r="I56" s="34">
        <f t="shared" si="1"/>
        <v>350</v>
      </c>
      <c r="J56" s="34" t="s">
        <v>27</v>
      </c>
      <c r="K56" s="34" t="s">
        <v>22</v>
      </c>
      <c r="L56" s="34" t="s">
        <v>1766</v>
      </c>
      <c r="Q56" s="34">
        <v>1</v>
      </c>
    </row>
    <row r="57" spans="2:17" s="43" customFormat="1" x14ac:dyDescent="0.25">
      <c r="B57" s="43" t="s">
        <v>18</v>
      </c>
      <c r="C57" s="43" t="s">
        <v>1901</v>
      </c>
      <c r="D57" s="43" t="s">
        <v>1902</v>
      </c>
      <c r="E57" s="43" t="s">
        <v>1903</v>
      </c>
      <c r="F57" s="43" t="s">
        <v>1289</v>
      </c>
      <c r="G57" s="43">
        <v>850</v>
      </c>
      <c r="H57" s="43">
        <v>30</v>
      </c>
      <c r="I57" s="43">
        <f t="shared" si="1"/>
        <v>820</v>
      </c>
      <c r="J57" s="43" t="s">
        <v>1769</v>
      </c>
      <c r="K57" s="43" t="s">
        <v>22</v>
      </c>
      <c r="L57" s="43" t="s">
        <v>1766</v>
      </c>
      <c r="Q57" s="43">
        <v>1</v>
      </c>
    </row>
    <row r="58" spans="2:17" s="34" customFormat="1" x14ac:dyDescent="0.25">
      <c r="B58" s="34" t="s">
        <v>18</v>
      </c>
      <c r="C58" s="34" t="s">
        <v>1904</v>
      </c>
      <c r="D58" s="34" t="s">
        <v>1905</v>
      </c>
      <c r="E58" s="34" t="s">
        <v>1906</v>
      </c>
      <c r="F58" s="34" t="s">
        <v>1263</v>
      </c>
      <c r="G58" s="34">
        <v>745</v>
      </c>
      <c r="H58" s="34">
        <v>25</v>
      </c>
      <c r="I58" s="34">
        <f t="shared" si="1"/>
        <v>720</v>
      </c>
      <c r="J58" s="34" t="s">
        <v>27</v>
      </c>
      <c r="K58" s="34" t="s">
        <v>22</v>
      </c>
      <c r="L58" s="34" t="s">
        <v>1766</v>
      </c>
      <c r="Q58" s="34">
        <v>1</v>
      </c>
    </row>
    <row r="59" spans="2:17" s="43" customFormat="1" x14ac:dyDescent="0.25">
      <c r="B59" s="43" t="s">
        <v>18</v>
      </c>
      <c r="C59" s="43" t="s">
        <v>1907</v>
      </c>
      <c r="D59" s="43" t="s">
        <v>1908</v>
      </c>
      <c r="E59" s="43" t="s">
        <v>1909</v>
      </c>
      <c r="F59" s="43" t="s">
        <v>1323</v>
      </c>
      <c r="G59" s="43">
        <v>700</v>
      </c>
      <c r="H59" s="43">
        <v>30</v>
      </c>
      <c r="I59" s="43">
        <f t="shared" si="1"/>
        <v>670</v>
      </c>
      <c r="J59" s="43" t="s">
        <v>1769</v>
      </c>
      <c r="K59" s="43" t="s">
        <v>22</v>
      </c>
      <c r="L59" s="43" t="s">
        <v>1766</v>
      </c>
      <c r="Q59" s="43">
        <v>1</v>
      </c>
    </row>
    <row r="60" spans="2:17" s="34" customFormat="1" x14ac:dyDescent="0.25">
      <c r="B60" s="34" t="s">
        <v>18</v>
      </c>
      <c r="C60" s="34" t="s">
        <v>1910</v>
      </c>
      <c r="D60" s="34" t="s">
        <v>1911</v>
      </c>
      <c r="E60" s="34" t="s">
        <v>1912</v>
      </c>
      <c r="F60" s="34" t="s">
        <v>1226</v>
      </c>
      <c r="G60" s="34">
        <v>695</v>
      </c>
      <c r="H60" s="34">
        <v>25</v>
      </c>
      <c r="I60" s="34">
        <f t="shared" si="1"/>
        <v>670</v>
      </c>
      <c r="J60" s="34" t="s">
        <v>27</v>
      </c>
      <c r="K60" s="34" t="s">
        <v>22</v>
      </c>
      <c r="L60" s="34" t="s">
        <v>1766</v>
      </c>
      <c r="Q60" s="34">
        <v>1</v>
      </c>
    </row>
    <row r="61" spans="2:17" s="5" customFormat="1" x14ac:dyDescent="0.25">
      <c r="B61" s="5" t="s">
        <v>18</v>
      </c>
      <c r="C61" s="5" t="s">
        <v>1901</v>
      </c>
      <c r="D61" s="5" t="s">
        <v>1913</v>
      </c>
      <c r="E61" s="5" t="s">
        <v>1914</v>
      </c>
      <c r="F61" s="8" t="s">
        <v>1323</v>
      </c>
      <c r="G61" s="5">
        <v>920</v>
      </c>
      <c r="H61" s="5">
        <v>30</v>
      </c>
      <c r="I61" s="5">
        <f t="shared" si="1"/>
        <v>890</v>
      </c>
      <c r="J61" s="5" t="s">
        <v>22</v>
      </c>
      <c r="K61" s="5" t="s">
        <v>22</v>
      </c>
      <c r="L61" s="5" t="s">
        <v>1766</v>
      </c>
      <c r="Q61" s="5">
        <v>1</v>
      </c>
    </row>
    <row r="62" spans="2:17" s="43" customFormat="1" x14ac:dyDescent="0.25">
      <c r="B62" s="43" t="s">
        <v>18</v>
      </c>
      <c r="C62" s="43" t="s">
        <v>647</v>
      </c>
      <c r="D62" s="43" t="s">
        <v>1915</v>
      </c>
      <c r="E62" s="43" t="s">
        <v>1916</v>
      </c>
      <c r="F62" s="43" t="s">
        <v>1075</v>
      </c>
      <c r="G62" s="43">
        <v>925</v>
      </c>
      <c r="H62" s="43">
        <v>35</v>
      </c>
      <c r="I62" s="43">
        <f t="shared" si="1"/>
        <v>890</v>
      </c>
      <c r="J62" s="43" t="s">
        <v>1769</v>
      </c>
      <c r="K62" s="43" t="s">
        <v>22</v>
      </c>
      <c r="L62" s="43" t="s">
        <v>1766</v>
      </c>
      <c r="Q62" s="43">
        <v>1</v>
      </c>
    </row>
    <row r="63" spans="2:17" s="43" customFormat="1" x14ac:dyDescent="0.25">
      <c r="B63" s="43" t="s">
        <v>18</v>
      </c>
      <c r="C63" s="43" t="s">
        <v>1917</v>
      </c>
      <c r="D63" s="43" t="s">
        <v>1918</v>
      </c>
      <c r="E63" s="43" t="s">
        <v>1919</v>
      </c>
      <c r="F63" s="44" t="s">
        <v>1270</v>
      </c>
      <c r="G63" s="43">
        <v>700</v>
      </c>
      <c r="H63" s="43">
        <v>30</v>
      </c>
      <c r="I63" s="43">
        <f t="shared" si="1"/>
        <v>670</v>
      </c>
      <c r="J63" s="43" t="s">
        <v>1769</v>
      </c>
      <c r="K63" s="43" t="s">
        <v>22</v>
      </c>
      <c r="L63" s="43" t="s">
        <v>1766</v>
      </c>
      <c r="Q63" s="43">
        <v>1</v>
      </c>
    </row>
    <row r="64" spans="2:17" s="5" customFormat="1" x14ac:dyDescent="0.25">
      <c r="B64" s="5" t="s">
        <v>18</v>
      </c>
      <c r="C64" s="5" t="s">
        <v>1920</v>
      </c>
      <c r="D64" s="5" t="s">
        <v>1921</v>
      </c>
      <c r="E64" s="5" t="s">
        <v>1922</v>
      </c>
      <c r="F64" s="5" t="s">
        <v>53</v>
      </c>
      <c r="G64" s="5">
        <v>690</v>
      </c>
      <c r="H64" s="5">
        <v>20</v>
      </c>
      <c r="I64" s="5">
        <f t="shared" si="1"/>
        <v>670</v>
      </c>
      <c r="J64" s="5" t="s">
        <v>22</v>
      </c>
      <c r="K64" s="5" t="s">
        <v>22</v>
      </c>
      <c r="L64" s="5" t="s">
        <v>1766</v>
      </c>
      <c r="Q64" s="5">
        <v>1</v>
      </c>
    </row>
    <row r="65" spans="2:17" s="5" customFormat="1" x14ac:dyDescent="0.25">
      <c r="B65" s="5" t="s">
        <v>18</v>
      </c>
      <c r="C65" s="5" t="s">
        <v>1106</v>
      </c>
      <c r="D65" s="5" t="s">
        <v>1923</v>
      </c>
      <c r="E65" s="5" t="s">
        <v>1108</v>
      </c>
      <c r="F65" s="5" t="s">
        <v>53</v>
      </c>
      <c r="G65" s="5">
        <v>0</v>
      </c>
      <c r="H65" s="5">
        <v>20</v>
      </c>
      <c r="I65" s="5">
        <f t="shared" si="1"/>
        <v>-20</v>
      </c>
      <c r="J65" s="5" t="s">
        <v>22</v>
      </c>
      <c r="K65" s="5" t="s">
        <v>22</v>
      </c>
      <c r="L65" s="5" t="s">
        <v>1766</v>
      </c>
      <c r="Q65" s="5">
        <v>1</v>
      </c>
    </row>
    <row r="66" spans="2:17" s="43" customFormat="1" x14ac:dyDescent="0.25">
      <c r="B66" s="43" t="s">
        <v>18</v>
      </c>
      <c r="C66" s="43" t="s">
        <v>1924</v>
      </c>
      <c r="D66" s="43" t="s">
        <v>1925</v>
      </c>
      <c r="E66" s="43" t="s">
        <v>1926</v>
      </c>
      <c r="F66" s="43" t="s">
        <v>1231</v>
      </c>
      <c r="G66" s="43">
        <v>0</v>
      </c>
      <c r="H66" s="43">
        <v>30</v>
      </c>
      <c r="I66" s="43">
        <f t="shared" si="1"/>
        <v>-30</v>
      </c>
      <c r="J66" s="43" t="s">
        <v>1769</v>
      </c>
      <c r="K66" s="43" t="s">
        <v>22</v>
      </c>
      <c r="L66" s="43" t="s">
        <v>1766</v>
      </c>
      <c r="Q66" s="43">
        <v>1</v>
      </c>
    </row>
    <row r="67" spans="2:17" s="34" customFormat="1" x14ac:dyDescent="0.25">
      <c r="B67" s="34" t="s">
        <v>18</v>
      </c>
      <c r="C67" s="34" t="s">
        <v>1927</v>
      </c>
      <c r="D67" s="34" t="s">
        <v>1928</v>
      </c>
      <c r="E67" s="34" t="s">
        <v>1929</v>
      </c>
      <c r="F67" s="34" t="s">
        <v>1226</v>
      </c>
      <c r="G67" s="34">
        <v>0</v>
      </c>
      <c r="H67" s="34">
        <v>25</v>
      </c>
      <c r="I67" s="34">
        <f t="shared" ref="I67:I68" si="2">G67-H67</f>
        <v>-25</v>
      </c>
      <c r="J67" s="34" t="s">
        <v>27</v>
      </c>
      <c r="K67" s="34" t="s">
        <v>22</v>
      </c>
      <c r="L67" s="34" t="s">
        <v>1766</v>
      </c>
      <c r="M67" s="34" t="s">
        <v>299</v>
      </c>
      <c r="Q67" s="34">
        <v>1</v>
      </c>
    </row>
    <row r="68" spans="2:17" s="34" customFormat="1" x14ac:dyDescent="0.25">
      <c r="B68" s="34" t="s">
        <v>18</v>
      </c>
      <c r="C68" s="34" t="s">
        <v>1625</v>
      </c>
      <c r="D68" s="34" t="s">
        <v>1930</v>
      </c>
      <c r="E68" s="34" t="s">
        <v>1931</v>
      </c>
      <c r="F68" s="34" t="s">
        <v>97</v>
      </c>
      <c r="G68" s="34">
        <v>1075</v>
      </c>
      <c r="H68" s="34">
        <v>25</v>
      </c>
      <c r="I68" s="34">
        <f t="shared" si="2"/>
        <v>1050</v>
      </c>
      <c r="J68" s="34" t="s">
        <v>27</v>
      </c>
      <c r="K68" s="34" t="s">
        <v>22</v>
      </c>
      <c r="L68" s="34" t="s">
        <v>1766</v>
      </c>
      <c r="Q68" s="34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5"/>
  <sheetViews>
    <sheetView tabSelected="1" topLeftCell="A7" zoomScaleNormal="100" workbookViewId="0">
      <selection activeCell="I27" sqref="I27"/>
    </sheetView>
  </sheetViews>
  <sheetFormatPr defaultRowHeight="15" x14ac:dyDescent="0.25"/>
  <cols>
    <col min="3" max="3" width="26.42578125" bestFit="1" customWidth="1"/>
    <col min="4" max="4" width="9.5703125" bestFit="1" customWidth="1"/>
    <col min="5" max="5" width="74.570312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449</v>
      </c>
      <c r="C1" s="3" t="s">
        <v>1932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1933</v>
      </c>
      <c r="D3" s="34" t="s">
        <v>1934</v>
      </c>
      <c r="E3" s="34" t="s">
        <v>1935</v>
      </c>
      <c r="F3" s="34" t="s">
        <v>1248</v>
      </c>
      <c r="G3" s="34">
        <v>815</v>
      </c>
      <c r="H3" s="34">
        <v>25</v>
      </c>
      <c r="I3" s="34">
        <f t="shared" ref="I3:I11" si="0">G3-H3</f>
        <v>790</v>
      </c>
      <c r="J3" s="34" t="s">
        <v>27</v>
      </c>
      <c r="K3" s="34" t="s">
        <v>22</v>
      </c>
      <c r="L3" s="34" t="s">
        <v>1936</v>
      </c>
      <c r="Q3" s="34">
        <v>1</v>
      </c>
    </row>
    <row r="4" spans="1:17" s="43" customFormat="1" x14ac:dyDescent="0.25">
      <c r="B4" s="43" t="s">
        <v>18</v>
      </c>
      <c r="C4" s="43" t="s">
        <v>1937</v>
      </c>
      <c r="D4" s="43" t="s">
        <v>1938</v>
      </c>
      <c r="E4" s="43" t="s">
        <v>1939</v>
      </c>
      <c r="F4" s="43" t="s">
        <v>1231</v>
      </c>
      <c r="G4" s="43">
        <v>700</v>
      </c>
      <c r="H4" s="43">
        <v>30</v>
      </c>
      <c r="I4" s="43">
        <f t="shared" si="0"/>
        <v>670</v>
      </c>
      <c r="J4" s="43" t="s">
        <v>1940</v>
      </c>
      <c r="K4" s="43" t="s">
        <v>22</v>
      </c>
      <c r="L4" s="43" t="s">
        <v>1936</v>
      </c>
      <c r="Q4" s="43">
        <v>1</v>
      </c>
    </row>
    <row r="5" spans="1:17" s="54" customFormat="1" x14ac:dyDescent="0.25">
      <c r="B5" s="54" t="s">
        <v>18</v>
      </c>
      <c r="C5" s="54" t="s">
        <v>1941</v>
      </c>
      <c r="D5" s="54" t="s">
        <v>1942</v>
      </c>
      <c r="E5" s="54" t="s">
        <v>504</v>
      </c>
      <c r="F5" s="54" t="s">
        <v>49</v>
      </c>
      <c r="G5" s="54">
        <v>0</v>
      </c>
      <c r="H5" s="54">
        <v>30</v>
      </c>
      <c r="I5" s="54">
        <f t="shared" si="0"/>
        <v>-30</v>
      </c>
      <c r="J5" s="54" t="s">
        <v>1940</v>
      </c>
      <c r="K5" s="54" t="s">
        <v>22</v>
      </c>
      <c r="L5" s="54" t="s">
        <v>1936</v>
      </c>
      <c r="Q5" s="54">
        <v>1</v>
      </c>
    </row>
    <row r="6" spans="1:17" s="43" customFormat="1" x14ac:dyDescent="0.25">
      <c r="B6" s="43" t="s">
        <v>18</v>
      </c>
      <c r="C6" s="43" t="s">
        <v>1943</v>
      </c>
      <c r="D6" s="43" t="s">
        <v>1944</v>
      </c>
      <c r="E6" s="43" t="s">
        <v>1995</v>
      </c>
      <c r="F6" s="43" t="s">
        <v>39</v>
      </c>
      <c r="G6" s="43">
        <v>415</v>
      </c>
      <c r="H6" s="43">
        <v>35</v>
      </c>
      <c r="I6" s="43">
        <f t="shared" si="0"/>
        <v>380</v>
      </c>
      <c r="J6" s="43" t="s">
        <v>1940</v>
      </c>
      <c r="K6" s="43" t="s">
        <v>22</v>
      </c>
      <c r="L6" s="43" t="s">
        <v>1936</v>
      </c>
      <c r="Q6" s="43">
        <v>1</v>
      </c>
    </row>
    <row r="7" spans="1:17" s="34" customFormat="1" x14ac:dyDescent="0.25">
      <c r="B7" s="34" t="s">
        <v>18</v>
      </c>
      <c r="C7" s="34" t="s">
        <v>966</v>
      </c>
      <c r="D7" s="34" t="s">
        <v>1945</v>
      </c>
      <c r="E7" s="34" t="s">
        <v>968</v>
      </c>
      <c r="F7" s="34" t="s">
        <v>1263</v>
      </c>
      <c r="G7" s="34">
        <v>885</v>
      </c>
      <c r="H7" s="34">
        <v>25</v>
      </c>
      <c r="I7" s="34">
        <f t="shared" si="0"/>
        <v>860</v>
      </c>
      <c r="J7" s="34" t="s">
        <v>27</v>
      </c>
      <c r="K7" s="34" t="s">
        <v>22</v>
      </c>
      <c r="L7" s="34" t="s">
        <v>1936</v>
      </c>
      <c r="Q7" s="34">
        <v>1</v>
      </c>
    </row>
    <row r="8" spans="1:17" s="34" customFormat="1" x14ac:dyDescent="0.25">
      <c r="B8" s="34" t="s">
        <v>18</v>
      </c>
      <c r="C8" s="34" t="s">
        <v>1035</v>
      </c>
      <c r="D8" s="34" t="s">
        <v>1946</v>
      </c>
      <c r="E8" s="34" t="s">
        <v>1037</v>
      </c>
      <c r="F8" s="34" t="s">
        <v>1226</v>
      </c>
      <c r="G8" s="34">
        <v>815</v>
      </c>
      <c r="H8" s="34">
        <v>25</v>
      </c>
      <c r="I8" s="34">
        <f t="shared" si="0"/>
        <v>790</v>
      </c>
      <c r="J8" s="34" t="s">
        <v>27</v>
      </c>
      <c r="K8" s="34" t="s">
        <v>22</v>
      </c>
      <c r="L8" s="34" t="s">
        <v>1936</v>
      </c>
      <c r="Q8" s="34">
        <v>1</v>
      </c>
    </row>
    <row r="9" spans="1:17" s="43" customFormat="1" x14ac:dyDescent="0.25">
      <c r="B9" s="43" t="s">
        <v>18</v>
      </c>
      <c r="C9" s="43" t="s">
        <v>1947</v>
      </c>
      <c r="D9" s="43" t="s">
        <v>1948</v>
      </c>
      <c r="E9" s="43" t="s">
        <v>1949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1940</v>
      </c>
      <c r="K9" s="43" t="s">
        <v>22</v>
      </c>
      <c r="L9" s="43" t="s">
        <v>1936</v>
      </c>
      <c r="Q9" s="43">
        <v>1</v>
      </c>
    </row>
    <row r="10" spans="1:17" s="5" customFormat="1" x14ac:dyDescent="0.25">
      <c r="B10" s="5" t="s">
        <v>18</v>
      </c>
      <c r="C10" s="5" t="s">
        <v>1950</v>
      </c>
      <c r="D10" s="5" t="s">
        <v>1951</v>
      </c>
      <c r="E10" s="5" t="s">
        <v>1952</v>
      </c>
      <c r="F10" s="5" t="s">
        <v>118</v>
      </c>
      <c r="G10" s="5">
        <v>0</v>
      </c>
      <c r="H10" s="5">
        <v>25</v>
      </c>
      <c r="I10" s="5">
        <f t="shared" si="0"/>
        <v>-25</v>
      </c>
      <c r="J10" s="5" t="s">
        <v>22</v>
      </c>
      <c r="K10" s="5" t="s">
        <v>22</v>
      </c>
      <c r="L10" s="5" t="s">
        <v>1936</v>
      </c>
      <c r="Q10" s="5">
        <v>1</v>
      </c>
    </row>
    <row r="11" spans="1:17" s="43" customFormat="1" x14ac:dyDescent="0.25">
      <c r="B11" s="43" t="s">
        <v>18</v>
      </c>
      <c r="C11" s="43" t="s">
        <v>703</v>
      </c>
      <c r="D11" s="43" t="s">
        <v>1953</v>
      </c>
      <c r="E11" s="43" t="s">
        <v>705</v>
      </c>
      <c r="F11" s="43" t="s">
        <v>49</v>
      </c>
      <c r="G11" s="43">
        <v>740</v>
      </c>
      <c r="H11" s="43">
        <v>30</v>
      </c>
      <c r="I11" s="43">
        <f t="shared" si="0"/>
        <v>710</v>
      </c>
      <c r="J11" s="43" t="s">
        <v>1940</v>
      </c>
      <c r="K11" s="43" t="s">
        <v>22</v>
      </c>
      <c r="L11" s="43" t="s">
        <v>1936</v>
      </c>
      <c r="Q11" s="43">
        <v>1</v>
      </c>
    </row>
    <row r="12" spans="1:17" s="43" customFormat="1" x14ac:dyDescent="0.25">
      <c r="B12" s="43" t="s">
        <v>18</v>
      </c>
      <c r="C12" s="43" t="s">
        <v>1954</v>
      </c>
      <c r="D12" s="43" t="s">
        <v>1955</v>
      </c>
      <c r="E12" s="43" t="s">
        <v>1996</v>
      </c>
      <c r="F12" s="44" t="s">
        <v>1231</v>
      </c>
      <c r="G12" s="43">
        <v>0</v>
      </c>
      <c r="H12" s="43">
        <v>30</v>
      </c>
      <c r="I12" s="43">
        <f>-H12</f>
        <v>-30</v>
      </c>
      <c r="J12" s="43" t="s">
        <v>1940</v>
      </c>
      <c r="K12" s="43" t="s">
        <v>22</v>
      </c>
      <c r="L12" s="43" t="s">
        <v>1936</v>
      </c>
      <c r="Q12" s="43">
        <v>1</v>
      </c>
    </row>
    <row r="13" spans="1:17" s="43" customFormat="1" x14ac:dyDescent="0.25">
      <c r="B13" s="43" t="s">
        <v>18</v>
      </c>
      <c r="C13" s="43" t="s">
        <v>1956</v>
      </c>
      <c r="D13" s="43" t="s">
        <v>1957</v>
      </c>
      <c r="E13" s="43" t="s">
        <v>1997</v>
      </c>
      <c r="F13" s="43" t="s">
        <v>49</v>
      </c>
      <c r="G13" s="43">
        <v>1030</v>
      </c>
      <c r="H13" s="43">
        <v>30</v>
      </c>
      <c r="I13" s="43">
        <f t="shared" ref="I13:I25" si="1">G13-H13</f>
        <v>1000</v>
      </c>
      <c r="J13" s="43" t="s">
        <v>1940</v>
      </c>
      <c r="K13" s="43" t="s">
        <v>22</v>
      </c>
      <c r="L13" s="43" t="s">
        <v>1936</v>
      </c>
      <c r="Q13" s="43">
        <v>1</v>
      </c>
    </row>
    <row r="14" spans="1:17" s="5" customFormat="1" x14ac:dyDescent="0.25">
      <c r="B14" s="5" t="s">
        <v>18</v>
      </c>
      <c r="C14" s="5" t="s">
        <v>1958</v>
      </c>
      <c r="D14" s="5" t="s">
        <v>1959</v>
      </c>
      <c r="E14" s="5" t="s">
        <v>1986</v>
      </c>
      <c r="F14" s="5" t="s">
        <v>118</v>
      </c>
      <c r="G14" s="5">
        <v>0</v>
      </c>
      <c r="H14" s="5">
        <v>25</v>
      </c>
      <c r="I14" s="5">
        <f t="shared" si="1"/>
        <v>-25</v>
      </c>
      <c r="J14" s="5" t="s">
        <v>22</v>
      </c>
      <c r="K14" s="5" t="s">
        <v>22</v>
      </c>
      <c r="L14" s="5" t="s">
        <v>1936</v>
      </c>
      <c r="Q14" s="5">
        <v>1</v>
      </c>
    </row>
    <row r="15" spans="1:17" s="5" customFormat="1" x14ac:dyDescent="0.25">
      <c r="B15" s="5" t="s">
        <v>18</v>
      </c>
      <c r="C15" s="5" t="s">
        <v>1893</v>
      </c>
      <c r="D15" s="5" t="s">
        <v>1960</v>
      </c>
      <c r="E15" s="5" t="s">
        <v>1984</v>
      </c>
      <c r="F15" s="5" t="s">
        <v>1323</v>
      </c>
      <c r="G15" s="5">
        <v>700</v>
      </c>
      <c r="H15" s="5">
        <v>30</v>
      </c>
      <c r="I15" s="5">
        <f t="shared" si="1"/>
        <v>670</v>
      </c>
      <c r="J15" s="5" t="s">
        <v>22</v>
      </c>
      <c r="K15" s="5" t="s">
        <v>22</v>
      </c>
      <c r="L15" s="5" t="s">
        <v>1936</v>
      </c>
      <c r="Q15" s="5">
        <v>1</v>
      </c>
    </row>
    <row r="16" spans="1:17" s="34" customFormat="1" x14ac:dyDescent="0.25">
      <c r="B16" s="34" t="s">
        <v>18</v>
      </c>
      <c r="C16" s="34" t="s">
        <v>1961</v>
      </c>
      <c r="D16" s="34" t="s">
        <v>1962</v>
      </c>
      <c r="E16" s="34" t="s">
        <v>1990</v>
      </c>
      <c r="F16" s="34" t="s">
        <v>93</v>
      </c>
      <c r="G16" s="34">
        <v>810</v>
      </c>
      <c r="H16" s="34">
        <v>20</v>
      </c>
      <c r="I16" s="34">
        <f t="shared" si="1"/>
        <v>790</v>
      </c>
      <c r="J16" s="34" t="s">
        <v>27</v>
      </c>
      <c r="K16" s="34" t="s">
        <v>22</v>
      </c>
      <c r="L16" s="34" t="s">
        <v>1936</v>
      </c>
      <c r="Q16" s="34">
        <v>1</v>
      </c>
    </row>
    <row r="17" spans="1:17" s="43" customFormat="1" x14ac:dyDescent="0.25">
      <c r="B17" s="43" t="s">
        <v>18</v>
      </c>
      <c r="C17" s="43" t="s">
        <v>1963</v>
      </c>
      <c r="D17" s="43" t="s">
        <v>1964</v>
      </c>
      <c r="E17" s="43" t="s">
        <v>1994</v>
      </c>
      <c r="F17" s="43" t="s">
        <v>63</v>
      </c>
      <c r="G17" s="43">
        <v>915</v>
      </c>
      <c r="H17" s="43">
        <v>25</v>
      </c>
      <c r="I17" s="43">
        <f t="shared" si="1"/>
        <v>890</v>
      </c>
      <c r="J17" s="43" t="s">
        <v>1940</v>
      </c>
      <c r="K17" s="43" t="s">
        <v>22</v>
      </c>
      <c r="L17" s="43" t="s">
        <v>1936</v>
      </c>
      <c r="Q17" s="43">
        <v>1</v>
      </c>
    </row>
    <row r="18" spans="1:17" s="43" customFormat="1" x14ac:dyDescent="0.25">
      <c r="B18" s="43" t="s">
        <v>18</v>
      </c>
      <c r="C18" s="43" t="s">
        <v>1774</v>
      </c>
      <c r="D18" s="43" t="s">
        <v>1991</v>
      </c>
      <c r="E18" s="43" t="s">
        <v>1992</v>
      </c>
      <c r="F18" s="43" t="s">
        <v>1231</v>
      </c>
      <c r="G18" s="43">
        <v>800</v>
      </c>
      <c r="H18" s="43">
        <v>30</v>
      </c>
      <c r="I18" s="43">
        <f t="shared" si="1"/>
        <v>770</v>
      </c>
      <c r="J18" s="43" t="s">
        <v>1940</v>
      </c>
      <c r="K18" s="43" t="s">
        <v>22</v>
      </c>
      <c r="L18" s="43" t="s">
        <v>1936</v>
      </c>
      <c r="Q18" s="43">
        <v>1</v>
      </c>
    </row>
    <row r="19" spans="1:17" s="5" customFormat="1" x14ac:dyDescent="0.25">
      <c r="B19" s="5" t="s">
        <v>18</v>
      </c>
      <c r="C19" s="5" t="s">
        <v>1966</v>
      </c>
      <c r="D19" s="5" t="s">
        <v>1967</v>
      </c>
      <c r="E19" s="5" t="s">
        <v>1985</v>
      </c>
      <c r="F19" s="8" t="s">
        <v>1323</v>
      </c>
      <c r="G19" s="5">
        <v>820</v>
      </c>
      <c r="H19" s="5">
        <v>30</v>
      </c>
      <c r="I19" s="5">
        <f t="shared" si="1"/>
        <v>790</v>
      </c>
      <c r="J19" s="5" t="s">
        <v>22</v>
      </c>
      <c r="K19" s="5" t="s">
        <v>22</v>
      </c>
      <c r="L19" s="5" t="s">
        <v>1936</v>
      </c>
      <c r="Q19" s="5">
        <v>1</v>
      </c>
    </row>
    <row r="20" spans="1:17" s="43" customFormat="1" x14ac:dyDescent="0.25">
      <c r="B20" s="43" t="s">
        <v>18</v>
      </c>
      <c r="C20" s="43" t="s">
        <v>1968</v>
      </c>
      <c r="D20" s="43" t="s">
        <v>1993</v>
      </c>
      <c r="E20" s="43" t="s">
        <v>1969</v>
      </c>
      <c r="F20" s="43" t="s">
        <v>39</v>
      </c>
      <c r="G20" s="43">
        <v>745</v>
      </c>
      <c r="H20" s="43">
        <v>35</v>
      </c>
      <c r="I20" s="43">
        <f t="shared" si="1"/>
        <v>710</v>
      </c>
      <c r="J20" s="43" t="s">
        <v>1940</v>
      </c>
      <c r="K20" s="43" t="s">
        <v>22</v>
      </c>
      <c r="L20" s="43" t="s">
        <v>1936</v>
      </c>
      <c r="Q20" s="43">
        <v>1</v>
      </c>
    </row>
    <row r="21" spans="1:17" s="43" customFormat="1" x14ac:dyDescent="0.25">
      <c r="B21" s="43" t="s">
        <v>18</v>
      </c>
      <c r="C21" s="43" t="s">
        <v>1917</v>
      </c>
      <c r="D21" s="43" t="s">
        <v>1970</v>
      </c>
      <c r="E21" s="43" t="s">
        <v>1919</v>
      </c>
      <c r="F21" s="44" t="s">
        <v>1270</v>
      </c>
      <c r="G21" s="43">
        <v>30</v>
      </c>
      <c r="H21" s="43">
        <v>30</v>
      </c>
      <c r="I21" s="43">
        <f t="shared" si="1"/>
        <v>0</v>
      </c>
      <c r="J21" s="43" t="s">
        <v>1940</v>
      </c>
      <c r="K21" s="43" t="s">
        <v>22</v>
      </c>
      <c r="L21" s="43" t="s">
        <v>1936</v>
      </c>
      <c r="M21" s="43" t="s">
        <v>299</v>
      </c>
      <c r="Q21" s="43">
        <v>1</v>
      </c>
    </row>
    <row r="22" spans="1:17" s="34" customFormat="1" x14ac:dyDescent="0.25">
      <c r="B22" s="34" t="s">
        <v>18</v>
      </c>
      <c r="C22" s="34" t="s">
        <v>1971</v>
      </c>
      <c r="D22" s="34" t="s">
        <v>1972</v>
      </c>
      <c r="E22" s="34" t="s">
        <v>1973</v>
      </c>
      <c r="F22" s="34" t="s">
        <v>97</v>
      </c>
      <c r="G22" s="34">
        <v>845</v>
      </c>
      <c r="H22" s="34">
        <v>25</v>
      </c>
      <c r="I22" s="34">
        <f t="shared" si="1"/>
        <v>820</v>
      </c>
      <c r="J22" s="34" t="s">
        <v>27</v>
      </c>
      <c r="K22" s="34" t="s">
        <v>22</v>
      </c>
      <c r="L22" s="34" t="s">
        <v>1936</v>
      </c>
      <c r="Q22" s="34">
        <v>1</v>
      </c>
    </row>
    <row r="23" spans="1:17" s="34" customFormat="1" x14ac:dyDescent="0.25">
      <c r="B23" s="34" t="s">
        <v>18</v>
      </c>
      <c r="C23" s="34" t="s">
        <v>1974</v>
      </c>
      <c r="D23" s="34" t="s">
        <v>1975</v>
      </c>
      <c r="E23" s="34" t="s">
        <v>681</v>
      </c>
      <c r="F23" s="34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1936</v>
      </c>
      <c r="Q23" s="34">
        <v>1</v>
      </c>
    </row>
    <row r="24" spans="1:17" s="34" customFormat="1" x14ac:dyDescent="0.25">
      <c r="B24" s="34" t="s">
        <v>18</v>
      </c>
      <c r="C24" s="34" t="s">
        <v>1799</v>
      </c>
      <c r="D24" s="34" t="s">
        <v>1976</v>
      </c>
      <c r="E24" s="34" t="s">
        <v>1977</v>
      </c>
      <c r="F24" s="34" t="s">
        <v>1244</v>
      </c>
      <c r="G24" s="34">
        <v>55</v>
      </c>
      <c r="H24" s="34">
        <v>25</v>
      </c>
      <c r="I24" s="34">
        <f t="shared" si="1"/>
        <v>30</v>
      </c>
      <c r="J24" s="34" t="s">
        <v>27</v>
      </c>
      <c r="K24" s="34" t="s">
        <v>22</v>
      </c>
      <c r="L24" s="34" t="s">
        <v>1936</v>
      </c>
      <c r="M24" s="34" t="s">
        <v>299</v>
      </c>
      <c r="Q24" s="34">
        <v>1</v>
      </c>
    </row>
    <row r="25" spans="1:17" s="5" customFormat="1" x14ac:dyDescent="0.25">
      <c r="B25" s="5" t="s">
        <v>18</v>
      </c>
      <c r="C25" s="5" t="s">
        <v>1978</v>
      </c>
      <c r="D25" s="5" t="s">
        <v>1979</v>
      </c>
      <c r="E25" s="5" t="s">
        <v>1989</v>
      </c>
      <c r="F25" s="5" t="s">
        <v>118</v>
      </c>
      <c r="G25" s="5">
        <v>945</v>
      </c>
      <c r="H25" s="5">
        <v>25</v>
      </c>
      <c r="I25" s="5">
        <f t="shared" si="1"/>
        <v>920</v>
      </c>
      <c r="J25" s="5" t="s">
        <v>22</v>
      </c>
      <c r="K25" s="5" t="s">
        <v>22</v>
      </c>
      <c r="L25" s="5" t="s">
        <v>1936</v>
      </c>
      <c r="Q25" s="5">
        <v>1</v>
      </c>
    </row>
    <row r="26" spans="1:17" s="5" customFormat="1" x14ac:dyDescent="0.25">
      <c r="A26" s="5" t="s">
        <v>255</v>
      </c>
      <c r="B26" s="5" t="s">
        <v>18</v>
      </c>
      <c r="C26" s="5" t="s">
        <v>1980</v>
      </c>
      <c r="E26" s="5" t="s">
        <v>441</v>
      </c>
      <c r="F26" s="5" t="s">
        <v>1289</v>
      </c>
      <c r="G26" s="5">
        <v>0</v>
      </c>
      <c r="H26" s="5">
        <v>35</v>
      </c>
      <c r="I26" s="5">
        <f>G26-H26</f>
        <v>-35</v>
      </c>
      <c r="J26" s="5" t="s">
        <v>22</v>
      </c>
      <c r="K26" s="5" t="s">
        <v>22</v>
      </c>
      <c r="L26" s="5" t="s">
        <v>1936</v>
      </c>
      <c r="Q26" s="5">
        <v>1</v>
      </c>
    </row>
    <row r="27" spans="1:17" s="5" customFormat="1" x14ac:dyDescent="0.25">
      <c r="A27" s="5" t="s">
        <v>255</v>
      </c>
      <c r="B27" s="5" t="s">
        <v>18</v>
      </c>
      <c r="C27" s="5" t="s">
        <v>1981</v>
      </c>
      <c r="E27" s="5" t="s">
        <v>436</v>
      </c>
      <c r="F27" s="5" t="s">
        <v>1289</v>
      </c>
      <c r="G27" s="5">
        <v>0</v>
      </c>
      <c r="H27" s="5">
        <v>45</v>
      </c>
      <c r="I27" s="5">
        <f t="shared" ref="I27:I31" si="2">G27-H27</f>
        <v>-45</v>
      </c>
      <c r="J27" s="5" t="s">
        <v>22</v>
      </c>
      <c r="K27" s="5" t="s">
        <v>22</v>
      </c>
      <c r="L27" s="5" t="s">
        <v>1936</v>
      </c>
      <c r="Q27" s="5">
        <v>1</v>
      </c>
    </row>
    <row r="28" spans="1:17" s="5" customFormat="1" x14ac:dyDescent="0.25">
      <c r="A28" s="5" t="s">
        <v>255</v>
      </c>
      <c r="B28" s="5" t="s">
        <v>18</v>
      </c>
      <c r="C28" s="5" t="s">
        <v>1982</v>
      </c>
      <c r="E28" s="5" t="s">
        <v>1983</v>
      </c>
      <c r="F28" s="5" t="s">
        <v>97</v>
      </c>
      <c r="G28" s="5">
        <v>30</v>
      </c>
      <c r="H28" s="5">
        <v>30</v>
      </c>
      <c r="I28" s="5">
        <f t="shared" si="2"/>
        <v>0</v>
      </c>
      <c r="J28" s="5" t="s">
        <v>22</v>
      </c>
      <c r="K28" s="5" t="s">
        <v>22</v>
      </c>
      <c r="L28" s="5" t="s">
        <v>1936</v>
      </c>
      <c r="Q28" s="5">
        <v>1</v>
      </c>
    </row>
    <row r="29" spans="1:17" s="43" customFormat="1" x14ac:dyDescent="0.25">
      <c r="A29" s="43" t="s">
        <v>255</v>
      </c>
      <c r="B29" s="43" t="s">
        <v>18</v>
      </c>
      <c r="C29" s="43" t="s">
        <v>1405</v>
      </c>
      <c r="E29" s="43" t="s">
        <v>257</v>
      </c>
      <c r="F29" s="44">
        <v>6</v>
      </c>
      <c r="G29" s="43">
        <v>0</v>
      </c>
      <c r="H29" s="43">
        <v>30</v>
      </c>
      <c r="I29" s="43">
        <f t="shared" si="2"/>
        <v>-30</v>
      </c>
      <c r="J29" s="43" t="s">
        <v>1940</v>
      </c>
      <c r="K29" s="43" t="s">
        <v>22</v>
      </c>
      <c r="L29" s="43" t="s">
        <v>1936</v>
      </c>
      <c r="Q29" s="43">
        <v>1</v>
      </c>
    </row>
    <row r="30" spans="1:17" s="33" customFormat="1" x14ac:dyDescent="0.25">
      <c r="B30" s="33" t="s">
        <v>18</v>
      </c>
      <c r="C30" s="33" t="s">
        <v>1353</v>
      </c>
      <c r="D30" s="33" t="s">
        <v>1354</v>
      </c>
      <c r="E30" s="33" t="s">
        <v>1355</v>
      </c>
      <c r="F30" s="46">
        <v>1</v>
      </c>
      <c r="G30" s="33">
        <v>580</v>
      </c>
      <c r="H30" s="33">
        <v>0</v>
      </c>
      <c r="I30" s="20">
        <f t="shared" si="2"/>
        <v>580</v>
      </c>
      <c r="J30" s="33" t="s">
        <v>425</v>
      </c>
      <c r="K30" s="33" t="s">
        <v>22</v>
      </c>
      <c r="L30" s="33" t="s">
        <v>1223</v>
      </c>
      <c r="M30" s="33" t="s">
        <v>74</v>
      </c>
      <c r="N30" s="33" t="s">
        <v>275</v>
      </c>
      <c r="O30" s="33" t="s">
        <v>275</v>
      </c>
      <c r="P30" s="33" t="s">
        <v>427</v>
      </c>
      <c r="Q30" s="33">
        <v>1</v>
      </c>
    </row>
    <row r="31" spans="1:17" s="5" customFormat="1" x14ac:dyDescent="0.25">
      <c r="B31" s="5" t="s">
        <v>18</v>
      </c>
      <c r="C31" s="5" t="s">
        <v>1987</v>
      </c>
      <c r="D31" s="5" t="s">
        <v>1965</v>
      </c>
      <c r="E31" s="5" t="s">
        <v>1988</v>
      </c>
      <c r="F31" s="8" t="s">
        <v>1323</v>
      </c>
      <c r="G31" s="5">
        <v>2910</v>
      </c>
      <c r="H31" s="5">
        <v>35</v>
      </c>
      <c r="I31" s="5">
        <f t="shared" si="2"/>
        <v>2875</v>
      </c>
      <c r="J31" s="5" t="s">
        <v>22</v>
      </c>
      <c r="K31" s="5" t="s">
        <v>22</v>
      </c>
      <c r="L31" s="5" t="s">
        <v>1936</v>
      </c>
      <c r="Q31" s="5">
        <v>1</v>
      </c>
    </row>
    <row r="32" spans="1:17" s="33" customFormat="1" x14ac:dyDescent="0.25">
      <c r="B32" s="33" t="s">
        <v>18</v>
      </c>
      <c r="C32" s="33" t="s">
        <v>662</v>
      </c>
      <c r="D32" s="33" t="s">
        <v>1688</v>
      </c>
      <c r="E32" s="33" t="s">
        <v>1689</v>
      </c>
      <c r="F32" s="33" t="s">
        <v>1270</v>
      </c>
      <c r="G32" s="33">
        <v>820</v>
      </c>
      <c r="H32" s="33">
        <v>0</v>
      </c>
      <c r="I32" s="33">
        <v>820</v>
      </c>
      <c r="J32" s="33" t="s">
        <v>425</v>
      </c>
      <c r="K32" s="33" t="s">
        <v>22</v>
      </c>
      <c r="L32" s="33" t="s">
        <v>1604</v>
      </c>
      <c r="M32" s="33" t="s">
        <v>74</v>
      </c>
      <c r="N32" s="33" t="s">
        <v>275</v>
      </c>
      <c r="O32" s="33" t="s">
        <v>275</v>
      </c>
      <c r="P32" s="33" t="s">
        <v>427</v>
      </c>
      <c r="Q32" s="33">
        <v>1</v>
      </c>
    </row>
    <row r="33" spans="2:17" s="33" customFormat="1" x14ac:dyDescent="0.25">
      <c r="B33" s="33" t="s">
        <v>18</v>
      </c>
      <c r="C33" s="33" t="s">
        <v>1650</v>
      </c>
      <c r="D33" s="33" t="s">
        <v>1651</v>
      </c>
      <c r="E33" s="33" t="s">
        <v>1652</v>
      </c>
      <c r="F33" s="33" t="s">
        <v>1231</v>
      </c>
      <c r="G33" s="33">
        <v>590</v>
      </c>
      <c r="H33" s="33">
        <v>0</v>
      </c>
      <c r="I33" s="33">
        <v>590</v>
      </c>
      <c r="J33" s="33" t="s">
        <v>425</v>
      </c>
      <c r="K33" s="33" t="s">
        <v>22</v>
      </c>
      <c r="L33" s="33" t="s">
        <v>1604</v>
      </c>
      <c r="M33" s="33" t="s">
        <v>74</v>
      </c>
      <c r="N33" s="33" t="s">
        <v>275</v>
      </c>
      <c r="O33" s="33" t="s">
        <v>275</v>
      </c>
      <c r="P33" s="33" t="s">
        <v>427</v>
      </c>
      <c r="Q33" s="33">
        <v>1</v>
      </c>
    </row>
    <row r="34" spans="2:17" s="33" customFormat="1" x14ac:dyDescent="0.25">
      <c r="B34" s="33" t="s">
        <v>18</v>
      </c>
      <c r="C34" s="33" t="s">
        <v>1274</v>
      </c>
      <c r="D34" s="33" t="s">
        <v>1275</v>
      </c>
      <c r="E34" s="33" t="s">
        <v>1276</v>
      </c>
      <c r="F34" s="33" t="s">
        <v>1075</v>
      </c>
      <c r="G34" s="33">
        <v>640</v>
      </c>
      <c r="H34" s="33">
        <v>0</v>
      </c>
      <c r="I34" s="33">
        <v>640</v>
      </c>
      <c r="J34" s="33" t="s">
        <v>425</v>
      </c>
      <c r="K34" s="33" t="s">
        <v>22</v>
      </c>
      <c r="L34" s="33" t="s">
        <v>1223</v>
      </c>
      <c r="M34" s="33" t="s">
        <v>74</v>
      </c>
      <c r="N34" s="33" t="s">
        <v>275</v>
      </c>
      <c r="O34" s="33" t="s">
        <v>275</v>
      </c>
      <c r="P34" s="33" t="s">
        <v>427</v>
      </c>
      <c r="Q34" s="33">
        <v>1</v>
      </c>
    </row>
    <row r="35" spans="2:17" s="33" customFormat="1" x14ac:dyDescent="0.25">
      <c r="B35" s="33" t="s">
        <v>18</v>
      </c>
      <c r="C35" s="33" t="s">
        <v>1781</v>
      </c>
      <c r="D35" s="33" t="s">
        <v>1782</v>
      </c>
      <c r="E35" s="33" t="s">
        <v>1783</v>
      </c>
      <c r="F35" s="33" t="s">
        <v>1248</v>
      </c>
      <c r="G35" s="33">
        <v>745</v>
      </c>
      <c r="H35" s="33">
        <v>0</v>
      </c>
      <c r="I35" s="33">
        <v>720</v>
      </c>
      <c r="J35" s="33" t="s">
        <v>27</v>
      </c>
      <c r="K35" s="33" t="s">
        <v>22</v>
      </c>
      <c r="L35" s="33" t="s">
        <v>1766</v>
      </c>
      <c r="N35" s="33" t="s">
        <v>275</v>
      </c>
      <c r="O35" s="33" t="s">
        <v>275</v>
      </c>
      <c r="P35" s="33" t="s">
        <v>427</v>
      </c>
      <c r="Q35" s="33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2026-04-01T03:50:58Z</dcterms:modified>
</cp:coreProperties>
</file>