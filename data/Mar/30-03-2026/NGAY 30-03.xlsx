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Work\Freelance\TextInputter\data\Mar\30-03-2026\"/>
    </mc:Choice>
  </mc:AlternateContent>
  <xr:revisionPtr revIDLastSave="0" documentId="13_ncr:1_{B327E489-4658-4C79-90F0-2EE2BC2912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-03" sheetId="2" r:id="rId1"/>
  </sheets>
  <definedNames>
    <definedName name="_xlnm._FilterDatabase" localSheetId="0" hidden="1">'30-03'!$A$2:$P$68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D70" i="2"/>
  <c r="G70" i="2"/>
  <c r="H70" i="2"/>
  <c r="I70" i="2"/>
  <c r="J70" i="2"/>
  <c r="K70" i="2"/>
  <c r="L70" i="2"/>
  <c r="M70" i="2"/>
  <c r="N70" i="2"/>
  <c r="O70" i="2"/>
  <c r="P70" i="2"/>
  <c r="Q70" i="2"/>
  <c r="H71" i="2"/>
  <c r="H72" i="2"/>
  <c r="C73" i="2"/>
  <c r="C76" i="2" s="1"/>
  <c r="C80" i="2" s="1"/>
  <c r="P77" i="2" s="1"/>
  <c r="E73" i="2"/>
  <c r="E76" i="2" s="1"/>
  <c r="H73" i="2"/>
  <c r="L73" i="2"/>
  <c r="M73" i="2"/>
  <c r="M74" i="2"/>
  <c r="L74" i="2" s="1"/>
  <c r="C75" i="2"/>
  <c r="E75" i="2"/>
  <c r="M75" i="2"/>
  <c r="L75" i="2" s="1"/>
  <c r="M78" i="2"/>
  <c r="L81" i="2"/>
  <c r="M81" i="2"/>
  <c r="L82" i="2"/>
  <c r="M82" i="2"/>
  <c r="M86" i="2"/>
  <c r="L89" i="2"/>
  <c r="M89" i="2"/>
  <c r="M94" i="2" s="1"/>
  <c r="M90" i="2"/>
  <c r="L90" i="2" s="1"/>
  <c r="L97" i="2"/>
  <c r="M97" i="2"/>
  <c r="M102" i="2" s="1"/>
  <c r="M98" i="2"/>
  <c r="L98" i="2" s="1"/>
  <c r="L86" i="2" l="1"/>
  <c r="P74" i="2" s="1"/>
  <c r="L78" i="2"/>
  <c r="P73" i="2" s="1"/>
  <c r="L94" i="2"/>
  <c r="P75" i="2" s="1"/>
  <c r="L102" i="2"/>
  <c r="P76" i="2" s="1"/>
  <c r="P78" i="2" l="1"/>
</calcChain>
</file>

<file path=xl/sharedStrings.xml><?xml version="1.0" encoding="utf-8"?>
<sst xmlns="http://schemas.openxmlformats.org/spreadsheetml/2006/main" count="565" uniqueCount="245">
  <si>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</si>
  <si>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</si>
  <si>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</si>
  <si>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</si>
  <si>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</si>
  <si>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</si>
  <si>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</si>
  <si>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</si>
  <si>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</si>
  <si>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</si>
  <si>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</si>
  <si>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</si>
  <si>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</si>
  <si>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</si>
  <si>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</si>
  <si>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</si>
  <si>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_col17</t>
  </si>
  <si>
    <t>hàng sỉ</t>
  </si>
  <si>
    <t>ĐOÀN NGÂN CHÂU</t>
  </si>
  <si>
    <t>Mr Thế</t>
  </si>
  <si>
    <t>27/5 Quách Văn Tuấn, F12</t>
  </si>
  <si>
    <t>tan binh</t>
  </si>
  <si>
    <t>c.cuong</t>
  </si>
  <si>
    <t>30-03-2026</t>
  </si>
  <si>
    <t>HƯƠNG TRẦN</t>
  </si>
  <si>
    <t>261/2c chu văn an p12</t>
  </si>
  <si>
    <t>binh thanh</t>
  </si>
  <si>
    <t>Jess-9244</t>
  </si>
  <si>
    <t>275/14B1 Đặng Nguyên Cẩn, Phường Phú Lâm</t>
  </si>
  <si>
    <t>AT 30-03</t>
  </si>
  <si>
    <t>NGUYÊN NGUYÊN</t>
  </si>
  <si>
    <t>12 TÔN ĐẢN P13</t>
  </si>
  <si>
    <t>c.hieu</t>
  </si>
  <si>
    <t>Tuyết Nhi</t>
  </si>
  <si>
    <t>170F Tân Hòa Đông f14</t>
  </si>
  <si>
    <t>BELLA TRẦN</t>
  </si>
  <si>
    <t>66 đường 17 p10</t>
  </si>
  <si>
    <t>Tăng Thư Thư</t>
  </si>
  <si>
    <t>HD005791</t>
  </si>
  <si>
    <t>Ship 270 hong lac f11</t>
  </si>
  <si>
    <t>Huỳnh Như</t>
  </si>
  <si>
    <t>HD005948</t>
  </si>
  <si>
    <t>Block B chung cư Mia đường 9a kdc trung sơn bình Hưng</t>
  </si>
  <si>
    <t>binh chanh</t>
  </si>
  <si>
    <t>Phi Âu</t>
  </si>
  <si>
    <t>HD006009</t>
  </si>
  <si>
    <t>lexington, block LD01.03, 67mai chí thọ, bình trưng</t>
  </si>
  <si>
    <t>Thảo Trần</t>
  </si>
  <si>
    <t>HD005828</t>
  </si>
  <si>
    <t>sunrise w1, 25 nguyễn hữu thọ, tân hưng</t>
  </si>
  <si>
    <t>đổi hàng</t>
  </si>
  <si>
    <t>Yu Mi</t>
  </si>
  <si>
    <t>HD006184</t>
  </si>
  <si>
    <t>346 bến vân đồn p1 ( chung cư gold view, Block a3 )</t>
  </si>
  <si>
    <t>Tieu My</t>
  </si>
  <si>
    <t>HD006206</t>
  </si>
  <si>
    <t>h8 cư xá phú lâm B, đường bà hơm, phường 13</t>
  </si>
  <si>
    <t>Đan Phượng</t>
  </si>
  <si>
    <t>HD005900</t>
  </si>
  <si>
    <t>35/2 đường 11,bình thọ</t>
  </si>
  <si>
    <t>thu duc</t>
  </si>
  <si>
    <t>Nguyễn Hồng Thoa</t>
  </si>
  <si>
    <t>HD005735</t>
  </si>
  <si>
    <t>112 bùi thị Xuân bến thành</t>
  </si>
  <si>
    <t>Thao My</t>
  </si>
  <si>
    <t>HD006091</t>
  </si>
  <si>
    <t>346 Bên Vân đồn f1 Chung cư Gold View</t>
  </si>
  <si>
    <t>Người nhận: Fb Phương Mai</t>
  </si>
  <si>
    <t>HD005930</t>
  </si>
  <si>
    <t>433/11/2 Lê Đức Thọ, Phường 17</t>
  </si>
  <si>
    <t>go vap</t>
  </si>
  <si>
    <t>Yến Nhi</t>
  </si>
  <si>
    <t>HD005756</t>
  </si>
  <si>
    <t>17/9 đường 59 phường thảo điền</t>
  </si>
  <si>
    <t>Thanh Thanh</t>
  </si>
  <si>
    <t>HD005888</t>
  </si>
  <si>
    <t>107 vinh hội p4</t>
  </si>
  <si>
    <t>Nuh Nguyen</t>
  </si>
  <si>
    <t>HD006203</t>
  </si>
  <si>
    <t>Cc Vision Đ.Trần Đại Nghĩa,P Tân Tạo A</t>
  </si>
  <si>
    <t>binh tan</t>
  </si>
  <si>
    <t>Jenny Nguyen-9654 Tampines #0-690 Jenny: 92721531</t>
  </si>
  <si>
    <t>HD005753</t>
  </si>
  <si>
    <t>19 yên thế, Phuong 2</t>
  </si>
  <si>
    <t>Lee Nhi</t>
  </si>
  <si>
    <t>HD006024</t>
  </si>
  <si>
    <t>S5-03 saroma villas phường an khánh</t>
  </si>
  <si>
    <t>Nhan Nguyễn</t>
  </si>
  <si>
    <t>HD005929</t>
  </si>
  <si>
    <t>166 chung cư Phú thọ, Nguyễn thị nhỏ, P. Phú thọ</t>
  </si>
  <si>
    <t>C Hằng</t>
  </si>
  <si>
    <t>HD005721</t>
  </si>
  <si>
    <t>9 Nguyễn Thị Minh Khai, p Sài Gòn, tp HCM (Ngay Đài truyền hình HTV)</t>
  </si>
  <si>
    <t>Jenny (zl)</t>
  </si>
  <si>
    <t>HD006119</t>
  </si>
  <si>
    <t>201/12 mã lò, phường Bình Trị Đông A</t>
  </si>
  <si>
    <t>Jessica Châu</t>
  </si>
  <si>
    <t>HD006032</t>
  </si>
  <si>
    <t>14, đường 32A, p.bình trị đông</t>
  </si>
  <si>
    <t>Anh Đào nhận dùm fb Ngô Thu</t>
  </si>
  <si>
    <t>HD006038</t>
  </si>
  <si>
    <t>72 Tân Hải, Phường 13 , Hồ Chí Minh</t>
  </si>
  <si>
    <t>Ngọc Ngân</t>
  </si>
  <si>
    <t>HD006157</t>
  </si>
  <si>
    <t>30/35 đường thạnh mỹ lợi, kp1, p thạnh mỹ lợi</t>
  </si>
  <si>
    <t>Huyền Bún</t>
  </si>
  <si>
    <t>HD005835</t>
  </si>
  <si>
    <t>chung cư Moscow Tower - đường tân thới nhất 17-p tân thới nhất</t>
  </si>
  <si>
    <t>Kim Kim Kim</t>
  </si>
  <si>
    <t>HD006035</t>
  </si>
  <si>
    <t>A75/6B/2 Bạch Đằng, Phường 2</t>
  </si>
  <si>
    <t>CUs One Seven Eight Zero Zero- CUS17800 - insta socheatahun</t>
  </si>
  <si>
    <t>HD005883</t>
  </si>
  <si>
    <t>270B Lý thường kiệt, khu phố 1, Phường 6</t>
  </si>
  <si>
    <t>Ngọc Tuyền</t>
  </si>
  <si>
    <t>HD005949</t>
  </si>
  <si>
    <t>86 Đường Số 17A, Bình Trị Đông B, An Lạc</t>
  </si>
  <si>
    <t>Thanh Hà Phạm</t>
  </si>
  <si>
    <t>HD005936</t>
  </si>
  <si>
    <t>29/15 yên thế, p2</t>
  </si>
  <si>
    <t>Kiều Filler</t>
  </si>
  <si>
    <t>HD006142</t>
  </si>
  <si>
    <t>166/48c thích quảng Đức</t>
  </si>
  <si>
    <t>phu nhuan</t>
  </si>
  <si>
    <t>Phương Phạm</t>
  </si>
  <si>
    <t>HD005911</t>
  </si>
  <si>
    <t>Bs16A vinhome grand park long bình</t>
  </si>
  <si>
    <t>a.quyen</t>
  </si>
  <si>
    <t>Nguyet</t>
  </si>
  <si>
    <t>HD006353</t>
  </si>
  <si>
    <t>Toà nhà lux 6...Vinhomes Golden River ( Bason), 2 Nguyễn Hữu Cảnh, P. Bến Nghé</t>
  </si>
  <si>
    <t>Nhung Xuxy</t>
  </si>
  <si>
    <t>HD006029</t>
  </si>
  <si>
    <t>2/11 thiên phước phường 9</t>
  </si>
  <si>
    <t>Đỗ Đông Mi</t>
  </si>
  <si>
    <t>HD005779</t>
  </si>
  <si>
    <t>115 phan huy thuc ptan kieng</t>
  </si>
  <si>
    <t>Nguyễn Thủy</t>
  </si>
  <si>
    <t>HD005746</t>
  </si>
  <si>
    <t>51/18/120 phạm văn chiêu</t>
  </si>
  <si>
    <t>Sen Tina Huynh</t>
  </si>
  <si>
    <t>HD005830</t>
  </si>
  <si>
    <t>37 thích minh nguyệt p2</t>
  </si>
  <si>
    <t>Oanh Trương</t>
  </si>
  <si>
    <t>HD006315</t>
  </si>
  <si>
    <t>132 bến vân đồn</t>
  </si>
  <si>
    <t>Nguyễn Thị Kim Thoa</t>
  </si>
  <si>
    <t>HD005838</t>
  </si>
  <si>
    <t>số 25a đường 22 bình hưng hòa a</t>
  </si>
  <si>
    <t>My My</t>
  </si>
  <si>
    <t>HD006086</t>
  </si>
  <si>
    <t>53 Phan Đình Phùng, p15</t>
  </si>
  <si>
    <t>Susi Be</t>
  </si>
  <si>
    <t>HD005818</t>
  </si>
  <si>
    <t>143 ni sư huỳnh liên, p bảy hiền</t>
  </si>
  <si>
    <t>Ngọc Trinh</t>
  </si>
  <si>
    <t>HD005787</t>
  </si>
  <si>
    <t>261 lê đại hành p phú thọ</t>
  </si>
  <si>
    <t>Tuyet Nhung Nguyen</t>
  </si>
  <si>
    <t>HD006099</t>
  </si>
  <si>
    <t>35 Duy Tân phường 8</t>
  </si>
  <si>
    <t>Hoàng Ngọc Ánh</t>
  </si>
  <si>
    <t>HD006346</t>
  </si>
  <si>
    <t>Địa chỉ 22a đường số 19 Hiệp Bình Chánh</t>
  </si>
  <si>
    <t>Van May</t>
  </si>
  <si>
    <t>HD006320</t>
  </si>
  <si>
    <t>483 lô Q đoàn văn bơ p9</t>
  </si>
  <si>
    <t>Marry Tran</t>
  </si>
  <si>
    <t>HD006137</t>
  </si>
  <si>
    <t>6/5 Dương van Nga Phường 3</t>
  </si>
  <si>
    <t>Thuy Phan</t>
  </si>
  <si>
    <t>HD005775</t>
  </si>
  <si>
    <t>95/43/19/37 lê văn lương, p tan kiểng</t>
  </si>
  <si>
    <t>ALAN</t>
  </si>
  <si>
    <t>HD005837</t>
  </si>
  <si>
    <t>163/11, Đường Vườn Lài, KP2, P. An Phú Đông</t>
  </si>
  <si>
    <t>Khổng My</t>
  </si>
  <si>
    <t>HD006269</t>
  </si>
  <si>
    <t>34/1a liên khu 4-5 phường Bình Hưng Hòa B</t>
  </si>
  <si>
    <t>Linh Trần</t>
  </si>
  <si>
    <t>HD006318</t>
  </si>
  <si>
    <t>132 Bến Văn Đồn phường 6</t>
  </si>
  <si>
    <t>W3235</t>
  </si>
  <si>
    <t>HD005705</t>
  </si>
  <si>
    <t>Địa chỉ: 375 tân thới hiệp 21, Tổ 3,Kp3 ( nhớ gõ đủ)</t>
  </si>
  <si>
    <t>Ha Hoa tikok @ha hoa 35</t>
  </si>
  <si>
    <t>HD006258</t>
  </si>
  <si>
    <t>766/6 sư vạn hạnh phường hòa trưng</t>
  </si>
  <si>
    <t>Minh Thư</t>
  </si>
  <si>
    <t>HD006103</t>
  </si>
  <si>
    <t>6/24 tân chánh hiệp 36, p trung mỹ tây</t>
  </si>
  <si>
    <t>Phụng</t>
  </si>
  <si>
    <t>HD006244</t>
  </si>
  <si>
    <t>597 Lê Hồng Phong, P10</t>
  </si>
  <si>
    <t>My Quynh Ngo</t>
  </si>
  <si>
    <t>HD006328</t>
  </si>
  <si>
    <t>11C, Thạnh Lộc 14, An Phú Đông</t>
  </si>
  <si>
    <t>Huệ Nghi</t>
  </si>
  <si>
    <t>HD006214</t>
  </si>
  <si>
    <t>36 phó đức chính</t>
  </si>
  <si>
    <t>HD005918</t>
  </si>
  <si>
    <t>chung cư sadora lock D phường an lợi đông</t>
  </si>
  <si>
    <t>Dung Nguyễn</t>
  </si>
  <si>
    <t>HD006326</t>
  </si>
  <si>
    <t>322/8 đào sự tích phước lộc</t>
  </si>
  <si>
    <t>nha be</t>
  </si>
  <si>
    <t>Hy An</t>
  </si>
  <si>
    <t>HD006355</t>
  </si>
  <si>
    <t>226 an dương vương, p bình phú ( p.16 cũ)</t>
  </si>
  <si>
    <t>Nguyễn Bích Trâm</t>
  </si>
  <si>
    <t>HD006305</t>
  </si>
  <si>
    <t>ACB Hàng Xanh, 278 Xô Viết Nghệ Tĩnh, Phường Thạnh Mỹ Tây</t>
  </si>
  <si>
    <t>Nguyễn Trương Phương Oanh</t>
  </si>
  <si>
    <t>HD006238</t>
  </si>
  <si>
    <t>125/42/2 Bùi Đình Tuý, phường 14</t>
  </si>
  <si>
    <t>Khách hàng</t>
  </si>
  <si>
    <t>HD006356</t>
  </si>
  <si>
    <t>320/12 Đường Nguyễn Văn Linh, Bình Thuận, Tân Thuận</t>
  </si>
  <si>
    <t>Trinh Phan</t>
  </si>
  <si>
    <t>HD006348</t>
  </si>
  <si>
    <t>27 Đinh công tráng tân định</t>
  </si>
  <si>
    <t>em xíu shiiny</t>
  </si>
  <si>
    <t>HD006230</t>
  </si>
  <si>
    <t>số 217Đường bùi thị xuân phường 1</t>
  </si>
  <si>
    <t>Tiền</t>
  </si>
  <si>
    <t>Số đơn</t>
  </si>
  <si>
    <t>Tiền Thu</t>
  </si>
  <si>
    <t>lợi nhuận</t>
  </si>
  <si>
    <t>cod</t>
  </si>
  <si>
    <t>Sài Gòn</t>
  </si>
  <si>
    <t>TỔNG ĐƠN NHẬN</t>
  </si>
  <si>
    <t>Trừ Ship</t>
  </si>
  <si>
    <t>tiền ship</t>
  </si>
  <si>
    <t>at 30-03</t>
  </si>
  <si>
    <t>Đơn trả &amp; c.khoản</t>
  </si>
  <si>
    <t>tiền lấy</t>
  </si>
  <si>
    <t>Tiền Hàng Hcm</t>
  </si>
  <si>
    <t>đơn trả</t>
  </si>
  <si>
    <t>đền đơn</t>
  </si>
  <si>
    <t>đơn cũ ck</t>
  </si>
  <si>
    <t>shop</t>
  </si>
  <si>
    <t>nợ cũ</t>
  </si>
  <si>
    <t>tổng</t>
  </si>
  <si>
    <t>THANH TOÁN</t>
  </si>
  <si>
    <t>CK Đủ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</si>
</sst>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rgb="FFB0C4DE"/>
      </patternFill>
    </fill>
    <fill>
      <patternFill patternType="solid">
        <fgColor rgb="FFFFC87C"/>
      </patternFill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3" borderId="0" xfId="0" applyFont="1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0" borderId="0" xfId="0"/>
    <xf numFmtId="0" fontId="1" fillId="3" borderId="0" xfId="0" applyFont="1" applyFill="1"/>
    <xf numFmtId="0" fontId="1" fillId="0" borderId="0" xfId="0" applyFont="1"/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02"/>
  <sheetViews>
    <sheetView tabSelected="1" topLeftCell="B12" workbookViewId="0">
      <selection activeCell="H27" sqref="H27"/>
    </sheetView>
  </sheetViews>
  <sheetFormatPr defaultRowHeight="15" x14ac:dyDescent="0.25"/>
  <cols>
    <col min="1" max="1" width="12.7109375" customWidth="1"/>
    <col min="2" max="2" width="17.7109375" customWidth="1"/>
    <col min="3" max="3" width="56.5703125" customWidth="1"/>
    <col min="4" max="4" width="9.85546875" customWidth="1"/>
    <col min="5" max="5" width="74.28515625" customWidth="1"/>
    <col min="6" max="6" width="10.85546875" customWidth="1"/>
    <col min="7" max="7" width="9.14062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0.42578125" customWidth="1"/>
    <col min="13" max="13" width="8.7109375" customWidth="1"/>
    <col min="14" max="14" width="9.7109375" customWidth="1"/>
    <col min="15" max="15" width="10.42578125" customWidth="1"/>
    <col min="16" max="16" width="7" bestFit="1" customWidth="1"/>
    <col min="17" max="17" width="6.42578125" customWidth="1"/>
  </cols>
  <sheetData>
    <row r="2" spans="1:1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</row>
    <row r="3" spans="1:17" x14ac:dyDescent="0.25">
      <c r="A3" t="s">
        <v>17</v>
      </c>
      <c r="B3" t="s">
        <v>18</v>
      </c>
      <c r="C3" t="s">
        <v>19</v>
      </c>
      <c r="E3" t="s">
        <v>20</v>
      </c>
      <c r="F3" t="s">
        <v>21</v>
      </c>
      <c r="G3" s="6">
        <v>30</v>
      </c>
      <c r="H3" s="6">
        <v>30</v>
      </c>
      <c r="I3" s="6">
        <f t="shared" ref="I3:I13" si="0">G3-H3</f>
        <v>0</v>
      </c>
      <c r="J3" t="s">
        <v>22</v>
      </c>
      <c r="K3" t="s">
        <v>22</v>
      </c>
      <c r="L3" t="s">
        <v>23</v>
      </c>
      <c r="Q3" s="6">
        <v>1</v>
      </c>
    </row>
    <row r="4" spans="1:17" x14ac:dyDescent="0.25">
      <c r="A4" t="s">
        <v>17</v>
      </c>
      <c r="B4" t="s">
        <v>18</v>
      </c>
      <c r="C4" t="s">
        <v>24</v>
      </c>
      <c r="E4" t="s">
        <v>25</v>
      </c>
      <c r="F4" t="s">
        <v>26</v>
      </c>
      <c r="G4" s="6">
        <v>955</v>
      </c>
      <c r="H4" s="6">
        <v>25</v>
      </c>
      <c r="I4" s="6">
        <f t="shared" si="0"/>
        <v>930</v>
      </c>
      <c r="J4" t="s">
        <v>22</v>
      </c>
      <c r="K4" t="s">
        <v>22</v>
      </c>
      <c r="L4" t="s">
        <v>23</v>
      </c>
      <c r="Q4" s="6">
        <v>1</v>
      </c>
    </row>
    <row r="5" spans="1:17" x14ac:dyDescent="0.25">
      <c r="A5" t="s">
        <v>17</v>
      </c>
      <c r="B5" t="s">
        <v>18</v>
      </c>
      <c r="C5" t="s">
        <v>27</v>
      </c>
      <c r="E5" t="s">
        <v>28</v>
      </c>
      <c r="F5" s="6">
        <v>6</v>
      </c>
      <c r="G5" s="6">
        <v>30</v>
      </c>
      <c r="H5" s="6">
        <v>30</v>
      </c>
      <c r="I5" s="6">
        <f t="shared" si="0"/>
        <v>0</v>
      </c>
      <c r="J5" t="s">
        <v>29</v>
      </c>
      <c r="K5" t="s">
        <v>22</v>
      </c>
      <c r="L5" t="s">
        <v>23</v>
      </c>
      <c r="Q5" s="6">
        <v>1</v>
      </c>
    </row>
    <row r="6" spans="1:17" x14ac:dyDescent="0.25">
      <c r="A6" t="s">
        <v>17</v>
      </c>
      <c r="B6" t="s">
        <v>18</v>
      </c>
      <c r="C6" t="s">
        <v>30</v>
      </c>
      <c r="E6" t="s">
        <v>31</v>
      </c>
      <c r="F6" s="6">
        <v>4</v>
      </c>
      <c r="G6" s="6">
        <v>30</v>
      </c>
      <c r="H6" s="6">
        <v>30</v>
      </c>
      <c r="I6" s="6">
        <f t="shared" si="0"/>
        <v>0</v>
      </c>
      <c r="J6" t="s">
        <v>32</v>
      </c>
      <c r="K6" t="s">
        <v>22</v>
      </c>
      <c r="L6" t="s">
        <v>23</v>
      </c>
      <c r="Q6" s="6">
        <v>1</v>
      </c>
    </row>
    <row r="7" spans="1:17" x14ac:dyDescent="0.25">
      <c r="A7" t="s">
        <v>17</v>
      </c>
      <c r="B7" t="s">
        <v>18</v>
      </c>
      <c r="C7" t="s">
        <v>33</v>
      </c>
      <c r="E7" t="s">
        <v>34</v>
      </c>
      <c r="F7" s="6">
        <v>6</v>
      </c>
      <c r="G7" s="6">
        <v>800</v>
      </c>
      <c r="H7" s="6">
        <v>30</v>
      </c>
      <c r="I7" s="6">
        <f t="shared" si="0"/>
        <v>770</v>
      </c>
      <c r="J7" t="s">
        <v>29</v>
      </c>
      <c r="K7" t="s">
        <v>22</v>
      </c>
      <c r="L7" t="s">
        <v>23</v>
      </c>
      <c r="Q7">
        <v>1</v>
      </c>
    </row>
    <row r="8" spans="1:17" x14ac:dyDescent="0.25">
      <c r="A8" t="s">
        <v>17</v>
      </c>
      <c r="B8" t="s">
        <v>18</v>
      </c>
      <c r="C8" t="s">
        <v>35</v>
      </c>
      <c r="E8" t="s">
        <v>36</v>
      </c>
      <c r="F8" s="6">
        <v>6</v>
      </c>
      <c r="G8" s="6">
        <v>35</v>
      </c>
      <c r="H8" s="6">
        <v>35</v>
      </c>
      <c r="I8" s="6">
        <f t="shared" si="0"/>
        <v>0</v>
      </c>
      <c r="J8" t="s">
        <v>29</v>
      </c>
      <c r="K8" t="s">
        <v>22</v>
      </c>
      <c r="L8" t="s">
        <v>23</v>
      </c>
      <c r="Q8" s="6">
        <v>1</v>
      </c>
    </row>
    <row r="9" spans="1:17" x14ac:dyDescent="0.25">
      <c r="B9" t="s">
        <v>18</v>
      </c>
      <c r="C9" t="s">
        <v>37</v>
      </c>
      <c r="D9" t="s">
        <v>38</v>
      </c>
      <c r="E9" t="s">
        <v>39</v>
      </c>
      <c r="F9" t="s">
        <v>21</v>
      </c>
      <c r="G9" s="6">
        <v>845</v>
      </c>
      <c r="H9" s="6">
        <v>25</v>
      </c>
      <c r="I9" s="6">
        <f t="shared" si="0"/>
        <v>820</v>
      </c>
      <c r="J9" t="s">
        <v>32</v>
      </c>
      <c r="K9" t="s">
        <v>22</v>
      </c>
      <c r="L9" t="s">
        <v>23</v>
      </c>
      <c r="Q9" s="6">
        <v>1</v>
      </c>
    </row>
    <row r="10" spans="1:17" x14ac:dyDescent="0.25">
      <c r="B10" t="s">
        <v>18</v>
      </c>
      <c r="C10" t="s">
        <v>40</v>
      </c>
      <c r="D10" t="s">
        <v>41</v>
      </c>
      <c r="E10" t="s">
        <v>42</v>
      </c>
      <c r="F10" t="s">
        <v>43</v>
      </c>
      <c r="G10" s="6">
        <v>755</v>
      </c>
      <c r="H10" s="6">
        <v>35</v>
      </c>
      <c r="I10" s="6">
        <f t="shared" si="0"/>
        <v>720</v>
      </c>
      <c r="J10" t="s">
        <v>29</v>
      </c>
      <c r="K10" t="s">
        <v>22</v>
      </c>
      <c r="L10" t="s">
        <v>23</v>
      </c>
      <c r="Q10" s="6">
        <v>1</v>
      </c>
    </row>
    <row r="11" spans="1:17" x14ac:dyDescent="0.25">
      <c r="B11" t="s">
        <v>18</v>
      </c>
      <c r="C11" t="s">
        <v>44</v>
      </c>
      <c r="D11" t="s">
        <v>45</v>
      </c>
      <c r="E11" t="s">
        <v>46</v>
      </c>
      <c r="F11" s="6">
        <v>2</v>
      </c>
      <c r="G11" s="6">
        <v>720</v>
      </c>
      <c r="H11" s="6">
        <v>30</v>
      </c>
      <c r="I11" s="6">
        <f t="shared" si="0"/>
        <v>690</v>
      </c>
      <c r="J11" t="s">
        <v>22</v>
      </c>
      <c r="K11" t="s">
        <v>22</v>
      </c>
      <c r="L11" t="s">
        <v>23</v>
      </c>
      <c r="Q11" s="6">
        <v>1</v>
      </c>
    </row>
    <row r="12" spans="1:17" x14ac:dyDescent="0.25">
      <c r="B12" t="s">
        <v>18</v>
      </c>
      <c r="C12" t="s">
        <v>47</v>
      </c>
      <c r="D12" t="s">
        <v>48</v>
      </c>
      <c r="E12" t="s">
        <v>49</v>
      </c>
      <c r="F12" s="6">
        <v>7</v>
      </c>
      <c r="G12" s="6">
        <v>30</v>
      </c>
      <c r="H12" s="6">
        <v>30</v>
      </c>
      <c r="I12" s="6">
        <f t="shared" si="0"/>
        <v>0</v>
      </c>
      <c r="J12" t="s">
        <v>29</v>
      </c>
      <c r="K12" t="s">
        <v>22</v>
      </c>
      <c r="L12" t="s">
        <v>23</v>
      </c>
      <c r="M12" t="s">
        <v>50</v>
      </c>
      <c r="Q12" s="6">
        <v>1</v>
      </c>
    </row>
    <row r="13" spans="1:17" x14ac:dyDescent="0.25">
      <c r="B13" t="s">
        <v>18</v>
      </c>
      <c r="C13" t="s">
        <v>51</v>
      </c>
      <c r="D13" t="s">
        <v>52</v>
      </c>
      <c r="E13" t="s">
        <v>53</v>
      </c>
      <c r="F13" s="6">
        <v>4</v>
      </c>
      <c r="G13" s="6">
        <v>745</v>
      </c>
      <c r="H13" s="6">
        <v>25</v>
      </c>
      <c r="I13" s="6">
        <f t="shared" si="0"/>
        <v>720</v>
      </c>
      <c r="J13" t="s">
        <v>32</v>
      </c>
      <c r="K13" t="s">
        <v>22</v>
      </c>
      <c r="L13" t="s">
        <v>23</v>
      </c>
      <c r="Q13" s="6">
        <v>1</v>
      </c>
    </row>
    <row r="14" spans="1:17" x14ac:dyDescent="0.25">
      <c r="B14" t="s">
        <v>18</v>
      </c>
      <c r="C14" t="s">
        <v>54</v>
      </c>
      <c r="D14" t="s">
        <v>55</v>
      </c>
      <c r="E14" t="s">
        <v>56</v>
      </c>
      <c r="F14" s="6">
        <v>6</v>
      </c>
      <c r="G14" s="6">
        <v>0</v>
      </c>
      <c r="H14" s="6">
        <v>25</v>
      </c>
      <c r="I14" s="6">
        <f>-H14</f>
        <v>-25</v>
      </c>
      <c r="J14" t="s">
        <v>29</v>
      </c>
      <c r="K14" t="s">
        <v>22</v>
      </c>
      <c r="L14" t="s">
        <v>23</v>
      </c>
      <c r="Q14" s="6">
        <v>1</v>
      </c>
    </row>
    <row r="15" spans="1:17" x14ac:dyDescent="0.25">
      <c r="B15" t="s">
        <v>18</v>
      </c>
      <c r="C15" t="s">
        <v>57</v>
      </c>
      <c r="D15" t="s">
        <v>58</v>
      </c>
      <c r="E15" t="s">
        <v>59</v>
      </c>
      <c r="F15" t="s">
        <v>60</v>
      </c>
      <c r="G15" s="6">
        <v>760</v>
      </c>
      <c r="H15" s="6">
        <v>30</v>
      </c>
      <c r="I15" s="6">
        <f>G15-H15</f>
        <v>730</v>
      </c>
      <c r="J15" t="s">
        <v>22</v>
      </c>
      <c r="K15" t="s">
        <v>22</v>
      </c>
      <c r="L15" t="s">
        <v>23</v>
      </c>
      <c r="Q15" s="6">
        <v>1</v>
      </c>
    </row>
    <row r="16" spans="1:17" x14ac:dyDescent="0.25">
      <c r="B16" t="s">
        <v>18</v>
      </c>
      <c r="C16" t="s">
        <v>61</v>
      </c>
      <c r="D16" t="s">
        <v>62</v>
      </c>
      <c r="E16" t="s">
        <v>63</v>
      </c>
      <c r="F16" s="6">
        <v>1</v>
      </c>
      <c r="G16" s="6">
        <v>765</v>
      </c>
      <c r="H16" s="6">
        <v>25</v>
      </c>
      <c r="I16" s="6">
        <f>G16-H16</f>
        <v>740</v>
      </c>
      <c r="J16" t="s">
        <v>32</v>
      </c>
      <c r="K16" t="s">
        <v>22</v>
      </c>
      <c r="L16" t="s">
        <v>23</v>
      </c>
      <c r="Q16" s="6">
        <v>1</v>
      </c>
    </row>
    <row r="17" spans="2:17" x14ac:dyDescent="0.25">
      <c r="B17" t="s">
        <v>18</v>
      </c>
      <c r="C17" t="s">
        <v>64</v>
      </c>
      <c r="D17" t="s">
        <v>65</v>
      </c>
      <c r="E17" t="s">
        <v>66</v>
      </c>
      <c r="F17" s="6">
        <v>4</v>
      </c>
      <c r="G17" s="6">
        <v>695</v>
      </c>
      <c r="H17" s="6">
        <v>25</v>
      </c>
      <c r="I17" s="6">
        <f>G17-H17</f>
        <v>670</v>
      </c>
      <c r="J17" t="s">
        <v>32</v>
      </c>
      <c r="K17" t="s">
        <v>22</v>
      </c>
      <c r="L17" t="s">
        <v>23</v>
      </c>
      <c r="Q17" s="6">
        <v>1</v>
      </c>
    </row>
    <row r="18" spans="2:17" x14ac:dyDescent="0.25">
      <c r="B18" t="s">
        <v>18</v>
      </c>
      <c r="C18" t="s">
        <v>67</v>
      </c>
      <c r="D18" t="s">
        <v>68</v>
      </c>
      <c r="E18" t="s">
        <v>69</v>
      </c>
      <c r="F18" t="s">
        <v>70</v>
      </c>
      <c r="G18" s="6">
        <v>745</v>
      </c>
      <c r="H18" s="6">
        <v>25</v>
      </c>
      <c r="I18" s="6">
        <f>G18-H18</f>
        <v>720</v>
      </c>
      <c r="J18" t="s">
        <v>22</v>
      </c>
      <c r="K18" t="s">
        <v>22</v>
      </c>
      <c r="L18" t="s">
        <v>23</v>
      </c>
      <c r="Q18" s="6">
        <v>1</v>
      </c>
    </row>
    <row r="19" spans="2:17" x14ac:dyDescent="0.25">
      <c r="B19" t="s">
        <v>18</v>
      </c>
      <c r="C19" t="s">
        <v>71</v>
      </c>
      <c r="D19" t="s">
        <v>72</v>
      </c>
      <c r="E19" t="s">
        <v>73</v>
      </c>
      <c r="F19" s="6">
        <v>2</v>
      </c>
      <c r="G19" s="6">
        <v>0</v>
      </c>
      <c r="H19" s="6">
        <v>30</v>
      </c>
      <c r="I19" s="6">
        <f>-H19</f>
        <v>-30</v>
      </c>
      <c r="J19" t="s">
        <v>22</v>
      </c>
      <c r="K19" t="s">
        <v>22</v>
      </c>
      <c r="L19" t="s">
        <v>23</v>
      </c>
      <c r="Q19" s="6">
        <v>1</v>
      </c>
    </row>
    <row r="20" spans="2:17" x14ac:dyDescent="0.25">
      <c r="B20" t="s">
        <v>18</v>
      </c>
      <c r="C20" t="s">
        <v>74</v>
      </c>
      <c r="D20" t="s">
        <v>75</v>
      </c>
      <c r="E20" t="s">
        <v>76</v>
      </c>
      <c r="F20" s="6">
        <v>4</v>
      </c>
      <c r="G20" s="6">
        <v>895</v>
      </c>
      <c r="H20" s="6">
        <v>25</v>
      </c>
      <c r="I20" s="6">
        <f>G20-H20</f>
        <v>870</v>
      </c>
      <c r="J20" t="s">
        <v>32</v>
      </c>
      <c r="K20" t="s">
        <v>22</v>
      </c>
      <c r="L20" t="s">
        <v>23</v>
      </c>
      <c r="Q20" s="6">
        <v>1</v>
      </c>
    </row>
    <row r="21" spans="2:17" x14ac:dyDescent="0.25">
      <c r="B21" t="s">
        <v>18</v>
      </c>
      <c r="C21" t="s">
        <v>77</v>
      </c>
      <c r="D21" t="s">
        <v>78</v>
      </c>
      <c r="E21" t="s">
        <v>79</v>
      </c>
      <c r="F21" t="s">
        <v>80</v>
      </c>
      <c r="G21" s="6">
        <v>750</v>
      </c>
      <c r="H21" s="6">
        <v>30</v>
      </c>
      <c r="I21" s="6">
        <f>G21-H21</f>
        <v>720</v>
      </c>
      <c r="J21" t="s">
        <v>29</v>
      </c>
      <c r="K21" t="s">
        <v>22</v>
      </c>
      <c r="L21" t="s">
        <v>23</v>
      </c>
      <c r="Q21" s="6">
        <v>1</v>
      </c>
    </row>
    <row r="22" spans="2:17" x14ac:dyDescent="0.25">
      <c r="B22" t="s">
        <v>18</v>
      </c>
      <c r="C22" t="s">
        <v>81</v>
      </c>
      <c r="D22" t="s">
        <v>82</v>
      </c>
      <c r="E22" t="s">
        <v>83</v>
      </c>
      <c r="F22" t="s">
        <v>21</v>
      </c>
      <c r="G22" s="6">
        <v>745</v>
      </c>
      <c r="H22" s="6">
        <v>25</v>
      </c>
      <c r="I22" s="6">
        <f>G22-H22</f>
        <v>720</v>
      </c>
      <c r="J22" t="s">
        <v>32</v>
      </c>
      <c r="K22" t="s">
        <v>22</v>
      </c>
      <c r="L22" t="s">
        <v>23</v>
      </c>
      <c r="Q22" s="6">
        <v>1</v>
      </c>
    </row>
    <row r="23" spans="2:17" x14ac:dyDescent="0.25">
      <c r="B23" t="s">
        <v>18</v>
      </c>
      <c r="C23" t="s">
        <v>84</v>
      </c>
      <c r="D23" t="s">
        <v>85</v>
      </c>
      <c r="E23" t="s">
        <v>86</v>
      </c>
      <c r="F23" s="6">
        <v>2</v>
      </c>
      <c r="G23" s="6">
        <v>0</v>
      </c>
      <c r="H23" s="6">
        <v>30</v>
      </c>
      <c r="I23" s="6">
        <f>-H23</f>
        <v>-30</v>
      </c>
      <c r="J23" t="s">
        <v>22</v>
      </c>
      <c r="K23" t="s">
        <v>22</v>
      </c>
      <c r="L23" t="s">
        <v>23</v>
      </c>
      <c r="Q23" s="6">
        <v>1</v>
      </c>
    </row>
    <row r="24" spans="2:17" x14ac:dyDescent="0.25">
      <c r="B24" t="s">
        <v>18</v>
      </c>
      <c r="C24" t="s">
        <v>87</v>
      </c>
      <c r="D24" t="s">
        <v>88</v>
      </c>
      <c r="E24" t="s">
        <v>89</v>
      </c>
      <c r="F24" s="6">
        <v>11</v>
      </c>
      <c r="G24" s="6">
        <v>715</v>
      </c>
      <c r="H24" s="6">
        <v>25</v>
      </c>
      <c r="I24" s="6">
        <f>G24-H24</f>
        <v>690</v>
      </c>
      <c r="J24" t="s">
        <v>29</v>
      </c>
      <c r="K24" t="s">
        <v>22</v>
      </c>
      <c r="L24" t="s">
        <v>23</v>
      </c>
      <c r="Q24" s="6">
        <v>1</v>
      </c>
    </row>
    <row r="25" spans="2:17" x14ac:dyDescent="0.25">
      <c r="B25" t="s">
        <v>18</v>
      </c>
      <c r="C25" t="s">
        <v>90</v>
      </c>
      <c r="D25" t="s">
        <v>91</v>
      </c>
      <c r="E25" t="s">
        <v>92</v>
      </c>
      <c r="F25" s="6">
        <v>1</v>
      </c>
      <c r="G25" s="6">
        <v>0</v>
      </c>
      <c r="H25" s="6">
        <v>25</v>
      </c>
      <c r="I25" s="6">
        <f>-H25</f>
        <v>-25</v>
      </c>
      <c r="J25" t="s">
        <v>32</v>
      </c>
      <c r="K25" t="s">
        <v>22</v>
      </c>
      <c r="L25" t="s">
        <v>23</v>
      </c>
      <c r="Q25" s="6">
        <v>1</v>
      </c>
    </row>
    <row r="26" spans="2:17" x14ac:dyDescent="0.25">
      <c r="B26" t="s">
        <v>18</v>
      </c>
      <c r="C26" t="s">
        <v>93</v>
      </c>
      <c r="D26" t="s">
        <v>94</v>
      </c>
      <c r="E26" t="s">
        <v>95</v>
      </c>
      <c r="F26" t="s">
        <v>80</v>
      </c>
      <c r="G26" s="6">
        <v>0</v>
      </c>
      <c r="H26" s="6">
        <v>30</v>
      </c>
      <c r="I26" s="6">
        <f>-H26</f>
        <v>-30</v>
      </c>
      <c r="J26" t="s">
        <v>29</v>
      </c>
      <c r="K26" t="s">
        <v>22</v>
      </c>
      <c r="L26" t="s">
        <v>23</v>
      </c>
      <c r="Q26" s="6">
        <v>1</v>
      </c>
    </row>
    <row r="27" spans="2:17" x14ac:dyDescent="0.25">
      <c r="B27" t="s">
        <v>18</v>
      </c>
      <c r="C27" t="s">
        <v>96</v>
      </c>
      <c r="D27" t="s">
        <v>97</v>
      </c>
      <c r="E27" t="s">
        <v>98</v>
      </c>
      <c r="F27" t="s">
        <v>80</v>
      </c>
      <c r="G27" s="6">
        <v>0</v>
      </c>
      <c r="H27" s="6">
        <v>30</v>
      </c>
      <c r="I27" s="6">
        <f>G27-H27</f>
        <v>-30</v>
      </c>
      <c r="J27" t="s">
        <v>29</v>
      </c>
      <c r="K27" t="s">
        <v>22</v>
      </c>
      <c r="L27" t="s">
        <v>23</v>
      </c>
      <c r="Q27" s="6">
        <v>1</v>
      </c>
    </row>
    <row r="28" spans="2:17" x14ac:dyDescent="0.25">
      <c r="B28" t="s">
        <v>18</v>
      </c>
      <c r="C28" t="s">
        <v>99</v>
      </c>
      <c r="D28" t="s">
        <v>100</v>
      </c>
      <c r="E28" t="s">
        <v>101</v>
      </c>
      <c r="F28" t="s">
        <v>21</v>
      </c>
      <c r="G28" s="6">
        <v>2110</v>
      </c>
      <c r="H28" s="6">
        <v>30</v>
      </c>
      <c r="I28" s="6">
        <f>G28-H28</f>
        <v>2080</v>
      </c>
      <c r="J28" t="s">
        <v>22</v>
      </c>
      <c r="K28" t="s">
        <v>22</v>
      </c>
      <c r="L28" t="s">
        <v>23</v>
      </c>
      <c r="Q28" s="6">
        <v>1</v>
      </c>
    </row>
    <row r="29" spans="2:17" x14ac:dyDescent="0.25">
      <c r="B29" t="s">
        <v>18</v>
      </c>
      <c r="C29" t="s">
        <v>102</v>
      </c>
      <c r="D29" t="s">
        <v>103</v>
      </c>
      <c r="E29" t="s">
        <v>104</v>
      </c>
      <c r="F29" t="s">
        <v>60</v>
      </c>
      <c r="G29" s="6">
        <v>0</v>
      </c>
      <c r="H29" s="6">
        <v>30</v>
      </c>
      <c r="I29" s="6">
        <f>-H29</f>
        <v>-30</v>
      </c>
      <c r="J29" t="s">
        <v>22</v>
      </c>
      <c r="K29" t="s">
        <v>22</v>
      </c>
      <c r="L29" t="s">
        <v>23</v>
      </c>
      <c r="Q29" s="6">
        <v>1</v>
      </c>
    </row>
    <row r="30" spans="2:17" x14ac:dyDescent="0.25">
      <c r="B30" t="s">
        <v>18</v>
      </c>
      <c r="C30" t="s">
        <v>105</v>
      </c>
      <c r="D30" t="s">
        <v>106</v>
      </c>
      <c r="E30" t="s">
        <v>107</v>
      </c>
      <c r="F30" s="6">
        <v>12</v>
      </c>
      <c r="G30" s="6">
        <v>700</v>
      </c>
      <c r="H30" s="6">
        <v>30</v>
      </c>
      <c r="I30" s="6">
        <f>G30-H30</f>
        <v>670</v>
      </c>
      <c r="J30" t="s">
        <v>29</v>
      </c>
      <c r="K30" t="s">
        <v>22</v>
      </c>
      <c r="L30" t="s">
        <v>23</v>
      </c>
      <c r="Q30" s="6">
        <v>1</v>
      </c>
    </row>
    <row r="31" spans="2:17" x14ac:dyDescent="0.25">
      <c r="B31" t="s">
        <v>18</v>
      </c>
      <c r="C31" t="s">
        <v>108</v>
      </c>
      <c r="D31" t="s">
        <v>109</v>
      </c>
      <c r="E31" t="s">
        <v>110</v>
      </c>
      <c r="F31" t="s">
        <v>21</v>
      </c>
      <c r="G31" s="6">
        <v>405</v>
      </c>
      <c r="H31" s="6">
        <v>25</v>
      </c>
      <c r="I31" s="6">
        <f>G31-H31</f>
        <v>380</v>
      </c>
      <c r="J31" t="s">
        <v>32</v>
      </c>
      <c r="K31" t="s">
        <v>22</v>
      </c>
      <c r="L31" t="s">
        <v>23</v>
      </c>
      <c r="Q31" s="6">
        <v>1</v>
      </c>
    </row>
    <row r="32" spans="2:17" x14ac:dyDescent="0.25">
      <c r="B32" t="s">
        <v>18</v>
      </c>
      <c r="C32" t="s">
        <v>111</v>
      </c>
      <c r="D32" t="s">
        <v>112</v>
      </c>
      <c r="E32" t="s">
        <v>113</v>
      </c>
      <c r="F32" t="s">
        <v>21</v>
      </c>
      <c r="G32" s="6">
        <v>0</v>
      </c>
      <c r="H32" s="6">
        <v>25</v>
      </c>
      <c r="I32" s="6">
        <f>-H32</f>
        <v>-25</v>
      </c>
      <c r="J32" t="s">
        <v>32</v>
      </c>
      <c r="K32" t="s">
        <v>22</v>
      </c>
      <c r="L32" t="s">
        <v>23</v>
      </c>
      <c r="Q32" s="6">
        <v>1</v>
      </c>
    </row>
    <row r="33" spans="2:17" x14ac:dyDescent="0.25">
      <c r="B33" t="s">
        <v>18</v>
      </c>
      <c r="C33" t="s">
        <v>114</v>
      </c>
      <c r="D33" t="s">
        <v>115</v>
      </c>
      <c r="E33" t="s">
        <v>116</v>
      </c>
      <c r="F33" t="s">
        <v>80</v>
      </c>
      <c r="G33" s="6">
        <v>670</v>
      </c>
      <c r="H33" s="6">
        <v>30</v>
      </c>
      <c r="I33" s="6">
        <f>G33-H33</f>
        <v>640</v>
      </c>
      <c r="J33" t="s">
        <v>29</v>
      </c>
      <c r="K33" t="s">
        <v>22</v>
      </c>
      <c r="L33" t="s">
        <v>23</v>
      </c>
      <c r="Q33" s="6">
        <v>1</v>
      </c>
    </row>
    <row r="34" spans="2:17" x14ac:dyDescent="0.25">
      <c r="B34" t="s">
        <v>18</v>
      </c>
      <c r="C34" t="s">
        <v>117</v>
      </c>
      <c r="D34" t="s">
        <v>118</v>
      </c>
      <c r="E34" t="s">
        <v>119</v>
      </c>
      <c r="F34" t="s">
        <v>21</v>
      </c>
      <c r="G34" s="6">
        <v>695</v>
      </c>
      <c r="H34" s="6">
        <v>25</v>
      </c>
      <c r="I34" s="6">
        <f>G34-H34</f>
        <v>670</v>
      </c>
      <c r="J34" t="s">
        <v>32</v>
      </c>
      <c r="K34" t="s">
        <v>22</v>
      </c>
      <c r="L34" t="s">
        <v>23</v>
      </c>
      <c r="Q34" s="6">
        <v>1</v>
      </c>
    </row>
    <row r="35" spans="2:17" x14ac:dyDescent="0.25">
      <c r="B35" t="s">
        <v>18</v>
      </c>
      <c r="C35" t="s">
        <v>120</v>
      </c>
      <c r="D35" t="s">
        <v>121</v>
      </c>
      <c r="E35" t="s">
        <v>122</v>
      </c>
      <c r="F35" t="s">
        <v>123</v>
      </c>
      <c r="G35" s="6">
        <v>370</v>
      </c>
      <c r="H35" s="6">
        <v>20</v>
      </c>
      <c r="I35" s="6">
        <f>G35-H35</f>
        <v>350</v>
      </c>
      <c r="J35" t="s">
        <v>32</v>
      </c>
      <c r="K35" t="s">
        <v>22</v>
      </c>
      <c r="L35" t="s">
        <v>23</v>
      </c>
      <c r="Q35" s="6">
        <v>1</v>
      </c>
    </row>
    <row r="36" spans="2:17" x14ac:dyDescent="0.25">
      <c r="B36" t="s">
        <v>18</v>
      </c>
      <c r="C36" t="s">
        <v>124</v>
      </c>
      <c r="D36" t="s">
        <v>125</v>
      </c>
      <c r="E36" t="s">
        <v>126</v>
      </c>
      <c r="F36" s="6">
        <v>9</v>
      </c>
      <c r="G36" s="6">
        <v>750</v>
      </c>
      <c r="H36" s="6">
        <v>30</v>
      </c>
      <c r="I36" s="6">
        <f>G36-H36</f>
        <v>720</v>
      </c>
      <c r="J36" t="s">
        <v>127</v>
      </c>
      <c r="K36" t="s">
        <v>22</v>
      </c>
      <c r="L36" t="s">
        <v>23</v>
      </c>
      <c r="Q36" s="6">
        <v>1</v>
      </c>
    </row>
    <row r="37" spans="2:17" x14ac:dyDescent="0.25">
      <c r="B37" t="s">
        <v>18</v>
      </c>
      <c r="C37" t="s">
        <v>128</v>
      </c>
      <c r="D37" t="s">
        <v>129</v>
      </c>
      <c r="E37" t="s">
        <v>130</v>
      </c>
      <c r="F37" s="6">
        <v>1</v>
      </c>
      <c r="G37" s="6">
        <v>405</v>
      </c>
      <c r="H37" s="6">
        <v>25</v>
      </c>
      <c r="I37" s="6">
        <f>G37-H37</f>
        <v>380</v>
      </c>
      <c r="J37" t="s">
        <v>32</v>
      </c>
      <c r="K37" t="s">
        <v>22</v>
      </c>
      <c r="L37" t="s">
        <v>23</v>
      </c>
      <c r="Q37" s="6">
        <v>1</v>
      </c>
    </row>
    <row r="38" spans="2:17" x14ac:dyDescent="0.25">
      <c r="B38" t="s">
        <v>18</v>
      </c>
      <c r="C38" t="s">
        <v>131</v>
      </c>
      <c r="D38" t="s">
        <v>132</v>
      </c>
      <c r="E38" t="s">
        <v>133</v>
      </c>
      <c r="F38" t="s">
        <v>21</v>
      </c>
      <c r="G38" s="6">
        <v>0</v>
      </c>
      <c r="H38" s="6">
        <v>25</v>
      </c>
      <c r="I38" s="6">
        <f>-H38</f>
        <v>-25</v>
      </c>
      <c r="J38" t="s">
        <v>32</v>
      </c>
      <c r="K38" t="s">
        <v>22</v>
      </c>
      <c r="L38" t="s">
        <v>23</v>
      </c>
      <c r="Q38" s="6">
        <v>1</v>
      </c>
    </row>
    <row r="39" spans="2:17" x14ac:dyDescent="0.25">
      <c r="B39" t="s">
        <v>18</v>
      </c>
      <c r="C39" t="s">
        <v>134</v>
      </c>
      <c r="D39" t="s">
        <v>135</v>
      </c>
      <c r="E39" t="s">
        <v>136</v>
      </c>
      <c r="F39" s="6">
        <v>7</v>
      </c>
      <c r="G39" s="6">
        <v>750</v>
      </c>
      <c r="H39" s="6">
        <v>30</v>
      </c>
      <c r="I39" s="6">
        <f t="shared" ref="I39:I50" si="1">G39-H39</f>
        <v>720</v>
      </c>
      <c r="J39" t="s">
        <v>29</v>
      </c>
      <c r="K39" t="s">
        <v>22</v>
      </c>
      <c r="L39" t="s">
        <v>23</v>
      </c>
      <c r="Q39" s="6">
        <v>1</v>
      </c>
    </row>
    <row r="40" spans="2:17" x14ac:dyDescent="0.25">
      <c r="B40" t="s">
        <v>18</v>
      </c>
      <c r="C40" t="s">
        <v>137</v>
      </c>
      <c r="D40" t="s">
        <v>138</v>
      </c>
      <c r="E40" t="s">
        <v>139</v>
      </c>
      <c r="F40" t="s">
        <v>70</v>
      </c>
      <c r="G40" s="6">
        <v>795</v>
      </c>
      <c r="H40" s="6">
        <v>25</v>
      </c>
      <c r="I40" s="6">
        <f t="shared" si="1"/>
        <v>770</v>
      </c>
      <c r="J40" t="s">
        <v>22</v>
      </c>
      <c r="K40" t="s">
        <v>22</v>
      </c>
      <c r="L40" t="s">
        <v>23</v>
      </c>
      <c r="Q40" s="6">
        <v>1</v>
      </c>
    </row>
    <row r="41" spans="2:17" x14ac:dyDescent="0.25">
      <c r="B41" t="s">
        <v>18</v>
      </c>
      <c r="C41" t="s">
        <v>140</v>
      </c>
      <c r="D41" t="s">
        <v>141</v>
      </c>
      <c r="E41" t="s">
        <v>142</v>
      </c>
      <c r="F41" t="s">
        <v>21</v>
      </c>
      <c r="G41" s="6">
        <v>735</v>
      </c>
      <c r="H41" s="6">
        <v>25</v>
      </c>
      <c r="I41" s="6">
        <f t="shared" si="1"/>
        <v>710</v>
      </c>
      <c r="J41" t="s">
        <v>32</v>
      </c>
      <c r="K41" t="s">
        <v>22</v>
      </c>
      <c r="L41" t="s">
        <v>23</v>
      </c>
      <c r="Q41" s="6">
        <v>1</v>
      </c>
    </row>
    <row r="42" spans="2:17" x14ac:dyDescent="0.25">
      <c r="B42" t="s">
        <v>18</v>
      </c>
      <c r="C42" t="s">
        <v>143</v>
      </c>
      <c r="D42" t="s">
        <v>144</v>
      </c>
      <c r="E42" t="s">
        <v>145</v>
      </c>
      <c r="F42" s="6">
        <v>4</v>
      </c>
      <c r="G42" s="6">
        <v>695</v>
      </c>
      <c r="H42" s="6">
        <v>25</v>
      </c>
      <c r="I42" s="6">
        <f t="shared" si="1"/>
        <v>670</v>
      </c>
      <c r="J42" t="s">
        <v>32</v>
      </c>
      <c r="K42" t="s">
        <v>22</v>
      </c>
      <c r="L42" t="s">
        <v>23</v>
      </c>
      <c r="Q42" s="6">
        <v>1</v>
      </c>
    </row>
    <row r="43" spans="2:17" x14ac:dyDescent="0.25">
      <c r="B43" t="s">
        <v>18</v>
      </c>
      <c r="C43" t="s">
        <v>146</v>
      </c>
      <c r="D43" t="s">
        <v>147</v>
      </c>
      <c r="E43" t="s">
        <v>148</v>
      </c>
      <c r="F43" t="s">
        <v>80</v>
      </c>
      <c r="G43" s="6">
        <v>1660</v>
      </c>
      <c r="H43" s="6">
        <v>30</v>
      </c>
      <c r="I43" s="6">
        <f t="shared" si="1"/>
        <v>1630</v>
      </c>
      <c r="J43" t="s">
        <v>29</v>
      </c>
      <c r="K43" t="s">
        <v>22</v>
      </c>
      <c r="L43" t="s">
        <v>23</v>
      </c>
      <c r="Q43" s="6">
        <v>1</v>
      </c>
    </row>
    <row r="44" spans="2:17" x14ac:dyDescent="0.25">
      <c r="B44" t="s">
        <v>18</v>
      </c>
      <c r="C44" t="s">
        <v>149</v>
      </c>
      <c r="D44" t="s">
        <v>150</v>
      </c>
      <c r="E44" t="s">
        <v>151</v>
      </c>
      <c r="F44" t="s">
        <v>123</v>
      </c>
      <c r="G44" s="6">
        <v>910</v>
      </c>
      <c r="H44" s="6">
        <v>20</v>
      </c>
      <c r="I44" s="6">
        <f t="shared" si="1"/>
        <v>890</v>
      </c>
      <c r="J44" t="s">
        <v>32</v>
      </c>
      <c r="K44" t="s">
        <v>22</v>
      </c>
      <c r="L44" t="s">
        <v>23</v>
      </c>
      <c r="Q44" s="6">
        <v>1</v>
      </c>
    </row>
    <row r="45" spans="2:17" x14ac:dyDescent="0.25">
      <c r="B45" t="s">
        <v>18</v>
      </c>
      <c r="C45" t="s">
        <v>152</v>
      </c>
      <c r="D45" t="s">
        <v>153</v>
      </c>
      <c r="E45" t="s">
        <v>154</v>
      </c>
      <c r="F45" t="s">
        <v>21</v>
      </c>
      <c r="G45" s="6">
        <v>815</v>
      </c>
      <c r="H45" s="6">
        <v>25</v>
      </c>
      <c r="I45" s="6">
        <f t="shared" si="1"/>
        <v>790</v>
      </c>
      <c r="J45" t="s">
        <v>32</v>
      </c>
      <c r="K45" t="s">
        <v>22</v>
      </c>
      <c r="L45" t="s">
        <v>23</v>
      </c>
      <c r="Q45" s="6">
        <v>1</v>
      </c>
    </row>
    <row r="46" spans="2:17" x14ac:dyDescent="0.25">
      <c r="B46" t="s">
        <v>18</v>
      </c>
      <c r="C46" t="s">
        <v>155</v>
      </c>
      <c r="D46" t="s">
        <v>156</v>
      </c>
      <c r="E46" t="s">
        <v>157</v>
      </c>
      <c r="F46" s="6">
        <v>11</v>
      </c>
      <c r="G46" s="6">
        <v>915</v>
      </c>
      <c r="H46" s="6">
        <v>25</v>
      </c>
      <c r="I46" s="6">
        <f t="shared" si="1"/>
        <v>890</v>
      </c>
      <c r="J46" t="s">
        <v>29</v>
      </c>
      <c r="K46" t="s">
        <v>22</v>
      </c>
      <c r="L46" t="s">
        <v>23</v>
      </c>
      <c r="Q46" s="6">
        <v>1</v>
      </c>
    </row>
    <row r="47" spans="2:17" x14ac:dyDescent="0.25">
      <c r="B47" t="s">
        <v>18</v>
      </c>
      <c r="C47" t="s">
        <v>158</v>
      </c>
      <c r="D47" t="s">
        <v>159</v>
      </c>
      <c r="E47" t="s">
        <v>160</v>
      </c>
      <c r="F47" t="s">
        <v>21</v>
      </c>
      <c r="G47" s="6">
        <v>695</v>
      </c>
      <c r="H47" s="6">
        <v>25</v>
      </c>
      <c r="I47" s="6">
        <f t="shared" si="1"/>
        <v>670</v>
      </c>
      <c r="J47" t="s">
        <v>32</v>
      </c>
      <c r="K47" t="s">
        <v>22</v>
      </c>
      <c r="L47" t="s">
        <v>23</v>
      </c>
      <c r="Q47" s="6">
        <v>1</v>
      </c>
    </row>
    <row r="48" spans="2:17" x14ac:dyDescent="0.25">
      <c r="B48" t="s">
        <v>18</v>
      </c>
      <c r="C48" t="s">
        <v>161</v>
      </c>
      <c r="D48" t="s">
        <v>162</v>
      </c>
      <c r="E48" t="s">
        <v>163</v>
      </c>
      <c r="F48" t="s">
        <v>60</v>
      </c>
      <c r="G48" s="6">
        <v>820</v>
      </c>
      <c r="H48" s="6">
        <v>30</v>
      </c>
      <c r="I48" s="6">
        <f t="shared" si="1"/>
        <v>790</v>
      </c>
      <c r="J48" t="s">
        <v>22</v>
      </c>
      <c r="K48" t="s">
        <v>22</v>
      </c>
      <c r="L48" t="s">
        <v>23</v>
      </c>
      <c r="Q48" s="6">
        <v>1</v>
      </c>
    </row>
    <row r="49" spans="2:17" x14ac:dyDescent="0.25">
      <c r="B49" t="s">
        <v>18</v>
      </c>
      <c r="C49" t="s">
        <v>164</v>
      </c>
      <c r="D49" t="s">
        <v>165</v>
      </c>
      <c r="E49" t="s">
        <v>166</v>
      </c>
      <c r="F49" s="6">
        <v>4</v>
      </c>
      <c r="G49" s="6">
        <v>695</v>
      </c>
      <c r="H49" s="6">
        <v>25</v>
      </c>
      <c r="I49" s="6">
        <f t="shared" si="1"/>
        <v>670</v>
      </c>
      <c r="J49" t="s">
        <v>32</v>
      </c>
      <c r="K49" t="s">
        <v>22</v>
      </c>
      <c r="L49" t="s">
        <v>23</v>
      </c>
      <c r="Q49" s="6">
        <v>1</v>
      </c>
    </row>
    <row r="50" spans="2:17" x14ac:dyDescent="0.25">
      <c r="B50" t="s">
        <v>18</v>
      </c>
      <c r="C50" t="s">
        <v>167</v>
      </c>
      <c r="D50" t="s">
        <v>168</v>
      </c>
      <c r="E50" t="s">
        <v>169</v>
      </c>
      <c r="F50" t="s">
        <v>21</v>
      </c>
      <c r="G50" s="6">
        <v>735</v>
      </c>
      <c r="H50" s="6">
        <v>25</v>
      </c>
      <c r="I50" s="6">
        <f t="shared" si="1"/>
        <v>710</v>
      </c>
      <c r="J50" t="s">
        <v>32</v>
      </c>
      <c r="K50" t="s">
        <v>22</v>
      </c>
      <c r="L50" t="s">
        <v>23</v>
      </c>
      <c r="Q50" s="6">
        <v>1</v>
      </c>
    </row>
    <row r="51" spans="2:17" x14ac:dyDescent="0.25">
      <c r="B51" t="s">
        <v>18</v>
      </c>
      <c r="C51" t="s">
        <v>170</v>
      </c>
      <c r="D51" t="s">
        <v>171</v>
      </c>
      <c r="E51" t="s">
        <v>172</v>
      </c>
      <c r="F51" s="6">
        <v>7</v>
      </c>
      <c r="G51" s="6">
        <v>0</v>
      </c>
      <c r="H51" s="6">
        <v>30</v>
      </c>
      <c r="I51" s="6">
        <f>-H51</f>
        <v>-30</v>
      </c>
      <c r="J51" t="s">
        <v>29</v>
      </c>
      <c r="K51" t="s">
        <v>22</v>
      </c>
      <c r="L51" t="s">
        <v>23</v>
      </c>
      <c r="Q51" s="6">
        <v>1</v>
      </c>
    </row>
    <row r="52" spans="2:17" x14ac:dyDescent="0.25">
      <c r="B52" t="s">
        <v>18</v>
      </c>
      <c r="C52" t="s">
        <v>173</v>
      </c>
      <c r="D52" t="s">
        <v>174</v>
      </c>
      <c r="E52" t="s">
        <v>175</v>
      </c>
      <c r="F52" s="6">
        <v>12</v>
      </c>
      <c r="G52" s="6">
        <v>740</v>
      </c>
      <c r="H52" s="6">
        <v>30</v>
      </c>
      <c r="I52" s="6">
        <f>G52-H52</f>
        <v>710</v>
      </c>
      <c r="J52" t="s">
        <v>29</v>
      </c>
      <c r="K52" t="s">
        <v>22</v>
      </c>
      <c r="L52" t="s">
        <v>23</v>
      </c>
      <c r="Q52" s="6">
        <v>1</v>
      </c>
    </row>
    <row r="53" spans="2:17" x14ac:dyDescent="0.25">
      <c r="B53" t="s">
        <v>18</v>
      </c>
      <c r="C53" t="s">
        <v>176</v>
      </c>
      <c r="D53" t="s">
        <v>177</v>
      </c>
      <c r="E53" t="s">
        <v>178</v>
      </c>
      <c r="F53" t="s">
        <v>80</v>
      </c>
      <c r="G53" s="6">
        <v>750</v>
      </c>
      <c r="H53" s="6">
        <v>30</v>
      </c>
      <c r="I53" s="6">
        <f>G53-H53</f>
        <v>720</v>
      </c>
      <c r="J53" t="s">
        <v>29</v>
      </c>
      <c r="K53" t="s">
        <v>22</v>
      </c>
      <c r="L53" t="s">
        <v>23</v>
      </c>
      <c r="Q53" s="6">
        <v>1</v>
      </c>
    </row>
    <row r="54" spans="2:17" x14ac:dyDescent="0.25">
      <c r="B54" t="s">
        <v>18</v>
      </c>
      <c r="C54" t="s">
        <v>179</v>
      </c>
      <c r="D54" t="s">
        <v>180</v>
      </c>
      <c r="E54" t="s">
        <v>181</v>
      </c>
      <c r="F54" s="6">
        <v>4</v>
      </c>
      <c r="G54" s="6">
        <v>25</v>
      </c>
      <c r="H54" s="6">
        <v>25</v>
      </c>
      <c r="I54" s="6">
        <f>G54-H54</f>
        <v>0</v>
      </c>
      <c r="J54" t="s">
        <v>32</v>
      </c>
      <c r="K54" t="s">
        <v>22</v>
      </c>
      <c r="L54" t="s">
        <v>23</v>
      </c>
      <c r="M54" t="s">
        <v>50</v>
      </c>
      <c r="Q54" s="6">
        <v>1</v>
      </c>
    </row>
    <row r="55" spans="2:17" x14ac:dyDescent="0.25">
      <c r="B55" t="s">
        <v>18</v>
      </c>
      <c r="C55" t="s">
        <v>182</v>
      </c>
      <c r="D55" t="s">
        <v>183</v>
      </c>
      <c r="E55" t="s">
        <v>184</v>
      </c>
      <c r="F55" s="6">
        <v>12</v>
      </c>
      <c r="G55" s="6">
        <v>0</v>
      </c>
      <c r="H55" s="6">
        <v>30</v>
      </c>
      <c r="I55" s="6">
        <f>-H55</f>
        <v>-30</v>
      </c>
      <c r="J55" t="s">
        <v>29</v>
      </c>
      <c r="K55" t="s">
        <v>22</v>
      </c>
      <c r="L55" t="s">
        <v>23</v>
      </c>
      <c r="Q55" s="6">
        <v>1</v>
      </c>
    </row>
    <row r="56" spans="2:17" x14ac:dyDescent="0.25">
      <c r="B56" t="s">
        <v>18</v>
      </c>
      <c r="C56" t="s">
        <v>185</v>
      </c>
      <c r="D56" t="s">
        <v>186</v>
      </c>
      <c r="E56" t="s">
        <v>187</v>
      </c>
      <c r="F56" s="6">
        <v>10</v>
      </c>
      <c r="G56" s="6">
        <v>375</v>
      </c>
      <c r="H56" s="6">
        <v>25</v>
      </c>
      <c r="I56" s="6">
        <f t="shared" ref="I56:I64" si="2">G56-H56</f>
        <v>350</v>
      </c>
      <c r="J56" t="s">
        <v>32</v>
      </c>
      <c r="K56" t="s">
        <v>22</v>
      </c>
      <c r="L56" t="s">
        <v>23</v>
      </c>
      <c r="Q56" s="6">
        <v>1</v>
      </c>
    </row>
    <row r="57" spans="2:17" x14ac:dyDescent="0.25">
      <c r="B57" t="s">
        <v>18</v>
      </c>
      <c r="C57" t="s">
        <v>188</v>
      </c>
      <c r="D57" t="s">
        <v>189</v>
      </c>
      <c r="E57" t="s">
        <v>190</v>
      </c>
      <c r="F57" s="6">
        <v>12</v>
      </c>
      <c r="G57" s="6">
        <v>850</v>
      </c>
      <c r="H57" s="6">
        <v>30</v>
      </c>
      <c r="I57" s="6">
        <f t="shared" si="2"/>
        <v>820</v>
      </c>
      <c r="J57" t="s">
        <v>29</v>
      </c>
      <c r="K57" t="s">
        <v>22</v>
      </c>
      <c r="L57" t="s">
        <v>23</v>
      </c>
      <c r="Q57" s="6">
        <v>1</v>
      </c>
    </row>
    <row r="58" spans="2:17" x14ac:dyDescent="0.25">
      <c r="B58" t="s">
        <v>18</v>
      </c>
      <c r="C58" t="s">
        <v>191</v>
      </c>
      <c r="D58" t="s">
        <v>192</v>
      </c>
      <c r="E58" t="s">
        <v>193</v>
      </c>
      <c r="F58" s="6">
        <v>10</v>
      </c>
      <c r="G58" s="6">
        <v>745</v>
      </c>
      <c r="H58" s="6">
        <v>25</v>
      </c>
      <c r="I58" s="6">
        <f t="shared" si="2"/>
        <v>720</v>
      </c>
      <c r="J58" t="s">
        <v>32</v>
      </c>
      <c r="K58" t="s">
        <v>22</v>
      </c>
      <c r="L58" t="s">
        <v>23</v>
      </c>
      <c r="Q58" s="6">
        <v>1</v>
      </c>
    </row>
    <row r="59" spans="2:17" x14ac:dyDescent="0.25">
      <c r="B59" t="s">
        <v>18</v>
      </c>
      <c r="C59" t="s">
        <v>194</v>
      </c>
      <c r="D59" t="s">
        <v>195</v>
      </c>
      <c r="E59" t="s">
        <v>196</v>
      </c>
      <c r="F59" s="6">
        <v>2</v>
      </c>
      <c r="G59" s="6">
        <v>700</v>
      </c>
      <c r="H59" s="6">
        <v>30</v>
      </c>
      <c r="I59" s="6">
        <f t="shared" si="2"/>
        <v>670</v>
      </c>
      <c r="J59" t="s">
        <v>29</v>
      </c>
      <c r="K59" t="s">
        <v>22</v>
      </c>
      <c r="L59" t="s">
        <v>23</v>
      </c>
      <c r="Q59" s="6">
        <v>1</v>
      </c>
    </row>
    <row r="60" spans="2:17" x14ac:dyDescent="0.25">
      <c r="B60" t="s">
        <v>18</v>
      </c>
      <c r="C60" t="s">
        <v>197</v>
      </c>
      <c r="D60" t="s">
        <v>198</v>
      </c>
      <c r="E60" t="s">
        <v>199</v>
      </c>
      <c r="F60" s="6">
        <v>1</v>
      </c>
      <c r="G60" s="6">
        <v>695</v>
      </c>
      <c r="H60" s="6">
        <v>25</v>
      </c>
      <c r="I60" s="6">
        <f t="shared" si="2"/>
        <v>670</v>
      </c>
      <c r="J60" t="s">
        <v>32</v>
      </c>
      <c r="K60" t="s">
        <v>22</v>
      </c>
      <c r="L60" t="s">
        <v>23</v>
      </c>
      <c r="Q60" s="6">
        <v>1</v>
      </c>
    </row>
    <row r="61" spans="2:17" x14ac:dyDescent="0.25">
      <c r="B61" t="s">
        <v>18</v>
      </c>
      <c r="C61" t="s">
        <v>188</v>
      </c>
      <c r="D61" t="s">
        <v>200</v>
      </c>
      <c r="E61" t="s">
        <v>201</v>
      </c>
      <c r="F61" s="6">
        <v>2</v>
      </c>
      <c r="G61" s="6">
        <v>920</v>
      </c>
      <c r="H61" s="6">
        <v>30</v>
      </c>
      <c r="I61" s="6">
        <f t="shared" si="2"/>
        <v>890</v>
      </c>
      <c r="J61" t="s">
        <v>22</v>
      </c>
      <c r="K61" t="s">
        <v>22</v>
      </c>
      <c r="L61" t="s">
        <v>23</v>
      </c>
      <c r="Q61" s="6">
        <v>1</v>
      </c>
    </row>
    <row r="62" spans="2:17" x14ac:dyDescent="0.25">
      <c r="B62" t="s">
        <v>18</v>
      </c>
      <c r="C62" t="s">
        <v>202</v>
      </c>
      <c r="D62" t="s">
        <v>203</v>
      </c>
      <c r="E62" t="s">
        <v>204</v>
      </c>
      <c r="F62" t="s">
        <v>205</v>
      </c>
      <c r="G62" s="6">
        <v>925</v>
      </c>
      <c r="H62" s="6">
        <v>35</v>
      </c>
      <c r="I62" s="6">
        <f t="shared" si="2"/>
        <v>890</v>
      </c>
      <c r="J62" t="s">
        <v>29</v>
      </c>
      <c r="K62" t="s">
        <v>22</v>
      </c>
      <c r="L62" t="s">
        <v>23</v>
      </c>
      <c r="Q62" s="6">
        <v>1</v>
      </c>
    </row>
    <row r="63" spans="2:17" x14ac:dyDescent="0.25">
      <c r="B63" t="s">
        <v>18</v>
      </c>
      <c r="C63" t="s">
        <v>206</v>
      </c>
      <c r="D63" t="s">
        <v>207</v>
      </c>
      <c r="E63" t="s">
        <v>208</v>
      </c>
      <c r="F63" s="6">
        <v>8</v>
      </c>
      <c r="G63" s="6">
        <v>700</v>
      </c>
      <c r="H63" s="6">
        <v>30</v>
      </c>
      <c r="I63" s="6">
        <f t="shared" si="2"/>
        <v>670</v>
      </c>
      <c r="J63" t="s">
        <v>29</v>
      </c>
      <c r="K63" t="s">
        <v>22</v>
      </c>
      <c r="L63" t="s">
        <v>23</v>
      </c>
      <c r="Q63" s="6">
        <v>1</v>
      </c>
    </row>
    <row r="64" spans="2:17" x14ac:dyDescent="0.25">
      <c r="B64" t="s">
        <v>18</v>
      </c>
      <c r="C64" t="s">
        <v>209</v>
      </c>
      <c r="D64" t="s">
        <v>210</v>
      </c>
      <c r="E64" t="s">
        <v>211</v>
      </c>
      <c r="F64" t="s">
        <v>26</v>
      </c>
      <c r="G64" s="6">
        <v>690</v>
      </c>
      <c r="H64" s="6">
        <v>20</v>
      </c>
      <c r="I64" s="6">
        <f t="shared" si="2"/>
        <v>670</v>
      </c>
      <c r="J64" t="s">
        <v>22</v>
      </c>
      <c r="K64" t="s">
        <v>22</v>
      </c>
      <c r="L64" t="s">
        <v>23</v>
      </c>
      <c r="Q64" s="6">
        <v>1</v>
      </c>
    </row>
    <row r="65" spans="1:17" x14ac:dyDescent="0.25">
      <c r="B65" t="s">
        <v>18</v>
      </c>
      <c r="C65" t="s">
        <v>212</v>
      </c>
      <c r="D65" t="s">
        <v>213</v>
      </c>
      <c r="E65" t="s">
        <v>214</v>
      </c>
      <c r="F65" t="s">
        <v>26</v>
      </c>
      <c r="G65" s="6">
        <v>0</v>
      </c>
      <c r="H65" s="6">
        <v>20</v>
      </c>
      <c r="I65" s="6">
        <f>-H65</f>
        <v>-20</v>
      </c>
      <c r="J65" t="s">
        <v>22</v>
      </c>
      <c r="K65" t="s">
        <v>22</v>
      </c>
      <c r="L65" t="s">
        <v>23</v>
      </c>
      <c r="Q65" s="6">
        <v>1</v>
      </c>
    </row>
    <row r="66" spans="1:17" x14ac:dyDescent="0.25">
      <c r="B66" t="s">
        <v>18</v>
      </c>
      <c r="C66" t="s">
        <v>215</v>
      </c>
      <c r="D66" t="s">
        <v>216</v>
      </c>
      <c r="E66" t="s">
        <v>217</v>
      </c>
      <c r="F66" s="6">
        <v>7</v>
      </c>
      <c r="G66" s="6">
        <v>0</v>
      </c>
      <c r="H66" s="6">
        <v>30</v>
      </c>
      <c r="I66" s="6">
        <f>-H66</f>
        <v>-30</v>
      </c>
      <c r="J66" t="s">
        <v>29</v>
      </c>
      <c r="K66" t="s">
        <v>22</v>
      </c>
      <c r="L66" t="s">
        <v>23</v>
      </c>
      <c r="Q66" s="6">
        <v>1</v>
      </c>
    </row>
    <row r="67" spans="1:17" x14ac:dyDescent="0.25">
      <c r="B67" t="s">
        <v>18</v>
      </c>
      <c r="C67" t="s">
        <v>218</v>
      </c>
      <c r="D67" t="s">
        <v>219</v>
      </c>
      <c r="E67" t="s">
        <v>220</v>
      </c>
      <c r="F67" s="6">
        <v>1</v>
      </c>
      <c r="G67" s="6">
        <v>0</v>
      </c>
      <c r="H67" s="6">
        <v>25</v>
      </c>
      <c r="I67" s="6">
        <f>-H67</f>
        <v>-25</v>
      </c>
      <c r="J67" t="s">
        <v>32</v>
      </c>
      <c r="K67" t="s">
        <v>22</v>
      </c>
      <c r="L67" t="s">
        <v>23</v>
      </c>
      <c r="M67" t="s">
        <v>50</v>
      </c>
      <c r="Q67" s="6">
        <v>1</v>
      </c>
    </row>
    <row r="68" spans="1:17" x14ac:dyDescent="0.25">
      <c r="B68" t="s">
        <v>18</v>
      </c>
      <c r="C68" t="s">
        <v>221</v>
      </c>
      <c r="D68" t="s">
        <v>222</v>
      </c>
      <c r="E68" t="s">
        <v>223</v>
      </c>
      <c r="F68" t="s">
        <v>21</v>
      </c>
      <c r="G68" s="6">
        <v>1075</v>
      </c>
      <c r="H68" s="6">
        <v>25</v>
      </c>
      <c r="I68" s="6">
        <f>G68-H68</f>
        <v>1050</v>
      </c>
      <c r="J68" t="s">
        <v>32</v>
      </c>
      <c r="K68" t="s">
        <v>22</v>
      </c>
      <c r="L68" t="s">
        <v>23</v>
      </c>
      <c r="Q68" s="6">
        <v>1</v>
      </c>
    </row>
    <row r="70" spans="1:17" x14ac:dyDescent="0.25">
      <c r="D70" s="1">
        <f>COUNTA(D3:D68)</f>
        <v>60</v>
      </c>
      <c r="G70" s="1">
        <f t="shared" ref="G70:Q70" si="3">SUBTOTAL(9,G3:G68)</f>
        <v>36560</v>
      </c>
      <c r="H70" s="1">
        <f t="shared" si="3"/>
        <v>1805</v>
      </c>
      <c r="I70" s="1">
        <f t="shared" si="3"/>
        <v>34755</v>
      </c>
      <c r="J70" s="1">
        <f t="shared" si="3"/>
        <v>0</v>
      </c>
      <c r="K70" s="1">
        <f t="shared" si="3"/>
        <v>0</v>
      </c>
      <c r="L70" s="1">
        <f t="shared" si="3"/>
        <v>0</v>
      </c>
      <c r="M70" s="1">
        <f t="shared" si="3"/>
        <v>0</v>
      </c>
      <c r="N70" s="1">
        <f t="shared" si="3"/>
        <v>0</v>
      </c>
      <c r="O70" s="1">
        <f t="shared" si="3"/>
        <v>0</v>
      </c>
      <c r="P70" s="1">
        <f t="shared" si="3"/>
        <v>0</v>
      </c>
      <c r="Q70" s="1">
        <f t="shared" si="3"/>
        <v>66</v>
      </c>
    </row>
    <row r="71" spans="1:17" x14ac:dyDescent="0.25">
      <c r="H71">
        <f>-11*17</f>
        <v>-187</v>
      </c>
    </row>
    <row r="72" spans="1:17" x14ac:dyDescent="0.25">
      <c r="A72" s="1" t="s">
        <v>18</v>
      </c>
      <c r="C72" s="12" t="s">
        <v>224</v>
      </c>
      <c r="D72" s="12"/>
      <c r="E72" s="4" t="s">
        <v>225</v>
      </c>
      <c r="H72">
        <f>-11*25</f>
        <v>-275</v>
      </c>
      <c r="K72" s="7" t="s">
        <v>22</v>
      </c>
      <c r="L72" s="7" t="s">
        <v>226</v>
      </c>
      <c r="M72" s="7" t="s">
        <v>225</v>
      </c>
      <c r="O72" s="4" t="s">
        <v>227</v>
      </c>
    </row>
    <row r="73" spans="1:17" x14ac:dyDescent="0.25">
      <c r="A73" t="s">
        <v>23</v>
      </c>
      <c r="B73" s="3" t="s">
        <v>228</v>
      </c>
      <c r="C73" s="13">
        <f>SUMIFS(I$3:I$68,B$3:B$68,A$72,L$3:L$68,A$73)</f>
        <v>34755</v>
      </c>
      <c r="D73" s="13"/>
      <c r="E73" s="3">
        <f>SUMIFS(Q$3:Q$68,B$3:B$68,A$72,L$3:L$68,A$73)</f>
        <v>66</v>
      </c>
      <c r="F73" t="s">
        <v>229</v>
      </c>
      <c r="H73">
        <f>-2*30</f>
        <v>-60</v>
      </c>
      <c r="K73" t="s">
        <v>230</v>
      </c>
      <c r="L73">
        <f>SUMIFS(G$3:G$68,J$3:J$68,K$72)</f>
        <v>8545</v>
      </c>
      <c r="M73">
        <f>SUMIFS(Q$3:Q$68,J$3:J$68,K$72)</f>
        <v>14</v>
      </c>
      <c r="O73" t="s">
        <v>22</v>
      </c>
      <c r="P73">
        <f>L78</f>
        <v>8098</v>
      </c>
    </row>
    <row r="74" spans="1:17" x14ac:dyDescent="0.25">
      <c r="B74" s="2" t="s">
        <v>231</v>
      </c>
      <c r="C74" s="14">
        <v>0</v>
      </c>
      <c r="D74" s="14"/>
      <c r="K74" t="s">
        <v>232</v>
      </c>
      <c r="L74">
        <f>-SUMIFS(H$3:H$68,J$3:J$68,K$72)+M74*5</f>
        <v>-315</v>
      </c>
      <c r="M74">
        <f>SUMIFS(Q$3:Q$68,J$3:J$68,K$72)-COUNTIFS(J$3:J$68,K$72,M$3:M$68,"*gộp*")</f>
        <v>14</v>
      </c>
      <c r="O74" t="s">
        <v>233</v>
      </c>
      <c r="P74">
        <f>L86</f>
        <v>11953</v>
      </c>
    </row>
    <row r="75" spans="1:17" x14ac:dyDescent="0.25">
      <c r="B75" s="2" t="s">
        <v>234</v>
      </c>
      <c r="C75" s="14">
        <f>-SUMIFS(I$3:I$68,B$3:B$68,A$72,P$3:P$68,"xx",N$3:N$68,"x")</f>
        <v>0</v>
      </c>
      <c r="D75" s="14"/>
      <c r="E75" s="2">
        <f>SUMIFS(Q$3:Q$68,B$3:B$68,A$72,P$3:P$68,"xx",N$3:N$68,"x")</f>
        <v>0</v>
      </c>
      <c r="K75" t="s">
        <v>235</v>
      </c>
      <c r="L75">
        <f>-M75*2</f>
        <v>-132</v>
      </c>
      <c r="M75">
        <f>Q70-(COUNTIFS(M$3:M$68,"*gộp*")/2)</f>
        <v>66</v>
      </c>
      <c r="O75" t="s">
        <v>32</v>
      </c>
      <c r="P75">
        <f>L94</f>
        <v>14255</v>
      </c>
    </row>
    <row r="76" spans="1:17" x14ac:dyDescent="0.25">
      <c r="B76" s="4" t="s">
        <v>236</v>
      </c>
      <c r="C76" s="12">
        <f>SUBTOTAL(9,C73:C75)</f>
        <v>34755</v>
      </c>
      <c r="D76" s="12"/>
      <c r="E76">
        <f>E73</f>
        <v>66</v>
      </c>
      <c r="K76" s="2" t="s">
        <v>237</v>
      </c>
      <c r="O76" t="s">
        <v>127</v>
      </c>
      <c r="P76">
        <f>L102</f>
        <v>725</v>
      </c>
    </row>
    <row r="77" spans="1:17" x14ac:dyDescent="0.25">
      <c r="B77" s="2" t="s">
        <v>238</v>
      </c>
      <c r="C77" s="10"/>
      <c r="D77" s="10"/>
      <c r="K77" s="2" t="s">
        <v>239</v>
      </c>
      <c r="O77" t="s">
        <v>240</v>
      </c>
      <c r="P77">
        <f>-C80</f>
        <v>-34755</v>
      </c>
    </row>
    <row r="78" spans="1:17" x14ac:dyDescent="0.25">
      <c r="B78" s="8" t="s">
        <v>241</v>
      </c>
      <c r="C78" s="10"/>
      <c r="D78" s="10"/>
      <c r="L78" s="9">
        <f>SUBTOTAL(9,L73:L77)</f>
        <v>8098</v>
      </c>
      <c r="M78" s="9">
        <f>M73</f>
        <v>14</v>
      </c>
      <c r="O78" s="4" t="s">
        <v>242</v>
      </c>
      <c r="P78" s="4">
        <f>SUBTOTAL(9,P73:P77)</f>
        <v>276</v>
      </c>
    </row>
    <row r="80" spans="1:17" x14ac:dyDescent="0.25">
      <c r="B80" s="1" t="s">
        <v>243</v>
      </c>
      <c r="C80" s="11">
        <f>C76+C77+C78</f>
        <v>34755</v>
      </c>
      <c r="D80" s="11"/>
      <c r="E80" s="1" t="s">
        <v>244</v>
      </c>
      <c r="K80" s="7" t="s">
        <v>29</v>
      </c>
      <c r="L80" s="7" t="s">
        <v>226</v>
      </c>
      <c r="M80" s="7" t="s">
        <v>225</v>
      </c>
    </row>
    <row r="81" spans="11:13" x14ac:dyDescent="0.25">
      <c r="K81" t="s">
        <v>230</v>
      </c>
      <c r="L81">
        <f>SUMIFS(G$3:G$68,J$3:J$68,K$80)</f>
        <v>12475</v>
      </c>
      <c r="M81">
        <f>SUMIFS(Q$3:Q$68,J$3:J$68,K$80)</f>
        <v>24</v>
      </c>
    </row>
    <row r="82" spans="11:13" x14ac:dyDescent="0.25">
      <c r="K82" t="s">
        <v>232</v>
      </c>
      <c r="L82">
        <f>SUM(H71:H73)</f>
        <v>-522</v>
      </c>
      <c r="M82">
        <f>SUMIFS(Q$3:Q$68,J$3:J$68,K$80)</f>
        <v>24</v>
      </c>
    </row>
    <row r="83" spans="11:13" x14ac:dyDescent="0.25">
      <c r="K83" t="s">
        <v>235</v>
      </c>
    </row>
    <row r="84" spans="11:13" x14ac:dyDescent="0.25">
      <c r="K84" s="2" t="s">
        <v>237</v>
      </c>
    </row>
    <row r="85" spans="11:13" x14ac:dyDescent="0.25">
      <c r="K85" s="2" t="s">
        <v>239</v>
      </c>
    </row>
    <row r="86" spans="11:13" x14ac:dyDescent="0.25">
      <c r="L86" s="9">
        <f>SUBTOTAL(9,L81:L85)</f>
        <v>11953</v>
      </c>
      <c r="M86" s="9">
        <f>M81</f>
        <v>24</v>
      </c>
    </row>
    <row r="88" spans="11:13" x14ac:dyDescent="0.25">
      <c r="K88" s="7" t="s">
        <v>32</v>
      </c>
      <c r="L88" s="7" t="s">
        <v>226</v>
      </c>
      <c r="M88" s="7" t="s">
        <v>225</v>
      </c>
    </row>
    <row r="89" spans="11:13" x14ac:dyDescent="0.25">
      <c r="K89" t="s">
        <v>230</v>
      </c>
      <c r="L89">
        <f>SUMIFS(G$3:G$68,J$3:J$68,K$88)</f>
        <v>14790</v>
      </c>
      <c r="M89">
        <f>SUMIFS(Q$3:Q$68,J$3:J$68,K$88)</f>
        <v>27</v>
      </c>
    </row>
    <row r="90" spans="11:13" x14ac:dyDescent="0.25">
      <c r="K90" t="s">
        <v>232</v>
      </c>
      <c r="L90">
        <f>-SUMIFS(H$3:H$68,J$3:J$68,K$88)+M90*5</f>
        <v>-535</v>
      </c>
      <c r="M90">
        <f>SUMIFS(Q$3:Q$68,J$3:J$68,K$88)-COUNTIFS(J$3:J$68,K$88,M$3:M$68,"*gộp*")</f>
        <v>27</v>
      </c>
    </row>
    <row r="91" spans="11:13" x14ac:dyDescent="0.25">
      <c r="K91" t="s">
        <v>235</v>
      </c>
    </row>
    <row r="92" spans="11:13" x14ac:dyDescent="0.25">
      <c r="K92" s="2" t="s">
        <v>237</v>
      </c>
    </row>
    <row r="93" spans="11:13" x14ac:dyDescent="0.25">
      <c r="K93" s="2" t="s">
        <v>239</v>
      </c>
    </row>
    <row r="94" spans="11:13" x14ac:dyDescent="0.25">
      <c r="L94" s="9">
        <f>SUBTOTAL(9,L89:L93)</f>
        <v>14255</v>
      </c>
      <c r="M94" s="9">
        <f>M89</f>
        <v>27</v>
      </c>
    </row>
    <row r="96" spans="11:13" x14ac:dyDescent="0.25">
      <c r="K96" s="7" t="s">
        <v>127</v>
      </c>
      <c r="L96" s="7" t="s">
        <v>226</v>
      </c>
      <c r="M96" s="7" t="s">
        <v>225</v>
      </c>
    </row>
    <row r="97" spans="11:13" x14ac:dyDescent="0.25">
      <c r="K97" t="s">
        <v>230</v>
      </c>
      <c r="L97">
        <f>SUMIFS(G$3:G$68,J$3:J$68,K$96)</f>
        <v>750</v>
      </c>
      <c r="M97">
        <f>SUMIFS(Q$3:Q$68,J$3:J$68,K$96)</f>
        <v>1</v>
      </c>
    </row>
    <row r="98" spans="11:13" x14ac:dyDescent="0.25">
      <c r="K98" t="s">
        <v>232</v>
      </c>
      <c r="L98">
        <f>-SUMIFS(H$3:H$68,J$3:J$68,K$96)+M98*5</f>
        <v>-25</v>
      </c>
      <c r="M98">
        <f>SUMIFS(Q$3:Q$68,J$3:J$68,K$96)-COUNTIFS(J$3:J$68,K$96,M$3:M$68,"*gộp*")</f>
        <v>1</v>
      </c>
    </row>
    <row r="99" spans="11:13" x14ac:dyDescent="0.25">
      <c r="K99" t="s">
        <v>235</v>
      </c>
    </row>
    <row r="100" spans="11:13" x14ac:dyDescent="0.25">
      <c r="K100" s="2" t="s">
        <v>237</v>
      </c>
    </row>
    <row r="101" spans="11:13" x14ac:dyDescent="0.25">
      <c r="K101" s="2" t="s">
        <v>239</v>
      </c>
    </row>
    <row r="102" spans="11:13" x14ac:dyDescent="0.25">
      <c r="L102" s="9">
        <f>SUBTOTAL(9,L97:L101)</f>
        <v>725</v>
      </c>
      <c r="M102" s="9">
        <f>M97</f>
        <v>1</v>
      </c>
    </row>
  </sheetData>
  <autoFilter ref="A2:P68" xr:uid="{00000000-0009-0000-0000-000000000000}"/>
  <mergeCells count="8">
    <mergeCell ref="C77:D77"/>
    <mergeCell ref="C78:D78"/>
    <mergeCell ref="C80:D80"/>
    <mergeCell ref="C72:D72"/>
    <mergeCell ref="C73:D73"/>
    <mergeCell ref="C74:D74"/>
    <mergeCell ref="C75:D75"/>
    <mergeCell ref="C76:D76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 Pham</cp:lastModifiedBy>
  <dcterms:created xsi:type="dcterms:W3CDTF">2026-03-30T09:47:49Z</dcterms:created>
  <dcterms:modified xsi:type="dcterms:W3CDTF">2026-03-30T10:15:41Z</dcterms:modified>
</cp:coreProperties>
</file>