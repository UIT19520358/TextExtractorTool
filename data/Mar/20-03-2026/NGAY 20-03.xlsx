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Work\Freelance\TextInputter\data\Mar\20-03-2026\"/>
    </mc:Choice>
  </mc:AlternateContent>
  <xr:revisionPtr revIDLastSave="0" documentId="13_ncr:1_{13EF7322-EE02-4C75-979B-0E2E89914769}" xr6:coauthVersionLast="47" xr6:coauthVersionMax="47" xr10:uidLastSave="{00000000-0000-0000-0000-000000000000}"/>
  <bookViews>
    <workbookView xWindow="-120" yWindow="-120" windowWidth="29040" windowHeight="15720" xr2:uid="{6B6C9D35-2D77-4262-A067-18EED5C7F01A}"/>
  </bookViews>
  <sheets>
    <sheet name="20-03" sheetId="6" r:id="rId1"/>
  </sheets>
  <definedNames>
    <definedName name="_xlnm._FilterDatabase" localSheetId="0" hidden="1">'20-03'!$A$2:$P$27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6" l="1"/>
  <c r="L50" i="6" s="1"/>
  <c r="E32" i="6"/>
  <c r="E35" i="6" s="1"/>
  <c r="H32" i="6"/>
  <c r="H31" i="6"/>
  <c r="H30" i="6"/>
  <c r="L33" i="6"/>
  <c r="I8" i="6"/>
  <c r="I6" i="6"/>
  <c r="I23" i="6"/>
  <c r="I10" i="6"/>
  <c r="I25" i="6"/>
  <c r="I19" i="6"/>
  <c r="I24" i="6"/>
  <c r="I9" i="6"/>
  <c r="I18" i="6"/>
  <c r="I5" i="6"/>
  <c r="I17" i="6"/>
  <c r="I7" i="6"/>
  <c r="I20" i="6"/>
  <c r="I11" i="6"/>
  <c r="I16" i="6"/>
  <c r="I12" i="6"/>
  <c r="I13" i="6"/>
  <c r="I26" i="6"/>
  <c r="I3" i="6"/>
  <c r="I21" i="6"/>
  <c r="I22" i="6"/>
  <c r="I15" i="6"/>
  <c r="I14" i="6"/>
  <c r="I4" i="6"/>
  <c r="D29" i="6"/>
  <c r="G29" i="6"/>
  <c r="H29" i="6"/>
  <c r="J29" i="6"/>
  <c r="K29" i="6"/>
  <c r="L29" i="6"/>
  <c r="M29" i="6"/>
  <c r="N29" i="6"/>
  <c r="O29" i="6"/>
  <c r="P29" i="6"/>
  <c r="Q29" i="6"/>
  <c r="L32" i="6"/>
  <c r="M32" i="6"/>
  <c r="M37" i="6" s="1"/>
  <c r="M33" i="6"/>
  <c r="C34" i="6"/>
  <c r="E34" i="6"/>
  <c r="L40" i="6"/>
  <c r="M40" i="6"/>
  <c r="M45" i="6" s="1"/>
  <c r="M41" i="6"/>
  <c r="L41" i="6" s="1"/>
  <c r="L48" i="6"/>
  <c r="M48" i="6"/>
  <c r="M53" i="6" s="1"/>
  <c r="M49" i="6"/>
  <c r="L49" i="6" s="1"/>
  <c r="L56" i="6"/>
  <c r="M56" i="6"/>
  <c r="M61" i="6" s="1"/>
  <c r="M57" i="6"/>
  <c r="L57" i="6" s="1"/>
  <c r="L45" i="6" l="1"/>
  <c r="P33" i="6" s="1"/>
  <c r="L61" i="6"/>
  <c r="P35" i="6" s="1"/>
  <c r="L37" i="6"/>
  <c r="P32" i="6" s="1"/>
  <c r="I29" i="6"/>
  <c r="C32" i="6"/>
  <c r="C35" i="6" s="1"/>
  <c r="C39" i="6" s="1"/>
  <c r="P36" i="6" s="1"/>
  <c r="L53" i="6"/>
  <c r="P34" i="6" s="1"/>
  <c r="P37" i="6" l="1"/>
</calcChain>
</file>

<file path=xl/sharedStrings.xml><?xml version="1.0" encoding="utf-8"?>
<sst xmlns="http://schemas.openxmlformats.org/spreadsheetml/2006/main" count="262" uniqueCount="132">
  <si>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</si>
  <si>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</si>
  <si>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</si>
  <si>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</si>
  <si>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</si>
  <si>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</si>
  <si>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</si>
  <si>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</si>
  <si>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</si>
  <si>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</si>
  <si>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</si>
  <si>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</si>
  <si>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</si>
  <si>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</si>
  <si>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</si>
  <si>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</si>
  <si>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_col17</t>
  </si>
  <si>
    <t>ĐOÀN NGÂN CHÂU</t>
  </si>
  <si>
    <t>a.quyen</t>
  </si>
  <si>
    <t>c.cuong</t>
  </si>
  <si>
    <t>19-03-2026</t>
  </si>
  <si>
    <t>hàng sỉ</t>
  </si>
  <si>
    <t>binh chanh</t>
  </si>
  <si>
    <t>binh tan</t>
  </si>
  <si>
    <t>tan binh</t>
  </si>
  <si>
    <t>tan phu</t>
  </si>
  <si>
    <t>Bằng Bing</t>
  </si>
  <si>
    <t>HD002901</t>
  </si>
  <si>
    <t>Landmark 5, Vinhome central park, F22</t>
  </si>
  <si>
    <t>binh thanh</t>
  </si>
  <si>
    <t>đổi hàng</t>
  </si>
  <si>
    <t>go vap</t>
  </si>
  <si>
    <t>c.hieu</t>
  </si>
  <si>
    <t>Danh Hồng</t>
  </si>
  <si>
    <t>33 nguyễn văn giai p đakao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</si>
  <si>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</si>
  <si>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</si>
  <si>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</si>
  <si>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</si>
  <si>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</si>
  <si>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</si>
  <si>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</si>
  <si>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Trừ Ship</t>
  </si>
  <si>
    <t>tiền ship</t>
  </si>
  <si>
    <t>Đơn trả &amp; c.khoản</t>
  </si>
  <si>
    <t>tiền lấy</t>
  </si>
  <si>
    <t>Tiền Hàng Hcm</t>
  </si>
  <si>
    <t>đơn trả</t>
  </si>
  <si>
    <t>đền đơn</t>
  </si>
  <si>
    <t>đơn cũ ck</t>
  </si>
  <si>
    <t>shop</t>
  </si>
  <si>
    <t>nợ cũ</t>
  </si>
  <si>
    <t>tổng</t>
  </si>
  <si>
    <t>THANH TOÁN</t>
  </si>
  <si>
    <t>CK Đủ 100%</t>
  </si>
  <si>
    <t>Nguyễn Huyền Trang</t>
  </si>
  <si>
    <t>HD003296</t>
  </si>
  <si>
    <t>67 duong 14 khu lovera khang điền phong phú 4</t>
  </si>
  <si>
    <t>AT 20-03</t>
  </si>
  <si>
    <t>20-03-2026</t>
  </si>
  <si>
    <t>Người Nhân Kim Loan (Ivybee)</t>
  </si>
  <si>
    <t>HD003237</t>
  </si>
  <si>
    <t>127/48/30 Âu Cơ, phường 14</t>
  </si>
  <si>
    <t>Mai Nhung</t>
  </si>
  <si>
    <t>HD003167</t>
  </si>
  <si>
    <t>346 bến vân đồn, P1</t>
  </si>
  <si>
    <t>Nguyễn Thu Phương</t>
  </si>
  <si>
    <t>HD003361</t>
  </si>
  <si>
    <t>Sunrise riverside tháp H Đường Nguyễn hữu thọ</t>
  </si>
  <si>
    <t>nha be</t>
  </si>
  <si>
    <t>Kim An</t>
  </si>
  <si>
    <t>HD003281</t>
  </si>
  <si>
    <t>Bệnh viện Emcas 14/27 Hoàng Dư Khương, f12</t>
  </si>
  <si>
    <t>Như Quỳnh</t>
  </si>
  <si>
    <t>HD003309</t>
  </si>
  <si>
    <t>32 nguyễn cư trinh</t>
  </si>
  <si>
    <t>borameyyy 015738168</t>
  </si>
  <si>
    <t>HD003117</t>
  </si>
  <si>
    <t>363-365-367, 363 Đ. Hùng Vương, Phường 9</t>
  </si>
  <si>
    <t>Misa Trần</t>
  </si>
  <si>
    <t>HD003216</t>
  </si>
  <si>
    <t>27 Đường Số 1 tân tạo a</t>
  </si>
  <si>
    <t>Ánh Hồng</t>
  </si>
  <si>
    <t>HD003225</t>
  </si>
  <si>
    <t>82/28 đường số 2 phường hiệp bình phước</t>
  </si>
  <si>
    <t>thu đuc</t>
  </si>
  <si>
    <t>Ng T Thi</t>
  </si>
  <si>
    <t>HD003004</t>
  </si>
  <si>
    <t>1135/17/28 huỳn tấn phát</t>
  </si>
  <si>
    <t>Phạm Thị Bảo Trân</t>
  </si>
  <si>
    <t>HD003288</t>
  </si>
  <si>
    <t>Block B Chung Cư Urban Green, Đường Số 6, Hiệp Bình</t>
  </si>
  <si>
    <t>thu duc</t>
  </si>
  <si>
    <t>W2886</t>
  </si>
  <si>
    <t>HD003205</t>
  </si>
  <si>
    <t>Địa chỉ: 375 tân thới hiệp 21, Tổ 3,Kp3 ( nhớ gõ đủ) Số kho : 0325267896 ( nhớ ghi mã khách hàng )</t>
  </si>
  <si>
    <t>HD003245</t>
  </si>
  <si>
    <t>Ngọc Lan</t>
  </si>
  <si>
    <t>HD003300</t>
  </si>
  <si>
    <t>10 Nguyễn Thái Học, phường Tân Thành</t>
  </si>
  <si>
    <t>tên Xuân ( nhan gium Nhi Doan)</t>
  </si>
  <si>
    <t>HD003330</t>
  </si>
  <si>
    <t>33/9 Quách Văn Tuấn phuong 12</t>
  </si>
  <si>
    <t>Nguyễn Trương Phương Oanh</t>
  </si>
  <si>
    <t>HD003241</t>
  </si>
  <si>
    <t>125/42/2 Bùi Đình Tuý, phường 14</t>
  </si>
  <si>
    <t>Bẹp</t>
  </si>
  <si>
    <t>HD003353</t>
  </si>
  <si>
    <t>Lanmark 5-vinhome central park, Nguyễn hữu cảnh- thạnh mỹ tây</t>
  </si>
  <si>
    <t>thu thu</t>
  </si>
  <si>
    <t>HD003359</t>
  </si>
  <si>
    <t>165/1 bạch đằng p2</t>
  </si>
  <si>
    <t>Bình Bee</t>
  </si>
  <si>
    <t>HD003301</t>
  </si>
  <si>
    <t>133 đỗ xuân hợp, phường phước long B</t>
  </si>
  <si>
    <t>Chị Oanh fb Ivy Trần</t>
  </si>
  <si>
    <t>HD003191</t>
  </si>
  <si>
    <t>Toà nhà Takashimaya (cổng giao hàng) _ Số 92 – 94 Nam Kỳ Khởi Nghĩa, Phường Bến Nghé</t>
  </si>
  <si>
    <t>Diệu Ngọc</t>
  </si>
  <si>
    <t>HD003362</t>
  </si>
  <si>
    <t>40e ngô đức kể,bến nghé</t>
  </si>
  <si>
    <t>TRANG TRẦN 2</t>
  </si>
  <si>
    <t>1122/23/7 quang trung phường 8</t>
  </si>
  <si>
    <t>HÀ VY</t>
  </si>
  <si>
    <t>482/10/26 nơ trang long, p13</t>
  </si>
  <si>
    <t>QUÝ KHÁCH VUI LÒNG</t>
  </si>
  <si>
    <t>Số nhà 97A, đường 22, phường phước long</t>
  </si>
  <si>
    <t>luu tra</t>
  </si>
  <si>
    <t>x</t>
  </si>
  <si>
    <t>xx</t>
  </si>
  <si>
    <t>at 20-03</t>
  </si>
  <si>
    <t>kh ck 1320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</si>
</sst>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FF0000"/>
      <name val="Aptos Narrow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0" xfId="0" applyFont="1" applyFill="1"/>
    <xf numFmtId="0" fontId="2" fillId="0" borderId="0" xfId="0" applyFont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3" fontId="0" fillId="0" borderId="0" xfId="0" applyNumberFormat="1"/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0" fontId="3" fillId="0" borderId="0" xfId="0" applyFont="1"/>
    <xf numFmtId="3" fontId="3" fillId="0" borderId="0" xfId="0" applyNumberFormat="1" applyFont="1"/>
    <xf numFmtId="0" fontId="0" fillId="0" borderId="0" xfId="0"/>
    <xf numFmtId="0" fontId="1" fillId="3" borderId="0" xfId="0" applyFont="1" applyFill="1"/>
    <xf numFmtId="0" fontId="1" fillId="0" borderId="0" xfId="0" applyFont="1"/>
    <xf numFmtId="0" fontId="0" fillId="3" borderId="0" xfId="0" applyFill="1"/>
    <xf numFmtId="0" fontId="2" fillId="0" borderId="0" xfId="0" applyFont="1"/>
    <xf numFmtId="0" fontId="4" fillId="0" borderId="0" xfId="0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61"/>
  <sheetViews>
    <sheetView tabSelected="1" topLeftCell="B28" workbookViewId="0">
      <selection activeCell="P58" sqref="P58"/>
    </sheetView>
  </sheetViews>
  <sheetFormatPr defaultRowHeight="15" x14ac:dyDescent="0.25"/>
  <cols>
    <col min="1" max="1" width="12.28515625" customWidth="1"/>
    <col min="2" max="2" width="19.140625" customWidth="1"/>
    <col min="3" max="3" width="28.42578125" customWidth="1"/>
    <col min="4" max="4" width="10.140625" customWidth="1"/>
    <col min="5" max="5" width="85.5703125" customWidth="1"/>
    <col min="6" max="7" width="10.140625" customWidth="1"/>
    <col min="8" max="8" width="10.5703125" customWidth="1"/>
    <col min="9" max="9" width="11.5703125" customWidth="1"/>
    <col min="10" max="10" width="9.85546875" customWidth="1"/>
    <col min="11" max="11" width="11.42578125" customWidth="1"/>
    <col min="12" max="12" width="10.7109375" customWidth="1"/>
    <col min="13" max="13" width="11.28515625" bestFit="1" customWidth="1"/>
    <col min="14" max="14" width="10.28515625" customWidth="1"/>
    <col min="15" max="15" width="11.140625" customWidth="1"/>
    <col min="16" max="16" width="7" bestFit="1" customWidth="1"/>
    <col min="17" max="17" width="6.42578125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</row>
    <row r="3" spans="1:17" x14ac:dyDescent="0.25">
      <c r="B3" t="s">
        <v>17</v>
      </c>
      <c r="C3" t="s">
        <v>112</v>
      </c>
      <c r="D3" t="s">
        <v>113</v>
      </c>
      <c r="E3" t="s">
        <v>114</v>
      </c>
      <c r="F3" s="6">
        <v>9</v>
      </c>
      <c r="G3" s="6">
        <v>470</v>
      </c>
      <c r="H3" s="6">
        <v>30</v>
      </c>
      <c r="I3" s="6">
        <f>G3-H3</f>
        <v>440</v>
      </c>
      <c r="J3" t="s">
        <v>18</v>
      </c>
      <c r="K3" t="s">
        <v>19</v>
      </c>
      <c r="L3" t="s">
        <v>59</v>
      </c>
      <c r="Q3" s="6">
        <v>1</v>
      </c>
    </row>
    <row r="4" spans="1:17" x14ac:dyDescent="0.25">
      <c r="A4" t="s">
        <v>21</v>
      </c>
      <c r="B4" t="s">
        <v>17</v>
      </c>
      <c r="C4" t="s">
        <v>125</v>
      </c>
      <c r="E4" t="s">
        <v>126</v>
      </c>
      <c r="F4" s="6">
        <v>9</v>
      </c>
      <c r="G4" s="6">
        <v>35</v>
      </c>
      <c r="H4" s="6">
        <v>35</v>
      </c>
      <c r="I4" s="6">
        <f>G4-H4</f>
        <v>0</v>
      </c>
      <c r="J4" t="s">
        <v>18</v>
      </c>
      <c r="K4" t="s">
        <v>19</v>
      </c>
      <c r="L4" t="s">
        <v>59</v>
      </c>
      <c r="Q4" s="6">
        <v>1</v>
      </c>
    </row>
    <row r="5" spans="1:17" s="17" customFormat="1" x14ac:dyDescent="0.25">
      <c r="B5" s="17" t="s">
        <v>17</v>
      </c>
      <c r="C5" s="17" t="s">
        <v>86</v>
      </c>
      <c r="D5" s="17" t="s">
        <v>87</v>
      </c>
      <c r="E5" s="17" t="s">
        <v>88</v>
      </c>
      <c r="F5" s="18">
        <v>7</v>
      </c>
      <c r="G5" s="18">
        <v>0</v>
      </c>
      <c r="H5" s="18">
        <v>30</v>
      </c>
      <c r="I5" s="18">
        <f>G5-H5</f>
        <v>-30</v>
      </c>
      <c r="J5" t="s">
        <v>58</v>
      </c>
      <c r="K5" s="17" t="s">
        <v>19</v>
      </c>
      <c r="L5" s="17" t="s">
        <v>59</v>
      </c>
      <c r="M5" s="17" t="s">
        <v>131</v>
      </c>
      <c r="Q5" s="18">
        <v>1</v>
      </c>
    </row>
    <row r="6" spans="1:17" x14ac:dyDescent="0.25">
      <c r="B6" t="s">
        <v>17</v>
      </c>
      <c r="C6" t="s">
        <v>60</v>
      </c>
      <c r="D6" t="s">
        <v>61</v>
      </c>
      <c r="E6" t="s">
        <v>62</v>
      </c>
      <c r="F6" s="6">
        <v>11</v>
      </c>
      <c r="G6" s="6">
        <v>0</v>
      </c>
      <c r="H6" s="6">
        <v>25</v>
      </c>
      <c r="I6" s="6">
        <f>-H6</f>
        <v>-25</v>
      </c>
      <c r="J6" t="s">
        <v>58</v>
      </c>
      <c r="K6" t="s">
        <v>19</v>
      </c>
      <c r="L6" t="s">
        <v>59</v>
      </c>
      <c r="Q6" s="6">
        <v>1</v>
      </c>
    </row>
    <row r="7" spans="1:17" x14ac:dyDescent="0.25">
      <c r="B7" t="s">
        <v>17</v>
      </c>
      <c r="C7" t="s">
        <v>93</v>
      </c>
      <c r="D7" t="s">
        <v>94</v>
      </c>
      <c r="E7" t="s">
        <v>95</v>
      </c>
      <c r="F7" s="6">
        <v>12</v>
      </c>
      <c r="G7" s="6">
        <v>820</v>
      </c>
      <c r="H7" s="6">
        <v>30</v>
      </c>
      <c r="I7" s="6">
        <f>G7-H7</f>
        <v>790</v>
      </c>
      <c r="J7" t="s">
        <v>58</v>
      </c>
      <c r="K7" t="s">
        <v>19</v>
      </c>
      <c r="L7" t="s">
        <v>59</v>
      </c>
      <c r="Q7" s="6">
        <v>1</v>
      </c>
    </row>
    <row r="8" spans="1:17" x14ac:dyDescent="0.25">
      <c r="B8" t="s">
        <v>17</v>
      </c>
      <c r="C8" t="s">
        <v>55</v>
      </c>
      <c r="D8" t="s">
        <v>56</v>
      </c>
      <c r="E8" t="s">
        <v>57</v>
      </c>
      <c r="F8" t="s">
        <v>22</v>
      </c>
      <c r="G8" s="6">
        <v>155</v>
      </c>
      <c r="H8" s="6">
        <v>35</v>
      </c>
      <c r="I8" s="6">
        <f>G8-H8</f>
        <v>120</v>
      </c>
      <c r="J8" t="s">
        <v>58</v>
      </c>
      <c r="K8" t="s">
        <v>19</v>
      </c>
      <c r="L8" t="s">
        <v>59</v>
      </c>
      <c r="M8" t="s">
        <v>30</v>
      </c>
      <c r="Q8" s="6">
        <v>1</v>
      </c>
    </row>
    <row r="9" spans="1:17" x14ac:dyDescent="0.25">
      <c r="B9" t="s">
        <v>17</v>
      </c>
      <c r="C9" t="s">
        <v>79</v>
      </c>
      <c r="D9" t="s">
        <v>80</v>
      </c>
      <c r="E9" t="s">
        <v>81</v>
      </c>
      <c r="F9" t="s">
        <v>23</v>
      </c>
      <c r="G9" s="6">
        <v>410</v>
      </c>
      <c r="H9" s="6">
        <v>30</v>
      </c>
      <c r="I9" s="6">
        <f>G9-H9</f>
        <v>380</v>
      </c>
      <c r="J9" t="s">
        <v>58</v>
      </c>
      <c r="K9" t="s">
        <v>19</v>
      </c>
      <c r="L9" t="s">
        <v>59</v>
      </c>
      <c r="Q9" s="6">
        <v>1</v>
      </c>
    </row>
    <row r="10" spans="1:17" x14ac:dyDescent="0.25">
      <c r="B10" t="s">
        <v>17</v>
      </c>
      <c r="C10" t="s">
        <v>66</v>
      </c>
      <c r="D10" t="s">
        <v>67</v>
      </c>
      <c r="E10" t="s">
        <v>68</v>
      </c>
      <c r="F10" t="s">
        <v>69</v>
      </c>
      <c r="G10" s="6">
        <v>415</v>
      </c>
      <c r="H10" s="6">
        <v>35</v>
      </c>
      <c r="I10" s="6">
        <f>G10-H10</f>
        <v>380</v>
      </c>
      <c r="J10" t="s">
        <v>58</v>
      </c>
      <c r="K10" t="s">
        <v>19</v>
      </c>
      <c r="L10" t="s">
        <v>59</v>
      </c>
      <c r="Q10" s="6">
        <v>1</v>
      </c>
    </row>
    <row r="11" spans="1:17" x14ac:dyDescent="0.25">
      <c r="B11" t="s">
        <v>17</v>
      </c>
      <c r="C11" t="s">
        <v>97</v>
      </c>
      <c r="D11" t="s">
        <v>98</v>
      </c>
      <c r="E11" t="s">
        <v>99</v>
      </c>
      <c r="F11" t="s">
        <v>25</v>
      </c>
      <c r="G11" s="6">
        <v>815</v>
      </c>
      <c r="H11" s="6">
        <v>25</v>
      </c>
      <c r="I11" s="6">
        <f>G11-H11</f>
        <v>790</v>
      </c>
      <c r="J11" t="s">
        <v>58</v>
      </c>
      <c r="K11" t="s">
        <v>19</v>
      </c>
      <c r="L11" t="s">
        <v>59</v>
      </c>
      <c r="Q11" s="6">
        <v>1</v>
      </c>
    </row>
    <row r="12" spans="1:17" x14ac:dyDescent="0.25">
      <c r="B12" t="s">
        <v>17</v>
      </c>
      <c r="C12" t="s">
        <v>103</v>
      </c>
      <c r="D12" t="s">
        <v>104</v>
      </c>
      <c r="E12" t="s">
        <v>105</v>
      </c>
      <c r="F12" t="s">
        <v>29</v>
      </c>
      <c r="G12" s="6">
        <v>0</v>
      </c>
      <c r="H12" s="6">
        <v>20</v>
      </c>
      <c r="I12" s="6">
        <f>-H12</f>
        <v>-20</v>
      </c>
      <c r="J12" t="s">
        <v>19</v>
      </c>
      <c r="K12" t="s">
        <v>19</v>
      </c>
      <c r="L12" t="s">
        <v>59</v>
      </c>
      <c r="Q12" s="6">
        <v>1</v>
      </c>
    </row>
    <row r="13" spans="1:17" x14ac:dyDescent="0.25">
      <c r="B13" t="s">
        <v>17</v>
      </c>
      <c r="C13" t="s">
        <v>106</v>
      </c>
      <c r="D13" t="s">
        <v>107</v>
      </c>
      <c r="E13" t="s">
        <v>108</v>
      </c>
      <c r="F13" t="s">
        <v>29</v>
      </c>
      <c r="G13" s="6">
        <v>720</v>
      </c>
      <c r="H13" s="6">
        <v>20</v>
      </c>
      <c r="I13" s="6">
        <f>G13-H13</f>
        <v>700</v>
      </c>
      <c r="J13" t="s">
        <v>19</v>
      </c>
      <c r="K13" t="s">
        <v>19</v>
      </c>
      <c r="L13" t="s">
        <v>59</v>
      </c>
      <c r="Q13" s="6">
        <v>1</v>
      </c>
    </row>
    <row r="14" spans="1:17" x14ac:dyDescent="0.25">
      <c r="A14" t="s">
        <v>21</v>
      </c>
      <c r="B14" t="s">
        <v>17</v>
      </c>
      <c r="C14" t="s">
        <v>123</v>
      </c>
      <c r="E14" t="s">
        <v>124</v>
      </c>
      <c r="F14" t="s">
        <v>29</v>
      </c>
      <c r="G14" s="6">
        <v>305</v>
      </c>
      <c r="H14" s="6">
        <v>25</v>
      </c>
      <c r="I14" s="6">
        <f>G14-H14</f>
        <v>280</v>
      </c>
      <c r="J14" t="s">
        <v>19</v>
      </c>
      <c r="K14" t="s">
        <v>19</v>
      </c>
      <c r="L14" t="s">
        <v>59</v>
      </c>
      <c r="Q14" s="6">
        <v>1</v>
      </c>
    </row>
    <row r="15" spans="1:17" x14ac:dyDescent="0.25">
      <c r="A15" t="s">
        <v>21</v>
      </c>
      <c r="B15" t="s">
        <v>17</v>
      </c>
      <c r="C15" t="s">
        <v>121</v>
      </c>
      <c r="E15" t="s">
        <v>122</v>
      </c>
      <c r="F15" t="s">
        <v>31</v>
      </c>
      <c r="G15" s="6">
        <v>30</v>
      </c>
      <c r="H15" s="6">
        <v>30</v>
      </c>
      <c r="I15" s="6">
        <f>G15-H15</f>
        <v>0</v>
      </c>
      <c r="J15" t="s">
        <v>19</v>
      </c>
      <c r="K15" t="s">
        <v>19</v>
      </c>
      <c r="L15" t="s">
        <v>59</v>
      </c>
      <c r="Q15" s="6">
        <v>1</v>
      </c>
    </row>
    <row r="16" spans="1:17" x14ac:dyDescent="0.25">
      <c r="B16" t="s">
        <v>17</v>
      </c>
      <c r="C16" t="s">
        <v>100</v>
      </c>
      <c r="D16" t="s">
        <v>101</v>
      </c>
      <c r="E16" t="s">
        <v>102</v>
      </c>
      <c r="F16" t="s">
        <v>24</v>
      </c>
      <c r="G16" s="6">
        <v>0</v>
      </c>
      <c r="H16" s="6">
        <v>25</v>
      </c>
      <c r="I16" s="6">
        <f>-H16</f>
        <v>-25</v>
      </c>
      <c r="J16" t="s">
        <v>19</v>
      </c>
      <c r="K16" t="s">
        <v>19</v>
      </c>
      <c r="L16" t="s">
        <v>59</v>
      </c>
      <c r="Q16" s="6">
        <v>1</v>
      </c>
    </row>
    <row r="17" spans="1:17" x14ac:dyDescent="0.25">
      <c r="B17" t="s">
        <v>17</v>
      </c>
      <c r="C17" t="s">
        <v>89</v>
      </c>
      <c r="D17" t="s">
        <v>90</v>
      </c>
      <c r="E17" t="s">
        <v>91</v>
      </c>
      <c r="F17" t="s">
        <v>92</v>
      </c>
      <c r="G17" s="6">
        <v>1100</v>
      </c>
      <c r="H17" s="6">
        <v>30</v>
      </c>
      <c r="I17" s="6">
        <f t="shared" ref="I17:I23" si="0">G17-H17</f>
        <v>1070</v>
      </c>
      <c r="J17" t="s">
        <v>19</v>
      </c>
      <c r="K17" t="s">
        <v>19</v>
      </c>
      <c r="L17" t="s">
        <v>59</v>
      </c>
      <c r="Q17" s="6">
        <v>1</v>
      </c>
    </row>
    <row r="18" spans="1:17" x14ac:dyDescent="0.25">
      <c r="B18" t="s">
        <v>17</v>
      </c>
      <c r="C18" t="s">
        <v>82</v>
      </c>
      <c r="D18" t="s">
        <v>83</v>
      </c>
      <c r="E18" t="s">
        <v>84</v>
      </c>
      <c r="F18" t="s">
        <v>85</v>
      </c>
      <c r="G18" s="6">
        <v>760</v>
      </c>
      <c r="H18" s="6">
        <v>30</v>
      </c>
      <c r="I18" s="6">
        <f t="shared" si="0"/>
        <v>730</v>
      </c>
      <c r="J18" t="s">
        <v>19</v>
      </c>
      <c r="K18" t="s">
        <v>19</v>
      </c>
      <c r="L18" t="s">
        <v>59</v>
      </c>
      <c r="Q18" s="6">
        <v>1</v>
      </c>
    </row>
    <row r="19" spans="1:17" x14ac:dyDescent="0.25">
      <c r="B19" t="s">
        <v>17</v>
      </c>
      <c r="C19" t="s">
        <v>73</v>
      </c>
      <c r="D19" t="s">
        <v>74</v>
      </c>
      <c r="E19" t="s">
        <v>75</v>
      </c>
      <c r="F19" s="6">
        <v>1</v>
      </c>
      <c r="G19" s="6">
        <v>875</v>
      </c>
      <c r="H19" s="6">
        <v>25</v>
      </c>
      <c r="I19" s="6">
        <f t="shared" si="0"/>
        <v>850</v>
      </c>
      <c r="J19" t="s">
        <v>32</v>
      </c>
      <c r="K19" t="s">
        <v>19</v>
      </c>
      <c r="L19" t="s">
        <v>59</v>
      </c>
      <c r="Q19" s="6">
        <v>1</v>
      </c>
    </row>
    <row r="20" spans="1:17" x14ac:dyDescent="0.25">
      <c r="B20" t="s">
        <v>17</v>
      </c>
      <c r="C20" t="s">
        <v>33</v>
      </c>
      <c r="D20" t="s">
        <v>96</v>
      </c>
      <c r="E20" t="s">
        <v>34</v>
      </c>
      <c r="F20" s="6">
        <v>1</v>
      </c>
      <c r="G20" s="6">
        <v>375</v>
      </c>
      <c r="H20" s="6">
        <v>25</v>
      </c>
      <c r="I20" s="6">
        <f t="shared" si="0"/>
        <v>350</v>
      </c>
      <c r="J20" t="s">
        <v>32</v>
      </c>
      <c r="K20" t="s">
        <v>19</v>
      </c>
      <c r="L20" t="s">
        <v>59</v>
      </c>
      <c r="Q20" s="6">
        <v>1</v>
      </c>
    </row>
    <row r="21" spans="1:17" x14ac:dyDescent="0.25">
      <c r="B21" t="s">
        <v>17</v>
      </c>
      <c r="C21" t="s">
        <v>115</v>
      </c>
      <c r="D21" t="s">
        <v>116</v>
      </c>
      <c r="E21" t="s">
        <v>117</v>
      </c>
      <c r="F21" s="6">
        <v>1</v>
      </c>
      <c r="G21" s="6">
        <v>405</v>
      </c>
      <c r="H21" s="6">
        <v>25</v>
      </c>
      <c r="I21" s="6">
        <f t="shared" si="0"/>
        <v>380</v>
      </c>
      <c r="J21" t="s">
        <v>32</v>
      </c>
      <c r="K21" t="s">
        <v>19</v>
      </c>
      <c r="L21" t="s">
        <v>59</v>
      </c>
      <c r="Q21" s="6">
        <v>1</v>
      </c>
    </row>
    <row r="22" spans="1:17" x14ac:dyDescent="0.25">
      <c r="B22" t="s">
        <v>17</v>
      </c>
      <c r="C22" t="s">
        <v>118</v>
      </c>
      <c r="D22" t="s">
        <v>119</v>
      </c>
      <c r="E22" t="s">
        <v>120</v>
      </c>
      <c r="F22" s="6">
        <v>1</v>
      </c>
      <c r="G22" s="6">
        <v>885</v>
      </c>
      <c r="H22" s="6">
        <v>25</v>
      </c>
      <c r="I22" s="6">
        <f t="shared" si="0"/>
        <v>860</v>
      </c>
      <c r="J22" t="s">
        <v>32</v>
      </c>
      <c r="K22" t="s">
        <v>19</v>
      </c>
      <c r="L22" t="s">
        <v>59</v>
      </c>
      <c r="Q22" s="6">
        <v>1</v>
      </c>
    </row>
    <row r="23" spans="1:17" x14ac:dyDescent="0.25">
      <c r="B23" t="s">
        <v>17</v>
      </c>
      <c r="C23" t="s">
        <v>63</v>
      </c>
      <c r="D23" t="s">
        <v>64</v>
      </c>
      <c r="E23" t="s">
        <v>65</v>
      </c>
      <c r="F23" s="6">
        <v>4</v>
      </c>
      <c r="G23" s="6">
        <v>405</v>
      </c>
      <c r="H23" s="6">
        <v>25</v>
      </c>
      <c r="I23" s="6">
        <f t="shared" si="0"/>
        <v>380</v>
      </c>
      <c r="J23" t="s">
        <v>32</v>
      </c>
      <c r="K23" t="s">
        <v>19</v>
      </c>
      <c r="L23" t="s">
        <v>59</v>
      </c>
      <c r="Q23" s="6">
        <v>1</v>
      </c>
    </row>
    <row r="24" spans="1:17" x14ac:dyDescent="0.25">
      <c r="B24" t="s">
        <v>17</v>
      </c>
      <c r="C24" t="s">
        <v>76</v>
      </c>
      <c r="D24" t="s">
        <v>77</v>
      </c>
      <c r="E24" t="s">
        <v>78</v>
      </c>
      <c r="F24" s="6">
        <v>5</v>
      </c>
      <c r="G24" s="6">
        <v>0</v>
      </c>
      <c r="H24" s="6">
        <v>25</v>
      </c>
      <c r="I24" s="6">
        <f>-H24</f>
        <v>-25</v>
      </c>
      <c r="J24" t="s">
        <v>32</v>
      </c>
      <c r="K24" t="s">
        <v>19</v>
      </c>
      <c r="L24" t="s">
        <v>59</v>
      </c>
      <c r="Q24" s="6">
        <v>1</v>
      </c>
    </row>
    <row r="25" spans="1:17" x14ac:dyDescent="0.25">
      <c r="B25" t="s">
        <v>17</v>
      </c>
      <c r="C25" t="s">
        <v>70</v>
      </c>
      <c r="D25" t="s">
        <v>71</v>
      </c>
      <c r="E25" t="s">
        <v>72</v>
      </c>
      <c r="F25" s="6">
        <v>10</v>
      </c>
      <c r="G25" s="6">
        <v>405</v>
      </c>
      <c r="H25" s="6">
        <v>25</v>
      </c>
      <c r="I25" s="6">
        <f>G25-H25</f>
        <v>380</v>
      </c>
      <c r="J25" t="s">
        <v>32</v>
      </c>
      <c r="K25" t="s">
        <v>19</v>
      </c>
      <c r="L25" t="s">
        <v>59</v>
      </c>
      <c r="Q25" s="6">
        <v>1</v>
      </c>
    </row>
    <row r="26" spans="1:17" x14ac:dyDescent="0.25">
      <c r="B26" t="s">
        <v>17</v>
      </c>
      <c r="C26" t="s">
        <v>109</v>
      </c>
      <c r="D26" t="s">
        <v>110</v>
      </c>
      <c r="E26" t="s">
        <v>111</v>
      </c>
      <c r="F26" t="s">
        <v>24</v>
      </c>
      <c r="G26" s="6">
        <v>0</v>
      </c>
      <c r="H26" s="6">
        <v>25</v>
      </c>
      <c r="I26" s="6">
        <f>-H26</f>
        <v>-25</v>
      </c>
      <c r="J26" t="s">
        <v>32</v>
      </c>
      <c r="K26" t="s">
        <v>19</v>
      </c>
      <c r="L26" t="s">
        <v>59</v>
      </c>
      <c r="Q26" s="6">
        <v>1</v>
      </c>
    </row>
    <row r="27" spans="1:17" s="10" customFormat="1" x14ac:dyDescent="0.25">
      <c r="B27" s="10" t="s">
        <v>17</v>
      </c>
      <c r="C27" s="10" t="s">
        <v>26</v>
      </c>
      <c r="D27" s="10" t="s">
        <v>27</v>
      </c>
      <c r="E27" s="10" t="s">
        <v>28</v>
      </c>
      <c r="F27" s="10" t="s">
        <v>29</v>
      </c>
      <c r="G27" s="11">
        <v>1450</v>
      </c>
      <c r="H27" s="11">
        <v>0</v>
      </c>
      <c r="I27" s="11">
        <v>1450</v>
      </c>
      <c r="J27" s="10" t="s">
        <v>127</v>
      </c>
      <c r="K27" s="10" t="s">
        <v>19</v>
      </c>
      <c r="L27" s="10" t="s">
        <v>20</v>
      </c>
      <c r="N27" s="10" t="s">
        <v>128</v>
      </c>
      <c r="O27" s="10" t="s">
        <v>128</v>
      </c>
      <c r="P27" s="10" t="s">
        <v>129</v>
      </c>
      <c r="Q27" s="11">
        <v>1</v>
      </c>
    </row>
    <row r="29" spans="1:17" x14ac:dyDescent="0.25">
      <c r="D29" s="1">
        <f>COUNTA(D3:D27)</f>
        <v>22</v>
      </c>
      <c r="G29" s="1">
        <f t="shared" ref="G29:Q29" si="1">SUBTOTAL(9,G3:G27)</f>
        <v>10835</v>
      </c>
      <c r="H29" s="1">
        <f t="shared" si="1"/>
        <v>655</v>
      </c>
      <c r="I29" s="1">
        <f t="shared" si="1"/>
        <v>10180</v>
      </c>
      <c r="J29" s="1">
        <f t="shared" si="1"/>
        <v>0</v>
      </c>
      <c r="K29" s="1">
        <f t="shared" si="1"/>
        <v>0</v>
      </c>
      <c r="L29" s="1">
        <f t="shared" si="1"/>
        <v>0</v>
      </c>
      <c r="M29" s="1">
        <f t="shared" si="1"/>
        <v>0</v>
      </c>
      <c r="N29" s="1">
        <f t="shared" si="1"/>
        <v>0</v>
      </c>
      <c r="O29" s="1">
        <f t="shared" si="1"/>
        <v>0</v>
      </c>
      <c r="P29" s="1">
        <f t="shared" si="1"/>
        <v>0</v>
      </c>
      <c r="Q29" s="1">
        <f t="shared" si="1"/>
        <v>25</v>
      </c>
    </row>
    <row r="30" spans="1:17" x14ac:dyDescent="0.25">
      <c r="H30">
        <f>-3*17</f>
        <v>-51</v>
      </c>
    </row>
    <row r="31" spans="1:17" x14ac:dyDescent="0.25">
      <c r="A31" s="1" t="s">
        <v>17</v>
      </c>
      <c r="C31" s="14" t="s">
        <v>35</v>
      </c>
      <c r="D31" s="14"/>
      <c r="E31" s="4" t="s">
        <v>36</v>
      </c>
      <c r="H31">
        <f>-2*25</f>
        <v>-50</v>
      </c>
      <c r="K31" s="7" t="s">
        <v>58</v>
      </c>
      <c r="L31" s="7" t="s">
        <v>37</v>
      </c>
      <c r="M31" s="7" t="s">
        <v>36</v>
      </c>
      <c r="O31" s="4" t="s">
        <v>38</v>
      </c>
    </row>
    <row r="32" spans="1:17" x14ac:dyDescent="0.25">
      <c r="A32" t="s">
        <v>59</v>
      </c>
      <c r="B32" s="3" t="s">
        <v>39</v>
      </c>
      <c r="C32" s="15">
        <f>SUMIFS(I$3:I$27,B$3:B$27,A$31,L$3:L$27,A$32)</f>
        <v>8730</v>
      </c>
      <c r="D32" s="15"/>
      <c r="E32" s="3">
        <f>SUMIFS(Q$3:Q$27,B$3:B$27,A$31,L$3:L$27,A$32)</f>
        <v>24</v>
      </c>
      <c r="F32" t="s">
        <v>40</v>
      </c>
      <c r="H32">
        <f>-2*30</f>
        <v>-60</v>
      </c>
      <c r="K32" t="s">
        <v>41</v>
      </c>
      <c r="L32">
        <f>SUMIFS(G$3:G$27,J$3:J$27,K$31)</f>
        <v>2615</v>
      </c>
      <c r="M32">
        <f>SUMIFS(Q$3:Q$27,J$3:J$27,K$31)</f>
        <v>7</v>
      </c>
      <c r="O32" t="s">
        <v>130</v>
      </c>
      <c r="P32">
        <f>L37</f>
        <v>2454</v>
      </c>
    </row>
    <row r="33" spans="2:16" x14ac:dyDescent="0.25">
      <c r="B33" s="2" t="s">
        <v>42</v>
      </c>
      <c r="C33" s="16">
        <v>0</v>
      </c>
      <c r="D33" s="16"/>
      <c r="K33" t="s">
        <v>43</v>
      </c>
      <c r="L33">
        <f>SUM(H30:H32)</f>
        <v>-161</v>
      </c>
      <c r="M33">
        <f>SUMIFS(Q$3:Q$27,J$3:J$27,K$31)</f>
        <v>7</v>
      </c>
      <c r="O33" t="s">
        <v>32</v>
      </c>
      <c r="P33">
        <f>L45</f>
        <v>3190</v>
      </c>
    </row>
    <row r="34" spans="2:16" x14ac:dyDescent="0.25">
      <c r="B34" s="2" t="s">
        <v>44</v>
      </c>
      <c r="C34" s="16">
        <f>-SUMIFS(I$3:I$27,B$3:B$27,A$31,P$3:P$27,"xx",N$3:N$27,"x")</f>
        <v>-1450</v>
      </c>
      <c r="D34" s="16"/>
      <c r="E34" s="2">
        <f>SUMIFS(Q$3:Q$27,B$3:B$27,A$31,P$3:P$27,"xx",N$3:N$27,"x")</f>
        <v>1</v>
      </c>
      <c r="K34" t="s">
        <v>45</v>
      </c>
      <c r="O34" t="s">
        <v>19</v>
      </c>
      <c r="P34">
        <f>L53</f>
        <v>1272</v>
      </c>
    </row>
    <row r="35" spans="2:16" x14ac:dyDescent="0.25">
      <c r="B35" s="4" t="s">
        <v>46</v>
      </c>
      <c r="C35" s="14">
        <f>SUBTOTAL(9,C32:C34)</f>
        <v>7280</v>
      </c>
      <c r="D35" s="14"/>
      <c r="E35">
        <f>E32</f>
        <v>24</v>
      </c>
      <c r="K35" s="2" t="s">
        <v>47</v>
      </c>
      <c r="O35" t="s">
        <v>18</v>
      </c>
      <c r="P35">
        <f>L61</f>
        <v>450</v>
      </c>
    </row>
    <row r="36" spans="2:16" x14ac:dyDescent="0.25">
      <c r="B36" s="2" t="s">
        <v>48</v>
      </c>
      <c r="C36" s="12"/>
      <c r="D36" s="12"/>
      <c r="K36" s="2" t="s">
        <v>49</v>
      </c>
      <c r="O36" t="s">
        <v>50</v>
      </c>
      <c r="P36">
        <f>-C39</f>
        <v>-7280</v>
      </c>
    </row>
    <row r="37" spans="2:16" x14ac:dyDescent="0.25">
      <c r="B37" s="8" t="s">
        <v>51</v>
      </c>
      <c r="C37" s="12"/>
      <c r="D37" s="12"/>
      <c r="L37" s="9">
        <f>SUBTOTAL(9,L32:L36)</f>
        <v>2454</v>
      </c>
      <c r="M37" s="9">
        <f>M32</f>
        <v>7</v>
      </c>
      <c r="O37" s="4" t="s">
        <v>52</v>
      </c>
      <c r="P37" s="4">
        <f>SUBTOTAL(9,P32:P36)</f>
        <v>86</v>
      </c>
    </row>
    <row r="39" spans="2:16" x14ac:dyDescent="0.25">
      <c r="B39" s="1" t="s">
        <v>53</v>
      </c>
      <c r="C39" s="13">
        <f>C35+C36+C37</f>
        <v>7280</v>
      </c>
      <c r="D39" s="13"/>
      <c r="E39" s="1" t="s">
        <v>54</v>
      </c>
      <c r="K39" s="7" t="s">
        <v>32</v>
      </c>
      <c r="L39" s="7" t="s">
        <v>37</v>
      </c>
      <c r="M39" s="7" t="s">
        <v>36</v>
      </c>
    </row>
    <row r="40" spans="2:16" x14ac:dyDescent="0.25">
      <c r="K40" t="s">
        <v>41</v>
      </c>
      <c r="L40">
        <f>SUMIFS(G$3:G$27,J$3:J$27,K$39)</f>
        <v>3350</v>
      </c>
      <c r="M40">
        <f>SUMIFS(Q$3:Q$27,J$3:J$27,K$39)</f>
        <v>8</v>
      </c>
    </row>
    <row r="41" spans="2:16" x14ac:dyDescent="0.25">
      <c r="K41" t="s">
        <v>43</v>
      </c>
      <c r="L41">
        <f>-SUMIFS(H$3:H$27,J$3:J$27,K$39)+M41*5</f>
        <v>-160</v>
      </c>
      <c r="M41">
        <f>SUMIFS(Q$3:Q$27,J$3:J$27,K$39)-COUNTIFS(J$3:J$27,K$39,M$3:M$27,"*gộp*")</f>
        <v>8</v>
      </c>
    </row>
    <row r="42" spans="2:16" x14ac:dyDescent="0.25">
      <c r="K42" t="s">
        <v>45</v>
      </c>
    </row>
    <row r="43" spans="2:16" x14ac:dyDescent="0.25">
      <c r="K43" s="2" t="s">
        <v>47</v>
      </c>
    </row>
    <row r="44" spans="2:16" x14ac:dyDescent="0.25">
      <c r="K44" s="2" t="s">
        <v>49</v>
      </c>
    </row>
    <row r="45" spans="2:16" x14ac:dyDescent="0.25">
      <c r="L45" s="9">
        <f>SUBTOTAL(9,L40:L44)</f>
        <v>3190</v>
      </c>
      <c r="M45" s="9">
        <f>M40</f>
        <v>8</v>
      </c>
    </row>
    <row r="47" spans="2:16" x14ac:dyDescent="0.25">
      <c r="K47" s="7" t="s">
        <v>19</v>
      </c>
      <c r="L47" s="7" t="s">
        <v>37</v>
      </c>
      <c r="M47" s="7" t="s">
        <v>36</v>
      </c>
    </row>
    <row r="48" spans="2:16" x14ac:dyDescent="0.25">
      <c r="K48" t="s">
        <v>41</v>
      </c>
      <c r="L48">
        <f>SUMIFS(G$3:G$27,J$3:J$27,K$47)</f>
        <v>2915</v>
      </c>
      <c r="M48">
        <f>SUMIFS(Q$3:Q$27,J$3:J$27,K$47)</f>
        <v>7</v>
      </c>
    </row>
    <row r="49" spans="11:13" x14ac:dyDescent="0.25">
      <c r="K49" t="s">
        <v>43</v>
      </c>
      <c r="L49">
        <f>-SUMIFS(H$3:H$27,J$3:J$27,K$47)+M49*5</f>
        <v>-145</v>
      </c>
      <c r="M49">
        <f>SUMIFS(Q$3:Q$27,J$3:J$27,K$47)-COUNTIFS(J$3:J$27,K$47,M$3:M$27,"*gộp*")</f>
        <v>7</v>
      </c>
    </row>
    <row r="50" spans="11:13" x14ac:dyDescent="0.25">
      <c r="K50" t="s">
        <v>45</v>
      </c>
      <c r="L50">
        <f>-M50*2</f>
        <v>-48</v>
      </c>
      <c r="M50">
        <f>COUNTIF(L3:L27,A$32)-(COUNTIFS(M$3:M$27,"*gộp*")/2)</f>
        <v>24</v>
      </c>
    </row>
    <row r="51" spans="11:13" x14ac:dyDescent="0.25">
      <c r="K51" s="2" t="s">
        <v>47</v>
      </c>
    </row>
    <row r="52" spans="11:13" x14ac:dyDescent="0.25">
      <c r="K52" s="2" t="s">
        <v>49</v>
      </c>
      <c r="L52">
        <v>-1450</v>
      </c>
    </row>
    <row r="53" spans="11:13" x14ac:dyDescent="0.25">
      <c r="L53" s="9">
        <f>SUBTOTAL(9,L48:L52)</f>
        <v>1272</v>
      </c>
      <c r="M53" s="9">
        <f>M48</f>
        <v>7</v>
      </c>
    </row>
    <row r="55" spans="11:13" x14ac:dyDescent="0.25">
      <c r="K55" s="7" t="s">
        <v>18</v>
      </c>
      <c r="L55" s="7" t="s">
        <v>37</v>
      </c>
      <c r="M55" s="7" t="s">
        <v>36</v>
      </c>
    </row>
    <row r="56" spans="11:13" x14ac:dyDescent="0.25">
      <c r="K56" t="s">
        <v>41</v>
      </c>
      <c r="L56">
        <f>SUMIFS(G$3:G$27,J$3:J$27,K$55)</f>
        <v>505</v>
      </c>
      <c r="M56">
        <f>SUMIFS(Q$3:Q$27,J$3:J$27,K$55)</f>
        <v>2</v>
      </c>
    </row>
    <row r="57" spans="11:13" x14ac:dyDescent="0.25">
      <c r="K57" t="s">
        <v>43</v>
      </c>
      <c r="L57">
        <f>-SUMIFS(H$3:H$27,J$3:J$27,K$55)+M57*5</f>
        <v>-55</v>
      </c>
      <c r="M57">
        <f>SUMIFS(Q$3:Q$27,J$3:J$27,K$55)-COUNTIFS(J$3:J$27,K$55,M$3:M$27,"*gộp*")</f>
        <v>2</v>
      </c>
    </row>
    <row r="58" spans="11:13" x14ac:dyDescent="0.25">
      <c r="K58" t="s">
        <v>45</v>
      </c>
    </row>
    <row r="59" spans="11:13" x14ac:dyDescent="0.25">
      <c r="K59" s="2" t="s">
        <v>47</v>
      </c>
    </row>
    <row r="60" spans="11:13" x14ac:dyDescent="0.25">
      <c r="K60" s="2" t="s">
        <v>49</v>
      </c>
    </row>
    <row r="61" spans="11:13" x14ac:dyDescent="0.25">
      <c r="L61" s="9">
        <f>SUBTOTAL(9,L56:L60)</f>
        <v>450</v>
      </c>
      <c r="M61" s="9">
        <f>M56</f>
        <v>2</v>
      </c>
    </row>
  </sheetData>
  <autoFilter ref="A2:P27" xr:uid="{00000000-0009-0000-0000-000001000000}">
    <sortState xmlns:xlrd2="http://schemas.microsoft.com/office/spreadsheetml/2017/richdata2" ref="A3:P27">
      <sortCondition ref="J2:J27"/>
    </sortState>
  </autoFilter>
  <mergeCells count="8">
    <mergeCell ref="C36:D36"/>
    <mergeCell ref="C37:D37"/>
    <mergeCell ref="C39:D39"/>
    <mergeCell ref="C31:D31"/>
    <mergeCell ref="C32:D32"/>
    <mergeCell ref="C33:D33"/>
    <mergeCell ref="C34:D34"/>
    <mergeCell ref="C35:D35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 Pham</dc:creator>
  <cp:lastModifiedBy>Sei Pham</cp:lastModifiedBy>
  <dcterms:created xsi:type="dcterms:W3CDTF">2026-03-13T17:39:53Z</dcterms:created>
  <dcterms:modified xsi:type="dcterms:W3CDTF">2026-03-20T13:46:44Z</dcterms:modified>
</cp:coreProperties>
</file>