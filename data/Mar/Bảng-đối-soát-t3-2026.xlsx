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C96BAE21-2D58-4C91-8EB4-415DAB74C0FB}" xr6:coauthVersionLast="47" xr6:coauthVersionMax="47" xr10:uidLastSave="{00000000-0000-0000-0000-000000000000}"/>
  <bookViews>
    <workbookView xWindow="-120" yWindow="-120" windowWidth="29040" windowHeight="15720" activeTab="12" xr2:uid="{7DBF314D-BB0B-41C9-BACA-A4F738DC8062}"/>
  </bookViews>
  <sheets>
    <sheet name="02-03" sheetId="7" r:id="rId1"/>
    <sheet name="09-03" sheetId="8" r:id="rId2"/>
    <sheet name="10-03" sheetId="9" r:id="rId3"/>
    <sheet name="10-03 (2)" sheetId="10" r:id="rId4"/>
    <sheet name="11-03 (2)" sheetId="13" r:id="rId5"/>
    <sheet name="11-03" sheetId="11" r:id="rId6"/>
    <sheet name="12-03 (2)" sheetId="14" r:id="rId7"/>
    <sheet name="12-03" sheetId="12" r:id="rId8"/>
    <sheet name="13-03 (2)" sheetId="16" r:id="rId9"/>
    <sheet name="13-03" sheetId="15" r:id="rId10"/>
    <sheet name="14-03 (2)" sheetId="18" r:id="rId11"/>
    <sheet name="14-03" sheetId="17" r:id="rId12"/>
    <sheet name="18-03" sheetId="19" r:id="rId13"/>
  </sheets>
  <definedNames>
    <definedName name="_xlnm._FilterDatabase" localSheetId="1" hidden="1">'09-03'!$A$2:$P$65</definedName>
    <definedName name="_xlnm._FilterDatabase" localSheetId="2" hidden="1">'10-03'!$A$2:$P$40</definedName>
    <definedName name="_xlnm._FilterDatabase" localSheetId="3" hidden="1">'10-03 (2)'!$A$2:$P$40</definedName>
    <definedName name="_xlnm._FilterDatabase" localSheetId="5" hidden="1">'11-03'!$A$2:$P$25</definedName>
    <definedName name="_xlnm._FilterDatabase" localSheetId="4" hidden="1">'11-03 (2)'!$A$2:$P$25</definedName>
    <definedName name="_xlnm._FilterDatabase" localSheetId="7" hidden="1">'12-03'!$A$2:$P$45</definedName>
    <definedName name="_xlnm._FilterDatabase" localSheetId="6" hidden="1">'12-03 (2)'!$A$2:$P$45</definedName>
    <definedName name="_xlnm._FilterDatabase" localSheetId="9" hidden="1">'13-03'!$A$2:$P$41</definedName>
    <definedName name="_xlnm._FilterDatabase" localSheetId="8" hidden="1">'13-03 (2)'!$A$2:$P$41</definedName>
    <definedName name="_xlnm._FilterDatabase" localSheetId="11" hidden="1">'14-03'!$A$2:$P$33</definedName>
    <definedName name="_xlnm._FilterDatabase" localSheetId="10" hidden="1">'14-03 (2)'!$A$2:$P$33</definedName>
    <definedName name="_xlnm._FilterDatabase" localSheetId="12" hidden="1">'18-03'!$A$2:$P$20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2" i="19" l="1"/>
  <c r="L42" i="19"/>
  <c r="M41" i="19"/>
  <c r="M46" i="19" s="1"/>
  <c r="L41" i="19"/>
  <c r="M34" i="19"/>
  <c r="L34" i="19"/>
  <c r="M33" i="19"/>
  <c r="M38" i="19" s="1"/>
  <c r="L33" i="19"/>
  <c r="L38" i="19" s="1"/>
  <c r="P26" i="19" s="1"/>
  <c r="M30" i="19"/>
  <c r="E27" i="19"/>
  <c r="C27" i="19"/>
  <c r="M26" i="19"/>
  <c r="L26" i="19"/>
  <c r="M25" i="19"/>
  <c r="L25" i="19"/>
  <c r="L30" i="19" s="1"/>
  <c r="P25" i="19" s="1"/>
  <c r="E25" i="19"/>
  <c r="E28" i="19" s="1"/>
  <c r="C25" i="19"/>
  <c r="C28" i="19" s="1"/>
  <c r="C32" i="19" s="1"/>
  <c r="P28" i="19" s="1"/>
  <c r="H24" i="19"/>
  <c r="H23" i="19"/>
  <c r="Q22" i="19"/>
  <c r="M43" i="19" s="1"/>
  <c r="L43" i="19" s="1"/>
  <c r="P22" i="19"/>
  <c r="O22" i="19"/>
  <c r="N22" i="19"/>
  <c r="M22" i="19"/>
  <c r="L22" i="19"/>
  <c r="K22" i="19"/>
  <c r="J22" i="19"/>
  <c r="H22" i="19"/>
  <c r="G22" i="19"/>
  <c r="D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22" i="19" s="1"/>
  <c r="I3" i="19"/>
  <c r="L46" i="19" l="1"/>
  <c r="P27" i="19" s="1"/>
  <c r="P29" i="19" s="1"/>
  <c r="C40" i="17"/>
  <c r="C38" i="17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G80" i="7"/>
  <c r="H80" i="7"/>
  <c r="I80" i="7"/>
  <c r="N80" i="7"/>
  <c r="O80" i="7"/>
  <c r="C83" i="7"/>
  <c r="C86" i="7" s="1"/>
  <c r="C89" i="7" s="1"/>
  <c r="D83" i="7"/>
  <c r="K83" i="7"/>
  <c r="L83" i="7"/>
  <c r="C84" i="7"/>
  <c r="K84" i="7"/>
  <c r="D86" i="7"/>
  <c r="K88" i="7"/>
  <c r="L88" i="7"/>
  <c r="K91" i="7"/>
  <c r="L91" i="7"/>
  <c r="K92" i="7"/>
  <c r="K96" i="7"/>
  <c r="L96" i="7"/>
  <c r="K99" i="7"/>
  <c r="L99" i="7"/>
  <c r="K100" i="7"/>
  <c r="K104" i="7"/>
  <c r="L104" i="7"/>
  <c r="I3" i="8"/>
  <c r="I69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G69" i="8"/>
  <c r="H69" i="8"/>
  <c r="J69" i="8"/>
  <c r="K69" i="8"/>
  <c r="N69" i="8"/>
  <c r="O69" i="8"/>
  <c r="P69" i="8"/>
  <c r="Q69" i="8"/>
  <c r="H70" i="8"/>
  <c r="H71" i="8"/>
  <c r="C72" i="8"/>
  <c r="E72" i="8"/>
  <c r="L72" i="8"/>
  <c r="M72" i="8"/>
  <c r="C73" i="8"/>
  <c r="C75" i="8" s="1"/>
  <c r="C78" i="8" s="1"/>
  <c r="P76" i="8" s="1"/>
  <c r="P77" i="8" s="1"/>
  <c r="E73" i="8"/>
  <c r="C74" i="8"/>
  <c r="E74" i="8"/>
  <c r="E75" i="8"/>
  <c r="L77" i="8"/>
  <c r="M77" i="8"/>
  <c r="L80" i="8"/>
  <c r="M80" i="8"/>
  <c r="M85" i="8" s="1"/>
  <c r="L85" i="8"/>
  <c r="L88" i="8"/>
  <c r="L93" i="8" s="1"/>
  <c r="M88" i="8"/>
  <c r="M93" i="8" s="1"/>
  <c r="L96" i="8"/>
  <c r="L101" i="8" s="1"/>
  <c r="M96" i="8"/>
  <c r="M101" i="8" s="1"/>
  <c r="I3" i="9"/>
  <c r="I42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D42" i="9"/>
  <c r="G42" i="9"/>
  <c r="H42" i="9"/>
  <c r="J42" i="9"/>
  <c r="K42" i="9"/>
  <c r="L42" i="9"/>
  <c r="M42" i="9"/>
  <c r="N42" i="9"/>
  <c r="O42" i="9"/>
  <c r="P42" i="9"/>
  <c r="Q42" i="9"/>
  <c r="R42" i="9"/>
  <c r="S42" i="9"/>
  <c r="C45" i="9"/>
  <c r="E45" i="9"/>
  <c r="K45" i="9"/>
  <c r="L45" i="9"/>
  <c r="C46" i="9"/>
  <c r="E46" i="9"/>
  <c r="K46" i="9"/>
  <c r="C47" i="9"/>
  <c r="C48" i="9" s="1"/>
  <c r="C52" i="9" s="1"/>
  <c r="P50" i="9" s="1"/>
  <c r="E47" i="9"/>
  <c r="E48" i="9"/>
  <c r="K50" i="9"/>
  <c r="P45" i="9" s="1"/>
  <c r="L50" i="9"/>
  <c r="K53" i="9"/>
  <c r="L53" i="9"/>
  <c r="K54" i="9"/>
  <c r="C55" i="9"/>
  <c r="C58" i="9" s="1"/>
  <c r="C62" i="9" s="1"/>
  <c r="E55" i="9"/>
  <c r="E58" i="9" s="1"/>
  <c r="C56" i="9"/>
  <c r="E56" i="9"/>
  <c r="C57" i="9"/>
  <c r="E57" i="9"/>
  <c r="K58" i="9"/>
  <c r="P46" i="9" s="1"/>
  <c r="L58" i="9"/>
  <c r="K61" i="9"/>
  <c r="L61" i="9"/>
  <c r="K62" i="9"/>
  <c r="K66" i="9" s="1"/>
  <c r="P47" i="9" s="1"/>
  <c r="L66" i="9"/>
  <c r="K69" i="9"/>
  <c r="L69" i="9"/>
  <c r="L74" i="9" s="1"/>
  <c r="K70" i="9"/>
  <c r="K74" i="9" s="1"/>
  <c r="P48" i="9" s="1"/>
  <c r="K77" i="9"/>
  <c r="L77" i="9"/>
  <c r="L82" i="9" s="1"/>
  <c r="K78" i="9"/>
  <c r="K82" i="9" s="1"/>
  <c r="P49" i="9" s="1"/>
  <c r="I3" i="10"/>
  <c r="I4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G43" i="10"/>
  <c r="H43" i="10"/>
  <c r="J43" i="10"/>
  <c r="K43" i="10"/>
  <c r="L43" i="10"/>
  <c r="M43" i="10"/>
  <c r="N43" i="10"/>
  <c r="O43" i="10"/>
  <c r="P43" i="10"/>
  <c r="Q43" i="10"/>
  <c r="C46" i="10"/>
  <c r="E46" i="10"/>
  <c r="L46" i="10"/>
  <c r="M46" i="10"/>
  <c r="C47" i="10"/>
  <c r="E47" i="10"/>
  <c r="C48" i="10"/>
  <c r="E48" i="10"/>
  <c r="C49" i="10"/>
  <c r="C52" i="10" s="1"/>
  <c r="P50" i="10" s="1"/>
  <c r="P51" i="10" s="1"/>
  <c r="E49" i="10"/>
  <c r="L51" i="10"/>
  <c r="M51" i="10"/>
  <c r="L54" i="10"/>
  <c r="L59" i="10" s="1"/>
  <c r="M54" i="10"/>
  <c r="M59" i="10" s="1"/>
  <c r="L62" i="10"/>
  <c r="L67" i="10" s="1"/>
  <c r="M62" i="10"/>
  <c r="M67" i="10" s="1"/>
  <c r="L70" i="10"/>
  <c r="L75" i="10" s="1"/>
  <c r="M70" i="10"/>
  <c r="M75" i="10" s="1"/>
  <c r="I3" i="13"/>
  <c r="I2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C32" i="13" s="1"/>
  <c r="C33" i="13" s="1"/>
  <c r="C37" i="13" s="1"/>
  <c r="P34" i="13" s="1"/>
  <c r="I22" i="13"/>
  <c r="I23" i="13"/>
  <c r="I24" i="13"/>
  <c r="I25" i="13"/>
  <c r="D27" i="13"/>
  <c r="G27" i="13"/>
  <c r="H27" i="13"/>
  <c r="J27" i="13"/>
  <c r="K27" i="13"/>
  <c r="L27" i="13"/>
  <c r="M27" i="13"/>
  <c r="N27" i="13"/>
  <c r="O27" i="13"/>
  <c r="P27" i="13"/>
  <c r="Q27" i="13"/>
  <c r="C30" i="13"/>
  <c r="E30" i="13"/>
  <c r="L30" i="13"/>
  <c r="M30" i="13"/>
  <c r="C31" i="13"/>
  <c r="E31" i="13"/>
  <c r="M31" i="13"/>
  <c r="L31" i="13" s="1"/>
  <c r="L35" i="13" s="1"/>
  <c r="P30" i="13" s="1"/>
  <c r="E32" i="13"/>
  <c r="E33" i="13"/>
  <c r="M35" i="13"/>
  <c r="L38" i="13"/>
  <c r="M38" i="13"/>
  <c r="M39" i="13"/>
  <c r="L39" i="13" s="1"/>
  <c r="L43" i="13" s="1"/>
  <c r="P31" i="13" s="1"/>
  <c r="M43" i="13"/>
  <c r="L46" i="13"/>
  <c r="M46" i="13"/>
  <c r="M47" i="13"/>
  <c r="L47" i="13" s="1"/>
  <c r="L51" i="13" s="1"/>
  <c r="P32" i="13" s="1"/>
  <c r="M51" i="13"/>
  <c r="L54" i="13"/>
  <c r="M54" i="13"/>
  <c r="M55" i="13"/>
  <c r="L55" i="13" s="1"/>
  <c r="L59" i="13" s="1"/>
  <c r="P33" i="13" s="1"/>
  <c r="M59" i="13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C32" i="11" s="1"/>
  <c r="C33" i="11" s="1"/>
  <c r="C37" i="11" s="1"/>
  <c r="P34" i="11" s="1"/>
  <c r="I22" i="11"/>
  <c r="I23" i="11"/>
  <c r="I24" i="11"/>
  <c r="I25" i="11"/>
  <c r="D27" i="11"/>
  <c r="G27" i="11"/>
  <c r="H27" i="11"/>
  <c r="I27" i="11"/>
  <c r="J27" i="11"/>
  <c r="K27" i="11"/>
  <c r="L27" i="11"/>
  <c r="M27" i="11"/>
  <c r="N27" i="11"/>
  <c r="O27" i="11"/>
  <c r="P27" i="11"/>
  <c r="Q27" i="11"/>
  <c r="C30" i="11"/>
  <c r="E30" i="11"/>
  <c r="L30" i="11"/>
  <c r="M30" i="11"/>
  <c r="C31" i="11"/>
  <c r="E31" i="11"/>
  <c r="M31" i="11"/>
  <c r="L31" i="11" s="1"/>
  <c r="L35" i="11" s="1"/>
  <c r="P30" i="11" s="1"/>
  <c r="E32" i="11"/>
  <c r="E33" i="11"/>
  <c r="M35" i="11"/>
  <c r="L38" i="11"/>
  <c r="M38" i="11"/>
  <c r="M39" i="11"/>
  <c r="L39" i="11" s="1"/>
  <c r="L43" i="11" s="1"/>
  <c r="P31" i="11" s="1"/>
  <c r="M43" i="11"/>
  <c r="L46" i="11"/>
  <c r="M46" i="11"/>
  <c r="M47" i="11"/>
  <c r="L47" i="11" s="1"/>
  <c r="L51" i="11" s="1"/>
  <c r="P32" i="11" s="1"/>
  <c r="M51" i="11"/>
  <c r="L54" i="11"/>
  <c r="M54" i="11"/>
  <c r="M55" i="11"/>
  <c r="L55" i="11" s="1"/>
  <c r="L59" i="11" s="1"/>
  <c r="P33" i="11" s="1"/>
  <c r="M59" i="11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D47" i="14"/>
  <c r="G47" i="14"/>
  <c r="H47" i="14"/>
  <c r="I47" i="14"/>
  <c r="J47" i="14"/>
  <c r="K47" i="14"/>
  <c r="L47" i="14"/>
  <c r="M47" i="14"/>
  <c r="N47" i="14"/>
  <c r="O47" i="14"/>
  <c r="P47" i="14"/>
  <c r="Q47" i="14"/>
  <c r="I52" i="14"/>
  <c r="J52" i="14"/>
  <c r="J53" i="14"/>
  <c r="I53" i="14" s="1"/>
  <c r="I57" i="14" s="1"/>
  <c r="J57" i="14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C52" i="12" s="1"/>
  <c r="C53" i="12" s="1"/>
  <c r="C57" i="12" s="1"/>
  <c r="D47" i="12"/>
  <c r="G47" i="12"/>
  <c r="H47" i="12"/>
  <c r="I47" i="12"/>
  <c r="J47" i="12"/>
  <c r="K47" i="12"/>
  <c r="L47" i="12"/>
  <c r="M47" i="12"/>
  <c r="N47" i="12"/>
  <c r="O47" i="12"/>
  <c r="P47" i="12"/>
  <c r="Q47" i="12"/>
  <c r="C50" i="12"/>
  <c r="E50" i="12"/>
  <c r="L50" i="12"/>
  <c r="M50" i="12"/>
  <c r="C51" i="12"/>
  <c r="E51" i="12"/>
  <c r="M51" i="12"/>
  <c r="L51" i="12" s="1"/>
  <c r="L55" i="12" s="1"/>
  <c r="E52" i="12"/>
  <c r="E53" i="12"/>
  <c r="M55" i="12"/>
  <c r="L66" i="12"/>
  <c r="M66" i="12"/>
  <c r="M71" i="12" s="1"/>
  <c r="M67" i="12"/>
  <c r="L67" i="12" s="1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3" i="16"/>
  <c r="I34" i="16"/>
  <c r="I35" i="16"/>
  <c r="I36" i="16"/>
  <c r="I37" i="16"/>
  <c r="I38" i="16"/>
  <c r="I39" i="16"/>
  <c r="I40" i="16"/>
  <c r="I41" i="16"/>
  <c r="D43" i="16"/>
  <c r="G43" i="16"/>
  <c r="H43" i="16"/>
  <c r="I43" i="16"/>
  <c r="J43" i="16"/>
  <c r="K43" i="16"/>
  <c r="L43" i="16"/>
  <c r="M43" i="16"/>
  <c r="N43" i="16"/>
  <c r="O43" i="16"/>
  <c r="P43" i="16"/>
  <c r="Q43" i="16"/>
  <c r="J52" i="16"/>
  <c r="J57" i="16" s="1"/>
  <c r="I53" i="16"/>
  <c r="I57" i="16" s="1"/>
  <c r="J53" i="16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D43" i="15"/>
  <c r="G43" i="15"/>
  <c r="H43" i="15"/>
  <c r="J43" i="15"/>
  <c r="K43" i="15"/>
  <c r="L43" i="15"/>
  <c r="M43" i="15"/>
  <c r="N43" i="15"/>
  <c r="O43" i="15"/>
  <c r="P43" i="15"/>
  <c r="Q43" i="15"/>
  <c r="E46" i="15"/>
  <c r="L46" i="15"/>
  <c r="M46" i="15"/>
  <c r="C47" i="15"/>
  <c r="E47" i="15"/>
  <c r="M47" i="15"/>
  <c r="L47" i="15" s="1"/>
  <c r="L51" i="15" s="1"/>
  <c r="C48" i="15"/>
  <c r="E48" i="15"/>
  <c r="E49" i="15"/>
  <c r="M51" i="15"/>
  <c r="L62" i="15"/>
  <c r="M62" i="15"/>
  <c r="M63" i="15"/>
  <c r="L63" i="15" s="1"/>
  <c r="L67" i="15" s="1"/>
  <c r="M67" i="15"/>
  <c r="L70" i="15"/>
  <c r="M70" i="15"/>
  <c r="M71" i="15"/>
  <c r="L71" i="15" s="1"/>
  <c r="L75" i="15" s="1"/>
  <c r="M75" i="15"/>
  <c r="I3" i="18"/>
  <c r="I4" i="18"/>
  <c r="I5" i="18"/>
  <c r="I6" i="18"/>
  <c r="I35" i="18" s="1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D35" i="18"/>
  <c r="G35" i="18"/>
  <c r="H35" i="18"/>
  <c r="J35" i="18"/>
  <c r="K35" i="18"/>
  <c r="L35" i="18"/>
  <c r="M35" i="18"/>
  <c r="N35" i="18"/>
  <c r="O35" i="18"/>
  <c r="P35" i="18"/>
  <c r="Q35" i="18"/>
  <c r="I39" i="18"/>
  <c r="H40" i="18"/>
  <c r="I40" i="18"/>
  <c r="H44" i="18"/>
  <c r="I44" i="18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D35" i="17"/>
  <c r="G35" i="17"/>
  <c r="H35" i="17"/>
  <c r="I35" i="17"/>
  <c r="J35" i="17"/>
  <c r="K35" i="17"/>
  <c r="L35" i="17"/>
  <c r="M35" i="17"/>
  <c r="N35" i="17"/>
  <c r="O35" i="17"/>
  <c r="P35" i="17"/>
  <c r="Q35" i="17"/>
  <c r="E38" i="17"/>
  <c r="L38" i="17"/>
  <c r="M38" i="17"/>
  <c r="M39" i="17"/>
  <c r="L39" i="17" s="1"/>
  <c r="L43" i="17" s="1"/>
  <c r="E40" i="17"/>
  <c r="E41" i="17"/>
  <c r="M43" i="17"/>
  <c r="L46" i="17"/>
  <c r="M46" i="17"/>
  <c r="M47" i="17"/>
  <c r="L47" i="17" s="1"/>
  <c r="L51" i="17" s="1"/>
  <c r="M51" i="17"/>
  <c r="I43" i="15" l="1"/>
  <c r="C46" i="15"/>
  <c r="C49" i="15" s="1"/>
  <c r="C53" i="15" s="1"/>
  <c r="P51" i="9"/>
  <c r="P35" i="13"/>
  <c r="P35" i="11"/>
  <c r="L71" i="12"/>
  <c r="C41" i="17"/>
  <c r="C45" i="17" s="1"/>
  <c r="L69" i="8"/>
  <c r="M69" i="8"/>
</calcChain>
</file>

<file path=xl/sharedStrings.xml><?xml version="1.0" encoding="utf-8"?>
<sst xmlns="http://schemas.openxmlformats.org/spreadsheetml/2006/main" count="4582" uniqueCount="1025">
  <si>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</si>
  <si>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</si>
  <si>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</si>
  <si>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</si>
  <si>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</si>
  <si>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</si>
  <si>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</si>
  <si>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</si>
  <si>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</si>
  <si>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</si>
  <si>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</si>
  <si>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</si>
  <si>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</si>
  <si>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</si>
  <si>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</si>
  <si>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</si>
  <si>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</si>
  <si>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</si>
  <si>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</si>
  <si>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</si>
  <si>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</si>
  <si>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</si>
  <si>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</si>
  <si>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</si>
  <si>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</si>
  <si>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</si>
  <si>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</si>
  <si>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</si>
  <si>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</si>
  <si>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</si>
  <si>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</si>
  <si>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</si>
  <si>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</si>
  <si>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</si>
  <si>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</si>
  <si>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</si>
  <si>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</si>
  <si>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</si>
  <si>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</si>
  <si>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</si>
  <si>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</si>
  <si>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</si>
  <si>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</si>
  <si>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</si>
  <si>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</si>
  <si>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</si>
  <si>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</si>
  <si>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</si>
  <si>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</si>
  <si>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</si>
  <si>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</si>
  <si>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</si>
  <si>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</si>
  <si>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</si>
  <si>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</si>
  <si>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</si>
  <si>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</si>
  <si>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</si>
  <si>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</si>
  <si>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</si>
  <si>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</si>
  <si>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</si>
  <si>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</si>
  <si>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</si>
  <si>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</si>
  <si>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</si>
  <si>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</si>
  <si>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</si>
  <si>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</si>
  <si>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</si>
  <si>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</si>
  <si>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</si>
  <si>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</si>
  <si>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</si>
  <si>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</si>
  <si>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</si>
  <si>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</si>
  <si>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</si>
  <si>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</si>
  <si>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</si>
  <si>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</si>
  <si>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</si>
  <si>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</si>
  <si>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</si>
  <si>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</si>
  <si>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</si>
  <si>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</si>
  <si>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</si>
  <si>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</si>
  <si>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</si>
  <si>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</si>
  <si>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</si>
  <si>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</si>
  <si>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</si>
  <si>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</si>
  <si>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</si>
  <si>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</si>
  <si>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</si>
  <si>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</si>
  <si>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</si>
  <si>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</si>
  <si>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</si>
  <si>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</si>
  <si>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</si>
  <si>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</si>
  <si>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</si>
  <si>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</si>
  <si>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</si>
  <si>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</si>
  <si>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</si>
  <si>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</si>
  <si>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</si>
  <si>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</si>
  <si>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</si>
  <si>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</si>
  <si>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</si>
  <si>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</si>
  <si>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</si>
  <si>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</si>
  <si>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</si>
  <si>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</si>
  <si>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</si>
  <si>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</si>
  <si>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</si>
  <si>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</si>
  <si>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</si>
  <si>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</si>
  <si>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</si>
  <si>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</si>
  <si>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</si>
  <si>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</si>
  <si>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</si>
  <si>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</si>
  <si>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</si>
  <si>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</si>
  <si>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</si>
  <si>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</si>
  <si>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</si>
  <si>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</si>
  <si>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</si>
  <si>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</si>
  <si>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</si>
  <si>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</si>
  <si>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</si>
  <si>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</si>
  <si>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</si>
  <si>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</si>
  <si>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</si>
  <si>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</si>
  <si>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</si>
  <si>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</si>
  <si>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</si>
  <si>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</si>
  <si>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</si>
  <si>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</si>
  <si>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</si>
  <si>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</si>
  <si>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</si>
  <si>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</si>
  <si>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</si>
  <si>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</si>
  <si>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</si>
  <si>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</si>
  <si>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</si>
  <si>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</si>
  <si>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</si>
  <si>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</si>
  <si>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</si>
  <si>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</si>
  <si>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</si>
  <si>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</si>
  <si>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</si>
  <si>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</si>
  <si>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</si>
  <si>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</si>
  <si>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</si>
  <si>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</si>
  <si>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</si>
  <si>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</si>
  <si>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</si>
  <si>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</si>
  <si>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</si>
  <si>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</si>
  <si>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</si>
  <si>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</si>
  <si>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</si>
  <si>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</si>
  <si>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</si>
  <si>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</si>
  <si>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</si>
  <si>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</si>
  <si>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</si>
  <si>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</si>
  <si>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</si>
  <si>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</si>
  <si>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</si>
  <si>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</si>
  <si>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</si>
  <si>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</si>
  <si>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</si>
  <si>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</si>
  <si>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</si>
  <si>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</si>
  <si>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</si>
  <si>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</si>
  <si>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</si>
  <si>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</si>
  <si>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</si>
  <si>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</si>
  <si>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</si>
  <si>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</si>
  <si>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</si>
  <si>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</si>
  <si>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</si>
  <si>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</si>
  <si>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</si>
  <si>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</si>
  <si>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</si>
  <si>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</si>
  <si>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</si>
  <si>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</si>
  <si>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</si>
  <si>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</si>
  <si>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</si>
  <si>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</si>
  <si>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</si>
  <si>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</si>
  <si>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</si>
  <si>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</si>
  <si>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</si>
  <si>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</si>
  <si>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</si>
  <si>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</si>
  <si>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</si>
  <si>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</si>
  <si>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</si>
  <si>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</si>
  <si>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</si>
  <si>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</si>
  <si>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</si>
  <si>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</si>
  <si>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</si>
  <si>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</si>
  <si>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</si>
  <si>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</si>
  <si>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</si>
  <si>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</si>
  <si>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</si>
  <si>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</si>
  <si>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</si>
  <si>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</si>
  <si>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</si>
  <si>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</si>
  <si>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</si>
  <si>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</si>
  <si>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</si>
  <si>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</si>
  <si>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</si>
  <si>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</si>
  <si>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</si>
  <si>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</si>
  <si>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</si>
  <si>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Tiền</t>
  </si>
  <si>
    <t>Số đơn</t>
  </si>
  <si>
    <t>Tiền Thu</t>
  </si>
  <si>
    <t>cod</t>
  </si>
  <si>
    <t>TỔNG ĐƠN NHẬN</t>
  </si>
  <si>
    <t>Trừ Tiền Ship</t>
  </si>
  <si>
    <t>tiền ship</t>
  </si>
  <si>
    <t>Đơn trả &amp; c.khoản</t>
  </si>
  <si>
    <t>Tiền Hàng Hcm</t>
  </si>
  <si>
    <t>đơn đơn</t>
  </si>
  <si>
    <t>đơn cũ ck</t>
  </si>
  <si>
    <t>nợ cũ</t>
  </si>
  <si>
    <t>THANH TOÁN</t>
  </si>
  <si>
    <t>CK Đủ 100%</t>
  </si>
  <si>
    <t>THU 2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</si>
  <si>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</si>
  <si>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</si>
  <si>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</si>
  <si>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</si>
  <si>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</si>
  <si>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</si>
  <si>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</si>
  <si>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</si>
  <si>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</si>
  <si>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</si>
  <si>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</si>
  <si>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</si>
  <si>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</si>
  <si>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</si>
  <si>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</si>
  <si>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</si>
  <si>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</si>
  <si>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</si>
  <si>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</si>
  <si>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</si>
  <si>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</si>
  <si>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</si>
  <si>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</si>
  <si>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</si>
  <si>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</si>
  <si>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</si>
  <si>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</si>
  <si>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</si>
  <si>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</si>
  <si>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</si>
  <si>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</si>
  <si>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</si>
  <si>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</si>
  <si>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</si>
  <si>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</si>
  <si>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</si>
  <si>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</si>
  <si>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</si>
  <si>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</si>
  <si>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</si>
  <si>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</si>
  <si>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</si>
  <si>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</si>
  <si>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</si>
  <si>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</si>
  <si>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</si>
  <si>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</si>
  <si>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</si>
  <si>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</si>
  <si>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</si>
  <si>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</si>
  <si>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</si>
  <si>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</si>
  <si>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</si>
  <si>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</si>
  <si>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</si>
  <si>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</si>
  <si>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</si>
  <si>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</si>
  <si>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</si>
  <si>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</si>
  <si>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</si>
  <si>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</si>
  <si>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</si>
  <si>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</si>
  <si>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</si>
  <si>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</si>
  <si>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</si>
  <si>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</si>
  <si>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</si>
  <si>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</si>
  <si>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</si>
  <si>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</si>
  <si>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</si>
  <si>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</si>
  <si>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</si>
  <si>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</si>
  <si>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</si>
  <si>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</si>
  <si>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</si>
  <si>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</si>
  <si>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</si>
  <si>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</si>
  <si>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</si>
  <si>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</si>
  <si>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</si>
  <si>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</si>
  <si>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</si>
  <si>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</si>
  <si>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</si>
  <si>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</si>
  <si>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</si>
  <si>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</si>
  <si>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</si>
  <si>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</si>
  <si>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</si>
  <si>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</si>
  <si>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</si>
  <si>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</si>
  <si>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</si>
  <si>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</si>
  <si>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</si>
  <si>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</si>
  <si>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</si>
  <si>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</si>
  <si>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</si>
  <si>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</si>
  <si>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</si>
  <si>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</si>
  <si>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</si>
  <si>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</si>
  <si>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</si>
  <si>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</si>
  <si>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</si>
  <si>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</si>
  <si>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</si>
  <si>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</si>
  <si>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</si>
  <si>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</si>
  <si>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</si>
  <si>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</si>
  <si>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</si>
  <si>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</si>
  <si>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</si>
  <si>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</si>
  <si>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</si>
  <si>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</si>
  <si>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</si>
  <si>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</si>
  <si>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</si>
  <si>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</si>
  <si>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</si>
  <si>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</si>
  <si>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</si>
  <si>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</si>
  <si>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</si>
  <si>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</si>
  <si>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</si>
  <si>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</si>
  <si>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</si>
  <si>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</si>
  <si>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</si>
  <si>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</si>
  <si>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</si>
  <si>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</si>
  <si>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</si>
  <si>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</si>
  <si>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</si>
  <si>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</si>
  <si>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</si>
  <si>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</si>
  <si>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</si>
  <si>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</si>
  <si>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</si>
  <si>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</si>
  <si>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</si>
  <si>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</si>
  <si>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</si>
  <si>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</si>
  <si>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</si>
  <si>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</si>
  <si>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</si>
  <si>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</si>
  <si>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</si>
  <si>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</si>
  <si>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</si>
  <si>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</si>
  <si>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</si>
  <si>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</si>
  <si>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</si>
  <si>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</si>
  <si>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</si>
  <si>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</si>
  <si>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</si>
  <si>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</si>
  <si>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</si>
  <si>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</si>
  <si>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</si>
  <si>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</si>
  <si>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</si>
  <si>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</si>
  <si>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</si>
  <si>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</si>
  <si>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</si>
  <si>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</si>
  <si>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lợi nhuận</t>
  </si>
  <si>
    <t>9-3</t>
  </si>
  <si>
    <t>Sài Gòn</t>
  </si>
  <si>
    <t>an tâm</t>
  </si>
  <si>
    <t xml:space="preserve">Trừ Tiền Ship  </t>
  </si>
  <si>
    <t>quyền</t>
  </si>
  <si>
    <t>tiền lấy</t>
  </si>
  <si>
    <t>chú cường</t>
  </si>
  <si>
    <t>a hiếu</t>
  </si>
  <si>
    <t>đền đơn</t>
  </si>
  <si>
    <t>shop</t>
  </si>
  <si>
    <t>tổng</t>
  </si>
  <si>
    <t>CK ĐỦ 100%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</si>
  <si>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</si>
  <si>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</si>
  <si>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</si>
  <si>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</si>
  <si>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</si>
  <si>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</si>
  <si>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</si>
  <si>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</si>
  <si>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</si>
  <si>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</si>
  <si>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</si>
  <si>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</si>
  <si>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</si>
  <si>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</si>
  <si>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</si>
  <si>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</si>
  <si>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</si>
  <si>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</si>
  <si>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</si>
  <si>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</si>
  <si>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</si>
  <si>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</si>
  <si>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</si>
  <si>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</si>
  <si>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</si>
  <si>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</si>
  <si>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</si>
  <si>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</si>
  <si>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</si>
  <si>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</si>
  <si>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</si>
  <si>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</si>
  <si>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</si>
  <si>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</si>
  <si>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</si>
  <si>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</si>
  <si>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</si>
  <si>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</si>
  <si>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</si>
  <si>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</si>
  <si>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</si>
  <si>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</si>
  <si>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</si>
  <si>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</si>
  <si>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</si>
  <si>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</si>
  <si>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</si>
  <si>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</si>
  <si>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</si>
  <si>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</si>
  <si>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</si>
  <si>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</si>
  <si>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</si>
  <si>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</si>
  <si>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</si>
  <si>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</si>
  <si>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</si>
  <si>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</si>
  <si>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</si>
  <si>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</si>
  <si>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</si>
  <si>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</si>
  <si>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</si>
  <si>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</si>
  <si>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</si>
  <si>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</si>
  <si>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</si>
  <si>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</si>
  <si>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</si>
  <si>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</si>
  <si>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</si>
  <si>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</si>
  <si>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</si>
  <si>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</si>
  <si>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</si>
  <si>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</si>
  <si>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</si>
  <si>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</si>
  <si>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</si>
  <si>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</si>
  <si>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</si>
  <si>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</si>
  <si>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</si>
  <si>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</si>
  <si>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</si>
  <si>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</si>
  <si>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</si>
  <si>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</si>
  <si>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</si>
  <si>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</si>
  <si>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</si>
  <si>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</si>
  <si>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</si>
  <si>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</si>
  <si>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</si>
  <si>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</si>
  <si>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</si>
  <si>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</si>
  <si>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</si>
  <si>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T3.10.3</t>
  </si>
  <si>
    <t>giao 9</t>
  </si>
  <si>
    <t>at 10-3</t>
  </si>
  <si>
    <t>9 đơn</t>
  </si>
  <si>
    <t>T2.9.3</t>
  </si>
  <si>
    <t>giao 10</t>
  </si>
  <si>
    <t>10 đơn</t>
  </si>
  <si>
    <t>giao 13</t>
  </si>
  <si>
    <t>13 đơn</t>
  </si>
  <si>
    <t>giao 2</t>
  </si>
  <si>
    <t>2 đơn</t>
  </si>
  <si>
    <t>giao 4</t>
  </si>
  <si>
    <t>0 đơn</t>
  </si>
  <si>
    <t>4 đơn</t>
  </si>
  <si>
    <t>THU 3</t>
  </si>
  <si>
    <t>NGAY 10-3</t>
  </si>
  <si>
    <t>10-3</t>
  </si>
  <si>
    <t>THU 4</t>
  </si>
  <si>
    <t>NGAY 11-3</t>
  </si>
  <si>
    <t>_col17</t>
  </si>
  <si>
    <t>Kokoro Hat</t>
  </si>
  <si>
    <t>HD000331</t>
  </si>
  <si>
    <t>Cc Hope Garden hẻm 102 Phan Huy Ích, P15</t>
  </si>
  <si>
    <t>11-03-2026</t>
  </si>
  <si>
    <t>Hi Hà</t>
  </si>
  <si>
    <t>HD000630</t>
  </si>
  <si>
    <t>ăn hộ florita - tòa A đường 14, phường Tân tưng, TP +CM</t>
  </si>
  <si>
    <t>Ý Mỹ</t>
  </si>
  <si>
    <t>HD000581</t>
  </si>
  <si>
    <t>662/4 sư vạn hạnh p12</t>
  </si>
  <si>
    <t>Khánh Linh</t>
  </si>
  <si>
    <t>HD000495</t>
  </si>
  <si>
    <t>346 bến vân đồn, Block A2 the gold view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</si>
  <si>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</si>
  <si>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</si>
  <si>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</si>
  <si>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</si>
  <si>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</si>
  <si>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</si>
  <si>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Sang phạm</t>
  </si>
  <si>
    <t>HD000606</t>
  </si>
  <si>
    <t>3, Địa chỉ: 221/7/2 đường Đất Thánh p6</t>
  </si>
  <si>
    <t>Ngọc Trang</t>
  </si>
  <si>
    <t>HD000367</t>
  </si>
  <si>
    <t>Foxshop 28 Lê Văn Duyệt, P1, Binh Thạnh</t>
  </si>
  <si>
    <t>Yến Yến</t>
  </si>
  <si>
    <t>HD000278</t>
  </si>
  <si>
    <t>Toà 15 masteti thảo điền</t>
  </si>
  <si>
    <t>Lê Tường Vy</t>
  </si>
  <si>
    <t>HD000535</t>
  </si>
  <si>
    <t>194/4/5 bùi đình tuý phường 14</t>
  </si>
  <si>
    <t>Pham Huong</t>
  </si>
  <si>
    <t>HD000519</t>
  </si>
  <si>
    <t>764/50/41 phạm văn chiêu p15</t>
  </si>
  <si>
    <t>Khoa Lê Đăng</t>
  </si>
  <si>
    <t>HD000626</t>
  </si>
  <si>
    <t>Chung Cư A2, Phim Xích Long, Cầu Kiệu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</si>
  <si>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</si>
  <si>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</si>
  <si>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</si>
  <si>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</si>
  <si>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</si>
  <si>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</si>
  <si>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Nguyễn Thu Thảo</t>
  </si>
  <si>
    <t>HD000621</t>
  </si>
  <si>
    <t>a5/16q quốc lộ 1A- tân tạo a- bình tân( sửa xe hữu toàn)</t>
  </si>
  <si>
    <t>AT  11-03</t>
  </si>
  <si>
    <t>Hoa tran</t>
  </si>
  <si>
    <t>HD000603</t>
  </si>
  <si>
    <t>23 duong so 8, Tan quy</t>
  </si>
  <si>
    <t>HD000173</t>
  </si>
  <si>
    <t>230 ca thắng, p12</t>
  </si>
  <si>
    <t>HD000426</t>
  </si>
  <si>
    <t>16 cư xá bình minh,đường dương bá trạc,phường 1</t>
  </si>
  <si>
    <t>Tran Quynh Giao</t>
  </si>
  <si>
    <t>HD000620</t>
  </si>
  <si>
    <t>26/22 đường số 7 phường 3</t>
  </si>
  <si>
    <t>Heng Roza (EV38382)</t>
  </si>
  <si>
    <t>HD000386</t>
  </si>
  <si>
    <t>315/18/6 Nhuyễn Thị Tú, Phường Bình Hưng Hòa B</t>
  </si>
  <si>
    <t>Lily Lim</t>
  </si>
  <si>
    <t>HD000640</t>
  </si>
  <si>
    <t>Địa chỉ nhà: 49 Trần Văn Dư - Phường 13</t>
  </si>
  <si>
    <t>NABY 22</t>
  </si>
  <si>
    <t>90/35 Trần Văn Ơn, Phường Tân Sơn Nhì</t>
  </si>
  <si>
    <t>Thu 7800 + ship 50</t>
  </si>
  <si>
    <t>at  11-03</t>
  </si>
  <si>
    <t>hy hy</t>
  </si>
  <si>
    <t>HD000681</t>
  </si>
  <si>
    <t>trả shop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</si>
  <si>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</si>
  <si>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</si>
  <si>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</si>
  <si>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</si>
  <si>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</si>
  <si>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</si>
  <si>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</si>
  <si>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</si>
  <si>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</si>
  <si>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</si>
  <si>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</si>
  <si>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</si>
  <si>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</si>
  <si>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</si>
  <si>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</si>
  <si>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</si>
  <si>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</si>
  <si>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</si>
  <si>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</si>
  <si>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</si>
  <si>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</si>
  <si>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</si>
  <si>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</si>
  <si>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</si>
  <si>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</si>
  <si>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</si>
  <si>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</si>
  <si>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</si>
  <si>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</si>
  <si>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</si>
  <si>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</si>
  <si>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</si>
  <si>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</si>
  <si>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</si>
  <si>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</si>
  <si>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</si>
  <si>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</si>
  <si>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</si>
  <si>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</si>
  <si>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</si>
  <si>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</si>
  <si>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</si>
  <si>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</si>
  <si>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</si>
  <si>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</si>
  <si>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</si>
  <si>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</si>
  <si>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</si>
  <si>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</si>
  <si>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</si>
  <si>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</si>
  <si>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</si>
  <si>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</si>
  <si>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</si>
  <si>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</si>
  <si>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</si>
  <si>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</si>
  <si>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</si>
  <si>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</si>
  <si>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</si>
  <si>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</si>
  <si>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</si>
  <si>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</si>
  <si>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</si>
  <si>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</si>
  <si>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</si>
  <si>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</si>
  <si>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</si>
  <si>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</si>
  <si>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</si>
  <si>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</si>
  <si>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</si>
  <si>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</si>
  <si>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</si>
  <si>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</si>
  <si>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</si>
  <si>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</si>
  <si>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</si>
  <si>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</si>
  <si>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</si>
  <si>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</si>
  <si>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</si>
  <si>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</si>
  <si>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</si>
  <si>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</si>
  <si>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</si>
  <si>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</si>
  <si>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</si>
  <si>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</si>
  <si>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</si>
  <si>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</si>
  <si>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</si>
  <si>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</si>
  <si>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</si>
  <si>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</si>
  <si>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</si>
  <si>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</si>
  <si>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</si>
  <si>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</si>
  <si>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</si>
  <si>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</si>
  <si>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</si>
  <si>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</si>
  <si>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</si>
  <si>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</si>
  <si>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</si>
  <si>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</si>
  <si>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</si>
  <si>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</si>
  <si>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</si>
  <si>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</si>
  <si>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</si>
  <si>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</si>
  <si>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</si>
  <si>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</si>
  <si>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</si>
  <si>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</si>
  <si>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</si>
  <si>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Khách lẻ</t>
  </si>
  <si>
    <t>HD000921</t>
  </si>
  <si>
    <t>270/11 Phan Đình Phùng ( Cầu Kiệu Phú Nhuận )</t>
  </si>
  <si>
    <t>13-03-2026</t>
  </si>
  <si>
    <t>Quyền Trần - fb Trang Nguyễn</t>
  </si>
  <si>
    <t>HD001213</t>
  </si>
  <si>
    <t>184 trần văn kiểu p10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</si>
  <si>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</si>
  <si>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</si>
  <si>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</si>
  <si>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</si>
  <si>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</si>
  <si>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</si>
  <si>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BELLA</t>
  </si>
  <si>
    <t>66 đường 17 p10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</si>
  <si>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</si>
  <si>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</si>
  <si>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</si>
  <si>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</si>
  <si>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</si>
  <si>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</si>
  <si>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</si>
  <si>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</si>
  <si>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</si>
  <si>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</si>
  <si>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</si>
  <si>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</si>
  <si>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</si>
  <si>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</si>
  <si>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</si>
  <si>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</si>
  <si>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</si>
  <si>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</si>
  <si>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</si>
  <si>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</si>
  <si>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</si>
  <si>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Diệu Linh</t>
  </si>
  <si>
    <t>HD001151</t>
  </si>
  <si>
    <t>600 Nguyễn lương bằng, P phú mỹ</t>
  </si>
  <si>
    <t>Hong Yang</t>
  </si>
  <si>
    <t>HD001414</t>
  </si>
  <si>
    <t>Scenic valley 2 - Block B Tôn dật tiên - p</t>
  </si>
  <si>
    <t>Phạm Minh Nguyệt</t>
  </si>
  <si>
    <t>HD001314</t>
  </si>
  <si>
    <t>88/5g nguyễn khoái - p. Vĩnh hội</t>
  </si>
  <si>
    <t>Sun Na</t>
  </si>
  <si>
    <t>HD001256</t>
  </si>
  <si>
    <t>Chung cư cardinal court toà B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</si>
  <si>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</si>
  <si>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</si>
  <si>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</si>
  <si>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</si>
  <si>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</si>
  <si>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</si>
  <si>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</si>
  <si>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</si>
  <si>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Lê Ngọc Diễm</t>
  </si>
  <si>
    <t>HD001411</t>
  </si>
  <si>
    <t>Chung cư tara. Phường 6</t>
  </si>
  <si>
    <t>HD000628</t>
  </si>
  <si>
    <t>30 tùng thiện vương</t>
  </si>
  <si>
    <t>pham nhi</t>
  </si>
  <si>
    <t>HD001261</t>
  </si>
  <si>
    <t>Số 12, Đg 01 Hồ Học Lãm, P16</t>
  </si>
  <si>
    <t>shop chịu ship</t>
  </si>
  <si>
    <t>thái an an</t>
  </si>
  <si>
    <t>HD001222</t>
  </si>
  <si>
    <t>21 đường số 7 p4</t>
  </si>
  <si>
    <t>Thanh Tâm</t>
  </si>
  <si>
    <t>HD001428</t>
  </si>
  <si>
    <t>19/5 trần trọng khiêm, phường long bình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</si>
  <si>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</si>
  <si>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</si>
  <si>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</si>
  <si>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</si>
  <si>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</si>
  <si>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</si>
  <si>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</si>
  <si>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</si>
  <si>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</si>
  <si>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người nhận Tâm mini</t>
  </si>
  <si>
    <t>HD001165</t>
  </si>
  <si>
    <t>202B, HOÀNG VĂN THỤ PHƯỜNG 9</t>
  </si>
  <si>
    <t>chị trang (fb Selena Phạm)</t>
  </si>
  <si>
    <t>HD001278</t>
  </si>
  <si>
    <t>139/2 nguyễn văn lượng</t>
  </si>
  <si>
    <t>Hoàng Kim</t>
  </si>
  <si>
    <t>HD001423</t>
  </si>
  <si>
    <t>Dream Home Palace (1436 Trịnh Quang Nghị, P7)</t>
  </si>
  <si>
    <t>Mai Mều</t>
  </si>
  <si>
    <t>HD001321</t>
  </si>
  <si>
    <t>168/8/1 Trần Văn Quang P10</t>
  </si>
  <si>
    <t>Thụy An Dao</t>
  </si>
  <si>
    <t>HD001224</t>
  </si>
  <si>
    <t>Sảnh B2 chung cư Emerald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</si>
  <si>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</si>
  <si>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</si>
  <si>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</si>
  <si>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</si>
  <si>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</si>
  <si>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</si>
  <si>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</si>
  <si>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</si>
  <si>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HD001374</t>
  </si>
  <si>
    <t>Số 2 đường 31 bình trị đông B tình Tân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</si>
  <si>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</si>
  <si>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</si>
  <si>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</si>
  <si>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</si>
  <si>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</si>
  <si>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</si>
  <si>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tinh</t>
  </si>
  <si>
    <t>g nghi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</si>
  <si>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</si>
  <si>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</si>
  <si>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</si>
  <si>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</si>
  <si>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</si>
  <si>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</si>
  <si>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</si>
  <si>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</si>
  <si>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</si>
  <si>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</si>
  <si>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</si>
  <si>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</si>
  <si>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</si>
  <si>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</si>
  <si>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</si>
  <si>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</si>
  <si>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</si>
  <si>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</si>
  <si>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</si>
  <si>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</si>
  <si>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</si>
  <si>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</si>
  <si>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</si>
  <si>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</si>
  <si>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</si>
  <si>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</si>
  <si>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</si>
  <si>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</si>
  <si>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</si>
  <si>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</si>
  <si>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</si>
  <si>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</si>
  <si>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</si>
  <si>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</si>
  <si>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</si>
  <si>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</si>
  <si>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</si>
  <si>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</si>
  <si>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</si>
  <si>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</si>
  <si>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</si>
  <si>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</si>
  <si>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</si>
  <si>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</si>
  <si>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</si>
  <si>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</si>
  <si>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</si>
  <si>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</si>
  <si>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</si>
  <si>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</si>
  <si>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</si>
  <si>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</si>
  <si>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</si>
  <si>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</si>
  <si>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</si>
  <si>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</si>
  <si>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</si>
  <si>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</si>
  <si>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</si>
  <si>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</si>
  <si>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</si>
  <si>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</si>
  <si>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</si>
  <si>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</si>
  <si>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</si>
  <si>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</si>
  <si>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</si>
  <si>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</si>
  <si>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</si>
  <si>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</si>
  <si>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</si>
  <si>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</si>
  <si>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</si>
  <si>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</si>
  <si>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</si>
  <si>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</si>
  <si>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</si>
  <si>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</si>
  <si>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</si>
  <si>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Trừ Ship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</si>
  <si>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</si>
  <si>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</si>
  <si>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</si>
  <si>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</si>
  <si>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</si>
  <si>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</si>
  <si>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</si>
  <si>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</si>
  <si>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</si>
  <si>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</si>
  <si>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</si>
  <si>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</si>
  <si>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</si>
  <si>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</si>
  <si>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</si>
  <si>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</si>
  <si>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</si>
  <si>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</si>
  <si>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</si>
  <si>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</si>
  <si>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</si>
  <si>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</si>
  <si>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</si>
  <si>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</si>
  <si>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</si>
  <si>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</si>
  <si>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</si>
  <si>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</si>
  <si>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</si>
  <si>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</si>
  <si>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</si>
  <si>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</si>
  <si>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</si>
  <si>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</si>
  <si>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</si>
  <si>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</si>
  <si>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</si>
  <si>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</si>
  <si>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</si>
  <si>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</si>
  <si>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</si>
  <si>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</si>
  <si>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</si>
  <si>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</si>
  <si>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</si>
  <si>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</si>
  <si>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</si>
  <si>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at 18-03</t>
  </si>
  <si>
    <t>NGAY 18-3</t>
  </si>
  <si>
    <t>PUNLORK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</si>
</sst>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90EE90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</fills>
  <borders count="20">
    <border>
      <left/>
      <right/>
      <top/>
      <bottom/>
      <diagonal/>
    </border>
    <border>
      <left style="medium">
        <color rgb="FF4682B4"/>
      </left>
      <right/>
      <top style="medium">
        <color rgb="FF4682B4"/>
      </top>
      <bottom style="thin">
        <color rgb="FF000000"/>
      </bottom>
      <diagonal/>
    </border>
    <border>
      <left/>
      <right/>
      <top style="medium">
        <color rgb="FF4682B4"/>
      </top>
      <bottom style="thin">
        <color rgb="FF000000"/>
      </bottom>
      <diagonal/>
    </border>
    <border>
      <left/>
      <right style="medium">
        <color rgb="FF4682B4"/>
      </right>
      <top style="medium">
        <color rgb="FF4682B4"/>
      </top>
      <bottom style="thin">
        <color rgb="FF000000"/>
      </bottom>
      <diagonal/>
    </border>
    <border>
      <left style="medium">
        <color rgb="FF4682B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4682B4"/>
      </right>
      <top/>
      <bottom style="thin">
        <color rgb="FF000000"/>
      </bottom>
      <diagonal/>
    </border>
    <border>
      <left style="medium">
        <color rgb="FF4682B4"/>
      </left>
      <right/>
      <top/>
      <bottom style="thin">
        <color rgb="FF4682B4"/>
      </bottom>
      <diagonal/>
    </border>
    <border>
      <left/>
      <right/>
      <top/>
      <bottom style="thin">
        <color rgb="FF4682B4"/>
      </bottom>
      <diagonal/>
    </border>
    <border>
      <left/>
      <right style="medium">
        <color rgb="FF4682B4"/>
      </right>
      <top/>
      <bottom style="thin">
        <color rgb="FF4682B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11" borderId="0" xfId="0" applyFont="1" applyFill="1"/>
    <xf numFmtId="0" fontId="0" fillId="11" borderId="0" xfId="0" applyFill="1"/>
    <xf numFmtId="0" fontId="1" fillId="11" borderId="0" xfId="0" applyFont="1" applyFill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49" fontId="0" fillId="0" borderId="0" xfId="0" applyNumberFormat="1" applyAlignment="1">
      <alignment horizontal="left"/>
    </xf>
    <xf numFmtId="49" fontId="0" fillId="11" borderId="12" xfId="0" applyNumberFormat="1" applyFill="1" applyBorder="1"/>
    <xf numFmtId="3" fontId="0" fillId="0" borderId="0" xfId="0" applyNumberFormat="1"/>
    <xf numFmtId="0" fontId="0" fillId="0" borderId="4" xfId="0" applyBorder="1"/>
    <xf numFmtId="0" fontId="0" fillId="0" borderId="5" xfId="0" applyBorder="1"/>
    <xf numFmtId="3" fontId="0" fillId="0" borderId="5" xfId="0" applyNumberFormat="1" applyBorder="1"/>
    <xf numFmtId="0" fontId="0" fillId="0" borderId="6" xfId="0" applyBorder="1"/>
    <xf numFmtId="0" fontId="2" fillId="0" borderId="5" xfId="0" applyFont="1" applyBorder="1"/>
    <xf numFmtId="0" fontId="1" fillId="0" borderId="5" xfId="0" applyFont="1" applyBorder="1"/>
    <xf numFmtId="3" fontId="1" fillId="0" borderId="5" xfId="0" applyNumberFormat="1" applyFont="1" applyBorder="1"/>
    <xf numFmtId="0" fontId="1" fillId="0" borderId="6" xfId="0" applyFont="1" applyBorder="1"/>
    <xf numFmtId="0" fontId="0" fillId="0" borderId="0" xfId="0" applyAlignment="1">
      <alignment horizontal="left"/>
    </xf>
    <xf numFmtId="0" fontId="0" fillId="0" borderId="10" xfId="0" applyBorder="1"/>
    <xf numFmtId="164" fontId="5" fillId="0" borderId="0" xfId="0" applyNumberFormat="1" applyFont="1"/>
    <xf numFmtId="0" fontId="5" fillId="0" borderId="0" xfId="0" applyFont="1"/>
    <xf numFmtId="164" fontId="5" fillId="0" borderId="0" xfId="0" quotePrefix="1" applyNumberFormat="1" applyFont="1"/>
    <xf numFmtId="164" fontId="6" fillId="0" borderId="10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13" xfId="0" applyNumberFormat="1" applyFont="1" applyBorder="1"/>
    <xf numFmtId="164" fontId="4" fillId="0" borderId="13" xfId="0" applyNumberFormat="1" applyFont="1" applyBorder="1" applyAlignment="1">
      <alignment horizontal="right"/>
    </xf>
    <xf numFmtId="164" fontId="5" fillId="0" borderId="10" xfId="0" applyNumberFormat="1" applyFont="1" applyBorder="1"/>
    <xf numFmtId="164" fontId="6" fillId="0" borderId="14" xfId="0" applyNumberFormat="1" applyFont="1" applyBorder="1"/>
    <xf numFmtId="164" fontId="6" fillId="0" borderId="14" xfId="0" applyNumberFormat="1" applyFont="1" applyBorder="1" applyAlignment="1">
      <alignment horizontal="right"/>
    </xf>
    <xf numFmtId="164" fontId="5" fillId="0" borderId="13" xfId="0" applyNumberFormat="1" applyFont="1" applyBorder="1"/>
    <xf numFmtId="164" fontId="8" fillId="0" borderId="13" xfId="0" applyNumberFormat="1" applyFont="1" applyBorder="1" applyAlignment="1">
      <alignment horizontal="right"/>
    </xf>
    <xf numFmtId="164" fontId="9" fillId="0" borderId="13" xfId="0" applyNumberFormat="1" applyFont="1" applyBorder="1"/>
    <xf numFmtId="164" fontId="9" fillId="0" borderId="13" xfId="0" applyNumberFormat="1" applyFont="1" applyBorder="1" applyAlignment="1">
      <alignment horizontal="right"/>
    </xf>
    <xf numFmtId="164" fontId="7" fillId="0" borderId="13" xfId="0" applyNumberFormat="1" applyFont="1" applyBorder="1"/>
    <xf numFmtId="164" fontId="10" fillId="0" borderId="13" xfId="0" applyNumberFormat="1" applyFont="1" applyBorder="1"/>
    <xf numFmtId="164" fontId="6" fillId="0" borderId="13" xfId="0" applyNumberFormat="1" applyFont="1" applyBorder="1" applyAlignment="1">
      <alignment horizontal="right"/>
    </xf>
    <xf numFmtId="0" fontId="1" fillId="2" borderId="0" xfId="0" applyFont="1" applyFill="1"/>
    <xf numFmtId="3" fontId="1" fillId="3" borderId="0" xfId="0" applyNumberFormat="1" applyFont="1" applyFill="1"/>
    <xf numFmtId="0" fontId="1" fillId="4" borderId="1" xfId="0" applyFont="1" applyFill="1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0" xfId="0" applyFont="1" applyFill="1"/>
    <xf numFmtId="3" fontId="1" fillId="5" borderId="0" xfId="0" applyNumberFormat="1" applyFont="1" applyFill="1"/>
    <xf numFmtId="0" fontId="1" fillId="5" borderId="0" xfId="0" applyFont="1" applyFill="1"/>
    <xf numFmtId="0" fontId="1" fillId="6" borderId="7" xfId="0" applyFont="1" applyFill="1" applyBorder="1"/>
    <xf numFmtId="0" fontId="1" fillId="6" borderId="8" xfId="0" applyFont="1" applyFill="1" applyBorder="1"/>
    <xf numFmtId="3" fontId="1" fillId="6" borderId="8" xfId="0" applyNumberFormat="1" applyFont="1" applyFill="1" applyBorder="1"/>
    <xf numFmtId="0" fontId="1" fillId="6" borderId="9" xfId="0" applyFont="1" applyFill="1" applyBorder="1"/>
    <xf numFmtId="0" fontId="0" fillId="11" borderId="0" xfId="0" applyFill="1" applyAlignment="1">
      <alignment horizontal="left"/>
    </xf>
    <xf numFmtId="49" fontId="0" fillId="11" borderId="0" xfId="0" applyNumberFormat="1" applyFill="1"/>
    <xf numFmtId="0" fontId="0" fillId="11" borderId="0" xfId="0" quotePrefix="1" applyFill="1"/>
    <xf numFmtId="0" fontId="3" fillId="11" borderId="0" xfId="0" applyFont="1" applyFill="1"/>
    <xf numFmtId="0" fontId="2" fillId="11" borderId="0" xfId="0" applyFont="1" applyFill="1" applyAlignment="1">
      <alignment horizontal="left"/>
    </xf>
    <xf numFmtId="49" fontId="2" fillId="11" borderId="0" xfId="0" quotePrefix="1" applyNumberFormat="1" applyFont="1" applyFill="1"/>
    <xf numFmtId="164" fontId="4" fillId="8" borderId="10" xfId="0" applyNumberFormat="1" applyFont="1" applyFill="1" applyBorder="1" applyAlignment="1">
      <alignment horizontal="right"/>
    </xf>
    <xf numFmtId="164" fontId="6" fillId="8" borderId="13" xfId="0" applyNumberFormat="1" applyFont="1" applyFill="1" applyBorder="1"/>
    <xf numFmtId="164" fontId="4" fillId="9" borderId="13" xfId="0" applyNumberFormat="1" applyFont="1" applyFill="1" applyBorder="1"/>
    <xf numFmtId="164" fontId="4" fillId="9" borderId="13" xfId="0" applyNumberFormat="1" applyFont="1" applyFill="1" applyBorder="1" applyAlignment="1">
      <alignment horizontal="right"/>
    </xf>
    <xf numFmtId="164" fontId="4" fillId="7" borderId="13" xfId="0" applyNumberFormat="1" applyFont="1" applyFill="1" applyBorder="1"/>
    <xf numFmtId="164" fontId="7" fillId="10" borderId="19" xfId="0" applyNumberFormat="1" applyFont="1" applyFill="1" applyBorder="1"/>
    <xf numFmtId="164" fontId="10" fillId="10" borderId="19" xfId="0" applyNumberFormat="1" applyFont="1" applyFill="1" applyBorder="1"/>
    <xf numFmtId="164" fontId="6" fillId="9" borderId="13" xfId="0" applyNumberFormat="1" applyFont="1" applyFill="1" applyBorder="1"/>
    <xf numFmtId="164" fontId="5" fillId="9" borderId="13" xfId="0" applyNumberFormat="1" applyFont="1" applyFill="1" applyBorder="1"/>
    <xf numFmtId="164" fontId="5" fillId="10" borderId="10" xfId="0" applyNumberFormat="1" applyFont="1" applyFill="1" applyBorder="1"/>
    <xf numFmtId="164" fontId="6" fillId="10" borderId="10" xfId="0" applyNumberFormat="1" applyFont="1" applyFill="1" applyBorder="1" applyAlignment="1">
      <alignment horizontal="right"/>
    </xf>
    <xf numFmtId="164" fontId="5" fillId="7" borderId="10" xfId="0" applyNumberFormat="1" applyFont="1" applyFill="1" applyBorder="1"/>
    <xf numFmtId="0" fontId="0" fillId="7" borderId="10" xfId="0" applyFill="1" applyBorder="1"/>
    <xf numFmtId="164" fontId="5" fillId="9" borderId="0" xfId="0" applyNumberFormat="1" applyFont="1" applyFill="1"/>
    <xf numFmtId="0" fontId="0" fillId="12" borderId="0" xfId="0" applyFill="1"/>
    <xf numFmtId="49" fontId="0" fillId="0" borderId="0" xfId="0" applyNumberFormat="1"/>
    <xf numFmtId="49" fontId="2" fillId="0" borderId="0" xfId="0" applyNumberFormat="1" applyFont="1"/>
    <xf numFmtId="3" fontId="2" fillId="0" borderId="0" xfId="0" applyNumberFormat="1" applyFont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0" fontId="5" fillId="9" borderId="17" xfId="0" applyFont="1" applyFill="1" applyBorder="1" applyAlignment="1">
      <alignment horizontal="center" vertical="center"/>
    </xf>
    <xf numFmtId="0" fontId="5" fillId="9" borderId="18" xfId="0" applyFont="1" applyFill="1" applyBorder="1" applyAlignment="1">
      <alignment horizontal="center" vertical="center"/>
    </xf>
    <xf numFmtId="0" fontId="5" fillId="0" borderId="17" xfId="0" applyFont="1" applyBorder="1"/>
    <xf numFmtId="0" fontId="5" fillId="0" borderId="18" xfId="0" applyFont="1" applyBorder="1"/>
    <xf numFmtId="164" fontId="6" fillId="0" borderId="17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164" fontId="4" fillId="8" borderId="11" xfId="0" applyNumberFormat="1" applyFont="1" applyFill="1" applyBorder="1" applyAlignment="1">
      <alignment horizontal="center"/>
    </xf>
    <xf numFmtId="164" fontId="4" fillId="8" borderId="12" xfId="0" applyNumberFormat="1" applyFont="1" applyFill="1" applyBorder="1" applyAlignment="1">
      <alignment horizontal="center"/>
    </xf>
    <xf numFmtId="164" fontId="6" fillId="0" borderId="11" xfId="0" applyNumberFormat="1" applyFont="1" applyBorder="1" applyAlignment="1">
      <alignment horizontal="center"/>
    </xf>
    <xf numFmtId="164" fontId="6" fillId="0" borderId="12" xfId="0" applyNumberFormat="1" applyFont="1" applyBorder="1" applyAlignment="1">
      <alignment horizontal="center"/>
    </xf>
    <xf numFmtId="164" fontId="6" fillId="0" borderId="15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164" fontId="7" fillId="0" borderId="17" xfId="0" applyNumberFormat="1" applyFont="1" applyBorder="1" applyAlignment="1">
      <alignment horizontal="center"/>
    </xf>
    <xf numFmtId="164" fontId="7" fillId="0" borderId="18" xfId="0" applyNumberFormat="1" applyFont="1" applyBorder="1" applyAlignment="1">
      <alignment horizontal="center"/>
    </xf>
    <xf numFmtId="164" fontId="4" fillId="9" borderId="17" xfId="0" applyNumberFormat="1" applyFont="1" applyFill="1" applyBorder="1" applyAlignment="1">
      <alignment horizontal="center"/>
    </xf>
    <xf numFmtId="164" fontId="4" fillId="9" borderId="18" xfId="0" applyNumberFormat="1" applyFont="1" applyFill="1" applyBorder="1" applyAlignment="1">
      <alignment horizontal="center"/>
    </xf>
    <xf numFmtId="0" fontId="0" fillId="11" borderId="0" xfId="0" applyFill="1"/>
    <xf numFmtId="0" fontId="1" fillId="11" borderId="0" xfId="0" applyFont="1" applyFill="1"/>
    <xf numFmtId="0" fontId="2" fillId="11" borderId="0" xfId="0" applyFont="1" applyFill="1"/>
  </cellXfs>
  <cellStyles count="1">
    <cellStyle name="Normal" xfId="0" builtinId="0"/>
  </cellStyles>
  <dxfs count="4"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rgb="FFD3D3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428B53-E503-4C91-915A-FDE9F938361F}" name="Table2" displayName="Table2" ref="A2:Q21" totalsRowShown="0" headerRowDxfId="3">
  <autoFilter ref="A2:Q21" xr:uid="{0B428B53-E503-4C91-915A-FDE9F938361F}"/>
  <sortState xmlns:xlrd2="http://schemas.microsoft.com/office/spreadsheetml/2017/richdata2" ref="A3:Q21">
    <sortCondition ref="J2:J21"/>
  </sortState>
  <tableColumns count="17">
    <tableColumn id="1" xr3:uid="{892970FF-A597-4DE4-B5DD-818A4C277FCD}" name="Tình trạng TT"/>
    <tableColumn id="2" xr3:uid="{A048A4A1-2420-4BDB-92BC-59440AD92B6B}" name="SHOP"/>
    <tableColumn id="3" xr3:uid="{13C591AF-1DE5-4701-93B2-5B8E424B37EA}" name="TÊN KH"/>
    <tableColumn id="4" xr3:uid="{A0C0AEA1-8BB9-4C02-96A0-DDFA629273A1}" name="MÃ"/>
    <tableColumn id="5" xr3:uid="{CA25DA59-964B-49CD-B254-545A4D35A79F}" name="ĐỊA CHỈ"/>
    <tableColumn id="6" xr3:uid="{F03A7C2A-0B89-4843-9476-D1FD29266F28}" name="QUẬN"/>
    <tableColumn id="7" xr3:uid="{FF28663F-4007-47A4-925D-E2782BFDE193}" name="TIỀN THU" dataDxfId="2"/>
    <tableColumn id="8" xr3:uid="{A0335C51-0136-4AD6-8FE1-B17895AE78E3}" name="TIỀN SHIP" dataDxfId="1"/>
    <tableColumn id="9" xr3:uid="{9816152D-E8AB-457B-A228-17C23F849653}" name="TIỀN HÀNG" dataDxfId="0">
      <calculatedColumnFormula>G3-H3</calculatedColumnFormula>
    </tableColumn>
    <tableColumn id="10" xr3:uid="{A3E84859-26A1-4AB3-86B0-E778305FF797}" name="NGƯỜI ĐI"/>
    <tableColumn id="11" xr3:uid="{A61B845C-A07F-4EC3-8E5B-729EDB4EFA83}" name="NGƯỜI LẤY"/>
    <tableColumn id="12" xr3:uid="{092ECB0F-19C3-44DB-B745-03B9AB58BB11}" name="NGÀY LẤY"/>
    <tableColumn id="13" xr3:uid="{E1663483-92B9-4DAF-BAE2-1B7505491155}" name="GHI CHÚ"/>
    <tableColumn id="14" xr3:uid="{4C6FC92C-3A3D-4D3D-A7D2-85FCAA2C1AFC}" name="ỨNG TIỀN"/>
    <tableColumn id="15" xr3:uid="{D75FDCAF-22A4-4466-AF59-A93014ABBD9E}" name="HÀNG TỒN"/>
    <tableColumn id="16" xr3:uid="{5B67B138-157E-49E4-9B59-40FD560E87D2}" name="FAIL"/>
    <tableColumn id="17" xr3:uid="{3D2F206E-A9D8-427C-A709-1493575F9B6B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"/>
  <sheetViews>
    <sheetView topLeftCell="A73" workbookViewId="0">
      <selection activeCell="K84" sqref="K84"/>
    </sheetView>
  </sheetViews>
  <sheetFormatPr defaultRowHeight="15" x14ac:dyDescent="0.25"/>
  <cols>
    <col min="1" max="1" width="12.42578125" customWidth="1"/>
    <col min="2" max="2" width="19.140625" customWidth="1"/>
    <col min="3" max="3" width="54.42578125" customWidth="1"/>
    <col min="4" max="4" width="10.28515625" customWidth="1"/>
    <col min="5" max="5" width="87.5703125" customWidth="1"/>
    <col min="6" max="6" width="10.4257812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1.28515625" customWidth="1"/>
    <col min="13" max="13" width="13.42578125" customWidth="1"/>
    <col min="14" max="14" width="10.42578125" customWidth="1"/>
    <col min="15" max="15" width="11.28515625" customWidth="1"/>
    <col min="16" max="16" width="4.85546875" customWidth="1"/>
  </cols>
  <sheetData>
    <row r="1" spans="1:16" ht="15" customHeight="1" x14ac:dyDescent="0.25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38" t="s">
        <v>15</v>
      </c>
    </row>
    <row r="3" spans="1:16" x14ac:dyDescent="0.25">
      <c r="B3" t="s">
        <v>16</v>
      </c>
      <c r="C3" t="s">
        <v>17</v>
      </c>
      <c r="D3" t="s">
        <v>18</v>
      </c>
      <c r="E3" t="s">
        <v>19</v>
      </c>
      <c r="F3" s="10">
        <v>6</v>
      </c>
      <c r="G3" s="10">
        <v>810</v>
      </c>
      <c r="H3" s="10">
        <v>25</v>
      </c>
      <c r="I3" s="10">
        <f t="shared" ref="I3:I34" si="0">G3-H3</f>
        <v>785</v>
      </c>
      <c r="K3" t="s">
        <v>20</v>
      </c>
      <c r="L3" t="s">
        <v>21</v>
      </c>
    </row>
    <row r="4" spans="1:16" x14ac:dyDescent="0.25">
      <c r="B4" t="s">
        <v>16</v>
      </c>
      <c r="C4" t="s">
        <v>22</v>
      </c>
      <c r="D4" t="s">
        <v>23</v>
      </c>
      <c r="E4" t="s">
        <v>24</v>
      </c>
      <c r="F4" s="10">
        <v>10</v>
      </c>
      <c r="G4" s="10">
        <v>990</v>
      </c>
      <c r="H4" s="10">
        <v>25</v>
      </c>
      <c r="I4" s="10">
        <f t="shared" si="0"/>
        <v>965</v>
      </c>
      <c r="J4" t="s">
        <v>25</v>
      </c>
      <c r="K4" t="s">
        <v>20</v>
      </c>
      <c r="L4" t="s">
        <v>21</v>
      </c>
      <c r="M4" t="s">
        <v>26</v>
      </c>
    </row>
    <row r="5" spans="1:16" x14ac:dyDescent="0.25">
      <c r="B5" t="s">
        <v>16</v>
      </c>
      <c r="C5" t="s">
        <v>27</v>
      </c>
      <c r="D5" t="s">
        <v>28</v>
      </c>
      <c r="E5" t="s">
        <v>29</v>
      </c>
      <c r="F5" s="10">
        <v>1</v>
      </c>
      <c r="G5" s="10">
        <v>740</v>
      </c>
      <c r="H5" s="10">
        <v>25</v>
      </c>
      <c r="I5" s="10">
        <f t="shared" si="0"/>
        <v>715</v>
      </c>
      <c r="J5" t="s">
        <v>25</v>
      </c>
      <c r="K5" t="s">
        <v>20</v>
      </c>
      <c r="L5" t="s">
        <v>21</v>
      </c>
    </row>
    <row r="6" spans="1:16" x14ac:dyDescent="0.25">
      <c r="B6" t="s">
        <v>16</v>
      </c>
      <c r="C6" t="s">
        <v>30</v>
      </c>
      <c r="D6" t="s">
        <v>31</v>
      </c>
      <c r="E6" t="s">
        <v>32</v>
      </c>
      <c r="F6" t="s">
        <v>33</v>
      </c>
      <c r="G6" s="10">
        <v>740</v>
      </c>
      <c r="H6" s="10">
        <v>30</v>
      </c>
      <c r="I6" s="10">
        <f t="shared" si="0"/>
        <v>710</v>
      </c>
      <c r="J6" t="s">
        <v>20</v>
      </c>
      <c r="K6" t="s">
        <v>20</v>
      </c>
      <c r="L6" t="s">
        <v>21</v>
      </c>
    </row>
    <row r="7" spans="1:16" x14ac:dyDescent="0.25">
      <c r="B7" t="s">
        <v>16</v>
      </c>
      <c r="C7" t="s">
        <v>34</v>
      </c>
      <c r="D7" t="s">
        <v>35</v>
      </c>
      <c r="E7" t="s">
        <v>36</v>
      </c>
      <c r="F7" t="s">
        <v>37</v>
      </c>
      <c r="G7" s="10">
        <v>670</v>
      </c>
      <c r="H7" s="10">
        <v>35</v>
      </c>
      <c r="I7" s="10">
        <f t="shared" si="0"/>
        <v>635</v>
      </c>
      <c r="K7" t="s">
        <v>20</v>
      </c>
      <c r="L7" t="s">
        <v>21</v>
      </c>
    </row>
    <row r="8" spans="1:16" x14ac:dyDescent="0.25">
      <c r="B8" t="s">
        <v>16</v>
      </c>
      <c r="C8" t="s">
        <v>38</v>
      </c>
      <c r="D8" t="s">
        <v>39</v>
      </c>
      <c r="E8" t="s">
        <v>40</v>
      </c>
      <c r="F8" t="s">
        <v>33</v>
      </c>
      <c r="G8" s="10">
        <v>342</v>
      </c>
      <c r="H8" s="10">
        <v>30</v>
      </c>
      <c r="I8" s="10">
        <f t="shared" si="0"/>
        <v>312</v>
      </c>
      <c r="J8" t="s">
        <v>20</v>
      </c>
      <c r="K8" t="s">
        <v>20</v>
      </c>
      <c r="L8" t="s">
        <v>21</v>
      </c>
    </row>
    <row r="9" spans="1:16" x14ac:dyDescent="0.25">
      <c r="B9" t="s">
        <v>16</v>
      </c>
      <c r="C9" t="s">
        <v>41</v>
      </c>
      <c r="D9" t="s">
        <v>42</v>
      </c>
      <c r="E9" t="s">
        <v>43</v>
      </c>
      <c r="F9" s="10">
        <v>1</v>
      </c>
      <c r="G9" s="10">
        <v>756</v>
      </c>
      <c r="H9" s="10">
        <v>25</v>
      </c>
      <c r="I9" s="10">
        <f t="shared" si="0"/>
        <v>731</v>
      </c>
      <c r="K9" t="s">
        <v>20</v>
      </c>
      <c r="L9" t="s">
        <v>21</v>
      </c>
    </row>
    <row r="10" spans="1:16" x14ac:dyDescent="0.25">
      <c r="B10" t="s">
        <v>16</v>
      </c>
      <c r="C10" t="s">
        <v>44</v>
      </c>
      <c r="D10" t="s">
        <v>45</v>
      </c>
      <c r="E10" t="s">
        <v>46</v>
      </c>
      <c r="F10" t="s">
        <v>47</v>
      </c>
      <c r="G10" s="10">
        <v>670</v>
      </c>
      <c r="H10" s="10">
        <v>30</v>
      </c>
      <c r="I10" s="10">
        <f t="shared" si="0"/>
        <v>640</v>
      </c>
      <c r="K10" t="s">
        <v>20</v>
      </c>
      <c r="L10" t="s">
        <v>21</v>
      </c>
    </row>
    <row r="11" spans="1:16" x14ac:dyDescent="0.25">
      <c r="B11" t="s">
        <v>16</v>
      </c>
      <c r="C11" t="s">
        <v>48</v>
      </c>
      <c r="D11" t="s">
        <v>49</v>
      </c>
      <c r="E11" t="s">
        <v>50</v>
      </c>
      <c r="F11" t="s">
        <v>51</v>
      </c>
      <c r="G11" s="10">
        <v>1630</v>
      </c>
      <c r="H11" s="10">
        <v>20</v>
      </c>
      <c r="I11" s="10">
        <f t="shared" si="0"/>
        <v>1610</v>
      </c>
      <c r="J11" t="s">
        <v>20</v>
      </c>
      <c r="K11" t="s">
        <v>20</v>
      </c>
      <c r="L11" t="s">
        <v>21</v>
      </c>
    </row>
    <row r="12" spans="1:16" x14ac:dyDescent="0.25">
      <c r="B12" t="s">
        <v>16</v>
      </c>
      <c r="C12" t="s">
        <v>52</v>
      </c>
      <c r="D12" t="s">
        <v>53</v>
      </c>
      <c r="E12" t="s">
        <v>54</v>
      </c>
      <c r="F12" t="s">
        <v>47</v>
      </c>
      <c r="G12" s="10">
        <v>380</v>
      </c>
      <c r="H12" s="10">
        <v>30</v>
      </c>
      <c r="I12" s="10">
        <f t="shared" si="0"/>
        <v>350</v>
      </c>
      <c r="K12" t="s">
        <v>20</v>
      </c>
      <c r="L12" t="s">
        <v>21</v>
      </c>
    </row>
    <row r="13" spans="1:16" x14ac:dyDescent="0.25">
      <c r="B13" t="s">
        <v>16</v>
      </c>
      <c r="C13" t="s">
        <v>55</v>
      </c>
      <c r="D13" t="s">
        <v>56</v>
      </c>
      <c r="E13" t="s">
        <v>57</v>
      </c>
      <c r="F13" t="s">
        <v>47</v>
      </c>
      <c r="G13" s="10">
        <v>380</v>
      </c>
      <c r="H13" s="10">
        <v>30</v>
      </c>
      <c r="I13" s="10">
        <f t="shared" si="0"/>
        <v>350</v>
      </c>
      <c r="K13" t="s">
        <v>20</v>
      </c>
      <c r="L13" t="s">
        <v>21</v>
      </c>
    </row>
    <row r="14" spans="1:16" x14ac:dyDescent="0.25">
      <c r="B14" t="s">
        <v>16</v>
      </c>
      <c r="C14" t="s">
        <v>58</v>
      </c>
      <c r="D14" t="s">
        <v>59</v>
      </c>
      <c r="E14" t="s">
        <v>60</v>
      </c>
      <c r="F14" t="s">
        <v>61</v>
      </c>
      <c r="G14" s="10">
        <v>840</v>
      </c>
      <c r="H14" s="10">
        <v>25</v>
      </c>
      <c r="I14" s="10">
        <f t="shared" si="0"/>
        <v>815</v>
      </c>
      <c r="K14" t="s">
        <v>20</v>
      </c>
      <c r="L14" t="s">
        <v>21</v>
      </c>
    </row>
    <row r="15" spans="1:16" x14ac:dyDescent="0.25">
      <c r="B15" t="s">
        <v>16</v>
      </c>
      <c r="C15" t="s">
        <v>62</v>
      </c>
      <c r="D15" t="s">
        <v>63</v>
      </c>
      <c r="E15" t="s">
        <v>64</v>
      </c>
      <c r="F15" s="10">
        <v>4</v>
      </c>
      <c r="G15" s="10">
        <v>1350</v>
      </c>
      <c r="H15" s="10">
        <v>25</v>
      </c>
      <c r="I15" s="10">
        <f t="shared" si="0"/>
        <v>1325</v>
      </c>
      <c r="J15" t="s">
        <v>25</v>
      </c>
      <c r="K15" t="s">
        <v>20</v>
      </c>
      <c r="L15" t="s">
        <v>21</v>
      </c>
    </row>
    <row r="16" spans="1:16" x14ac:dyDescent="0.25">
      <c r="B16" t="s">
        <v>16</v>
      </c>
      <c r="C16" t="s">
        <v>65</v>
      </c>
      <c r="D16" t="s">
        <v>66</v>
      </c>
      <c r="E16" t="s">
        <v>67</v>
      </c>
      <c r="F16" t="s">
        <v>47</v>
      </c>
      <c r="G16" s="10">
        <v>0</v>
      </c>
      <c r="H16" s="10">
        <v>30</v>
      </c>
      <c r="I16" s="10">
        <f t="shared" si="0"/>
        <v>-30</v>
      </c>
      <c r="K16" t="s">
        <v>20</v>
      </c>
      <c r="L16" t="s">
        <v>21</v>
      </c>
    </row>
    <row r="17" spans="2:13" x14ac:dyDescent="0.25">
      <c r="B17" t="s">
        <v>16</v>
      </c>
      <c r="C17" t="s">
        <v>68</v>
      </c>
      <c r="D17" t="s">
        <v>69</v>
      </c>
      <c r="E17" t="s">
        <v>70</v>
      </c>
      <c r="F17" t="s">
        <v>71</v>
      </c>
      <c r="G17" s="10">
        <v>0</v>
      </c>
      <c r="H17" s="10">
        <v>35</v>
      </c>
      <c r="I17" s="10">
        <f t="shared" si="0"/>
        <v>-35</v>
      </c>
      <c r="K17" t="s">
        <v>20</v>
      </c>
      <c r="L17" t="s">
        <v>21</v>
      </c>
      <c r="M17" t="s">
        <v>72</v>
      </c>
    </row>
    <row r="18" spans="2:13" x14ac:dyDescent="0.25">
      <c r="B18" t="s">
        <v>16</v>
      </c>
      <c r="C18" t="s">
        <v>73</v>
      </c>
      <c r="D18" t="s">
        <v>74</v>
      </c>
      <c r="E18" t="s">
        <v>75</v>
      </c>
      <c r="F18" t="s">
        <v>61</v>
      </c>
      <c r="G18" s="10">
        <v>670</v>
      </c>
      <c r="H18" s="10">
        <v>25</v>
      </c>
      <c r="I18" s="10">
        <f t="shared" si="0"/>
        <v>645</v>
      </c>
      <c r="K18" t="s">
        <v>20</v>
      </c>
      <c r="L18" t="s">
        <v>21</v>
      </c>
    </row>
    <row r="19" spans="2:13" x14ac:dyDescent="0.25">
      <c r="B19" t="s">
        <v>16</v>
      </c>
      <c r="C19" t="s">
        <v>76</v>
      </c>
      <c r="D19" t="s">
        <v>77</v>
      </c>
      <c r="E19" t="s">
        <v>78</v>
      </c>
      <c r="F19" t="s">
        <v>61</v>
      </c>
      <c r="G19" s="10">
        <v>940</v>
      </c>
      <c r="H19" s="10">
        <v>25</v>
      </c>
      <c r="I19" s="10">
        <f t="shared" si="0"/>
        <v>915</v>
      </c>
      <c r="K19" t="s">
        <v>20</v>
      </c>
      <c r="L19" t="s">
        <v>21</v>
      </c>
    </row>
    <row r="20" spans="2:13" x14ac:dyDescent="0.25">
      <c r="B20" t="s">
        <v>16</v>
      </c>
      <c r="C20" t="s">
        <v>79</v>
      </c>
      <c r="D20" t="s">
        <v>80</v>
      </c>
      <c r="E20" t="s">
        <v>81</v>
      </c>
      <c r="F20" s="10">
        <v>7</v>
      </c>
      <c r="G20" s="10">
        <v>0</v>
      </c>
      <c r="H20" s="10">
        <v>30</v>
      </c>
      <c r="I20" s="10">
        <f t="shared" si="0"/>
        <v>-30</v>
      </c>
      <c r="K20" t="s">
        <v>20</v>
      </c>
      <c r="L20" t="s">
        <v>21</v>
      </c>
    </row>
    <row r="21" spans="2:13" x14ac:dyDescent="0.25">
      <c r="B21" t="s">
        <v>16</v>
      </c>
      <c r="C21" t="s">
        <v>82</v>
      </c>
      <c r="D21" t="s">
        <v>83</v>
      </c>
      <c r="E21" t="s">
        <v>84</v>
      </c>
      <c r="F21" s="10">
        <v>6</v>
      </c>
      <c r="G21" s="10">
        <v>1680</v>
      </c>
      <c r="H21" s="10">
        <v>25</v>
      </c>
      <c r="I21" s="10">
        <f t="shared" si="0"/>
        <v>1655</v>
      </c>
      <c r="K21" t="s">
        <v>20</v>
      </c>
      <c r="L21" t="s">
        <v>21</v>
      </c>
    </row>
    <row r="22" spans="2:13" x14ac:dyDescent="0.25">
      <c r="B22" t="s">
        <v>16</v>
      </c>
      <c r="C22" t="s">
        <v>85</v>
      </c>
      <c r="D22" t="s">
        <v>86</v>
      </c>
      <c r="E22" t="s">
        <v>87</v>
      </c>
      <c r="F22" t="s">
        <v>47</v>
      </c>
      <c r="G22" s="10">
        <v>0</v>
      </c>
      <c r="H22" s="10">
        <v>30</v>
      </c>
      <c r="I22" s="10">
        <f t="shared" si="0"/>
        <v>-30</v>
      </c>
      <c r="K22" t="s">
        <v>20</v>
      </c>
      <c r="L22" t="s">
        <v>21</v>
      </c>
    </row>
    <row r="23" spans="2:13" x14ac:dyDescent="0.25">
      <c r="B23" t="s">
        <v>16</v>
      </c>
      <c r="C23" t="s">
        <v>88</v>
      </c>
      <c r="D23" t="s">
        <v>89</v>
      </c>
      <c r="E23" t="s">
        <v>90</v>
      </c>
      <c r="F23" t="s">
        <v>91</v>
      </c>
      <c r="G23" s="10">
        <v>670</v>
      </c>
      <c r="H23" s="10">
        <v>20</v>
      </c>
      <c r="I23" s="10">
        <f t="shared" si="0"/>
        <v>650</v>
      </c>
      <c r="J23" t="s">
        <v>25</v>
      </c>
      <c r="K23" t="s">
        <v>20</v>
      </c>
      <c r="L23" t="s">
        <v>21</v>
      </c>
    </row>
    <row r="24" spans="2:13" x14ac:dyDescent="0.25">
      <c r="B24" t="s">
        <v>16</v>
      </c>
      <c r="C24" t="s">
        <v>92</v>
      </c>
      <c r="D24" t="s">
        <v>93</v>
      </c>
      <c r="E24" t="s">
        <v>94</v>
      </c>
      <c r="F24" t="s">
        <v>95</v>
      </c>
      <c r="G24" s="10">
        <v>0</v>
      </c>
      <c r="H24" s="10">
        <v>25</v>
      </c>
      <c r="I24" s="10">
        <f t="shared" si="0"/>
        <v>-25</v>
      </c>
      <c r="J24" t="s">
        <v>20</v>
      </c>
      <c r="K24" t="s">
        <v>20</v>
      </c>
      <c r="L24" t="s">
        <v>96</v>
      </c>
    </row>
    <row r="25" spans="2:13" x14ac:dyDescent="0.25">
      <c r="B25" t="s">
        <v>16</v>
      </c>
      <c r="C25" t="s">
        <v>97</v>
      </c>
      <c r="D25" t="s">
        <v>98</v>
      </c>
      <c r="E25" t="s">
        <v>99</v>
      </c>
      <c r="F25" s="10">
        <v>8</v>
      </c>
      <c r="G25" s="10">
        <v>0</v>
      </c>
      <c r="H25" s="10">
        <v>25</v>
      </c>
      <c r="I25" s="10">
        <f t="shared" si="0"/>
        <v>-25</v>
      </c>
      <c r="K25" t="s">
        <v>20</v>
      </c>
      <c r="L25" t="s">
        <v>96</v>
      </c>
    </row>
    <row r="26" spans="2:13" x14ac:dyDescent="0.25">
      <c r="B26" t="s">
        <v>16</v>
      </c>
      <c r="C26" t="s">
        <v>100</v>
      </c>
      <c r="D26" t="s">
        <v>101</v>
      </c>
      <c r="E26" t="s">
        <v>102</v>
      </c>
      <c r="F26" t="s">
        <v>61</v>
      </c>
      <c r="G26" s="10">
        <v>740</v>
      </c>
      <c r="H26" s="10">
        <v>25</v>
      </c>
      <c r="I26" s="10">
        <f t="shared" si="0"/>
        <v>715</v>
      </c>
      <c r="K26" t="s">
        <v>20</v>
      </c>
      <c r="L26" t="s">
        <v>96</v>
      </c>
    </row>
    <row r="27" spans="2:13" x14ac:dyDescent="0.25">
      <c r="B27" t="s">
        <v>16</v>
      </c>
      <c r="C27" t="s">
        <v>103</v>
      </c>
      <c r="D27" t="s">
        <v>104</v>
      </c>
      <c r="E27" t="s">
        <v>105</v>
      </c>
      <c r="F27" s="10">
        <v>7</v>
      </c>
      <c r="G27" s="10">
        <v>790</v>
      </c>
      <c r="H27" s="10">
        <v>30</v>
      </c>
      <c r="I27" s="10">
        <f t="shared" si="0"/>
        <v>760</v>
      </c>
      <c r="K27" t="s">
        <v>20</v>
      </c>
      <c r="L27" t="s">
        <v>96</v>
      </c>
    </row>
    <row r="28" spans="2:13" x14ac:dyDescent="0.25">
      <c r="B28" t="s">
        <v>16</v>
      </c>
      <c r="C28" t="s">
        <v>106</v>
      </c>
      <c r="D28" t="s">
        <v>107</v>
      </c>
      <c r="E28" t="s">
        <v>108</v>
      </c>
      <c r="F28" s="10">
        <v>2</v>
      </c>
      <c r="G28" s="10">
        <v>0</v>
      </c>
      <c r="H28" s="10">
        <v>30</v>
      </c>
      <c r="I28" s="10">
        <f t="shared" si="0"/>
        <v>-30</v>
      </c>
      <c r="J28" t="s">
        <v>20</v>
      </c>
      <c r="K28" t="s">
        <v>20</v>
      </c>
      <c r="L28" t="s">
        <v>96</v>
      </c>
    </row>
    <row r="29" spans="2:13" x14ac:dyDescent="0.25">
      <c r="B29" t="s">
        <v>16</v>
      </c>
      <c r="C29" t="s">
        <v>109</v>
      </c>
      <c r="D29" t="s">
        <v>110</v>
      </c>
      <c r="E29" t="s">
        <v>111</v>
      </c>
      <c r="F29" t="s">
        <v>95</v>
      </c>
      <c r="G29" s="10">
        <v>1630</v>
      </c>
      <c r="H29" s="10">
        <v>25</v>
      </c>
      <c r="I29" s="10">
        <f t="shared" si="0"/>
        <v>1605</v>
      </c>
      <c r="J29" t="s">
        <v>25</v>
      </c>
      <c r="K29" t="s">
        <v>20</v>
      </c>
      <c r="L29" t="s">
        <v>112</v>
      </c>
    </row>
    <row r="30" spans="2:13" x14ac:dyDescent="0.25">
      <c r="B30" t="s">
        <v>16</v>
      </c>
      <c r="C30" t="s">
        <v>113</v>
      </c>
      <c r="D30" t="s">
        <v>114</v>
      </c>
      <c r="E30" t="s">
        <v>115</v>
      </c>
      <c r="F30" t="s">
        <v>116</v>
      </c>
      <c r="G30" s="10">
        <v>690</v>
      </c>
      <c r="H30" s="10">
        <v>25</v>
      </c>
      <c r="I30" s="10">
        <f t="shared" si="0"/>
        <v>665</v>
      </c>
      <c r="J30" t="s">
        <v>20</v>
      </c>
      <c r="K30" t="s">
        <v>20</v>
      </c>
      <c r="L30" t="s">
        <v>96</v>
      </c>
    </row>
    <row r="31" spans="2:13" x14ac:dyDescent="0.25">
      <c r="B31" t="s">
        <v>16</v>
      </c>
      <c r="C31" t="s">
        <v>117</v>
      </c>
      <c r="D31" t="s">
        <v>118</v>
      </c>
      <c r="E31" t="s">
        <v>119</v>
      </c>
      <c r="F31" s="10">
        <v>10</v>
      </c>
      <c r="G31" s="10">
        <v>780</v>
      </c>
      <c r="H31" s="10">
        <v>25</v>
      </c>
      <c r="I31" s="10">
        <f t="shared" si="0"/>
        <v>755</v>
      </c>
      <c r="J31" t="s">
        <v>25</v>
      </c>
      <c r="K31" t="s">
        <v>20</v>
      </c>
      <c r="L31" t="s">
        <v>96</v>
      </c>
    </row>
    <row r="32" spans="2:13" x14ac:dyDescent="0.25">
      <c r="B32" t="s">
        <v>16</v>
      </c>
      <c r="C32" t="s">
        <v>120</v>
      </c>
      <c r="D32" t="s">
        <v>121</v>
      </c>
      <c r="E32" t="s">
        <v>122</v>
      </c>
      <c r="F32" s="10">
        <v>7</v>
      </c>
      <c r="G32" s="10">
        <v>790</v>
      </c>
      <c r="H32" s="10">
        <v>30</v>
      </c>
      <c r="I32" s="10">
        <f t="shared" si="0"/>
        <v>760</v>
      </c>
      <c r="K32" t="s">
        <v>20</v>
      </c>
      <c r="L32" t="s">
        <v>96</v>
      </c>
    </row>
    <row r="33" spans="2:12" x14ac:dyDescent="0.25">
      <c r="B33" t="s">
        <v>16</v>
      </c>
      <c r="C33" t="s">
        <v>123</v>
      </c>
      <c r="D33" t="s">
        <v>124</v>
      </c>
      <c r="E33" t="s">
        <v>125</v>
      </c>
      <c r="F33" s="10">
        <v>10</v>
      </c>
      <c r="G33" s="10">
        <v>670</v>
      </c>
      <c r="H33" s="10">
        <v>25</v>
      </c>
      <c r="I33" s="10">
        <f t="shared" si="0"/>
        <v>645</v>
      </c>
      <c r="J33" t="s">
        <v>25</v>
      </c>
      <c r="K33" t="s">
        <v>20</v>
      </c>
      <c r="L33" t="s">
        <v>96</v>
      </c>
    </row>
    <row r="34" spans="2:12" x14ac:dyDescent="0.25">
      <c r="B34" t="s">
        <v>16</v>
      </c>
      <c r="C34" t="s">
        <v>126</v>
      </c>
      <c r="D34" t="s">
        <v>127</v>
      </c>
      <c r="E34" t="s">
        <v>128</v>
      </c>
      <c r="F34" t="s">
        <v>91</v>
      </c>
      <c r="G34" s="10">
        <v>670</v>
      </c>
      <c r="H34" s="10">
        <v>20</v>
      </c>
      <c r="I34" s="10">
        <f t="shared" si="0"/>
        <v>650</v>
      </c>
      <c r="J34" t="s">
        <v>25</v>
      </c>
      <c r="K34" t="s">
        <v>20</v>
      </c>
      <c r="L34" t="s">
        <v>96</v>
      </c>
    </row>
    <row r="35" spans="2:12" x14ac:dyDescent="0.25">
      <c r="B35" t="s">
        <v>16</v>
      </c>
      <c r="C35" t="s">
        <v>129</v>
      </c>
      <c r="D35" t="s">
        <v>130</v>
      </c>
      <c r="E35" t="s">
        <v>131</v>
      </c>
      <c r="F35" t="s">
        <v>51</v>
      </c>
      <c r="G35" s="10">
        <v>840</v>
      </c>
      <c r="H35" s="10">
        <v>20</v>
      </c>
      <c r="I35" s="10">
        <f t="shared" ref="I35:I66" si="1">G35-H35</f>
        <v>820</v>
      </c>
      <c r="J35" t="s">
        <v>20</v>
      </c>
      <c r="K35" t="s">
        <v>20</v>
      </c>
      <c r="L35" t="s">
        <v>96</v>
      </c>
    </row>
    <row r="36" spans="2:12" x14ac:dyDescent="0.25">
      <c r="B36" t="s">
        <v>16</v>
      </c>
      <c r="C36" t="s">
        <v>132</v>
      </c>
      <c r="D36" t="s">
        <v>133</v>
      </c>
      <c r="E36" t="s">
        <v>134</v>
      </c>
      <c r="F36" t="s">
        <v>61</v>
      </c>
      <c r="G36" s="10">
        <v>0</v>
      </c>
      <c r="H36" s="10">
        <v>25</v>
      </c>
      <c r="I36" s="10">
        <f t="shared" si="1"/>
        <v>-25</v>
      </c>
      <c r="K36" t="s">
        <v>20</v>
      </c>
      <c r="L36" t="s">
        <v>96</v>
      </c>
    </row>
    <row r="37" spans="2:12" x14ac:dyDescent="0.25">
      <c r="B37" t="s">
        <v>16</v>
      </c>
      <c r="C37" t="s">
        <v>135</v>
      </c>
      <c r="D37" t="s">
        <v>136</v>
      </c>
      <c r="E37" t="s">
        <v>137</v>
      </c>
      <c r="F37" t="s">
        <v>47</v>
      </c>
      <c r="G37" s="10">
        <v>780</v>
      </c>
      <c r="H37" s="10">
        <v>30</v>
      </c>
      <c r="I37" s="10">
        <f t="shared" si="1"/>
        <v>750</v>
      </c>
      <c r="K37" t="s">
        <v>20</v>
      </c>
      <c r="L37" t="s">
        <v>96</v>
      </c>
    </row>
    <row r="38" spans="2:12" x14ac:dyDescent="0.25">
      <c r="B38" t="s">
        <v>16</v>
      </c>
      <c r="C38" t="s">
        <v>138</v>
      </c>
      <c r="D38" t="s">
        <v>139</v>
      </c>
      <c r="E38" t="s">
        <v>140</v>
      </c>
      <c r="F38" t="s">
        <v>141</v>
      </c>
      <c r="G38" s="10">
        <v>670</v>
      </c>
      <c r="H38" s="10">
        <v>35</v>
      </c>
      <c r="I38" s="10">
        <f t="shared" si="1"/>
        <v>635</v>
      </c>
      <c r="K38" t="s">
        <v>20</v>
      </c>
      <c r="L38" t="s">
        <v>96</v>
      </c>
    </row>
    <row r="39" spans="2:12" x14ac:dyDescent="0.25">
      <c r="B39" t="s">
        <v>16</v>
      </c>
      <c r="C39" t="s">
        <v>142</v>
      </c>
      <c r="D39" t="s">
        <v>143</v>
      </c>
      <c r="E39" t="s">
        <v>144</v>
      </c>
      <c r="F39" t="s">
        <v>47</v>
      </c>
      <c r="G39" s="10">
        <v>1540</v>
      </c>
      <c r="H39" s="10">
        <v>30</v>
      </c>
      <c r="I39" s="10">
        <f t="shared" si="1"/>
        <v>1510</v>
      </c>
      <c r="K39" t="s">
        <v>20</v>
      </c>
      <c r="L39" t="s">
        <v>96</v>
      </c>
    </row>
    <row r="40" spans="2:12" x14ac:dyDescent="0.25">
      <c r="B40" t="s">
        <v>16</v>
      </c>
      <c r="C40" t="s">
        <v>145</v>
      </c>
      <c r="D40" t="s">
        <v>146</v>
      </c>
      <c r="E40" t="s">
        <v>147</v>
      </c>
      <c r="F40" t="s">
        <v>47</v>
      </c>
      <c r="G40" s="10">
        <v>810</v>
      </c>
      <c r="H40" s="10">
        <v>30</v>
      </c>
      <c r="I40" s="10">
        <f t="shared" si="1"/>
        <v>780</v>
      </c>
      <c r="K40" t="s">
        <v>20</v>
      </c>
      <c r="L40" t="s">
        <v>96</v>
      </c>
    </row>
    <row r="41" spans="2:12" x14ac:dyDescent="0.25">
      <c r="B41" t="s">
        <v>16</v>
      </c>
      <c r="C41" t="s">
        <v>148</v>
      </c>
      <c r="D41" t="s">
        <v>149</v>
      </c>
      <c r="E41" t="s">
        <v>150</v>
      </c>
      <c r="F41" s="10">
        <v>1</v>
      </c>
      <c r="G41" s="10">
        <v>740</v>
      </c>
      <c r="H41" s="10">
        <v>25</v>
      </c>
      <c r="I41" s="10">
        <f t="shared" si="1"/>
        <v>715</v>
      </c>
      <c r="J41" t="s">
        <v>25</v>
      </c>
      <c r="K41" t="s">
        <v>20</v>
      </c>
      <c r="L41" t="s">
        <v>96</v>
      </c>
    </row>
    <row r="42" spans="2:12" x14ac:dyDescent="0.25">
      <c r="B42" t="s">
        <v>16</v>
      </c>
      <c r="C42" t="s">
        <v>151</v>
      </c>
      <c r="D42" t="s">
        <v>152</v>
      </c>
      <c r="E42" t="s">
        <v>153</v>
      </c>
      <c r="F42" t="s">
        <v>116</v>
      </c>
      <c r="G42" s="10">
        <v>780</v>
      </c>
      <c r="H42" s="10">
        <v>25</v>
      </c>
      <c r="I42" s="10">
        <f t="shared" si="1"/>
        <v>755</v>
      </c>
      <c r="J42" t="s">
        <v>20</v>
      </c>
      <c r="K42" t="s">
        <v>20</v>
      </c>
      <c r="L42" t="s">
        <v>96</v>
      </c>
    </row>
    <row r="43" spans="2:12" x14ac:dyDescent="0.25">
      <c r="B43" t="s">
        <v>16</v>
      </c>
      <c r="C43" t="s">
        <v>154</v>
      </c>
      <c r="D43" t="s">
        <v>155</v>
      </c>
      <c r="E43" t="s">
        <v>156</v>
      </c>
      <c r="F43" t="s">
        <v>51</v>
      </c>
      <c r="G43" s="10">
        <v>0</v>
      </c>
      <c r="H43" s="10">
        <v>20</v>
      </c>
      <c r="I43" s="10">
        <f t="shared" si="1"/>
        <v>-20</v>
      </c>
      <c r="J43" t="s">
        <v>20</v>
      </c>
      <c r="K43" t="s">
        <v>20</v>
      </c>
      <c r="L43" t="s">
        <v>96</v>
      </c>
    </row>
    <row r="44" spans="2:12" x14ac:dyDescent="0.25">
      <c r="B44" t="s">
        <v>16</v>
      </c>
      <c r="C44" t="s">
        <v>157</v>
      </c>
      <c r="D44" t="s">
        <v>158</v>
      </c>
      <c r="E44" t="s">
        <v>159</v>
      </c>
      <c r="F44" t="s">
        <v>47</v>
      </c>
      <c r="G44" s="10">
        <v>0</v>
      </c>
      <c r="H44" s="10">
        <v>30</v>
      </c>
      <c r="I44" s="10">
        <f t="shared" si="1"/>
        <v>-30</v>
      </c>
      <c r="K44" t="s">
        <v>20</v>
      </c>
      <c r="L44" t="s">
        <v>96</v>
      </c>
    </row>
    <row r="45" spans="2:12" x14ac:dyDescent="0.25">
      <c r="B45" t="s">
        <v>16</v>
      </c>
      <c r="C45" t="s">
        <v>160</v>
      </c>
      <c r="D45" t="s">
        <v>161</v>
      </c>
      <c r="E45" t="s">
        <v>162</v>
      </c>
      <c r="F45" t="s">
        <v>91</v>
      </c>
      <c r="G45" s="10">
        <v>670</v>
      </c>
      <c r="H45" s="10">
        <v>20</v>
      </c>
      <c r="I45" s="10">
        <f t="shared" si="1"/>
        <v>650</v>
      </c>
      <c r="J45" t="s">
        <v>25</v>
      </c>
      <c r="K45" t="s">
        <v>20</v>
      </c>
      <c r="L45" t="s">
        <v>96</v>
      </c>
    </row>
    <row r="46" spans="2:12" x14ac:dyDescent="0.25">
      <c r="B46" t="s">
        <v>16</v>
      </c>
      <c r="C46" t="s">
        <v>163</v>
      </c>
      <c r="D46" t="s">
        <v>164</v>
      </c>
      <c r="E46" t="s">
        <v>165</v>
      </c>
      <c r="F46" s="10">
        <v>8</v>
      </c>
      <c r="G46" s="10">
        <v>670</v>
      </c>
      <c r="H46" s="10">
        <v>25</v>
      </c>
      <c r="I46" s="10">
        <f t="shared" si="1"/>
        <v>645</v>
      </c>
      <c r="K46" t="s">
        <v>20</v>
      </c>
      <c r="L46" t="s">
        <v>96</v>
      </c>
    </row>
    <row r="47" spans="2:12" x14ac:dyDescent="0.25">
      <c r="B47" t="s">
        <v>16</v>
      </c>
      <c r="C47" t="s">
        <v>166</v>
      </c>
      <c r="D47" t="s">
        <v>167</v>
      </c>
      <c r="E47" t="s">
        <v>168</v>
      </c>
      <c r="F47" t="s">
        <v>33</v>
      </c>
      <c r="G47" s="10">
        <v>670</v>
      </c>
      <c r="H47" s="10">
        <v>30</v>
      </c>
      <c r="I47" s="10">
        <f t="shared" si="1"/>
        <v>640</v>
      </c>
      <c r="J47" t="s">
        <v>20</v>
      </c>
      <c r="K47" t="s">
        <v>20</v>
      </c>
      <c r="L47" t="s">
        <v>96</v>
      </c>
    </row>
    <row r="48" spans="2:12" x14ac:dyDescent="0.25">
      <c r="B48" t="s">
        <v>16</v>
      </c>
      <c r="C48" t="s">
        <v>169</v>
      </c>
      <c r="D48" t="s">
        <v>170</v>
      </c>
      <c r="E48" t="s">
        <v>171</v>
      </c>
      <c r="F48" t="s">
        <v>47</v>
      </c>
      <c r="G48" s="10">
        <v>1200</v>
      </c>
      <c r="H48" s="10">
        <v>30</v>
      </c>
      <c r="I48" s="10">
        <f t="shared" si="1"/>
        <v>1170</v>
      </c>
      <c r="K48" t="s">
        <v>20</v>
      </c>
      <c r="L48" t="s">
        <v>96</v>
      </c>
    </row>
    <row r="49" spans="2:12" x14ac:dyDescent="0.25">
      <c r="B49" t="s">
        <v>16</v>
      </c>
      <c r="C49" t="s">
        <v>172</v>
      </c>
      <c r="D49" t="s">
        <v>173</v>
      </c>
      <c r="E49" t="s">
        <v>174</v>
      </c>
      <c r="F49" s="10">
        <v>2</v>
      </c>
      <c r="G49" s="10">
        <v>0</v>
      </c>
      <c r="H49" s="10">
        <v>30</v>
      </c>
      <c r="I49" s="10">
        <f t="shared" si="1"/>
        <v>-30</v>
      </c>
      <c r="J49" t="s">
        <v>20</v>
      </c>
      <c r="K49" t="s">
        <v>20</v>
      </c>
      <c r="L49" t="s">
        <v>96</v>
      </c>
    </row>
    <row r="50" spans="2:12" x14ac:dyDescent="0.25">
      <c r="B50" t="s">
        <v>16</v>
      </c>
      <c r="C50" t="s">
        <v>175</v>
      </c>
      <c r="D50" t="s">
        <v>176</v>
      </c>
      <c r="E50" t="s">
        <v>177</v>
      </c>
      <c r="F50" t="s">
        <v>116</v>
      </c>
      <c r="G50" s="10">
        <v>660</v>
      </c>
      <c r="H50" s="10">
        <v>25</v>
      </c>
      <c r="I50" s="10">
        <f t="shared" si="1"/>
        <v>635</v>
      </c>
      <c r="J50" t="s">
        <v>20</v>
      </c>
      <c r="K50" t="s">
        <v>20</v>
      </c>
      <c r="L50" t="s">
        <v>96</v>
      </c>
    </row>
    <row r="51" spans="2:12" x14ac:dyDescent="0.25">
      <c r="B51" t="s">
        <v>16</v>
      </c>
      <c r="C51" t="s">
        <v>178</v>
      </c>
      <c r="D51" t="s">
        <v>179</v>
      </c>
      <c r="E51" t="s">
        <v>180</v>
      </c>
      <c r="F51" t="s">
        <v>61</v>
      </c>
      <c r="G51" s="10">
        <v>670</v>
      </c>
      <c r="H51" s="10">
        <v>25</v>
      </c>
      <c r="I51" s="10">
        <f t="shared" si="1"/>
        <v>645</v>
      </c>
      <c r="K51" t="s">
        <v>20</v>
      </c>
      <c r="L51" t="s">
        <v>112</v>
      </c>
    </row>
    <row r="52" spans="2:12" x14ac:dyDescent="0.25">
      <c r="B52" t="s">
        <v>16</v>
      </c>
      <c r="C52" t="s">
        <v>181</v>
      </c>
      <c r="D52" t="s">
        <v>182</v>
      </c>
      <c r="E52" t="s">
        <v>183</v>
      </c>
      <c r="F52" t="s">
        <v>61</v>
      </c>
      <c r="G52" s="10">
        <v>670</v>
      </c>
      <c r="H52" s="10">
        <v>25</v>
      </c>
      <c r="I52" s="10">
        <f t="shared" si="1"/>
        <v>645</v>
      </c>
      <c r="K52" t="s">
        <v>20</v>
      </c>
      <c r="L52" t="s">
        <v>96</v>
      </c>
    </row>
    <row r="53" spans="2:12" x14ac:dyDescent="0.25">
      <c r="B53" t="s">
        <v>16</v>
      </c>
      <c r="C53" t="s">
        <v>184</v>
      </c>
      <c r="D53" t="s">
        <v>185</v>
      </c>
      <c r="E53" t="s">
        <v>186</v>
      </c>
      <c r="F53" s="10">
        <v>7</v>
      </c>
      <c r="G53" s="10">
        <v>780</v>
      </c>
      <c r="H53" s="10">
        <v>30</v>
      </c>
      <c r="I53" s="10">
        <f t="shared" si="1"/>
        <v>750</v>
      </c>
      <c r="K53" t="s">
        <v>20</v>
      </c>
      <c r="L53" t="s">
        <v>96</v>
      </c>
    </row>
    <row r="54" spans="2:12" x14ac:dyDescent="0.25">
      <c r="B54" t="s">
        <v>16</v>
      </c>
      <c r="C54" t="s">
        <v>187</v>
      </c>
      <c r="D54" t="s">
        <v>188</v>
      </c>
      <c r="E54" t="s">
        <v>189</v>
      </c>
      <c r="F54" t="s">
        <v>33</v>
      </c>
      <c r="G54" s="10">
        <v>700</v>
      </c>
      <c r="H54" s="10">
        <v>30</v>
      </c>
      <c r="I54" s="10">
        <f t="shared" si="1"/>
        <v>670</v>
      </c>
      <c r="J54" t="s">
        <v>20</v>
      </c>
      <c r="K54" t="s">
        <v>20</v>
      </c>
      <c r="L54" t="s">
        <v>112</v>
      </c>
    </row>
    <row r="55" spans="2:12" x14ac:dyDescent="0.25">
      <c r="B55" t="s">
        <v>16</v>
      </c>
      <c r="C55" t="s">
        <v>190</v>
      </c>
      <c r="D55" t="s">
        <v>191</v>
      </c>
      <c r="E55" t="s">
        <v>192</v>
      </c>
      <c r="F55" t="s">
        <v>95</v>
      </c>
      <c r="G55" s="10">
        <v>670</v>
      </c>
      <c r="H55" s="10">
        <v>25</v>
      </c>
      <c r="I55" s="10">
        <f t="shared" si="1"/>
        <v>645</v>
      </c>
      <c r="J55" t="s">
        <v>25</v>
      </c>
      <c r="K55" t="s">
        <v>20</v>
      </c>
      <c r="L55" t="s">
        <v>96</v>
      </c>
    </row>
    <row r="56" spans="2:12" x14ac:dyDescent="0.25">
      <c r="B56" t="s">
        <v>16</v>
      </c>
      <c r="C56" t="s">
        <v>193</v>
      </c>
      <c r="D56" t="s">
        <v>194</v>
      </c>
      <c r="E56" t="s">
        <v>195</v>
      </c>
      <c r="F56" t="s">
        <v>116</v>
      </c>
      <c r="G56" s="10">
        <v>670</v>
      </c>
      <c r="H56" s="10">
        <v>25</v>
      </c>
      <c r="I56" s="10">
        <f t="shared" si="1"/>
        <v>645</v>
      </c>
      <c r="J56" t="s">
        <v>20</v>
      </c>
      <c r="K56" t="s">
        <v>20</v>
      </c>
      <c r="L56" t="s">
        <v>96</v>
      </c>
    </row>
    <row r="57" spans="2:12" x14ac:dyDescent="0.25">
      <c r="B57" t="s">
        <v>16</v>
      </c>
      <c r="C57" t="s">
        <v>196</v>
      </c>
      <c r="D57" t="s">
        <v>197</v>
      </c>
      <c r="E57" t="s">
        <v>198</v>
      </c>
      <c r="F57" s="10">
        <v>8</v>
      </c>
      <c r="G57" s="10">
        <v>670</v>
      </c>
      <c r="H57" s="10">
        <v>25</v>
      </c>
      <c r="I57" s="10">
        <f t="shared" si="1"/>
        <v>645</v>
      </c>
      <c r="K57" t="s">
        <v>20</v>
      </c>
      <c r="L57" t="s">
        <v>96</v>
      </c>
    </row>
    <row r="58" spans="2:12" x14ac:dyDescent="0.25">
      <c r="B58" t="s">
        <v>16</v>
      </c>
      <c r="C58" t="s">
        <v>199</v>
      </c>
      <c r="D58" t="s">
        <v>200</v>
      </c>
      <c r="E58" t="s">
        <v>201</v>
      </c>
      <c r="F58" s="10">
        <v>12</v>
      </c>
      <c r="G58" s="10">
        <v>0</v>
      </c>
      <c r="H58" s="10">
        <v>30</v>
      </c>
      <c r="I58" s="10">
        <f t="shared" si="1"/>
        <v>-30</v>
      </c>
      <c r="K58" t="s">
        <v>20</v>
      </c>
      <c r="L58" t="s">
        <v>96</v>
      </c>
    </row>
    <row r="59" spans="2:12" x14ac:dyDescent="0.25">
      <c r="B59" t="s">
        <v>16</v>
      </c>
      <c r="C59" t="s">
        <v>202</v>
      </c>
      <c r="D59" t="s">
        <v>203</v>
      </c>
      <c r="E59" t="s">
        <v>204</v>
      </c>
      <c r="F59" t="s">
        <v>47</v>
      </c>
      <c r="G59" s="10">
        <v>840</v>
      </c>
      <c r="H59" s="10">
        <v>30</v>
      </c>
      <c r="I59" s="10">
        <f t="shared" si="1"/>
        <v>810</v>
      </c>
      <c r="K59" t="s">
        <v>20</v>
      </c>
      <c r="L59" t="s">
        <v>96</v>
      </c>
    </row>
    <row r="60" spans="2:12" x14ac:dyDescent="0.25">
      <c r="B60" t="s">
        <v>16</v>
      </c>
      <c r="C60" t="s">
        <v>205</v>
      </c>
      <c r="D60" t="s">
        <v>206</v>
      </c>
      <c r="E60" t="s">
        <v>207</v>
      </c>
      <c r="F60" s="10">
        <v>6</v>
      </c>
      <c r="G60" s="10">
        <v>670</v>
      </c>
      <c r="H60" s="10">
        <v>25</v>
      </c>
      <c r="I60" s="10">
        <f t="shared" si="1"/>
        <v>645</v>
      </c>
      <c r="K60" t="s">
        <v>20</v>
      </c>
      <c r="L60" t="s">
        <v>208</v>
      </c>
    </row>
    <row r="61" spans="2:12" x14ac:dyDescent="0.25">
      <c r="B61" t="s">
        <v>16</v>
      </c>
      <c r="C61" t="s">
        <v>209</v>
      </c>
      <c r="D61" t="s">
        <v>210</v>
      </c>
      <c r="E61" t="s">
        <v>211</v>
      </c>
      <c r="F61" t="s">
        <v>116</v>
      </c>
      <c r="G61" s="10">
        <v>0</v>
      </c>
      <c r="H61" s="10">
        <v>25</v>
      </c>
      <c r="I61" s="10">
        <f t="shared" si="1"/>
        <v>-25</v>
      </c>
      <c r="J61" t="s">
        <v>20</v>
      </c>
      <c r="K61" t="s">
        <v>20</v>
      </c>
      <c r="L61" t="s">
        <v>208</v>
      </c>
    </row>
    <row r="62" spans="2:12" x14ac:dyDescent="0.25">
      <c r="B62" t="s">
        <v>16</v>
      </c>
      <c r="C62" t="s">
        <v>212</v>
      </c>
      <c r="D62" t="s">
        <v>213</v>
      </c>
      <c r="E62" t="s">
        <v>214</v>
      </c>
      <c r="F62" t="s">
        <v>33</v>
      </c>
      <c r="G62" s="10">
        <v>980</v>
      </c>
      <c r="H62" s="10">
        <v>30</v>
      </c>
      <c r="I62" s="10">
        <f t="shared" si="1"/>
        <v>950</v>
      </c>
      <c r="J62" t="s">
        <v>20</v>
      </c>
      <c r="K62" t="s">
        <v>20</v>
      </c>
      <c r="L62" t="s">
        <v>208</v>
      </c>
    </row>
    <row r="63" spans="2:12" x14ac:dyDescent="0.25">
      <c r="B63" t="s">
        <v>16</v>
      </c>
      <c r="C63" t="s">
        <v>215</v>
      </c>
      <c r="D63" t="s">
        <v>216</v>
      </c>
      <c r="E63" t="s">
        <v>217</v>
      </c>
      <c r="F63" s="10">
        <v>2</v>
      </c>
      <c r="G63" s="10">
        <v>1160</v>
      </c>
      <c r="H63" s="10">
        <v>30</v>
      </c>
      <c r="I63" s="10">
        <f t="shared" si="1"/>
        <v>1130</v>
      </c>
      <c r="J63" t="s">
        <v>20</v>
      </c>
      <c r="K63" t="s">
        <v>20</v>
      </c>
      <c r="L63" t="s">
        <v>208</v>
      </c>
    </row>
    <row r="64" spans="2:12" x14ac:dyDescent="0.25">
      <c r="B64" t="s">
        <v>16</v>
      </c>
      <c r="C64" t="s">
        <v>218</v>
      </c>
      <c r="D64" t="s">
        <v>219</v>
      </c>
      <c r="E64" t="s">
        <v>220</v>
      </c>
      <c r="F64" t="s">
        <v>47</v>
      </c>
      <c r="G64" s="10">
        <v>0</v>
      </c>
      <c r="H64" s="10">
        <v>30</v>
      </c>
      <c r="I64" s="10">
        <f t="shared" si="1"/>
        <v>-30</v>
      </c>
      <c r="K64" t="s">
        <v>20</v>
      </c>
      <c r="L64" t="s">
        <v>208</v>
      </c>
    </row>
    <row r="65" spans="1:15" x14ac:dyDescent="0.25">
      <c r="B65" t="s">
        <v>16</v>
      </c>
      <c r="C65" t="s">
        <v>221</v>
      </c>
      <c r="D65" t="s">
        <v>222</v>
      </c>
      <c r="E65" t="s">
        <v>223</v>
      </c>
      <c r="F65" s="10">
        <v>2</v>
      </c>
      <c r="G65" s="10">
        <v>840</v>
      </c>
      <c r="H65" s="10">
        <v>30</v>
      </c>
      <c r="I65" s="10">
        <f t="shared" si="1"/>
        <v>810</v>
      </c>
      <c r="J65" t="s">
        <v>20</v>
      </c>
      <c r="K65" t="s">
        <v>20</v>
      </c>
      <c r="L65" t="s">
        <v>208</v>
      </c>
    </row>
    <row r="66" spans="1:15" x14ac:dyDescent="0.25">
      <c r="B66" t="s">
        <v>16</v>
      </c>
      <c r="C66" t="s">
        <v>224</v>
      </c>
      <c r="D66" t="s">
        <v>225</v>
      </c>
      <c r="E66" t="s">
        <v>226</v>
      </c>
      <c r="F66" t="s">
        <v>37</v>
      </c>
      <c r="G66" s="10">
        <v>790</v>
      </c>
      <c r="H66" s="10">
        <v>35</v>
      </c>
      <c r="I66" s="10">
        <f t="shared" si="1"/>
        <v>755</v>
      </c>
      <c r="K66" t="s">
        <v>20</v>
      </c>
      <c r="L66" t="s">
        <v>208</v>
      </c>
    </row>
    <row r="67" spans="1:15" x14ac:dyDescent="0.25">
      <c r="B67" t="s">
        <v>16</v>
      </c>
      <c r="C67" t="s">
        <v>227</v>
      </c>
      <c r="D67" t="s">
        <v>228</v>
      </c>
      <c r="E67" t="s">
        <v>229</v>
      </c>
      <c r="F67" t="s">
        <v>61</v>
      </c>
      <c r="G67" s="10">
        <v>690</v>
      </c>
      <c r="H67" s="10">
        <v>25</v>
      </c>
      <c r="I67" s="10">
        <f t="shared" ref="I67:I78" si="2">G67-H67</f>
        <v>665</v>
      </c>
      <c r="K67" t="s">
        <v>20</v>
      </c>
      <c r="L67" t="s">
        <v>208</v>
      </c>
    </row>
    <row r="68" spans="1:15" x14ac:dyDescent="0.25">
      <c r="B68" t="s">
        <v>16</v>
      </c>
      <c r="C68" t="s">
        <v>230</v>
      </c>
      <c r="D68" t="s">
        <v>231</v>
      </c>
      <c r="E68" t="s">
        <v>232</v>
      </c>
      <c r="F68" s="10">
        <v>10</v>
      </c>
      <c r="G68" s="10">
        <v>890</v>
      </c>
      <c r="H68" s="10">
        <v>25</v>
      </c>
      <c r="I68" s="10">
        <f t="shared" si="2"/>
        <v>865</v>
      </c>
      <c r="J68" t="s">
        <v>25</v>
      </c>
      <c r="K68" t="s">
        <v>20</v>
      </c>
      <c r="L68" t="s">
        <v>208</v>
      </c>
    </row>
    <row r="69" spans="1:15" x14ac:dyDescent="0.25">
      <c r="B69" t="s">
        <v>16</v>
      </c>
      <c r="C69" t="s">
        <v>233</v>
      </c>
      <c r="D69" t="s">
        <v>234</v>
      </c>
      <c r="E69" t="s">
        <v>235</v>
      </c>
      <c r="F69" s="10">
        <v>2</v>
      </c>
      <c r="G69" s="10">
        <v>520</v>
      </c>
      <c r="H69" s="10">
        <v>30</v>
      </c>
      <c r="I69" s="10">
        <f t="shared" si="2"/>
        <v>490</v>
      </c>
      <c r="J69" t="s">
        <v>20</v>
      </c>
      <c r="K69" t="s">
        <v>20</v>
      </c>
      <c r="L69" t="s">
        <v>208</v>
      </c>
    </row>
    <row r="70" spans="1:15" x14ac:dyDescent="0.25">
      <c r="B70" t="s">
        <v>16</v>
      </c>
      <c r="C70" t="s">
        <v>236</v>
      </c>
      <c r="D70" t="s">
        <v>237</v>
      </c>
      <c r="E70" t="s">
        <v>238</v>
      </c>
      <c r="F70" s="10">
        <v>9</v>
      </c>
      <c r="G70" s="10">
        <v>860</v>
      </c>
      <c r="H70" s="10">
        <v>30</v>
      </c>
      <c r="I70" s="10">
        <f t="shared" si="2"/>
        <v>830</v>
      </c>
      <c r="J70" t="s">
        <v>239</v>
      </c>
      <c r="K70" t="s">
        <v>20</v>
      </c>
      <c r="L70" t="s">
        <v>208</v>
      </c>
    </row>
    <row r="71" spans="1:15" x14ac:dyDescent="0.25">
      <c r="B71" t="s">
        <v>16</v>
      </c>
      <c r="C71" t="s">
        <v>240</v>
      </c>
      <c r="D71" t="s">
        <v>241</v>
      </c>
      <c r="E71" t="s">
        <v>242</v>
      </c>
      <c r="F71" s="10">
        <v>2</v>
      </c>
      <c r="G71" s="10">
        <v>890</v>
      </c>
      <c r="H71" s="10">
        <v>30</v>
      </c>
      <c r="I71" s="10">
        <f t="shared" si="2"/>
        <v>860</v>
      </c>
      <c r="J71" t="s">
        <v>20</v>
      </c>
      <c r="K71" t="s">
        <v>20</v>
      </c>
      <c r="L71" t="s">
        <v>243</v>
      </c>
    </row>
    <row r="72" spans="1:15" x14ac:dyDescent="0.25">
      <c r="B72" t="s">
        <v>16</v>
      </c>
      <c r="C72" t="s">
        <v>244</v>
      </c>
      <c r="D72" t="s">
        <v>245</v>
      </c>
      <c r="E72" t="s">
        <v>246</v>
      </c>
      <c r="F72" s="10">
        <v>11</v>
      </c>
      <c r="G72" s="10">
        <v>670</v>
      </c>
      <c r="H72" s="10">
        <v>25</v>
      </c>
      <c r="I72" s="10">
        <f t="shared" si="2"/>
        <v>645</v>
      </c>
      <c r="K72" t="s">
        <v>20</v>
      </c>
      <c r="L72" t="s">
        <v>208</v>
      </c>
    </row>
    <row r="73" spans="1:15" x14ac:dyDescent="0.25">
      <c r="B73" t="s">
        <v>16</v>
      </c>
      <c r="C73" t="s">
        <v>247</v>
      </c>
      <c r="D73" t="s">
        <v>248</v>
      </c>
      <c r="E73" t="s">
        <v>249</v>
      </c>
      <c r="F73" t="s">
        <v>116</v>
      </c>
      <c r="G73" s="10">
        <v>790</v>
      </c>
      <c r="H73" s="10">
        <v>25</v>
      </c>
      <c r="I73" s="10">
        <f t="shared" si="2"/>
        <v>765</v>
      </c>
      <c r="J73" t="s">
        <v>20</v>
      </c>
      <c r="K73" t="s">
        <v>20</v>
      </c>
      <c r="L73" t="s">
        <v>208</v>
      </c>
    </row>
    <row r="74" spans="1:15" x14ac:dyDescent="0.25">
      <c r="B74" t="s">
        <v>16</v>
      </c>
      <c r="C74" t="s">
        <v>250</v>
      </c>
      <c r="D74" t="s">
        <v>251</v>
      </c>
      <c r="E74" t="s">
        <v>252</v>
      </c>
      <c r="F74" t="s">
        <v>95</v>
      </c>
      <c r="G74" s="10">
        <v>670</v>
      </c>
      <c r="H74" s="10">
        <v>25</v>
      </c>
      <c r="I74" s="10">
        <f t="shared" si="2"/>
        <v>645</v>
      </c>
      <c r="J74" t="s">
        <v>25</v>
      </c>
      <c r="K74" t="s">
        <v>20</v>
      </c>
      <c r="L74" t="s">
        <v>208</v>
      </c>
    </row>
    <row r="75" spans="1:15" x14ac:dyDescent="0.25">
      <c r="A75" t="s">
        <v>253</v>
      </c>
      <c r="B75" t="s">
        <v>16</v>
      </c>
      <c r="C75" t="s">
        <v>254</v>
      </c>
      <c r="E75" t="s">
        <v>255</v>
      </c>
      <c r="F75" s="10">
        <v>6</v>
      </c>
      <c r="G75" s="10">
        <v>0</v>
      </c>
      <c r="H75" s="10">
        <v>25</v>
      </c>
      <c r="I75" s="10">
        <f t="shared" si="2"/>
        <v>-25</v>
      </c>
      <c r="K75" t="s">
        <v>20</v>
      </c>
      <c r="L75" t="s">
        <v>243</v>
      </c>
    </row>
    <row r="76" spans="1:15" x14ac:dyDescent="0.25">
      <c r="A76" t="s">
        <v>253</v>
      </c>
      <c r="B76" t="s">
        <v>16</v>
      </c>
      <c r="C76" t="s">
        <v>256</v>
      </c>
      <c r="E76" t="s">
        <v>257</v>
      </c>
      <c r="F76" t="s">
        <v>116</v>
      </c>
      <c r="G76" s="10">
        <v>0</v>
      </c>
      <c r="H76" s="10">
        <v>25</v>
      </c>
      <c r="I76" s="10">
        <f t="shared" si="2"/>
        <v>-25</v>
      </c>
      <c r="J76" t="s">
        <v>20</v>
      </c>
      <c r="K76" t="s">
        <v>20</v>
      </c>
      <c r="L76" t="s">
        <v>243</v>
      </c>
    </row>
    <row r="77" spans="1:15" x14ac:dyDescent="0.25">
      <c r="A77" t="s">
        <v>253</v>
      </c>
      <c r="B77" t="s">
        <v>16</v>
      </c>
      <c r="C77" t="s">
        <v>258</v>
      </c>
      <c r="E77" t="s">
        <v>259</v>
      </c>
      <c r="F77" t="s">
        <v>95</v>
      </c>
      <c r="G77" s="10">
        <v>0</v>
      </c>
      <c r="H77" s="10">
        <v>25</v>
      </c>
      <c r="I77" s="10">
        <f t="shared" si="2"/>
        <v>-25</v>
      </c>
      <c r="J77" t="s">
        <v>25</v>
      </c>
      <c r="K77" t="s">
        <v>20</v>
      </c>
      <c r="L77" t="s">
        <v>243</v>
      </c>
    </row>
    <row r="78" spans="1:15" x14ac:dyDescent="0.25">
      <c r="A78" t="s">
        <v>253</v>
      </c>
      <c r="B78" t="s">
        <v>16</v>
      </c>
      <c r="C78" t="s">
        <v>260</v>
      </c>
      <c r="E78" t="s">
        <v>261</v>
      </c>
      <c r="F78" s="10">
        <v>6</v>
      </c>
      <c r="G78" s="10">
        <v>2020</v>
      </c>
      <c r="H78" s="10">
        <v>25</v>
      </c>
      <c r="I78" s="10">
        <f t="shared" si="2"/>
        <v>1995</v>
      </c>
      <c r="K78" t="s">
        <v>20</v>
      </c>
      <c r="L78" t="s">
        <v>243</v>
      </c>
    </row>
    <row r="80" spans="1:15" ht="15" customHeight="1" x14ac:dyDescent="0.25">
      <c r="G80" s="39">
        <f>SUBTOTAL(9,G3:G78)</f>
        <v>49158</v>
      </c>
      <c r="H80" s="39">
        <f>SUBTOTAL(9,H3:H78)</f>
        <v>2055</v>
      </c>
      <c r="I80" s="39">
        <f>SUBTOTAL(9,I3:I78)</f>
        <v>47103</v>
      </c>
      <c r="N80" s="39">
        <f>SUBTOTAL(9,N3:N78)</f>
        <v>0</v>
      </c>
      <c r="O80" s="39">
        <f>SUBTOTAL(9,O3:O78)</f>
        <v>0</v>
      </c>
    </row>
    <row r="82" spans="1:12" ht="15" customHeight="1" x14ac:dyDescent="0.25">
      <c r="A82" s="40" t="s">
        <v>16</v>
      </c>
      <c r="B82" s="41"/>
      <c r="C82" s="41" t="s">
        <v>262</v>
      </c>
      <c r="D82" s="42" t="s">
        <v>263</v>
      </c>
      <c r="J82" s="43" t="s">
        <v>25</v>
      </c>
      <c r="K82" s="43" t="s">
        <v>264</v>
      </c>
      <c r="L82" s="43" t="s">
        <v>263</v>
      </c>
    </row>
    <row r="83" spans="1:12" x14ac:dyDescent="0.25">
      <c r="A83" s="11"/>
      <c r="B83" s="12" t="s">
        <v>265</v>
      </c>
      <c r="C83" s="13">
        <f>SUMIFS(G$3:G$78,B$3:B$78,$A$82)</f>
        <v>49158</v>
      </c>
      <c r="D83" s="14">
        <f>COUNTIFS(B$3:B$78,"&lt;&gt;",B$3:B$78,$A$82)</f>
        <v>76</v>
      </c>
      <c r="J83" t="s">
        <v>266</v>
      </c>
      <c r="K83" s="10">
        <f>SUMIFS(G$3:G$78,J$3:J$78,"c.hieu")</f>
        <v>11140</v>
      </c>
      <c r="L83">
        <f>COUNTIFS(B$3:B$78,"&lt;&gt;",J$3:J$78,"c.hieu")</f>
        <v>14</v>
      </c>
    </row>
    <row r="84" spans="1:12" x14ac:dyDescent="0.25">
      <c r="A84" s="11"/>
      <c r="B84" s="12" t="s">
        <v>267</v>
      </c>
      <c r="C84" s="13">
        <f>-SUMIFS(H$3:H$78,B$3:B$78,$A$82)</f>
        <v>-2055</v>
      </c>
      <c r="D84" s="14"/>
      <c r="J84" t="s">
        <v>268</v>
      </c>
      <c r="K84" s="10">
        <f>-SUMIFS(H$3:H$78,J$3:J$78,"c.hieu")</f>
        <v>-335</v>
      </c>
    </row>
    <row r="85" spans="1:12" x14ac:dyDescent="0.25">
      <c r="A85" s="11"/>
      <c r="B85" s="15" t="s">
        <v>269</v>
      </c>
      <c r="C85" s="12"/>
      <c r="D85" s="14"/>
    </row>
    <row r="86" spans="1:12" ht="15" customHeight="1" x14ac:dyDescent="0.25">
      <c r="A86" s="11"/>
      <c r="B86" s="16" t="s">
        <v>270</v>
      </c>
      <c r="C86" s="17">
        <f>SUBTOTAL(9,C83:C85)</f>
        <v>47103</v>
      </c>
      <c r="D86" s="18">
        <f>E83</f>
        <v>0</v>
      </c>
      <c r="J86" s="5" t="s">
        <v>72</v>
      </c>
    </row>
    <row r="87" spans="1:12" x14ac:dyDescent="0.25">
      <c r="A87" s="11"/>
      <c r="B87" s="15" t="s">
        <v>271</v>
      </c>
      <c r="C87" s="12"/>
      <c r="D87" s="14"/>
      <c r="J87" s="5" t="s">
        <v>272</v>
      </c>
    </row>
    <row r="88" spans="1:12" ht="15" customHeight="1" x14ac:dyDescent="0.25">
      <c r="A88" s="11"/>
      <c r="B88" s="15" t="s">
        <v>273</v>
      </c>
      <c r="C88" s="12"/>
      <c r="D88" s="14"/>
      <c r="K88" s="44">
        <f>SUBTOTAL(9,K83:K87)</f>
        <v>10805</v>
      </c>
      <c r="L88" s="45">
        <f>L83</f>
        <v>14</v>
      </c>
    </row>
    <row r="89" spans="1:12" ht="15" customHeight="1" x14ac:dyDescent="0.25">
      <c r="A89" s="46"/>
      <c r="B89" s="47" t="s">
        <v>274</v>
      </c>
      <c r="C89" s="48">
        <f>C86+C87+C88</f>
        <v>47103</v>
      </c>
      <c r="D89" s="49" t="s">
        <v>275</v>
      </c>
    </row>
    <row r="90" spans="1:12" ht="15" customHeight="1" x14ac:dyDescent="0.25">
      <c r="J90" s="43" t="s">
        <v>20</v>
      </c>
      <c r="K90" s="43" t="s">
        <v>264</v>
      </c>
      <c r="L90" s="43" t="s">
        <v>263</v>
      </c>
    </row>
    <row r="91" spans="1:12" x14ac:dyDescent="0.25">
      <c r="J91" t="s">
        <v>266</v>
      </c>
      <c r="K91" s="10">
        <f>SUMIFS(G$3:G$78,J$3:J$78,"c.cuong")</f>
        <v>12902</v>
      </c>
      <c r="L91">
        <f>COUNTIFS(B$3:B$78,"&lt;&gt;",J$3:J$78,"c.cuong")</f>
        <v>22</v>
      </c>
    </row>
    <row r="92" spans="1:12" x14ac:dyDescent="0.25">
      <c r="J92" t="s">
        <v>268</v>
      </c>
      <c r="K92" s="10">
        <f>-SUMIFS(H$3:H$78,J$3:J$78,"c.cuong")</f>
        <v>-590</v>
      </c>
    </row>
    <row r="94" spans="1:12" x14ac:dyDescent="0.25">
      <c r="J94" s="5" t="s">
        <v>72</v>
      </c>
    </row>
    <row r="95" spans="1:12" x14ac:dyDescent="0.25">
      <c r="J95" s="5" t="s">
        <v>272</v>
      </c>
    </row>
    <row r="96" spans="1:12" ht="15" customHeight="1" x14ac:dyDescent="0.25">
      <c r="K96" s="44">
        <f>SUBTOTAL(9,K91:K95)</f>
        <v>12312</v>
      </c>
      <c r="L96" s="45">
        <f>L91</f>
        <v>22</v>
      </c>
    </row>
    <row r="98" spans="10:12" ht="15" customHeight="1" x14ac:dyDescent="0.25">
      <c r="J98" s="43" t="s">
        <v>239</v>
      </c>
      <c r="K98" s="43" t="s">
        <v>264</v>
      </c>
      <c r="L98" s="43" t="s">
        <v>263</v>
      </c>
    </row>
    <row r="99" spans="10:12" x14ac:dyDescent="0.25">
      <c r="J99" t="s">
        <v>266</v>
      </c>
      <c r="K99" s="10">
        <f>SUMIFS(G$3:G$78,J$3:J$78,"a.quyen")</f>
        <v>860</v>
      </c>
      <c r="L99">
        <f>COUNTIFS(B$3:B$78,"&lt;&gt;",J$3:J$78,"a.quyen")</f>
        <v>1</v>
      </c>
    </row>
    <row r="100" spans="10:12" x14ac:dyDescent="0.25">
      <c r="J100" t="s">
        <v>268</v>
      </c>
      <c r="K100" s="10">
        <f>-SUMIFS(H$3:H$78,J$3:J$78,"a.quyen")</f>
        <v>-30</v>
      </c>
    </row>
    <row r="102" spans="10:12" x14ac:dyDescent="0.25">
      <c r="J102" s="5" t="s">
        <v>72</v>
      </c>
    </row>
    <row r="103" spans="10:12" x14ac:dyDescent="0.25">
      <c r="J103" s="5" t="s">
        <v>272</v>
      </c>
    </row>
    <row r="104" spans="10:12" ht="15" customHeight="1" x14ac:dyDescent="0.25">
      <c r="K104" s="44">
        <f>SUBTOTAL(9,K99:K103)</f>
        <v>830</v>
      </c>
      <c r="L104" s="45">
        <f>L99</f>
        <v>1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1"/>
  <sheetViews>
    <sheetView topLeftCell="A43" zoomScale="85" zoomScaleNormal="85" workbookViewId="0">
      <selection activeCell="M12" sqref="M12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7" t="s">
        <v>276</v>
      </c>
      <c r="C1" s="7" t="s">
        <v>277</v>
      </c>
      <c r="F1" s="19"/>
    </row>
    <row r="2" spans="1:17" ht="15" customHeight="1" x14ac:dyDescent="0.2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</row>
    <row r="3" spans="1:17" s="2" customFormat="1" x14ac:dyDescent="0.25">
      <c r="B3" s="2" t="s">
        <v>16</v>
      </c>
      <c r="C3" s="2" t="s">
        <v>278</v>
      </c>
      <c r="D3" s="2" t="s">
        <v>279</v>
      </c>
      <c r="E3" s="2" t="s">
        <v>280</v>
      </c>
      <c r="F3" s="50">
        <v>12</v>
      </c>
      <c r="G3" s="2">
        <v>0</v>
      </c>
      <c r="H3" s="2">
        <v>30</v>
      </c>
      <c r="I3" s="2">
        <f t="shared" ref="I3:I34" si="0">G3-H3</f>
        <v>-30</v>
      </c>
      <c r="J3" s="2" t="s">
        <v>281</v>
      </c>
      <c r="K3" s="2" t="s">
        <v>20</v>
      </c>
      <c r="L3" s="51" t="s">
        <v>282</v>
      </c>
      <c r="Q3" s="2">
        <v>1</v>
      </c>
    </row>
    <row r="4" spans="1:17" s="2" customFormat="1" x14ac:dyDescent="0.25">
      <c r="B4" s="2" t="s">
        <v>16</v>
      </c>
      <c r="C4" s="2" t="s">
        <v>283</v>
      </c>
      <c r="D4" s="2" t="s">
        <v>284</v>
      </c>
      <c r="E4" s="2" t="s">
        <v>285</v>
      </c>
      <c r="F4" s="51">
        <v>9</v>
      </c>
      <c r="G4" s="2">
        <v>850</v>
      </c>
      <c r="H4" s="2">
        <v>30</v>
      </c>
      <c r="I4" s="2">
        <f t="shared" si="0"/>
        <v>820</v>
      </c>
      <c r="J4" s="2" t="s">
        <v>281</v>
      </c>
      <c r="K4" s="2" t="s">
        <v>20</v>
      </c>
      <c r="L4" s="52" t="s">
        <v>286</v>
      </c>
      <c r="M4" s="2" t="s">
        <v>287</v>
      </c>
      <c r="O4" s="2" t="s">
        <v>288</v>
      </c>
      <c r="Q4" s="2">
        <v>1</v>
      </c>
    </row>
    <row r="5" spans="1:17" s="2" customFormat="1" x14ac:dyDescent="0.25">
      <c r="B5" s="2" t="s">
        <v>16</v>
      </c>
      <c r="C5" s="2" t="s">
        <v>289</v>
      </c>
      <c r="D5" s="2" t="s">
        <v>290</v>
      </c>
      <c r="E5" s="2" t="s">
        <v>291</v>
      </c>
      <c r="F5" s="50" t="s">
        <v>91</v>
      </c>
      <c r="G5" s="2">
        <v>840</v>
      </c>
      <c r="H5" s="2">
        <v>20</v>
      </c>
      <c r="I5" s="2">
        <f t="shared" si="0"/>
        <v>820</v>
      </c>
      <c r="J5" s="2" t="s">
        <v>25</v>
      </c>
      <c r="K5" s="2" t="s">
        <v>20</v>
      </c>
      <c r="L5" s="51" t="s">
        <v>282</v>
      </c>
      <c r="Q5" s="2">
        <v>1</v>
      </c>
    </row>
    <row r="6" spans="1:17" s="2" customFormat="1" x14ac:dyDescent="0.25">
      <c r="B6" s="2" t="s">
        <v>16</v>
      </c>
      <c r="C6" s="2" t="s">
        <v>73</v>
      </c>
      <c r="D6" s="2" t="s">
        <v>292</v>
      </c>
      <c r="E6" s="2" t="s">
        <v>293</v>
      </c>
      <c r="F6" s="50" t="s">
        <v>116</v>
      </c>
      <c r="G6" s="2">
        <v>845</v>
      </c>
      <c r="H6" s="2">
        <v>25</v>
      </c>
      <c r="I6" s="2">
        <f t="shared" si="0"/>
        <v>820</v>
      </c>
      <c r="J6" s="2" t="s">
        <v>20</v>
      </c>
      <c r="K6" s="2" t="s">
        <v>20</v>
      </c>
      <c r="L6" s="51" t="s">
        <v>282</v>
      </c>
      <c r="Q6" s="2">
        <v>1</v>
      </c>
    </row>
    <row r="7" spans="1:17" s="2" customFormat="1" x14ac:dyDescent="0.25">
      <c r="B7" s="2" t="s">
        <v>16</v>
      </c>
      <c r="C7" s="2" t="s">
        <v>294</v>
      </c>
      <c r="D7" s="2" t="s">
        <v>295</v>
      </c>
      <c r="E7" s="2" t="s">
        <v>296</v>
      </c>
      <c r="F7" s="50" t="s">
        <v>95</v>
      </c>
      <c r="G7" s="2">
        <v>845</v>
      </c>
      <c r="H7" s="2">
        <v>25</v>
      </c>
      <c r="I7" s="2">
        <f t="shared" si="0"/>
        <v>820</v>
      </c>
      <c r="J7" s="2" t="s">
        <v>281</v>
      </c>
      <c r="K7" s="2" t="s">
        <v>20</v>
      </c>
      <c r="L7" s="51" t="s">
        <v>282</v>
      </c>
      <c r="Q7" s="2">
        <v>1</v>
      </c>
    </row>
    <row r="8" spans="1:17" s="2" customFormat="1" x14ac:dyDescent="0.25">
      <c r="B8" s="2" t="s">
        <v>16</v>
      </c>
      <c r="C8" s="2" t="s">
        <v>297</v>
      </c>
      <c r="D8" s="2" t="s">
        <v>298</v>
      </c>
      <c r="E8" s="2" t="s">
        <v>299</v>
      </c>
      <c r="F8" s="50">
        <v>6</v>
      </c>
      <c r="G8" s="2">
        <v>845</v>
      </c>
      <c r="H8" s="2">
        <v>25</v>
      </c>
      <c r="I8" s="2">
        <f t="shared" si="0"/>
        <v>820</v>
      </c>
      <c r="J8" s="2" t="s">
        <v>281</v>
      </c>
      <c r="K8" s="2" t="s">
        <v>20</v>
      </c>
      <c r="L8" s="51" t="s">
        <v>282</v>
      </c>
      <c r="Q8" s="2">
        <v>1</v>
      </c>
    </row>
    <row r="9" spans="1:17" s="2" customFormat="1" x14ac:dyDescent="0.25">
      <c r="B9" s="2" t="s">
        <v>16</v>
      </c>
      <c r="C9" s="2" t="s">
        <v>300</v>
      </c>
      <c r="D9" s="2" t="s">
        <v>301</v>
      </c>
      <c r="E9" s="2" t="s">
        <v>302</v>
      </c>
      <c r="F9" s="50">
        <v>9</v>
      </c>
      <c r="G9" s="2">
        <v>410</v>
      </c>
      <c r="H9" s="2">
        <v>30</v>
      </c>
      <c r="I9" s="2">
        <f t="shared" si="0"/>
        <v>380</v>
      </c>
      <c r="J9" s="2" t="s">
        <v>239</v>
      </c>
      <c r="K9" s="2" t="s">
        <v>20</v>
      </c>
      <c r="L9" s="51" t="s">
        <v>282</v>
      </c>
      <c r="Q9" s="2">
        <v>1</v>
      </c>
    </row>
    <row r="10" spans="1:17" s="2" customFormat="1" x14ac:dyDescent="0.25">
      <c r="B10" s="2" t="s">
        <v>16</v>
      </c>
      <c r="C10" s="2" t="s">
        <v>303</v>
      </c>
      <c r="D10" s="2" t="s">
        <v>304</v>
      </c>
      <c r="E10" s="2" t="s">
        <v>305</v>
      </c>
      <c r="F10" s="50" t="s">
        <v>51</v>
      </c>
      <c r="G10" s="2">
        <v>600</v>
      </c>
      <c r="H10" s="2">
        <v>20</v>
      </c>
      <c r="I10" s="2">
        <f t="shared" si="0"/>
        <v>580</v>
      </c>
      <c r="J10" s="2" t="s">
        <v>20</v>
      </c>
      <c r="K10" s="2" t="s">
        <v>20</v>
      </c>
      <c r="L10" s="51" t="s">
        <v>282</v>
      </c>
      <c r="Q10" s="2">
        <v>1</v>
      </c>
    </row>
    <row r="11" spans="1:17" s="2" customFormat="1" x14ac:dyDescent="0.25">
      <c r="B11" s="2" t="s">
        <v>16</v>
      </c>
      <c r="C11" s="2" t="s">
        <v>306</v>
      </c>
      <c r="D11" s="2" t="s">
        <v>307</v>
      </c>
      <c r="E11" s="2" t="s">
        <v>308</v>
      </c>
      <c r="F11" s="50" t="s">
        <v>51</v>
      </c>
      <c r="G11" s="2">
        <v>980</v>
      </c>
      <c r="H11" s="2">
        <v>20</v>
      </c>
      <c r="I11" s="2">
        <f t="shared" si="0"/>
        <v>960</v>
      </c>
      <c r="J11" s="2" t="s">
        <v>20</v>
      </c>
      <c r="K11" s="2" t="s">
        <v>20</v>
      </c>
      <c r="L11" s="51" t="s">
        <v>282</v>
      </c>
      <c r="Q11" s="2">
        <v>1</v>
      </c>
    </row>
    <row r="12" spans="1:17" s="2" customFormat="1" x14ac:dyDescent="0.25">
      <c r="B12" s="2" t="s">
        <v>16</v>
      </c>
      <c r="C12" s="2" t="s">
        <v>309</v>
      </c>
      <c r="D12" s="2" t="s">
        <v>310</v>
      </c>
      <c r="E12" s="2" t="s">
        <v>311</v>
      </c>
      <c r="F12" s="50">
        <v>1</v>
      </c>
      <c r="G12" s="2">
        <v>0</v>
      </c>
      <c r="H12" s="2">
        <v>25</v>
      </c>
      <c r="I12" s="2">
        <f t="shared" si="0"/>
        <v>-25</v>
      </c>
      <c r="J12" s="2" t="s">
        <v>25</v>
      </c>
      <c r="K12" s="2" t="s">
        <v>20</v>
      </c>
      <c r="L12" s="51" t="s">
        <v>282</v>
      </c>
      <c r="M12" s="2" t="s">
        <v>312</v>
      </c>
      <c r="Q12" s="2">
        <v>1</v>
      </c>
    </row>
    <row r="13" spans="1:17" s="2" customFormat="1" x14ac:dyDescent="0.25">
      <c r="B13" s="2" t="s">
        <v>16</v>
      </c>
      <c r="C13" s="2" t="s">
        <v>313</v>
      </c>
      <c r="D13" s="2" t="s">
        <v>314</v>
      </c>
      <c r="E13" s="2" t="s">
        <v>315</v>
      </c>
      <c r="F13" s="50" t="s">
        <v>116</v>
      </c>
      <c r="G13" s="2">
        <v>855</v>
      </c>
      <c r="H13" s="2">
        <v>25</v>
      </c>
      <c r="I13" s="2">
        <f t="shared" si="0"/>
        <v>830</v>
      </c>
      <c r="J13" s="2" t="s">
        <v>20</v>
      </c>
      <c r="K13" s="2" t="s">
        <v>20</v>
      </c>
      <c r="L13" s="51" t="s">
        <v>282</v>
      </c>
      <c r="Q13" s="2">
        <v>1</v>
      </c>
    </row>
    <row r="14" spans="1:17" s="2" customFormat="1" x14ac:dyDescent="0.25">
      <c r="B14" s="2" t="s">
        <v>16</v>
      </c>
      <c r="C14" s="2" t="s">
        <v>316</v>
      </c>
      <c r="D14" s="2" t="s">
        <v>317</v>
      </c>
      <c r="E14" s="2" t="s">
        <v>318</v>
      </c>
      <c r="F14" s="50">
        <v>12</v>
      </c>
      <c r="G14" s="2">
        <v>0</v>
      </c>
      <c r="H14" s="2">
        <v>30</v>
      </c>
      <c r="I14" s="2">
        <f t="shared" si="0"/>
        <v>-30</v>
      </c>
      <c r="J14" s="2" t="s">
        <v>281</v>
      </c>
      <c r="K14" s="2" t="s">
        <v>20</v>
      </c>
      <c r="L14" s="51" t="s">
        <v>282</v>
      </c>
      <c r="Q14" s="2">
        <v>1</v>
      </c>
    </row>
    <row r="15" spans="1:17" s="2" customFormat="1" x14ac:dyDescent="0.25">
      <c r="B15" s="2" t="s">
        <v>16</v>
      </c>
      <c r="C15" s="2" t="s">
        <v>319</v>
      </c>
      <c r="D15" s="2" t="s">
        <v>320</v>
      </c>
      <c r="E15" s="2" t="s">
        <v>321</v>
      </c>
      <c r="F15" s="50" t="s">
        <v>51</v>
      </c>
      <c r="G15" s="2">
        <v>2600</v>
      </c>
      <c r="H15" s="2">
        <v>25</v>
      </c>
      <c r="I15" s="2">
        <f t="shared" si="0"/>
        <v>2575</v>
      </c>
      <c r="J15" s="2" t="s">
        <v>20</v>
      </c>
      <c r="K15" s="2" t="s">
        <v>20</v>
      </c>
      <c r="L15" s="51" t="s">
        <v>282</v>
      </c>
      <c r="M15" s="2" t="s">
        <v>322</v>
      </c>
      <c r="Q15" s="2">
        <v>1</v>
      </c>
    </row>
    <row r="16" spans="1:17" s="2" customFormat="1" x14ac:dyDescent="0.25">
      <c r="B16" s="2" t="s">
        <v>16</v>
      </c>
      <c r="C16" s="2" t="s">
        <v>323</v>
      </c>
      <c r="D16" s="2" t="s">
        <v>324</v>
      </c>
      <c r="E16" s="2" t="s">
        <v>325</v>
      </c>
      <c r="F16" s="50">
        <v>10</v>
      </c>
      <c r="G16" s="2">
        <v>865</v>
      </c>
      <c r="H16" s="2">
        <v>25</v>
      </c>
      <c r="I16" s="2">
        <f t="shared" si="0"/>
        <v>840</v>
      </c>
      <c r="J16" s="2" t="s">
        <v>25</v>
      </c>
      <c r="K16" s="2" t="s">
        <v>20</v>
      </c>
      <c r="L16" s="51" t="s">
        <v>282</v>
      </c>
      <c r="Q16" s="2">
        <v>1</v>
      </c>
    </row>
    <row r="17" spans="2:17" s="2" customFormat="1" x14ac:dyDescent="0.25">
      <c r="B17" s="2" t="s">
        <v>16</v>
      </c>
      <c r="C17" s="2" t="s">
        <v>326</v>
      </c>
      <c r="D17" s="2" t="s">
        <v>327</v>
      </c>
      <c r="E17" s="2" t="s">
        <v>328</v>
      </c>
      <c r="F17" s="50">
        <v>10</v>
      </c>
      <c r="G17" s="2">
        <v>25</v>
      </c>
      <c r="H17" s="2">
        <v>25</v>
      </c>
      <c r="I17" s="2">
        <f t="shared" si="0"/>
        <v>0</v>
      </c>
      <c r="J17" s="2" t="s">
        <v>25</v>
      </c>
      <c r="K17" s="2" t="s">
        <v>20</v>
      </c>
      <c r="L17" s="51" t="s">
        <v>282</v>
      </c>
      <c r="M17" s="2" t="s">
        <v>312</v>
      </c>
      <c r="Q17" s="2">
        <v>1</v>
      </c>
    </row>
    <row r="18" spans="2:17" s="2" customFormat="1" x14ac:dyDescent="0.25">
      <c r="B18" s="2" t="s">
        <v>16</v>
      </c>
      <c r="C18" s="2" t="s">
        <v>329</v>
      </c>
      <c r="D18" s="2" t="s">
        <v>330</v>
      </c>
      <c r="E18" s="2" t="s">
        <v>331</v>
      </c>
      <c r="F18" s="50">
        <v>9</v>
      </c>
      <c r="G18" s="2">
        <v>870</v>
      </c>
      <c r="H18" s="2">
        <v>30</v>
      </c>
      <c r="I18" s="2">
        <f t="shared" si="0"/>
        <v>840</v>
      </c>
      <c r="J18" s="53" t="s">
        <v>239</v>
      </c>
      <c r="K18" s="2" t="s">
        <v>20</v>
      </c>
      <c r="L18" s="51" t="s">
        <v>282</v>
      </c>
      <c r="Q18" s="2">
        <v>1</v>
      </c>
    </row>
    <row r="19" spans="2:17" s="2" customFormat="1" x14ac:dyDescent="0.25">
      <c r="B19" s="2" t="s">
        <v>16</v>
      </c>
      <c r="C19" s="2" t="s">
        <v>178</v>
      </c>
      <c r="D19" s="2" t="s">
        <v>332</v>
      </c>
      <c r="E19" s="2" t="s">
        <v>180</v>
      </c>
      <c r="F19" s="50" t="s">
        <v>61</v>
      </c>
      <c r="G19" s="2">
        <v>1075</v>
      </c>
      <c r="H19" s="2">
        <v>25</v>
      </c>
      <c r="I19" s="2">
        <f t="shared" si="0"/>
        <v>1050</v>
      </c>
      <c r="J19" s="2" t="s">
        <v>281</v>
      </c>
      <c r="K19" s="2" t="s">
        <v>20</v>
      </c>
      <c r="L19" s="51" t="s">
        <v>282</v>
      </c>
      <c r="Q19" s="2">
        <v>1</v>
      </c>
    </row>
    <row r="20" spans="2:17" s="2" customFormat="1" x14ac:dyDescent="0.25">
      <c r="B20" s="2" t="s">
        <v>16</v>
      </c>
      <c r="C20" s="2" t="s">
        <v>333</v>
      </c>
      <c r="D20" s="2" t="s">
        <v>334</v>
      </c>
      <c r="E20" s="2" t="s">
        <v>335</v>
      </c>
      <c r="F20" s="50" t="s">
        <v>95</v>
      </c>
      <c r="G20" s="2">
        <v>845</v>
      </c>
      <c r="H20" s="2">
        <v>25</v>
      </c>
      <c r="I20" s="2">
        <f t="shared" si="0"/>
        <v>820</v>
      </c>
      <c r="J20" s="2" t="s">
        <v>25</v>
      </c>
      <c r="K20" s="2" t="s">
        <v>20</v>
      </c>
      <c r="L20" s="51" t="s">
        <v>282</v>
      </c>
      <c r="Q20" s="2">
        <v>1</v>
      </c>
    </row>
    <row r="21" spans="2:17" s="2" customFormat="1" x14ac:dyDescent="0.25">
      <c r="B21" s="2" t="s">
        <v>16</v>
      </c>
      <c r="C21" s="2" t="s">
        <v>336</v>
      </c>
      <c r="D21" s="2" t="s">
        <v>337</v>
      </c>
      <c r="E21" s="2" t="s">
        <v>338</v>
      </c>
      <c r="F21" s="50" t="s">
        <v>51</v>
      </c>
      <c r="G21" s="2">
        <v>850</v>
      </c>
      <c r="H21" s="2">
        <v>30</v>
      </c>
      <c r="I21" s="2">
        <f t="shared" si="0"/>
        <v>820</v>
      </c>
      <c r="J21" s="2" t="s">
        <v>20</v>
      </c>
      <c r="K21" s="2" t="s">
        <v>20</v>
      </c>
      <c r="L21" s="51" t="s">
        <v>282</v>
      </c>
      <c r="Q21" s="2">
        <v>1</v>
      </c>
    </row>
    <row r="22" spans="2:17" s="2" customFormat="1" x14ac:dyDescent="0.25">
      <c r="B22" s="2" t="s">
        <v>16</v>
      </c>
      <c r="C22" s="2" t="s">
        <v>339</v>
      </c>
      <c r="D22" s="2" t="s">
        <v>340</v>
      </c>
      <c r="E22" s="2" t="s">
        <v>341</v>
      </c>
      <c r="F22" s="50">
        <v>9</v>
      </c>
      <c r="G22" s="2">
        <v>470</v>
      </c>
      <c r="H22" s="2">
        <v>30</v>
      </c>
      <c r="I22" s="2">
        <f t="shared" si="0"/>
        <v>440</v>
      </c>
      <c r="J22" s="2" t="s">
        <v>239</v>
      </c>
      <c r="K22" s="2" t="s">
        <v>20</v>
      </c>
      <c r="L22" s="51" t="s">
        <v>282</v>
      </c>
      <c r="Q22" s="2">
        <v>1</v>
      </c>
    </row>
    <row r="23" spans="2:17" s="2" customFormat="1" x14ac:dyDescent="0.25">
      <c r="B23" s="2" t="s">
        <v>16</v>
      </c>
      <c r="C23" s="2" t="s">
        <v>342</v>
      </c>
      <c r="D23" s="2" t="s">
        <v>343</v>
      </c>
      <c r="E23" s="2" t="s">
        <v>344</v>
      </c>
      <c r="F23" s="50">
        <v>2</v>
      </c>
      <c r="G23" s="2">
        <v>0</v>
      </c>
      <c r="H23" s="2">
        <v>30</v>
      </c>
      <c r="I23" s="2">
        <f t="shared" si="0"/>
        <v>-30</v>
      </c>
      <c r="J23" s="2" t="s">
        <v>20</v>
      </c>
      <c r="K23" s="2" t="s">
        <v>20</v>
      </c>
      <c r="L23" s="51" t="s">
        <v>282</v>
      </c>
      <c r="Q23" s="2">
        <v>1</v>
      </c>
    </row>
    <row r="24" spans="2:17" s="2" customFormat="1" x14ac:dyDescent="0.25">
      <c r="B24" s="2" t="s">
        <v>16</v>
      </c>
      <c r="C24" s="2" t="s">
        <v>345</v>
      </c>
      <c r="D24" s="2" t="s">
        <v>346</v>
      </c>
      <c r="E24" s="2" t="s">
        <v>347</v>
      </c>
      <c r="F24" s="50" t="s">
        <v>116</v>
      </c>
      <c r="G24" s="2">
        <v>855</v>
      </c>
      <c r="H24" s="2">
        <v>25</v>
      </c>
      <c r="I24" s="2">
        <f t="shared" si="0"/>
        <v>830</v>
      </c>
      <c r="J24" s="2" t="s">
        <v>20</v>
      </c>
      <c r="K24" s="2" t="s">
        <v>20</v>
      </c>
      <c r="L24" s="51" t="s">
        <v>282</v>
      </c>
      <c r="Q24" s="2">
        <v>1</v>
      </c>
    </row>
    <row r="25" spans="2:17" s="2" customFormat="1" x14ac:dyDescent="0.25">
      <c r="B25" s="2" t="s">
        <v>16</v>
      </c>
      <c r="C25" s="2" t="s">
        <v>348</v>
      </c>
      <c r="D25" s="2" t="s">
        <v>349</v>
      </c>
      <c r="E25" s="2" t="s">
        <v>350</v>
      </c>
      <c r="F25" s="50">
        <v>9</v>
      </c>
      <c r="G25" s="2">
        <v>520</v>
      </c>
      <c r="H25" s="2">
        <v>30</v>
      </c>
      <c r="I25" s="2">
        <f t="shared" si="0"/>
        <v>490</v>
      </c>
      <c r="J25" s="2" t="s">
        <v>239</v>
      </c>
      <c r="K25" s="2" t="s">
        <v>20</v>
      </c>
      <c r="L25" s="51" t="s">
        <v>282</v>
      </c>
      <c r="Q25" s="2">
        <v>1</v>
      </c>
    </row>
    <row r="26" spans="2:17" s="2" customFormat="1" x14ac:dyDescent="0.25">
      <c r="B26" s="2" t="s">
        <v>16</v>
      </c>
      <c r="C26" s="2" t="s">
        <v>351</v>
      </c>
      <c r="D26" s="2" t="s">
        <v>352</v>
      </c>
      <c r="E26" s="2" t="s">
        <v>353</v>
      </c>
      <c r="F26" s="50" t="s">
        <v>116</v>
      </c>
      <c r="G26" s="2">
        <v>735</v>
      </c>
      <c r="H26" s="2">
        <v>25</v>
      </c>
      <c r="I26" s="2">
        <f t="shared" si="0"/>
        <v>710</v>
      </c>
      <c r="J26" s="2" t="s">
        <v>20</v>
      </c>
      <c r="K26" s="2" t="s">
        <v>20</v>
      </c>
      <c r="L26" s="51" t="s">
        <v>282</v>
      </c>
      <c r="M26" s="2" t="s">
        <v>354</v>
      </c>
      <c r="Q26" s="2">
        <v>1</v>
      </c>
    </row>
    <row r="27" spans="2:17" s="2" customFormat="1" x14ac:dyDescent="0.25">
      <c r="B27" s="2" t="s">
        <v>16</v>
      </c>
      <c r="C27" s="2" t="s">
        <v>351</v>
      </c>
      <c r="D27" s="2" t="s">
        <v>355</v>
      </c>
      <c r="E27" s="2" t="s">
        <v>356</v>
      </c>
      <c r="F27" s="50" t="s">
        <v>116</v>
      </c>
      <c r="G27" s="2">
        <v>580</v>
      </c>
      <c r="H27" s="2">
        <v>0</v>
      </c>
      <c r="I27" s="2">
        <f t="shared" si="0"/>
        <v>580</v>
      </c>
      <c r="J27" s="2" t="s">
        <v>281</v>
      </c>
      <c r="K27" s="2" t="s">
        <v>20</v>
      </c>
      <c r="L27" s="51" t="s">
        <v>282</v>
      </c>
      <c r="M27" s="2" t="s">
        <v>354</v>
      </c>
      <c r="Q27" s="2">
        <v>1</v>
      </c>
    </row>
    <row r="28" spans="2:17" s="2" customFormat="1" x14ac:dyDescent="0.25">
      <c r="B28" s="2" t="s">
        <v>16</v>
      </c>
      <c r="C28" s="2" t="s">
        <v>357</v>
      </c>
      <c r="D28" s="2" t="s">
        <v>358</v>
      </c>
      <c r="E28" s="2" t="s">
        <v>359</v>
      </c>
      <c r="F28" s="50">
        <v>6</v>
      </c>
      <c r="G28" s="2">
        <v>0</v>
      </c>
      <c r="H28" s="2">
        <v>25</v>
      </c>
      <c r="I28" s="2">
        <f t="shared" si="0"/>
        <v>-25</v>
      </c>
      <c r="J28" s="2" t="s">
        <v>281</v>
      </c>
      <c r="K28" s="2" t="s">
        <v>20</v>
      </c>
      <c r="L28" s="51" t="s">
        <v>282</v>
      </c>
      <c r="Q28" s="2">
        <v>1</v>
      </c>
    </row>
    <row r="29" spans="2:17" s="2" customFormat="1" x14ac:dyDescent="0.25">
      <c r="B29" s="2" t="s">
        <v>16</v>
      </c>
      <c r="C29" s="2" t="s">
        <v>360</v>
      </c>
      <c r="D29" s="2" t="s">
        <v>361</v>
      </c>
      <c r="E29" s="2" t="s">
        <v>362</v>
      </c>
      <c r="F29" s="50" t="s">
        <v>95</v>
      </c>
      <c r="G29" s="2">
        <v>815</v>
      </c>
      <c r="H29" s="2">
        <v>25</v>
      </c>
      <c r="I29" s="2">
        <f t="shared" si="0"/>
        <v>790</v>
      </c>
      <c r="J29" s="2" t="s">
        <v>25</v>
      </c>
      <c r="K29" s="2" t="s">
        <v>20</v>
      </c>
      <c r="L29" s="51" t="s">
        <v>282</v>
      </c>
      <c r="Q29" s="2">
        <v>1</v>
      </c>
    </row>
    <row r="30" spans="2:17" s="2" customFormat="1" x14ac:dyDescent="0.25">
      <c r="B30" s="2" t="s">
        <v>16</v>
      </c>
      <c r="C30" s="2" t="s">
        <v>363</v>
      </c>
      <c r="D30" s="2" t="s">
        <v>364</v>
      </c>
      <c r="E30" s="2" t="s">
        <v>365</v>
      </c>
      <c r="F30" s="50">
        <v>6</v>
      </c>
      <c r="G30" s="2">
        <v>710</v>
      </c>
      <c r="H30" s="2">
        <v>0</v>
      </c>
      <c r="I30" s="2">
        <f t="shared" si="0"/>
        <v>710</v>
      </c>
      <c r="J30" s="2" t="s">
        <v>281</v>
      </c>
      <c r="K30" s="2" t="s">
        <v>20</v>
      </c>
      <c r="L30" s="51" t="s">
        <v>282</v>
      </c>
      <c r="M30" s="2" t="s">
        <v>354</v>
      </c>
      <c r="Q30" s="2">
        <v>1</v>
      </c>
    </row>
    <row r="31" spans="2:17" s="2" customFormat="1" x14ac:dyDescent="0.25">
      <c r="B31" s="2" t="s">
        <v>16</v>
      </c>
      <c r="C31" s="2" t="s">
        <v>363</v>
      </c>
      <c r="D31" s="2" t="s">
        <v>366</v>
      </c>
      <c r="E31" s="2" t="s">
        <v>365</v>
      </c>
      <c r="F31" s="50">
        <v>6</v>
      </c>
      <c r="G31" s="2">
        <v>820</v>
      </c>
      <c r="H31" s="2">
        <v>0</v>
      </c>
      <c r="I31" s="2">
        <f t="shared" si="0"/>
        <v>820</v>
      </c>
      <c r="J31" s="2" t="s">
        <v>281</v>
      </c>
      <c r="K31" s="2" t="s">
        <v>20</v>
      </c>
      <c r="L31" s="51" t="s">
        <v>282</v>
      </c>
      <c r="M31" s="2" t="s">
        <v>354</v>
      </c>
      <c r="Q31" s="2">
        <v>1</v>
      </c>
    </row>
    <row r="32" spans="2:17" s="2" customFormat="1" x14ac:dyDescent="0.25">
      <c r="B32" s="2" t="s">
        <v>16</v>
      </c>
      <c r="C32" s="2" t="s">
        <v>363</v>
      </c>
      <c r="D32" s="2" t="s">
        <v>367</v>
      </c>
      <c r="E32" s="2" t="s">
        <v>365</v>
      </c>
      <c r="F32" s="50">
        <v>6</v>
      </c>
      <c r="G32" s="2">
        <v>1040</v>
      </c>
      <c r="H32" s="2">
        <v>30</v>
      </c>
      <c r="I32" s="2">
        <f t="shared" si="0"/>
        <v>1010</v>
      </c>
      <c r="J32" s="2" t="s">
        <v>281</v>
      </c>
      <c r="K32" s="2" t="s">
        <v>20</v>
      </c>
      <c r="L32" s="51" t="s">
        <v>282</v>
      </c>
      <c r="M32" s="2" t="s">
        <v>354</v>
      </c>
      <c r="Q32" s="2">
        <v>1</v>
      </c>
    </row>
    <row r="33" spans="2:17" s="2" customFormat="1" x14ac:dyDescent="0.25">
      <c r="B33" s="2" t="s">
        <v>16</v>
      </c>
      <c r="C33" s="2" t="s">
        <v>368</v>
      </c>
      <c r="D33" s="2" t="s">
        <v>369</v>
      </c>
      <c r="E33" s="2" t="s">
        <v>370</v>
      </c>
      <c r="F33" s="50" t="s">
        <v>47</v>
      </c>
      <c r="G33" s="2">
        <v>850</v>
      </c>
      <c r="H33" s="2">
        <v>30</v>
      </c>
      <c r="I33" s="2">
        <f t="shared" si="0"/>
        <v>820</v>
      </c>
      <c r="J33" s="2" t="s">
        <v>281</v>
      </c>
      <c r="K33" s="2" t="s">
        <v>20</v>
      </c>
      <c r="L33" s="51" t="s">
        <v>282</v>
      </c>
      <c r="Q33" s="2">
        <v>1</v>
      </c>
    </row>
    <row r="34" spans="2:17" s="2" customFormat="1" x14ac:dyDescent="0.25">
      <c r="B34" s="2" t="s">
        <v>16</v>
      </c>
      <c r="C34" s="2" t="s">
        <v>371</v>
      </c>
      <c r="D34" s="2" t="s">
        <v>372</v>
      </c>
      <c r="E34" s="2" t="s">
        <v>373</v>
      </c>
      <c r="F34" s="50">
        <v>7</v>
      </c>
      <c r="G34" s="2">
        <v>590</v>
      </c>
      <c r="H34" s="2">
        <v>30</v>
      </c>
      <c r="I34" s="2">
        <f t="shared" si="0"/>
        <v>560</v>
      </c>
      <c r="J34" s="2" t="s">
        <v>281</v>
      </c>
      <c r="K34" s="2" t="s">
        <v>20</v>
      </c>
      <c r="L34" s="51" t="s">
        <v>282</v>
      </c>
      <c r="Q34" s="2">
        <v>1</v>
      </c>
    </row>
    <row r="35" spans="2:17" s="2" customFormat="1" x14ac:dyDescent="0.25">
      <c r="B35" s="2" t="s">
        <v>16</v>
      </c>
      <c r="C35" s="2" t="s">
        <v>374</v>
      </c>
      <c r="D35" s="2" t="s">
        <v>375</v>
      </c>
      <c r="E35" s="2" t="s">
        <v>376</v>
      </c>
      <c r="F35" s="50" t="s">
        <v>116</v>
      </c>
      <c r="G35" s="2">
        <v>605</v>
      </c>
      <c r="H35" s="2">
        <v>25</v>
      </c>
      <c r="I35" s="2">
        <f t="shared" ref="I35:I66" si="1">G35-H35</f>
        <v>580</v>
      </c>
      <c r="J35" s="2" t="s">
        <v>20</v>
      </c>
      <c r="K35" s="2" t="s">
        <v>20</v>
      </c>
      <c r="L35" s="51" t="s">
        <v>282</v>
      </c>
      <c r="Q35" s="2">
        <v>1</v>
      </c>
    </row>
    <row r="36" spans="2:17" s="2" customFormat="1" x14ac:dyDescent="0.25">
      <c r="B36" s="2" t="s">
        <v>16</v>
      </c>
      <c r="C36" s="2" t="s">
        <v>377</v>
      </c>
      <c r="D36" s="2" t="s">
        <v>378</v>
      </c>
      <c r="E36" s="2" t="s">
        <v>379</v>
      </c>
      <c r="F36" s="50">
        <v>10</v>
      </c>
      <c r="G36" s="2">
        <v>715</v>
      </c>
      <c r="H36" s="2">
        <v>25</v>
      </c>
      <c r="I36" s="2">
        <f t="shared" si="1"/>
        <v>690</v>
      </c>
      <c r="J36" s="2" t="s">
        <v>25</v>
      </c>
      <c r="K36" s="2" t="s">
        <v>20</v>
      </c>
      <c r="L36" s="51" t="s">
        <v>282</v>
      </c>
      <c r="Q36" s="2">
        <v>1</v>
      </c>
    </row>
    <row r="37" spans="2:17" s="2" customFormat="1" x14ac:dyDescent="0.25">
      <c r="B37" s="2" t="s">
        <v>16</v>
      </c>
      <c r="C37" s="2" t="s">
        <v>380</v>
      </c>
      <c r="D37" s="2" t="s">
        <v>381</v>
      </c>
      <c r="E37" s="2" t="s">
        <v>382</v>
      </c>
      <c r="F37" s="50" t="s">
        <v>116</v>
      </c>
      <c r="G37" s="2">
        <v>405</v>
      </c>
      <c r="H37" s="2">
        <v>25</v>
      </c>
      <c r="I37" s="2">
        <f t="shared" si="1"/>
        <v>380</v>
      </c>
      <c r="J37" s="2" t="s">
        <v>20</v>
      </c>
      <c r="K37" s="2" t="s">
        <v>20</v>
      </c>
      <c r="L37" s="51" t="s">
        <v>282</v>
      </c>
      <c r="Q37" s="2">
        <v>1</v>
      </c>
    </row>
    <row r="38" spans="2:17" s="2" customFormat="1" x14ac:dyDescent="0.25">
      <c r="B38" s="2" t="s">
        <v>16</v>
      </c>
      <c r="C38" s="2" t="s">
        <v>22</v>
      </c>
      <c r="D38" s="2" t="s">
        <v>383</v>
      </c>
      <c r="E38" s="2" t="s">
        <v>384</v>
      </c>
      <c r="F38" s="50" t="s">
        <v>116</v>
      </c>
      <c r="G38" s="2">
        <v>0</v>
      </c>
      <c r="H38" s="2">
        <v>25</v>
      </c>
      <c r="I38" s="2">
        <f t="shared" si="1"/>
        <v>-25</v>
      </c>
      <c r="J38" s="2" t="s">
        <v>20</v>
      </c>
      <c r="K38" s="2" t="s">
        <v>20</v>
      </c>
      <c r="L38" s="51" t="s">
        <v>282</v>
      </c>
      <c r="Q38" s="2">
        <v>1</v>
      </c>
    </row>
    <row r="39" spans="2:17" s="2" customFormat="1" x14ac:dyDescent="0.25">
      <c r="B39" s="2" t="s">
        <v>16</v>
      </c>
      <c r="C39" s="2" t="s">
        <v>385</v>
      </c>
      <c r="D39" s="2" t="s">
        <v>386</v>
      </c>
      <c r="E39" s="2" t="s">
        <v>387</v>
      </c>
      <c r="F39" s="50">
        <v>7</v>
      </c>
      <c r="G39" s="2">
        <v>850</v>
      </c>
      <c r="H39" s="2">
        <v>30</v>
      </c>
      <c r="I39" s="2">
        <f t="shared" si="1"/>
        <v>820</v>
      </c>
      <c r="J39" s="2" t="s">
        <v>281</v>
      </c>
      <c r="K39" s="2" t="s">
        <v>20</v>
      </c>
      <c r="L39" s="51" t="s">
        <v>282</v>
      </c>
      <c r="Q39" s="2">
        <v>1</v>
      </c>
    </row>
    <row r="40" spans="2:17" s="2" customFormat="1" x14ac:dyDescent="0.25">
      <c r="B40" s="2" t="s">
        <v>16</v>
      </c>
      <c r="C40" s="2" t="s">
        <v>388</v>
      </c>
      <c r="D40" s="2" t="s">
        <v>389</v>
      </c>
      <c r="E40" s="2" t="s">
        <v>390</v>
      </c>
      <c r="F40" s="50">
        <v>1</v>
      </c>
      <c r="G40" s="2">
        <v>765</v>
      </c>
      <c r="H40" s="2">
        <v>25</v>
      </c>
      <c r="I40" s="2">
        <f t="shared" si="1"/>
        <v>740</v>
      </c>
      <c r="J40" s="2" t="s">
        <v>25</v>
      </c>
      <c r="K40" s="2" t="s">
        <v>20</v>
      </c>
      <c r="L40" s="51" t="s">
        <v>282</v>
      </c>
      <c r="Q40" s="2">
        <v>1</v>
      </c>
    </row>
    <row r="41" spans="2:17" s="2" customFormat="1" x14ac:dyDescent="0.25">
      <c r="B41" s="2" t="s">
        <v>16</v>
      </c>
      <c r="C41" s="2" t="s">
        <v>391</v>
      </c>
      <c r="D41" s="2" t="s">
        <v>392</v>
      </c>
      <c r="E41" s="2" t="s">
        <v>393</v>
      </c>
      <c r="F41" s="50">
        <v>3</v>
      </c>
      <c r="G41" s="2">
        <v>0</v>
      </c>
      <c r="H41" s="2">
        <v>25</v>
      </c>
      <c r="I41" s="2">
        <f t="shared" si="1"/>
        <v>-25</v>
      </c>
      <c r="J41" s="2" t="s">
        <v>25</v>
      </c>
      <c r="K41" s="2" t="s">
        <v>20</v>
      </c>
      <c r="L41" s="51" t="s">
        <v>282</v>
      </c>
      <c r="M41" s="2" t="s">
        <v>394</v>
      </c>
      <c r="Q41" s="2">
        <v>1</v>
      </c>
    </row>
    <row r="42" spans="2:17" s="2" customFormat="1" x14ac:dyDescent="0.25">
      <c r="B42" s="2" t="s">
        <v>16</v>
      </c>
      <c r="C42" s="2" t="s">
        <v>395</v>
      </c>
      <c r="D42" s="2" t="s">
        <v>396</v>
      </c>
      <c r="E42" s="2" t="s">
        <v>397</v>
      </c>
      <c r="F42" s="50" t="s">
        <v>51</v>
      </c>
      <c r="G42" s="2">
        <v>600</v>
      </c>
      <c r="H42" s="2">
        <v>20</v>
      </c>
      <c r="I42" s="2">
        <f t="shared" si="1"/>
        <v>580</v>
      </c>
      <c r="J42" s="2" t="s">
        <v>20</v>
      </c>
      <c r="K42" s="2" t="s">
        <v>20</v>
      </c>
      <c r="L42" s="51" t="s">
        <v>282</v>
      </c>
      <c r="Q42" s="2">
        <v>1</v>
      </c>
    </row>
    <row r="43" spans="2:17" s="2" customFormat="1" x14ac:dyDescent="0.25">
      <c r="B43" s="2" t="s">
        <v>16</v>
      </c>
      <c r="C43" s="2" t="s">
        <v>398</v>
      </c>
      <c r="D43" s="2" t="s">
        <v>399</v>
      </c>
      <c r="E43" s="2" t="s">
        <v>400</v>
      </c>
      <c r="F43" s="50" t="s">
        <v>33</v>
      </c>
      <c r="G43" s="2">
        <v>470</v>
      </c>
      <c r="H43" s="2">
        <v>30</v>
      </c>
      <c r="I43" s="2">
        <f t="shared" si="1"/>
        <v>440</v>
      </c>
      <c r="J43" s="2" t="s">
        <v>20</v>
      </c>
      <c r="K43" s="2" t="s">
        <v>20</v>
      </c>
      <c r="L43" s="51" t="s">
        <v>282</v>
      </c>
      <c r="Q43" s="2">
        <v>1</v>
      </c>
    </row>
    <row r="44" spans="2:17" s="2" customFormat="1" x14ac:dyDescent="0.25">
      <c r="B44" s="2" t="s">
        <v>16</v>
      </c>
      <c r="C44" s="2" t="s">
        <v>401</v>
      </c>
      <c r="D44" s="2" t="s">
        <v>402</v>
      </c>
      <c r="E44" s="2" t="s">
        <v>403</v>
      </c>
      <c r="F44" s="50">
        <v>2</v>
      </c>
      <c r="G44" s="2">
        <v>470</v>
      </c>
      <c r="H44" s="2">
        <v>30</v>
      </c>
      <c r="I44" s="2">
        <f t="shared" si="1"/>
        <v>440</v>
      </c>
      <c r="J44" s="2" t="s">
        <v>20</v>
      </c>
      <c r="K44" s="2" t="s">
        <v>20</v>
      </c>
      <c r="L44" s="51" t="s">
        <v>282</v>
      </c>
      <c r="Q44" s="2">
        <v>1</v>
      </c>
    </row>
    <row r="45" spans="2:17" s="2" customFormat="1" x14ac:dyDescent="0.25">
      <c r="B45" s="2" t="s">
        <v>16</v>
      </c>
      <c r="C45" s="2" t="s">
        <v>404</v>
      </c>
      <c r="D45" s="2" t="s">
        <v>405</v>
      </c>
      <c r="E45" s="2" t="s">
        <v>406</v>
      </c>
      <c r="F45" s="50">
        <v>2</v>
      </c>
      <c r="G45" s="2">
        <v>870</v>
      </c>
      <c r="H45" s="2">
        <v>30</v>
      </c>
      <c r="I45" s="2">
        <f t="shared" si="1"/>
        <v>840</v>
      </c>
      <c r="J45" s="2" t="s">
        <v>20</v>
      </c>
      <c r="K45" s="2" t="s">
        <v>20</v>
      </c>
      <c r="L45" s="51" t="s">
        <v>282</v>
      </c>
      <c r="Q45" s="2">
        <v>1</v>
      </c>
    </row>
    <row r="46" spans="2:17" s="2" customFormat="1" x14ac:dyDescent="0.25">
      <c r="B46" s="2" t="s">
        <v>16</v>
      </c>
      <c r="C46" s="2" t="s">
        <v>55</v>
      </c>
      <c r="D46" s="2" t="s">
        <v>407</v>
      </c>
      <c r="E46" s="2" t="s">
        <v>57</v>
      </c>
      <c r="F46" s="50" t="s">
        <v>47</v>
      </c>
      <c r="G46" s="2">
        <v>860</v>
      </c>
      <c r="H46" s="2">
        <v>30</v>
      </c>
      <c r="I46" s="2">
        <f t="shared" si="1"/>
        <v>830</v>
      </c>
      <c r="J46" s="2" t="s">
        <v>281</v>
      </c>
      <c r="K46" s="2" t="s">
        <v>20</v>
      </c>
      <c r="L46" s="51" t="s">
        <v>282</v>
      </c>
      <c r="Q46" s="2">
        <v>1</v>
      </c>
    </row>
    <row r="47" spans="2:17" s="2" customFormat="1" x14ac:dyDescent="0.25">
      <c r="B47" s="2" t="s">
        <v>16</v>
      </c>
      <c r="C47" s="2" t="s">
        <v>408</v>
      </c>
      <c r="D47" s="2" t="s">
        <v>409</v>
      </c>
      <c r="E47" s="2" t="s">
        <v>410</v>
      </c>
      <c r="F47" s="50">
        <v>7</v>
      </c>
      <c r="G47" s="2">
        <v>850</v>
      </c>
      <c r="H47" s="2">
        <v>30</v>
      </c>
      <c r="I47" s="2">
        <f t="shared" si="1"/>
        <v>820</v>
      </c>
      <c r="J47" s="2" t="s">
        <v>281</v>
      </c>
      <c r="K47" s="2" t="s">
        <v>20</v>
      </c>
      <c r="L47" s="51" t="s">
        <v>282</v>
      </c>
      <c r="Q47" s="2">
        <v>1</v>
      </c>
    </row>
    <row r="48" spans="2:17" s="2" customFormat="1" x14ac:dyDescent="0.25">
      <c r="B48" s="2" t="s">
        <v>16</v>
      </c>
      <c r="C48" s="2" t="s">
        <v>411</v>
      </c>
      <c r="D48" s="2" t="s">
        <v>412</v>
      </c>
      <c r="E48" s="2" t="s">
        <v>413</v>
      </c>
      <c r="F48" s="50">
        <v>2</v>
      </c>
      <c r="G48" s="2">
        <v>0</v>
      </c>
      <c r="H48" s="2">
        <v>30</v>
      </c>
      <c r="I48" s="2">
        <f t="shared" si="1"/>
        <v>-30</v>
      </c>
      <c r="J48" s="2" t="s">
        <v>20</v>
      </c>
      <c r="K48" s="2" t="s">
        <v>20</v>
      </c>
      <c r="L48" s="51" t="s">
        <v>282</v>
      </c>
      <c r="M48" s="2" t="s">
        <v>312</v>
      </c>
      <c r="Q48" s="2">
        <v>1</v>
      </c>
    </row>
    <row r="49" spans="1:17" s="2" customFormat="1" x14ac:dyDescent="0.25">
      <c r="B49" s="2" t="s">
        <v>16</v>
      </c>
      <c r="C49" s="2" t="s">
        <v>414</v>
      </c>
      <c r="D49" s="2" t="s">
        <v>415</v>
      </c>
      <c r="E49" s="2" t="s">
        <v>416</v>
      </c>
      <c r="F49" s="50">
        <v>1</v>
      </c>
      <c r="G49" s="2">
        <v>0</v>
      </c>
      <c r="H49" s="2">
        <v>25</v>
      </c>
      <c r="I49" s="2">
        <f t="shared" si="1"/>
        <v>-25</v>
      </c>
      <c r="J49" s="2" t="s">
        <v>25</v>
      </c>
      <c r="K49" s="2" t="s">
        <v>20</v>
      </c>
      <c r="L49" s="51" t="s">
        <v>282</v>
      </c>
      <c r="Q49" s="2">
        <v>1</v>
      </c>
    </row>
    <row r="50" spans="1:17" s="2" customFormat="1" x14ac:dyDescent="0.25">
      <c r="B50" s="2" t="s">
        <v>16</v>
      </c>
      <c r="C50" s="52" t="s">
        <v>417</v>
      </c>
      <c r="D50" s="2" t="s">
        <v>418</v>
      </c>
      <c r="E50" s="2" t="s">
        <v>419</v>
      </c>
      <c r="F50" s="50">
        <v>5</v>
      </c>
      <c r="G50" s="2">
        <v>865</v>
      </c>
      <c r="H50" s="2">
        <v>25</v>
      </c>
      <c r="I50" s="2">
        <f t="shared" si="1"/>
        <v>840</v>
      </c>
      <c r="J50" s="2" t="s">
        <v>25</v>
      </c>
      <c r="K50" s="2" t="s">
        <v>20</v>
      </c>
      <c r="L50" s="51" t="s">
        <v>282</v>
      </c>
      <c r="Q50" s="2">
        <v>1</v>
      </c>
    </row>
    <row r="51" spans="1:17" s="2" customFormat="1" x14ac:dyDescent="0.25">
      <c r="B51" s="2" t="s">
        <v>16</v>
      </c>
      <c r="C51" s="2" t="s">
        <v>420</v>
      </c>
      <c r="D51" s="2" t="s">
        <v>421</v>
      </c>
      <c r="E51" s="2" t="s">
        <v>422</v>
      </c>
      <c r="F51" s="50" t="s">
        <v>51</v>
      </c>
      <c r="G51" s="2">
        <v>400</v>
      </c>
      <c r="H51" s="2">
        <v>20</v>
      </c>
      <c r="I51" s="2">
        <f t="shared" si="1"/>
        <v>380</v>
      </c>
      <c r="J51" s="2" t="s">
        <v>20</v>
      </c>
      <c r="K51" s="2" t="s">
        <v>20</v>
      </c>
      <c r="L51" s="51" t="s">
        <v>282</v>
      </c>
      <c r="Q51" s="2">
        <v>1</v>
      </c>
    </row>
    <row r="52" spans="1:17" s="2" customFormat="1" x14ac:dyDescent="0.25">
      <c r="B52" s="2" t="s">
        <v>16</v>
      </c>
      <c r="C52" s="2" t="s">
        <v>423</v>
      </c>
      <c r="D52" s="2" t="s">
        <v>424</v>
      </c>
      <c r="E52" s="2" t="s">
        <v>425</v>
      </c>
      <c r="F52" s="50" t="s">
        <v>51</v>
      </c>
      <c r="G52" s="2">
        <v>510</v>
      </c>
      <c r="H52" s="2">
        <v>20</v>
      </c>
      <c r="I52" s="2">
        <f t="shared" si="1"/>
        <v>490</v>
      </c>
      <c r="J52" s="2" t="s">
        <v>20</v>
      </c>
      <c r="K52" s="2" t="s">
        <v>20</v>
      </c>
      <c r="L52" s="51" t="s">
        <v>282</v>
      </c>
      <c r="Q52" s="2">
        <v>1</v>
      </c>
    </row>
    <row r="53" spans="1:17" s="2" customFormat="1" x14ac:dyDescent="0.25">
      <c r="B53" s="2" t="s">
        <v>16</v>
      </c>
      <c r="C53" s="2" t="s">
        <v>426</v>
      </c>
      <c r="D53" s="2" t="s">
        <v>427</v>
      </c>
      <c r="E53" s="2" t="s">
        <v>428</v>
      </c>
      <c r="F53" s="50" t="s">
        <v>116</v>
      </c>
      <c r="G53" s="2">
        <v>1555</v>
      </c>
      <c r="H53" s="2">
        <v>25</v>
      </c>
      <c r="I53" s="2">
        <f t="shared" si="1"/>
        <v>1530</v>
      </c>
      <c r="J53" s="2" t="s">
        <v>20</v>
      </c>
      <c r="K53" s="2" t="s">
        <v>20</v>
      </c>
      <c r="L53" s="51" t="s">
        <v>282</v>
      </c>
      <c r="Q53" s="2">
        <v>1</v>
      </c>
    </row>
    <row r="54" spans="1:17" s="2" customFormat="1" x14ac:dyDescent="0.25">
      <c r="B54" s="2" t="s">
        <v>16</v>
      </c>
      <c r="C54" s="2" t="s">
        <v>429</v>
      </c>
      <c r="D54" s="2" t="s">
        <v>430</v>
      </c>
      <c r="E54" s="2" t="s">
        <v>431</v>
      </c>
      <c r="F54" s="50">
        <v>4</v>
      </c>
      <c r="G54" s="2">
        <v>515</v>
      </c>
      <c r="H54" s="2">
        <v>25</v>
      </c>
      <c r="I54" s="2">
        <f t="shared" si="1"/>
        <v>490</v>
      </c>
      <c r="J54" s="2" t="s">
        <v>25</v>
      </c>
      <c r="K54" s="2" t="s">
        <v>20</v>
      </c>
      <c r="L54" s="51" t="s">
        <v>282</v>
      </c>
      <c r="Q54" s="2">
        <v>1</v>
      </c>
    </row>
    <row r="55" spans="1:17" s="2" customFormat="1" x14ac:dyDescent="0.25">
      <c r="B55" s="2" t="s">
        <v>16</v>
      </c>
      <c r="C55" s="2" t="s">
        <v>432</v>
      </c>
      <c r="D55" s="2" t="s">
        <v>433</v>
      </c>
      <c r="E55" s="2" t="s">
        <v>434</v>
      </c>
      <c r="F55" s="50">
        <v>6</v>
      </c>
      <c r="G55" s="2">
        <v>605</v>
      </c>
      <c r="H55" s="2">
        <v>25</v>
      </c>
      <c r="I55" s="2">
        <f t="shared" si="1"/>
        <v>580</v>
      </c>
      <c r="J55" s="2" t="s">
        <v>281</v>
      </c>
      <c r="K55" s="2" t="s">
        <v>20</v>
      </c>
      <c r="L55" s="51" t="s">
        <v>282</v>
      </c>
      <c r="Q55" s="2">
        <v>1</v>
      </c>
    </row>
    <row r="56" spans="1:17" s="2" customFormat="1" x14ac:dyDescent="0.25">
      <c r="A56" s="1"/>
      <c r="B56" s="1" t="s">
        <v>16</v>
      </c>
      <c r="C56" s="1" t="s">
        <v>435</v>
      </c>
      <c r="D56" s="1" t="s">
        <v>436</v>
      </c>
      <c r="E56" s="1" t="s">
        <v>437</v>
      </c>
      <c r="F56" s="54">
        <v>2</v>
      </c>
      <c r="G56" s="1">
        <v>840</v>
      </c>
      <c r="H56" s="1">
        <v>0</v>
      </c>
      <c r="I56" s="1">
        <f t="shared" si="1"/>
        <v>840</v>
      </c>
      <c r="J56" s="1" t="s">
        <v>438</v>
      </c>
      <c r="K56" s="1" t="s">
        <v>20</v>
      </c>
      <c r="L56" s="55" t="s">
        <v>282</v>
      </c>
      <c r="M56" s="1" t="s">
        <v>439</v>
      </c>
      <c r="N56" s="1" t="s">
        <v>288</v>
      </c>
      <c r="O56" s="1"/>
      <c r="P56" s="1" t="s">
        <v>440</v>
      </c>
      <c r="Q56" s="2">
        <v>1</v>
      </c>
    </row>
    <row r="57" spans="1:17" s="2" customFormat="1" x14ac:dyDescent="0.25">
      <c r="B57" s="2" t="s">
        <v>16</v>
      </c>
      <c r="C57" s="2" t="s">
        <v>441</v>
      </c>
      <c r="D57" s="2" t="s">
        <v>442</v>
      </c>
      <c r="E57" s="2" t="s">
        <v>443</v>
      </c>
      <c r="F57" s="50">
        <v>5</v>
      </c>
      <c r="G57" s="2">
        <v>0</v>
      </c>
      <c r="H57" s="2">
        <v>25</v>
      </c>
      <c r="I57" s="2">
        <f t="shared" si="1"/>
        <v>-25</v>
      </c>
      <c r="J57" s="2" t="s">
        <v>25</v>
      </c>
      <c r="K57" s="2" t="s">
        <v>20</v>
      </c>
      <c r="L57" s="51" t="s">
        <v>282</v>
      </c>
      <c r="Q57" s="2">
        <v>1</v>
      </c>
    </row>
    <row r="58" spans="1:17" s="2" customFormat="1" x14ac:dyDescent="0.25">
      <c r="B58" s="2" t="s">
        <v>16</v>
      </c>
      <c r="C58" s="2" t="s">
        <v>444</v>
      </c>
      <c r="D58" s="2" t="s">
        <v>445</v>
      </c>
      <c r="E58" s="2" t="s">
        <v>446</v>
      </c>
      <c r="F58" s="50">
        <v>6</v>
      </c>
      <c r="G58" s="2">
        <v>815</v>
      </c>
      <c r="H58" s="2">
        <v>25</v>
      </c>
      <c r="I58" s="2">
        <f t="shared" si="1"/>
        <v>790</v>
      </c>
      <c r="J58" s="2" t="s">
        <v>281</v>
      </c>
      <c r="K58" s="2" t="s">
        <v>20</v>
      </c>
      <c r="L58" s="51" t="s">
        <v>282</v>
      </c>
      <c r="Q58" s="2">
        <v>1</v>
      </c>
    </row>
    <row r="59" spans="1:17" s="2" customFormat="1" x14ac:dyDescent="0.25">
      <c r="B59" s="2" t="s">
        <v>16</v>
      </c>
      <c r="C59" s="2" t="s">
        <v>447</v>
      </c>
      <c r="D59" s="2" t="s">
        <v>448</v>
      </c>
      <c r="E59" s="2" t="s">
        <v>449</v>
      </c>
      <c r="F59" s="50">
        <v>12</v>
      </c>
      <c r="G59" s="2">
        <v>0</v>
      </c>
      <c r="H59" s="2">
        <v>30</v>
      </c>
      <c r="I59" s="2">
        <f t="shared" si="1"/>
        <v>-30</v>
      </c>
      <c r="J59" s="2" t="s">
        <v>281</v>
      </c>
      <c r="K59" s="2" t="s">
        <v>20</v>
      </c>
      <c r="L59" s="51" t="s">
        <v>282</v>
      </c>
      <c r="Q59" s="2">
        <v>1</v>
      </c>
    </row>
    <row r="60" spans="1:17" s="2" customFormat="1" x14ac:dyDescent="0.25">
      <c r="A60" s="2" t="s">
        <v>253</v>
      </c>
      <c r="B60" s="2" t="s">
        <v>16</v>
      </c>
      <c r="C60" s="2" t="s">
        <v>450</v>
      </c>
      <c r="E60" s="2" t="s">
        <v>451</v>
      </c>
      <c r="F60" s="50">
        <v>6</v>
      </c>
      <c r="G60" s="2">
        <v>35</v>
      </c>
      <c r="H60" s="2">
        <v>35</v>
      </c>
      <c r="I60" s="2">
        <f t="shared" si="1"/>
        <v>0</v>
      </c>
      <c r="J60" s="2" t="s">
        <v>25</v>
      </c>
      <c r="K60" s="2" t="s">
        <v>20</v>
      </c>
      <c r="L60" s="51" t="s">
        <v>282</v>
      </c>
      <c r="M60" s="2" t="s">
        <v>452</v>
      </c>
      <c r="Q60" s="2">
        <v>1</v>
      </c>
    </row>
    <row r="61" spans="1:17" s="2" customFormat="1" x14ac:dyDescent="0.25">
      <c r="A61" s="2" t="s">
        <v>253</v>
      </c>
      <c r="B61" s="2" t="s">
        <v>16</v>
      </c>
      <c r="C61" s="2" t="s">
        <v>453</v>
      </c>
      <c r="E61" s="2" t="s">
        <v>454</v>
      </c>
      <c r="F61" s="50">
        <v>12</v>
      </c>
      <c r="G61" s="2">
        <v>25</v>
      </c>
      <c r="H61" s="2">
        <v>25</v>
      </c>
      <c r="I61" s="2">
        <f t="shared" si="1"/>
        <v>0</v>
      </c>
      <c r="J61" s="2" t="s">
        <v>281</v>
      </c>
      <c r="K61" s="2" t="s">
        <v>20</v>
      </c>
      <c r="L61" s="51" t="s">
        <v>282</v>
      </c>
      <c r="M61" s="2" t="s">
        <v>455</v>
      </c>
      <c r="Q61" s="2">
        <v>1</v>
      </c>
    </row>
    <row r="62" spans="1:17" s="2" customFormat="1" x14ac:dyDescent="0.25">
      <c r="A62" s="2" t="s">
        <v>253</v>
      </c>
      <c r="B62" s="2" t="s">
        <v>16</v>
      </c>
      <c r="C62" s="2" t="s">
        <v>256</v>
      </c>
      <c r="E62" s="2" t="s">
        <v>257</v>
      </c>
      <c r="F62" s="50" t="s">
        <v>116</v>
      </c>
      <c r="G62" s="2">
        <v>0</v>
      </c>
      <c r="H62" s="2">
        <v>30</v>
      </c>
      <c r="I62" s="2">
        <f t="shared" si="1"/>
        <v>-30</v>
      </c>
      <c r="J62" s="2" t="s">
        <v>20</v>
      </c>
      <c r="K62" s="2" t="s">
        <v>20</v>
      </c>
      <c r="L62" s="51" t="s">
        <v>282</v>
      </c>
      <c r="M62" s="2" t="s">
        <v>456</v>
      </c>
      <c r="Q62" s="2">
        <v>1</v>
      </c>
    </row>
    <row r="63" spans="1:17" s="2" customFormat="1" x14ac:dyDescent="0.25">
      <c r="A63" s="2" t="s">
        <v>253</v>
      </c>
      <c r="B63" s="2" t="s">
        <v>16</v>
      </c>
      <c r="C63" s="2" t="s">
        <v>258</v>
      </c>
      <c r="E63" s="2" t="s">
        <v>259</v>
      </c>
      <c r="F63" s="50" t="s">
        <v>95</v>
      </c>
      <c r="G63" s="2">
        <v>0</v>
      </c>
      <c r="H63" s="2">
        <v>35</v>
      </c>
      <c r="I63" s="2">
        <f t="shared" si="1"/>
        <v>-35</v>
      </c>
      <c r="J63" s="2" t="s">
        <v>25</v>
      </c>
      <c r="K63" s="2" t="s">
        <v>20</v>
      </c>
      <c r="L63" s="51" t="s">
        <v>282</v>
      </c>
      <c r="M63" s="2" t="s">
        <v>456</v>
      </c>
      <c r="Q63" s="2">
        <v>1</v>
      </c>
    </row>
    <row r="64" spans="1:17" s="2" customFormat="1" x14ac:dyDescent="0.25">
      <c r="A64" s="2" t="s">
        <v>253</v>
      </c>
      <c r="B64" s="2" t="s">
        <v>16</v>
      </c>
      <c r="C64" s="2" t="s">
        <v>457</v>
      </c>
      <c r="E64" s="2" t="s">
        <v>458</v>
      </c>
      <c r="F64" s="50" t="s">
        <v>33</v>
      </c>
      <c r="G64" s="2">
        <v>30</v>
      </c>
      <c r="H64" s="2">
        <v>30</v>
      </c>
      <c r="I64" s="2">
        <f t="shared" si="1"/>
        <v>0</v>
      </c>
      <c r="J64" s="2" t="s">
        <v>20</v>
      </c>
      <c r="K64" s="2" t="s">
        <v>20</v>
      </c>
      <c r="L64" s="51" t="s">
        <v>282</v>
      </c>
      <c r="M64" s="2" t="s">
        <v>456</v>
      </c>
      <c r="Q64" s="2">
        <v>1</v>
      </c>
    </row>
    <row r="65" spans="1:17" s="2" customFormat="1" x14ac:dyDescent="0.25">
      <c r="A65" s="2" t="s">
        <v>253</v>
      </c>
      <c r="B65" s="2" t="s">
        <v>16</v>
      </c>
      <c r="C65" s="2" t="s">
        <v>254</v>
      </c>
      <c r="E65" s="2" t="s">
        <v>459</v>
      </c>
      <c r="F65" s="50">
        <v>6</v>
      </c>
      <c r="G65" s="2">
        <v>30</v>
      </c>
      <c r="H65" s="2">
        <v>30</v>
      </c>
      <c r="I65" s="2">
        <f t="shared" si="1"/>
        <v>0</v>
      </c>
      <c r="J65" s="2" t="s">
        <v>281</v>
      </c>
      <c r="K65" s="2" t="s">
        <v>20</v>
      </c>
      <c r="L65" s="51" t="s">
        <v>282</v>
      </c>
      <c r="M65" s="2" t="s">
        <v>455</v>
      </c>
      <c r="Q65" s="2">
        <v>1</v>
      </c>
    </row>
    <row r="66" spans="1:17" s="2" customFormat="1" x14ac:dyDescent="0.25">
      <c r="A66" s="2" t="s">
        <v>253</v>
      </c>
      <c r="B66" s="2" t="s">
        <v>16</v>
      </c>
      <c r="C66" s="2" t="s">
        <v>460</v>
      </c>
      <c r="E66" s="2" t="s">
        <v>461</v>
      </c>
      <c r="F66" s="50" t="s">
        <v>116</v>
      </c>
      <c r="G66" s="2">
        <v>35</v>
      </c>
      <c r="H66" s="2">
        <v>35</v>
      </c>
      <c r="I66" s="2">
        <f t="shared" si="1"/>
        <v>0</v>
      </c>
      <c r="J66" s="2" t="s">
        <v>20</v>
      </c>
      <c r="K66" s="2" t="s">
        <v>20</v>
      </c>
      <c r="L66" s="51" t="s">
        <v>282</v>
      </c>
      <c r="M66" s="2" t="s">
        <v>456</v>
      </c>
      <c r="Q66" s="2">
        <v>1</v>
      </c>
    </row>
    <row r="69" spans="1:17" x14ac:dyDescent="0.25">
      <c r="G69">
        <f>SUBTOTAL(9,G3:G66)</f>
        <v>35905</v>
      </c>
      <c r="H69">
        <f>SUBTOTAL(9,H3:H68)</f>
        <v>1615</v>
      </c>
      <c r="I69">
        <f>SUBTOTAL(9,I3:I68)</f>
        <v>34290</v>
      </c>
      <c r="J69">
        <f>SUBTOTAL(9,J3:J68)</f>
        <v>0</v>
      </c>
      <c r="K69">
        <f>SUBTOTAL(9,K3:K68)</f>
        <v>0</v>
      </c>
      <c r="L69" t="str">
        <f ca="1">SUBTOTAL(9,L3:L69)</f>
        <v/>
      </c>
      <c r="M69" t="str">
        <f ca="1">SUBTOTAL(9,M3:M69)</f>
        <v/>
      </c>
      <c r="N69">
        <f>SUBTOTAL(9,N3:N68)</f>
        <v>0</v>
      </c>
      <c r="O69">
        <f>SUBTOTAL(9,O3:O68)</f>
        <v>0</v>
      </c>
      <c r="P69">
        <f>SUBTOTAL(9,P3:P68)</f>
        <v>0</v>
      </c>
      <c r="Q69">
        <f>SUBTOTAL(9,Q3:Q67)</f>
        <v>64</v>
      </c>
    </row>
    <row r="70" spans="1:17" x14ac:dyDescent="0.25">
      <c r="H70">
        <f>-11*17</f>
        <v>-187</v>
      </c>
      <c r="I70">
        <v>13</v>
      </c>
    </row>
    <row r="71" spans="1:17" ht="15" customHeight="1" x14ac:dyDescent="0.25">
      <c r="A71" s="20" t="s">
        <v>16</v>
      </c>
      <c r="B71" s="20"/>
      <c r="C71" s="85" t="s">
        <v>262</v>
      </c>
      <c r="D71" s="86"/>
      <c r="E71" s="56" t="s">
        <v>263</v>
      </c>
      <c r="F71" s="21"/>
      <c r="G71" s="21"/>
      <c r="H71" s="22">
        <f>-7*25</f>
        <v>-175</v>
      </c>
      <c r="I71" s="21">
        <v>6</v>
      </c>
      <c r="J71" s="21"/>
      <c r="K71" s="20" t="s">
        <v>239</v>
      </c>
      <c r="L71" s="57" t="s">
        <v>264</v>
      </c>
      <c r="M71" s="57" t="s">
        <v>263</v>
      </c>
      <c r="N71" s="21"/>
      <c r="O71" s="21" t="s">
        <v>462</v>
      </c>
      <c r="P71" s="23" t="s">
        <v>463</v>
      </c>
      <c r="Q71" s="21"/>
    </row>
    <row r="72" spans="1:17" ht="15" customHeight="1" x14ac:dyDescent="0.25">
      <c r="A72" s="9" t="s">
        <v>282</v>
      </c>
      <c r="B72" s="20" t="s">
        <v>265</v>
      </c>
      <c r="C72" s="87">
        <f>SUMIFS(G$3:G$93,$B$3:$B$93,$A71,$L$3:$L$93,$A72)</f>
        <v>35055</v>
      </c>
      <c r="D72" s="88"/>
      <c r="E72" s="24">
        <f>SUMIFS(Q$3:Q$93,$B$3:$B$93,$A71,$L$3:$L$93,$A72)</f>
        <v>63</v>
      </c>
      <c r="F72" s="25" t="s">
        <v>464</v>
      </c>
      <c r="G72" s="21"/>
      <c r="H72" s="22"/>
      <c r="I72" s="21"/>
      <c r="J72" s="21"/>
      <c r="K72" s="26" t="s">
        <v>266</v>
      </c>
      <c r="L72" s="27">
        <f>SUMIFS(G$3:G$93,$J$3:$J$93,$K71)</f>
        <v>2270</v>
      </c>
      <c r="M72" s="27">
        <f>SUMIFS(Q3:Q77,J3:J77,K71)</f>
        <v>4</v>
      </c>
      <c r="N72" s="21"/>
      <c r="O72" s="28" t="s">
        <v>465</v>
      </c>
      <c r="P72" s="28">
        <v>11243</v>
      </c>
      <c r="Q72" s="21"/>
    </row>
    <row r="73" spans="1:17" ht="15" customHeight="1" x14ac:dyDescent="0.25">
      <c r="A73" s="21"/>
      <c r="B73" s="29" t="s">
        <v>466</v>
      </c>
      <c r="C73" s="89">
        <f>-SUMIFS(H$3:H$93,$B$3:$B$93,$A71,$L$3:$L$93,$A72)</f>
        <v>-1585</v>
      </c>
      <c r="D73" s="90"/>
      <c r="E73" s="30">
        <f>SUMIFS(Q$3:Q$93,$B$3:$B$93,$A71,$L$3:$L$93,$A72)</f>
        <v>63</v>
      </c>
      <c r="F73" s="21"/>
      <c r="G73" s="21"/>
      <c r="H73" s="21"/>
      <c r="I73" s="21"/>
      <c r="J73" s="21"/>
      <c r="K73" s="26" t="s">
        <v>268</v>
      </c>
      <c r="L73" s="27">
        <v>-100</v>
      </c>
      <c r="M73" s="31"/>
      <c r="N73" s="21"/>
      <c r="O73" s="28" t="s">
        <v>467</v>
      </c>
      <c r="P73" s="28">
        <v>1345</v>
      </c>
      <c r="Q73" s="21"/>
    </row>
    <row r="74" spans="1:17" ht="15" customHeight="1" x14ac:dyDescent="0.25">
      <c r="A74" s="21"/>
      <c r="B74" s="26" t="s">
        <v>269</v>
      </c>
      <c r="C74" s="91">
        <f>-SUMIFS(I$3:I$70,$B$3:$B$70,$A71,$P$3:$P$70,"xx",$N$3:$N$70,"x")</f>
        <v>-840</v>
      </c>
      <c r="D74" s="92"/>
      <c r="E74" s="32">
        <f>SUMIFS($Q$3:$Q$101,$B$3:$B$101,$A71,$P$3:$P$101,"xx",$N$3:$N$101,"x")</f>
        <v>1</v>
      </c>
      <c r="F74" s="21"/>
      <c r="G74" s="21"/>
      <c r="H74" s="21"/>
      <c r="I74" s="21"/>
      <c r="J74" s="21"/>
      <c r="K74" s="33" t="s">
        <v>468</v>
      </c>
      <c r="L74" s="34"/>
      <c r="M74" s="31"/>
      <c r="N74" s="21"/>
      <c r="O74" s="28" t="s">
        <v>469</v>
      </c>
      <c r="P74" s="28">
        <v>14282</v>
      </c>
      <c r="Q74" s="21"/>
    </row>
    <row r="75" spans="1:17" ht="15" customHeight="1" x14ac:dyDescent="0.25">
      <c r="A75" s="21"/>
      <c r="B75" s="58" t="s">
        <v>270</v>
      </c>
      <c r="C75" s="93">
        <f>SUBTOTAL(9,C71:C74)</f>
        <v>32630</v>
      </c>
      <c r="D75" s="94"/>
      <c r="E75" s="59">
        <f>E72</f>
        <v>63</v>
      </c>
      <c r="F75" s="21"/>
      <c r="G75" s="21"/>
      <c r="H75" s="21"/>
      <c r="I75" s="21"/>
      <c r="J75" s="21"/>
      <c r="K75" s="35" t="s">
        <v>72</v>
      </c>
      <c r="L75" s="36">
        <v>-825</v>
      </c>
      <c r="M75" s="36"/>
      <c r="N75" s="21"/>
      <c r="O75" s="28" t="s">
        <v>470</v>
      </c>
      <c r="P75" s="28">
        <v>6005</v>
      </c>
      <c r="Q75" s="21"/>
    </row>
    <row r="76" spans="1:17" ht="15" customHeight="1" x14ac:dyDescent="0.25">
      <c r="A76" s="21"/>
      <c r="B76" s="60" t="s">
        <v>471</v>
      </c>
      <c r="C76" s="79"/>
      <c r="D76" s="80"/>
      <c r="E76" s="31"/>
      <c r="F76" s="21"/>
      <c r="I76" s="21"/>
      <c r="J76" s="21"/>
      <c r="K76" s="61" t="s">
        <v>272</v>
      </c>
      <c r="L76" s="62"/>
      <c r="M76" s="62"/>
      <c r="N76" s="21"/>
      <c r="O76" s="28" t="s">
        <v>472</v>
      </c>
      <c r="P76" s="28">
        <f>-C78</f>
        <v>-32630</v>
      </c>
      <c r="Q76" s="21"/>
    </row>
    <row r="77" spans="1:17" ht="15" customHeight="1" x14ac:dyDescent="0.25">
      <c r="A77" s="21"/>
      <c r="B77" s="63" t="s">
        <v>273</v>
      </c>
      <c r="C77" s="81"/>
      <c r="D77" s="82"/>
      <c r="E77" s="64"/>
      <c r="F77" s="21"/>
      <c r="I77" s="21"/>
      <c r="J77" s="21"/>
      <c r="K77" s="65"/>
      <c r="L77" s="66">
        <f>SUBTOTAL(9,L72:L76)</f>
        <v>1345</v>
      </c>
      <c r="M77" s="66">
        <f>SUBTOTAL(9,M72:M76)</f>
        <v>4</v>
      </c>
      <c r="O77" s="67" t="s">
        <v>473</v>
      </c>
      <c r="P77" s="68">
        <f>SUBTOTAL(9,P72:P76)</f>
        <v>245</v>
      </c>
      <c r="Q77" s="21"/>
    </row>
    <row r="78" spans="1:17" ht="15" customHeight="1" x14ac:dyDescent="0.25">
      <c r="A78" s="21"/>
      <c r="B78" s="26" t="s">
        <v>274</v>
      </c>
      <c r="C78" s="83">
        <f>C75+C76+C77</f>
        <v>32630</v>
      </c>
      <c r="D78" s="84"/>
      <c r="E78" s="37" t="s">
        <v>474</v>
      </c>
      <c r="F78" s="21"/>
      <c r="G78" s="21"/>
      <c r="J78" s="21"/>
      <c r="K78" s="21"/>
      <c r="L78" s="69"/>
      <c r="M78" s="69"/>
      <c r="N78" s="69"/>
      <c r="O78" s="21"/>
      <c r="P78" s="21"/>
      <c r="Q78" s="21"/>
    </row>
    <row r="79" spans="1:17" x14ac:dyDescent="0.25">
      <c r="K79" s="20" t="s">
        <v>25</v>
      </c>
      <c r="L79" s="57" t="s">
        <v>264</v>
      </c>
      <c r="M79" s="57" t="s">
        <v>263</v>
      </c>
    </row>
    <row r="80" spans="1:17" ht="15" customHeight="1" x14ac:dyDescent="0.25">
      <c r="K80" s="26" t="s">
        <v>266</v>
      </c>
      <c r="L80" s="27">
        <f>SUMIFS(G$3:G$93,$J$3:$J$93,$K79)</f>
        <v>6285</v>
      </c>
      <c r="M80" s="27">
        <f>SUMIFS(Q3:Q77,J3:J77,K79)</f>
        <v>15</v>
      </c>
    </row>
    <row r="81" spans="11:13" ht="15" customHeight="1" x14ac:dyDescent="0.25">
      <c r="K81" s="26" t="s">
        <v>268</v>
      </c>
      <c r="L81" s="27"/>
      <c r="M81" s="31"/>
    </row>
    <row r="82" spans="11:13" ht="15" customHeight="1" x14ac:dyDescent="0.25">
      <c r="K82" s="33" t="s">
        <v>468</v>
      </c>
      <c r="L82" s="34"/>
      <c r="M82" s="31"/>
    </row>
    <row r="83" spans="11:13" ht="15" customHeight="1" x14ac:dyDescent="0.25">
      <c r="K83" s="35" t="s">
        <v>72</v>
      </c>
      <c r="L83" s="36"/>
      <c r="M83" s="36"/>
    </row>
    <row r="84" spans="11:13" ht="15" customHeight="1" x14ac:dyDescent="0.25">
      <c r="K84" s="61" t="s">
        <v>272</v>
      </c>
      <c r="L84" s="62"/>
      <c r="M84" s="62"/>
    </row>
    <row r="85" spans="11:13" ht="15" customHeight="1" x14ac:dyDescent="0.25">
      <c r="K85" s="65"/>
      <c r="L85" s="66">
        <f>SUBTOTAL(9,L80:L84)</f>
        <v>6285</v>
      </c>
      <c r="M85" s="66">
        <f>SUBTOTAL(9,M80:M84)</f>
        <v>15</v>
      </c>
    </row>
    <row r="87" spans="11:13" x14ac:dyDescent="0.25">
      <c r="K87" s="20" t="s">
        <v>20</v>
      </c>
      <c r="L87" s="57" t="s">
        <v>264</v>
      </c>
      <c r="M87" s="57" t="s">
        <v>263</v>
      </c>
    </row>
    <row r="88" spans="11:13" ht="15" customHeight="1" x14ac:dyDescent="0.25">
      <c r="K88" s="26" t="s">
        <v>266</v>
      </c>
      <c r="L88" s="27">
        <f>SUMIFS(G$3:G$93,$J$3:$J$93,$K87)</f>
        <v>14270</v>
      </c>
      <c r="M88" s="27">
        <f>SUMIFS(Q3:Q77,J3:J77,K87)</f>
        <v>23</v>
      </c>
    </row>
    <row r="89" spans="11:13" ht="15" customHeight="1" x14ac:dyDescent="0.25">
      <c r="K89" s="26" t="s">
        <v>268</v>
      </c>
      <c r="L89" s="27"/>
      <c r="M89" s="31"/>
    </row>
    <row r="90" spans="11:13" ht="15" customHeight="1" x14ac:dyDescent="0.25">
      <c r="K90" s="33" t="s">
        <v>468</v>
      </c>
      <c r="L90" s="34"/>
      <c r="M90" s="31"/>
    </row>
    <row r="91" spans="11:13" ht="15" customHeight="1" x14ac:dyDescent="0.25">
      <c r="K91" s="35" t="s">
        <v>72</v>
      </c>
      <c r="L91" s="36"/>
      <c r="M91" s="36"/>
    </row>
    <row r="92" spans="11:13" ht="15" customHeight="1" x14ac:dyDescent="0.25">
      <c r="K92" s="61" t="s">
        <v>272</v>
      </c>
      <c r="L92" s="62"/>
      <c r="M92" s="62"/>
    </row>
    <row r="93" spans="11:13" ht="15" customHeight="1" x14ac:dyDescent="0.25">
      <c r="K93" s="65"/>
      <c r="L93" s="66">
        <f>SUBTOTAL(9,L88:L92)</f>
        <v>14270</v>
      </c>
      <c r="M93" s="66">
        <f>SUBTOTAL(9,M88:M92)</f>
        <v>23</v>
      </c>
    </row>
    <row r="95" spans="11:13" x14ac:dyDescent="0.25">
      <c r="K95" s="20" t="s">
        <v>281</v>
      </c>
      <c r="L95" s="57" t="s">
        <v>264</v>
      </c>
      <c r="M95" s="57" t="s">
        <v>263</v>
      </c>
    </row>
    <row r="96" spans="11:13" ht="15" customHeight="1" x14ac:dyDescent="0.25">
      <c r="K96" s="26" t="s">
        <v>266</v>
      </c>
      <c r="L96" s="27">
        <f>SUMIFS(G$3:G$93,$J$3:$J$93,$K95)</f>
        <v>12240</v>
      </c>
      <c r="M96" s="27">
        <f>SUMIFS(Q3:Q77,J3:J77,K95)</f>
        <v>21</v>
      </c>
    </row>
    <row r="97" spans="11:13" ht="15" customHeight="1" x14ac:dyDescent="0.25">
      <c r="K97" s="26" t="s">
        <v>268</v>
      </c>
      <c r="L97" s="27"/>
      <c r="M97" s="31"/>
    </row>
    <row r="98" spans="11:13" ht="15" customHeight="1" x14ac:dyDescent="0.25">
      <c r="K98" s="33" t="s">
        <v>468</v>
      </c>
      <c r="L98" s="34"/>
      <c r="M98" s="31"/>
    </row>
    <row r="99" spans="11:13" ht="15" customHeight="1" x14ac:dyDescent="0.25">
      <c r="K99" s="35" t="s">
        <v>72</v>
      </c>
      <c r="L99" s="36"/>
      <c r="M99" s="36"/>
    </row>
    <row r="100" spans="11:13" ht="15" customHeight="1" x14ac:dyDescent="0.25">
      <c r="K100" s="61" t="s">
        <v>272</v>
      </c>
      <c r="L100" s="62"/>
      <c r="M100" s="62"/>
    </row>
    <row r="101" spans="11:13" ht="15" customHeight="1" x14ac:dyDescent="0.25">
      <c r="K101" s="65"/>
      <c r="L101" s="66">
        <f>SUBTOTAL(9,L96:L100)</f>
        <v>12240</v>
      </c>
      <c r="M101" s="66">
        <f>SUBTOTAL(9,M96:M100)</f>
        <v>21</v>
      </c>
    </row>
  </sheetData>
  <autoFilter ref="A2:P65" xr:uid="{00000000-0009-0000-0000-000001000000}"/>
  <mergeCells count="8">
    <mergeCell ref="C76:D76"/>
    <mergeCell ref="C77:D77"/>
    <mergeCell ref="C78:D78"/>
    <mergeCell ref="C71:D71"/>
    <mergeCell ref="C72:D72"/>
    <mergeCell ref="C73:D73"/>
    <mergeCell ref="C74:D74"/>
    <mergeCell ref="C75:D75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82"/>
  <sheetViews>
    <sheetView zoomScale="80" zoomScaleNormal="80" workbookViewId="0">
      <selection activeCell="K71" sqref="K71"/>
    </sheetView>
  </sheetViews>
  <sheetFormatPr defaultRowHeight="15" x14ac:dyDescent="0.25"/>
  <cols>
    <col min="1" max="1" width="12.42578125" customWidth="1"/>
    <col min="2" max="2" width="19.140625" customWidth="1"/>
    <col min="3" max="3" width="39.140625" customWidth="1"/>
    <col min="4" max="4" width="10.28515625" customWidth="1"/>
    <col min="5" max="5" width="60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29.7109375" customWidth="1"/>
    <col min="14" max="14" width="10.42578125" customWidth="1"/>
    <col min="15" max="15" width="11.28515625" customWidth="1"/>
    <col min="16" max="16" width="7.42578125" bestFit="1" customWidth="1"/>
    <col min="17" max="19" width="8.42578125" customWidth="1"/>
  </cols>
  <sheetData>
    <row r="2" spans="1:19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475</v>
      </c>
      <c r="R2" s="38" t="s">
        <v>476</v>
      </c>
      <c r="S2" s="38" t="s">
        <v>477</v>
      </c>
    </row>
    <row r="3" spans="1:19" x14ac:dyDescent="0.25">
      <c r="B3" t="s">
        <v>16</v>
      </c>
      <c r="C3" t="s">
        <v>478</v>
      </c>
      <c r="D3" t="s">
        <v>479</v>
      </c>
      <c r="E3" t="s">
        <v>480</v>
      </c>
      <c r="F3" s="10">
        <v>4</v>
      </c>
      <c r="G3" s="10">
        <v>895</v>
      </c>
      <c r="H3" s="10">
        <v>25</v>
      </c>
      <c r="I3" s="10">
        <f>G3-H3</f>
        <v>870</v>
      </c>
      <c r="J3" t="s">
        <v>25</v>
      </c>
      <c r="K3" t="s">
        <v>20</v>
      </c>
      <c r="L3" t="s">
        <v>481</v>
      </c>
      <c r="Q3" s="10">
        <v>1</v>
      </c>
    </row>
    <row r="4" spans="1:19" x14ac:dyDescent="0.25">
      <c r="B4" t="s">
        <v>16</v>
      </c>
      <c r="C4" t="s">
        <v>482</v>
      </c>
      <c r="D4" t="s">
        <v>483</v>
      </c>
      <c r="E4" t="s">
        <v>484</v>
      </c>
      <c r="F4" s="10">
        <v>8</v>
      </c>
      <c r="G4" s="10">
        <v>745</v>
      </c>
      <c r="H4" s="10">
        <v>25</v>
      </c>
      <c r="I4" s="10">
        <f>G4-H4</f>
        <v>720</v>
      </c>
      <c r="J4" t="s">
        <v>485</v>
      </c>
      <c r="K4" t="s">
        <v>20</v>
      </c>
      <c r="L4" t="s">
        <v>481</v>
      </c>
      <c r="Q4" s="10">
        <v>1</v>
      </c>
    </row>
    <row r="5" spans="1:19" x14ac:dyDescent="0.25">
      <c r="B5" t="s">
        <v>16</v>
      </c>
      <c r="C5" t="s">
        <v>486</v>
      </c>
      <c r="D5" t="s">
        <v>487</v>
      </c>
      <c r="E5" t="s">
        <v>488</v>
      </c>
      <c r="F5" s="10">
        <v>2</v>
      </c>
      <c r="G5" s="10">
        <v>0</v>
      </c>
      <c r="H5" s="10">
        <v>30</v>
      </c>
      <c r="I5" s="10">
        <f>-H5</f>
        <v>-30</v>
      </c>
      <c r="J5" t="s">
        <v>20</v>
      </c>
      <c r="K5" t="s">
        <v>20</v>
      </c>
      <c r="L5" t="s">
        <v>481</v>
      </c>
      <c r="Q5" s="10">
        <v>1</v>
      </c>
    </row>
    <row r="6" spans="1:19" x14ac:dyDescent="0.25">
      <c r="B6" t="s">
        <v>16</v>
      </c>
      <c r="C6" t="s">
        <v>306</v>
      </c>
      <c r="D6" t="s">
        <v>489</v>
      </c>
      <c r="E6" t="s">
        <v>490</v>
      </c>
      <c r="F6" s="10">
        <v>7</v>
      </c>
      <c r="G6" s="10">
        <v>850</v>
      </c>
      <c r="H6" s="10">
        <v>30</v>
      </c>
      <c r="I6" s="10">
        <f>G6-H6</f>
        <v>820</v>
      </c>
      <c r="J6" t="s">
        <v>485</v>
      </c>
      <c r="K6" t="s">
        <v>20</v>
      </c>
      <c r="L6" t="s">
        <v>481</v>
      </c>
      <c r="Q6" s="10">
        <v>1</v>
      </c>
    </row>
    <row r="7" spans="1:19" x14ac:dyDescent="0.25">
      <c r="B7" t="s">
        <v>16</v>
      </c>
      <c r="C7" t="s">
        <v>491</v>
      </c>
      <c r="D7" t="s">
        <v>492</v>
      </c>
      <c r="E7" t="s">
        <v>493</v>
      </c>
      <c r="F7" s="10">
        <v>1</v>
      </c>
      <c r="G7" s="10">
        <v>815</v>
      </c>
      <c r="H7" s="10">
        <v>25</v>
      </c>
      <c r="I7" s="10">
        <f>G7-H7</f>
        <v>790</v>
      </c>
      <c r="J7" t="s">
        <v>25</v>
      </c>
      <c r="K7" t="s">
        <v>20</v>
      </c>
      <c r="L7" t="s">
        <v>481</v>
      </c>
      <c r="Q7" s="10">
        <v>1</v>
      </c>
    </row>
    <row r="8" spans="1:19" x14ac:dyDescent="0.25">
      <c r="B8" t="s">
        <v>16</v>
      </c>
      <c r="C8" t="s">
        <v>494</v>
      </c>
      <c r="D8" t="s">
        <v>495</v>
      </c>
      <c r="E8" t="s">
        <v>496</v>
      </c>
      <c r="F8" s="10">
        <v>5</v>
      </c>
      <c r="G8" s="10">
        <v>385</v>
      </c>
      <c r="H8" s="10">
        <v>25</v>
      </c>
      <c r="I8" s="10">
        <f>G8-H8</f>
        <v>360</v>
      </c>
      <c r="J8" t="s">
        <v>25</v>
      </c>
      <c r="K8" t="s">
        <v>20</v>
      </c>
      <c r="L8" t="s">
        <v>481</v>
      </c>
      <c r="Q8" s="10">
        <v>1</v>
      </c>
    </row>
    <row r="9" spans="1:19" x14ac:dyDescent="0.25">
      <c r="B9" t="s">
        <v>16</v>
      </c>
      <c r="C9" t="s">
        <v>497</v>
      </c>
      <c r="D9" t="s">
        <v>498</v>
      </c>
      <c r="E9" t="s">
        <v>499</v>
      </c>
      <c r="F9" s="10">
        <v>9</v>
      </c>
      <c r="G9" s="10">
        <v>390</v>
      </c>
      <c r="H9" s="10">
        <v>30</v>
      </c>
      <c r="I9" s="10">
        <f>G9-H9</f>
        <v>360</v>
      </c>
      <c r="J9" t="s">
        <v>239</v>
      </c>
      <c r="K9" t="s">
        <v>20</v>
      </c>
      <c r="L9" t="s">
        <v>481</v>
      </c>
      <c r="Q9" s="10">
        <v>1</v>
      </c>
    </row>
    <row r="10" spans="1:19" x14ac:dyDescent="0.25">
      <c r="B10" t="s">
        <v>16</v>
      </c>
      <c r="C10" t="s">
        <v>500</v>
      </c>
      <c r="D10" t="s">
        <v>501</v>
      </c>
      <c r="E10" t="s">
        <v>502</v>
      </c>
      <c r="F10" s="10">
        <v>2</v>
      </c>
      <c r="G10" s="10">
        <v>850</v>
      </c>
      <c r="H10" s="10">
        <v>30</v>
      </c>
      <c r="I10" s="10">
        <f>G10-H10</f>
        <v>820</v>
      </c>
      <c r="J10" t="s">
        <v>20</v>
      </c>
      <c r="K10" t="s">
        <v>20</v>
      </c>
      <c r="L10" t="s">
        <v>481</v>
      </c>
      <c r="Q10" s="10">
        <v>1</v>
      </c>
    </row>
    <row r="11" spans="1:19" x14ac:dyDescent="0.25">
      <c r="B11" t="s">
        <v>16</v>
      </c>
      <c r="C11" t="s">
        <v>503</v>
      </c>
      <c r="D11" t="s">
        <v>504</v>
      </c>
      <c r="E11" t="s">
        <v>232</v>
      </c>
      <c r="F11" s="10">
        <v>10</v>
      </c>
      <c r="G11" s="10">
        <v>0</v>
      </c>
      <c r="H11" s="10">
        <v>25</v>
      </c>
      <c r="I11" s="10">
        <f>-H11</f>
        <v>-25</v>
      </c>
      <c r="J11" t="s">
        <v>25</v>
      </c>
      <c r="K11" t="s">
        <v>20</v>
      </c>
      <c r="L11" t="s">
        <v>481</v>
      </c>
      <c r="Q11" s="10">
        <v>1</v>
      </c>
    </row>
    <row r="12" spans="1:19" x14ac:dyDescent="0.25">
      <c r="B12" t="s">
        <v>16</v>
      </c>
      <c r="C12" t="s">
        <v>505</v>
      </c>
      <c r="D12" t="s">
        <v>506</v>
      </c>
      <c r="E12" t="s">
        <v>507</v>
      </c>
      <c r="F12" t="s">
        <v>47</v>
      </c>
      <c r="G12" s="10">
        <v>0</v>
      </c>
      <c r="H12" s="10">
        <v>30</v>
      </c>
      <c r="I12" s="10">
        <f>-H12</f>
        <v>-30</v>
      </c>
      <c r="J12" t="s">
        <v>485</v>
      </c>
      <c r="K12" t="s">
        <v>20</v>
      </c>
      <c r="L12" t="s">
        <v>481</v>
      </c>
      <c r="Q12" s="10">
        <v>1</v>
      </c>
    </row>
    <row r="13" spans="1:19" x14ac:dyDescent="0.25">
      <c r="B13" t="s">
        <v>16</v>
      </c>
      <c r="C13" t="s">
        <v>508</v>
      </c>
      <c r="D13" t="s">
        <v>509</v>
      </c>
      <c r="E13" t="s">
        <v>510</v>
      </c>
      <c r="F13" t="s">
        <v>116</v>
      </c>
      <c r="G13" s="10">
        <v>1105</v>
      </c>
      <c r="H13" s="10">
        <v>25</v>
      </c>
      <c r="I13" s="10">
        <f>G13-H13</f>
        <v>1080</v>
      </c>
      <c r="J13" t="s">
        <v>20</v>
      </c>
      <c r="K13" t="s">
        <v>20</v>
      </c>
      <c r="L13" t="s">
        <v>481</v>
      </c>
      <c r="Q13" s="10">
        <v>1</v>
      </c>
    </row>
    <row r="14" spans="1:19" x14ac:dyDescent="0.25">
      <c r="B14" t="s">
        <v>16</v>
      </c>
      <c r="C14" t="s">
        <v>511</v>
      </c>
      <c r="D14" t="s">
        <v>512</v>
      </c>
      <c r="E14" t="s">
        <v>513</v>
      </c>
      <c r="F14" t="s">
        <v>61</v>
      </c>
      <c r="G14" s="10">
        <v>835</v>
      </c>
      <c r="H14" s="10">
        <v>25</v>
      </c>
      <c r="I14" s="10">
        <f>G14-H14</f>
        <v>810</v>
      </c>
      <c r="J14" t="s">
        <v>485</v>
      </c>
      <c r="K14" t="s">
        <v>20</v>
      </c>
      <c r="L14" t="s">
        <v>481</v>
      </c>
      <c r="Q14" s="10">
        <v>1</v>
      </c>
    </row>
    <row r="15" spans="1:19" x14ac:dyDescent="0.25">
      <c r="B15" t="s">
        <v>16</v>
      </c>
      <c r="C15" t="s">
        <v>514</v>
      </c>
      <c r="D15" t="s">
        <v>515</v>
      </c>
      <c r="E15" t="s">
        <v>516</v>
      </c>
      <c r="F15" s="10">
        <v>2</v>
      </c>
      <c r="G15" s="10">
        <v>820</v>
      </c>
      <c r="H15" s="10">
        <v>30</v>
      </c>
      <c r="I15" s="10">
        <f>G15-H15</f>
        <v>790</v>
      </c>
      <c r="J15" t="s">
        <v>20</v>
      </c>
      <c r="K15" t="s">
        <v>20</v>
      </c>
      <c r="L15" t="s">
        <v>481</v>
      </c>
      <c r="Q15" s="10">
        <v>1</v>
      </c>
    </row>
    <row r="16" spans="1:19" x14ac:dyDescent="0.25">
      <c r="B16" t="s">
        <v>16</v>
      </c>
      <c r="C16" t="s">
        <v>441</v>
      </c>
      <c r="D16" t="s">
        <v>517</v>
      </c>
      <c r="E16" t="s">
        <v>443</v>
      </c>
      <c r="F16" s="10">
        <v>5</v>
      </c>
      <c r="G16" s="10">
        <v>0</v>
      </c>
      <c r="H16" s="10">
        <v>25</v>
      </c>
      <c r="I16" s="10">
        <f>-H16</f>
        <v>-25</v>
      </c>
      <c r="J16" t="s">
        <v>25</v>
      </c>
      <c r="K16" t="s">
        <v>20</v>
      </c>
      <c r="L16" t="s">
        <v>481</v>
      </c>
      <c r="Q16" s="10">
        <v>1</v>
      </c>
    </row>
    <row r="17" spans="2:17" x14ac:dyDescent="0.25">
      <c r="B17" t="s">
        <v>16</v>
      </c>
      <c r="C17" t="s">
        <v>518</v>
      </c>
      <c r="D17" t="s">
        <v>519</v>
      </c>
      <c r="E17" t="s">
        <v>520</v>
      </c>
      <c r="F17" s="10">
        <v>1</v>
      </c>
      <c r="G17" s="10">
        <v>0</v>
      </c>
      <c r="H17" s="10">
        <v>25</v>
      </c>
      <c r="I17" s="10">
        <f>-H17</f>
        <v>-25</v>
      </c>
      <c r="J17" t="s">
        <v>25</v>
      </c>
      <c r="K17" t="s">
        <v>20</v>
      </c>
      <c r="L17" t="s">
        <v>481</v>
      </c>
      <c r="Q17" s="10">
        <v>1</v>
      </c>
    </row>
    <row r="18" spans="2:17" x14ac:dyDescent="0.25">
      <c r="B18" t="s">
        <v>16</v>
      </c>
      <c r="C18" t="s">
        <v>521</v>
      </c>
      <c r="D18" t="s">
        <v>522</v>
      </c>
      <c r="E18" t="s">
        <v>523</v>
      </c>
      <c r="F18" s="10">
        <v>2</v>
      </c>
      <c r="G18" s="10">
        <v>0</v>
      </c>
      <c r="H18" s="10">
        <v>30</v>
      </c>
      <c r="I18" s="10">
        <f>-H18</f>
        <v>-30</v>
      </c>
      <c r="J18" t="s">
        <v>20</v>
      </c>
      <c r="K18" t="s">
        <v>20</v>
      </c>
      <c r="L18" t="s">
        <v>481</v>
      </c>
      <c r="Q18" s="10">
        <v>1</v>
      </c>
    </row>
    <row r="19" spans="2:17" x14ac:dyDescent="0.25">
      <c r="B19" t="s">
        <v>16</v>
      </c>
      <c r="C19" t="s">
        <v>313</v>
      </c>
      <c r="D19" t="s">
        <v>524</v>
      </c>
      <c r="E19" t="s">
        <v>525</v>
      </c>
      <c r="F19" t="s">
        <v>116</v>
      </c>
      <c r="G19" s="10">
        <v>0</v>
      </c>
      <c r="H19" s="10">
        <v>25</v>
      </c>
      <c r="I19" s="10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 s="10">
        <v>1</v>
      </c>
    </row>
    <row r="20" spans="2:17" x14ac:dyDescent="0.25">
      <c r="B20" t="s">
        <v>16</v>
      </c>
      <c r="C20" t="s">
        <v>526</v>
      </c>
      <c r="D20" t="s">
        <v>527</v>
      </c>
      <c r="E20" t="s">
        <v>528</v>
      </c>
      <c r="F20" t="s">
        <v>47</v>
      </c>
      <c r="G20" s="10">
        <v>0</v>
      </c>
      <c r="H20" s="10">
        <v>30</v>
      </c>
      <c r="I20" s="10">
        <f>-H20</f>
        <v>-30</v>
      </c>
      <c r="J20" t="s">
        <v>485</v>
      </c>
      <c r="K20" t="s">
        <v>20</v>
      </c>
      <c r="L20" t="s">
        <v>481</v>
      </c>
      <c r="Q20" s="10">
        <v>1</v>
      </c>
    </row>
    <row r="21" spans="2:17" x14ac:dyDescent="0.25">
      <c r="B21" t="s">
        <v>16</v>
      </c>
      <c r="C21" t="s">
        <v>529</v>
      </c>
      <c r="D21" t="s">
        <v>530</v>
      </c>
      <c r="E21" t="s">
        <v>531</v>
      </c>
      <c r="F21" t="s">
        <v>51</v>
      </c>
      <c r="G21" s="10">
        <v>810</v>
      </c>
      <c r="H21" s="10">
        <v>20</v>
      </c>
      <c r="I21" s="10">
        <f t="shared" ref="I21:I31" si="0">G21-H21</f>
        <v>790</v>
      </c>
      <c r="J21" t="s">
        <v>20</v>
      </c>
      <c r="K21" t="s">
        <v>20</v>
      </c>
      <c r="L21" t="s">
        <v>481</v>
      </c>
      <c r="Q21" s="10">
        <v>1</v>
      </c>
    </row>
    <row r="22" spans="2:17" x14ac:dyDescent="0.25">
      <c r="B22" t="s">
        <v>16</v>
      </c>
      <c r="C22" t="s">
        <v>532</v>
      </c>
      <c r="D22" t="s">
        <v>533</v>
      </c>
      <c r="E22" t="s">
        <v>534</v>
      </c>
      <c r="F22" s="10">
        <v>7</v>
      </c>
      <c r="G22" s="10">
        <v>470</v>
      </c>
      <c r="H22" s="10">
        <v>30</v>
      </c>
      <c r="I22" s="10">
        <f t="shared" si="0"/>
        <v>440</v>
      </c>
      <c r="J22" t="s">
        <v>485</v>
      </c>
      <c r="K22" t="s">
        <v>20</v>
      </c>
      <c r="L22" t="s">
        <v>481</v>
      </c>
      <c r="Q22" s="10">
        <v>1</v>
      </c>
    </row>
    <row r="23" spans="2:17" x14ac:dyDescent="0.25">
      <c r="B23" t="s">
        <v>16</v>
      </c>
      <c r="C23" t="s">
        <v>535</v>
      </c>
      <c r="D23" t="s">
        <v>536</v>
      </c>
      <c r="E23" t="s">
        <v>537</v>
      </c>
      <c r="F23" s="10">
        <v>1</v>
      </c>
      <c r="G23" s="10">
        <v>745</v>
      </c>
      <c r="H23" s="10">
        <v>25</v>
      </c>
      <c r="I23" s="10">
        <f t="shared" si="0"/>
        <v>720</v>
      </c>
      <c r="J23" t="s">
        <v>25</v>
      </c>
      <c r="K23" t="s">
        <v>20</v>
      </c>
      <c r="L23" t="s">
        <v>481</v>
      </c>
      <c r="Q23" s="10">
        <v>1</v>
      </c>
    </row>
    <row r="24" spans="2:17" x14ac:dyDescent="0.25">
      <c r="B24" t="s">
        <v>16</v>
      </c>
      <c r="C24" t="s">
        <v>538</v>
      </c>
      <c r="D24" t="s">
        <v>539</v>
      </c>
      <c r="E24" t="s">
        <v>540</v>
      </c>
      <c r="F24" s="10">
        <v>7</v>
      </c>
      <c r="G24" s="10">
        <v>750</v>
      </c>
      <c r="H24" s="10">
        <v>30</v>
      </c>
      <c r="I24" s="10">
        <f t="shared" si="0"/>
        <v>720</v>
      </c>
      <c r="J24" t="s">
        <v>485</v>
      </c>
      <c r="K24" t="s">
        <v>20</v>
      </c>
      <c r="L24" t="s">
        <v>481</v>
      </c>
      <c r="Q24" s="10">
        <v>1</v>
      </c>
    </row>
    <row r="25" spans="2:17" x14ac:dyDescent="0.25">
      <c r="B25" t="s">
        <v>16</v>
      </c>
      <c r="C25" t="s">
        <v>541</v>
      </c>
      <c r="D25" t="s">
        <v>542</v>
      </c>
      <c r="E25" t="s">
        <v>543</v>
      </c>
      <c r="F25" s="10">
        <v>8</v>
      </c>
      <c r="G25" s="10">
        <v>1065</v>
      </c>
      <c r="H25" s="10">
        <v>25</v>
      </c>
      <c r="I25" s="10">
        <f t="shared" si="0"/>
        <v>1040</v>
      </c>
      <c r="J25" t="s">
        <v>485</v>
      </c>
      <c r="K25" t="s">
        <v>20</v>
      </c>
      <c r="L25" t="s">
        <v>481</v>
      </c>
      <c r="Q25" s="10">
        <v>1</v>
      </c>
    </row>
    <row r="26" spans="2:17" x14ac:dyDescent="0.25">
      <c r="B26" t="s">
        <v>16</v>
      </c>
      <c r="C26" t="s">
        <v>544</v>
      </c>
      <c r="D26" t="s">
        <v>545</v>
      </c>
      <c r="E26" t="s">
        <v>546</v>
      </c>
      <c r="F26" t="s">
        <v>33</v>
      </c>
      <c r="G26" s="10">
        <v>820</v>
      </c>
      <c r="H26" s="10">
        <v>30</v>
      </c>
      <c r="I26" s="10">
        <f t="shared" si="0"/>
        <v>790</v>
      </c>
      <c r="J26" t="s">
        <v>20</v>
      </c>
      <c r="K26" t="s">
        <v>20</v>
      </c>
      <c r="L26" t="s">
        <v>481</v>
      </c>
      <c r="Q26" s="10">
        <v>1</v>
      </c>
    </row>
    <row r="27" spans="2:17" x14ac:dyDescent="0.25">
      <c r="B27" t="s">
        <v>16</v>
      </c>
      <c r="C27" t="s">
        <v>547</v>
      </c>
      <c r="D27" t="s">
        <v>548</v>
      </c>
      <c r="E27" t="s">
        <v>549</v>
      </c>
      <c r="F27" t="s">
        <v>33</v>
      </c>
      <c r="G27" s="10">
        <v>610</v>
      </c>
      <c r="H27" s="10">
        <v>30</v>
      </c>
      <c r="I27" s="10">
        <f t="shared" si="0"/>
        <v>580</v>
      </c>
      <c r="J27" t="s">
        <v>20</v>
      </c>
      <c r="K27" t="s">
        <v>20</v>
      </c>
      <c r="L27" t="s">
        <v>481</v>
      </c>
      <c r="Q27" s="10">
        <v>1</v>
      </c>
    </row>
    <row r="28" spans="2:17" x14ac:dyDescent="0.25">
      <c r="B28" t="s">
        <v>16</v>
      </c>
      <c r="C28" t="s">
        <v>550</v>
      </c>
      <c r="D28" t="s">
        <v>551</v>
      </c>
      <c r="E28" t="s">
        <v>552</v>
      </c>
      <c r="F28" s="10">
        <v>1</v>
      </c>
      <c r="G28" s="10">
        <v>815</v>
      </c>
      <c r="H28" s="10">
        <v>25</v>
      </c>
      <c r="I28" s="10">
        <f t="shared" si="0"/>
        <v>790</v>
      </c>
      <c r="J28" t="s">
        <v>25</v>
      </c>
      <c r="K28" t="s">
        <v>20</v>
      </c>
      <c r="L28" t="s">
        <v>481</v>
      </c>
      <c r="Q28" s="10">
        <v>1</v>
      </c>
    </row>
    <row r="29" spans="2:17" x14ac:dyDescent="0.25">
      <c r="B29" t="s">
        <v>16</v>
      </c>
      <c r="C29" t="s">
        <v>553</v>
      </c>
      <c r="D29" t="s">
        <v>554</v>
      </c>
      <c r="E29" t="s">
        <v>555</v>
      </c>
      <c r="F29" t="s">
        <v>95</v>
      </c>
      <c r="G29" s="10">
        <v>745</v>
      </c>
      <c r="H29" s="10">
        <v>25</v>
      </c>
      <c r="I29" s="10">
        <f t="shared" si="0"/>
        <v>720</v>
      </c>
      <c r="J29" t="s">
        <v>20</v>
      </c>
      <c r="K29" t="s">
        <v>20</v>
      </c>
      <c r="L29" t="s">
        <v>481</v>
      </c>
      <c r="Q29" s="10">
        <v>1</v>
      </c>
    </row>
    <row r="30" spans="2:17" x14ac:dyDescent="0.25">
      <c r="B30" t="s">
        <v>16</v>
      </c>
      <c r="C30" t="s">
        <v>556</v>
      </c>
      <c r="D30" t="s">
        <v>557</v>
      </c>
      <c r="E30" t="s">
        <v>558</v>
      </c>
      <c r="F30" t="s">
        <v>116</v>
      </c>
      <c r="G30" s="10">
        <v>1595</v>
      </c>
      <c r="H30" s="10">
        <v>25</v>
      </c>
      <c r="I30" s="10">
        <f t="shared" si="0"/>
        <v>1570</v>
      </c>
      <c r="J30" t="s">
        <v>20</v>
      </c>
      <c r="K30" t="s">
        <v>20</v>
      </c>
      <c r="L30" t="s">
        <v>481</v>
      </c>
      <c r="Q30" s="10">
        <v>1</v>
      </c>
    </row>
    <row r="31" spans="2:17" x14ac:dyDescent="0.25">
      <c r="B31" t="s">
        <v>16</v>
      </c>
      <c r="C31" t="s">
        <v>73</v>
      </c>
      <c r="D31" t="s">
        <v>292</v>
      </c>
      <c r="E31" t="s">
        <v>293</v>
      </c>
      <c r="F31" t="s">
        <v>116</v>
      </c>
      <c r="G31" s="10">
        <v>845</v>
      </c>
      <c r="H31" s="10">
        <v>25</v>
      </c>
      <c r="I31" s="10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 s="10">
        <v>1</v>
      </c>
    </row>
    <row r="32" spans="2:17" x14ac:dyDescent="0.25">
      <c r="B32" t="s">
        <v>16</v>
      </c>
      <c r="C32" t="s">
        <v>309</v>
      </c>
      <c r="D32" t="s">
        <v>310</v>
      </c>
      <c r="E32" t="s">
        <v>311</v>
      </c>
      <c r="F32" s="10">
        <v>1</v>
      </c>
      <c r="G32" s="10">
        <v>0</v>
      </c>
      <c r="H32" s="10">
        <v>25</v>
      </c>
      <c r="I32" s="10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 s="10">
        <v>1</v>
      </c>
    </row>
    <row r="33" spans="1:19" x14ac:dyDescent="0.25">
      <c r="B33" t="s">
        <v>16</v>
      </c>
      <c r="C33" t="s">
        <v>319</v>
      </c>
      <c r="D33" t="s">
        <v>320</v>
      </c>
      <c r="E33" t="s">
        <v>321</v>
      </c>
      <c r="F33" t="s">
        <v>51</v>
      </c>
      <c r="G33" s="10">
        <v>2600</v>
      </c>
      <c r="H33" s="10">
        <v>25</v>
      </c>
      <c r="I33" s="10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 s="10">
        <v>1</v>
      </c>
    </row>
    <row r="34" spans="1:19" x14ac:dyDescent="0.25">
      <c r="B34" t="s">
        <v>16</v>
      </c>
      <c r="C34" t="s">
        <v>326</v>
      </c>
      <c r="D34" t="s">
        <v>327</v>
      </c>
      <c r="E34" t="s">
        <v>328</v>
      </c>
      <c r="F34" s="10">
        <v>10</v>
      </c>
      <c r="G34" s="10">
        <v>25</v>
      </c>
      <c r="H34" s="10">
        <v>25</v>
      </c>
      <c r="I34" s="10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 s="10">
        <v>1</v>
      </c>
    </row>
    <row r="35" spans="1:19" x14ac:dyDescent="0.25">
      <c r="B35" t="s">
        <v>16</v>
      </c>
      <c r="C35" t="s">
        <v>559</v>
      </c>
      <c r="D35" t="s">
        <v>560</v>
      </c>
      <c r="E35" t="s">
        <v>561</v>
      </c>
      <c r="F35" s="10">
        <v>12</v>
      </c>
      <c r="G35" s="10">
        <v>0</v>
      </c>
      <c r="H35" s="10">
        <v>30</v>
      </c>
      <c r="I35" s="10">
        <f>-H35</f>
        <v>-30</v>
      </c>
      <c r="J35" t="s">
        <v>485</v>
      </c>
      <c r="K35" t="s">
        <v>20</v>
      </c>
      <c r="L35" t="s">
        <v>481</v>
      </c>
      <c r="Q35" s="10">
        <v>1</v>
      </c>
    </row>
    <row r="36" spans="1:19" x14ac:dyDescent="0.25">
      <c r="B36" t="s">
        <v>16</v>
      </c>
      <c r="C36" t="s">
        <v>562</v>
      </c>
      <c r="D36" t="s">
        <v>563</v>
      </c>
      <c r="E36" t="s">
        <v>564</v>
      </c>
      <c r="F36" s="10">
        <v>9</v>
      </c>
      <c r="G36" s="10">
        <v>850</v>
      </c>
      <c r="H36" s="10">
        <v>30</v>
      </c>
      <c r="I36" s="10">
        <f>G36-H36</f>
        <v>820</v>
      </c>
      <c r="J36" t="s">
        <v>485</v>
      </c>
      <c r="K36" t="s">
        <v>20</v>
      </c>
      <c r="L36" t="s">
        <v>481</v>
      </c>
      <c r="Q36" s="10">
        <v>1</v>
      </c>
    </row>
    <row r="37" spans="1:19" x14ac:dyDescent="0.25">
      <c r="A37" t="s">
        <v>253</v>
      </c>
      <c r="B37" t="s">
        <v>16</v>
      </c>
      <c r="C37" t="s">
        <v>565</v>
      </c>
      <c r="E37" t="s">
        <v>566</v>
      </c>
      <c r="F37" s="10">
        <v>9</v>
      </c>
      <c r="G37" s="10">
        <v>1065</v>
      </c>
      <c r="H37" s="10">
        <v>35</v>
      </c>
      <c r="I37" s="10">
        <f>G37-H37</f>
        <v>1030</v>
      </c>
      <c r="J37" t="s">
        <v>239</v>
      </c>
      <c r="K37" t="s">
        <v>20</v>
      </c>
      <c r="L37" t="s">
        <v>481</v>
      </c>
      <c r="Q37" s="10">
        <v>1</v>
      </c>
    </row>
    <row r="38" spans="1:19" x14ac:dyDescent="0.25">
      <c r="A38" t="s">
        <v>253</v>
      </c>
      <c r="B38" t="s">
        <v>16</v>
      </c>
      <c r="C38" t="s">
        <v>567</v>
      </c>
      <c r="E38" t="s">
        <v>568</v>
      </c>
      <c r="F38" s="10">
        <v>4</v>
      </c>
      <c r="G38" s="10">
        <v>0</v>
      </c>
      <c r="H38" s="10">
        <v>25</v>
      </c>
      <c r="I38" s="10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 s="10">
        <v>1</v>
      </c>
    </row>
    <row r="39" spans="1:19" x14ac:dyDescent="0.25">
      <c r="A39" t="s">
        <v>253</v>
      </c>
      <c r="B39" t="s">
        <v>16</v>
      </c>
      <c r="C39" t="s">
        <v>569</v>
      </c>
      <c r="E39" t="s">
        <v>570</v>
      </c>
      <c r="F39" t="s">
        <v>116</v>
      </c>
      <c r="G39" s="10">
        <v>2170</v>
      </c>
      <c r="H39" s="10">
        <v>30</v>
      </c>
      <c r="I39" s="10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 s="10">
        <v>1</v>
      </c>
    </row>
    <row r="40" spans="1:19" x14ac:dyDescent="0.25">
      <c r="A40" t="s">
        <v>253</v>
      </c>
      <c r="B40" t="s">
        <v>16</v>
      </c>
      <c r="C40" t="s">
        <v>572</v>
      </c>
      <c r="E40" t="s">
        <v>573</v>
      </c>
      <c r="F40" t="s">
        <v>116</v>
      </c>
      <c r="G40" s="10">
        <v>30</v>
      </c>
      <c r="H40" s="10">
        <v>30</v>
      </c>
      <c r="I40" s="10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 s="10">
        <v>1</v>
      </c>
    </row>
    <row r="42" spans="1:19" x14ac:dyDescent="0.25">
      <c r="D42" s="4">
        <f>COUNTA(D3:D40)</f>
        <v>34</v>
      </c>
      <c r="G42" s="4">
        <f t="shared" ref="G42:S42" si="1">SUBTOTAL(9,G3:G40)</f>
        <v>23700</v>
      </c>
      <c r="H42" s="4">
        <f t="shared" si="1"/>
        <v>1035</v>
      </c>
      <c r="I42" s="4">
        <f t="shared" si="1"/>
        <v>22665</v>
      </c>
      <c r="J42" s="4">
        <f t="shared" si="1"/>
        <v>0</v>
      </c>
      <c r="K42" s="4">
        <f t="shared" si="1"/>
        <v>0</v>
      </c>
      <c r="L42" s="4">
        <f t="shared" si="1"/>
        <v>0</v>
      </c>
      <c r="M42" s="4">
        <f t="shared" si="1"/>
        <v>0</v>
      </c>
      <c r="N42" s="4">
        <f t="shared" si="1"/>
        <v>0</v>
      </c>
      <c r="O42" s="4">
        <f t="shared" si="1"/>
        <v>0</v>
      </c>
      <c r="P42" s="4">
        <f t="shared" si="1"/>
        <v>0</v>
      </c>
      <c r="Q42" s="4">
        <f t="shared" si="1"/>
        <v>38</v>
      </c>
      <c r="R42" s="4">
        <f t="shared" si="1"/>
        <v>0</v>
      </c>
      <c r="S42" s="4">
        <f t="shared" si="1"/>
        <v>0</v>
      </c>
    </row>
    <row r="44" spans="1:19" x14ac:dyDescent="0.25">
      <c r="A44" s="4" t="s">
        <v>574</v>
      </c>
      <c r="B44" t="s">
        <v>16</v>
      </c>
      <c r="C44" s="7" t="s">
        <v>262</v>
      </c>
      <c r="E44" s="7" t="s">
        <v>263</v>
      </c>
      <c r="J44" s="43" t="s">
        <v>25</v>
      </c>
      <c r="K44" s="43" t="s">
        <v>264</v>
      </c>
      <c r="L44" s="43" t="s">
        <v>263</v>
      </c>
      <c r="O44" s="7" t="s">
        <v>462</v>
      </c>
    </row>
    <row r="45" spans="1:19" x14ac:dyDescent="0.25">
      <c r="A45" t="s">
        <v>481</v>
      </c>
      <c r="B45" s="6" t="s">
        <v>265</v>
      </c>
      <c r="C45" s="6">
        <f>SUMIFS(G$3:G$40,B$3:B$40,B$44,L$3:L$40,A$45)</f>
        <v>20230</v>
      </c>
      <c r="E45" s="6">
        <f>COUNTIFS(B$3:B$40,B$44,L$3:L$40,A$45)</f>
        <v>34</v>
      </c>
      <c r="J45" t="s">
        <v>266</v>
      </c>
      <c r="K45">
        <f>SUMIFS(G$3:G$40,J$3:J$40,"c.hieu")</f>
        <v>3655</v>
      </c>
      <c r="L45">
        <f>COUNTIFS(B$3:B$40,"&lt;&gt;",J$3:J$40,"c.hieu")</f>
        <v>9</v>
      </c>
      <c r="O45" t="s">
        <v>25</v>
      </c>
      <c r="P45">
        <f>K50</f>
        <v>3457</v>
      </c>
    </row>
    <row r="46" spans="1:19" x14ac:dyDescent="0.25">
      <c r="B46" s="5" t="s">
        <v>466</v>
      </c>
      <c r="C46" s="5">
        <f>-SUMIFS(H$3:H$40,B$3:B$40,B$44,L$3:L$40,A$45)</f>
        <v>-935</v>
      </c>
      <c r="E46">
        <f>SUMIFS(Q$3:Q$40,B$3:B$40,B$44,L$3:L$40,A$45)</f>
        <v>34</v>
      </c>
      <c r="J46" t="s">
        <v>268</v>
      </c>
      <c r="K46">
        <f>-SUMIFS(H$3:H$40,J$3:J$40,"c.hieu")+9*5</f>
        <v>-180</v>
      </c>
      <c r="L46" t="s">
        <v>575</v>
      </c>
      <c r="O46" t="s">
        <v>576</v>
      </c>
      <c r="P46">
        <f>K58</f>
        <v>5310</v>
      </c>
    </row>
    <row r="47" spans="1:19" x14ac:dyDescent="0.25">
      <c r="B47" s="5" t="s">
        <v>269</v>
      </c>
      <c r="C47" s="5">
        <f>-SUMIFS(I$3:I$40,B$3:B$40,B$44,P$3:P$40,"xx",N$3:N$40,"x")</f>
        <v>-3370</v>
      </c>
      <c r="E47" s="5">
        <f>COUNTIFS(B$3:B$40,B$44,P$3:P$40,"xx",N$3:N$40,"x")</f>
        <v>4</v>
      </c>
      <c r="J47" t="s">
        <v>468</v>
      </c>
      <c r="K47">
        <v>-18</v>
      </c>
      <c r="L47" t="s">
        <v>577</v>
      </c>
      <c r="O47" t="s">
        <v>20</v>
      </c>
      <c r="P47">
        <f>K66</f>
        <v>9234</v>
      </c>
    </row>
    <row r="48" spans="1:19" x14ac:dyDescent="0.25">
      <c r="B48" s="7" t="s">
        <v>270</v>
      </c>
      <c r="C48" s="7">
        <f>SUBTOTAL(9,C45:C47)</f>
        <v>15925</v>
      </c>
      <c r="E48">
        <f>E45</f>
        <v>34</v>
      </c>
      <c r="J48" s="5" t="s">
        <v>72</v>
      </c>
      <c r="O48" t="s">
        <v>239</v>
      </c>
      <c r="P48">
        <f>K74</f>
        <v>1396</v>
      </c>
    </row>
    <row r="49" spans="1:16" x14ac:dyDescent="0.25">
      <c r="B49" s="5" t="s">
        <v>471</v>
      </c>
      <c r="J49" s="5" t="s">
        <v>272</v>
      </c>
      <c r="O49" t="s">
        <v>438</v>
      </c>
      <c r="P49">
        <f>K82</f>
        <v>-5</v>
      </c>
    </row>
    <row r="50" spans="1:16" x14ac:dyDescent="0.25">
      <c r="B50" s="70" t="s">
        <v>273</v>
      </c>
      <c r="K50" s="45">
        <f>SUBTOTAL(9,K45:K49)</f>
        <v>3457</v>
      </c>
      <c r="L50" s="45">
        <f>L45</f>
        <v>9</v>
      </c>
      <c r="O50" t="s">
        <v>472</v>
      </c>
      <c r="P50">
        <f>-C52</f>
        <v>-15925</v>
      </c>
    </row>
    <row r="51" spans="1:16" x14ac:dyDescent="0.25">
      <c r="O51" s="7" t="s">
        <v>473</v>
      </c>
      <c r="P51" s="7">
        <f>SUBTOTAL(9,P45:P50)</f>
        <v>3467</v>
      </c>
    </row>
    <row r="52" spans="1:16" x14ac:dyDescent="0.25">
      <c r="B52" s="4" t="s">
        <v>274</v>
      </c>
      <c r="C52" s="4">
        <f>C48+C49+C50</f>
        <v>15925</v>
      </c>
      <c r="E52" s="4" t="s">
        <v>275</v>
      </c>
      <c r="J52" s="43" t="s">
        <v>485</v>
      </c>
      <c r="K52" s="43" t="s">
        <v>264</v>
      </c>
      <c r="L52" s="43" t="s">
        <v>263</v>
      </c>
    </row>
    <row r="53" spans="1:16" x14ac:dyDescent="0.25">
      <c r="J53" t="s">
        <v>266</v>
      </c>
      <c r="K53">
        <f>SUMIFS(G$3:G$40,J$3:J$40,"AT 10-3")</f>
        <v>5565</v>
      </c>
      <c r="L53">
        <f>COUNTIFS(B$3:B$40,"&lt;&gt;",J$3:J$40,"AT 10-3")</f>
        <v>10</v>
      </c>
    </row>
    <row r="54" spans="1:16" x14ac:dyDescent="0.25">
      <c r="A54" s="4" t="s">
        <v>578</v>
      </c>
      <c r="B54" t="s">
        <v>16</v>
      </c>
      <c r="C54" s="7" t="s">
        <v>262</v>
      </c>
      <c r="E54" s="7" t="s">
        <v>263</v>
      </c>
      <c r="J54" t="s">
        <v>268</v>
      </c>
      <c r="K54">
        <f>-SUMIFS(H$3:H$40,J$3:J$40,"AT 10-3")+10*5</f>
        <v>-235</v>
      </c>
      <c r="L54" t="s">
        <v>579</v>
      </c>
    </row>
    <row r="55" spans="1:16" x14ac:dyDescent="0.25">
      <c r="A55" t="s">
        <v>282</v>
      </c>
      <c r="B55" s="6" t="s">
        <v>265</v>
      </c>
      <c r="C55" s="6">
        <f>SUMIFS(G$3:G$40,B$3:B$40,B$54,L$3:L$40,A$55)</f>
        <v>3470</v>
      </c>
      <c r="E55" s="6">
        <f>COUNTIFS(B$3:B$40,B$54,L$3:L$40,A$55)</f>
        <v>4</v>
      </c>
      <c r="J55" t="s">
        <v>468</v>
      </c>
      <c r="K55">
        <v>-20</v>
      </c>
      <c r="L55" t="s">
        <v>580</v>
      </c>
    </row>
    <row r="56" spans="1:16" x14ac:dyDescent="0.25">
      <c r="B56" s="5" t="s">
        <v>466</v>
      </c>
      <c r="C56" s="5">
        <f>-SUMIFS(H$3:H$40,B$3:B$40,B$54,L$3:L$40,A$55)</f>
        <v>-100</v>
      </c>
      <c r="E56">
        <f>SUMIFS(Q$3:Q$40,B$3:B$40,B$54,L$3:L$40,A$55)</f>
        <v>4</v>
      </c>
      <c r="J56" s="5" t="s">
        <v>72</v>
      </c>
    </row>
    <row r="57" spans="1:16" x14ac:dyDescent="0.25">
      <c r="B57" s="5" t="s">
        <v>269</v>
      </c>
      <c r="C57" s="5">
        <f>-SUMIFS(I$3:I$40,B$3:B$40,B$54,P$3:P$40,"xx",N$3:N$40,"x")</f>
        <v>-3370</v>
      </c>
      <c r="E57" s="5">
        <f>COUNTIFS(B$3:B$40,B$54,P$3:P$40,"xx",N$3:N$40,"x")</f>
        <v>4</v>
      </c>
      <c r="J57" s="5" t="s">
        <v>272</v>
      </c>
    </row>
    <row r="58" spans="1:16" x14ac:dyDescent="0.25">
      <c r="B58" s="7" t="s">
        <v>270</v>
      </c>
      <c r="C58" s="7">
        <f>SUBTOTAL(9,C55:C57)</f>
        <v>0</v>
      </c>
      <c r="E58">
        <f>E55</f>
        <v>4</v>
      </c>
      <c r="K58" s="45">
        <f>SUBTOTAL(9,K53:K57)</f>
        <v>5310</v>
      </c>
      <c r="L58" s="45">
        <f>L53</f>
        <v>10</v>
      </c>
    </row>
    <row r="59" spans="1:16" x14ac:dyDescent="0.25">
      <c r="B59" s="5" t="s">
        <v>471</v>
      </c>
    </row>
    <row r="60" spans="1:16" x14ac:dyDescent="0.25">
      <c r="B60" s="70" t="s">
        <v>273</v>
      </c>
      <c r="J60" s="43" t="s">
        <v>20</v>
      </c>
      <c r="K60" s="43" t="s">
        <v>264</v>
      </c>
      <c r="L60" s="43" t="s">
        <v>263</v>
      </c>
    </row>
    <row r="61" spans="1:16" x14ac:dyDescent="0.25">
      <c r="J61" t="s">
        <v>266</v>
      </c>
      <c r="K61">
        <f>SUMIFS(G$3:G$40,J$3:J$40,"c.cuong")</f>
        <v>9555</v>
      </c>
      <c r="L61">
        <f>COUNTIFS(B$3:B$40,"&lt;&gt;",J$3:J$40,"c.cuong")</f>
        <v>13</v>
      </c>
    </row>
    <row r="62" spans="1:16" x14ac:dyDescent="0.25">
      <c r="B62" s="4" t="s">
        <v>274</v>
      </c>
      <c r="C62" s="4">
        <f>C58+C59+C60</f>
        <v>0</v>
      </c>
      <c r="E62" s="4" t="s">
        <v>275</v>
      </c>
      <c r="J62" t="s">
        <v>268</v>
      </c>
      <c r="K62">
        <f>-SUMIFS(H$3:H$40,J$3:J$40,"c.cuong")+13*5</f>
        <v>-295</v>
      </c>
      <c r="L62" t="s">
        <v>581</v>
      </c>
    </row>
    <row r="63" spans="1:16" x14ac:dyDescent="0.25">
      <c r="J63" t="s">
        <v>468</v>
      </c>
      <c r="K63">
        <v>-26</v>
      </c>
      <c r="L63" t="s">
        <v>582</v>
      </c>
    </row>
    <row r="64" spans="1:16" x14ac:dyDescent="0.25">
      <c r="J64" s="5" t="s">
        <v>72</v>
      </c>
    </row>
    <row r="65" spans="10:12" x14ac:dyDescent="0.25">
      <c r="J65" s="5" t="s">
        <v>272</v>
      </c>
    </row>
    <row r="66" spans="10:12" x14ac:dyDescent="0.25">
      <c r="K66" s="45">
        <f>SUBTOTAL(9,K61:K65)</f>
        <v>9234</v>
      </c>
      <c r="L66" s="45">
        <f>L61</f>
        <v>13</v>
      </c>
    </row>
    <row r="68" spans="10:12" x14ac:dyDescent="0.25">
      <c r="J68" s="43" t="s">
        <v>239</v>
      </c>
      <c r="K68" s="43" t="s">
        <v>264</v>
      </c>
      <c r="L68" s="43" t="s">
        <v>263</v>
      </c>
    </row>
    <row r="69" spans="10:12" x14ac:dyDescent="0.25">
      <c r="J69" t="s">
        <v>266</v>
      </c>
      <c r="K69">
        <f>SUMIFS(G$3:G$40,J$3:J$40,"a.quyen")</f>
        <v>1455</v>
      </c>
      <c r="L69">
        <f>COUNTIFS(B$3:B$40,"&lt;&gt;",J$3:J$40,"a.quyen")</f>
        <v>2</v>
      </c>
    </row>
    <row r="70" spans="10:12" x14ac:dyDescent="0.25">
      <c r="J70" t="s">
        <v>268</v>
      </c>
      <c r="K70">
        <f>-SUMIFS(H$3:H$40,J$3:J$40,"a.quyen")+2*5</f>
        <v>-55</v>
      </c>
      <c r="L70" t="s">
        <v>583</v>
      </c>
    </row>
    <row r="71" spans="10:12" x14ac:dyDescent="0.25">
      <c r="J71" t="s">
        <v>468</v>
      </c>
      <c r="K71">
        <v>-4</v>
      </c>
      <c r="L71" t="s">
        <v>584</v>
      </c>
    </row>
    <row r="72" spans="10:12" x14ac:dyDescent="0.25">
      <c r="J72" s="5" t="s">
        <v>72</v>
      </c>
    </row>
    <row r="73" spans="10:12" x14ac:dyDescent="0.25">
      <c r="J73" s="5" t="s">
        <v>272</v>
      </c>
    </row>
    <row r="74" spans="10:12" x14ac:dyDescent="0.25">
      <c r="K74" s="45">
        <f>SUBTOTAL(9,K69:K73)</f>
        <v>1396</v>
      </c>
      <c r="L74" s="45">
        <f>L69</f>
        <v>2</v>
      </c>
    </row>
    <row r="76" spans="10:12" x14ac:dyDescent="0.25">
      <c r="J76" s="43" t="s">
        <v>438</v>
      </c>
      <c r="K76" s="43" t="s">
        <v>264</v>
      </c>
      <c r="L76" s="43" t="s">
        <v>263</v>
      </c>
    </row>
    <row r="77" spans="10:12" x14ac:dyDescent="0.25">
      <c r="J77" t="s">
        <v>266</v>
      </c>
      <c r="K77">
        <f>SUMIFS(G$3:G$40,J$3:J$40,"luu tra")</f>
        <v>3470</v>
      </c>
      <c r="L77">
        <f>COUNTIFS(B$3:B$40,"&lt;&gt;",J$3:J$40,"luu tra")</f>
        <v>4</v>
      </c>
    </row>
    <row r="78" spans="10:12" x14ac:dyDescent="0.25">
      <c r="J78" t="s">
        <v>268</v>
      </c>
      <c r="K78">
        <f>-SUMIFS(H$3:H$40,J$3:J$40,"luu tra")+4*5</f>
        <v>-80</v>
      </c>
      <c r="L78" t="s">
        <v>585</v>
      </c>
    </row>
    <row r="79" spans="10:12" x14ac:dyDescent="0.25">
      <c r="J79" t="s">
        <v>468</v>
      </c>
      <c r="K79">
        <v>0</v>
      </c>
      <c r="L79" t="s">
        <v>586</v>
      </c>
    </row>
    <row r="80" spans="10:12" x14ac:dyDescent="0.25">
      <c r="J80" s="5" t="s">
        <v>72</v>
      </c>
      <c r="K80" s="5">
        <v>-3395</v>
      </c>
      <c r="L80" t="s">
        <v>587</v>
      </c>
    </row>
    <row r="81" spans="10:12" x14ac:dyDescent="0.25">
      <c r="J81" s="5" t="s">
        <v>272</v>
      </c>
    </row>
    <row r="82" spans="10:12" x14ac:dyDescent="0.25">
      <c r="K82" s="45">
        <f>SUBTOTAL(9,K77:K81)</f>
        <v>-5</v>
      </c>
      <c r="L82" s="45">
        <f>L77</f>
        <v>4</v>
      </c>
    </row>
  </sheetData>
  <autoFilter ref="A2:P40" xr:uid="{00000000-0009-0000-0000-000002000000}"/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8BAE-53B9-4A6C-8EE1-181979E337EB}">
  <dimension ref="A1:Q75"/>
  <sheetViews>
    <sheetView zoomScale="70" zoomScaleNormal="70" workbookViewId="0">
      <selection activeCell="B1" sqref="B1 B1:C1"/>
    </sheetView>
  </sheetViews>
  <sheetFormatPr defaultRowHeight="15" x14ac:dyDescent="0.25"/>
  <cols>
    <col min="1" max="1" width="12.42578125" customWidth="1"/>
    <col min="2" max="2" width="19.140625" customWidth="1"/>
    <col min="3" max="3" width="39.140625" customWidth="1"/>
    <col min="4" max="4" width="10.28515625" customWidth="1"/>
    <col min="5" max="5" width="60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29.7109375" customWidth="1"/>
    <col min="14" max="14" width="10.42578125" customWidth="1"/>
    <col min="15" max="15" width="11.28515625" customWidth="1"/>
    <col min="16" max="16" width="10.140625" bestFit="1" customWidth="1"/>
    <col min="17" max="17" width="8.42578125" customWidth="1"/>
  </cols>
  <sheetData>
    <row r="1" spans="1:17" x14ac:dyDescent="0.25">
      <c r="B1" t="s">
        <v>588</v>
      </c>
      <c r="C1" t="s">
        <v>589</v>
      </c>
    </row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475</v>
      </c>
    </row>
    <row r="3" spans="1:17" x14ac:dyDescent="0.25">
      <c r="B3" t="s">
        <v>16</v>
      </c>
      <c r="C3" t="s">
        <v>478</v>
      </c>
      <c r="D3" t="s">
        <v>479</v>
      </c>
      <c r="E3" t="s">
        <v>480</v>
      </c>
      <c r="F3" s="8">
        <v>4</v>
      </c>
      <c r="G3" s="10">
        <v>895</v>
      </c>
      <c r="H3" s="10">
        <v>25</v>
      </c>
      <c r="I3" s="10">
        <f>G3-H3</f>
        <v>870</v>
      </c>
      <c r="J3" t="s">
        <v>25</v>
      </c>
      <c r="K3" t="s">
        <v>20</v>
      </c>
      <c r="L3" t="s">
        <v>481</v>
      </c>
      <c r="Q3">
        <v>1</v>
      </c>
    </row>
    <row r="4" spans="1:17" x14ac:dyDescent="0.25">
      <c r="B4" t="s">
        <v>16</v>
      </c>
      <c r="C4" t="s">
        <v>482</v>
      </c>
      <c r="D4" t="s">
        <v>483</v>
      </c>
      <c r="E4" t="s">
        <v>484</v>
      </c>
      <c r="F4" s="8">
        <v>8</v>
      </c>
      <c r="G4" s="10">
        <v>745</v>
      </c>
      <c r="H4" s="10">
        <v>25</v>
      </c>
      <c r="I4" s="10">
        <f>G4-H4</f>
        <v>720</v>
      </c>
      <c r="J4" t="s">
        <v>485</v>
      </c>
      <c r="K4" t="s">
        <v>20</v>
      </c>
      <c r="L4" t="s">
        <v>481</v>
      </c>
      <c r="Q4">
        <v>1</v>
      </c>
    </row>
    <row r="5" spans="1:17" x14ac:dyDescent="0.25">
      <c r="B5" t="s">
        <v>16</v>
      </c>
      <c r="C5" t="s">
        <v>486</v>
      </c>
      <c r="D5" t="s">
        <v>487</v>
      </c>
      <c r="E5" t="s">
        <v>488</v>
      </c>
      <c r="F5" s="8">
        <v>2</v>
      </c>
      <c r="G5" s="10">
        <v>0</v>
      </c>
      <c r="H5" s="10">
        <v>30</v>
      </c>
      <c r="I5" s="10">
        <f>-H5</f>
        <v>-30</v>
      </c>
      <c r="J5" t="s">
        <v>20</v>
      </c>
      <c r="K5" t="s">
        <v>20</v>
      </c>
      <c r="L5" t="s">
        <v>481</v>
      </c>
      <c r="Q5">
        <v>1</v>
      </c>
    </row>
    <row r="6" spans="1:17" x14ac:dyDescent="0.25">
      <c r="B6" t="s">
        <v>16</v>
      </c>
      <c r="C6" t="s">
        <v>306</v>
      </c>
      <c r="D6" t="s">
        <v>489</v>
      </c>
      <c r="E6" t="s">
        <v>490</v>
      </c>
      <c r="F6" s="8">
        <v>7</v>
      </c>
      <c r="G6" s="10">
        <v>850</v>
      </c>
      <c r="H6" s="10">
        <v>30</v>
      </c>
      <c r="I6" s="10">
        <f>G6-H6</f>
        <v>820</v>
      </c>
      <c r="J6" t="s">
        <v>485</v>
      </c>
      <c r="K6" t="s">
        <v>20</v>
      </c>
      <c r="L6" t="s">
        <v>481</v>
      </c>
      <c r="Q6">
        <v>1</v>
      </c>
    </row>
    <row r="7" spans="1:17" x14ac:dyDescent="0.25">
      <c r="B7" t="s">
        <v>16</v>
      </c>
      <c r="C7" t="s">
        <v>491</v>
      </c>
      <c r="D7" t="s">
        <v>492</v>
      </c>
      <c r="E7" t="s">
        <v>493</v>
      </c>
      <c r="F7" s="8">
        <v>1</v>
      </c>
      <c r="G7" s="10">
        <v>815</v>
      </c>
      <c r="H7" s="10">
        <v>25</v>
      </c>
      <c r="I7" s="10">
        <f>G7-H7</f>
        <v>790</v>
      </c>
      <c r="J7" t="s">
        <v>25</v>
      </c>
      <c r="K7" t="s">
        <v>20</v>
      </c>
      <c r="L7" t="s">
        <v>481</v>
      </c>
      <c r="Q7">
        <v>1</v>
      </c>
    </row>
    <row r="8" spans="1:17" x14ac:dyDescent="0.25">
      <c r="B8" t="s">
        <v>16</v>
      </c>
      <c r="C8" t="s">
        <v>494</v>
      </c>
      <c r="D8" t="s">
        <v>495</v>
      </c>
      <c r="E8" t="s">
        <v>496</v>
      </c>
      <c r="F8" s="8">
        <v>5</v>
      </c>
      <c r="G8" s="10">
        <v>385</v>
      </c>
      <c r="H8" s="10">
        <v>25</v>
      </c>
      <c r="I8" s="10">
        <f>G8-H8</f>
        <v>360</v>
      </c>
      <c r="J8" t="s">
        <v>25</v>
      </c>
      <c r="K8" t="s">
        <v>20</v>
      </c>
      <c r="L8" t="s">
        <v>481</v>
      </c>
      <c r="Q8">
        <v>1</v>
      </c>
    </row>
    <row r="9" spans="1:17" x14ac:dyDescent="0.25">
      <c r="B9" t="s">
        <v>16</v>
      </c>
      <c r="C9" t="s">
        <v>497</v>
      </c>
      <c r="D9" t="s">
        <v>498</v>
      </c>
      <c r="E9" t="s">
        <v>499</v>
      </c>
      <c r="F9" s="8">
        <v>9</v>
      </c>
      <c r="G9" s="10">
        <v>390</v>
      </c>
      <c r="H9" s="10">
        <v>30</v>
      </c>
      <c r="I9" s="10">
        <f>G9-H9</f>
        <v>360</v>
      </c>
      <c r="J9" t="s">
        <v>239</v>
      </c>
      <c r="K9" t="s">
        <v>20</v>
      </c>
      <c r="L9" t="s">
        <v>481</v>
      </c>
      <c r="Q9">
        <v>1</v>
      </c>
    </row>
    <row r="10" spans="1:17" x14ac:dyDescent="0.25">
      <c r="B10" t="s">
        <v>16</v>
      </c>
      <c r="C10" t="s">
        <v>500</v>
      </c>
      <c r="D10" t="s">
        <v>501</v>
      </c>
      <c r="E10" t="s">
        <v>502</v>
      </c>
      <c r="F10" s="8">
        <v>2</v>
      </c>
      <c r="G10" s="10">
        <v>850</v>
      </c>
      <c r="H10" s="10">
        <v>30</v>
      </c>
      <c r="I10" s="10">
        <f>G10-H10</f>
        <v>820</v>
      </c>
      <c r="J10" t="s">
        <v>20</v>
      </c>
      <c r="K10" t="s">
        <v>20</v>
      </c>
      <c r="L10" t="s">
        <v>481</v>
      </c>
      <c r="Q10">
        <v>1</v>
      </c>
    </row>
    <row r="11" spans="1:17" x14ac:dyDescent="0.25">
      <c r="B11" t="s">
        <v>16</v>
      </c>
      <c r="C11" t="s">
        <v>503</v>
      </c>
      <c r="D11" t="s">
        <v>504</v>
      </c>
      <c r="E11" t="s">
        <v>232</v>
      </c>
      <c r="F11" s="8">
        <v>10</v>
      </c>
      <c r="G11" s="10">
        <v>0</v>
      </c>
      <c r="H11" s="10">
        <v>25</v>
      </c>
      <c r="I11" s="10">
        <f>-H11</f>
        <v>-25</v>
      </c>
      <c r="J11" t="s">
        <v>25</v>
      </c>
      <c r="K11" t="s">
        <v>20</v>
      </c>
      <c r="L11" t="s">
        <v>481</v>
      </c>
      <c r="Q11">
        <v>1</v>
      </c>
    </row>
    <row r="12" spans="1:17" x14ac:dyDescent="0.25">
      <c r="B12" t="s">
        <v>16</v>
      </c>
      <c r="C12" t="s">
        <v>505</v>
      </c>
      <c r="D12" t="s">
        <v>506</v>
      </c>
      <c r="E12" t="s">
        <v>507</v>
      </c>
      <c r="F12" s="8" t="s">
        <v>47</v>
      </c>
      <c r="G12" s="10">
        <v>0</v>
      </c>
      <c r="H12" s="10">
        <v>30</v>
      </c>
      <c r="I12" s="10">
        <f>-H12</f>
        <v>-30</v>
      </c>
      <c r="J12" t="s">
        <v>485</v>
      </c>
      <c r="K12" t="s">
        <v>20</v>
      </c>
      <c r="L12" t="s">
        <v>481</v>
      </c>
      <c r="Q12">
        <v>1</v>
      </c>
    </row>
    <row r="13" spans="1:17" x14ac:dyDescent="0.25">
      <c r="B13" t="s">
        <v>16</v>
      </c>
      <c r="C13" t="s">
        <v>508</v>
      </c>
      <c r="D13" t="s">
        <v>509</v>
      </c>
      <c r="E13" t="s">
        <v>510</v>
      </c>
      <c r="F13" s="8" t="s">
        <v>116</v>
      </c>
      <c r="G13" s="10">
        <v>1105</v>
      </c>
      <c r="H13" s="10">
        <v>25</v>
      </c>
      <c r="I13" s="10">
        <f>G13-H13</f>
        <v>1080</v>
      </c>
      <c r="J13" t="s">
        <v>20</v>
      </c>
      <c r="K13" t="s">
        <v>20</v>
      </c>
      <c r="L13" t="s">
        <v>481</v>
      </c>
      <c r="Q13">
        <v>1</v>
      </c>
    </row>
    <row r="14" spans="1:17" x14ac:dyDescent="0.25">
      <c r="B14" t="s">
        <v>16</v>
      </c>
      <c r="C14" t="s">
        <v>511</v>
      </c>
      <c r="D14" t="s">
        <v>512</v>
      </c>
      <c r="E14" t="s">
        <v>513</v>
      </c>
      <c r="F14" s="8" t="s">
        <v>61</v>
      </c>
      <c r="G14" s="10">
        <v>835</v>
      </c>
      <c r="H14" s="10">
        <v>25</v>
      </c>
      <c r="I14" s="10">
        <f>G14-H14</f>
        <v>810</v>
      </c>
      <c r="J14" t="s">
        <v>485</v>
      </c>
      <c r="K14" t="s">
        <v>20</v>
      </c>
      <c r="L14" t="s">
        <v>481</v>
      </c>
      <c r="Q14">
        <v>1</v>
      </c>
    </row>
    <row r="15" spans="1:17" x14ac:dyDescent="0.25">
      <c r="B15" t="s">
        <v>16</v>
      </c>
      <c r="C15" t="s">
        <v>514</v>
      </c>
      <c r="D15" t="s">
        <v>515</v>
      </c>
      <c r="E15" t="s">
        <v>516</v>
      </c>
      <c r="F15" s="8">
        <v>2</v>
      </c>
      <c r="G15" s="10">
        <v>820</v>
      </c>
      <c r="H15" s="10">
        <v>30</v>
      </c>
      <c r="I15" s="10">
        <f>G15-H15</f>
        <v>790</v>
      </c>
      <c r="J15" t="s">
        <v>20</v>
      </c>
      <c r="K15" t="s">
        <v>20</v>
      </c>
      <c r="L15" t="s">
        <v>481</v>
      </c>
      <c r="Q15">
        <v>1</v>
      </c>
    </row>
    <row r="16" spans="1:17" x14ac:dyDescent="0.25">
      <c r="B16" t="s">
        <v>16</v>
      </c>
      <c r="C16" t="s">
        <v>441</v>
      </c>
      <c r="D16" t="s">
        <v>517</v>
      </c>
      <c r="E16" t="s">
        <v>443</v>
      </c>
      <c r="F16" s="8">
        <v>5</v>
      </c>
      <c r="G16" s="10">
        <v>0</v>
      </c>
      <c r="H16" s="10">
        <v>25</v>
      </c>
      <c r="I16" s="10">
        <f>-H16</f>
        <v>-25</v>
      </c>
      <c r="J16" t="s">
        <v>25</v>
      </c>
      <c r="K16" t="s">
        <v>20</v>
      </c>
      <c r="L16" t="s">
        <v>481</v>
      </c>
      <c r="Q16">
        <v>1</v>
      </c>
    </row>
    <row r="17" spans="2:17" x14ac:dyDescent="0.25">
      <c r="B17" t="s">
        <v>16</v>
      </c>
      <c r="C17" t="s">
        <v>518</v>
      </c>
      <c r="D17" t="s">
        <v>519</v>
      </c>
      <c r="E17" t="s">
        <v>520</v>
      </c>
      <c r="F17" s="8">
        <v>1</v>
      </c>
      <c r="G17" s="10">
        <v>0</v>
      </c>
      <c r="H17" s="10">
        <v>25</v>
      </c>
      <c r="I17" s="10">
        <f>-H17</f>
        <v>-25</v>
      </c>
      <c r="J17" t="s">
        <v>25</v>
      </c>
      <c r="K17" t="s">
        <v>20</v>
      </c>
      <c r="L17" t="s">
        <v>481</v>
      </c>
      <c r="Q17">
        <v>1</v>
      </c>
    </row>
    <row r="18" spans="2:17" x14ac:dyDescent="0.25">
      <c r="B18" t="s">
        <v>16</v>
      </c>
      <c r="C18" t="s">
        <v>521</v>
      </c>
      <c r="D18" t="s">
        <v>522</v>
      </c>
      <c r="E18" t="s">
        <v>523</v>
      </c>
      <c r="F18" s="8">
        <v>2</v>
      </c>
      <c r="G18" s="10">
        <v>0</v>
      </c>
      <c r="H18" s="10">
        <v>30</v>
      </c>
      <c r="I18" s="10">
        <f>-H18</f>
        <v>-30</v>
      </c>
      <c r="J18" t="s">
        <v>20</v>
      </c>
      <c r="K18" t="s">
        <v>20</v>
      </c>
      <c r="L18" t="s">
        <v>481</v>
      </c>
      <c r="Q18">
        <v>1</v>
      </c>
    </row>
    <row r="19" spans="2:17" x14ac:dyDescent="0.25">
      <c r="B19" t="s">
        <v>16</v>
      </c>
      <c r="C19" t="s">
        <v>313</v>
      </c>
      <c r="D19" t="s">
        <v>524</v>
      </c>
      <c r="E19" t="s">
        <v>525</v>
      </c>
      <c r="F19" s="8" t="s">
        <v>116</v>
      </c>
      <c r="G19" s="10">
        <v>0</v>
      </c>
      <c r="H19" s="10">
        <v>25</v>
      </c>
      <c r="I19" s="10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>
        <v>1</v>
      </c>
    </row>
    <row r="20" spans="2:17" x14ac:dyDescent="0.25">
      <c r="B20" t="s">
        <v>16</v>
      </c>
      <c r="C20" t="s">
        <v>526</v>
      </c>
      <c r="D20" t="s">
        <v>527</v>
      </c>
      <c r="E20" t="s">
        <v>528</v>
      </c>
      <c r="F20" s="8" t="s">
        <v>47</v>
      </c>
      <c r="G20" s="10">
        <v>0</v>
      </c>
      <c r="H20" s="10">
        <v>30</v>
      </c>
      <c r="I20" s="10">
        <f>-H20</f>
        <v>-30</v>
      </c>
      <c r="J20" t="s">
        <v>485</v>
      </c>
      <c r="K20" t="s">
        <v>20</v>
      </c>
      <c r="L20" t="s">
        <v>481</v>
      </c>
      <c r="Q20">
        <v>1</v>
      </c>
    </row>
    <row r="21" spans="2:17" x14ac:dyDescent="0.25">
      <c r="B21" t="s">
        <v>16</v>
      </c>
      <c r="C21" t="s">
        <v>529</v>
      </c>
      <c r="D21" t="s">
        <v>530</v>
      </c>
      <c r="E21" t="s">
        <v>531</v>
      </c>
      <c r="F21" s="8" t="s">
        <v>51</v>
      </c>
      <c r="G21" s="10">
        <v>810</v>
      </c>
      <c r="H21" s="10">
        <v>20</v>
      </c>
      <c r="I21" s="10">
        <f t="shared" ref="I21:I31" si="0">G21-H21</f>
        <v>790</v>
      </c>
      <c r="J21" t="s">
        <v>20</v>
      </c>
      <c r="K21" t="s">
        <v>20</v>
      </c>
      <c r="L21" t="s">
        <v>481</v>
      </c>
      <c r="Q21">
        <v>1</v>
      </c>
    </row>
    <row r="22" spans="2:17" x14ac:dyDescent="0.25">
      <c r="B22" t="s">
        <v>16</v>
      </c>
      <c r="C22" t="s">
        <v>532</v>
      </c>
      <c r="D22" t="s">
        <v>533</v>
      </c>
      <c r="E22" t="s">
        <v>534</v>
      </c>
      <c r="F22" s="8">
        <v>7</v>
      </c>
      <c r="G22" s="10">
        <v>470</v>
      </c>
      <c r="H22" s="10">
        <v>30</v>
      </c>
      <c r="I22" s="10">
        <f t="shared" si="0"/>
        <v>440</v>
      </c>
      <c r="J22" t="s">
        <v>485</v>
      </c>
      <c r="K22" t="s">
        <v>20</v>
      </c>
      <c r="L22" t="s">
        <v>481</v>
      </c>
      <c r="Q22">
        <v>1</v>
      </c>
    </row>
    <row r="23" spans="2:17" x14ac:dyDescent="0.25">
      <c r="B23" t="s">
        <v>16</v>
      </c>
      <c r="C23" t="s">
        <v>535</v>
      </c>
      <c r="D23" t="s">
        <v>536</v>
      </c>
      <c r="E23" t="s">
        <v>537</v>
      </c>
      <c r="F23" s="8">
        <v>1</v>
      </c>
      <c r="G23" s="10">
        <v>745</v>
      </c>
      <c r="H23" s="10">
        <v>25</v>
      </c>
      <c r="I23" s="10">
        <f t="shared" si="0"/>
        <v>720</v>
      </c>
      <c r="J23" t="s">
        <v>25</v>
      </c>
      <c r="K23" t="s">
        <v>20</v>
      </c>
      <c r="L23" t="s">
        <v>481</v>
      </c>
      <c r="Q23">
        <v>1</v>
      </c>
    </row>
    <row r="24" spans="2:17" x14ac:dyDescent="0.25">
      <c r="B24" t="s">
        <v>16</v>
      </c>
      <c r="C24" t="s">
        <v>538</v>
      </c>
      <c r="D24" t="s">
        <v>539</v>
      </c>
      <c r="E24" t="s">
        <v>540</v>
      </c>
      <c r="F24" s="8">
        <v>7</v>
      </c>
      <c r="G24" s="10">
        <v>750</v>
      </c>
      <c r="H24" s="10">
        <v>30</v>
      </c>
      <c r="I24" s="10">
        <f t="shared" si="0"/>
        <v>720</v>
      </c>
      <c r="J24" t="s">
        <v>485</v>
      </c>
      <c r="K24" t="s">
        <v>20</v>
      </c>
      <c r="L24" t="s">
        <v>481</v>
      </c>
      <c r="Q24">
        <v>1</v>
      </c>
    </row>
    <row r="25" spans="2:17" x14ac:dyDescent="0.25">
      <c r="B25" t="s">
        <v>16</v>
      </c>
      <c r="C25" t="s">
        <v>541</v>
      </c>
      <c r="D25" t="s">
        <v>542</v>
      </c>
      <c r="E25" t="s">
        <v>543</v>
      </c>
      <c r="F25" s="8">
        <v>8</v>
      </c>
      <c r="G25" s="10">
        <v>1065</v>
      </c>
      <c r="H25" s="10">
        <v>25</v>
      </c>
      <c r="I25" s="10">
        <f t="shared" si="0"/>
        <v>1040</v>
      </c>
      <c r="J25" t="s">
        <v>485</v>
      </c>
      <c r="K25" t="s">
        <v>20</v>
      </c>
      <c r="L25" t="s">
        <v>481</v>
      </c>
      <c r="Q25">
        <v>1</v>
      </c>
    </row>
    <row r="26" spans="2:17" x14ac:dyDescent="0.25">
      <c r="B26" t="s">
        <v>16</v>
      </c>
      <c r="C26" t="s">
        <v>544</v>
      </c>
      <c r="D26" t="s">
        <v>545</v>
      </c>
      <c r="E26" t="s">
        <v>546</v>
      </c>
      <c r="F26" s="8" t="s">
        <v>33</v>
      </c>
      <c r="G26" s="10">
        <v>820</v>
      </c>
      <c r="H26" s="10">
        <v>30</v>
      </c>
      <c r="I26" s="10">
        <f t="shared" si="0"/>
        <v>790</v>
      </c>
      <c r="J26" t="s">
        <v>20</v>
      </c>
      <c r="K26" t="s">
        <v>20</v>
      </c>
      <c r="L26" t="s">
        <v>481</v>
      </c>
      <c r="Q26">
        <v>1</v>
      </c>
    </row>
    <row r="27" spans="2:17" x14ac:dyDescent="0.25">
      <c r="B27" t="s">
        <v>16</v>
      </c>
      <c r="C27" t="s">
        <v>547</v>
      </c>
      <c r="D27" t="s">
        <v>548</v>
      </c>
      <c r="E27" t="s">
        <v>549</v>
      </c>
      <c r="F27" s="8" t="s">
        <v>33</v>
      </c>
      <c r="G27" s="10">
        <v>610</v>
      </c>
      <c r="H27" s="10">
        <v>30</v>
      </c>
      <c r="I27" s="10">
        <f t="shared" si="0"/>
        <v>580</v>
      </c>
      <c r="J27" t="s">
        <v>20</v>
      </c>
      <c r="K27" t="s">
        <v>20</v>
      </c>
      <c r="L27" t="s">
        <v>481</v>
      </c>
      <c r="Q27">
        <v>1</v>
      </c>
    </row>
    <row r="28" spans="2:17" x14ac:dyDescent="0.25">
      <c r="B28" t="s">
        <v>16</v>
      </c>
      <c r="C28" t="s">
        <v>550</v>
      </c>
      <c r="D28" t="s">
        <v>551</v>
      </c>
      <c r="E28" t="s">
        <v>552</v>
      </c>
      <c r="F28" s="8">
        <v>1</v>
      </c>
      <c r="G28" s="10">
        <v>815</v>
      </c>
      <c r="H28" s="10">
        <v>25</v>
      </c>
      <c r="I28" s="10">
        <f t="shared" si="0"/>
        <v>790</v>
      </c>
      <c r="J28" t="s">
        <v>25</v>
      </c>
      <c r="K28" t="s">
        <v>20</v>
      </c>
      <c r="L28" t="s">
        <v>481</v>
      </c>
      <c r="Q28">
        <v>1</v>
      </c>
    </row>
    <row r="29" spans="2:17" x14ac:dyDescent="0.25">
      <c r="B29" t="s">
        <v>16</v>
      </c>
      <c r="C29" t="s">
        <v>553</v>
      </c>
      <c r="D29" t="s">
        <v>554</v>
      </c>
      <c r="E29" t="s">
        <v>555</v>
      </c>
      <c r="F29" s="8" t="s">
        <v>95</v>
      </c>
      <c r="G29" s="10">
        <v>745</v>
      </c>
      <c r="H29" s="10">
        <v>25</v>
      </c>
      <c r="I29" s="10">
        <f t="shared" si="0"/>
        <v>720</v>
      </c>
      <c r="J29" t="s">
        <v>20</v>
      </c>
      <c r="K29" t="s">
        <v>20</v>
      </c>
      <c r="L29" t="s">
        <v>481</v>
      </c>
      <c r="Q29">
        <v>1</v>
      </c>
    </row>
    <row r="30" spans="2:17" x14ac:dyDescent="0.25">
      <c r="B30" t="s">
        <v>16</v>
      </c>
      <c r="C30" t="s">
        <v>556</v>
      </c>
      <c r="D30" t="s">
        <v>557</v>
      </c>
      <c r="E30" t="s">
        <v>558</v>
      </c>
      <c r="F30" s="8" t="s">
        <v>116</v>
      </c>
      <c r="G30" s="10">
        <v>1595</v>
      </c>
      <c r="H30" s="10">
        <v>25</v>
      </c>
      <c r="I30" s="10">
        <f t="shared" si="0"/>
        <v>1570</v>
      </c>
      <c r="J30" t="s">
        <v>20</v>
      </c>
      <c r="K30" t="s">
        <v>20</v>
      </c>
      <c r="L30" t="s">
        <v>481</v>
      </c>
      <c r="Q30">
        <v>1</v>
      </c>
    </row>
    <row r="31" spans="2:17" x14ac:dyDescent="0.25">
      <c r="B31" t="s">
        <v>16</v>
      </c>
      <c r="C31" t="s">
        <v>73</v>
      </c>
      <c r="D31" t="s">
        <v>292</v>
      </c>
      <c r="E31" t="s">
        <v>293</v>
      </c>
      <c r="F31" s="8" t="s">
        <v>116</v>
      </c>
      <c r="G31" s="10">
        <v>845</v>
      </c>
      <c r="H31" s="10">
        <v>25</v>
      </c>
      <c r="I31" s="10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>
        <v>1</v>
      </c>
    </row>
    <row r="32" spans="2:17" x14ac:dyDescent="0.25">
      <c r="B32" t="s">
        <v>16</v>
      </c>
      <c r="C32" t="s">
        <v>309</v>
      </c>
      <c r="D32" t="s">
        <v>310</v>
      </c>
      <c r="E32" t="s">
        <v>311</v>
      </c>
      <c r="F32" s="8">
        <v>1</v>
      </c>
      <c r="G32" s="10">
        <v>0</v>
      </c>
      <c r="H32" s="10">
        <v>25</v>
      </c>
      <c r="I32" s="10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>
        <v>1</v>
      </c>
    </row>
    <row r="33" spans="1:17" x14ac:dyDescent="0.25">
      <c r="B33" t="s">
        <v>16</v>
      </c>
      <c r="C33" t="s">
        <v>319</v>
      </c>
      <c r="D33" t="s">
        <v>320</v>
      </c>
      <c r="E33" t="s">
        <v>321</v>
      </c>
      <c r="F33" s="8" t="s">
        <v>51</v>
      </c>
      <c r="G33" s="10">
        <v>2600</v>
      </c>
      <c r="H33" s="10">
        <v>25</v>
      </c>
      <c r="I33" s="10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>
        <v>1</v>
      </c>
    </row>
    <row r="34" spans="1:17" x14ac:dyDescent="0.25">
      <c r="B34" t="s">
        <v>16</v>
      </c>
      <c r="C34" t="s">
        <v>326</v>
      </c>
      <c r="D34" t="s">
        <v>327</v>
      </c>
      <c r="E34" t="s">
        <v>328</v>
      </c>
      <c r="F34" s="8">
        <v>10</v>
      </c>
      <c r="G34" s="10">
        <v>25</v>
      </c>
      <c r="H34" s="10">
        <v>25</v>
      </c>
      <c r="I34" s="10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>
        <v>1</v>
      </c>
    </row>
    <row r="35" spans="1:17" x14ac:dyDescent="0.25">
      <c r="B35" t="s">
        <v>16</v>
      </c>
      <c r="C35" t="s">
        <v>559</v>
      </c>
      <c r="D35" t="s">
        <v>560</v>
      </c>
      <c r="E35" t="s">
        <v>561</v>
      </c>
      <c r="F35" s="8">
        <v>12</v>
      </c>
      <c r="G35" s="10">
        <v>0</v>
      </c>
      <c r="H35" s="10">
        <v>30</v>
      </c>
      <c r="I35" s="10">
        <f>-H35</f>
        <v>-30</v>
      </c>
      <c r="J35" t="s">
        <v>485</v>
      </c>
      <c r="K35" t="s">
        <v>20</v>
      </c>
      <c r="L35" t="s">
        <v>481</v>
      </c>
      <c r="Q35">
        <v>1</v>
      </c>
    </row>
    <row r="36" spans="1:17" x14ac:dyDescent="0.25">
      <c r="B36" t="s">
        <v>16</v>
      </c>
      <c r="C36" t="s">
        <v>562</v>
      </c>
      <c r="D36" t="s">
        <v>563</v>
      </c>
      <c r="E36" t="s">
        <v>564</v>
      </c>
      <c r="F36" s="8">
        <v>9</v>
      </c>
      <c r="G36" s="10">
        <v>850</v>
      </c>
      <c r="H36" s="10">
        <v>30</v>
      </c>
      <c r="I36" s="10">
        <f>G36-H36</f>
        <v>820</v>
      </c>
      <c r="J36" t="s">
        <v>485</v>
      </c>
      <c r="K36" t="s">
        <v>20</v>
      </c>
      <c r="L36" t="s">
        <v>481</v>
      </c>
      <c r="Q36">
        <v>1</v>
      </c>
    </row>
    <row r="37" spans="1:17" x14ac:dyDescent="0.25">
      <c r="A37" t="s">
        <v>253</v>
      </c>
      <c r="B37" t="s">
        <v>16</v>
      </c>
      <c r="C37" t="s">
        <v>565</v>
      </c>
      <c r="E37" t="s">
        <v>566</v>
      </c>
      <c r="F37" s="8">
        <v>9</v>
      </c>
      <c r="G37" s="10">
        <v>1065</v>
      </c>
      <c r="H37" s="10">
        <v>35</v>
      </c>
      <c r="I37" s="10">
        <f>G37-H37</f>
        <v>1030</v>
      </c>
      <c r="J37" t="s">
        <v>239</v>
      </c>
      <c r="K37" t="s">
        <v>20</v>
      </c>
      <c r="L37" t="s">
        <v>481</v>
      </c>
      <c r="Q37">
        <v>1</v>
      </c>
    </row>
    <row r="38" spans="1:17" x14ac:dyDescent="0.25">
      <c r="A38" t="s">
        <v>253</v>
      </c>
      <c r="B38" t="s">
        <v>16</v>
      </c>
      <c r="C38" t="s">
        <v>567</v>
      </c>
      <c r="E38" t="s">
        <v>568</v>
      </c>
      <c r="F38" s="8">
        <v>4</v>
      </c>
      <c r="G38" s="10">
        <v>0</v>
      </c>
      <c r="H38" s="10">
        <v>25</v>
      </c>
      <c r="I38" s="10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>
        <v>1</v>
      </c>
    </row>
    <row r="39" spans="1:17" x14ac:dyDescent="0.25">
      <c r="A39" t="s">
        <v>253</v>
      </c>
      <c r="B39" t="s">
        <v>16</v>
      </c>
      <c r="C39" t="s">
        <v>569</v>
      </c>
      <c r="E39" t="s">
        <v>570</v>
      </c>
      <c r="F39" s="8" t="s">
        <v>116</v>
      </c>
      <c r="G39" s="10">
        <v>2170</v>
      </c>
      <c r="H39" s="10">
        <v>30</v>
      </c>
      <c r="I39" s="10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>
        <v>1</v>
      </c>
    </row>
    <row r="40" spans="1:17" x14ac:dyDescent="0.25">
      <c r="A40" t="s">
        <v>253</v>
      </c>
      <c r="B40" t="s">
        <v>16</v>
      </c>
      <c r="C40" t="s">
        <v>572</v>
      </c>
      <c r="E40" t="s">
        <v>573</v>
      </c>
      <c r="F40" s="8" t="s">
        <v>116</v>
      </c>
      <c r="G40" s="10">
        <v>30</v>
      </c>
      <c r="H40" s="10">
        <v>30</v>
      </c>
      <c r="I40" s="10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>
        <v>1</v>
      </c>
    </row>
    <row r="43" spans="1:17" x14ac:dyDescent="0.25">
      <c r="G43">
        <f t="shared" ref="G43:Q43" si="1">SUBTOTAL(9,G3:G40)</f>
        <v>23700</v>
      </c>
      <c r="H43">
        <f t="shared" si="1"/>
        <v>1035</v>
      </c>
      <c r="I43">
        <f t="shared" si="1"/>
        <v>22665</v>
      </c>
      <c r="J43">
        <f t="shared" si="1"/>
        <v>0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38</v>
      </c>
    </row>
    <row r="45" spans="1:17" ht="15" customHeight="1" x14ac:dyDescent="0.25">
      <c r="A45" s="20" t="s">
        <v>16</v>
      </c>
      <c r="B45" s="20"/>
      <c r="C45" s="85" t="s">
        <v>262</v>
      </c>
      <c r="D45" s="86"/>
      <c r="E45" s="56" t="s">
        <v>263</v>
      </c>
      <c r="F45" s="21"/>
      <c r="G45" s="21"/>
      <c r="H45" s="22"/>
      <c r="I45" s="21"/>
      <c r="J45" s="21"/>
      <c r="K45" s="20" t="s">
        <v>239</v>
      </c>
      <c r="L45" s="57" t="s">
        <v>264</v>
      </c>
      <c r="M45" s="57" t="s">
        <v>263</v>
      </c>
      <c r="N45" s="21"/>
      <c r="O45" s="21" t="s">
        <v>462</v>
      </c>
      <c r="P45" s="23" t="s">
        <v>590</v>
      </c>
      <c r="Q45" s="21"/>
    </row>
    <row r="46" spans="1:17" ht="15" customHeight="1" x14ac:dyDescent="0.25">
      <c r="A46" s="9" t="s">
        <v>481</v>
      </c>
      <c r="B46" s="20" t="s">
        <v>265</v>
      </c>
      <c r="C46" s="87">
        <f>SUMIFS(G$3:G$82,$B$3:$B$82,$A45,$L$3:$L$82,$A46)</f>
        <v>20230</v>
      </c>
      <c r="D46" s="88"/>
      <c r="E46" s="24">
        <f>SUMIFS(Q$3:Q$82,$B$3:$B$82,$A45,$L$3:$L$82,$A46)</f>
        <v>34</v>
      </c>
      <c r="F46" s="25" t="s">
        <v>464</v>
      </c>
      <c r="G46" s="21"/>
      <c r="H46" s="22"/>
      <c r="I46" s="21"/>
      <c r="J46" s="21"/>
      <c r="K46" s="26" t="s">
        <v>266</v>
      </c>
      <c r="L46" s="27">
        <f>SUMIFS(G$3:G$82,$J$3:$J$82,$K45)</f>
        <v>1455</v>
      </c>
      <c r="M46" s="27">
        <f>SUMIFS(Q3:Q77,J3:J77,K45)</f>
        <v>2</v>
      </c>
      <c r="N46" s="21"/>
      <c r="O46" s="28" t="s">
        <v>465</v>
      </c>
      <c r="P46" s="28">
        <v>11243</v>
      </c>
      <c r="Q46" s="21"/>
    </row>
    <row r="47" spans="1:17" ht="15" customHeight="1" x14ac:dyDescent="0.25">
      <c r="A47" s="21"/>
      <c r="B47" s="29" t="s">
        <v>466</v>
      </c>
      <c r="C47" s="89">
        <f>-SUMIFS(H$3:H$82,$B$3:$B$82,$A45,$L$3:$L$82,$A46)</f>
        <v>-935</v>
      </c>
      <c r="D47" s="90"/>
      <c r="E47" s="30">
        <f>SUMIFS(Q$3:Q$82,$B$3:$B$82,$A45,$L$3:$L$82,$A46)</f>
        <v>34</v>
      </c>
      <c r="F47" s="21"/>
      <c r="G47" s="21"/>
      <c r="H47" s="21"/>
      <c r="I47" s="21"/>
      <c r="J47" s="21"/>
      <c r="K47" s="26" t="s">
        <v>268</v>
      </c>
      <c r="L47" s="27"/>
      <c r="M47" s="31"/>
      <c r="N47" s="21"/>
      <c r="O47" s="28" t="s">
        <v>467</v>
      </c>
      <c r="P47" s="28">
        <v>1345</v>
      </c>
      <c r="Q47" s="21"/>
    </row>
    <row r="48" spans="1:17" ht="15" customHeight="1" x14ac:dyDescent="0.25">
      <c r="A48" s="21"/>
      <c r="B48" s="26" t="s">
        <v>269</v>
      </c>
      <c r="C48" s="91">
        <f>-SUMIFS(I$3:I$70,$B$3:$B$70,$A45,$P$3:$P$70,"xx",$N$3:$N$70,"x")</f>
        <v>-3370</v>
      </c>
      <c r="D48" s="92"/>
      <c r="E48" s="32">
        <f>SUMIFS($Q$3:$Q$90,$B$3:$B$90,$A45,$P$3:$P$90,"xx",$N$3:$N$90,"x")</f>
        <v>4</v>
      </c>
      <c r="F48" s="21"/>
      <c r="G48" s="21"/>
      <c r="H48" s="21"/>
      <c r="I48" s="21"/>
      <c r="J48" s="21"/>
      <c r="K48" s="33" t="s">
        <v>468</v>
      </c>
      <c r="L48" s="34"/>
      <c r="M48" s="31"/>
      <c r="N48" s="21"/>
      <c r="O48" s="28" t="s">
        <v>469</v>
      </c>
      <c r="P48" s="28">
        <v>14282</v>
      </c>
      <c r="Q48" s="21"/>
    </row>
    <row r="49" spans="1:17" ht="15" customHeight="1" x14ac:dyDescent="0.25">
      <c r="A49" s="21"/>
      <c r="B49" s="58" t="s">
        <v>270</v>
      </c>
      <c r="C49" s="93">
        <f>SUBTOTAL(9,C45:C48)</f>
        <v>15925</v>
      </c>
      <c r="D49" s="94"/>
      <c r="E49" s="59">
        <f>E46</f>
        <v>34</v>
      </c>
      <c r="F49" s="21"/>
      <c r="G49" s="21"/>
      <c r="H49" s="21"/>
      <c r="I49" s="21"/>
      <c r="J49" s="21"/>
      <c r="K49" s="35" t="s">
        <v>72</v>
      </c>
      <c r="L49" s="36"/>
      <c r="M49" s="36"/>
      <c r="N49" s="21"/>
      <c r="O49" s="28" t="s">
        <v>470</v>
      </c>
      <c r="P49" s="28">
        <v>6005</v>
      </c>
      <c r="Q49" s="21"/>
    </row>
    <row r="50" spans="1:17" ht="15" customHeight="1" x14ac:dyDescent="0.25">
      <c r="A50" s="21"/>
      <c r="B50" s="60" t="s">
        <v>471</v>
      </c>
      <c r="C50" s="79"/>
      <c r="D50" s="80"/>
      <c r="E50" s="31"/>
      <c r="F50" s="21"/>
      <c r="I50" s="21"/>
      <c r="J50" s="21"/>
      <c r="K50" s="61" t="s">
        <v>272</v>
      </c>
      <c r="L50" s="62"/>
      <c r="M50" s="62"/>
      <c r="N50" s="21"/>
      <c r="O50" s="28" t="s">
        <v>472</v>
      </c>
      <c r="P50" s="28">
        <f>-C52</f>
        <v>-15925</v>
      </c>
      <c r="Q50" s="21"/>
    </row>
    <row r="51" spans="1:17" ht="15" customHeight="1" x14ac:dyDescent="0.25">
      <c r="A51" s="21"/>
      <c r="B51" s="63" t="s">
        <v>273</v>
      </c>
      <c r="C51" s="81"/>
      <c r="D51" s="82"/>
      <c r="E51" s="64"/>
      <c r="F51" s="21"/>
      <c r="I51" s="21"/>
      <c r="J51" s="21"/>
      <c r="K51" s="65"/>
      <c r="L51" s="66">
        <f>SUBTOTAL(9,L46:L50)</f>
        <v>1455</v>
      </c>
      <c r="M51" s="66">
        <f>SUBTOTAL(9,M46:M50)</f>
        <v>2</v>
      </c>
      <c r="O51" s="67" t="s">
        <v>473</v>
      </c>
      <c r="P51" s="68">
        <f>SUBTOTAL(9,P46:P50)</f>
        <v>16950</v>
      </c>
      <c r="Q51" s="21"/>
    </row>
    <row r="52" spans="1:17" ht="15" customHeight="1" x14ac:dyDescent="0.25">
      <c r="A52" s="21"/>
      <c r="B52" s="26" t="s">
        <v>274</v>
      </c>
      <c r="C52" s="83">
        <f>C49+C50+C51</f>
        <v>15925</v>
      </c>
      <c r="D52" s="84"/>
      <c r="E52" s="37" t="s">
        <v>474</v>
      </c>
      <c r="F52" s="21"/>
      <c r="G52" s="21"/>
      <c r="J52" s="21"/>
      <c r="K52" s="21"/>
      <c r="L52" s="69"/>
      <c r="M52" s="69"/>
      <c r="N52" s="69"/>
      <c r="O52" s="21"/>
      <c r="P52" s="21"/>
      <c r="Q52" s="21"/>
    </row>
    <row r="53" spans="1:17" x14ac:dyDescent="0.25">
      <c r="K53" s="20" t="s">
        <v>25</v>
      </c>
      <c r="L53" s="57" t="s">
        <v>264</v>
      </c>
      <c r="M53" s="57" t="s">
        <v>263</v>
      </c>
    </row>
    <row r="54" spans="1:17" ht="15" customHeight="1" x14ac:dyDescent="0.25">
      <c r="K54" s="26" t="s">
        <v>266</v>
      </c>
      <c r="L54" s="27">
        <f>SUMIFS(G$3:G$82,$J$3:$J$82,$K53)</f>
        <v>3655</v>
      </c>
      <c r="M54" s="27">
        <f>SUMIFS(Q3:Q77,J3:J77,K53)</f>
        <v>9</v>
      </c>
    </row>
    <row r="55" spans="1:17" ht="15" customHeight="1" x14ac:dyDescent="0.25">
      <c r="K55" s="26" t="s">
        <v>268</v>
      </c>
      <c r="L55" s="27"/>
      <c r="M55" s="31"/>
    </row>
    <row r="56" spans="1:17" ht="15" customHeight="1" x14ac:dyDescent="0.25">
      <c r="K56" s="33" t="s">
        <v>468</v>
      </c>
      <c r="L56" s="34"/>
      <c r="M56" s="31"/>
    </row>
    <row r="57" spans="1:17" ht="15" customHeight="1" x14ac:dyDescent="0.25">
      <c r="K57" s="35" t="s">
        <v>72</v>
      </c>
      <c r="L57" s="36"/>
      <c r="M57" s="36"/>
    </row>
    <row r="58" spans="1:17" ht="15" customHeight="1" x14ac:dyDescent="0.25">
      <c r="K58" s="61" t="s">
        <v>272</v>
      </c>
      <c r="L58" s="62"/>
      <c r="M58" s="62"/>
    </row>
    <row r="59" spans="1:17" ht="15" customHeight="1" x14ac:dyDescent="0.25">
      <c r="K59" s="65"/>
      <c r="L59" s="66">
        <f>SUBTOTAL(9,L54:L58)</f>
        <v>3655</v>
      </c>
      <c r="M59" s="66">
        <f>SUBTOTAL(9,M54:M58)</f>
        <v>9</v>
      </c>
    </row>
    <row r="61" spans="1:17" x14ac:dyDescent="0.25">
      <c r="K61" s="20" t="s">
        <v>20</v>
      </c>
      <c r="L61" s="57" t="s">
        <v>264</v>
      </c>
      <c r="M61" s="57" t="s">
        <v>263</v>
      </c>
    </row>
    <row r="62" spans="1:17" ht="15" customHeight="1" x14ac:dyDescent="0.25">
      <c r="K62" s="26" t="s">
        <v>266</v>
      </c>
      <c r="L62" s="27">
        <f>SUMIFS(G$3:G$82,$J$3:$J$82,$K61)</f>
        <v>9555</v>
      </c>
      <c r="M62" s="27">
        <f>SUMIFS(Q3:Q77,J3:J77,K61)</f>
        <v>13</v>
      </c>
    </row>
    <row r="63" spans="1:17" ht="15" customHeight="1" x14ac:dyDescent="0.25">
      <c r="K63" s="26" t="s">
        <v>268</v>
      </c>
      <c r="L63" s="27"/>
      <c r="M63" s="31"/>
    </row>
    <row r="64" spans="1:17" ht="15" customHeight="1" x14ac:dyDescent="0.25">
      <c r="K64" s="33" t="s">
        <v>468</v>
      </c>
      <c r="L64" s="34"/>
      <c r="M64" s="31"/>
    </row>
    <row r="65" spans="11:13" ht="15" customHeight="1" x14ac:dyDescent="0.25">
      <c r="K65" s="35" t="s">
        <v>72</v>
      </c>
      <c r="L65" s="36"/>
      <c r="M65" s="36"/>
    </row>
    <row r="66" spans="11:13" ht="15" customHeight="1" x14ac:dyDescent="0.25">
      <c r="K66" s="61" t="s">
        <v>272</v>
      </c>
      <c r="L66" s="62"/>
      <c r="M66" s="62"/>
    </row>
    <row r="67" spans="11:13" ht="15" customHeight="1" x14ac:dyDescent="0.25">
      <c r="K67" s="65"/>
      <c r="L67" s="66">
        <f>SUBTOTAL(9,L62:L66)</f>
        <v>9555</v>
      </c>
      <c r="M67" s="66">
        <f>SUBTOTAL(9,M62:M66)</f>
        <v>13</v>
      </c>
    </row>
    <row r="69" spans="11:13" x14ac:dyDescent="0.25">
      <c r="K69" s="20" t="s">
        <v>485</v>
      </c>
      <c r="L69" s="57" t="s">
        <v>264</v>
      </c>
      <c r="M69" s="57" t="s">
        <v>263</v>
      </c>
    </row>
    <row r="70" spans="11:13" ht="15" customHeight="1" x14ac:dyDescent="0.25">
      <c r="K70" s="26" t="s">
        <v>266</v>
      </c>
      <c r="L70" s="27">
        <f>SUMIFS(G$3:G$82,$J$3:$J$82,$K69)</f>
        <v>5565</v>
      </c>
      <c r="M70" s="27">
        <f>SUMIFS(Q3:Q77,J3:J77,K69)</f>
        <v>10</v>
      </c>
    </row>
    <row r="71" spans="11:13" ht="15" customHeight="1" x14ac:dyDescent="0.25">
      <c r="K71" s="26" t="s">
        <v>268</v>
      </c>
      <c r="L71" s="27"/>
      <c r="M71" s="31"/>
    </row>
    <row r="72" spans="11:13" ht="15" customHeight="1" x14ac:dyDescent="0.25">
      <c r="K72" s="33" t="s">
        <v>468</v>
      </c>
      <c r="L72" s="34"/>
      <c r="M72" s="31"/>
    </row>
    <row r="73" spans="11:13" ht="15" customHeight="1" x14ac:dyDescent="0.25">
      <c r="K73" s="35" t="s">
        <v>72</v>
      </c>
      <c r="L73" s="36"/>
      <c r="M73" s="36"/>
    </row>
    <row r="74" spans="11:13" ht="15" customHeight="1" x14ac:dyDescent="0.25">
      <c r="K74" s="61" t="s">
        <v>272</v>
      </c>
      <c r="L74" s="62"/>
      <c r="M74" s="62"/>
    </row>
    <row r="75" spans="11:13" ht="15" customHeight="1" x14ac:dyDescent="0.25">
      <c r="K75" s="65"/>
      <c r="L75" s="66">
        <f>SUBTOTAL(9,L70:L74)</f>
        <v>5565</v>
      </c>
      <c r="M75" s="66">
        <f>SUBTOTAL(9,M70:M74)</f>
        <v>10</v>
      </c>
    </row>
  </sheetData>
  <autoFilter ref="A2:P40" xr:uid="{00000000-0009-0000-0000-000003000000}"/>
  <mergeCells count="8">
    <mergeCell ref="C50:D50"/>
    <mergeCell ref="C51:D51"/>
    <mergeCell ref="C52:D52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BA487-CF78-4B18-9BFE-7F26F31E27D9}">
  <dimension ref="A1:Q59"/>
  <sheetViews>
    <sheetView workbookViewId="0">
      <selection sqref="A1 A1:XFD1"/>
    </sheetView>
  </sheetViews>
  <sheetFormatPr defaultRowHeight="15" x14ac:dyDescent="0.25"/>
  <cols>
    <col min="1" max="1" width="12.28515625" customWidth="1"/>
    <col min="2" max="2" width="19.140625" customWidth="1"/>
    <col min="3" max="3" width="20.28515625" customWidth="1"/>
    <col min="4" max="4" width="10.140625" customWidth="1"/>
    <col min="5" max="5" width="49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7.14062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1" spans="1:17" x14ac:dyDescent="0.25">
      <c r="B1" t="s">
        <v>591</v>
      </c>
      <c r="C1" t="s">
        <v>592</v>
      </c>
    </row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593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95</v>
      </c>
      <c r="G3" s="10">
        <v>385</v>
      </c>
      <c r="H3" s="10">
        <v>25</v>
      </c>
      <c r="I3" s="10">
        <f t="shared" ref="I3:I11" si="0">G3-H3</f>
        <v>360</v>
      </c>
      <c r="J3" t="s">
        <v>20</v>
      </c>
      <c r="K3" t="s">
        <v>20</v>
      </c>
      <c r="L3" t="s">
        <v>597</v>
      </c>
      <c r="Q3" s="10">
        <v>1</v>
      </c>
    </row>
    <row r="4" spans="1:17" x14ac:dyDescent="0.25">
      <c r="B4" t="s">
        <v>16</v>
      </c>
      <c r="C4" t="s">
        <v>598</v>
      </c>
      <c r="D4" t="s">
        <v>599</v>
      </c>
      <c r="E4" t="s">
        <v>600</v>
      </c>
      <c r="F4" s="10">
        <v>7</v>
      </c>
      <c r="G4" s="10">
        <v>130</v>
      </c>
      <c r="H4" s="10">
        <v>30</v>
      </c>
      <c r="I4" s="10">
        <f t="shared" si="0"/>
        <v>100</v>
      </c>
      <c r="J4" t="s">
        <v>25</v>
      </c>
      <c r="K4" t="s">
        <v>20</v>
      </c>
      <c r="L4" t="s">
        <v>597</v>
      </c>
      <c r="Q4" s="10">
        <v>1</v>
      </c>
    </row>
    <row r="5" spans="1:17" x14ac:dyDescent="0.25">
      <c r="B5" t="s">
        <v>16</v>
      </c>
      <c r="C5" t="s">
        <v>601</v>
      </c>
      <c r="D5" t="s">
        <v>602</v>
      </c>
      <c r="E5" t="s">
        <v>603</v>
      </c>
      <c r="F5" s="10">
        <v>10</v>
      </c>
      <c r="G5" s="10">
        <v>385</v>
      </c>
      <c r="H5" s="10">
        <v>25</v>
      </c>
      <c r="I5" s="10">
        <f t="shared" si="0"/>
        <v>360</v>
      </c>
      <c r="J5" t="s">
        <v>25</v>
      </c>
      <c r="K5" t="s">
        <v>20</v>
      </c>
      <c r="L5" t="s">
        <v>597</v>
      </c>
      <c r="Q5" s="10">
        <v>1</v>
      </c>
    </row>
    <row r="6" spans="1:17" x14ac:dyDescent="0.25">
      <c r="B6" t="s">
        <v>16</v>
      </c>
      <c r="C6" t="s">
        <v>604</v>
      </c>
      <c r="D6" t="s">
        <v>605</v>
      </c>
      <c r="E6" t="s">
        <v>606</v>
      </c>
      <c r="F6" s="10">
        <v>4</v>
      </c>
      <c r="G6" s="10">
        <v>605</v>
      </c>
      <c r="H6" s="10">
        <v>25</v>
      </c>
      <c r="I6" s="10">
        <f t="shared" si="0"/>
        <v>580</v>
      </c>
      <c r="J6" t="s">
        <v>25</v>
      </c>
      <c r="K6" t="s">
        <v>20</v>
      </c>
      <c r="L6" t="s">
        <v>597</v>
      </c>
      <c r="Q6" s="10">
        <v>1</v>
      </c>
    </row>
    <row r="7" spans="1:17" x14ac:dyDescent="0.25">
      <c r="B7" t="s">
        <v>16</v>
      </c>
      <c r="C7" t="s">
        <v>607</v>
      </c>
      <c r="D7" t="s">
        <v>608</v>
      </c>
      <c r="E7" t="s">
        <v>609</v>
      </c>
      <c r="F7" t="s">
        <v>91</v>
      </c>
      <c r="G7" s="10">
        <v>390</v>
      </c>
      <c r="H7" s="10">
        <v>20</v>
      </c>
      <c r="I7" s="10">
        <f t="shared" si="0"/>
        <v>370</v>
      </c>
      <c r="J7" t="s">
        <v>25</v>
      </c>
      <c r="K7" t="s">
        <v>20</v>
      </c>
      <c r="L7" t="s">
        <v>597</v>
      </c>
      <c r="Q7" s="10">
        <v>1</v>
      </c>
    </row>
    <row r="8" spans="1:17" x14ac:dyDescent="0.25">
      <c r="B8" t="s">
        <v>16</v>
      </c>
      <c r="C8" t="s">
        <v>610</v>
      </c>
      <c r="D8" t="s">
        <v>611</v>
      </c>
      <c r="E8" t="s">
        <v>612</v>
      </c>
      <c r="F8" s="10">
        <v>9</v>
      </c>
      <c r="G8" s="10">
        <v>820</v>
      </c>
      <c r="H8" s="10">
        <v>30</v>
      </c>
      <c r="I8" s="10">
        <f t="shared" si="0"/>
        <v>790</v>
      </c>
      <c r="J8" t="s">
        <v>239</v>
      </c>
      <c r="K8" t="s">
        <v>20</v>
      </c>
      <c r="L8" t="s">
        <v>597</v>
      </c>
      <c r="Q8" s="10">
        <v>1</v>
      </c>
    </row>
    <row r="9" spans="1:17" x14ac:dyDescent="0.25">
      <c r="B9" t="s">
        <v>16</v>
      </c>
      <c r="C9" t="s">
        <v>613</v>
      </c>
      <c r="D9" t="s">
        <v>614</v>
      </c>
      <c r="E9" t="s">
        <v>615</v>
      </c>
      <c r="F9" t="s">
        <v>95</v>
      </c>
      <c r="G9" s="10">
        <v>395</v>
      </c>
      <c r="H9" s="10">
        <v>25</v>
      </c>
      <c r="I9" s="10">
        <f t="shared" si="0"/>
        <v>370</v>
      </c>
      <c r="J9" t="s">
        <v>25</v>
      </c>
      <c r="K9" t="s">
        <v>20</v>
      </c>
      <c r="L9" t="s">
        <v>597</v>
      </c>
      <c r="Q9" s="10">
        <v>1</v>
      </c>
    </row>
    <row r="10" spans="1:17" x14ac:dyDescent="0.25">
      <c r="B10" t="s">
        <v>16</v>
      </c>
      <c r="C10" t="s">
        <v>616</v>
      </c>
      <c r="D10" t="s">
        <v>617</v>
      </c>
      <c r="E10" t="s">
        <v>618</v>
      </c>
      <c r="F10" t="s">
        <v>51</v>
      </c>
      <c r="G10" s="10">
        <v>740</v>
      </c>
      <c r="H10" s="10">
        <v>20</v>
      </c>
      <c r="I10" s="10">
        <f t="shared" si="0"/>
        <v>720</v>
      </c>
      <c r="J10" t="s">
        <v>20</v>
      </c>
      <c r="K10" t="s">
        <v>20</v>
      </c>
      <c r="L10" t="s">
        <v>597</v>
      </c>
      <c r="Q10" s="10">
        <v>1</v>
      </c>
    </row>
    <row r="11" spans="1:17" x14ac:dyDescent="0.25">
      <c r="B11" t="s">
        <v>16</v>
      </c>
      <c r="C11" t="s">
        <v>619</v>
      </c>
      <c r="D11" t="s">
        <v>620</v>
      </c>
      <c r="E11" t="s">
        <v>621</v>
      </c>
      <c r="F11" s="10">
        <v>2</v>
      </c>
      <c r="G11" s="10">
        <v>1690</v>
      </c>
      <c r="H11" s="10">
        <v>30</v>
      </c>
      <c r="I11" s="10">
        <f t="shared" si="0"/>
        <v>1660</v>
      </c>
      <c r="J11" t="s">
        <v>20</v>
      </c>
      <c r="K11" t="s">
        <v>20</v>
      </c>
      <c r="L11" t="s">
        <v>597</v>
      </c>
      <c r="Q11" s="10">
        <v>1</v>
      </c>
    </row>
    <row r="12" spans="1:17" x14ac:dyDescent="0.25">
      <c r="B12" t="s">
        <v>16</v>
      </c>
      <c r="C12" t="s">
        <v>622</v>
      </c>
      <c r="D12" t="s">
        <v>623</v>
      </c>
      <c r="E12" t="s">
        <v>624</v>
      </c>
      <c r="F12" t="s">
        <v>51</v>
      </c>
      <c r="G12" s="10">
        <v>0</v>
      </c>
      <c r="H12" s="10">
        <v>20</v>
      </c>
      <c r="I12" s="10">
        <f>-H12</f>
        <v>-20</v>
      </c>
      <c r="J12" t="s">
        <v>20</v>
      </c>
      <c r="K12" t="s">
        <v>20</v>
      </c>
      <c r="L12" t="s">
        <v>597</v>
      </c>
      <c r="Q12" s="10">
        <v>1</v>
      </c>
    </row>
    <row r="13" spans="1:17" x14ac:dyDescent="0.25">
      <c r="B13" t="s">
        <v>16</v>
      </c>
      <c r="C13" t="s">
        <v>625</v>
      </c>
      <c r="D13" t="s">
        <v>626</v>
      </c>
      <c r="E13" t="s">
        <v>627</v>
      </c>
      <c r="F13" t="s">
        <v>116</v>
      </c>
      <c r="G13" s="10">
        <v>815</v>
      </c>
      <c r="H13" s="10">
        <v>25</v>
      </c>
      <c r="I13" s="10">
        <f>G13-H13</f>
        <v>790</v>
      </c>
      <c r="J13" t="s">
        <v>20</v>
      </c>
      <c r="K13" t="s">
        <v>20</v>
      </c>
      <c r="L13" t="s">
        <v>597</v>
      </c>
      <c r="Q13" s="10">
        <v>1</v>
      </c>
    </row>
    <row r="14" spans="1:17" x14ac:dyDescent="0.25">
      <c r="B14" t="s">
        <v>16</v>
      </c>
      <c r="C14" t="s">
        <v>628</v>
      </c>
      <c r="D14" t="s">
        <v>629</v>
      </c>
      <c r="E14" t="s">
        <v>630</v>
      </c>
      <c r="F14" t="s">
        <v>91</v>
      </c>
      <c r="G14" s="10">
        <v>840</v>
      </c>
      <c r="H14" s="10">
        <v>20</v>
      </c>
      <c r="I14" s="10">
        <f>G14-H14</f>
        <v>820</v>
      </c>
      <c r="J14" t="s">
        <v>25</v>
      </c>
      <c r="K14" t="s">
        <v>20</v>
      </c>
      <c r="L14" t="s">
        <v>597</v>
      </c>
      <c r="Q14" s="10">
        <v>1</v>
      </c>
    </row>
    <row r="15" spans="1:17" x14ac:dyDescent="0.25">
      <c r="B15" t="s">
        <v>16</v>
      </c>
      <c r="C15" t="s">
        <v>631</v>
      </c>
      <c r="D15" t="s">
        <v>632</v>
      </c>
      <c r="E15" t="s">
        <v>633</v>
      </c>
      <c r="F15" s="10">
        <v>2</v>
      </c>
      <c r="G15" s="10">
        <v>0</v>
      </c>
      <c r="H15" s="10">
        <v>30</v>
      </c>
      <c r="I15" s="10">
        <f>-H15</f>
        <v>-30</v>
      </c>
      <c r="J15" t="s">
        <v>20</v>
      </c>
      <c r="K15" t="s">
        <v>20</v>
      </c>
      <c r="L15" t="s">
        <v>597</v>
      </c>
      <c r="M15" t="s">
        <v>312</v>
      </c>
      <c r="Q15" s="10">
        <v>1</v>
      </c>
    </row>
    <row r="16" spans="1:17" x14ac:dyDescent="0.25">
      <c r="B16" t="s">
        <v>16</v>
      </c>
      <c r="C16" t="s">
        <v>634</v>
      </c>
      <c r="D16" t="s">
        <v>635</v>
      </c>
      <c r="E16" t="s">
        <v>636</v>
      </c>
      <c r="F16" s="10">
        <v>4</v>
      </c>
      <c r="G16" s="10">
        <v>0</v>
      </c>
      <c r="H16" s="10">
        <v>25</v>
      </c>
      <c r="I16" s="10">
        <f>-H16</f>
        <v>-25</v>
      </c>
      <c r="J16" t="s">
        <v>25</v>
      </c>
      <c r="K16" t="s">
        <v>20</v>
      </c>
      <c r="L16" t="s">
        <v>597</v>
      </c>
      <c r="Q16" s="10">
        <v>1</v>
      </c>
    </row>
    <row r="17" spans="1:17" x14ac:dyDescent="0.25">
      <c r="B17" t="s">
        <v>16</v>
      </c>
      <c r="C17" t="s">
        <v>637</v>
      </c>
      <c r="D17" t="s">
        <v>638</v>
      </c>
      <c r="E17" t="s">
        <v>639</v>
      </c>
      <c r="F17" t="s">
        <v>47</v>
      </c>
      <c r="G17" s="10">
        <v>710</v>
      </c>
      <c r="H17" s="10">
        <v>30</v>
      </c>
      <c r="I17" s="10">
        <f>G17-H17</f>
        <v>680</v>
      </c>
      <c r="J17" t="s">
        <v>640</v>
      </c>
      <c r="K17" t="s">
        <v>20</v>
      </c>
      <c r="L17" t="s">
        <v>597</v>
      </c>
      <c r="Q17" s="10">
        <v>1</v>
      </c>
    </row>
    <row r="18" spans="1:17" x14ac:dyDescent="0.25">
      <c r="B18" t="s">
        <v>16</v>
      </c>
      <c r="C18" t="s">
        <v>641</v>
      </c>
      <c r="D18" t="s">
        <v>642</v>
      </c>
      <c r="E18" t="s">
        <v>643</v>
      </c>
      <c r="F18" s="10">
        <v>7</v>
      </c>
      <c r="G18" s="10">
        <v>760</v>
      </c>
      <c r="H18" s="10">
        <v>30</v>
      </c>
      <c r="I18" s="10">
        <f>G18-H18</f>
        <v>730</v>
      </c>
      <c r="J18" t="s">
        <v>640</v>
      </c>
      <c r="K18" t="s">
        <v>20</v>
      </c>
      <c r="L18" t="s">
        <v>597</v>
      </c>
      <c r="Q18" s="10">
        <v>1</v>
      </c>
    </row>
    <row r="19" spans="1:17" x14ac:dyDescent="0.25">
      <c r="B19" t="s">
        <v>16</v>
      </c>
      <c r="C19" t="s">
        <v>123</v>
      </c>
      <c r="D19" t="s">
        <v>644</v>
      </c>
      <c r="E19" t="s">
        <v>645</v>
      </c>
      <c r="F19" s="10">
        <v>10</v>
      </c>
      <c r="G19" s="10">
        <v>715</v>
      </c>
      <c r="H19" s="10">
        <v>25</v>
      </c>
      <c r="I19" s="10">
        <f>G19-H19</f>
        <v>690</v>
      </c>
      <c r="J19" t="s">
        <v>25</v>
      </c>
      <c r="K19" t="s">
        <v>20</v>
      </c>
      <c r="L19" t="s">
        <v>597</v>
      </c>
      <c r="Q19" s="10">
        <v>1</v>
      </c>
    </row>
    <row r="20" spans="1:17" x14ac:dyDescent="0.25">
      <c r="B20" t="s">
        <v>16</v>
      </c>
      <c r="C20" t="s">
        <v>482</v>
      </c>
      <c r="D20" t="s">
        <v>646</v>
      </c>
      <c r="E20" t="s">
        <v>647</v>
      </c>
      <c r="F20" s="10">
        <v>8</v>
      </c>
      <c r="G20" s="10">
        <v>365</v>
      </c>
      <c r="H20" s="10">
        <v>25</v>
      </c>
      <c r="I20" s="10">
        <f>G20-H20</f>
        <v>340</v>
      </c>
      <c r="J20" t="s">
        <v>640</v>
      </c>
      <c r="K20" t="s">
        <v>20</v>
      </c>
      <c r="L20" t="s">
        <v>597</v>
      </c>
      <c r="Q20" s="10">
        <v>1</v>
      </c>
    </row>
    <row r="21" spans="1:17" x14ac:dyDescent="0.25">
      <c r="B21" t="s">
        <v>16</v>
      </c>
      <c r="C21" t="s">
        <v>648</v>
      </c>
      <c r="D21" t="s">
        <v>649</v>
      </c>
      <c r="E21" t="s">
        <v>650</v>
      </c>
      <c r="F21" t="s">
        <v>116</v>
      </c>
      <c r="G21" s="10">
        <v>515</v>
      </c>
      <c r="H21" s="10">
        <v>25</v>
      </c>
      <c r="I21" s="10">
        <f>G21-H21</f>
        <v>490</v>
      </c>
      <c r="J21" t="s">
        <v>438</v>
      </c>
      <c r="K21" t="s">
        <v>20</v>
      </c>
      <c r="L21" t="s">
        <v>597</v>
      </c>
      <c r="N21" t="s">
        <v>288</v>
      </c>
      <c r="P21" t="s">
        <v>440</v>
      </c>
      <c r="Q21" s="10">
        <v>1</v>
      </c>
    </row>
    <row r="22" spans="1:17" x14ac:dyDescent="0.25">
      <c r="B22" t="s">
        <v>16</v>
      </c>
      <c r="C22" t="s">
        <v>651</v>
      </c>
      <c r="D22" t="s">
        <v>652</v>
      </c>
      <c r="E22" t="s">
        <v>653</v>
      </c>
      <c r="F22" t="s">
        <v>47</v>
      </c>
      <c r="G22" s="10">
        <v>0</v>
      </c>
      <c r="H22" s="10">
        <v>30</v>
      </c>
      <c r="I22" s="10">
        <f>-H22</f>
        <v>-30</v>
      </c>
      <c r="J22" t="s">
        <v>640</v>
      </c>
      <c r="K22" t="s">
        <v>20</v>
      </c>
      <c r="L22" t="s">
        <v>597</v>
      </c>
      <c r="Q22" s="10">
        <v>1</v>
      </c>
    </row>
    <row r="23" spans="1:17" x14ac:dyDescent="0.25">
      <c r="B23" t="s">
        <v>16</v>
      </c>
      <c r="C23" t="s">
        <v>654</v>
      </c>
      <c r="D23" t="s">
        <v>655</v>
      </c>
      <c r="E23" t="s">
        <v>656</v>
      </c>
      <c r="F23" t="s">
        <v>95</v>
      </c>
      <c r="G23" s="10">
        <v>1565</v>
      </c>
      <c r="H23" s="10">
        <v>25</v>
      </c>
      <c r="I23" s="10">
        <f>G23-H23</f>
        <v>1540</v>
      </c>
      <c r="J23" t="s">
        <v>20</v>
      </c>
      <c r="K23" t="s">
        <v>20</v>
      </c>
      <c r="L23" t="s">
        <v>597</v>
      </c>
      <c r="Q23" s="10">
        <v>1</v>
      </c>
    </row>
    <row r="24" spans="1:17" x14ac:dyDescent="0.25">
      <c r="A24" t="s">
        <v>253</v>
      </c>
      <c r="B24" t="s">
        <v>16</v>
      </c>
      <c r="C24" t="s">
        <v>657</v>
      </c>
      <c r="E24" t="s">
        <v>658</v>
      </c>
      <c r="F24" t="s">
        <v>61</v>
      </c>
      <c r="G24" s="10">
        <v>7850</v>
      </c>
      <c r="H24" s="10">
        <v>50</v>
      </c>
      <c r="I24" s="10">
        <f>G24-H24</f>
        <v>7800</v>
      </c>
      <c r="J24" t="s">
        <v>640</v>
      </c>
      <c r="K24" t="s">
        <v>20</v>
      </c>
      <c r="L24" t="s">
        <v>597</v>
      </c>
      <c r="M24" t="s">
        <v>659</v>
      </c>
      <c r="Q24" s="10">
        <v>1</v>
      </c>
    </row>
    <row r="25" spans="1:17" x14ac:dyDescent="0.25">
      <c r="B25" t="s">
        <v>16</v>
      </c>
      <c r="C25" t="s">
        <v>398</v>
      </c>
      <c r="D25" t="s">
        <v>399</v>
      </c>
      <c r="E25" t="s">
        <v>400</v>
      </c>
      <c r="F25" t="s">
        <v>33</v>
      </c>
      <c r="G25" s="10">
        <v>470</v>
      </c>
      <c r="H25" s="10">
        <v>30</v>
      </c>
      <c r="I25" s="10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10">
        <v>1</v>
      </c>
    </row>
    <row r="27" spans="1:17" x14ac:dyDescent="0.25">
      <c r="D27" s="4">
        <f>COUNTA(D3:D25)</f>
        <v>22</v>
      </c>
      <c r="G27" s="4">
        <f t="shared" ref="G27:Q27" si="1">SUBTOTAL(9,G3:G25)</f>
        <v>20145</v>
      </c>
      <c r="H27" s="4">
        <f t="shared" si="1"/>
        <v>620</v>
      </c>
      <c r="I27" s="4">
        <f t="shared" si="1"/>
        <v>19525</v>
      </c>
      <c r="J27" s="4">
        <f t="shared" si="1"/>
        <v>0</v>
      </c>
      <c r="K27" s="4">
        <f t="shared" si="1"/>
        <v>0</v>
      </c>
      <c r="L27" s="4">
        <f t="shared" si="1"/>
        <v>0</v>
      </c>
      <c r="M27" s="4">
        <f t="shared" si="1"/>
        <v>0</v>
      </c>
      <c r="N27" s="4">
        <f t="shared" si="1"/>
        <v>0</v>
      </c>
      <c r="O27" s="4">
        <f t="shared" si="1"/>
        <v>0</v>
      </c>
      <c r="P27" s="4">
        <f t="shared" si="1"/>
        <v>0</v>
      </c>
      <c r="Q27" s="4">
        <f t="shared" si="1"/>
        <v>23</v>
      </c>
    </row>
    <row r="29" spans="1:17" x14ac:dyDescent="0.25">
      <c r="A29" s="4" t="s">
        <v>16</v>
      </c>
      <c r="C29" s="76" t="s">
        <v>262</v>
      </c>
      <c r="D29" s="76"/>
      <c r="E29" s="7" t="s">
        <v>263</v>
      </c>
      <c r="K29" s="43" t="s">
        <v>20</v>
      </c>
      <c r="L29" s="43" t="s">
        <v>264</v>
      </c>
      <c r="M29" s="43" t="s">
        <v>263</v>
      </c>
      <c r="O29" s="7" t="s">
        <v>462</v>
      </c>
    </row>
    <row r="30" spans="1:17" x14ac:dyDescent="0.25">
      <c r="A30" t="s">
        <v>597</v>
      </c>
      <c r="B30" s="6" t="s">
        <v>265</v>
      </c>
      <c r="C30" s="77">
        <f>SUMIFS(G$3:G$25,B$3:B$25,A$29,L$3:L$25,A$30)</f>
        <v>19675</v>
      </c>
      <c r="D30" s="77"/>
      <c r="E30" s="6">
        <f>SUMIFS(Q$3:Q$25,B$3:B$25,A$29,L$3:L$25,A$30)</f>
        <v>22</v>
      </c>
      <c r="F30" t="s">
        <v>464</v>
      </c>
      <c r="K30" t="s">
        <v>266</v>
      </c>
      <c r="L30">
        <f>SUMIFS(G$3:G$25,J$3:J$25,K$29)</f>
        <v>5195</v>
      </c>
      <c r="M30">
        <f>SUMIFS(Q$3:Q$25,J$3:J$25,K$29)</f>
        <v>7</v>
      </c>
      <c r="O30" t="s">
        <v>20</v>
      </c>
      <c r="P30">
        <f>L35</f>
        <v>5055</v>
      </c>
    </row>
    <row r="31" spans="1:17" x14ac:dyDescent="0.25">
      <c r="B31" s="5" t="s">
        <v>466</v>
      </c>
      <c r="C31" s="78">
        <f>-SUMIFS(H$3:H$25,B$3:B$25,A$29,L$3:L$25,A$30)</f>
        <v>-590</v>
      </c>
      <c r="D31" s="78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5">
      <c r="B32" s="5" t="s">
        <v>269</v>
      </c>
      <c r="C32" s="78">
        <f>-SUMIFS(I$3:I$25,B$3:B$25,A$29,P$3:P$25,"xx",N$3:N$25,"x")</f>
        <v>-930</v>
      </c>
      <c r="D32" s="78"/>
      <c r="E32" s="5">
        <f>SUMIFS(Q$3:Q$25,B$3:B$25,A$29,P$3:P$25,"xx",N$3:N$25,"x")</f>
        <v>2</v>
      </c>
      <c r="K32" t="s">
        <v>468</v>
      </c>
      <c r="O32" t="s">
        <v>239</v>
      </c>
      <c r="P32">
        <f>L51</f>
        <v>795</v>
      </c>
    </row>
    <row r="33" spans="2:16" x14ac:dyDescent="0.25">
      <c r="B33" s="7" t="s">
        <v>270</v>
      </c>
      <c r="C33" s="76">
        <f>SUBTOTAL(9,C30:C32)</f>
        <v>18155</v>
      </c>
      <c r="D33" s="76"/>
      <c r="E33">
        <f>E30</f>
        <v>22</v>
      </c>
      <c r="K33" s="5" t="s">
        <v>72</v>
      </c>
      <c r="O33" t="s">
        <v>660</v>
      </c>
      <c r="P33">
        <f>L59</f>
        <v>9545</v>
      </c>
    </row>
    <row r="34" spans="2:16" x14ac:dyDescent="0.25">
      <c r="B34" s="5" t="s">
        <v>471</v>
      </c>
      <c r="C34" s="74"/>
      <c r="D34" s="74"/>
      <c r="K34" s="5" t="s">
        <v>272</v>
      </c>
      <c r="O34" t="s">
        <v>472</v>
      </c>
      <c r="P34">
        <f>-C37</f>
        <v>-18155</v>
      </c>
    </row>
    <row r="35" spans="2:16" x14ac:dyDescent="0.25">
      <c r="B35" s="70" t="s">
        <v>273</v>
      </c>
      <c r="C35" s="74"/>
      <c r="D35" s="74"/>
      <c r="L35" s="45">
        <f>SUBTOTAL(9,L30:L34)</f>
        <v>5055</v>
      </c>
      <c r="M35" s="45">
        <f>M30</f>
        <v>7</v>
      </c>
      <c r="O35" s="7" t="s">
        <v>473</v>
      </c>
      <c r="P35" s="7">
        <f>SUBTOTAL(9,P30:P34)</f>
        <v>545</v>
      </c>
    </row>
    <row r="37" spans="2:16" x14ac:dyDescent="0.25">
      <c r="B37" s="4" t="s">
        <v>274</v>
      </c>
      <c r="C37" s="75">
        <f>C33+C34+C35</f>
        <v>18155</v>
      </c>
      <c r="D37" s="75"/>
      <c r="E37" s="4" t="s">
        <v>275</v>
      </c>
      <c r="K37" s="43" t="s">
        <v>25</v>
      </c>
      <c r="L37" s="43" t="s">
        <v>264</v>
      </c>
      <c r="M37" s="43" t="s">
        <v>263</v>
      </c>
    </row>
    <row r="38" spans="2:16" x14ac:dyDescent="0.25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5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5">
      <c r="K40" t="s">
        <v>468</v>
      </c>
    </row>
    <row r="41" spans="2:16" x14ac:dyDescent="0.25">
      <c r="K41" s="5" t="s">
        <v>72</v>
      </c>
    </row>
    <row r="42" spans="2:16" x14ac:dyDescent="0.25">
      <c r="K42" s="5" t="s">
        <v>272</v>
      </c>
    </row>
    <row r="43" spans="2:16" x14ac:dyDescent="0.25">
      <c r="L43" s="45">
        <f>SUBTOTAL(9,L38:L42)</f>
        <v>3305</v>
      </c>
      <c r="M43" s="45">
        <f>M38</f>
        <v>8</v>
      </c>
    </row>
    <row r="45" spans="2:16" x14ac:dyDescent="0.25">
      <c r="K45" s="43" t="s">
        <v>239</v>
      </c>
      <c r="L45" s="43" t="s">
        <v>264</v>
      </c>
      <c r="M45" s="43" t="s">
        <v>263</v>
      </c>
    </row>
    <row r="46" spans="2:16" x14ac:dyDescent="0.25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5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5">
      <c r="K48" t="s">
        <v>468</v>
      </c>
    </row>
    <row r="49" spans="11:13" x14ac:dyDescent="0.25">
      <c r="K49" s="5" t="s">
        <v>72</v>
      </c>
    </row>
    <row r="50" spans="11:13" x14ac:dyDescent="0.25">
      <c r="K50" s="5" t="s">
        <v>272</v>
      </c>
    </row>
    <row r="51" spans="11:13" x14ac:dyDescent="0.25">
      <c r="L51" s="45">
        <f>SUBTOTAL(9,L46:L50)</f>
        <v>795</v>
      </c>
      <c r="M51" s="45">
        <f>M46</f>
        <v>1</v>
      </c>
    </row>
    <row r="53" spans="11:13" x14ac:dyDescent="0.25">
      <c r="K53" s="43" t="s">
        <v>640</v>
      </c>
      <c r="L53" s="43" t="s">
        <v>264</v>
      </c>
      <c r="M53" s="43" t="s">
        <v>263</v>
      </c>
    </row>
    <row r="54" spans="11:13" x14ac:dyDescent="0.25">
      <c r="K54" t="s">
        <v>266</v>
      </c>
      <c r="L54">
        <f>SUMIFS(G$3:G$25,J$3:J$25,K$53)</f>
        <v>9685</v>
      </c>
      <c r="M54">
        <f>SUMIFS(Q$3:Q$25,J$3:J$25,K$53)</f>
        <v>5</v>
      </c>
    </row>
    <row r="55" spans="11:13" x14ac:dyDescent="0.25">
      <c r="K55" t="s">
        <v>268</v>
      </c>
      <c r="L55">
        <f>-SUMIFS(H$3:H$25,J$3:J$25,K$53)+M55*5</f>
        <v>-140</v>
      </c>
      <c r="M55">
        <f>SUMIFS(Q$3:Q$25,J$3:J$25,K$53)-COUNTIFS(J$3:J$25,K$53,M$3:M$25,"*gộp*")</f>
        <v>5</v>
      </c>
    </row>
    <row r="56" spans="11:13" x14ac:dyDescent="0.25">
      <c r="K56" t="s">
        <v>468</v>
      </c>
    </row>
    <row r="57" spans="11:13" x14ac:dyDescent="0.25">
      <c r="K57" s="5" t="s">
        <v>72</v>
      </c>
    </row>
    <row r="58" spans="11:13" x14ac:dyDescent="0.25">
      <c r="K58" s="5" t="s">
        <v>272</v>
      </c>
    </row>
    <row r="59" spans="11:13" x14ac:dyDescent="0.25">
      <c r="L59" s="45">
        <f>SUBTOTAL(9,L54:L58)</f>
        <v>9545</v>
      </c>
      <c r="M59" s="45">
        <f>M54</f>
        <v>5</v>
      </c>
    </row>
  </sheetData>
  <autoFilter ref="A2:P25" xr:uid="{00000000-0009-0000-0000-000004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9"/>
  <sheetViews>
    <sheetView zoomScale="90" zoomScaleNormal="90" workbookViewId="0">
      <selection sqref="A1 A1:XFD1"/>
    </sheetView>
  </sheetViews>
  <sheetFormatPr defaultRowHeight="15" x14ac:dyDescent="0.25"/>
  <cols>
    <col min="1" max="1" width="12.28515625" customWidth="1"/>
    <col min="2" max="2" width="19.140625" customWidth="1"/>
    <col min="3" max="3" width="20.28515625" customWidth="1"/>
    <col min="4" max="4" width="10.140625" customWidth="1"/>
    <col min="5" max="5" width="49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7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1" spans="1:17" x14ac:dyDescent="0.25">
      <c r="B1" t="s">
        <v>591</v>
      </c>
      <c r="C1" t="s">
        <v>592</v>
      </c>
    </row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593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s="71" t="s">
        <v>95</v>
      </c>
      <c r="G3" s="10">
        <v>385</v>
      </c>
      <c r="H3" s="10">
        <v>25</v>
      </c>
      <c r="I3" s="10">
        <f t="shared" ref="I3:I11" si="0">G3-H3</f>
        <v>360</v>
      </c>
      <c r="J3" t="s">
        <v>20</v>
      </c>
      <c r="K3" t="s">
        <v>20</v>
      </c>
      <c r="L3" t="s">
        <v>597</v>
      </c>
      <c r="Q3" s="10">
        <v>1</v>
      </c>
    </row>
    <row r="4" spans="1:17" x14ac:dyDescent="0.25">
      <c r="B4" t="s">
        <v>16</v>
      </c>
      <c r="C4" t="s">
        <v>598</v>
      </c>
      <c r="D4" t="s">
        <v>599</v>
      </c>
      <c r="E4" t="s">
        <v>600</v>
      </c>
      <c r="F4" s="71">
        <v>7</v>
      </c>
      <c r="G4" s="10">
        <v>130</v>
      </c>
      <c r="H4" s="10">
        <v>30</v>
      </c>
      <c r="I4" s="10">
        <f t="shared" si="0"/>
        <v>100</v>
      </c>
      <c r="J4" t="s">
        <v>25</v>
      </c>
      <c r="K4" t="s">
        <v>20</v>
      </c>
      <c r="L4" t="s">
        <v>597</v>
      </c>
      <c r="M4" t="s">
        <v>312</v>
      </c>
      <c r="Q4" s="10">
        <v>1</v>
      </c>
    </row>
    <row r="5" spans="1:17" x14ac:dyDescent="0.25">
      <c r="B5" t="s">
        <v>16</v>
      </c>
      <c r="C5" s="20" t="s">
        <v>661</v>
      </c>
      <c r="D5" t="s">
        <v>662</v>
      </c>
      <c r="E5" t="s">
        <v>603</v>
      </c>
      <c r="F5" s="71">
        <v>10</v>
      </c>
      <c r="G5" s="10">
        <v>385</v>
      </c>
      <c r="H5" s="10">
        <v>25</v>
      </c>
      <c r="I5" s="10">
        <f t="shared" si="0"/>
        <v>360</v>
      </c>
      <c r="J5" t="s">
        <v>25</v>
      </c>
      <c r="K5" t="s">
        <v>20</v>
      </c>
      <c r="L5" t="s">
        <v>597</v>
      </c>
      <c r="Q5" s="10">
        <v>1</v>
      </c>
    </row>
    <row r="6" spans="1:17" x14ac:dyDescent="0.25">
      <c r="B6" t="s">
        <v>16</v>
      </c>
      <c r="C6" t="s">
        <v>604</v>
      </c>
      <c r="D6" t="s">
        <v>605</v>
      </c>
      <c r="E6" t="s">
        <v>606</v>
      </c>
      <c r="F6" s="71">
        <v>4</v>
      </c>
      <c r="G6" s="10">
        <v>605</v>
      </c>
      <c r="H6" s="10">
        <v>25</v>
      </c>
      <c r="I6" s="10">
        <f t="shared" si="0"/>
        <v>580</v>
      </c>
      <c r="J6" t="s">
        <v>25</v>
      </c>
      <c r="K6" t="s">
        <v>20</v>
      </c>
      <c r="L6" t="s">
        <v>597</v>
      </c>
      <c r="Q6" s="10">
        <v>1</v>
      </c>
    </row>
    <row r="7" spans="1:17" x14ac:dyDescent="0.25">
      <c r="B7" t="s">
        <v>16</v>
      </c>
      <c r="C7" t="s">
        <v>607</v>
      </c>
      <c r="D7" t="s">
        <v>608</v>
      </c>
      <c r="E7" t="s">
        <v>609</v>
      </c>
      <c r="F7" s="71" t="s">
        <v>91</v>
      </c>
      <c r="G7" s="10">
        <v>390</v>
      </c>
      <c r="H7" s="10">
        <v>20</v>
      </c>
      <c r="I7" s="10">
        <f t="shared" si="0"/>
        <v>370</v>
      </c>
      <c r="J7" t="s">
        <v>25</v>
      </c>
      <c r="K7" t="s">
        <v>20</v>
      </c>
      <c r="L7" t="s">
        <v>597</v>
      </c>
      <c r="Q7" s="10">
        <v>1</v>
      </c>
    </row>
    <row r="8" spans="1:17" x14ac:dyDescent="0.25">
      <c r="B8" t="s">
        <v>16</v>
      </c>
      <c r="C8" t="s">
        <v>610</v>
      </c>
      <c r="D8" t="s">
        <v>611</v>
      </c>
      <c r="E8" t="s">
        <v>612</v>
      </c>
      <c r="F8" s="71">
        <v>9</v>
      </c>
      <c r="G8" s="10">
        <v>820</v>
      </c>
      <c r="H8" s="10">
        <v>30</v>
      </c>
      <c r="I8" s="10">
        <f t="shared" si="0"/>
        <v>790</v>
      </c>
      <c r="J8" t="s">
        <v>239</v>
      </c>
      <c r="K8" t="s">
        <v>20</v>
      </c>
      <c r="L8" t="s">
        <v>597</v>
      </c>
      <c r="Q8" s="10">
        <v>1</v>
      </c>
    </row>
    <row r="9" spans="1:17" x14ac:dyDescent="0.25">
      <c r="B9" t="s">
        <v>16</v>
      </c>
      <c r="C9" t="s">
        <v>613</v>
      </c>
      <c r="D9" t="s">
        <v>614</v>
      </c>
      <c r="E9" t="s">
        <v>615</v>
      </c>
      <c r="F9" s="71" t="s">
        <v>95</v>
      </c>
      <c r="G9" s="10">
        <v>395</v>
      </c>
      <c r="H9" s="10">
        <v>25</v>
      </c>
      <c r="I9" s="10">
        <f t="shared" si="0"/>
        <v>370</v>
      </c>
      <c r="J9" t="s">
        <v>25</v>
      </c>
      <c r="K9" t="s">
        <v>20</v>
      </c>
      <c r="L9" t="s">
        <v>597</v>
      </c>
      <c r="Q9" s="10">
        <v>1</v>
      </c>
    </row>
    <row r="10" spans="1:17" x14ac:dyDescent="0.25">
      <c r="B10" t="s">
        <v>16</v>
      </c>
      <c r="C10" t="s">
        <v>616</v>
      </c>
      <c r="D10" t="s">
        <v>617</v>
      </c>
      <c r="E10" t="s">
        <v>618</v>
      </c>
      <c r="F10" s="71" t="s">
        <v>51</v>
      </c>
      <c r="G10" s="10">
        <v>740</v>
      </c>
      <c r="H10" s="10">
        <v>20</v>
      </c>
      <c r="I10" s="10">
        <f t="shared" si="0"/>
        <v>720</v>
      </c>
      <c r="J10" t="s">
        <v>20</v>
      </c>
      <c r="K10" t="s">
        <v>20</v>
      </c>
      <c r="L10" t="s">
        <v>597</v>
      </c>
      <c r="Q10" s="10">
        <v>1</v>
      </c>
    </row>
    <row r="11" spans="1:17" x14ac:dyDescent="0.25">
      <c r="B11" t="s">
        <v>16</v>
      </c>
      <c r="C11" t="s">
        <v>619</v>
      </c>
      <c r="D11" t="s">
        <v>620</v>
      </c>
      <c r="E11" t="s">
        <v>621</v>
      </c>
      <c r="F11" s="71">
        <v>2</v>
      </c>
      <c r="G11" s="10">
        <v>1690</v>
      </c>
      <c r="H11" s="10">
        <v>30</v>
      </c>
      <c r="I11" s="10">
        <f t="shared" si="0"/>
        <v>1660</v>
      </c>
      <c r="J11" t="s">
        <v>20</v>
      </c>
      <c r="K11" t="s">
        <v>20</v>
      </c>
      <c r="L11" t="s">
        <v>597</v>
      </c>
      <c r="Q11" s="10">
        <v>1</v>
      </c>
    </row>
    <row r="12" spans="1:17" x14ac:dyDescent="0.25">
      <c r="B12" t="s">
        <v>16</v>
      </c>
      <c r="C12" t="s">
        <v>622</v>
      </c>
      <c r="D12" t="s">
        <v>623</v>
      </c>
      <c r="E12" t="s">
        <v>624</v>
      </c>
      <c r="F12" s="71" t="s">
        <v>51</v>
      </c>
      <c r="G12" s="10">
        <v>0</v>
      </c>
      <c r="H12" s="10">
        <v>20</v>
      </c>
      <c r="I12" s="10">
        <f>-H12</f>
        <v>-20</v>
      </c>
      <c r="J12" t="s">
        <v>20</v>
      </c>
      <c r="K12" t="s">
        <v>20</v>
      </c>
      <c r="L12" t="s">
        <v>597</v>
      </c>
      <c r="Q12" s="10">
        <v>1</v>
      </c>
    </row>
    <row r="13" spans="1:17" x14ac:dyDescent="0.25">
      <c r="B13" t="s">
        <v>16</v>
      </c>
      <c r="C13" t="s">
        <v>625</v>
      </c>
      <c r="D13" t="s">
        <v>626</v>
      </c>
      <c r="E13" t="s">
        <v>627</v>
      </c>
      <c r="F13" s="71" t="s">
        <v>116</v>
      </c>
      <c r="G13" s="10">
        <v>815</v>
      </c>
      <c r="H13" s="10">
        <v>25</v>
      </c>
      <c r="I13" s="10">
        <f>G13-H13</f>
        <v>790</v>
      </c>
      <c r="J13" t="s">
        <v>20</v>
      </c>
      <c r="K13" t="s">
        <v>20</v>
      </c>
      <c r="L13" t="s">
        <v>597</v>
      </c>
      <c r="Q13" s="10">
        <v>1</v>
      </c>
    </row>
    <row r="14" spans="1:17" x14ac:dyDescent="0.25">
      <c r="B14" t="s">
        <v>16</v>
      </c>
      <c r="C14" t="s">
        <v>628</v>
      </c>
      <c r="D14" t="s">
        <v>629</v>
      </c>
      <c r="E14" t="s">
        <v>630</v>
      </c>
      <c r="F14" s="71" t="s">
        <v>91</v>
      </c>
      <c r="G14" s="10">
        <v>840</v>
      </c>
      <c r="H14" s="10">
        <v>20</v>
      </c>
      <c r="I14" s="10">
        <f>G14-H14</f>
        <v>820</v>
      </c>
      <c r="J14" t="s">
        <v>25</v>
      </c>
      <c r="K14" t="s">
        <v>20</v>
      </c>
      <c r="L14" t="s">
        <v>597</v>
      </c>
      <c r="Q14" s="10">
        <v>1</v>
      </c>
    </row>
    <row r="15" spans="1:17" x14ac:dyDescent="0.25">
      <c r="B15" t="s">
        <v>16</v>
      </c>
      <c r="C15" t="s">
        <v>631</v>
      </c>
      <c r="D15" t="s">
        <v>632</v>
      </c>
      <c r="E15" t="s">
        <v>633</v>
      </c>
      <c r="F15" s="71">
        <v>2</v>
      </c>
      <c r="G15" s="10">
        <v>30</v>
      </c>
      <c r="H15" s="10">
        <v>30</v>
      </c>
      <c r="I15" s="10">
        <f>-H15</f>
        <v>-30</v>
      </c>
      <c r="J15" t="s">
        <v>20</v>
      </c>
      <c r="K15" t="s">
        <v>20</v>
      </c>
      <c r="L15" t="s">
        <v>597</v>
      </c>
      <c r="M15" t="s">
        <v>312</v>
      </c>
      <c r="Q15" s="10">
        <v>1</v>
      </c>
    </row>
    <row r="16" spans="1:17" x14ac:dyDescent="0.25">
      <c r="B16" t="s">
        <v>16</v>
      </c>
      <c r="C16" t="s">
        <v>634</v>
      </c>
      <c r="D16" t="s">
        <v>635</v>
      </c>
      <c r="E16" t="s">
        <v>636</v>
      </c>
      <c r="F16" s="71">
        <v>4</v>
      </c>
      <c r="G16" s="10">
        <v>0</v>
      </c>
      <c r="H16" s="10">
        <v>25</v>
      </c>
      <c r="I16" s="10">
        <f>-H16</f>
        <v>-25</v>
      </c>
      <c r="J16" t="s">
        <v>25</v>
      </c>
      <c r="K16" t="s">
        <v>20</v>
      </c>
      <c r="L16" t="s">
        <v>597</v>
      </c>
      <c r="Q16" s="10">
        <v>1</v>
      </c>
    </row>
    <row r="17" spans="1:17" x14ac:dyDescent="0.25">
      <c r="B17" t="s">
        <v>16</v>
      </c>
      <c r="C17" t="s">
        <v>637</v>
      </c>
      <c r="D17" t="s">
        <v>638</v>
      </c>
      <c r="E17" t="s">
        <v>639</v>
      </c>
      <c r="F17" s="71" t="s">
        <v>47</v>
      </c>
      <c r="G17" s="10">
        <v>710</v>
      </c>
      <c r="H17" s="10">
        <v>30</v>
      </c>
      <c r="I17" s="10">
        <f>G17-H17</f>
        <v>680</v>
      </c>
      <c r="J17" t="s">
        <v>640</v>
      </c>
      <c r="K17" t="s">
        <v>20</v>
      </c>
      <c r="L17" t="s">
        <v>597</v>
      </c>
      <c r="Q17" s="10">
        <v>1</v>
      </c>
    </row>
    <row r="18" spans="1:17" x14ac:dyDescent="0.25">
      <c r="B18" t="s">
        <v>16</v>
      </c>
      <c r="C18" t="s">
        <v>641</v>
      </c>
      <c r="D18" t="s">
        <v>642</v>
      </c>
      <c r="E18" t="s">
        <v>643</v>
      </c>
      <c r="F18" s="71">
        <v>7</v>
      </c>
      <c r="G18" s="10">
        <v>760</v>
      </c>
      <c r="H18" s="10">
        <v>30</v>
      </c>
      <c r="I18" s="10">
        <f>G18-H18</f>
        <v>730</v>
      </c>
      <c r="J18" t="s">
        <v>640</v>
      </c>
      <c r="K18" t="s">
        <v>20</v>
      </c>
      <c r="L18" t="s">
        <v>597</v>
      </c>
      <c r="Q18" s="10">
        <v>1</v>
      </c>
    </row>
    <row r="19" spans="1:17" x14ac:dyDescent="0.25">
      <c r="B19" t="s">
        <v>16</v>
      </c>
      <c r="C19" t="s">
        <v>123</v>
      </c>
      <c r="D19" t="s">
        <v>644</v>
      </c>
      <c r="E19" t="s">
        <v>645</v>
      </c>
      <c r="F19" s="71">
        <v>10</v>
      </c>
      <c r="G19" s="10">
        <v>715</v>
      </c>
      <c r="H19" s="10">
        <v>25</v>
      </c>
      <c r="I19" s="10">
        <f>G19-H19</f>
        <v>690</v>
      </c>
      <c r="J19" t="s">
        <v>25</v>
      </c>
      <c r="K19" t="s">
        <v>20</v>
      </c>
      <c r="L19" t="s">
        <v>597</v>
      </c>
      <c r="Q19" s="10">
        <v>1</v>
      </c>
    </row>
    <row r="20" spans="1:17" x14ac:dyDescent="0.25">
      <c r="B20" t="s">
        <v>16</v>
      </c>
      <c r="C20" t="s">
        <v>482</v>
      </c>
      <c r="D20" t="s">
        <v>646</v>
      </c>
      <c r="E20" t="s">
        <v>647</v>
      </c>
      <c r="F20" s="71">
        <v>8</v>
      </c>
      <c r="G20" s="10">
        <v>365</v>
      </c>
      <c r="H20" s="10">
        <v>25</v>
      </c>
      <c r="I20" s="10">
        <f>G20-H20</f>
        <v>340</v>
      </c>
      <c r="J20" t="s">
        <v>640</v>
      </c>
      <c r="K20" t="s">
        <v>20</v>
      </c>
      <c r="L20" t="s">
        <v>597</v>
      </c>
      <c r="Q20" s="10">
        <v>1</v>
      </c>
    </row>
    <row r="21" spans="1:17" s="5" customFormat="1" x14ac:dyDescent="0.25">
      <c r="B21" s="5" t="s">
        <v>16</v>
      </c>
      <c r="C21" s="5" t="s">
        <v>648</v>
      </c>
      <c r="D21" s="5" t="s">
        <v>649</v>
      </c>
      <c r="E21" s="5" t="s">
        <v>650</v>
      </c>
      <c r="F21" s="72" t="s">
        <v>116</v>
      </c>
      <c r="G21" s="73">
        <v>490</v>
      </c>
      <c r="H21" s="73">
        <v>0</v>
      </c>
      <c r="I21" s="73">
        <f>G21-H21</f>
        <v>490</v>
      </c>
      <c r="J21" s="5" t="s">
        <v>438</v>
      </c>
      <c r="K21" s="5" t="s">
        <v>20</v>
      </c>
      <c r="L21" s="5" t="s">
        <v>597</v>
      </c>
      <c r="M21" s="5" t="s">
        <v>663</v>
      </c>
      <c r="N21" s="5" t="s">
        <v>288</v>
      </c>
      <c r="P21" s="5" t="s">
        <v>440</v>
      </c>
      <c r="Q21" s="73">
        <v>1</v>
      </c>
    </row>
    <row r="22" spans="1:17" x14ac:dyDescent="0.25">
      <c r="B22" t="s">
        <v>16</v>
      </c>
      <c r="C22" t="s">
        <v>651</v>
      </c>
      <c r="D22" t="s">
        <v>652</v>
      </c>
      <c r="E22" t="s">
        <v>653</v>
      </c>
      <c r="F22" s="71" t="s">
        <v>47</v>
      </c>
      <c r="G22" s="10">
        <v>0</v>
      </c>
      <c r="H22" s="10">
        <v>30</v>
      </c>
      <c r="I22" s="10">
        <f>-H22</f>
        <v>-30</v>
      </c>
      <c r="J22" t="s">
        <v>640</v>
      </c>
      <c r="K22" t="s">
        <v>20</v>
      </c>
      <c r="L22" t="s">
        <v>597</v>
      </c>
      <c r="Q22" s="10">
        <v>1</v>
      </c>
    </row>
    <row r="23" spans="1:17" x14ac:dyDescent="0.25">
      <c r="B23" t="s">
        <v>16</v>
      </c>
      <c r="C23" t="s">
        <v>654</v>
      </c>
      <c r="D23" t="s">
        <v>655</v>
      </c>
      <c r="E23" t="s">
        <v>656</v>
      </c>
      <c r="F23" s="71" t="s">
        <v>95</v>
      </c>
      <c r="G23" s="10">
        <v>1565</v>
      </c>
      <c r="H23" s="10">
        <v>25</v>
      </c>
      <c r="I23" s="10">
        <f>G23-H23</f>
        <v>1540</v>
      </c>
      <c r="J23" t="s">
        <v>20</v>
      </c>
      <c r="K23" t="s">
        <v>20</v>
      </c>
      <c r="L23" t="s">
        <v>597</v>
      </c>
      <c r="Q23" s="10">
        <v>1</v>
      </c>
    </row>
    <row r="24" spans="1:17" x14ac:dyDescent="0.25">
      <c r="A24" t="s">
        <v>253</v>
      </c>
      <c r="B24" t="s">
        <v>16</v>
      </c>
      <c r="C24" t="s">
        <v>657</v>
      </c>
      <c r="E24" t="s">
        <v>658</v>
      </c>
      <c r="F24" s="71" t="s">
        <v>61</v>
      </c>
      <c r="G24" s="10">
        <v>7850</v>
      </c>
      <c r="H24" s="10">
        <v>50</v>
      </c>
      <c r="I24" s="10">
        <f>G24-H24</f>
        <v>7800</v>
      </c>
      <c r="J24" t="s">
        <v>640</v>
      </c>
      <c r="K24" t="s">
        <v>20</v>
      </c>
      <c r="L24" t="s">
        <v>597</v>
      </c>
      <c r="M24" t="s">
        <v>659</v>
      </c>
      <c r="Q24" s="10">
        <v>1</v>
      </c>
    </row>
    <row r="25" spans="1:17" x14ac:dyDescent="0.25">
      <c r="B25" t="s">
        <v>16</v>
      </c>
      <c r="C25" t="s">
        <v>398</v>
      </c>
      <c r="D25" t="s">
        <v>399</v>
      </c>
      <c r="E25" t="s">
        <v>400</v>
      </c>
      <c r="F25" s="71" t="s">
        <v>33</v>
      </c>
      <c r="G25" s="10">
        <v>440</v>
      </c>
      <c r="H25" s="10">
        <v>0</v>
      </c>
      <c r="I25" s="10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10">
        <v>1</v>
      </c>
    </row>
    <row r="27" spans="1:17" x14ac:dyDescent="0.25">
      <c r="D27" s="4">
        <f>COUNTA(D3:D25)</f>
        <v>22</v>
      </c>
      <c r="G27" s="4">
        <f t="shared" ref="G27:Q27" si="1">SUBTOTAL(9,G3:G25)</f>
        <v>20120</v>
      </c>
      <c r="H27" s="4">
        <f t="shared" si="1"/>
        <v>565</v>
      </c>
      <c r="I27" s="4">
        <f t="shared" si="1"/>
        <v>19525</v>
      </c>
      <c r="J27" s="4">
        <f t="shared" si="1"/>
        <v>0</v>
      </c>
      <c r="K27" s="4">
        <f t="shared" si="1"/>
        <v>0</v>
      </c>
      <c r="L27" s="4">
        <f t="shared" si="1"/>
        <v>0</v>
      </c>
      <c r="M27" s="4">
        <f t="shared" si="1"/>
        <v>0</v>
      </c>
      <c r="N27" s="4">
        <f t="shared" si="1"/>
        <v>0</v>
      </c>
      <c r="O27" s="4">
        <f t="shared" si="1"/>
        <v>0</v>
      </c>
      <c r="P27" s="4">
        <f t="shared" si="1"/>
        <v>0</v>
      </c>
      <c r="Q27" s="4">
        <f t="shared" si="1"/>
        <v>23</v>
      </c>
    </row>
    <row r="29" spans="1:17" x14ac:dyDescent="0.25">
      <c r="A29" s="4" t="s">
        <v>16</v>
      </c>
      <c r="C29" s="76" t="s">
        <v>262</v>
      </c>
      <c r="D29" s="76"/>
      <c r="E29" s="7" t="s">
        <v>263</v>
      </c>
      <c r="K29" s="43" t="s">
        <v>20</v>
      </c>
      <c r="L29" s="43" t="s">
        <v>264</v>
      </c>
      <c r="M29" s="43" t="s">
        <v>263</v>
      </c>
      <c r="O29" s="7" t="s">
        <v>462</v>
      </c>
    </row>
    <row r="30" spans="1:17" x14ac:dyDescent="0.25">
      <c r="A30" t="s">
        <v>597</v>
      </c>
      <c r="B30" s="6" t="s">
        <v>265</v>
      </c>
      <c r="C30" s="77">
        <f>SUMIFS(G$3:G$25,B$3:B$25,A$29,L$3:L$25,A$30)</f>
        <v>19680</v>
      </c>
      <c r="D30" s="77"/>
      <c r="E30" s="6">
        <f>SUMIFS(Q$3:Q$25,B$3:B$25,A$29,L$3:L$25,A$30)</f>
        <v>22</v>
      </c>
      <c r="F30" t="s">
        <v>464</v>
      </c>
      <c r="K30" t="s">
        <v>266</v>
      </c>
      <c r="L30">
        <f>SUMIFS(G$3:G$25,J$3:J$25,K$29)</f>
        <v>5225</v>
      </c>
      <c r="M30">
        <f>SUMIFS(Q$3:Q$25,J$3:J$25,K$29)</f>
        <v>7</v>
      </c>
      <c r="O30" t="s">
        <v>20</v>
      </c>
      <c r="P30">
        <f>L35</f>
        <v>4600</v>
      </c>
    </row>
    <row r="31" spans="1:17" x14ac:dyDescent="0.25">
      <c r="B31" s="5" t="s">
        <v>466</v>
      </c>
      <c r="C31" s="78">
        <f>-SUMIFS(H$3:H$25,B$3:B$25,A$29,L$3:L$25,A$30)</f>
        <v>-565</v>
      </c>
      <c r="D31" s="78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5">
      <c r="B32" s="5" t="s">
        <v>269</v>
      </c>
      <c r="C32" s="78">
        <f>-SUMIFS(I$3:I$25,B$3:B$25,A$29,P$3:P$25,"xx",N$3:N$25,"x")</f>
        <v>-930</v>
      </c>
      <c r="D32" s="78"/>
      <c r="E32" s="5">
        <f>SUMIFS(Q$3:Q$25,B$3:B$25,A$29,P$3:P$25,"xx",N$3:N$25,"x")</f>
        <v>2</v>
      </c>
      <c r="K32" t="s">
        <v>468</v>
      </c>
      <c r="L32">
        <v>-40</v>
      </c>
      <c r="O32" t="s">
        <v>239</v>
      </c>
      <c r="P32">
        <f>L51</f>
        <v>795</v>
      </c>
    </row>
    <row r="33" spans="2:16" x14ac:dyDescent="0.25">
      <c r="B33" s="7" t="s">
        <v>270</v>
      </c>
      <c r="C33" s="76">
        <f>SUBTOTAL(9,C30:C32)</f>
        <v>18185</v>
      </c>
      <c r="D33" s="76"/>
      <c r="E33">
        <f>E30</f>
        <v>22</v>
      </c>
      <c r="K33" s="5" t="s">
        <v>72</v>
      </c>
      <c r="L33">
        <v>-445</v>
      </c>
      <c r="O33" t="s">
        <v>660</v>
      </c>
      <c r="P33">
        <f>L59</f>
        <v>9545</v>
      </c>
    </row>
    <row r="34" spans="2:16" x14ac:dyDescent="0.25">
      <c r="B34" s="5" t="s">
        <v>471</v>
      </c>
      <c r="C34" s="74"/>
      <c r="D34" s="74"/>
      <c r="K34" s="5" t="s">
        <v>272</v>
      </c>
      <c r="O34" t="s">
        <v>472</v>
      </c>
      <c r="P34">
        <f>-C37</f>
        <v>-18185</v>
      </c>
    </row>
    <row r="35" spans="2:16" x14ac:dyDescent="0.25">
      <c r="B35" s="70" t="s">
        <v>273</v>
      </c>
      <c r="C35" s="74"/>
      <c r="D35" s="74"/>
      <c r="L35" s="45">
        <f>SUBTOTAL(9,L30:L34)</f>
        <v>4600</v>
      </c>
      <c r="M35" s="45">
        <f>M30</f>
        <v>7</v>
      </c>
      <c r="O35" s="7" t="s">
        <v>473</v>
      </c>
      <c r="P35" s="7">
        <f>SUBTOTAL(9,P30:P34)</f>
        <v>60</v>
      </c>
    </row>
    <row r="37" spans="2:16" x14ac:dyDescent="0.25">
      <c r="B37" s="4" t="s">
        <v>274</v>
      </c>
      <c r="C37" s="75">
        <f>C33+C34+C35</f>
        <v>18185</v>
      </c>
      <c r="D37" s="75"/>
      <c r="E37" s="4" t="s">
        <v>275</v>
      </c>
      <c r="K37" s="43" t="s">
        <v>25</v>
      </c>
      <c r="L37" s="43" t="s">
        <v>264</v>
      </c>
      <c r="M37" s="43" t="s">
        <v>263</v>
      </c>
    </row>
    <row r="38" spans="2:16" x14ac:dyDescent="0.25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5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5">
      <c r="K40" t="s">
        <v>468</v>
      </c>
    </row>
    <row r="41" spans="2:16" x14ac:dyDescent="0.25">
      <c r="K41" s="5" t="s">
        <v>72</v>
      </c>
    </row>
    <row r="42" spans="2:16" x14ac:dyDescent="0.25">
      <c r="K42" s="5" t="s">
        <v>272</v>
      </c>
    </row>
    <row r="43" spans="2:16" x14ac:dyDescent="0.25">
      <c r="L43" s="45">
        <f>SUBTOTAL(9,L38:L42)</f>
        <v>3305</v>
      </c>
      <c r="M43" s="45">
        <f>M38</f>
        <v>8</v>
      </c>
    </row>
    <row r="45" spans="2:16" x14ac:dyDescent="0.25">
      <c r="K45" s="43" t="s">
        <v>239</v>
      </c>
      <c r="L45" s="43" t="s">
        <v>264</v>
      </c>
      <c r="M45" s="43" t="s">
        <v>263</v>
      </c>
    </row>
    <row r="46" spans="2:16" x14ac:dyDescent="0.25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5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5">
      <c r="K48" t="s">
        <v>468</v>
      </c>
    </row>
    <row r="49" spans="11:13" x14ac:dyDescent="0.25">
      <c r="K49" s="5" t="s">
        <v>72</v>
      </c>
    </row>
    <row r="50" spans="11:13" x14ac:dyDescent="0.25">
      <c r="K50" s="5" t="s">
        <v>272</v>
      </c>
    </row>
    <row r="51" spans="11:13" x14ac:dyDescent="0.25">
      <c r="L51" s="45">
        <f>SUBTOTAL(9,L46:L50)</f>
        <v>795</v>
      </c>
      <c r="M51" s="45">
        <f>M46</f>
        <v>1</v>
      </c>
    </row>
    <row r="53" spans="11:13" x14ac:dyDescent="0.25">
      <c r="K53" s="43" t="s">
        <v>640</v>
      </c>
      <c r="L53" s="43" t="s">
        <v>264</v>
      </c>
      <c r="M53" s="43" t="s">
        <v>263</v>
      </c>
    </row>
    <row r="54" spans="11:13" x14ac:dyDescent="0.25">
      <c r="K54" t="s">
        <v>266</v>
      </c>
      <c r="L54">
        <f>SUMIFS(G$3:G$25,J$3:J$25,K$53)</f>
        <v>9685</v>
      </c>
      <c r="M54">
        <f>SUMIFS(Q$3:Q$25,J$3:J$25,K$53)</f>
        <v>5</v>
      </c>
    </row>
    <row r="55" spans="11:13" x14ac:dyDescent="0.25">
      <c r="K55" t="s">
        <v>268</v>
      </c>
      <c r="L55">
        <f>-SUMIFS(H$3:H$25,J$3:J$25,K$53)+M55*5</f>
        <v>-140</v>
      </c>
      <c r="M55">
        <f>SUMIFS(Q$3:Q$25,J$3:J$25,K$53)-COUNTIFS(J$3:J$25,K$53,M$3:M$25,"*gộp*")</f>
        <v>5</v>
      </c>
    </row>
    <row r="56" spans="11:13" x14ac:dyDescent="0.25">
      <c r="K56" t="s">
        <v>468</v>
      </c>
    </row>
    <row r="57" spans="11:13" x14ac:dyDescent="0.25">
      <c r="K57" s="5" t="s">
        <v>72</v>
      </c>
    </row>
    <row r="58" spans="11:13" x14ac:dyDescent="0.25">
      <c r="K58" s="5" t="s">
        <v>272</v>
      </c>
    </row>
    <row r="59" spans="11:13" x14ac:dyDescent="0.25">
      <c r="L59" s="45">
        <f>SUBTOTAL(9,L54:L58)</f>
        <v>9545</v>
      </c>
      <c r="M59" s="45">
        <f>M54</f>
        <v>5</v>
      </c>
    </row>
  </sheetData>
  <autoFilter ref="A2:P25" xr:uid="{00000000-0009-0000-0000-000005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959C1-BDF8-4C08-B14F-44B97585EA93}">
  <sheetPr filterMode="1"/>
  <dimension ref="A1:Q57"/>
  <sheetViews>
    <sheetView zoomScale="80" zoomScaleNormal="80" workbookViewId="0">
      <selection activeCell="J52" sqref="J52"/>
    </sheetView>
  </sheetViews>
  <sheetFormatPr defaultRowHeight="15" x14ac:dyDescent="0.25"/>
  <cols>
    <col min="1" max="1" width="12.28515625" customWidth="1"/>
    <col min="2" max="2" width="19.140625" customWidth="1"/>
    <col min="3" max="3" width="28.28515625" customWidth="1"/>
    <col min="4" max="4" width="10.140625" customWidth="1"/>
    <col min="5" max="5" width="69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4.710937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1" spans="1:17" x14ac:dyDescent="0.25">
      <c r="B1" t="s">
        <v>664</v>
      </c>
      <c r="C1" t="s">
        <v>665</v>
      </c>
    </row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593</v>
      </c>
    </row>
    <row r="3" spans="1:17" hidden="1" x14ac:dyDescent="0.25">
      <c r="B3" t="s">
        <v>16</v>
      </c>
      <c r="C3" t="s">
        <v>666</v>
      </c>
      <c r="D3" t="s">
        <v>667</v>
      </c>
      <c r="E3" t="s">
        <v>668</v>
      </c>
      <c r="F3" t="s">
        <v>116</v>
      </c>
      <c r="G3" s="10">
        <v>785</v>
      </c>
      <c r="H3" s="10">
        <v>25</v>
      </c>
      <c r="I3" s="10">
        <f t="shared" ref="I3:I15" si="0">G3-H3</f>
        <v>760</v>
      </c>
      <c r="J3" t="s">
        <v>20</v>
      </c>
      <c r="K3" t="s">
        <v>20</v>
      </c>
      <c r="L3" t="s">
        <v>669</v>
      </c>
      <c r="Q3" s="10">
        <v>1</v>
      </c>
    </row>
    <row r="4" spans="1:17" x14ac:dyDescent="0.25">
      <c r="B4" t="s">
        <v>16</v>
      </c>
      <c r="C4" t="s">
        <v>670</v>
      </c>
      <c r="D4" t="s">
        <v>671</v>
      </c>
      <c r="E4" t="s">
        <v>672</v>
      </c>
      <c r="F4" t="s">
        <v>37</v>
      </c>
      <c r="G4" s="10">
        <v>790</v>
      </c>
      <c r="H4" s="10">
        <v>30</v>
      </c>
      <c r="I4" s="10">
        <f t="shared" si="0"/>
        <v>760</v>
      </c>
      <c r="J4" t="s">
        <v>673</v>
      </c>
      <c r="K4" t="s">
        <v>20</v>
      </c>
      <c r="L4" t="s">
        <v>669</v>
      </c>
      <c r="Q4" s="10">
        <v>1</v>
      </c>
    </row>
    <row r="5" spans="1:17" x14ac:dyDescent="0.25">
      <c r="B5" t="s">
        <v>16</v>
      </c>
      <c r="C5" t="s">
        <v>297</v>
      </c>
      <c r="D5" t="s">
        <v>674</v>
      </c>
      <c r="E5" t="s">
        <v>299</v>
      </c>
      <c r="F5" s="10">
        <v>6</v>
      </c>
      <c r="G5" s="10">
        <v>1517</v>
      </c>
      <c r="H5" s="10">
        <v>17</v>
      </c>
      <c r="I5" s="10">
        <f t="shared" si="0"/>
        <v>1500</v>
      </c>
      <c r="J5" t="s">
        <v>673</v>
      </c>
      <c r="K5" t="s">
        <v>20</v>
      </c>
      <c r="L5" t="s">
        <v>669</v>
      </c>
      <c r="Q5" s="10">
        <v>1</v>
      </c>
    </row>
    <row r="6" spans="1:17" hidden="1" x14ac:dyDescent="0.25">
      <c r="B6" t="s">
        <v>16</v>
      </c>
      <c r="C6" t="s">
        <v>675</v>
      </c>
      <c r="D6" t="s">
        <v>676</v>
      </c>
      <c r="E6" t="s">
        <v>677</v>
      </c>
      <c r="F6" s="10">
        <v>2</v>
      </c>
      <c r="G6" s="10">
        <v>750</v>
      </c>
      <c r="H6" s="10">
        <v>30</v>
      </c>
      <c r="I6" s="10">
        <f t="shared" si="0"/>
        <v>720</v>
      </c>
      <c r="J6" t="s">
        <v>20</v>
      </c>
      <c r="K6" t="s">
        <v>20</v>
      </c>
      <c r="L6" t="s">
        <v>669</v>
      </c>
      <c r="Q6" s="10">
        <v>1</v>
      </c>
    </row>
    <row r="7" spans="1:17" x14ac:dyDescent="0.25">
      <c r="B7" t="s">
        <v>16</v>
      </c>
      <c r="C7" t="s">
        <v>678</v>
      </c>
      <c r="D7" t="s">
        <v>679</v>
      </c>
      <c r="E7" t="s">
        <v>680</v>
      </c>
      <c r="F7" s="10">
        <v>7</v>
      </c>
      <c r="G7" s="10">
        <v>1607</v>
      </c>
      <c r="H7" s="10">
        <v>17</v>
      </c>
      <c r="I7" s="10">
        <f t="shared" si="0"/>
        <v>1590</v>
      </c>
      <c r="J7" t="s">
        <v>673</v>
      </c>
      <c r="K7" t="s">
        <v>20</v>
      </c>
      <c r="L7" t="s">
        <v>669</v>
      </c>
      <c r="Q7" s="10">
        <v>1</v>
      </c>
    </row>
    <row r="8" spans="1:17" hidden="1" x14ac:dyDescent="0.25">
      <c r="B8" t="s">
        <v>16</v>
      </c>
      <c r="C8" t="s">
        <v>681</v>
      </c>
      <c r="D8" t="s">
        <v>682</v>
      </c>
      <c r="E8" t="s">
        <v>683</v>
      </c>
      <c r="F8" s="10">
        <v>2</v>
      </c>
      <c r="G8" s="10">
        <v>850</v>
      </c>
      <c r="H8" s="10">
        <v>30</v>
      </c>
      <c r="I8" s="10">
        <f t="shared" si="0"/>
        <v>820</v>
      </c>
      <c r="J8" t="s">
        <v>20</v>
      </c>
      <c r="K8" t="s">
        <v>20</v>
      </c>
      <c r="L8" t="s">
        <v>669</v>
      </c>
      <c r="Q8" s="10">
        <v>1</v>
      </c>
    </row>
    <row r="9" spans="1:17" x14ac:dyDescent="0.25">
      <c r="B9" t="s">
        <v>16</v>
      </c>
      <c r="C9" t="s">
        <v>684</v>
      </c>
      <c r="D9" t="s">
        <v>685</v>
      </c>
      <c r="E9" t="s">
        <v>686</v>
      </c>
      <c r="F9" s="10">
        <v>7</v>
      </c>
      <c r="G9" s="10">
        <v>777</v>
      </c>
      <c r="H9" s="10">
        <v>17</v>
      </c>
      <c r="I9" s="10">
        <f t="shared" si="0"/>
        <v>760</v>
      </c>
      <c r="J9" t="s">
        <v>673</v>
      </c>
      <c r="K9" t="s">
        <v>20</v>
      </c>
      <c r="L9" t="s">
        <v>669</v>
      </c>
      <c r="Q9" s="10">
        <v>1</v>
      </c>
    </row>
    <row r="10" spans="1:17" hidden="1" x14ac:dyDescent="0.25">
      <c r="B10" t="s">
        <v>16</v>
      </c>
      <c r="C10" t="s">
        <v>687</v>
      </c>
      <c r="D10" t="s">
        <v>688</v>
      </c>
      <c r="E10" t="s">
        <v>689</v>
      </c>
      <c r="F10" t="s">
        <v>95</v>
      </c>
      <c r="G10" s="10">
        <v>605</v>
      </c>
      <c r="H10" s="10">
        <v>25</v>
      </c>
      <c r="I10" s="10">
        <f t="shared" si="0"/>
        <v>580</v>
      </c>
      <c r="J10" t="s">
        <v>25</v>
      </c>
      <c r="K10" t="s">
        <v>20</v>
      </c>
      <c r="L10" t="s">
        <v>669</v>
      </c>
      <c r="Q10" s="10">
        <v>1</v>
      </c>
    </row>
    <row r="11" spans="1:17" x14ac:dyDescent="0.25">
      <c r="B11" t="s">
        <v>16</v>
      </c>
      <c r="C11" t="s">
        <v>690</v>
      </c>
      <c r="D11" t="s">
        <v>691</v>
      </c>
      <c r="E11" t="s">
        <v>692</v>
      </c>
      <c r="F11" s="10">
        <v>8</v>
      </c>
      <c r="G11" s="10">
        <v>597</v>
      </c>
      <c r="H11" s="10">
        <v>17</v>
      </c>
      <c r="I11" s="10">
        <f t="shared" si="0"/>
        <v>580</v>
      </c>
      <c r="J11" t="s">
        <v>673</v>
      </c>
      <c r="K11" t="s">
        <v>20</v>
      </c>
      <c r="L11" t="s">
        <v>669</v>
      </c>
      <c r="Q11" s="10">
        <v>1</v>
      </c>
    </row>
    <row r="12" spans="1:17" hidden="1" x14ac:dyDescent="0.25">
      <c r="B12" t="s">
        <v>16</v>
      </c>
      <c r="C12" t="s">
        <v>693</v>
      </c>
      <c r="D12" t="s">
        <v>694</v>
      </c>
      <c r="E12" t="s">
        <v>695</v>
      </c>
      <c r="F12" t="s">
        <v>116</v>
      </c>
      <c r="G12" s="10">
        <v>1045</v>
      </c>
      <c r="H12" s="10">
        <v>25</v>
      </c>
      <c r="I12" s="10">
        <f t="shared" si="0"/>
        <v>1020</v>
      </c>
      <c r="J12" t="s">
        <v>20</v>
      </c>
      <c r="K12" t="s">
        <v>20</v>
      </c>
      <c r="L12" t="s">
        <v>669</v>
      </c>
      <c r="Q12" s="10">
        <v>1</v>
      </c>
    </row>
    <row r="13" spans="1:17" hidden="1" x14ac:dyDescent="0.25">
      <c r="B13" t="s">
        <v>16</v>
      </c>
      <c r="C13" t="s">
        <v>696</v>
      </c>
      <c r="D13" t="s">
        <v>697</v>
      </c>
      <c r="E13" t="s">
        <v>698</v>
      </c>
      <c r="F13" s="10">
        <v>1</v>
      </c>
      <c r="G13" s="10">
        <v>655</v>
      </c>
      <c r="H13" s="10">
        <v>25</v>
      </c>
      <c r="I13" s="10">
        <f t="shared" si="0"/>
        <v>630</v>
      </c>
      <c r="J13" t="s">
        <v>25</v>
      </c>
      <c r="K13" t="s">
        <v>20</v>
      </c>
      <c r="L13" t="s">
        <v>669</v>
      </c>
      <c r="Q13" s="10">
        <v>1</v>
      </c>
    </row>
    <row r="14" spans="1:17" x14ac:dyDescent="0.25">
      <c r="B14" t="s">
        <v>16</v>
      </c>
      <c r="C14" t="s">
        <v>699</v>
      </c>
      <c r="D14" t="s">
        <v>700</v>
      </c>
      <c r="E14" t="s">
        <v>701</v>
      </c>
      <c r="F14" s="10">
        <v>8</v>
      </c>
      <c r="G14" s="10">
        <v>707</v>
      </c>
      <c r="H14" s="10">
        <v>17</v>
      </c>
      <c r="I14" s="10">
        <f t="shared" si="0"/>
        <v>690</v>
      </c>
      <c r="J14" t="s">
        <v>673</v>
      </c>
      <c r="K14" t="s">
        <v>20</v>
      </c>
      <c r="L14" t="s">
        <v>669</v>
      </c>
      <c r="Q14" s="10">
        <v>1</v>
      </c>
    </row>
    <row r="15" spans="1:17" x14ac:dyDescent="0.25">
      <c r="B15" t="s">
        <v>16</v>
      </c>
      <c r="C15" t="s">
        <v>702</v>
      </c>
      <c r="D15" t="s">
        <v>703</v>
      </c>
      <c r="E15" t="s">
        <v>704</v>
      </c>
      <c r="F15" s="10">
        <v>7</v>
      </c>
      <c r="G15" s="10">
        <v>777</v>
      </c>
      <c r="H15" s="10">
        <v>17</v>
      </c>
      <c r="I15" s="10">
        <f t="shared" si="0"/>
        <v>760</v>
      </c>
      <c r="J15" t="s">
        <v>673</v>
      </c>
      <c r="K15" t="s">
        <v>20</v>
      </c>
      <c r="L15" t="s">
        <v>669</v>
      </c>
      <c r="Q15" s="10">
        <v>1</v>
      </c>
    </row>
    <row r="16" spans="1:17" hidden="1" x14ac:dyDescent="0.25">
      <c r="B16" t="s">
        <v>16</v>
      </c>
      <c r="C16" t="s">
        <v>705</v>
      </c>
      <c r="D16" t="s">
        <v>706</v>
      </c>
      <c r="E16" t="s">
        <v>707</v>
      </c>
      <c r="F16" s="10">
        <v>2</v>
      </c>
      <c r="G16" s="10">
        <v>0</v>
      </c>
      <c r="H16" s="10">
        <v>30</v>
      </c>
      <c r="I16" s="10">
        <f>-H16</f>
        <v>-30</v>
      </c>
      <c r="J16" t="s">
        <v>20</v>
      </c>
      <c r="K16" t="s">
        <v>20</v>
      </c>
      <c r="L16" t="s">
        <v>669</v>
      </c>
      <c r="Q16" s="10">
        <v>1</v>
      </c>
    </row>
    <row r="17" spans="2:17" x14ac:dyDescent="0.25">
      <c r="B17" t="s">
        <v>16</v>
      </c>
      <c r="C17" t="s">
        <v>708</v>
      </c>
      <c r="D17" t="s">
        <v>709</v>
      </c>
      <c r="E17" t="s">
        <v>710</v>
      </c>
      <c r="F17" s="10">
        <v>7</v>
      </c>
      <c r="G17" s="10">
        <v>0</v>
      </c>
      <c r="H17" s="10">
        <v>17</v>
      </c>
      <c r="I17" s="10">
        <f>-H17</f>
        <v>-17</v>
      </c>
      <c r="J17" t="s">
        <v>673</v>
      </c>
      <c r="K17" t="s">
        <v>20</v>
      </c>
      <c r="L17" t="s">
        <v>669</v>
      </c>
      <c r="Q17" s="10">
        <v>1</v>
      </c>
    </row>
    <row r="18" spans="2:17" x14ac:dyDescent="0.25">
      <c r="B18" t="s">
        <v>16</v>
      </c>
      <c r="C18" t="s">
        <v>711</v>
      </c>
      <c r="D18" t="s">
        <v>712</v>
      </c>
      <c r="E18" t="s">
        <v>713</v>
      </c>
      <c r="F18" s="10">
        <v>8</v>
      </c>
      <c r="G18" s="10">
        <v>847</v>
      </c>
      <c r="H18" s="10">
        <v>17</v>
      </c>
      <c r="I18" s="10">
        <f>G18-H18</f>
        <v>830</v>
      </c>
      <c r="J18" t="s">
        <v>673</v>
      </c>
      <c r="K18" t="s">
        <v>20</v>
      </c>
      <c r="L18" t="s">
        <v>669</v>
      </c>
      <c r="Q18" s="10">
        <v>1</v>
      </c>
    </row>
    <row r="19" spans="2:17" hidden="1" x14ac:dyDescent="0.25">
      <c r="B19" t="s">
        <v>16</v>
      </c>
      <c r="C19" t="s">
        <v>607</v>
      </c>
      <c r="D19" t="s">
        <v>714</v>
      </c>
      <c r="E19" t="s">
        <v>715</v>
      </c>
      <c r="F19" t="s">
        <v>91</v>
      </c>
      <c r="G19" s="10">
        <v>390</v>
      </c>
      <c r="H19" s="10">
        <v>20</v>
      </c>
      <c r="I19" s="10">
        <f>G19-H19</f>
        <v>370</v>
      </c>
      <c r="J19" t="s">
        <v>25</v>
      </c>
      <c r="K19" t="s">
        <v>20</v>
      </c>
      <c r="L19" t="s">
        <v>669</v>
      </c>
      <c r="Q19" s="10">
        <v>1</v>
      </c>
    </row>
    <row r="20" spans="2:17" hidden="1" x14ac:dyDescent="0.25">
      <c r="B20" t="s">
        <v>16</v>
      </c>
      <c r="C20" t="s">
        <v>716</v>
      </c>
      <c r="D20" t="s">
        <v>717</v>
      </c>
      <c r="E20" t="s">
        <v>718</v>
      </c>
      <c r="F20" t="s">
        <v>95</v>
      </c>
      <c r="G20" s="10">
        <v>385</v>
      </c>
      <c r="H20" s="10">
        <v>25</v>
      </c>
      <c r="I20" s="10">
        <f>G20-H20</f>
        <v>360</v>
      </c>
      <c r="J20" t="s">
        <v>25</v>
      </c>
      <c r="K20" t="s">
        <v>20</v>
      </c>
      <c r="L20" t="s">
        <v>669</v>
      </c>
      <c r="Q20" s="10">
        <v>1</v>
      </c>
    </row>
    <row r="21" spans="2:17" hidden="1" x14ac:dyDescent="0.25">
      <c r="B21" t="s">
        <v>16</v>
      </c>
      <c r="C21" t="s">
        <v>719</v>
      </c>
      <c r="D21" t="s">
        <v>720</v>
      </c>
      <c r="E21" t="s">
        <v>721</v>
      </c>
      <c r="F21" t="s">
        <v>95</v>
      </c>
      <c r="G21" s="10">
        <v>995</v>
      </c>
      <c r="H21" s="10">
        <v>25</v>
      </c>
      <c r="I21" s="10">
        <f>G21-H21</f>
        <v>970</v>
      </c>
      <c r="J21" t="s">
        <v>25</v>
      </c>
      <c r="K21" t="s">
        <v>20</v>
      </c>
      <c r="L21" t="s">
        <v>669</v>
      </c>
      <c r="Q21" s="10">
        <v>1</v>
      </c>
    </row>
    <row r="22" spans="2:17" hidden="1" x14ac:dyDescent="0.25">
      <c r="B22" t="s">
        <v>16</v>
      </c>
      <c r="C22" t="s">
        <v>722</v>
      </c>
      <c r="D22" t="s">
        <v>723</v>
      </c>
      <c r="E22" t="s">
        <v>724</v>
      </c>
      <c r="F22" t="s">
        <v>116</v>
      </c>
      <c r="G22" s="10">
        <v>815</v>
      </c>
      <c r="H22" s="10">
        <v>25</v>
      </c>
      <c r="I22" s="10">
        <f>G22-H22</f>
        <v>790</v>
      </c>
      <c r="J22" t="s">
        <v>20</v>
      </c>
      <c r="K22" t="s">
        <v>20</v>
      </c>
      <c r="L22" t="s">
        <v>669</v>
      </c>
      <c r="Q22" s="10">
        <v>1</v>
      </c>
    </row>
    <row r="23" spans="2:17" hidden="1" x14ac:dyDescent="0.25">
      <c r="B23" t="s">
        <v>16</v>
      </c>
      <c r="C23" t="s">
        <v>725</v>
      </c>
      <c r="D23" t="s">
        <v>726</v>
      </c>
      <c r="E23" t="s">
        <v>727</v>
      </c>
      <c r="F23" t="s">
        <v>95</v>
      </c>
      <c r="G23" s="10">
        <v>0</v>
      </c>
      <c r="H23" s="10">
        <v>25</v>
      </c>
      <c r="I23" s="10">
        <f>-H23</f>
        <v>-25</v>
      </c>
      <c r="J23" t="s">
        <v>25</v>
      </c>
      <c r="K23" t="s">
        <v>20</v>
      </c>
      <c r="L23" t="s">
        <v>669</v>
      </c>
      <c r="Q23" s="10">
        <v>1</v>
      </c>
    </row>
    <row r="24" spans="2:17" hidden="1" x14ac:dyDescent="0.25">
      <c r="B24" t="s">
        <v>16</v>
      </c>
      <c r="C24" t="s">
        <v>728</v>
      </c>
      <c r="D24" t="s">
        <v>729</v>
      </c>
      <c r="E24" t="s">
        <v>730</v>
      </c>
      <c r="F24" t="s">
        <v>116</v>
      </c>
      <c r="G24" s="10">
        <v>1435</v>
      </c>
      <c r="H24" s="10">
        <v>25</v>
      </c>
      <c r="I24" s="10">
        <f>G24-H24</f>
        <v>1410</v>
      </c>
      <c r="J24" t="s">
        <v>20</v>
      </c>
      <c r="K24" t="s">
        <v>20</v>
      </c>
      <c r="L24" t="s">
        <v>669</v>
      </c>
      <c r="Q24" s="10">
        <v>1</v>
      </c>
    </row>
    <row r="25" spans="2:17" hidden="1" x14ac:dyDescent="0.25">
      <c r="B25" t="s">
        <v>16</v>
      </c>
      <c r="C25" t="s">
        <v>731</v>
      </c>
      <c r="D25" t="s">
        <v>732</v>
      </c>
      <c r="E25" t="s">
        <v>733</v>
      </c>
      <c r="F25" s="10">
        <v>1</v>
      </c>
      <c r="G25" s="10">
        <v>745</v>
      </c>
      <c r="H25" s="10">
        <v>25</v>
      </c>
      <c r="I25" s="10">
        <f>G25-H25</f>
        <v>720</v>
      </c>
      <c r="J25" t="s">
        <v>25</v>
      </c>
      <c r="K25" t="s">
        <v>20</v>
      </c>
      <c r="L25" t="s">
        <v>669</v>
      </c>
      <c r="Q25" s="10">
        <v>1</v>
      </c>
    </row>
    <row r="26" spans="2:17" hidden="1" x14ac:dyDescent="0.25">
      <c r="B26" t="s">
        <v>16</v>
      </c>
      <c r="C26" t="s">
        <v>734</v>
      </c>
      <c r="D26" t="s">
        <v>735</v>
      </c>
      <c r="E26" t="s">
        <v>736</v>
      </c>
      <c r="F26" s="10">
        <v>10</v>
      </c>
      <c r="G26" s="10">
        <v>705</v>
      </c>
      <c r="H26" s="10">
        <v>25</v>
      </c>
      <c r="I26" s="10">
        <f>G26-H26</f>
        <v>680</v>
      </c>
      <c r="J26" t="s">
        <v>25</v>
      </c>
      <c r="K26" t="s">
        <v>20</v>
      </c>
      <c r="L26" t="s">
        <v>669</v>
      </c>
      <c r="Q26" s="10">
        <v>1</v>
      </c>
    </row>
    <row r="27" spans="2:17" x14ac:dyDescent="0.25">
      <c r="B27" t="s">
        <v>16</v>
      </c>
      <c r="C27" t="s">
        <v>737</v>
      </c>
      <c r="D27" t="s">
        <v>738</v>
      </c>
      <c r="E27" t="s">
        <v>739</v>
      </c>
      <c r="F27" t="s">
        <v>47</v>
      </c>
      <c r="G27" s="10">
        <v>0</v>
      </c>
      <c r="H27" s="10">
        <v>25</v>
      </c>
      <c r="I27" s="10">
        <f>-H27</f>
        <v>-25</v>
      </c>
      <c r="J27" t="s">
        <v>673</v>
      </c>
      <c r="K27" t="s">
        <v>20</v>
      </c>
      <c r="L27" t="s">
        <v>669</v>
      </c>
      <c r="Q27" s="10">
        <v>1</v>
      </c>
    </row>
    <row r="28" spans="2:17" x14ac:dyDescent="0.25">
      <c r="B28" t="s">
        <v>16</v>
      </c>
      <c r="C28" t="s">
        <v>740</v>
      </c>
      <c r="D28" t="s">
        <v>741</v>
      </c>
      <c r="E28" t="s">
        <v>742</v>
      </c>
      <c r="F28" s="10">
        <v>8</v>
      </c>
      <c r="G28" s="10">
        <v>0</v>
      </c>
      <c r="H28" s="10">
        <v>17</v>
      </c>
      <c r="I28" s="10">
        <f>-H28</f>
        <v>-17</v>
      </c>
      <c r="J28" t="s">
        <v>673</v>
      </c>
      <c r="K28" t="s">
        <v>20</v>
      </c>
      <c r="L28" t="s">
        <v>669</v>
      </c>
      <c r="Q28" s="10">
        <v>1</v>
      </c>
    </row>
    <row r="29" spans="2:17" x14ac:dyDescent="0.25">
      <c r="B29" t="s">
        <v>16</v>
      </c>
      <c r="C29" t="s">
        <v>743</v>
      </c>
      <c r="D29" t="s">
        <v>744</v>
      </c>
      <c r="E29" t="s">
        <v>745</v>
      </c>
      <c r="F29" s="10">
        <v>7</v>
      </c>
      <c r="G29" s="10">
        <v>777</v>
      </c>
      <c r="H29" s="10">
        <v>17</v>
      </c>
      <c r="I29" s="10">
        <f t="shared" ref="I29:I36" si="1">G29-H29</f>
        <v>760</v>
      </c>
      <c r="J29" t="s">
        <v>673</v>
      </c>
      <c r="K29" t="s">
        <v>20</v>
      </c>
      <c r="L29" t="s">
        <v>669</v>
      </c>
      <c r="Q29" s="10">
        <v>1</v>
      </c>
    </row>
    <row r="30" spans="2:17" x14ac:dyDescent="0.25">
      <c r="B30" t="s">
        <v>16</v>
      </c>
      <c r="C30" t="s">
        <v>746</v>
      </c>
      <c r="D30" t="s">
        <v>747</v>
      </c>
      <c r="E30" t="s">
        <v>748</v>
      </c>
      <c r="F30" s="10">
        <v>8</v>
      </c>
      <c r="G30" s="10">
        <v>737</v>
      </c>
      <c r="H30" s="10">
        <v>17</v>
      </c>
      <c r="I30" s="10">
        <f t="shared" si="1"/>
        <v>720</v>
      </c>
      <c r="J30" t="s">
        <v>673</v>
      </c>
      <c r="K30" t="s">
        <v>20</v>
      </c>
      <c r="L30" t="s">
        <v>669</v>
      </c>
      <c r="Q30" s="10">
        <v>1</v>
      </c>
    </row>
    <row r="31" spans="2:17" x14ac:dyDescent="0.25">
      <c r="B31" t="s">
        <v>16</v>
      </c>
      <c r="C31" t="s">
        <v>749</v>
      </c>
      <c r="D31" t="s">
        <v>750</v>
      </c>
      <c r="E31" t="s">
        <v>751</v>
      </c>
      <c r="F31" t="s">
        <v>47</v>
      </c>
      <c r="G31" s="10">
        <v>735</v>
      </c>
      <c r="H31" s="10">
        <v>25</v>
      </c>
      <c r="I31" s="10">
        <f t="shared" si="1"/>
        <v>710</v>
      </c>
      <c r="J31" t="s">
        <v>673</v>
      </c>
      <c r="K31" t="s">
        <v>20</v>
      </c>
      <c r="L31" t="s">
        <v>669</v>
      </c>
      <c r="Q31" s="10">
        <v>1</v>
      </c>
    </row>
    <row r="32" spans="2:17" x14ac:dyDescent="0.25">
      <c r="B32" t="s">
        <v>16</v>
      </c>
      <c r="C32" t="s">
        <v>752</v>
      </c>
      <c r="D32" t="s">
        <v>753</v>
      </c>
      <c r="E32" t="s">
        <v>754</v>
      </c>
      <c r="F32" s="10">
        <v>7</v>
      </c>
      <c r="G32" s="10">
        <v>777</v>
      </c>
      <c r="H32" s="10">
        <v>17</v>
      </c>
      <c r="I32" s="10">
        <f t="shared" si="1"/>
        <v>760</v>
      </c>
      <c r="J32" t="s">
        <v>673</v>
      </c>
      <c r="K32" t="s">
        <v>20</v>
      </c>
      <c r="L32" t="s">
        <v>669</v>
      </c>
      <c r="Q32" s="10">
        <v>1</v>
      </c>
    </row>
    <row r="33" spans="1:17" x14ac:dyDescent="0.25">
      <c r="B33" t="s">
        <v>16</v>
      </c>
      <c r="C33" t="s">
        <v>755</v>
      </c>
      <c r="D33" t="s">
        <v>756</v>
      </c>
      <c r="E33" t="s">
        <v>757</v>
      </c>
      <c r="F33" s="10">
        <v>7</v>
      </c>
      <c r="G33" s="10">
        <v>807</v>
      </c>
      <c r="H33" s="10">
        <v>17</v>
      </c>
      <c r="I33" s="10">
        <f t="shared" si="1"/>
        <v>790</v>
      </c>
      <c r="J33" t="s">
        <v>673</v>
      </c>
      <c r="K33" t="s">
        <v>20</v>
      </c>
      <c r="L33" t="s">
        <v>669</v>
      </c>
      <c r="Q33" s="10">
        <v>1</v>
      </c>
    </row>
    <row r="34" spans="1:17" x14ac:dyDescent="0.25">
      <c r="B34" t="s">
        <v>16</v>
      </c>
      <c r="C34" t="s">
        <v>758</v>
      </c>
      <c r="D34" t="s">
        <v>759</v>
      </c>
      <c r="E34" t="s">
        <v>760</v>
      </c>
      <c r="F34" t="s">
        <v>61</v>
      </c>
      <c r="G34" s="10">
        <v>357</v>
      </c>
      <c r="H34" s="10">
        <v>17</v>
      </c>
      <c r="I34" s="10">
        <f t="shared" si="1"/>
        <v>340</v>
      </c>
      <c r="J34" t="s">
        <v>673</v>
      </c>
      <c r="K34" t="s">
        <v>20</v>
      </c>
      <c r="L34" t="s">
        <v>669</v>
      </c>
      <c r="Q34" s="10">
        <v>1</v>
      </c>
    </row>
    <row r="35" spans="1:17" hidden="1" x14ac:dyDescent="0.25">
      <c r="B35" t="s">
        <v>16</v>
      </c>
      <c r="C35" t="s">
        <v>408</v>
      </c>
      <c r="D35" t="s">
        <v>761</v>
      </c>
      <c r="E35" t="s">
        <v>762</v>
      </c>
      <c r="F35" t="s">
        <v>33</v>
      </c>
      <c r="G35" s="10">
        <v>790</v>
      </c>
      <c r="H35" s="10">
        <v>30</v>
      </c>
      <c r="I35" s="10">
        <f t="shared" si="1"/>
        <v>760</v>
      </c>
      <c r="J35" t="s">
        <v>20</v>
      </c>
      <c r="K35" t="s">
        <v>20</v>
      </c>
      <c r="L35" t="s">
        <v>669</v>
      </c>
      <c r="Q35" s="10">
        <v>1</v>
      </c>
    </row>
    <row r="36" spans="1:17" hidden="1" x14ac:dyDescent="0.25">
      <c r="B36" t="s">
        <v>16</v>
      </c>
      <c r="C36" t="s">
        <v>763</v>
      </c>
      <c r="D36" t="s">
        <v>764</v>
      </c>
      <c r="E36" t="s">
        <v>765</v>
      </c>
      <c r="F36" s="10">
        <v>5</v>
      </c>
      <c r="G36" s="10">
        <v>605</v>
      </c>
      <c r="H36" s="10">
        <v>25</v>
      </c>
      <c r="I36" s="10">
        <f t="shared" si="1"/>
        <v>580</v>
      </c>
      <c r="J36" t="s">
        <v>25</v>
      </c>
      <c r="K36" t="s">
        <v>20</v>
      </c>
      <c r="L36" t="s">
        <v>669</v>
      </c>
      <c r="Q36" s="10">
        <v>1</v>
      </c>
    </row>
    <row r="37" spans="1:17" hidden="1" x14ac:dyDescent="0.25">
      <c r="B37" t="s">
        <v>16</v>
      </c>
      <c r="C37" t="s">
        <v>766</v>
      </c>
      <c r="D37" t="s">
        <v>767</v>
      </c>
      <c r="E37" t="s">
        <v>768</v>
      </c>
      <c r="F37" t="s">
        <v>95</v>
      </c>
      <c r="G37" s="10">
        <v>0</v>
      </c>
      <c r="H37" s="10">
        <v>25</v>
      </c>
      <c r="I37" s="10">
        <f>-H37</f>
        <v>-25</v>
      </c>
      <c r="J37" t="s">
        <v>25</v>
      </c>
      <c r="K37" t="s">
        <v>20</v>
      </c>
      <c r="L37" t="s">
        <v>669</v>
      </c>
      <c r="Q37" s="10">
        <v>1</v>
      </c>
    </row>
    <row r="38" spans="1:17" hidden="1" x14ac:dyDescent="0.25">
      <c r="A38" t="s">
        <v>253</v>
      </c>
      <c r="B38" t="s">
        <v>16</v>
      </c>
      <c r="C38" t="s">
        <v>567</v>
      </c>
      <c r="E38" t="s">
        <v>769</v>
      </c>
      <c r="F38" s="10">
        <v>4</v>
      </c>
      <c r="G38" s="10">
        <v>25</v>
      </c>
      <c r="H38" s="10">
        <v>25</v>
      </c>
      <c r="I38" s="10">
        <f>G38-H38</f>
        <v>0</v>
      </c>
      <c r="J38" t="s">
        <v>25</v>
      </c>
      <c r="K38" t="s">
        <v>20</v>
      </c>
      <c r="L38" t="s">
        <v>669</v>
      </c>
      <c r="M38" t="s">
        <v>770</v>
      </c>
      <c r="Q38" s="10">
        <v>1</v>
      </c>
    </row>
    <row r="39" spans="1:17" hidden="1" x14ac:dyDescent="0.25">
      <c r="A39" t="s">
        <v>253</v>
      </c>
      <c r="B39" t="s">
        <v>16</v>
      </c>
      <c r="C39" t="s">
        <v>256</v>
      </c>
      <c r="E39" t="s">
        <v>771</v>
      </c>
      <c r="F39" t="s">
        <v>116</v>
      </c>
      <c r="G39" s="10">
        <v>30</v>
      </c>
      <c r="H39" s="10">
        <v>30</v>
      </c>
      <c r="I39" s="10">
        <f>G39-H39</f>
        <v>0</v>
      </c>
      <c r="J39" t="s">
        <v>20</v>
      </c>
      <c r="K39" t="s">
        <v>20</v>
      </c>
      <c r="L39" t="s">
        <v>669</v>
      </c>
      <c r="M39" t="s">
        <v>770</v>
      </c>
      <c r="Q39" s="10">
        <v>1</v>
      </c>
    </row>
    <row r="40" spans="1:17" hidden="1" x14ac:dyDescent="0.25">
      <c r="A40" t="s">
        <v>253</v>
      </c>
      <c r="B40" t="s">
        <v>16</v>
      </c>
      <c r="C40" t="s">
        <v>772</v>
      </c>
      <c r="E40" t="s">
        <v>773</v>
      </c>
      <c r="F40" s="10">
        <v>2</v>
      </c>
      <c r="G40" s="10">
        <v>35</v>
      </c>
      <c r="H40" s="10">
        <v>35</v>
      </c>
      <c r="I40" s="10">
        <f>G40-H40</f>
        <v>0</v>
      </c>
      <c r="J40" t="s">
        <v>20</v>
      </c>
      <c r="K40" t="s">
        <v>20</v>
      </c>
      <c r="L40" t="s">
        <v>669</v>
      </c>
      <c r="M40" t="s">
        <v>770</v>
      </c>
      <c r="Q40" s="10">
        <v>1</v>
      </c>
    </row>
    <row r="41" spans="1:17" hidden="1" x14ac:dyDescent="0.25">
      <c r="A41" t="s">
        <v>253</v>
      </c>
      <c r="B41" t="s">
        <v>16</v>
      </c>
      <c r="C41" t="s">
        <v>774</v>
      </c>
      <c r="E41" t="s">
        <v>775</v>
      </c>
      <c r="F41" t="s">
        <v>116</v>
      </c>
      <c r="G41" s="10">
        <v>615</v>
      </c>
      <c r="H41" s="10">
        <v>25</v>
      </c>
      <c r="I41" s="10">
        <f>G41-H41</f>
        <v>590</v>
      </c>
      <c r="J41" t="s">
        <v>20</v>
      </c>
      <c r="K41" t="s">
        <v>20</v>
      </c>
      <c r="L41" t="s">
        <v>669</v>
      </c>
      <c r="M41" t="s">
        <v>776</v>
      </c>
      <c r="Q41" s="10">
        <v>1</v>
      </c>
    </row>
    <row r="42" spans="1:17" x14ac:dyDescent="0.25">
      <c r="A42" t="s">
        <v>253</v>
      </c>
      <c r="B42" t="s">
        <v>16</v>
      </c>
      <c r="C42" t="s">
        <v>777</v>
      </c>
      <c r="E42" t="s">
        <v>778</v>
      </c>
      <c r="G42" s="10">
        <v>1830</v>
      </c>
      <c r="H42" s="10">
        <v>30</v>
      </c>
      <c r="I42" s="10">
        <f>G42-H42</f>
        <v>1800</v>
      </c>
      <c r="J42" t="s">
        <v>673</v>
      </c>
      <c r="K42" t="s">
        <v>20</v>
      </c>
      <c r="L42" t="s">
        <v>669</v>
      </c>
      <c r="M42" t="s">
        <v>779</v>
      </c>
      <c r="Q42" s="10">
        <v>1</v>
      </c>
    </row>
    <row r="43" spans="1:17" hidden="1" x14ac:dyDescent="0.25">
      <c r="A43" t="s">
        <v>253</v>
      </c>
      <c r="B43" t="s">
        <v>16</v>
      </c>
      <c r="C43" t="s">
        <v>258</v>
      </c>
      <c r="E43" t="s">
        <v>259</v>
      </c>
      <c r="F43" t="s">
        <v>95</v>
      </c>
      <c r="G43" s="10">
        <v>0</v>
      </c>
      <c r="H43" s="10">
        <v>25</v>
      </c>
      <c r="I43" s="10">
        <f>-H43</f>
        <v>-25</v>
      </c>
      <c r="J43" t="s">
        <v>25</v>
      </c>
      <c r="K43" t="s">
        <v>20</v>
      </c>
      <c r="L43" t="s">
        <v>669</v>
      </c>
      <c r="Q43" s="10">
        <v>1</v>
      </c>
    </row>
    <row r="44" spans="1:17" hidden="1" x14ac:dyDescent="0.25">
      <c r="A44" t="s">
        <v>253</v>
      </c>
      <c r="B44" t="s">
        <v>16</v>
      </c>
      <c r="C44" t="s">
        <v>780</v>
      </c>
      <c r="E44" t="s">
        <v>781</v>
      </c>
      <c r="F44" t="s">
        <v>95</v>
      </c>
      <c r="G44" s="10">
        <v>1270</v>
      </c>
      <c r="H44" s="10">
        <v>30</v>
      </c>
      <c r="I44" s="10">
        <f>G44-H44</f>
        <v>1240</v>
      </c>
      <c r="J44" t="s">
        <v>25</v>
      </c>
      <c r="K44" t="s">
        <v>20</v>
      </c>
      <c r="L44" t="s">
        <v>669</v>
      </c>
      <c r="Q44" s="10">
        <v>1</v>
      </c>
    </row>
    <row r="45" spans="1:17" hidden="1" x14ac:dyDescent="0.25">
      <c r="B45" t="s">
        <v>16</v>
      </c>
      <c r="C45" t="s">
        <v>547</v>
      </c>
      <c r="D45" t="s">
        <v>548</v>
      </c>
      <c r="E45" t="s">
        <v>549</v>
      </c>
      <c r="F45" t="s">
        <v>33</v>
      </c>
      <c r="G45" s="10">
        <v>610</v>
      </c>
      <c r="H45" s="10">
        <v>30</v>
      </c>
      <c r="I45" s="10">
        <f>G45-H45</f>
        <v>580</v>
      </c>
      <c r="J45" t="s">
        <v>438</v>
      </c>
      <c r="K45" t="s">
        <v>20</v>
      </c>
      <c r="L45" t="s">
        <v>481</v>
      </c>
      <c r="M45" t="s">
        <v>72</v>
      </c>
      <c r="N45" t="s">
        <v>288</v>
      </c>
      <c r="O45" t="s">
        <v>288</v>
      </c>
      <c r="P45" t="s">
        <v>440</v>
      </c>
      <c r="Q45" s="10">
        <v>1</v>
      </c>
    </row>
    <row r="47" spans="1:17" x14ac:dyDescent="0.25">
      <c r="D47" s="4">
        <f>COUNTA(D3:D45)</f>
        <v>36</v>
      </c>
      <c r="G47" s="4">
        <f t="shared" ref="G47:Q47" si="2">SUBTOTAL(9,G3:G45)</f>
        <v>13639</v>
      </c>
      <c r="H47" s="4">
        <f t="shared" si="2"/>
        <v>348</v>
      </c>
      <c r="I47" s="4">
        <f t="shared" si="2"/>
        <v>13291</v>
      </c>
      <c r="J47" s="4">
        <f t="shared" si="2"/>
        <v>0</v>
      </c>
      <c r="K47" s="4">
        <f t="shared" si="2"/>
        <v>0</v>
      </c>
      <c r="L47" s="4">
        <f t="shared" si="2"/>
        <v>0</v>
      </c>
      <c r="M47" s="4">
        <f t="shared" si="2"/>
        <v>0</v>
      </c>
      <c r="N47" s="4">
        <f t="shared" si="2"/>
        <v>0</v>
      </c>
      <c r="O47" s="4">
        <f t="shared" si="2"/>
        <v>0</v>
      </c>
      <c r="P47" s="4">
        <f t="shared" si="2"/>
        <v>0</v>
      </c>
      <c r="Q47" s="4">
        <f t="shared" si="2"/>
        <v>18</v>
      </c>
    </row>
    <row r="49" spans="1:16" x14ac:dyDescent="0.25">
      <c r="A49" s="3"/>
      <c r="B49" s="2"/>
      <c r="C49" s="96"/>
      <c r="D49" s="96"/>
      <c r="E49" s="3"/>
      <c r="F49" s="2"/>
      <c r="G49" s="2"/>
      <c r="K49" s="3"/>
      <c r="L49" s="3"/>
      <c r="M49" s="3"/>
      <c r="O49" s="7"/>
    </row>
    <row r="50" spans="1:16" x14ac:dyDescent="0.25">
      <c r="A50" s="2"/>
      <c r="B50" s="2"/>
      <c r="C50" s="95"/>
      <c r="D50" s="95"/>
      <c r="E50" s="2"/>
      <c r="F50" s="2"/>
      <c r="G50" s="2"/>
      <c r="K50" s="2"/>
      <c r="L50" s="2"/>
      <c r="M50" s="2"/>
    </row>
    <row r="51" spans="1:16" x14ac:dyDescent="0.25">
      <c r="A51" s="2"/>
      <c r="B51" s="1"/>
      <c r="C51" s="97"/>
      <c r="D51" s="97"/>
      <c r="E51" s="2"/>
      <c r="F51" s="2"/>
      <c r="G51" s="2"/>
      <c r="H51" s="43" t="s">
        <v>673</v>
      </c>
      <c r="I51" s="43" t="s">
        <v>264</v>
      </c>
      <c r="J51" s="43" t="s">
        <v>263</v>
      </c>
      <c r="K51" s="2"/>
      <c r="L51" s="2"/>
      <c r="M51" s="2"/>
    </row>
    <row r="52" spans="1:16" x14ac:dyDescent="0.25">
      <c r="A52" s="2"/>
      <c r="B52" s="1"/>
      <c r="C52" s="97"/>
      <c r="D52" s="97"/>
      <c r="E52" s="1"/>
      <c r="F52" s="2"/>
      <c r="G52" s="2"/>
      <c r="H52" t="s">
        <v>266</v>
      </c>
      <c r="I52">
        <f>SUMIFS(G$3:G$45,J$3:J$45,H$51)</f>
        <v>13639</v>
      </c>
      <c r="J52">
        <f>SUMIFS(Q$3:Q$45,J$3:J$45,H$51)</f>
        <v>18</v>
      </c>
      <c r="K52" s="2"/>
      <c r="L52" s="2"/>
      <c r="M52" s="2"/>
    </row>
    <row r="53" spans="1:16" x14ac:dyDescent="0.25">
      <c r="A53" s="2"/>
      <c r="B53" s="3"/>
      <c r="C53" s="96"/>
      <c r="D53" s="96"/>
      <c r="E53" s="2"/>
      <c r="F53" s="2"/>
      <c r="G53" s="2"/>
      <c r="H53" t="s">
        <v>268</v>
      </c>
      <c r="I53">
        <f>-SUMIFS(H$3:H$45,J$3:J$45,H$51)+J53*5</f>
        <v>-258</v>
      </c>
      <c r="J53" s="10">
        <f>SUMIFS(Q$3:Q$45,J$3:J$45,H$51)-COUNTIFS(J$3:J$45,K$57,M$3:M$45,"*gộp*")</f>
        <v>18</v>
      </c>
      <c r="K53" s="1"/>
      <c r="L53" s="2"/>
      <c r="M53" s="2"/>
    </row>
    <row r="54" spans="1:16" x14ac:dyDescent="0.25">
      <c r="A54" s="2"/>
      <c r="B54" s="1"/>
      <c r="C54" s="95"/>
      <c r="D54" s="95"/>
      <c r="E54" s="2"/>
      <c r="F54" s="2"/>
      <c r="G54" s="2"/>
      <c r="H54" t="s">
        <v>468</v>
      </c>
      <c r="K54" s="1"/>
      <c r="L54" s="2"/>
      <c r="M54" s="2"/>
      <c r="O54" s="7"/>
      <c r="P54" s="7"/>
    </row>
    <row r="55" spans="1:16" x14ac:dyDescent="0.25">
      <c r="A55" s="2"/>
      <c r="B55" s="2"/>
      <c r="C55" s="95"/>
      <c r="D55" s="95"/>
      <c r="E55" s="2"/>
      <c r="F55" s="2"/>
      <c r="G55" s="2"/>
      <c r="H55" s="5" t="s">
        <v>72</v>
      </c>
      <c r="K55" s="2"/>
      <c r="L55" s="3"/>
      <c r="M55" s="3"/>
    </row>
    <row r="56" spans="1:16" x14ac:dyDescent="0.25">
      <c r="A56" s="2"/>
      <c r="B56" s="2"/>
      <c r="C56" s="2"/>
      <c r="D56" s="2"/>
      <c r="E56" s="2"/>
      <c r="F56" s="2"/>
      <c r="G56" s="2"/>
      <c r="H56" s="5" t="s">
        <v>272</v>
      </c>
    </row>
    <row r="57" spans="1:16" x14ac:dyDescent="0.25">
      <c r="A57" s="2"/>
      <c r="B57" s="3"/>
      <c r="C57" s="96"/>
      <c r="D57" s="96"/>
      <c r="E57" s="3"/>
      <c r="F57" s="2"/>
      <c r="G57" s="2"/>
      <c r="I57" s="45">
        <f>SUBTOTAL(9,I52:I56)</f>
        <v>13381</v>
      </c>
      <c r="J57" s="45">
        <f>J52</f>
        <v>18</v>
      </c>
      <c r="K57" s="3"/>
      <c r="L57" s="3"/>
      <c r="M57" s="3"/>
      <c r="N57" s="2"/>
    </row>
  </sheetData>
  <autoFilter ref="A2:P45" xr:uid="{00000000-0009-0000-0000-000006000000}">
    <filterColumn colId="9">
      <filters>
        <filter val="AT  12-03"/>
      </filters>
    </filterColumn>
  </autoFilter>
  <mergeCells count="8">
    <mergeCell ref="C54:D54"/>
    <mergeCell ref="C55:D55"/>
    <mergeCell ref="C57:D57"/>
    <mergeCell ref="C49:D49"/>
    <mergeCell ref="C50:D50"/>
    <mergeCell ref="C51:D51"/>
    <mergeCell ref="C52:D52"/>
    <mergeCell ref="C53:D53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71"/>
  <sheetViews>
    <sheetView topLeftCell="A10" zoomScale="80" zoomScaleNormal="80" workbookViewId="0">
      <selection activeCell="C52" sqref="C52 C52:D52"/>
    </sheetView>
  </sheetViews>
  <sheetFormatPr defaultRowHeight="15" x14ac:dyDescent="0.25"/>
  <cols>
    <col min="1" max="1" width="12.28515625" customWidth="1"/>
    <col min="2" max="2" width="19.140625" customWidth="1"/>
    <col min="3" max="3" width="28.28515625" customWidth="1"/>
    <col min="4" max="4" width="10.140625" customWidth="1"/>
    <col min="5" max="5" width="69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4.710937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1" spans="1:17" x14ac:dyDescent="0.25">
      <c r="B1" t="s">
        <v>664</v>
      </c>
      <c r="C1" t="s">
        <v>665</v>
      </c>
    </row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593</v>
      </c>
    </row>
    <row r="3" spans="1:17" x14ac:dyDescent="0.25">
      <c r="B3" t="s">
        <v>16</v>
      </c>
      <c r="C3" t="s">
        <v>666</v>
      </c>
      <c r="D3" t="s">
        <v>667</v>
      </c>
      <c r="E3" t="s">
        <v>668</v>
      </c>
      <c r="F3" t="s">
        <v>116</v>
      </c>
      <c r="G3" s="10">
        <v>785</v>
      </c>
      <c r="H3" s="10">
        <v>25</v>
      </c>
      <c r="I3" s="10">
        <f t="shared" ref="I3:I15" si="0">G3-H3</f>
        <v>760</v>
      </c>
      <c r="J3" t="s">
        <v>20</v>
      </c>
      <c r="K3" t="s">
        <v>20</v>
      </c>
      <c r="L3" t="s">
        <v>669</v>
      </c>
      <c r="Q3" s="10">
        <v>1</v>
      </c>
    </row>
    <row r="4" spans="1:17" x14ac:dyDescent="0.25">
      <c r="B4" t="s">
        <v>16</v>
      </c>
      <c r="C4" t="s">
        <v>670</v>
      </c>
      <c r="D4" t="s">
        <v>671</v>
      </c>
      <c r="E4" t="s">
        <v>672</v>
      </c>
      <c r="F4" t="s">
        <v>37</v>
      </c>
      <c r="G4" s="10">
        <v>795</v>
      </c>
      <c r="H4" s="10">
        <v>35</v>
      </c>
      <c r="I4" s="10">
        <f t="shared" si="0"/>
        <v>760</v>
      </c>
      <c r="J4" t="s">
        <v>673</v>
      </c>
      <c r="K4" t="s">
        <v>20</v>
      </c>
      <c r="L4" t="s">
        <v>669</v>
      </c>
      <c r="Q4" s="10">
        <v>1</v>
      </c>
    </row>
    <row r="5" spans="1:17" x14ac:dyDescent="0.25">
      <c r="B5" t="s">
        <v>16</v>
      </c>
      <c r="C5" t="s">
        <v>297</v>
      </c>
      <c r="D5" t="s">
        <v>674</v>
      </c>
      <c r="E5" t="s">
        <v>299</v>
      </c>
      <c r="F5" s="10">
        <v>6</v>
      </c>
      <c r="G5" s="10">
        <v>1525</v>
      </c>
      <c r="H5" s="10">
        <v>25</v>
      </c>
      <c r="I5" s="10">
        <f t="shared" si="0"/>
        <v>1500</v>
      </c>
      <c r="J5" t="s">
        <v>673</v>
      </c>
      <c r="K5" t="s">
        <v>20</v>
      </c>
      <c r="L5" t="s">
        <v>669</v>
      </c>
      <c r="Q5" s="10">
        <v>1</v>
      </c>
    </row>
    <row r="6" spans="1:17" x14ac:dyDescent="0.25">
      <c r="B6" t="s">
        <v>16</v>
      </c>
      <c r="C6" t="s">
        <v>675</v>
      </c>
      <c r="D6" t="s">
        <v>676</v>
      </c>
      <c r="E6" t="s">
        <v>677</v>
      </c>
      <c r="F6" s="10">
        <v>2</v>
      </c>
      <c r="G6" s="10">
        <v>750</v>
      </c>
      <c r="H6" s="10">
        <v>30</v>
      </c>
      <c r="I6" s="10">
        <f t="shared" si="0"/>
        <v>720</v>
      </c>
      <c r="J6" t="s">
        <v>20</v>
      </c>
      <c r="K6" t="s">
        <v>20</v>
      </c>
      <c r="L6" t="s">
        <v>669</v>
      </c>
      <c r="Q6" s="10">
        <v>1</v>
      </c>
    </row>
    <row r="7" spans="1:17" x14ac:dyDescent="0.25">
      <c r="B7" t="s">
        <v>16</v>
      </c>
      <c r="C7" t="s">
        <v>678</v>
      </c>
      <c r="D7" t="s">
        <v>679</v>
      </c>
      <c r="E7" t="s">
        <v>680</v>
      </c>
      <c r="F7" s="10">
        <v>7</v>
      </c>
      <c r="G7" s="10">
        <v>1620</v>
      </c>
      <c r="H7" s="10">
        <v>30</v>
      </c>
      <c r="I7" s="10">
        <f t="shared" si="0"/>
        <v>1590</v>
      </c>
      <c r="J7" t="s">
        <v>673</v>
      </c>
      <c r="K7" t="s">
        <v>20</v>
      </c>
      <c r="L7" t="s">
        <v>669</v>
      </c>
      <c r="Q7" s="10">
        <v>1</v>
      </c>
    </row>
    <row r="8" spans="1:17" x14ac:dyDescent="0.25">
      <c r="B8" t="s">
        <v>16</v>
      </c>
      <c r="C8" t="s">
        <v>681</v>
      </c>
      <c r="D8" t="s">
        <v>682</v>
      </c>
      <c r="E8" t="s">
        <v>683</v>
      </c>
      <c r="F8" s="10">
        <v>2</v>
      </c>
      <c r="G8" s="10">
        <v>850</v>
      </c>
      <c r="H8" s="10">
        <v>30</v>
      </c>
      <c r="I8" s="10">
        <f t="shared" si="0"/>
        <v>820</v>
      </c>
      <c r="J8" t="s">
        <v>20</v>
      </c>
      <c r="K8" t="s">
        <v>20</v>
      </c>
      <c r="L8" t="s">
        <v>669</v>
      </c>
      <c r="Q8" s="10">
        <v>1</v>
      </c>
    </row>
    <row r="9" spans="1:17" x14ac:dyDescent="0.25">
      <c r="B9" t="s">
        <v>16</v>
      </c>
      <c r="C9" t="s">
        <v>684</v>
      </c>
      <c r="D9" t="s">
        <v>685</v>
      </c>
      <c r="E9" t="s">
        <v>686</v>
      </c>
      <c r="F9" s="10">
        <v>7</v>
      </c>
      <c r="G9" s="10">
        <v>790</v>
      </c>
      <c r="H9" s="10">
        <v>30</v>
      </c>
      <c r="I9" s="10">
        <f t="shared" si="0"/>
        <v>760</v>
      </c>
      <c r="J9" t="s">
        <v>673</v>
      </c>
      <c r="K9" t="s">
        <v>20</v>
      </c>
      <c r="L9" t="s">
        <v>669</v>
      </c>
      <c r="Q9" s="10">
        <v>1</v>
      </c>
    </row>
    <row r="10" spans="1:17" x14ac:dyDescent="0.25">
      <c r="B10" t="s">
        <v>16</v>
      </c>
      <c r="C10" t="s">
        <v>687</v>
      </c>
      <c r="D10" t="s">
        <v>688</v>
      </c>
      <c r="E10" t="s">
        <v>689</v>
      </c>
      <c r="F10" t="s">
        <v>95</v>
      </c>
      <c r="G10" s="10">
        <v>605</v>
      </c>
      <c r="H10" s="10">
        <v>25</v>
      </c>
      <c r="I10" s="10">
        <f t="shared" si="0"/>
        <v>580</v>
      </c>
      <c r="J10" t="s">
        <v>25</v>
      </c>
      <c r="K10" t="s">
        <v>20</v>
      </c>
      <c r="L10" t="s">
        <v>669</v>
      </c>
      <c r="Q10" s="10">
        <v>1</v>
      </c>
    </row>
    <row r="11" spans="1:17" x14ac:dyDescent="0.25">
      <c r="B11" t="s">
        <v>16</v>
      </c>
      <c r="C11" t="s">
        <v>690</v>
      </c>
      <c r="D11" t="s">
        <v>691</v>
      </c>
      <c r="E11" t="s">
        <v>692</v>
      </c>
      <c r="F11" s="10">
        <v>8</v>
      </c>
      <c r="G11" s="10">
        <v>605</v>
      </c>
      <c r="H11" s="10">
        <v>25</v>
      </c>
      <c r="I11" s="10">
        <f t="shared" si="0"/>
        <v>580</v>
      </c>
      <c r="J11" t="s">
        <v>673</v>
      </c>
      <c r="K11" t="s">
        <v>20</v>
      </c>
      <c r="L11" t="s">
        <v>669</v>
      </c>
      <c r="Q11" s="10">
        <v>1</v>
      </c>
    </row>
    <row r="12" spans="1:17" x14ac:dyDescent="0.25">
      <c r="B12" t="s">
        <v>16</v>
      </c>
      <c r="C12" t="s">
        <v>693</v>
      </c>
      <c r="D12" t="s">
        <v>694</v>
      </c>
      <c r="E12" t="s">
        <v>695</v>
      </c>
      <c r="F12" t="s">
        <v>116</v>
      </c>
      <c r="G12" s="10">
        <v>1045</v>
      </c>
      <c r="H12" s="10">
        <v>25</v>
      </c>
      <c r="I12" s="10">
        <f t="shared" si="0"/>
        <v>1020</v>
      </c>
      <c r="J12" t="s">
        <v>20</v>
      </c>
      <c r="K12" t="s">
        <v>20</v>
      </c>
      <c r="L12" t="s">
        <v>669</v>
      </c>
      <c r="Q12" s="10">
        <v>1</v>
      </c>
    </row>
    <row r="13" spans="1:17" x14ac:dyDescent="0.25">
      <c r="B13" t="s">
        <v>16</v>
      </c>
      <c r="C13" t="s">
        <v>696</v>
      </c>
      <c r="D13" t="s">
        <v>697</v>
      </c>
      <c r="E13" t="s">
        <v>698</v>
      </c>
      <c r="F13" s="10">
        <v>1</v>
      </c>
      <c r="G13" s="10">
        <v>655</v>
      </c>
      <c r="H13" s="10">
        <v>25</v>
      </c>
      <c r="I13" s="10">
        <f t="shared" si="0"/>
        <v>630</v>
      </c>
      <c r="J13" t="s">
        <v>25</v>
      </c>
      <c r="K13" t="s">
        <v>20</v>
      </c>
      <c r="L13" t="s">
        <v>669</v>
      </c>
      <c r="Q13" s="10">
        <v>1</v>
      </c>
    </row>
    <row r="14" spans="1:17" x14ac:dyDescent="0.25">
      <c r="B14" t="s">
        <v>16</v>
      </c>
      <c r="C14" t="s">
        <v>699</v>
      </c>
      <c r="D14" t="s">
        <v>700</v>
      </c>
      <c r="E14" t="s">
        <v>701</v>
      </c>
      <c r="F14" s="10">
        <v>8</v>
      </c>
      <c r="G14" s="10">
        <v>715</v>
      </c>
      <c r="H14" s="10">
        <v>25</v>
      </c>
      <c r="I14" s="10">
        <f t="shared" si="0"/>
        <v>690</v>
      </c>
      <c r="J14" t="s">
        <v>673</v>
      </c>
      <c r="K14" t="s">
        <v>20</v>
      </c>
      <c r="L14" t="s">
        <v>669</v>
      </c>
      <c r="Q14" s="10">
        <v>1</v>
      </c>
    </row>
    <row r="15" spans="1:17" x14ac:dyDescent="0.25">
      <c r="B15" t="s">
        <v>16</v>
      </c>
      <c r="C15" t="s">
        <v>702</v>
      </c>
      <c r="D15" t="s">
        <v>703</v>
      </c>
      <c r="E15" t="s">
        <v>704</v>
      </c>
      <c r="F15" s="10">
        <v>7</v>
      </c>
      <c r="G15" s="10">
        <v>790</v>
      </c>
      <c r="H15" s="10">
        <v>30</v>
      </c>
      <c r="I15" s="10">
        <f t="shared" si="0"/>
        <v>760</v>
      </c>
      <c r="J15" t="s">
        <v>673</v>
      </c>
      <c r="K15" t="s">
        <v>20</v>
      </c>
      <c r="L15" t="s">
        <v>669</v>
      </c>
      <c r="Q15" s="10">
        <v>1</v>
      </c>
    </row>
    <row r="16" spans="1:17" x14ac:dyDescent="0.25">
      <c r="B16" t="s">
        <v>16</v>
      </c>
      <c r="C16" t="s">
        <v>705</v>
      </c>
      <c r="D16" t="s">
        <v>706</v>
      </c>
      <c r="E16" t="s">
        <v>707</v>
      </c>
      <c r="F16" s="10">
        <v>2</v>
      </c>
      <c r="G16" s="10">
        <v>0</v>
      </c>
      <c r="H16" s="10">
        <v>30</v>
      </c>
      <c r="I16" s="10">
        <f>-H16</f>
        <v>-30</v>
      </c>
      <c r="J16" t="s">
        <v>20</v>
      </c>
      <c r="K16" t="s">
        <v>20</v>
      </c>
      <c r="L16" t="s">
        <v>669</v>
      </c>
      <c r="Q16" s="10">
        <v>1</v>
      </c>
    </row>
    <row r="17" spans="2:17" x14ac:dyDescent="0.25">
      <c r="B17" t="s">
        <v>16</v>
      </c>
      <c r="C17" t="s">
        <v>708</v>
      </c>
      <c r="D17" t="s">
        <v>709</v>
      </c>
      <c r="E17" t="s">
        <v>710</v>
      </c>
      <c r="F17" s="10">
        <v>7</v>
      </c>
      <c r="G17" s="10">
        <v>0</v>
      </c>
      <c r="H17" s="10">
        <v>30</v>
      </c>
      <c r="I17" s="10">
        <f>-H17</f>
        <v>-30</v>
      </c>
      <c r="J17" t="s">
        <v>673</v>
      </c>
      <c r="K17" t="s">
        <v>20</v>
      </c>
      <c r="L17" t="s">
        <v>669</v>
      </c>
      <c r="Q17" s="10">
        <v>1</v>
      </c>
    </row>
    <row r="18" spans="2:17" x14ac:dyDescent="0.25">
      <c r="B18" t="s">
        <v>16</v>
      </c>
      <c r="C18" t="s">
        <v>711</v>
      </c>
      <c r="D18" t="s">
        <v>712</v>
      </c>
      <c r="E18" t="s">
        <v>713</v>
      </c>
      <c r="F18" s="10">
        <v>8</v>
      </c>
      <c r="G18" s="10">
        <v>855</v>
      </c>
      <c r="H18" s="10">
        <v>25</v>
      </c>
      <c r="I18" s="10">
        <f>G18-H18</f>
        <v>830</v>
      </c>
      <c r="J18" t="s">
        <v>673</v>
      </c>
      <c r="K18" t="s">
        <v>20</v>
      </c>
      <c r="L18" t="s">
        <v>669</v>
      </c>
      <c r="Q18" s="10">
        <v>1</v>
      </c>
    </row>
    <row r="19" spans="2:17" x14ac:dyDescent="0.25">
      <c r="B19" t="s">
        <v>16</v>
      </c>
      <c r="C19" t="s">
        <v>607</v>
      </c>
      <c r="D19" t="s">
        <v>714</v>
      </c>
      <c r="E19" t="s">
        <v>715</v>
      </c>
      <c r="F19" t="s">
        <v>91</v>
      </c>
      <c r="G19" s="10">
        <v>390</v>
      </c>
      <c r="H19" s="10">
        <v>20</v>
      </c>
      <c r="I19" s="10">
        <f>G19-H19</f>
        <v>370</v>
      </c>
      <c r="J19" t="s">
        <v>25</v>
      </c>
      <c r="K19" t="s">
        <v>20</v>
      </c>
      <c r="L19" t="s">
        <v>669</v>
      </c>
      <c r="Q19" s="10">
        <v>1</v>
      </c>
    </row>
    <row r="20" spans="2:17" x14ac:dyDescent="0.25">
      <c r="B20" t="s">
        <v>16</v>
      </c>
      <c r="C20" t="s">
        <v>716</v>
      </c>
      <c r="D20" t="s">
        <v>717</v>
      </c>
      <c r="E20" t="s">
        <v>718</v>
      </c>
      <c r="F20" t="s">
        <v>95</v>
      </c>
      <c r="G20" s="10">
        <v>385</v>
      </c>
      <c r="H20" s="10">
        <v>25</v>
      </c>
      <c r="I20" s="10">
        <f>G20-H20</f>
        <v>360</v>
      </c>
      <c r="J20" t="s">
        <v>25</v>
      </c>
      <c r="K20" t="s">
        <v>20</v>
      </c>
      <c r="L20" t="s">
        <v>669</v>
      </c>
      <c r="Q20" s="10">
        <v>1</v>
      </c>
    </row>
    <row r="21" spans="2:17" x14ac:dyDescent="0.25">
      <c r="B21" t="s">
        <v>16</v>
      </c>
      <c r="C21" t="s">
        <v>719</v>
      </c>
      <c r="D21" t="s">
        <v>720</v>
      </c>
      <c r="E21" t="s">
        <v>721</v>
      </c>
      <c r="F21" t="s">
        <v>95</v>
      </c>
      <c r="G21" s="10">
        <v>995</v>
      </c>
      <c r="H21" s="10">
        <v>25</v>
      </c>
      <c r="I21" s="10">
        <f>G21-H21</f>
        <v>970</v>
      </c>
      <c r="J21" t="s">
        <v>25</v>
      </c>
      <c r="K21" t="s">
        <v>20</v>
      </c>
      <c r="L21" t="s">
        <v>669</v>
      </c>
      <c r="Q21" s="10">
        <v>1</v>
      </c>
    </row>
    <row r="22" spans="2:17" x14ac:dyDescent="0.25">
      <c r="B22" t="s">
        <v>16</v>
      </c>
      <c r="C22" t="s">
        <v>722</v>
      </c>
      <c r="D22" t="s">
        <v>723</v>
      </c>
      <c r="E22" t="s">
        <v>724</v>
      </c>
      <c r="F22" t="s">
        <v>116</v>
      </c>
      <c r="G22" s="10">
        <v>815</v>
      </c>
      <c r="H22" s="10">
        <v>25</v>
      </c>
      <c r="I22" s="10">
        <f>G22-H22</f>
        <v>790</v>
      </c>
      <c r="J22" t="s">
        <v>20</v>
      </c>
      <c r="K22" t="s">
        <v>20</v>
      </c>
      <c r="L22" t="s">
        <v>669</v>
      </c>
      <c r="Q22" s="10">
        <v>1</v>
      </c>
    </row>
    <row r="23" spans="2:17" x14ac:dyDescent="0.25">
      <c r="B23" t="s">
        <v>16</v>
      </c>
      <c r="C23" t="s">
        <v>725</v>
      </c>
      <c r="D23" t="s">
        <v>726</v>
      </c>
      <c r="E23" t="s">
        <v>727</v>
      </c>
      <c r="F23" t="s">
        <v>95</v>
      </c>
      <c r="G23" s="10">
        <v>0</v>
      </c>
      <c r="H23" s="10">
        <v>25</v>
      </c>
      <c r="I23" s="10">
        <f>-H23</f>
        <v>-25</v>
      </c>
      <c r="J23" t="s">
        <v>25</v>
      </c>
      <c r="K23" t="s">
        <v>20</v>
      </c>
      <c r="L23" t="s">
        <v>669</v>
      </c>
      <c r="Q23" s="10">
        <v>1</v>
      </c>
    </row>
    <row r="24" spans="2:17" x14ac:dyDescent="0.25">
      <c r="B24" t="s">
        <v>16</v>
      </c>
      <c r="C24" t="s">
        <v>728</v>
      </c>
      <c r="D24" t="s">
        <v>729</v>
      </c>
      <c r="E24" t="s">
        <v>730</v>
      </c>
      <c r="F24" t="s">
        <v>116</v>
      </c>
      <c r="G24" s="10">
        <v>1435</v>
      </c>
      <c r="H24" s="10">
        <v>25</v>
      </c>
      <c r="I24" s="10">
        <f>G24-H24</f>
        <v>1410</v>
      </c>
      <c r="J24" t="s">
        <v>20</v>
      </c>
      <c r="K24" t="s">
        <v>20</v>
      </c>
      <c r="L24" t="s">
        <v>669</v>
      </c>
      <c r="Q24" s="10">
        <v>1</v>
      </c>
    </row>
    <row r="25" spans="2:17" x14ac:dyDescent="0.25">
      <c r="B25" t="s">
        <v>16</v>
      </c>
      <c r="C25" t="s">
        <v>731</v>
      </c>
      <c r="D25" t="s">
        <v>732</v>
      </c>
      <c r="E25" t="s">
        <v>733</v>
      </c>
      <c r="F25" s="10">
        <v>1</v>
      </c>
      <c r="G25" s="10">
        <v>745</v>
      </c>
      <c r="H25" s="10">
        <v>25</v>
      </c>
      <c r="I25" s="10">
        <f>G25-H25</f>
        <v>720</v>
      </c>
      <c r="J25" t="s">
        <v>25</v>
      </c>
      <c r="K25" t="s">
        <v>20</v>
      </c>
      <c r="L25" t="s">
        <v>669</v>
      </c>
      <c r="Q25" s="10">
        <v>1</v>
      </c>
    </row>
    <row r="26" spans="2:17" x14ac:dyDescent="0.25">
      <c r="B26" t="s">
        <v>16</v>
      </c>
      <c r="C26" t="s">
        <v>734</v>
      </c>
      <c r="D26" t="s">
        <v>735</v>
      </c>
      <c r="E26" t="s">
        <v>736</v>
      </c>
      <c r="F26" s="10">
        <v>10</v>
      </c>
      <c r="G26" s="10">
        <v>705</v>
      </c>
      <c r="H26" s="10">
        <v>25</v>
      </c>
      <c r="I26" s="10">
        <f>G26-H26</f>
        <v>680</v>
      </c>
      <c r="J26" t="s">
        <v>25</v>
      </c>
      <c r="K26" t="s">
        <v>20</v>
      </c>
      <c r="L26" t="s">
        <v>669</v>
      </c>
      <c r="Q26" s="10">
        <v>1</v>
      </c>
    </row>
    <row r="27" spans="2:17" x14ac:dyDescent="0.25">
      <c r="B27" t="s">
        <v>16</v>
      </c>
      <c r="C27" t="s">
        <v>737</v>
      </c>
      <c r="D27" t="s">
        <v>738</v>
      </c>
      <c r="E27" t="s">
        <v>739</v>
      </c>
      <c r="F27" t="s">
        <v>47</v>
      </c>
      <c r="G27" s="10">
        <v>0</v>
      </c>
      <c r="H27" s="10">
        <v>30</v>
      </c>
      <c r="I27" s="10">
        <f>-H27</f>
        <v>-30</v>
      </c>
      <c r="J27" t="s">
        <v>673</v>
      </c>
      <c r="K27" t="s">
        <v>20</v>
      </c>
      <c r="L27" t="s">
        <v>669</v>
      </c>
      <c r="Q27" s="10">
        <v>1</v>
      </c>
    </row>
    <row r="28" spans="2:17" x14ac:dyDescent="0.25">
      <c r="B28" t="s">
        <v>16</v>
      </c>
      <c r="C28" t="s">
        <v>740</v>
      </c>
      <c r="D28" t="s">
        <v>741</v>
      </c>
      <c r="E28" t="s">
        <v>742</v>
      </c>
      <c r="F28" s="10">
        <v>8</v>
      </c>
      <c r="G28" s="10">
        <v>0</v>
      </c>
      <c r="H28" s="10">
        <v>25</v>
      </c>
      <c r="I28" s="10">
        <f>-H28</f>
        <v>-25</v>
      </c>
      <c r="J28" t="s">
        <v>673</v>
      </c>
      <c r="K28" t="s">
        <v>20</v>
      </c>
      <c r="L28" t="s">
        <v>669</v>
      </c>
      <c r="Q28" s="10">
        <v>1</v>
      </c>
    </row>
    <row r="29" spans="2:17" x14ac:dyDescent="0.25">
      <c r="B29" t="s">
        <v>16</v>
      </c>
      <c r="C29" t="s">
        <v>743</v>
      </c>
      <c r="D29" t="s">
        <v>744</v>
      </c>
      <c r="E29" t="s">
        <v>745</v>
      </c>
      <c r="F29" s="10">
        <v>7</v>
      </c>
      <c r="G29" s="10">
        <v>790</v>
      </c>
      <c r="H29" s="10">
        <v>30</v>
      </c>
      <c r="I29" s="10">
        <f t="shared" ref="I29:I36" si="1">G29-H29</f>
        <v>760</v>
      </c>
      <c r="J29" t="s">
        <v>673</v>
      </c>
      <c r="K29" t="s">
        <v>20</v>
      </c>
      <c r="L29" t="s">
        <v>669</v>
      </c>
      <c r="Q29" s="10">
        <v>1</v>
      </c>
    </row>
    <row r="30" spans="2:17" x14ac:dyDescent="0.25">
      <c r="B30" t="s">
        <v>16</v>
      </c>
      <c r="C30" t="s">
        <v>746</v>
      </c>
      <c r="D30" t="s">
        <v>747</v>
      </c>
      <c r="E30" t="s">
        <v>748</v>
      </c>
      <c r="F30" s="10">
        <v>8</v>
      </c>
      <c r="G30" s="10">
        <v>745</v>
      </c>
      <c r="H30" s="10">
        <v>25</v>
      </c>
      <c r="I30" s="10">
        <f t="shared" si="1"/>
        <v>720</v>
      </c>
      <c r="J30" t="s">
        <v>673</v>
      </c>
      <c r="K30" t="s">
        <v>20</v>
      </c>
      <c r="L30" t="s">
        <v>669</v>
      </c>
      <c r="Q30" s="10">
        <v>1</v>
      </c>
    </row>
    <row r="31" spans="2:17" x14ac:dyDescent="0.25">
      <c r="B31" t="s">
        <v>16</v>
      </c>
      <c r="C31" t="s">
        <v>749</v>
      </c>
      <c r="D31" t="s">
        <v>750</v>
      </c>
      <c r="E31" t="s">
        <v>751</v>
      </c>
      <c r="F31" t="s">
        <v>47</v>
      </c>
      <c r="G31" s="10">
        <v>740</v>
      </c>
      <c r="H31" s="10">
        <v>30</v>
      </c>
      <c r="I31" s="10">
        <f t="shared" si="1"/>
        <v>710</v>
      </c>
      <c r="J31" t="s">
        <v>673</v>
      </c>
      <c r="K31" t="s">
        <v>20</v>
      </c>
      <c r="L31" t="s">
        <v>669</v>
      </c>
      <c r="Q31" s="10">
        <v>1</v>
      </c>
    </row>
    <row r="32" spans="2:17" x14ac:dyDescent="0.25">
      <c r="B32" t="s">
        <v>16</v>
      </c>
      <c r="C32" t="s">
        <v>752</v>
      </c>
      <c r="D32" t="s">
        <v>753</v>
      </c>
      <c r="E32" t="s">
        <v>754</v>
      </c>
      <c r="F32" s="10">
        <v>7</v>
      </c>
      <c r="G32" s="10">
        <v>790</v>
      </c>
      <c r="H32" s="10">
        <v>30</v>
      </c>
      <c r="I32" s="10">
        <f t="shared" si="1"/>
        <v>760</v>
      </c>
      <c r="J32" t="s">
        <v>673</v>
      </c>
      <c r="K32" t="s">
        <v>20</v>
      </c>
      <c r="L32" t="s">
        <v>669</v>
      </c>
      <c r="Q32" s="10">
        <v>1</v>
      </c>
    </row>
    <row r="33" spans="1:17" x14ac:dyDescent="0.25">
      <c r="B33" t="s">
        <v>16</v>
      </c>
      <c r="C33" t="s">
        <v>755</v>
      </c>
      <c r="D33" t="s">
        <v>756</v>
      </c>
      <c r="E33" t="s">
        <v>757</v>
      </c>
      <c r="F33" s="10">
        <v>7</v>
      </c>
      <c r="G33" s="10">
        <v>820</v>
      </c>
      <c r="H33" s="10">
        <v>30</v>
      </c>
      <c r="I33" s="10">
        <f t="shared" si="1"/>
        <v>790</v>
      </c>
      <c r="J33" t="s">
        <v>673</v>
      </c>
      <c r="K33" t="s">
        <v>20</v>
      </c>
      <c r="L33" t="s">
        <v>669</v>
      </c>
      <c r="Q33" s="10">
        <v>1</v>
      </c>
    </row>
    <row r="34" spans="1:17" x14ac:dyDescent="0.25">
      <c r="B34" t="s">
        <v>16</v>
      </c>
      <c r="C34" t="s">
        <v>758</v>
      </c>
      <c r="D34" t="s">
        <v>759</v>
      </c>
      <c r="E34" t="s">
        <v>760</v>
      </c>
      <c r="F34" t="s">
        <v>61</v>
      </c>
      <c r="G34" s="10">
        <v>365</v>
      </c>
      <c r="H34" s="10">
        <v>25</v>
      </c>
      <c r="I34" s="10">
        <f t="shared" si="1"/>
        <v>340</v>
      </c>
      <c r="J34" t="s">
        <v>673</v>
      </c>
      <c r="K34" t="s">
        <v>20</v>
      </c>
      <c r="L34" t="s">
        <v>669</v>
      </c>
      <c r="Q34" s="10">
        <v>1</v>
      </c>
    </row>
    <row r="35" spans="1:17" x14ac:dyDescent="0.25">
      <c r="B35" t="s">
        <v>16</v>
      </c>
      <c r="C35" t="s">
        <v>408</v>
      </c>
      <c r="D35" t="s">
        <v>761</v>
      </c>
      <c r="E35" t="s">
        <v>762</v>
      </c>
      <c r="F35" t="s">
        <v>33</v>
      </c>
      <c r="G35" s="10">
        <v>790</v>
      </c>
      <c r="H35" s="10">
        <v>30</v>
      </c>
      <c r="I35" s="10">
        <f t="shared" si="1"/>
        <v>760</v>
      </c>
      <c r="J35" t="s">
        <v>20</v>
      </c>
      <c r="K35" t="s">
        <v>20</v>
      </c>
      <c r="L35" t="s">
        <v>669</v>
      </c>
      <c r="Q35" s="10">
        <v>1</v>
      </c>
    </row>
    <row r="36" spans="1:17" x14ac:dyDescent="0.25">
      <c r="B36" t="s">
        <v>16</v>
      </c>
      <c r="C36" t="s">
        <v>763</v>
      </c>
      <c r="D36" t="s">
        <v>764</v>
      </c>
      <c r="E36" t="s">
        <v>765</v>
      </c>
      <c r="F36" s="10">
        <v>5</v>
      </c>
      <c r="G36" s="10">
        <v>605</v>
      </c>
      <c r="H36" s="10">
        <v>25</v>
      </c>
      <c r="I36" s="10">
        <f t="shared" si="1"/>
        <v>580</v>
      </c>
      <c r="J36" t="s">
        <v>25</v>
      </c>
      <c r="K36" t="s">
        <v>20</v>
      </c>
      <c r="L36" t="s">
        <v>669</v>
      </c>
      <c r="Q36" s="10">
        <v>1</v>
      </c>
    </row>
    <row r="37" spans="1:17" x14ac:dyDescent="0.25">
      <c r="B37" t="s">
        <v>16</v>
      </c>
      <c r="C37" t="s">
        <v>766</v>
      </c>
      <c r="D37" t="s">
        <v>767</v>
      </c>
      <c r="E37" t="s">
        <v>768</v>
      </c>
      <c r="F37" t="s">
        <v>95</v>
      </c>
      <c r="G37" s="10">
        <v>0</v>
      </c>
      <c r="H37" s="10">
        <v>25</v>
      </c>
      <c r="I37" s="10">
        <f>-H37</f>
        <v>-25</v>
      </c>
      <c r="J37" t="s">
        <v>25</v>
      </c>
      <c r="K37" t="s">
        <v>20</v>
      </c>
      <c r="L37" t="s">
        <v>669</v>
      </c>
      <c r="Q37" s="10">
        <v>1</v>
      </c>
    </row>
    <row r="38" spans="1:17" x14ac:dyDescent="0.25">
      <c r="A38" t="s">
        <v>253</v>
      </c>
      <c r="B38" t="s">
        <v>16</v>
      </c>
      <c r="C38" t="s">
        <v>567</v>
      </c>
      <c r="E38" t="s">
        <v>769</v>
      </c>
      <c r="F38" s="10">
        <v>4</v>
      </c>
      <c r="G38" s="10">
        <v>25</v>
      </c>
      <c r="H38" s="10">
        <v>25</v>
      </c>
      <c r="I38" s="10">
        <f>G38-H38</f>
        <v>0</v>
      </c>
      <c r="J38" t="s">
        <v>25</v>
      </c>
      <c r="K38" t="s">
        <v>20</v>
      </c>
      <c r="L38" t="s">
        <v>669</v>
      </c>
      <c r="M38" t="s">
        <v>770</v>
      </c>
      <c r="Q38" s="10">
        <v>1</v>
      </c>
    </row>
    <row r="39" spans="1:17" x14ac:dyDescent="0.25">
      <c r="A39" t="s">
        <v>253</v>
      </c>
      <c r="B39" t="s">
        <v>16</v>
      </c>
      <c r="C39" t="s">
        <v>256</v>
      </c>
      <c r="E39" t="s">
        <v>771</v>
      </c>
      <c r="F39" t="s">
        <v>116</v>
      </c>
      <c r="G39" s="10">
        <v>30</v>
      </c>
      <c r="H39" s="10">
        <v>30</v>
      </c>
      <c r="I39" s="10">
        <f>G39-H39</f>
        <v>0</v>
      </c>
      <c r="J39" t="s">
        <v>20</v>
      </c>
      <c r="K39" t="s">
        <v>20</v>
      </c>
      <c r="L39" t="s">
        <v>669</v>
      </c>
      <c r="M39" t="s">
        <v>770</v>
      </c>
      <c r="Q39" s="10">
        <v>1</v>
      </c>
    </row>
    <row r="40" spans="1:17" x14ac:dyDescent="0.25">
      <c r="A40" t="s">
        <v>253</v>
      </c>
      <c r="B40" t="s">
        <v>16</v>
      </c>
      <c r="C40" t="s">
        <v>772</v>
      </c>
      <c r="E40" t="s">
        <v>773</v>
      </c>
      <c r="F40" s="10">
        <v>2</v>
      </c>
      <c r="G40" s="10">
        <v>35</v>
      </c>
      <c r="H40" s="10">
        <v>35</v>
      </c>
      <c r="I40" s="10">
        <f>G40-H40</f>
        <v>0</v>
      </c>
      <c r="J40" t="s">
        <v>20</v>
      </c>
      <c r="K40" t="s">
        <v>20</v>
      </c>
      <c r="L40" t="s">
        <v>669</v>
      </c>
      <c r="M40" t="s">
        <v>770</v>
      </c>
      <c r="Q40" s="10">
        <v>1</v>
      </c>
    </row>
    <row r="41" spans="1:17" x14ac:dyDescent="0.25">
      <c r="A41" t="s">
        <v>253</v>
      </c>
      <c r="B41" t="s">
        <v>16</v>
      </c>
      <c r="C41" t="s">
        <v>774</v>
      </c>
      <c r="E41" t="s">
        <v>775</v>
      </c>
      <c r="F41" t="s">
        <v>116</v>
      </c>
      <c r="G41" s="10">
        <v>615</v>
      </c>
      <c r="H41" s="10">
        <v>25</v>
      </c>
      <c r="I41" s="10">
        <f>G41-H41</f>
        <v>590</v>
      </c>
      <c r="J41" t="s">
        <v>20</v>
      </c>
      <c r="K41" t="s">
        <v>20</v>
      </c>
      <c r="L41" t="s">
        <v>669</v>
      </c>
      <c r="M41" t="s">
        <v>776</v>
      </c>
      <c r="Q41" s="10">
        <v>1</v>
      </c>
    </row>
    <row r="42" spans="1:17" x14ac:dyDescent="0.25">
      <c r="A42" t="s">
        <v>253</v>
      </c>
      <c r="B42" t="s">
        <v>16</v>
      </c>
      <c r="C42" t="s">
        <v>777</v>
      </c>
      <c r="E42" t="s">
        <v>778</v>
      </c>
      <c r="G42" s="10">
        <v>1830</v>
      </c>
      <c r="H42" s="10">
        <v>30</v>
      </c>
      <c r="I42" s="10">
        <f>G42-H42</f>
        <v>1800</v>
      </c>
      <c r="J42" t="s">
        <v>673</v>
      </c>
      <c r="K42" t="s">
        <v>20</v>
      </c>
      <c r="L42" t="s">
        <v>669</v>
      </c>
      <c r="M42" t="s">
        <v>779</v>
      </c>
      <c r="Q42" s="10">
        <v>1</v>
      </c>
    </row>
    <row r="43" spans="1:17" x14ac:dyDescent="0.25">
      <c r="A43" t="s">
        <v>253</v>
      </c>
      <c r="B43" t="s">
        <v>16</v>
      </c>
      <c r="C43" t="s">
        <v>258</v>
      </c>
      <c r="E43" t="s">
        <v>259</v>
      </c>
      <c r="F43" t="s">
        <v>95</v>
      </c>
      <c r="G43" s="10">
        <v>0</v>
      </c>
      <c r="H43" s="10">
        <v>25</v>
      </c>
      <c r="I43" s="10">
        <f>-H43</f>
        <v>-25</v>
      </c>
      <c r="J43" t="s">
        <v>25</v>
      </c>
      <c r="K43" t="s">
        <v>20</v>
      </c>
      <c r="L43" t="s">
        <v>669</v>
      </c>
      <c r="Q43" s="10">
        <v>1</v>
      </c>
    </row>
    <row r="44" spans="1:17" x14ac:dyDescent="0.25">
      <c r="A44" t="s">
        <v>253</v>
      </c>
      <c r="B44" t="s">
        <v>16</v>
      </c>
      <c r="C44" t="s">
        <v>780</v>
      </c>
      <c r="E44" t="s">
        <v>781</v>
      </c>
      <c r="F44" t="s">
        <v>95</v>
      </c>
      <c r="G44" s="10">
        <v>1270</v>
      </c>
      <c r="H44" s="10">
        <v>30</v>
      </c>
      <c r="I44" s="10">
        <f>G44-H44</f>
        <v>1240</v>
      </c>
      <c r="J44" t="s">
        <v>25</v>
      </c>
      <c r="K44" t="s">
        <v>20</v>
      </c>
      <c r="L44" t="s">
        <v>669</v>
      </c>
      <c r="Q44" s="10">
        <v>1</v>
      </c>
    </row>
    <row r="45" spans="1:17" x14ac:dyDescent="0.25">
      <c r="B45" t="s">
        <v>16</v>
      </c>
      <c r="C45" t="s">
        <v>547</v>
      </c>
      <c r="D45" t="s">
        <v>548</v>
      </c>
      <c r="E45" t="s">
        <v>549</v>
      </c>
      <c r="F45" t="s">
        <v>33</v>
      </c>
      <c r="G45" s="10">
        <v>610</v>
      </c>
      <c r="H45" s="10">
        <v>30</v>
      </c>
      <c r="I45" s="10">
        <f>G45-H45</f>
        <v>580</v>
      </c>
      <c r="J45" t="s">
        <v>438</v>
      </c>
      <c r="K45" t="s">
        <v>20</v>
      </c>
      <c r="L45" t="s">
        <v>481</v>
      </c>
      <c r="M45" t="s">
        <v>72</v>
      </c>
      <c r="N45" t="s">
        <v>288</v>
      </c>
      <c r="O45" t="s">
        <v>288</v>
      </c>
      <c r="P45" t="s">
        <v>440</v>
      </c>
      <c r="Q45" s="10">
        <v>1</v>
      </c>
    </row>
    <row r="47" spans="1:17" x14ac:dyDescent="0.25">
      <c r="D47" s="4">
        <f>COUNTA(D3:D45)</f>
        <v>36</v>
      </c>
      <c r="G47" s="4">
        <f t="shared" ref="G47:Q47" si="2">SUBTOTAL(9,G3:G45)</f>
        <v>27915</v>
      </c>
      <c r="H47" s="4">
        <f t="shared" si="2"/>
        <v>1175</v>
      </c>
      <c r="I47" s="4">
        <f t="shared" si="2"/>
        <v>26740</v>
      </c>
      <c r="J47" s="4">
        <f t="shared" si="2"/>
        <v>0</v>
      </c>
      <c r="K47" s="4">
        <f t="shared" si="2"/>
        <v>0</v>
      </c>
      <c r="L47" s="4">
        <f t="shared" si="2"/>
        <v>0</v>
      </c>
      <c r="M47" s="4">
        <f t="shared" si="2"/>
        <v>0</v>
      </c>
      <c r="N47" s="4">
        <f t="shared" si="2"/>
        <v>0</v>
      </c>
      <c r="O47" s="4">
        <f t="shared" si="2"/>
        <v>0</v>
      </c>
      <c r="P47" s="4">
        <f t="shared" si="2"/>
        <v>0</v>
      </c>
      <c r="Q47" s="4">
        <f t="shared" si="2"/>
        <v>43</v>
      </c>
    </row>
    <row r="49" spans="1:16" x14ac:dyDescent="0.25">
      <c r="A49" s="4" t="s">
        <v>16</v>
      </c>
      <c r="C49" s="76" t="s">
        <v>262</v>
      </c>
      <c r="D49" s="76"/>
      <c r="E49" s="7" t="s">
        <v>263</v>
      </c>
      <c r="K49" s="43" t="s">
        <v>20</v>
      </c>
      <c r="L49" s="43" t="s">
        <v>264</v>
      </c>
      <c r="M49" s="43" t="s">
        <v>263</v>
      </c>
      <c r="O49" s="7"/>
    </row>
    <row r="50" spans="1:16" x14ac:dyDescent="0.25">
      <c r="A50" t="s">
        <v>669</v>
      </c>
      <c r="B50" s="6" t="s">
        <v>265</v>
      </c>
      <c r="C50" s="77">
        <f>SUMIFS(G$3:G$45,B$3:B$45,A$49,L$3:L$45,A$50)</f>
        <v>27305</v>
      </c>
      <c r="D50" s="77"/>
      <c r="E50" s="6">
        <f>SUMIFS(Q$3:Q$45,B$3:B$45,A$49,L$3:L$45,A$50)</f>
        <v>42</v>
      </c>
      <c r="F50" t="s">
        <v>464</v>
      </c>
      <c r="K50" t="s">
        <v>266</v>
      </c>
      <c r="L50">
        <f>SUMIFS(G$3:G$45,J$3:J$45,K$49)</f>
        <v>7150</v>
      </c>
      <c r="M50">
        <f>SUMIFS(Q$3:Q$45,J$3:J$45,K$49)</f>
        <v>11</v>
      </c>
    </row>
    <row r="51" spans="1:16" x14ac:dyDescent="0.25">
      <c r="B51" s="5" t="s">
        <v>466</v>
      </c>
      <c r="C51" s="78">
        <f>-SUMIFS(H$3:H$45,B$3:B$45,A$49,L$3:L$45,A$50)</f>
        <v>-1145</v>
      </c>
      <c r="D51" s="78"/>
      <c r="E51">
        <f>SUMIFS(Q$3:Q$45,B$3:B$45,A$49,L$3:L$45,A$50)</f>
        <v>42</v>
      </c>
      <c r="K51" t="s">
        <v>268</v>
      </c>
      <c r="L51">
        <f>-SUMIFS(H$3:H$45,J$3:J$45,K$49)+M51*5</f>
        <v>-255</v>
      </c>
      <c r="M51">
        <f>SUMIFS(Q$3:Q$45,J$3:J$45,K$49)-COUNTIFS(J$3:J$45,K$49,M$3:M$45,"*gộp*")</f>
        <v>11</v>
      </c>
    </row>
    <row r="52" spans="1:16" x14ac:dyDescent="0.25">
      <c r="B52" s="5" t="s">
        <v>269</v>
      </c>
      <c r="C52" s="78">
        <f>-SUMIFS(I$3:I$45,B$3:B$45,A$49,P$3:P$45,"xx",N$3:N$45,"x")</f>
        <v>-580</v>
      </c>
      <c r="D52" s="78"/>
      <c r="E52" s="5">
        <f>SUMIFS(Q$3:Q$45,B$3:B$45,A$49,P$3:P$45,"xx",N$3:N$45,"x")</f>
        <v>1</v>
      </c>
      <c r="K52" t="s">
        <v>468</v>
      </c>
    </row>
    <row r="53" spans="1:16" x14ac:dyDescent="0.25">
      <c r="B53" s="7" t="s">
        <v>270</v>
      </c>
      <c r="C53" s="76">
        <f>SUBTOTAL(9,C50:C52)</f>
        <v>25580</v>
      </c>
      <c r="D53" s="76"/>
      <c r="E53">
        <f>E50</f>
        <v>42</v>
      </c>
      <c r="K53" s="5" t="s">
        <v>72</v>
      </c>
    </row>
    <row r="54" spans="1:16" x14ac:dyDescent="0.25">
      <c r="B54" s="5" t="s">
        <v>471</v>
      </c>
      <c r="C54" s="74"/>
      <c r="D54" s="74"/>
      <c r="K54" s="5" t="s">
        <v>272</v>
      </c>
      <c r="O54" s="7"/>
      <c r="P54" s="7"/>
    </row>
    <row r="55" spans="1:16" x14ac:dyDescent="0.25">
      <c r="B55" s="70" t="s">
        <v>273</v>
      </c>
      <c r="C55" s="74"/>
      <c r="D55" s="74"/>
      <c r="L55" s="45">
        <f>SUBTOTAL(9,L50:L54)</f>
        <v>6895</v>
      </c>
      <c r="M55" s="45">
        <f>M50</f>
        <v>11</v>
      </c>
    </row>
    <row r="57" spans="1:16" x14ac:dyDescent="0.25">
      <c r="B57" s="4" t="s">
        <v>274</v>
      </c>
      <c r="C57" s="75">
        <f>C53+C54+C55</f>
        <v>25580</v>
      </c>
      <c r="D57" s="75"/>
      <c r="E57" s="4" t="s">
        <v>275</v>
      </c>
      <c r="J57" s="2"/>
      <c r="K57" s="3"/>
      <c r="L57" s="3"/>
      <c r="M57" s="3"/>
      <c r="N57" s="2"/>
    </row>
    <row r="58" spans="1:16" x14ac:dyDescent="0.25">
      <c r="J58" s="2"/>
      <c r="K58" s="2"/>
      <c r="L58" s="2"/>
      <c r="M58" s="2"/>
      <c r="N58" s="2"/>
    </row>
    <row r="59" spans="1:16" x14ac:dyDescent="0.25">
      <c r="J59" s="2"/>
      <c r="K59" s="2"/>
      <c r="L59" s="2"/>
      <c r="M59" s="2"/>
      <c r="N59" s="2"/>
    </row>
    <row r="60" spans="1:16" x14ac:dyDescent="0.25">
      <c r="J60" s="2"/>
      <c r="K60" s="2"/>
      <c r="L60" s="2"/>
      <c r="M60" s="2"/>
      <c r="N60" s="2"/>
    </row>
    <row r="61" spans="1:16" x14ac:dyDescent="0.25">
      <c r="J61" s="2"/>
      <c r="K61" s="1"/>
      <c r="L61" s="2"/>
      <c r="M61" s="2"/>
      <c r="N61" s="2"/>
    </row>
    <row r="62" spans="1:16" x14ac:dyDescent="0.25">
      <c r="J62" s="2"/>
      <c r="K62" s="1"/>
      <c r="L62" s="2"/>
      <c r="M62" s="2"/>
      <c r="N62" s="2"/>
    </row>
    <row r="63" spans="1:16" x14ac:dyDescent="0.25">
      <c r="J63" s="2"/>
      <c r="K63" s="2"/>
      <c r="L63" s="3"/>
      <c r="M63" s="3"/>
      <c r="N63" s="2"/>
    </row>
    <row r="65" spans="11:13" x14ac:dyDescent="0.25">
      <c r="K65" s="43" t="s">
        <v>25</v>
      </c>
      <c r="L65" s="43" t="s">
        <v>264</v>
      </c>
      <c r="M65" s="43" t="s">
        <v>263</v>
      </c>
    </row>
    <row r="66" spans="11:13" x14ac:dyDescent="0.25">
      <c r="K66" t="s">
        <v>266</v>
      </c>
      <c r="L66">
        <f>SUMIFS(G$3:G$45,J$3:J$45,K$65)</f>
        <v>6380</v>
      </c>
      <c r="M66">
        <f>SUMIFS(Q$3:Q$45,J$3:J$45,K$65)</f>
        <v>13</v>
      </c>
    </row>
    <row r="67" spans="11:13" x14ac:dyDescent="0.25">
      <c r="K67" t="s">
        <v>268</v>
      </c>
      <c r="L67">
        <f>-SUMIFS(H$3:H$45,J$3:J$45,K$65)+M67*5</f>
        <v>-260</v>
      </c>
      <c r="M67">
        <f>SUMIFS(Q$3:Q$45,J$3:J$45,K$65)-COUNTIFS(J$3:J$45,K$65,M$3:M$45,"*gộp*")</f>
        <v>13</v>
      </c>
    </row>
    <row r="68" spans="11:13" x14ac:dyDescent="0.25">
      <c r="K68" t="s">
        <v>468</v>
      </c>
    </row>
    <row r="69" spans="11:13" x14ac:dyDescent="0.25">
      <c r="K69" s="5" t="s">
        <v>72</v>
      </c>
    </row>
    <row r="70" spans="11:13" x14ac:dyDescent="0.25">
      <c r="K70" s="5" t="s">
        <v>272</v>
      </c>
    </row>
    <row r="71" spans="11:13" x14ac:dyDescent="0.25">
      <c r="L71" s="45">
        <f>SUBTOTAL(9,L66:L70)</f>
        <v>6120</v>
      </c>
      <c r="M71" s="45">
        <f>M66</f>
        <v>13</v>
      </c>
    </row>
  </sheetData>
  <autoFilter ref="A2:P45" xr:uid="{00000000-0009-0000-0000-000007000000}"/>
  <mergeCells count="8">
    <mergeCell ref="C54:D54"/>
    <mergeCell ref="C55:D55"/>
    <mergeCell ref="C57:D57"/>
    <mergeCell ref="C49:D49"/>
    <mergeCell ref="C50:D50"/>
    <mergeCell ref="C51:D51"/>
    <mergeCell ref="C52:D52"/>
    <mergeCell ref="C53:D53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67A5E-CC29-49C9-B985-0E9D9FF785D5}">
  <sheetPr filterMode="1"/>
  <dimension ref="A2:R78"/>
  <sheetViews>
    <sheetView workbookViewId="0">
      <selection activeCell="J53" sqref="J53"/>
    </sheetView>
  </sheetViews>
  <sheetFormatPr defaultRowHeight="15" x14ac:dyDescent="0.25"/>
  <cols>
    <col min="1" max="1" width="12.28515625" customWidth="1"/>
    <col min="2" max="2" width="19.140625" customWidth="1"/>
    <col min="3" max="3" width="33.42578125" customWidth="1"/>
    <col min="4" max="4" width="10.140625" customWidth="1"/>
    <col min="5" max="5" width="56.425781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2.8554687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593</v>
      </c>
    </row>
    <row r="3" spans="1:17" hidden="1" x14ac:dyDescent="0.25">
      <c r="B3" t="s">
        <v>16</v>
      </c>
      <c r="C3" t="s">
        <v>782</v>
      </c>
      <c r="D3" t="s">
        <v>783</v>
      </c>
      <c r="E3" t="s">
        <v>784</v>
      </c>
      <c r="F3" t="s">
        <v>91</v>
      </c>
      <c r="G3" s="10">
        <v>0</v>
      </c>
      <c r="H3" s="10">
        <v>20</v>
      </c>
      <c r="I3" s="10">
        <f>-H3</f>
        <v>-20</v>
      </c>
      <c r="J3" t="s">
        <v>25</v>
      </c>
      <c r="K3" t="s">
        <v>20</v>
      </c>
      <c r="L3" t="s">
        <v>785</v>
      </c>
      <c r="Q3" s="10">
        <v>1</v>
      </c>
    </row>
    <row r="4" spans="1:17" x14ac:dyDescent="0.25">
      <c r="B4" t="s">
        <v>16</v>
      </c>
      <c r="C4" t="s">
        <v>786</v>
      </c>
      <c r="D4" t="s">
        <v>787</v>
      </c>
      <c r="E4" t="s">
        <v>788</v>
      </c>
      <c r="F4" s="10">
        <v>6</v>
      </c>
      <c r="G4" s="10">
        <v>777</v>
      </c>
      <c r="H4" s="10">
        <v>17</v>
      </c>
      <c r="I4" s="10">
        <f>G4-H4</f>
        <v>760</v>
      </c>
      <c r="J4" t="s">
        <v>789</v>
      </c>
      <c r="K4" t="s">
        <v>20</v>
      </c>
      <c r="L4" t="s">
        <v>785</v>
      </c>
      <c r="Q4" s="10">
        <v>1</v>
      </c>
    </row>
    <row r="5" spans="1:17" hidden="1" x14ac:dyDescent="0.25">
      <c r="B5" t="s">
        <v>16</v>
      </c>
      <c r="C5" t="s">
        <v>790</v>
      </c>
      <c r="D5" t="s">
        <v>791</v>
      </c>
      <c r="E5" t="s">
        <v>549</v>
      </c>
      <c r="F5" t="s">
        <v>33</v>
      </c>
      <c r="G5" s="10">
        <v>0</v>
      </c>
      <c r="H5" s="10">
        <v>30</v>
      </c>
      <c r="I5" s="10">
        <f>-H5</f>
        <v>-30</v>
      </c>
      <c r="J5" t="s">
        <v>20</v>
      </c>
      <c r="K5" t="s">
        <v>20</v>
      </c>
      <c r="L5" t="s">
        <v>785</v>
      </c>
      <c r="Q5" s="10">
        <v>1</v>
      </c>
    </row>
    <row r="6" spans="1:17" hidden="1" x14ac:dyDescent="0.25">
      <c r="B6" t="s">
        <v>16</v>
      </c>
      <c r="C6" t="s">
        <v>792</v>
      </c>
      <c r="D6" t="s">
        <v>793</v>
      </c>
      <c r="E6" t="s">
        <v>794</v>
      </c>
      <c r="F6" s="10">
        <v>10</v>
      </c>
      <c r="G6" s="10">
        <v>785</v>
      </c>
      <c r="H6" s="10">
        <v>25</v>
      </c>
      <c r="I6" s="10">
        <f t="shared" ref="I6:I31" si="0">G6-H6</f>
        <v>760</v>
      </c>
      <c r="J6" t="s">
        <v>25</v>
      </c>
      <c r="K6" t="s">
        <v>20</v>
      </c>
      <c r="L6" t="s">
        <v>785</v>
      </c>
      <c r="Q6" s="10">
        <v>1</v>
      </c>
    </row>
    <row r="7" spans="1:17" x14ac:dyDescent="0.25">
      <c r="A7" t="s">
        <v>253</v>
      </c>
      <c r="B7" t="s">
        <v>16</v>
      </c>
      <c r="C7" t="s">
        <v>795</v>
      </c>
      <c r="E7" t="s">
        <v>796</v>
      </c>
      <c r="F7" s="10">
        <v>6</v>
      </c>
      <c r="G7" s="10">
        <v>17</v>
      </c>
      <c r="H7" s="10">
        <v>17</v>
      </c>
      <c r="I7" s="10">
        <f t="shared" si="0"/>
        <v>0</v>
      </c>
      <c r="J7" t="s">
        <v>789</v>
      </c>
      <c r="K7" t="s">
        <v>20</v>
      </c>
      <c r="L7" t="s">
        <v>785</v>
      </c>
      <c r="Q7" s="10">
        <v>1</v>
      </c>
    </row>
    <row r="8" spans="1:17" x14ac:dyDescent="0.25">
      <c r="B8" t="s">
        <v>16</v>
      </c>
      <c r="C8" t="s">
        <v>797</v>
      </c>
      <c r="D8" t="s">
        <v>798</v>
      </c>
      <c r="E8" t="s">
        <v>799</v>
      </c>
      <c r="F8" s="10">
        <v>7</v>
      </c>
      <c r="G8" s="10">
        <v>777</v>
      </c>
      <c r="H8" s="10">
        <v>17</v>
      </c>
      <c r="I8" s="10">
        <f t="shared" si="0"/>
        <v>760</v>
      </c>
      <c r="J8" t="s">
        <v>789</v>
      </c>
      <c r="K8" t="s">
        <v>20</v>
      </c>
      <c r="L8" t="s">
        <v>785</v>
      </c>
      <c r="Q8" s="10">
        <v>1</v>
      </c>
    </row>
    <row r="9" spans="1:17" hidden="1" x14ac:dyDescent="0.25">
      <c r="B9" t="s">
        <v>16</v>
      </c>
      <c r="C9" t="s">
        <v>800</v>
      </c>
      <c r="D9" t="s">
        <v>801</v>
      </c>
      <c r="E9" t="s">
        <v>802</v>
      </c>
      <c r="F9" s="10">
        <v>2</v>
      </c>
      <c r="G9" s="10">
        <v>790</v>
      </c>
      <c r="H9" s="10">
        <v>30</v>
      </c>
      <c r="I9" s="10">
        <f t="shared" si="0"/>
        <v>760</v>
      </c>
      <c r="J9" t="s">
        <v>20</v>
      </c>
      <c r="K9" t="s">
        <v>20</v>
      </c>
      <c r="L9" t="s">
        <v>785</v>
      </c>
      <c r="Q9" s="10">
        <v>1</v>
      </c>
    </row>
    <row r="10" spans="1:17" x14ac:dyDescent="0.25">
      <c r="B10" t="s">
        <v>16</v>
      </c>
      <c r="C10" t="s">
        <v>803</v>
      </c>
      <c r="D10" t="s">
        <v>804</v>
      </c>
      <c r="E10" t="s">
        <v>805</v>
      </c>
      <c r="F10" s="10">
        <v>7</v>
      </c>
      <c r="G10" s="10">
        <v>377</v>
      </c>
      <c r="H10" s="10">
        <v>17</v>
      </c>
      <c r="I10" s="10">
        <f t="shared" si="0"/>
        <v>360</v>
      </c>
      <c r="J10" t="s">
        <v>789</v>
      </c>
      <c r="K10" t="s">
        <v>20</v>
      </c>
      <c r="L10" t="s">
        <v>785</v>
      </c>
      <c r="Q10" s="10">
        <v>1</v>
      </c>
    </row>
    <row r="11" spans="1:17" hidden="1" x14ac:dyDescent="0.25">
      <c r="B11" t="s">
        <v>16</v>
      </c>
      <c r="C11" t="s">
        <v>806</v>
      </c>
      <c r="D11" t="s">
        <v>807</v>
      </c>
      <c r="E11" t="s">
        <v>808</v>
      </c>
      <c r="F11" t="s">
        <v>95</v>
      </c>
      <c r="G11" s="10">
        <v>815</v>
      </c>
      <c r="H11" s="10">
        <v>25</v>
      </c>
      <c r="I11" s="10">
        <f t="shared" si="0"/>
        <v>790</v>
      </c>
      <c r="J11" t="s">
        <v>25</v>
      </c>
      <c r="K11" t="s">
        <v>20</v>
      </c>
      <c r="L11" t="s">
        <v>785</v>
      </c>
      <c r="Q11" s="10">
        <v>1</v>
      </c>
    </row>
    <row r="12" spans="1:17" hidden="1" x14ac:dyDescent="0.25">
      <c r="B12" t="s">
        <v>16</v>
      </c>
      <c r="C12" t="s">
        <v>809</v>
      </c>
      <c r="D12" t="s">
        <v>810</v>
      </c>
      <c r="E12" t="s">
        <v>811</v>
      </c>
      <c r="F12" t="s">
        <v>95</v>
      </c>
      <c r="G12" s="10">
        <v>1535</v>
      </c>
      <c r="H12" s="10">
        <v>25</v>
      </c>
      <c r="I12" s="10">
        <f t="shared" si="0"/>
        <v>1510</v>
      </c>
      <c r="J12" t="s">
        <v>20</v>
      </c>
      <c r="K12" t="s">
        <v>20</v>
      </c>
      <c r="L12" t="s">
        <v>785</v>
      </c>
      <c r="Q12" s="10">
        <v>1</v>
      </c>
    </row>
    <row r="13" spans="1:17" hidden="1" x14ac:dyDescent="0.25">
      <c r="B13" t="s">
        <v>16</v>
      </c>
      <c r="C13" t="s">
        <v>812</v>
      </c>
      <c r="D13" t="s">
        <v>813</v>
      </c>
      <c r="E13" t="s">
        <v>814</v>
      </c>
      <c r="F13" s="10">
        <v>4</v>
      </c>
      <c r="G13" s="10">
        <v>775</v>
      </c>
      <c r="H13" s="10">
        <v>25</v>
      </c>
      <c r="I13" s="10">
        <f t="shared" si="0"/>
        <v>750</v>
      </c>
      <c r="J13" t="s">
        <v>25</v>
      </c>
      <c r="K13" t="s">
        <v>20</v>
      </c>
      <c r="L13" t="s">
        <v>785</v>
      </c>
      <c r="Q13" s="10">
        <v>1</v>
      </c>
    </row>
    <row r="14" spans="1:17" hidden="1" x14ac:dyDescent="0.25">
      <c r="B14" t="s">
        <v>16</v>
      </c>
      <c r="C14" t="s">
        <v>815</v>
      </c>
      <c r="D14" t="s">
        <v>816</v>
      </c>
      <c r="E14" t="s">
        <v>817</v>
      </c>
      <c r="F14" s="10">
        <v>9</v>
      </c>
      <c r="G14" s="10">
        <v>750</v>
      </c>
      <c r="H14" s="10">
        <v>30</v>
      </c>
      <c r="I14" s="10">
        <f t="shared" si="0"/>
        <v>720</v>
      </c>
      <c r="J14" t="s">
        <v>239</v>
      </c>
      <c r="K14" t="s">
        <v>20</v>
      </c>
      <c r="L14" t="s">
        <v>785</v>
      </c>
      <c r="Q14" s="10">
        <v>1</v>
      </c>
    </row>
    <row r="15" spans="1:17" x14ac:dyDescent="0.25">
      <c r="B15" t="s">
        <v>16</v>
      </c>
      <c r="C15" t="s">
        <v>818</v>
      </c>
      <c r="D15" t="s">
        <v>819</v>
      </c>
      <c r="E15" t="s">
        <v>820</v>
      </c>
      <c r="F15" s="10">
        <v>7</v>
      </c>
      <c r="G15" s="10">
        <v>857</v>
      </c>
      <c r="H15" s="10">
        <v>17</v>
      </c>
      <c r="I15" s="10">
        <f t="shared" si="0"/>
        <v>840</v>
      </c>
      <c r="J15" t="s">
        <v>789</v>
      </c>
      <c r="K15" t="s">
        <v>20</v>
      </c>
      <c r="L15" t="s">
        <v>785</v>
      </c>
      <c r="Q15" s="10">
        <v>1</v>
      </c>
    </row>
    <row r="16" spans="1:17" x14ac:dyDescent="0.25">
      <c r="B16" t="s">
        <v>16</v>
      </c>
      <c r="C16" t="s">
        <v>821</v>
      </c>
      <c r="D16" t="s">
        <v>822</v>
      </c>
      <c r="E16" t="s">
        <v>823</v>
      </c>
      <c r="F16" s="10">
        <v>7</v>
      </c>
      <c r="G16" s="10">
        <v>737</v>
      </c>
      <c r="H16" s="10">
        <v>17</v>
      </c>
      <c r="I16" s="10">
        <f t="shared" si="0"/>
        <v>720</v>
      </c>
      <c r="J16" t="s">
        <v>789</v>
      </c>
      <c r="K16" t="s">
        <v>20</v>
      </c>
      <c r="L16" t="s">
        <v>785</v>
      </c>
      <c r="Q16" s="10">
        <v>1</v>
      </c>
    </row>
    <row r="17" spans="2:17" hidden="1" x14ac:dyDescent="0.25">
      <c r="B17" t="s">
        <v>16</v>
      </c>
      <c r="C17" t="s">
        <v>824</v>
      </c>
      <c r="D17" t="s">
        <v>825</v>
      </c>
      <c r="E17" t="s">
        <v>826</v>
      </c>
      <c r="F17" s="10">
        <v>4</v>
      </c>
      <c r="G17" s="10">
        <v>605</v>
      </c>
      <c r="H17" s="10">
        <v>25</v>
      </c>
      <c r="I17" s="10">
        <f t="shared" si="0"/>
        <v>580</v>
      </c>
      <c r="J17" t="s">
        <v>25</v>
      </c>
      <c r="K17" t="s">
        <v>20</v>
      </c>
      <c r="L17" t="s">
        <v>785</v>
      </c>
      <c r="Q17" s="10">
        <v>1</v>
      </c>
    </row>
    <row r="18" spans="2:17" x14ac:dyDescent="0.25">
      <c r="B18" t="s">
        <v>16</v>
      </c>
      <c r="C18" t="s">
        <v>827</v>
      </c>
      <c r="D18" t="s">
        <v>828</v>
      </c>
      <c r="E18" t="s">
        <v>829</v>
      </c>
      <c r="F18" s="10">
        <v>7</v>
      </c>
      <c r="G18" s="10">
        <v>697</v>
      </c>
      <c r="H18" s="10">
        <v>17</v>
      </c>
      <c r="I18" s="10">
        <f t="shared" si="0"/>
        <v>680</v>
      </c>
      <c r="J18" t="s">
        <v>789</v>
      </c>
      <c r="K18" t="s">
        <v>20</v>
      </c>
      <c r="L18" t="s">
        <v>785</v>
      </c>
      <c r="Q18" s="10">
        <v>1</v>
      </c>
    </row>
    <row r="19" spans="2:17" hidden="1" x14ac:dyDescent="0.25">
      <c r="B19" t="s">
        <v>16</v>
      </c>
      <c r="C19" t="s">
        <v>830</v>
      </c>
      <c r="D19" t="s">
        <v>831</v>
      </c>
      <c r="E19" t="s">
        <v>832</v>
      </c>
      <c r="F19" s="10">
        <v>1</v>
      </c>
      <c r="G19" s="10">
        <v>785</v>
      </c>
      <c r="H19" s="10">
        <v>25</v>
      </c>
      <c r="I19" s="10">
        <f t="shared" si="0"/>
        <v>760</v>
      </c>
      <c r="J19" t="s">
        <v>25</v>
      </c>
      <c r="K19" t="s">
        <v>20</v>
      </c>
      <c r="L19" t="s">
        <v>785</v>
      </c>
      <c r="Q19" s="10">
        <v>1</v>
      </c>
    </row>
    <row r="20" spans="2:17" hidden="1" x14ac:dyDescent="0.25">
      <c r="B20" t="s">
        <v>16</v>
      </c>
      <c r="C20" t="s">
        <v>833</v>
      </c>
      <c r="D20" t="s">
        <v>834</v>
      </c>
      <c r="E20" t="s">
        <v>835</v>
      </c>
      <c r="F20" s="10">
        <v>1</v>
      </c>
      <c r="G20" s="10">
        <v>785</v>
      </c>
      <c r="H20" s="10">
        <v>25</v>
      </c>
      <c r="I20" s="10">
        <f t="shared" si="0"/>
        <v>760</v>
      </c>
      <c r="J20" t="s">
        <v>25</v>
      </c>
      <c r="K20" t="s">
        <v>20</v>
      </c>
      <c r="L20" t="s">
        <v>785</v>
      </c>
      <c r="Q20" s="10">
        <v>1</v>
      </c>
    </row>
    <row r="21" spans="2:17" hidden="1" x14ac:dyDescent="0.25">
      <c r="B21" t="s">
        <v>16</v>
      </c>
      <c r="C21" t="s">
        <v>836</v>
      </c>
      <c r="D21" t="s">
        <v>837</v>
      </c>
      <c r="E21" t="s">
        <v>338</v>
      </c>
      <c r="F21" t="s">
        <v>33</v>
      </c>
      <c r="G21" s="10">
        <v>750</v>
      </c>
      <c r="H21" s="10">
        <v>30</v>
      </c>
      <c r="I21" s="10">
        <f t="shared" si="0"/>
        <v>720</v>
      </c>
      <c r="J21" t="s">
        <v>20</v>
      </c>
      <c r="K21" t="s">
        <v>20</v>
      </c>
      <c r="L21" t="s">
        <v>785</v>
      </c>
      <c r="Q21" s="10">
        <v>1</v>
      </c>
    </row>
    <row r="22" spans="2:17" x14ac:dyDescent="0.25">
      <c r="B22" t="s">
        <v>16</v>
      </c>
      <c r="C22" t="s">
        <v>838</v>
      </c>
      <c r="D22" t="s">
        <v>839</v>
      </c>
      <c r="E22" t="s">
        <v>840</v>
      </c>
      <c r="F22" s="10">
        <v>8</v>
      </c>
      <c r="G22" s="10">
        <v>387</v>
      </c>
      <c r="H22" s="10">
        <v>17</v>
      </c>
      <c r="I22" s="10">
        <f t="shared" si="0"/>
        <v>370</v>
      </c>
      <c r="J22" t="s">
        <v>789</v>
      </c>
      <c r="K22" t="s">
        <v>20</v>
      </c>
      <c r="L22" t="s">
        <v>785</v>
      </c>
      <c r="Q22" s="10">
        <v>1</v>
      </c>
    </row>
    <row r="23" spans="2:17" x14ac:dyDescent="0.25">
      <c r="B23" t="s">
        <v>16</v>
      </c>
      <c r="C23" t="s">
        <v>163</v>
      </c>
      <c r="D23" t="s">
        <v>841</v>
      </c>
      <c r="E23" t="s">
        <v>842</v>
      </c>
      <c r="F23" s="10">
        <v>8</v>
      </c>
      <c r="G23" s="10">
        <v>977</v>
      </c>
      <c r="H23" s="10">
        <v>17</v>
      </c>
      <c r="I23" s="10">
        <f t="shared" si="0"/>
        <v>960</v>
      </c>
      <c r="J23" t="s">
        <v>789</v>
      </c>
      <c r="K23" t="s">
        <v>20</v>
      </c>
      <c r="L23" t="s">
        <v>785</v>
      </c>
      <c r="Q23" s="10">
        <v>1</v>
      </c>
    </row>
    <row r="24" spans="2:17" x14ac:dyDescent="0.25">
      <c r="B24" t="s">
        <v>16</v>
      </c>
      <c r="C24" t="s">
        <v>843</v>
      </c>
      <c r="D24" t="s">
        <v>844</v>
      </c>
      <c r="E24" t="s">
        <v>845</v>
      </c>
      <c r="F24" s="10">
        <v>8</v>
      </c>
      <c r="G24" s="10">
        <v>2752</v>
      </c>
      <c r="H24" s="10">
        <v>17</v>
      </c>
      <c r="I24" s="10">
        <f t="shared" si="0"/>
        <v>2735</v>
      </c>
      <c r="J24" t="s">
        <v>789</v>
      </c>
      <c r="K24" t="s">
        <v>20</v>
      </c>
      <c r="L24" t="s">
        <v>785</v>
      </c>
      <c r="M24" t="s">
        <v>846</v>
      </c>
      <c r="Q24" s="10">
        <v>1</v>
      </c>
    </row>
    <row r="25" spans="2:17" hidden="1" x14ac:dyDescent="0.25">
      <c r="B25" t="s">
        <v>16</v>
      </c>
      <c r="C25" t="s">
        <v>847</v>
      </c>
      <c r="D25" t="s">
        <v>848</v>
      </c>
      <c r="E25" t="s">
        <v>849</v>
      </c>
      <c r="F25" s="10">
        <v>4</v>
      </c>
      <c r="G25" s="10">
        <v>605</v>
      </c>
      <c r="H25" s="10">
        <v>25</v>
      </c>
      <c r="I25" s="10">
        <f t="shared" si="0"/>
        <v>580</v>
      </c>
      <c r="J25" t="s">
        <v>25</v>
      </c>
      <c r="K25" t="s">
        <v>20</v>
      </c>
      <c r="L25" t="s">
        <v>785</v>
      </c>
      <c r="Q25" s="10">
        <v>1</v>
      </c>
    </row>
    <row r="26" spans="2:17" x14ac:dyDescent="0.25">
      <c r="B26" t="s">
        <v>16</v>
      </c>
      <c r="C26" t="s">
        <v>850</v>
      </c>
      <c r="D26" t="s">
        <v>851</v>
      </c>
      <c r="E26" t="s">
        <v>852</v>
      </c>
      <c r="F26" s="10">
        <v>9</v>
      </c>
      <c r="G26" s="10">
        <v>745</v>
      </c>
      <c r="H26" s="10">
        <v>25</v>
      </c>
      <c r="I26" s="10">
        <f t="shared" si="0"/>
        <v>720</v>
      </c>
      <c r="J26" t="s">
        <v>789</v>
      </c>
      <c r="K26" t="s">
        <v>20</v>
      </c>
      <c r="L26" t="s">
        <v>785</v>
      </c>
      <c r="Q26" s="10">
        <v>1</v>
      </c>
    </row>
    <row r="27" spans="2:17" hidden="1" x14ac:dyDescent="0.25">
      <c r="B27" t="s">
        <v>16</v>
      </c>
      <c r="C27" t="s">
        <v>853</v>
      </c>
      <c r="D27" t="s">
        <v>854</v>
      </c>
      <c r="E27" t="s">
        <v>855</v>
      </c>
      <c r="F27" t="s">
        <v>116</v>
      </c>
      <c r="G27" s="10">
        <v>1505</v>
      </c>
      <c r="H27" s="10">
        <v>25</v>
      </c>
      <c r="I27" s="10">
        <f t="shared" si="0"/>
        <v>1480</v>
      </c>
      <c r="J27" t="s">
        <v>20</v>
      </c>
      <c r="K27" t="s">
        <v>20</v>
      </c>
      <c r="L27" t="s">
        <v>785</v>
      </c>
      <c r="Q27" s="10">
        <v>1</v>
      </c>
    </row>
    <row r="28" spans="2:17" hidden="1" x14ac:dyDescent="0.25">
      <c r="B28" t="s">
        <v>16</v>
      </c>
      <c r="C28" t="s">
        <v>856</v>
      </c>
      <c r="D28" t="s">
        <v>857</v>
      </c>
      <c r="E28" t="s">
        <v>858</v>
      </c>
      <c r="F28" s="10">
        <v>4</v>
      </c>
      <c r="G28" s="10">
        <v>655</v>
      </c>
      <c r="H28" s="10">
        <v>25</v>
      </c>
      <c r="I28" s="10">
        <f t="shared" si="0"/>
        <v>630</v>
      </c>
      <c r="J28" t="s">
        <v>25</v>
      </c>
      <c r="K28" t="s">
        <v>20</v>
      </c>
      <c r="L28" t="s">
        <v>785</v>
      </c>
      <c r="Q28" s="10">
        <v>1</v>
      </c>
    </row>
    <row r="29" spans="2:17" hidden="1" x14ac:dyDescent="0.25">
      <c r="B29" t="s">
        <v>16</v>
      </c>
      <c r="C29" t="s">
        <v>859</v>
      </c>
      <c r="D29" t="s">
        <v>860</v>
      </c>
      <c r="E29" t="s">
        <v>861</v>
      </c>
      <c r="F29" t="s">
        <v>33</v>
      </c>
      <c r="G29" s="10">
        <v>800</v>
      </c>
      <c r="H29" s="10">
        <v>30</v>
      </c>
      <c r="I29" s="10">
        <f t="shared" si="0"/>
        <v>770</v>
      </c>
      <c r="J29" t="s">
        <v>20</v>
      </c>
      <c r="K29" t="s">
        <v>20</v>
      </c>
      <c r="L29" t="s">
        <v>785</v>
      </c>
      <c r="Q29" s="10">
        <v>1</v>
      </c>
    </row>
    <row r="30" spans="2:17" x14ac:dyDescent="0.25">
      <c r="B30" t="s">
        <v>16</v>
      </c>
      <c r="C30" t="s">
        <v>862</v>
      </c>
      <c r="D30" t="s">
        <v>863</v>
      </c>
      <c r="E30" t="s">
        <v>864</v>
      </c>
      <c r="F30" t="s">
        <v>47</v>
      </c>
      <c r="G30" s="10">
        <v>1065</v>
      </c>
      <c r="H30" s="10">
        <v>25</v>
      </c>
      <c r="I30" s="10">
        <f t="shared" si="0"/>
        <v>1040</v>
      </c>
      <c r="J30" t="s">
        <v>789</v>
      </c>
      <c r="K30" t="s">
        <v>20</v>
      </c>
      <c r="L30" t="s">
        <v>785</v>
      </c>
      <c r="Q30" s="10">
        <v>1</v>
      </c>
    </row>
    <row r="31" spans="2:17" hidden="1" x14ac:dyDescent="0.25">
      <c r="B31" t="s">
        <v>16</v>
      </c>
      <c r="C31" t="s">
        <v>865</v>
      </c>
      <c r="D31" t="s">
        <v>866</v>
      </c>
      <c r="E31" t="s">
        <v>867</v>
      </c>
      <c r="F31" t="s">
        <v>116</v>
      </c>
      <c r="G31" s="10">
        <v>85</v>
      </c>
      <c r="H31" s="10">
        <v>25</v>
      </c>
      <c r="I31" s="10">
        <f t="shared" si="0"/>
        <v>60</v>
      </c>
      <c r="J31" t="s">
        <v>20</v>
      </c>
      <c r="K31" t="s">
        <v>20</v>
      </c>
      <c r="L31" t="s">
        <v>785</v>
      </c>
      <c r="M31" t="s">
        <v>312</v>
      </c>
      <c r="Q31" s="10">
        <v>1</v>
      </c>
    </row>
    <row r="32" spans="2:17" x14ac:dyDescent="0.25">
      <c r="B32" t="s">
        <v>16</v>
      </c>
      <c r="C32" t="s">
        <v>868</v>
      </c>
      <c r="D32" t="s">
        <v>869</v>
      </c>
      <c r="E32" t="s">
        <v>870</v>
      </c>
      <c r="F32">
        <v>8</v>
      </c>
      <c r="G32" s="10">
        <v>777</v>
      </c>
      <c r="H32" s="10">
        <v>17</v>
      </c>
      <c r="I32" s="10">
        <v>760</v>
      </c>
      <c r="J32" t="s">
        <v>789</v>
      </c>
      <c r="K32" t="s">
        <v>20</v>
      </c>
      <c r="L32" t="s">
        <v>785</v>
      </c>
      <c r="Q32" s="10">
        <v>1</v>
      </c>
    </row>
    <row r="33" spans="1:17" x14ac:dyDescent="0.25">
      <c r="B33" t="s">
        <v>16</v>
      </c>
      <c r="C33" t="s">
        <v>871</v>
      </c>
      <c r="D33" t="s">
        <v>872</v>
      </c>
      <c r="E33" t="s">
        <v>873</v>
      </c>
      <c r="F33" t="s">
        <v>95</v>
      </c>
      <c r="G33" s="10">
        <v>597</v>
      </c>
      <c r="H33" s="10">
        <v>17</v>
      </c>
      <c r="I33" s="10">
        <f t="shared" ref="I33:I41" si="1">G33-H33</f>
        <v>580</v>
      </c>
      <c r="J33" t="s">
        <v>789</v>
      </c>
      <c r="K33" t="s">
        <v>20</v>
      </c>
      <c r="L33" t="s">
        <v>785</v>
      </c>
      <c r="Q33" s="10">
        <v>1</v>
      </c>
    </row>
    <row r="34" spans="1:17" x14ac:dyDescent="0.25">
      <c r="B34" t="s">
        <v>16</v>
      </c>
      <c r="C34" t="s">
        <v>874</v>
      </c>
      <c r="D34" t="s">
        <v>875</v>
      </c>
      <c r="E34" t="s">
        <v>876</v>
      </c>
      <c r="F34" t="s">
        <v>61</v>
      </c>
      <c r="G34" s="10">
        <v>1007</v>
      </c>
      <c r="H34" s="10">
        <v>17</v>
      </c>
      <c r="I34" s="10">
        <f t="shared" si="1"/>
        <v>990</v>
      </c>
      <c r="J34" t="s">
        <v>789</v>
      </c>
      <c r="K34" t="s">
        <v>20</v>
      </c>
      <c r="L34" t="s">
        <v>785</v>
      </c>
      <c r="Q34" s="10">
        <v>1</v>
      </c>
    </row>
    <row r="35" spans="1:17" hidden="1" x14ac:dyDescent="0.25">
      <c r="B35" t="s">
        <v>16</v>
      </c>
      <c r="C35" t="s">
        <v>877</v>
      </c>
      <c r="D35" t="s">
        <v>878</v>
      </c>
      <c r="E35" t="s">
        <v>879</v>
      </c>
      <c r="F35" t="s">
        <v>95</v>
      </c>
      <c r="G35" s="10">
        <v>745</v>
      </c>
      <c r="H35" s="10">
        <v>25</v>
      </c>
      <c r="I35" s="10">
        <f t="shared" si="1"/>
        <v>720</v>
      </c>
      <c r="J35" t="s">
        <v>25</v>
      </c>
      <c r="K35" t="s">
        <v>20</v>
      </c>
      <c r="L35" t="s">
        <v>785</v>
      </c>
      <c r="Q35" s="10">
        <v>1</v>
      </c>
    </row>
    <row r="36" spans="1:17" hidden="1" x14ac:dyDescent="0.25">
      <c r="B36" t="s">
        <v>16</v>
      </c>
      <c r="C36" t="s">
        <v>880</v>
      </c>
      <c r="D36" t="s">
        <v>881</v>
      </c>
      <c r="E36" t="s">
        <v>882</v>
      </c>
      <c r="F36" t="s">
        <v>51</v>
      </c>
      <c r="G36" s="10">
        <v>390</v>
      </c>
      <c r="H36" s="10">
        <v>20</v>
      </c>
      <c r="I36" s="10">
        <f t="shared" si="1"/>
        <v>370</v>
      </c>
      <c r="J36" t="s">
        <v>20</v>
      </c>
      <c r="K36" t="s">
        <v>20</v>
      </c>
      <c r="L36" t="s">
        <v>785</v>
      </c>
      <c r="Q36" s="10">
        <v>1</v>
      </c>
    </row>
    <row r="37" spans="1:17" hidden="1" x14ac:dyDescent="0.25">
      <c r="A37" t="s">
        <v>253</v>
      </c>
      <c r="B37" t="s">
        <v>16</v>
      </c>
      <c r="C37" t="s">
        <v>883</v>
      </c>
      <c r="E37" t="s">
        <v>884</v>
      </c>
      <c r="F37" s="10">
        <v>9</v>
      </c>
      <c r="G37" s="10">
        <v>35</v>
      </c>
      <c r="H37" s="10">
        <v>35</v>
      </c>
      <c r="I37" s="10">
        <f t="shared" si="1"/>
        <v>0</v>
      </c>
      <c r="J37" t="s">
        <v>239</v>
      </c>
      <c r="K37" t="s">
        <v>20</v>
      </c>
      <c r="L37" t="s">
        <v>785</v>
      </c>
      <c r="Q37" s="10">
        <v>1</v>
      </c>
    </row>
    <row r="38" spans="1:17" x14ac:dyDescent="0.25">
      <c r="B38" t="s">
        <v>16</v>
      </c>
      <c r="C38" t="s">
        <v>145</v>
      </c>
      <c r="D38" t="s">
        <v>885</v>
      </c>
      <c r="E38" t="s">
        <v>886</v>
      </c>
      <c r="F38" t="s">
        <v>47</v>
      </c>
      <c r="G38" s="10">
        <v>775</v>
      </c>
      <c r="H38" s="10">
        <v>25</v>
      </c>
      <c r="I38" s="10">
        <f t="shared" si="1"/>
        <v>750</v>
      </c>
      <c r="J38" t="s">
        <v>789</v>
      </c>
      <c r="K38" t="s">
        <v>20</v>
      </c>
      <c r="L38" t="s">
        <v>785</v>
      </c>
      <c r="Q38" s="10">
        <v>1</v>
      </c>
    </row>
    <row r="39" spans="1:17" hidden="1" x14ac:dyDescent="0.25">
      <c r="A39" t="s">
        <v>253</v>
      </c>
      <c r="B39" t="s">
        <v>16</v>
      </c>
      <c r="C39" t="s">
        <v>887</v>
      </c>
      <c r="E39" t="s">
        <v>888</v>
      </c>
      <c r="F39" t="s">
        <v>95</v>
      </c>
      <c r="G39" s="10">
        <v>25</v>
      </c>
      <c r="H39" s="10">
        <v>25</v>
      </c>
      <c r="I39" s="10">
        <f t="shared" si="1"/>
        <v>0</v>
      </c>
      <c r="J39" t="s">
        <v>25</v>
      </c>
      <c r="K39" t="s">
        <v>20</v>
      </c>
      <c r="L39" t="s">
        <v>785</v>
      </c>
      <c r="Q39" s="10">
        <v>1</v>
      </c>
    </row>
    <row r="40" spans="1:17" hidden="1" x14ac:dyDescent="0.25">
      <c r="A40" t="s">
        <v>253</v>
      </c>
      <c r="B40" t="s">
        <v>16</v>
      </c>
      <c r="C40" t="s">
        <v>889</v>
      </c>
      <c r="E40" t="s">
        <v>888</v>
      </c>
      <c r="F40" t="s">
        <v>95</v>
      </c>
      <c r="G40" s="10">
        <v>30</v>
      </c>
      <c r="H40" s="10">
        <v>30</v>
      </c>
      <c r="I40" s="10">
        <f t="shared" si="1"/>
        <v>0</v>
      </c>
      <c r="J40" t="s">
        <v>20</v>
      </c>
      <c r="K40" t="s">
        <v>20</v>
      </c>
      <c r="L40" t="s">
        <v>785</v>
      </c>
      <c r="Q40" s="10">
        <v>1</v>
      </c>
    </row>
    <row r="41" spans="1:17" hidden="1" x14ac:dyDescent="0.25">
      <c r="B41" t="s">
        <v>16</v>
      </c>
      <c r="C41" t="s">
        <v>890</v>
      </c>
      <c r="D41" t="s">
        <v>891</v>
      </c>
      <c r="E41" t="s">
        <v>892</v>
      </c>
      <c r="F41" t="s">
        <v>95</v>
      </c>
      <c r="G41" s="10">
        <v>1505</v>
      </c>
      <c r="H41" s="10">
        <v>25</v>
      </c>
      <c r="I41" s="10">
        <f t="shared" si="1"/>
        <v>1480</v>
      </c>
      <c r="J41" t="s">
        <v>20</v>
      </c>
      <c r="K41" t="s">
        <v>20</v>
      </c>
      <c r="L41" t="s">
        <v>785</v>
      </c>
      <c r="Q41" s="10">
        <v>1</v>
      </c>
    </row>
    <row r="43" spans="1:17" x14ac:dyDescent="0.25">
      <c r="D43" s="4">
        <f>COUNTA(D3:D41)</f>
        <v>35</v>
      </c>
      <c r="G43" s="4">
        <f t="shared" ref="G43:Q43" si="2">SUBTOTAL(9,G3:G41)</f>
        <v>13321</v>
      </c>
      <c r="H43" s="4">
        <f t="shared" si="2"/>
        <v>296</v>
      </c>
      <c r="I43" s="4">
        <f t="shared" si="2"/>
        <v>13025</v>
      </c>
      <c r="J43" s="4">
        <f t="shared" si="2"/>
        <v>0</v>
      </c>
      <c r="K43" s="4">
        <f t="shared" si="2"/>
        <v>0</v>
      </c>
      <c r="L43" s="4">
        <f t="shared" si="2"/>
        <v>0</v>
      </c>
      <c r="M43" s="4">
        <f t="shared" si="2"/>
        <v>0</v>
      </c>
      <c r="N43" s="4">
        <f t="shared" si="2"/>
        <v>0</v>
      </c>
      <c r="O43" s="4">
        <f t="shared" si="2"/>
        <v>0</v>
      </c>
      <c r="P43" s="4">
        <f t="shared" si="2"/>
        <v>0</v>
      </c>
      <c r="Q43" s="4">
        <f t="shared" si="2"/>
        <v>16</v>
      </c>
    </row>
    <row r="44" spans="1:17" x14ac:dyDescent="0.25"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3"/>
      <c r="B45" s="2"/>
      <c r="C45" s="96"/>
      <c r="D45" s="96"/>
      <c r="E45" s="3"/>
      <c r="F45" s="2"/>
      <c r="I45" s="2"/>
      <c r="J45" s="2"/>
      <c r="K45" s="3"/>
      <c r="L45" s="3"/>
      <c r="M45" s="3"/>
      <c r="N45" s="2"/>
      <c r="O45" s="3"/>
      <c r="P45" s="2"/>
      <c r="Q45" s="2"/>
    </row>
    <row r="46" spans="1:17" x14ac:dyDescent="0.25">
      <c r="A46" s="2"/>
      <c r="B46" s="2"/>
      <c r="C46" s="95"/>
      <c r="D46" s="95"/>
      <c r="E46" s="2"/>
      <c r="F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1"/>
      <c r="C47" s="97"/>
      <c r="D47" s="97"/>
      <c r="E47" s="2"/>
      <c r="F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1"/>
      <c r="C48" s="97"/>
      <c r="D48" s="97"/>
      <c r="E48" s="1"/>
      <c r="F48" s="2"/>
      <c r="I48" s="2"/>
      <c r="J48" s="2"/>
      <c r="K48" s="2"/>
      <c r="L48" s="2"/>
      <c r="M48" s="2"/>
      <c r="N48" s="2"/>
      <c r="O48" s="2"/>
      <c r="P48" s="2"/>
      <c r="Q48" s="2"/>
    </row>
    <row r="49" spans="1:18" x14ac:dyDescent="0.25">
      <c r="A49" s="2"/>
      <c r="B49" s="3"/>
      <c r="C49" s="96"/>
      <c r="D49" s="96"/>
      <c r="E49" s="2"/>
      <c r="F49" s="2"/>
      <c r="I49" s="2"/>
      <c r="J49" s="2"/>
      <c r="K49" s="1"/>
      <c r="L49" s="2"/>
      <c r="M49" s="2"/>
      <c r="N49" s="2"/>
      <c r="O49" s="2"/>
      <c r="P49" s="2"/>
      <c r="Q49" s="2"/>
    </row>
    <row r="50" spans="1:18" x14ac:dyDescent="0.25">
      <c r="A50" s="2"/>
      <c r="B50" s="1"/>
      <c r="C50" s="95"/>
      <c r="D50" s="95"/>
      <c r="E50" s="2"/>
      <c r="F50" s="2"/>
      <c r="I50" s="2"/>
      <c r="J50" s="2"/>
      <c r="K50" s="1"/>
      <c r="L50" s="2"/>
      <c r="M50" s="2"/>
      <c r="N50" s="2"/>
      <c r="O50" s="2"/>
      <c r="P50" s="2"/>
      <c r="Q50" s="2"/>
    </row>
    <row r="51" spans="1:18" x14ac:dyDescent="0.25">
      <c r="A51" s="2"/>
      <c r="B51" s="2"/>
      <c r="C51" s="95"/>
      <c r="D51" s="95"/>
      <c r="E51" s="2"/>
      <c r="F51" s="2"/>
      <c r="H51" s="43" t="s">
        <v>789</v>
      </c>
      <c r="I51" s="43" t="s">
        <v>264</v>
      </c>
      <c r="J51" s="43" t="s">
        <v>263</v>
      </c>
      <c r="K51" s="2"/>
      <c r="L51" s="3"/>
      <c r="M51" s="3"/>
      <c r="N51" s="2"/>
      <c r="O51" s="3"/>
      <c r="P51" s="3"/>
      <c r="Q51" s="2"/>
    </row>
    <row r="52" spans="1:18" x14ac:dyDescent="0.25">
      <c r="A52" s="2"/>
      <c r="B52" s="2"/>
      <c r="C52" s="2"/>
      <c r="D52" s="2"/>
      <c r="E52" s="2"/>
      <c r="F52" s="2"/>
      <c r="H52" t="s">
        <v>266</v>
      </c>
      <c r="I52">
        <v>13490</v>
      </c>
      <c r="J52">
        <f>SUMIFS(Q$3:Q$41,J$3:J$41,H$51)</f>
        <v>16</v>
      </c>
      <c r="K52" s="2"/>
      <c r="L52" s="2"/>
      <c r="M52" s="2"/>
      <c r="N52" s="2"/>
      <c r="O52" s="2"/>
      <c r="P52" s="2"/>
      <c r="Q52" s="2"/>
    </row>
    <row r="53" spans="1:18" x14ac:dyDescent="0.25">
      <c r="A53" s="2"/>
      <c r="B53" s="3"/>
      <c r="C53" s="96"/>
      <c r="D53" s="96"/>
      <c r="E53" s="3"/>
      <c r="F53" s="2"/>
      <c r="H53" t="s">
        <v>268</v>
      </c>
      <c r="I53">
        <f>-H43</f>
        <v>-296</v>
      </c>
      <c r="J53">
        <f>SUMIFS(Q$3:Q$41,J$3:J$41,H$51)-COUNTIFS(J$3:J$41,H$51,M$3:M$41,"*gộp*")</f>
        <v>16</v>
      </c>
    </row>
    <row r="54" spans="1:18" x14ac:dyDescent="0.25">
      <c r="H54" t="s">
        <v>468</v>
      </c>
    </row>
    <row r="55" spans="1:18" x14ac:dyDescent="0.25">
      <c r="H55" s="5" t="s">
        <v>72</v>
      </c>
    </row>
    <row r="56" spans="1:18" x14ac:dyDescent="0.25">
      <c r="H56" s="5" t="s">
        <v>272</v>
      </c>
    </row>
    <row r="57" spans="1:18" x14ac:dyDescent="0.25">
      <c r="I57" s="45">
        <f>SUBTOTAL(9,I52:I56)</f>
        <v>13194</v>
      </c>
      <c r="J57" s="45">
        <f>J52</f>
        <v>16</v>
      </c>
    </row>
    <row r="61" spans="1:18" x14ac:dyDescent="0.25">
      <c r="I61" s="2"/>
      <c r="J61" s="2"/>
      <c r="K61" s="3"/>
      <c r="L61" s="3"/>
      <c r="M61" s="3"/>
      <c r="N61" s="2"/>
      <c r="O61" s="2"/>
      <c r="P61" s="2"/>
      <c r="Q61" s="2"/>
      <c r="R61" s="2"/>
    </row>
    <row r="62" spans="1:18" x14ac:dyDescent="0.25">
      <c r="I62" s="2"/>
      <c r="J62" s="2"/>
      <c r="K62" s="2"/>
      <c r="L62" s="2"/>
      <c r="M62" s="2"/>
      <c r="N62" s="2"/>
      <c r="O62" s="2"/>
      <c r="P62" s="2"/>
      <c r="Q62" s="2"/>
      <c r="R62" s="2"/>
    </row>
    <row r="63" spans="1:18" x14ac:dyDescent="0.25"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I64" s="2"/>
      <c r="J64" s="2"/>
      <c r="K64" s="2"/>
      <c r="L64" s="2"/>
      <c r="M64" s="2"/>
      <c r="N64" s="2"/>
      <c r="O64" s="2"/>
      <c r="P64" s="2"/>
      <c r="Q64" s="2"/>
      <c r="R64" s="2"/>
    </row>
    <row r="65" spans="9:18" x14ac:dyDescent="0.25">
      <c r="I65" s="2"/>
      <c r="J65" s="2"/>
      <c r="K65" s="1"/>
      <c r="L65" s="2"/>
      <c r="M65" s="2"/>
      <c r="N65" s="2"/>
      <c r="O65" s="2"/>
      <c r="P65" s="2"/>
      <c r="Q65" s="2"/>
      <c r="R65" s="2"/>
    </row>
    <row r="66" spans="9:18" x14ac:dyDescent="0.25">
      <c r="I66" s="2"/>
      <c r="J66" s="2"/>
      <c r="K66" s="1"/>
      <c r="L66" s="2"/>
      <c r="M66" s="2"/>
      <c r="N66" s="2"/>
      <c r="O66" s="2"/>
      <c r="P66" s="2"/>
      <c r="Q66" s="2"/>
      <c r="R66" s="2"/>
    </row>
    <row r="67" spans="9:18" x14ac:dyDescent="0.25">
      <c r="I67" s="2"/>
      <c r="J67" s="2"/>
      <c r="K67" s="2"/>
      <c r="L67" s="3"/>
      <c r="M67" s="3"/>
      <c r="N67" s="2"/>
      <c r="O67" s="2"/>
      <c r="P67" s="2"/>
      <c r="Q67" s="2"/>
      <c r="R67" s="2"/>
    </row>
    <row r="68" spans="9:18" x14ac:dyDescent="0.25">
      <c r="I68" s="2"/>
      <c r="J68" s="2"/>
      <c r="K68" s="2"/>
      <c r="L68" s="2"/>
      <c r="M68" s="2"/>
      <c r="N68" s="2"/>
      <c r="O68" s="2"/>
      <c r="P68" s="2"/>
      <c r="Q68" s="2"/>
      <c r="R68" s="2"/>
    </row>
    <row r="69" spans="9:18" x14ac:dyDescent="0.25">
      <c r="I69" s="2"/>
      <c r="J69" s="2"/>
      <c r="K69" s="3"/>
      <c r="L69" s="3"/>
      <c r="M69" s="3"/>
      <c r="N69" s="2"/>
      <c r="O69" s="2"/>
      <c r="P69" s="2"/>
      <c r="Q69" s="2"/>
      <c r="R69" s="2"/>
    </row>
    <row r="70" spans="9:18" x14ac:dyDescent="0.25">
      <c r="I70" s="2"/>
      <c r="J70" s="2"/>
      <c r="K70" s="2"/>
      <c r="L70" s="2"/>
      <c r="M70" s="2"/>
      <c r="N70" s="2"/>
      <c r="O70" s="2"/>
      <c r="P70" s="2"/>
      <c r="Q70" s="2"/>
      <c r="R70" s="2"/>
    </row>
    <row r="71" spans="9:18" x14ac:dyDescent="0.25">
      <c r="I71" s="2"/>
      <c r="J71" s="2"/>
      <c r="K71" s="2"/>
      <c r="L71" s="2"/>
      <c r="M71" s="2"/>
      <c r="N71" s="2"/>
      <c r="O71" s="2"/>
      <c r="P71" s="2"/>
      <c r="Q71" s="2"/>
      <c r="R71" s="2"/>
    </row>
    <row r="72" spans="9:18" x14ac:dyDescent="0.25"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9:18" x14ac:dyDescent="0.25">
      <c r="I73" s="2"/>
      <c r="J73" s="2"/>
      <c r="K73" s="1"/>
      <c r="L73" s="2"/>
      <c r="M73" s="2"/>
      <c r="N73" s="2"/>
      <c r="O73" s="2"/>
      <c r="P73" s="2"/>
      <c r="Q73" s="2"/>
      <c r="R73" s="2"/>
    </row>
    <row r="74" spans="9:18" x14ac:dyDescent="0.25">
      <c r="I74" s="2"/>
      <c r="J74" s="2"/>
      <c r="K74" s="1"/>
      <c r="L74" s="2"/>
      <c r="M74" s="2"/>
      <c r="N74" s="2"/>
      <c r="O74" s="2"/>
      <c r="P74" s="2"/>
      <c r="Q74" s="2"/>
      <c r="R74" s="2"/>
    </row>
    <row r="75" spans="9:18" x14ac:dyDescent="0.25">
      <c r="I75" s="2"/>
      <c r="J75" s="2"/>
      <c r="K75" s="2"/>
      <c r="L75" s="3"/>
      <c r="M75" s="3"/>
      <c r="N75" s="2"/>
      <c r="O75" s="2"/>
      <c r="P75" s="2"/>
      <c r="Q75" s="2"/>
      <c r="R75" s="2"/>
    </row>
    <row r="76" spans="9:18" x14ac:dyDescent="0.25">
      <c r="I76" s="2"/>
      <c r="J76" s="2"/>
      <c r="K76" s="2"/>
      <c r="L76" s="2"/>
      <c r="M76" s="2"/>
      <c r="N76" s="2"/>
      <c r="O76" s="2"/>
      <c r="P76" s="2"/>
      <c r="Q76" s="2"/>
      <c r="R76" s="2"/>
    </row>
    <row r="77" spans="9:18" x14ac:dyDescent="0.25">
      <c r="I77" s="2"/>
      <c r="J77" s="2"/>
      <c r="K77" s="2"/>
      <c r="L77" s="2"/>
      <c r="M77" s="2"/>
      <c r="N77" s="2"/>
      <c r="O77" s="2"/>
      <c r="P77" s="2"/>
      <c r="Q77" s="2"/>
      <c r="R77" s="2"/>
    </row>
    <row r="78" spans="9:18" x14ac:dyDescent="0.25">
      <c r="I78" s="2"/>
      <c r="J78" s="2"/>
      <c r="K78" s="2"/>
      <c r="L78" s="2"/>
      <c r="M78" s="2"/>
      <c r="N78" s="2"/>
      <c r="O78" s="2"/>
      <c r="P78" s="2"/>
      <c r="Q78" s="2"/>
      <c r="R78" s="2"/>
    </row>
  </sheetData>
  <autoFilter ref="A2:P41" xr:uid="{00000000-0009-0000-0000-000008000000}">
    <filterColumn colId="9">
      <filters>
        <filter val="AT 13-03"/>
      </filters>
    </filterColumn>
    <sortState xmlns:xlrd2="http://schemas.microsoft.com/office/spreadsheetml/2017/richdata2" ref="A3:P41">
      <sortCondition ref="F2:F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75"/>
  <sheetViews>
    <sheetView topLeftCell="A12" workbookViewId="0">
      <selection activeCell="L45" sqref="L45"/>
    </sheetView>
  </sheetViews>
  <sheetFormatPr defaultRowHeight="15" x14ac:dyDescent="0.25"/>
  <cols>
    <col min="1" max="1" width="12.28515625" customWidth="1"/>
    <col min="2" max="2" width="19.140625" customWidth="1"/>
    <col min="3" max="3" width="33.42578125" customWidth="1"/>
    <col min="4" max="4" width="10.140625" customWidth="1"/>
    <col min="5" max="5" width="56.425781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2.8554687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593</v>
      </c>
    </row>
    <row r="3" spans="1:17" x14ac:dyDescent="0.25">
      <c r="B3" t="s">
        <v>16</v>
      </c>
      <c r="C3" t="s">
        <v>782</v>
      </c>
      <c r="D3" t="s">
        <v>783</v>
      </c>
      <c r="E3" t="s">
        <v>784</v>
      </c>
      <c r="F3" t="s">
        <v>91</v>
      </c>
      <c r="G3" s="10">
        <v>0</v>
      </c>
      <c r="H3" s="10">
        <v>20</v>
      </c>
      <c r="I3" s="10">
        <f>-H3</f>
        <v>-20</v>
      </c>
      <c r="J3" t="s">
        <v>25</v>
      </c>
      <c r="K3" t="s">
        <v>20</v>
      </c>
      <c r="L3" t="s">
        <v>785</v>
      </c>
      <c r="Q3" s="10">
        <v>1</v>
      </c>
    </row>
    <row r="4" spans="1:17" x14ac:dyDescent="0.25">
      <c r="B4" t="s">
        <v>16</v>
      </c>
      <c r="C4" t="s">
        <v>145</v>
      </c>
      <c r="D4" t="s">
        <v>885</v>
      </c>
      <c r="E4" t="s">
        <v>886</v>
      </c>
      <c r="F4" t="s">
        <v>893</v>
      </c>
      <c r="G4" s="10">
        <v>780</v>
      </c>
      <c r="H4" s="10">
        <v>30</v>
      </c>
      <c r="I4" s="10">
        <f>G4-H4</f>
        <v>750</v>
      </c>
      <c r="J4" t="s">
        <v>789</v>
      </c>
      <c r="K4" t="s">
        <v>20</v>
      </c>
      <c r="L4" t="s">
        <v>785</v>
      </c>
      <c r="Q4" s="10">
        <v>1</v>
      </c>
    </row>
    <row r="5" spans="1:17" x14ac:dyDescent="0.25">
      <c r="B5" t="s">
        <v>16</v>
      </c>
      <c r="C5" t="s">
        <v>790</v>
      </c>
      <c r="D5" t="s">
        <v>791</v>
      </c>
      <c r="E5" t="s">
        <v>549</v>
      </c>
      <c r="F5" t="s">
        <v>33</v>
      </c>
      <c r="G5" s="10">
        <v>0</v>
      </c>
      <c r="H5" s="10">
        <v>30</v>
      </c>
      <c r="I5" s="10">
        <f>-H5</f>
        <v>-30</v>
      </c>
      <c r="J5" t="s">
        <v>20</v>
      </c>
      <c r="K5" t="s">
        <v>20</v>
      </c>
      <c r="L5" t="s">
        <v>785</v>
      </c>
      <c r="Q5" s="10">
        <v>1</v>
      </c>
    </row>
    <row r="6" spans="1:17" x14ac:dyDescent="0.25">
      <c r="B6" t="s">
        <v>16</v>
      </c>
      <c r="C6" t="s">
        <v>792</v>
      </c>
      <c r="D6" t="s">
        <v>793</v>
      </c>
      <c r="E6" t="s">
        <v>794</v>
      </c>
      <c r="F6" s="10">
        <v>10</v>
      </c>
      <c r="G6" s="10">
        <v>785</v>
      </c>
      <c r="H6" s="10">
        <v>25</v>
      </c>
      <c r="I6" s="10">
        <f t="shared" ref="I6:I41" si="0">G6-H6</f>
        <v>760</v>
      </c>
      <c r="J6" t="s">
        <v>25</v>
      </c>
      <c r="K6" t="s">
        <v>20</v>
      </c>
      <c r="L6" t="s">
        <v>785</v>
      </c>
      <c r="Q6" s="10">
        <v>1</v>
      </c>
    </row>
    <row r="7" spans="1:17" x14ac:dyDescent="0.25">
      <c r="B7" t="s">
        <v>16</v>
      </c>
      <c r="C7" t="s">
        <v>850</v>
      </c>
      <c r="D7" t="s">
        <v>851</v>
      </c>
      <c r="E7" t="s">
        <v>852</v>
      </c>
      <c r="F7" s="10">
        <v>9</v>
      </c>
      <c r="G7" s="10">
        <v>750</v>
      </c>
      <c r="H7" s="10">
        <v>30</v>
      </c>
      <c r="I7" s="10">
        <f t="shared" si="0"/>
        <v>720</v>
      </c>
      <c r="J7" t="s">
        <v>789</v>
      </c>
      <c r="K7" t="s">
        <v>20</v>
      </c>
      <c r="L7" t="s">
        <v>785</v>
      </c>
      <c r="Q7" s="10">
        <v>1</v>
      </c>
    </row>
    <row r="8" spans="1:17" x14ac:dyDescent="0.25">
      <c r="B8" t="s">
        <v>16</v>
      </c>
      <c r="C8" t="s">
        <v>797</v>
      </c>
      <c r="D8" t="s">
        <v>798</v>
      </c>
      <c r="E8" t="s">
        <v>799</v>
      </c>
      <c r="F8" s="10">
        <v>7</v>
      </c>
      <c r="G8" s="10">
        <v>790</v>
      </c>
      <c r="H8" s="10">
        <v>30</v>
      </c>
      <c r="I8" s="10">
        <f t="shared" si="0"/>
        <v>760</v>
      </c>
      <c r="J8" t="s">
        <v>789</v>
      </c>
      <c r="K8" t="s">
        <v>20</v>
      </c>
      <c r="L8" t="s">
        <v>785</v>
      </c>
      <c r="Q8" s="10">
        <v>1</v>
      </c>
    </row>
    <row r="9" spans="1:17" x14ac:dyDescent="0.25">
      <c r="B9" t="s">
        <v>16</v>
      </c>
      <c r="C9" t="s">
        <v>800</v>
      </c>
      <c r="D9" t="s">
        <v>801</v>
      </c>
      <c r="E9" t="s">
        <v>802</v>
      </c>
      <c r="F9" s="10">
        <v>2</v>
      </c>
      <c r="G9" s="10">
        <v>790</v>
      </c>
      <c r="H9" s="10">
        <v>30</v>
      </c>
      <c r="I9" s="10">
        <f t="shared" si="0"/>
        <v>760</v>
      </c>
      <c r="J9" t="s">
        <v>20</v>
      </c>
      <c r="K9" t="s">
        <v>20</v>
      </c>
      <c r="L9" t="s">
        <v>785</v>
      </c>
      <c r="Q9" s="10">
        <v>1</v>
      </c>
    </row>
    <row r="10" spans="1:17" x14ac:dyDescent="0.25">
      <c r="B10" t="s">
        <v>16</v>
      </c>
      <c r="C10" t="s">
        <v>803</v>
      </c>
      <c r="D10" t="s">
        <v>804</v>
      </c>
      <c r="E10" t="s">
        <v>805</v>
      </c>
      <c r="F10" s="10">
        <v>7</v>
      </c>
      <c r="G10" s="10">
        <v>390</v>
      </c>
      <c r="H10" s="10">
        <v>30</v>
      </c>
      <c r="I10" s="10">
        <f t="shared" si="0"/>
        <v>360</v>
      </c>
      <c r="J10" t="s">
        <v>789</v>
      </c>
      <c r="K10" t="s">
        <v>20</v>
      </c>
      <c r="L10" t="s">
        <v>785</v>
      </c>
      <c r="Q10" s="10">
        <v>1</v>
      </c>
    </row>
    <row r="11" spans="1:17" x14ac:dyDescent="0.25">
      <c r="B11" t="s">
        <v>16</v>
      </c>
      <c r="C11" t="s">
        <v>806</v>
      </c>
      <c r="D11" t="s">
        <v>807</v>
      </c>
      <c r="E11" t="s">
        <v>808</v>
      </c>
      <c r="F11" t="s">
        <v>95</v>
      </c>
      <c r="G11" s="10">
        <v>815</v>
      </c>
      <c r="H11" s="10">
        <v>25</v>
      </c>
      <c r="I11" s="10">
        <f t="shared" si="0"/>
        <v>790</v>
      </c>
      <c r="J11" t="s">
        <v>25</v>
      </c>
      <c r="K11" t="s">
        <v>20</v>
      </c>
      <c r="L11" t="s">
        <v>785</v>
      </c>
      <c r="Q11" s="10">
        <v>1</v>
      </c>
    </row>
    <row r="12" spans="1:17" x14ac:dyDescent="0.25">
      <c r="B12" t="s">
        <v>16</v>
      </c>
      <c r="C12" t="s">
        <v>809</v>
      </c>
      <c r="D12" t="s">
        <v>810</v>
      </c>
      <c r="E12" t="s">
        <v>811</v>
      </c>
      <c r="F12" t="s">
        <v>95</v>
      </c>
      <c r="G12" s="10">
        <v>1535</v>
      </c>
      <c r="H12" s="10">
        <v>25</v>
      </c>
      <c r="I12" s="10">
        <f t="shared" si="0"/>
        <v>1510</v>
      </c>
      <c r="J12" t="s">
        <v>20</v>
      </c>
      <c r="K12" t="s">
        <v>20</v>
      </c>
      <c r="L12" t="s">
        <v>785</v>
      </c>
      <c r="Q12" s="10">
        <v>1</v>
      </c>
    </row>
    <row r="13" spans="1:17" x14ac:dyDescent="0.25">
      <c r="B13" t="s">
        <v>16</v>
      </c>
      <c r="C13" t="s">
        <v>812</v>
      </c>
      <c r="D13" t="s">
        <v>813</v>
      </c>
      <c r="E13" t="s">
        <v>814</v>
      </c>
      <c r="F13" s="10">
        <v>4</v>
      </c>
      <c r="G13" s="10">
        <v>775</v>
      </c>
      <c r="H13" s="10">
        <v>25</v>
      </c>
      <c r="I13" s="10">
        <f t="shared" si="0"/>
        <v>750</v>
      </c>
      <c r="J13" t="s">
        <v>25</v>
      </c>
      <c r="K13" t="s">
        <v>20</v>
      </c>
      <c r="L13" t="s">
        <v>785</v>
      </c>
      <c r="Q13" s="10">
        <v>1</v>
      </c>
    </row>
    <row r="14" spans="1:17" x14ac:dyDescent="0.25">
      <c r="B14" t="s">
        <v>16</v>
      </c>
      <c r="C14" t="s">
        <v>815</v>
      </c>
      <c r="D14" t="s">
        <v>816</v>
      </c>
      <c r="E14" t="s">
        <v>817</v>
      </c>
      <c r="F14" s="10">
        <v>9</v>
      </c>
      <c r="G14" s="10">
        <v>750</v>
      </c>
      <c r="H14" s="10">
        <v>30</v>
      </c>
      <c r="I14" s="10">
        <f t="shared" si="0"/>
        <v>720</v>
      </c>
      <c r="J14" t="s">
        <v>239</v>
      </c>
      <c r="K14" t="s">
        <v>20</v>
      </c>
      <c r="L14" t="s">
        <v>785</v>
      </c>
      <c r="Q14" s="10">
        <v>1</v>
      </c>
    </row>
    <row r="15" spans="1:17" x14ac:dyDescent="0.25">
      <c r="B15" t="s">
        <v>16</v>
      </c>
      <c r="C15" t="s">
        <v>838</v>
      </c>
      <c r="D15" t="s">
        <v>839</v>
      </c>
      <c r="E15" t="s">
        <v>840</v>
      </c>
      <c r="F15" s="10">
        <v>8</v>
      </c>
      <c r="G15" s="10">
        <v>400</v>
      </c>
      <c r="H15" s="10">
        <v>30</v>
      </c>
      <c r="I15" s="10">
        <f t="shared" si="0"/>
        <v>370</v>
      </c>
      <c r="J15" t="s">
        <v>789</v>
      </c>
      <c r="K15" t="s">
        <v>20</v>
      </c>
      <c r="L15" t="s">
        <v>785</v>
      </c>
      <c r="Q15" s="10">
        <v>1</v>
      </c>
    </row>
    <row r="16" spans="1:17" x14ac:dyDescent="0.25">
      <c r="B16" t="s">
        <v>16</v>
      </c>
      <c r="C16" t="s">
        <v>163</v>
      </c>
      <c r="D16" t="s">
        <v>841</v>
      </c>
      <c r="E16" t="s">
        <v>842</v>
      </c>
      <c r="F16" s="10">
        <v>8</v>
      </c>
      <c r="G16" s="10">
        <v>985</v>
      </c>
      <c r="H16" s="10">
        <v>25</v>
      </c>
      <c r="I16" s="10">
        <f t="shared" si="0"/>
        <v>960</v>
      </c>
      <c r="J16" t="s">
        <v>789</v>
      </c>
      <c r="K16" t="s">
        <v>20</v>
      </c>
      <c r="L16" t="s">
        <v>785</v>
      </c>
      <c r="Q16" s="10">
        <v>1</v>
      </c>
    </row>
    <row r="17" spans="2:17" x14ac:dyDescent="0.25">
      <c r="B17" t="s">
        <v>16</v>
      </c>
      <c r="C17" t="s">
        <v>824</v>
      </c>
      <c r="D17" t="s">
        <v>825</v>
      </c>
      <c r="E17" t="s">
        <v>826</v>
      </c>
      <c r="F17" s="10">
        <v>4</v>
      </c>
      <c r="G17" s="10">
        <v>605</v>
      </c>
      <c r="H17" s="10">
        <v>25</v>
      </c>
      <c r="I17" s="10">
        <f t="shared" si="0"/>
        <v>580</v>
      </c>
      <c r="J17" t="s">
        <v>25</v>
      </c>
      <c r="K17" t="s">
        <v>20</v>
      </c>
      <c r="L17" t="s">
        <v>785</v>
      </c>
      <c r="Q17" s="10">
        <v>1</v>
      </c>
    </row>
    <row r="18" spans="2:17" x14ac:dyDescent="0.25">
      <c r="B18" t="s">
        <v>16</v>
      </c>
      <c r="C18" t="s">
        <v>843</v>
      </c>
      <c r="D18" t="s">
        <v>844</v>
      </c>
      <c r="E18" t="s">
        <v>845</v>
      </c>
      <c r="F18" s="10">
        <v>8</v>
      </c>
      <c r="G18" s="10">
        <v>2770</v>
      </c>
      <c r="H18" s="10">
        <v>35</v>
      </c>
      <c r="I18" s="10">
        <f t="shared" si="0"/>
        <v>2735</v>
      </c>
      <c r="J18" t="s">
        <v>789</v>
      </c>
      <c r="K18" t="s">
        <v>20</v>
      </c>
      <c r="L18" t="s">
        <v>785</v>
      </c>
      <c r="M18" t="s">
        <v>846</v>
      </c>
      <c r="Q18" s="10">
        <v>1</v>
      </c>
    </row>
    <row r="19" spans="2:17" x14ac:dyDescent="0.25">
      <c r="B19" t="s">
        <v>16</v>
      </c>
      <c r="C19" t="s">
        <v>830</v>
      </c>
      <c r="D19" t="s">
        <v>831</v>
      </c>
      <c r="E19" t="s">
        <v>832</v>
      </c>
      <c r="F19" s="10">
        <v>1</v>
      </c>
      <c r="G19" s="10">
        <v>785</v>
      </c>
      <c r="H19" s="10">
        <v>25</v>
      </c>
      <c r="I19" s="10">
        <f t="shared" si="0"/>
        <v>760</v>
      </c>
      <c r="J19" t="s">
        <v>25</v>
      </c>
      <c r="K19" t="s">
        <v>20</v>
      </c>
      <c r="L19" t="s">
        <v>785</v>
      </c>
      <c r="Q19" s="10">
        <v>1</v>
      </c>
    </row>
    <row r="20" spans="2:17" x14ac:dyDescent="0.25">
      <c r="B20" t="s">
        <v>16</v>
      </c>
      <c r="C20" t="s">
        <v>833</v>
      </c>
      <c r="D20" t="s">
        <v>834</v>
      </c>
      <c r="E20" t="s">
        <v>835</v>
      </c>
      <c r="F20" s="10">
        <v>1</v>
      </c>
      <c r="G20" s="10">
        <v>785</v>
      </c>
      <c r="H20" s="10">
        <v>25</v>
      </c>
      <c r="I20" s="10">
        <f t="shared" si="0"/>
        <v>760</v>
      </c>
      <c r="J20" t="s">
        <v>25</v>
      </c>
      <c r="K20" t="s">
        <v>20</v>
      </c>
      <c r="L20" t="s">
        <v>785</v>
      </c>
      <c r="Q20" s="10">
        <v>1</v>
      </c>
    </row>
    <row r="21" spans="2:17" x14ac:dyDescent="0.25">
      <c r="B21" t="s">
        <v>16</v>
      </c>
      <c r="C21" t="s">
        <v>836</v>
      </c>
      <c r="D21" t="s">
        <v>837</v>
      </c>
      <c r="E21" t="s">
        <v>338</v>
      </c>
      <c r="F21" t="s">
        <v>33</v>
      </c>
      <c r="G21" s="10">
        <v>750</v>
      </c>
      <c r="H21" s="10">
        <v>30</v>
      </c>
      <c r="I21" s="10">
        <f t="shared" si="0"/>
        <v>720</v>
      </c>
      <c r="J21" t="s">
        <v>20</v>
      </c>
      <c r="K21" t="s">
        <v>20</v>
      </c>
      <c r="L21" t="s">
        <v>785</v>
      </c>
      <c r="Q21" s="10">
        <v>1</v>
      </c>
    </row>
    <row r="22" spans="2:17" x14ac:dyDescent="0.25">
      <c r="B22" t="s">
        <v>16</v>
      </c>
      <c r="C22" t="s">
        <v>862</v>
      </c>
      <c r="D22" t="s">
        <v>863</v>
      </c>
      <c r="E22" t="s">
        <v>864</v>
      </c>
      <c r="F22" t="s">
        <v>47</v>
      </c>
      <c r="G22" s="10">
        <v>1070</v>
      </c>
      <c r="H22" s="10">
        <v>30</v>
      </c>
      <c r="I22" s="10">
        <f t="shared" si="0"/>
        <v>1040</v>
      </c>
      <c r="J22" t="s">
        <v>789</v>
      </c>
      <c r="K22" t="s">
        <v>20</v>
      </c>
      <c r="L22" t="s">
        <v>785</v>
      </c>
      <c r="Q22" s="10">
        <v>1</v>
      </c>
    </row>
    <row r="23" spans="2:17" x14ac:dyDescent="0.25">
      <c r="B23" t="s">
        <v>16</v>
      </c>
      <c r="C23" t="s">
        <v>818</v>
      </c>
      <c r="D23" t="s">
        <v>819</v>
      </c>
      <c r="E23" t="s">
        <v>820</v>
      </c>
      <c r="F23" s="10">
        <v>7</v>
      </c>
      <c r="G23" s="10">
        <v>870</v>
      </c>
      <c r="H23" s="10">
        <v>30</v>
      </c>
      <c r="I23" s="10">
        <f t="shared" si="0"/>
        <v>840</v>
      </c>
      <c r="J23" t="s">
        <v>789</v>
      </c>
      <c r="K23" t="s">
        <v>20</v>
      </c>
      <c r="L23" t="s">
        <v>785</v>
      </c>
      <c r="Q23" s="10">
        <v>1</v>
      </c>
    </row>
    <row r="24" spans="2:17" x14ac:dyDescent="0.25">
      <c r="B24" t="s">
        <v>16</v>
      </c>
      <c r="C24" t="s">
        <v>786</v>
      </c>
      <c r="D24" t="s">
        <v>787</v>
      </c>
      <c r="E24" t="s">
        <v>788</v>
      </c>
      <c r="F24" s="10">
        <v>6</v>
      </c>
      <c r="G24" s="10">
        <v>785</v>
      </c>
      <c r="H24" s="10">
        <v>25</v>
      </c>
      <c r="I24" s="10">
        <f t="shared" si="0"/>
        <v>760</v>
      </c>
      <c r="J24" t="s">
        <v>789</v>
      </c>
      <c r="K24" t="s">
        <v>20</v>
      </c>
      <c r="L24" t="s">
        <v>785</v>
      </c>
      <c r="Q24" s="10">
        <v>1</v>
      </c>
    </row>
    <row r="25" spans="2:17" x14ac:dyDescent="0.25">
      <c r="B25" t="s">
        <v>16</v>
      </c>
      <c r="C25" t="s">
        <v>847</v>
      </c>
      <c r="D25" t="s">
        <v>848</v>
      </c>
      <c r="E25" t="s">
        <v>849</v>
      </c>
      <c r="F25" s="10">
        <v>4</v>
      </c>
      <c r="G25" s="10">
        <v>605</v>
      </c>
      <c r="H25" s="10">
        <v>25</v>
      </c>
      <c r="I25" s="10">
        <f t="shared" si="0"/>
        <v>580</v>
      </c>
      <c r="J25" t="s">
        <v>25</v>
      </c>
      <c r="K25" t="s">
        <v>20</v>
      </c>
      <c r="L25" t="s">
        <v>785</v>
      </c>
      <c r="Q25" s="10">
        <v>1</v>
      </c>
    </row>
    <row r="26" spans="2:17" x14ac:dyDescent="0.25">
      <c r="B26" t="s">
        <v>16</v>
      </c>
      <c r="C26" t="s">
        <v>874</v>
      </c>
      <c r="D26" t="s">
        <v>875</v>
      </c>
      <c r="E26" t="s">
        <v>876</v>
      </c>
      <c r="F26" t="s">
        <v>61</v>
      </c>
      <c r="G26" s="10">
        <v>1015</v>
      </c>
      <c r="H26" s="10">
        <v>25</v>
      </c>
      <c r="I26" s="10">
        <f t="shared" si="0"/>
        <v>990</v>
      </c>
      <c r="J26" t="s">
        <v>789</v>
      </c>
      <c r="K26" t="s">
        <v>20</v>
      </c>
      <c r="L26" t="s">
        <v>785</v>
      </c>
      <c r="Q26" s="10">
        <v>1</v>
      </c>
    </row>
    <row r="27" spans="2:17" x14ac:dyDescent="0.25">
      <c r="B27" t="s">
        <v>16</v>
      </c>
      <c r="C27" t="s">
        <v>853</v>
      </c>
      <c r="D27" t="s">
        <v>854</v>
      </c>
      <c r="E27" t="s">
        <v>855</v>
      </c>
      <c r="F27" t="s">
        <v>116</v>
      </c>
      <c r="G27" s="10">
        <v>1505</v>
      </c>
      <c r="H27" s="10">
        <v>25</v>
      </c>
      <c r="I27" s="10">
        <f t="shared" si="0"/>
        <v>1480</v>
      </c>
      <c r="J27" t="s">
        <v>20</v>
      </c>
      <c r="K27" t="s">
        <v>20</v>
      </c>
      <c r="L27" t="s">
        <v>785</v>
      </c>
      <c r="Q27" s="10">
        <v>1</v>
      </c>
    </row>
    <row r="28" spans="2:17" x14ac:dyDescent="0.25">
      <c r="B28" t="s">
        <v>16</v>
      </c>
      <c r="C28" t="s">
        <v>856</v>
      </c>
      <c r="D28" t="s">
        <v>857</v>
      </c>
      <c r="E28" t="s">
        <v>858</v>
      </c>
      <c r="F28" s="10">
        <v>4</v>
      </c>
      <c r="G28" s="10">
        <v>655</v>
      </c>
      <c r="H28" s="10">
        <v>25</v>
      </c>
      <c r="I28" s="10">
        <f t="shared" si="0"/>
        <v>630</v>
      </c>
      <c r="J28" t="s">
        <v>25</v>
      </c>
      <c r="K28" t="s">
        <v>20</v>
      </c>
      <c r="L28" t="s">
        <v>785</v>
      </c>
      <c r="Q28" s="10">
        <v>1</v>
      </c>
    </row>
    <row r="29" spans="2:17" x14ac:dyDescent="0.25">
      <c r="B29" t="s">
        <v>16</v>
      </c>
      <c r="C29" t="s">
        <v>859</v>
      </c>
      <c r="D29" t="s">
        <v>860</v>
      </c>
      <c r="E29" t="s">
        <v>861</v>
      </c>
      <c r="F29" t="s">
        <v>33</v>
      </c>
      <c r="G29" s="10">
        <v>800</v>
      </c>
      <c r="H29" s="10">
        <v>30</v>
      </c>
      <c r="I29" s="10">
        <f t="shared" si="0"/>
        <v>770</v>
      </c>
      <c r="J29" t="s">
        <v>20</v>
      </c>
      <c r="K29" t="s">
        <v>20</v>
      </c>
      <c r="L29" t="s">
        <v>785</v>
      </c>
      <c r="Q29" s="10">
        <v>1</v>
      </c>
    </row>
    <row r="30" spans="2:17" x14ac:dyDescent="0.25">
      <c r="B30" t="s">
        <v>16</v>
      </c>
      <c r="C30" t="s">
        <v>821</v>
      </c>
      <c r="D30" t="s">
        <v>822</v>
      </c>
      <c r="E30" t="s">
        <v>823</v>
      </c>
      <c r="F30" s="10">
        <v>7</v>
      </c>
      <c r="G30" s="10">
        <v>750</v>
      </c>
      <c r="H30" s="10">
        <v>30</v>
      </c>
      <c r="I30" s="10">
        <f t="shared" si="0"/>
        <v>720</v>
      </c>
      <c r="J30" t="s">
        <v>789</v>
      </c>
      <c r="K30" t="s">
        <v>20</v>
      </c>
      <c r="L30" t="s">
        <v>785</v>
      </c>
      <c r="Q30" s="10">
        <v>1</v>
      </c>
    </row>
    <row r="31" spans="2:17" x14ac:dyDescent="0.25">
      <c r="B31" t="s">
        <v>16</v>
      </c>
      <c r="C31" t="s">
        <v>865</v>
      </c>
      <c r="D31" t="s">
        <v>866</v>
      </c>
      <c r="E31" t="s">
        <v>867</v>
      </c>
      <c r="F31" t="s">
        <v>116</v>
      </c>
      <c r="G31" s="10">
        <v>85</v>
      </c>
      <c r="H31" s="10">
        <v>25</v>
      </c>
      <c r="I31" s="10">
        <f t="shared" si="0"/>
        <v>60</v>
      </c>
      <c r="J31" t="s">
        <v>20</v>
      </c>
      <c r="K31" t="s">
        <v>20</v>
      </c>
      <c r="L31" t="s">
        <v>785</v>
      </c>
      <c r="M31" t="s">
        <v>312</v>
      </c>
      <c r="Q31" s="10">
        <v>1</v>
      </c>
    </row>
    <row r="32" spans="2:17" x14ac:dyDescent="0.25">
      <c r="B32" t="s">
        <v>16</v>
      </c>
      <c r="C32" t="s">
        <v>827</v>
      </c>
      <c r="D32" t="s">
        <v>828</v>
      </c>
      <c r="E32" t="s">
        <v>829</v>
      </c>
      <c r="F32" s="10">
        <v>7</v>
      </c>
      <c r="G32" s="10">
        <v>710</v>
      </c>
      <c r="H32" s="10">
        <v>30</v>
      </c>
      <c r="I32" s="10">
        <f t="shared" si="0"/>
        <v>680</v>
      </c>
      <c r="J32" t="s">
        <v>789</v>
      </c>
      <c r="K32" t="s">
        <v>20</v>
      </c>
      <c r="L32" t="s">
        <v>785</v>
      </c>
      <c r="Q32" s="10">
        <v>1</v>
      </c>
    </row>
    <row r="33" spans="1:17" x14ac:dyDescent="0.25">
      <c r="B33" t="s">
        <v>16</v>
      </c>
      <c r="C33" t="s">
        <v>868</v>
      </c>
      <c r="D33" t="s">
        <v>869</v>
      </c>
      <c r="E33" t="s">
        <v>870</v>
      </c>
      <c r="F33" t="s">
        <v>894</v>
      </c>
      <c r="G33" s="10">
        <v>790</v>
      </c>
      <c r="H33" s="10">
        <v>30</v>
      </c>
      <c r="I33" s="10">
        <f t="shared" si="0"/>
        <v>760</v>
      </c>
      <c r="J33" t="s">
        <v>789</v>
      </c>
      <c r="K33" t="s">
        <v>20</v>
      </c>
      <c r="L33" t="s">
        <v>785</v>
      </c>
      <c r="Q33" s="10">
        <v>1</v>
      </c>
    </row>
    <row r="34" spans="1:17" x14ac:dyDescent="0.25">
      <c r="B34" t="s">
        <v>16</v>
      </c>
      <c r="C34" t="s">
        <v>871</v>
      </c>
      <c r="D34" t="s">
        <v>872</v>
      </c>
      <c r="E34" t="s">
        <v>873</v>
      </c>
      <c r="F34" t="s">
        <v>95</v>
      </c>
      <c r="G34" s="10">
        <v>605</v>
      </c>
      <c r="H34" s="10">
        <v>25</v>
      </c>
      <c r="I34" s="10">
        <f t="shared" si="0"/>
        <v>580</v>
      </c>
      <c r="J34" t="s">
        <v>789</v>
      </c>
      <c r="K34" t="s">
        <v>20</v>
      </c>
      <c r="L34" t="s">
        <v>785</v>
      </c>
      <c r="Q34" s="10">
        <v>1</v>
      </c>
    </row>
    <row r="35" spans="1:17" x14ac:dyDescent="0.25">
      <c r="B35" t="s">
        <v>16</v>
      </c>
      <c r="C35" t="s">
        <v>877</v>
      </c>
      <c r="D35" t="s">
        <v>878</v>
      </c>
      <c r="E35" t="s">
        <v>879</v>
      </c>
      <c r="F35" t="s">
        <v>95</v>
      </c>
      <c r="G35" s="10">
        <v>745</v>
      </c>
      <c r="H35" s="10">
        <v>25</v>
      </c>
      <c r="I35" s="10">
        <f t="shared" si="0"/>
        <v>720</v>
      </c>
      <c r="J35" t="s">
        <v>25</v>
      </c>
      <c r="K35" t="s">
        <v>20</v>
      </c>
      <c r="L35" t="s">
        <v>785</v>
      </c>
      <c r="Q35" s="10">
        <v>1</v>
      </c>
    </row>
    <row r="36" spans="1:17" x14ac:dyDescent="0.25">
      <c r="B36" t="s">
        <v>16</v>
      </c>
      <c r="C36" t="s">
        <v>880</v>
      </c>
      <c r="D36" t="s">
        <v>881</v>
      </c>
      <c r="E36" t="s">
        <v>882</v>
      </c>
      <c r="F36" t="s">
        <v>51</v>
      </c>
      <c r="G36" s="10">
        <v>390</v>
      </c>
      <c r="H36" s="10">
        <v>20</v>
      </c>
      <c r="I36" s="10">
        <f t="shared" si="0"/>
        <v>370</v>
      </c>
      <c r="J36" t="s">
        <v>20</v>
      </c>
      <c r="K36" t="s">
        <v>20</v>
      </c>
      <c r="L36" t="s">
        <v>785</v>
      </c>
      <c r="Q36" s="10">
        <v>1</v>
      </c>
    </row>
    <row r="37" spans="1:17" x14ac:dyDescent="0.25">
      <c r="A37" t="s">
        <v>253</v>
      </c>
      <c r="B37" t="s">
        <v>16</v>
      </c>
      <c r="C37" t="s">
        <v>883</v>
      </c>
      <c r="E37" t="s">
        <v>884</v>
      </c>
      <c r="F37" s="10">
        <v>9</v>
      </c>
      <c r="G37" s="10">
        <v>35</v>
      </c>
      <c r="H37" s="10">
        <v>35</v>
      </c>
      <c r="I37" s="10">
        <f t="shared" si="0"/>
        <v>0</v>
      </c>
      <c r="J37" t="s">
        <v>239</v>
      </c>
      <c r="K37" t="s">
        <v>20</v>
      </c>
      <c r="L37" t="s">
        <v>785</v>
      </c>
      <c r="Q37" s="10">
        <v>1</v>
      </c>
    </row>
    <row r="38" spans="1:17" x14ac:dyDescent="0.25">
      <c r="A38" t="s">
        <v>253</v>
      </c>
      <c r="B38" t="s">
        <v>16</v>
      </c>
      <c r="C38" t="s">
        <v>795</v>
      </c>
      <c r="E38" t="s">
        <v>796</v>
      </c>
      <c r="F38" s="10">
        <v>6</v>
      </c>
      <c r="G38" s="10">
        <v>30</v>
      </c>
      <c r="H38" s="10">
        <v>30</v>
      </c>
      <c r="I38" s="10">
        <f t="shared" si="0"/>
        <v>0</v>
      </c>
      <c r="J38" t="s">
        <v>789</v>
      </c>
      <c r="K38" t="s">
        <v>20</v>
      </c>
      <c r="L38" t="s">
        <v>785</v>
      </c>
      <c r="Q38" s="10">
        <v>1</v>
      </c>
    </row>
    <row r="39" spans="1:17" x14ac:dyDescent="0.25">
      <c r="A39" t="s">
        <v>253</v>
      </c>
      <c r="B39" t="s">
        <v>16</v>
      </c>
      <c r="C39" t="s">
        <v>887</v>
      </c>
      <c r="E39" t="s">
        <v>888</v>
      </c>
      <c r="F39" t="s">
        <v>95</v>
      </c>
      <c r="G39" s="10">
        <v>25</v>
      </c>
      <c r="H39" s="10">
        <v>25</v>
      </c>
      <c r="I39" s="10">
        <f t="shared" si="0"/>
        <v>0</v>
      </c>
      <c r="J39" t="s">
        <v>25</v>
      </c>
      <c r="K39" t="s">
        <v>20</v>
      </c>
      <c r="L39" t="s">
        <v>785</v>
      </c>
      <c r="Q39" s="10">
        <v>1</v>
      </c>
    </row>
    <row r="40" spans="1:17" x14ac:dyDescent="0.25">
      <c r="A40" t="s">
        <v>253</v>
      </c>
      <c r="B40" t="s">
        <v>16</v>
      </c>
      <c r="C40" t="s">
        <v>889</v>
      </c>
      <c r="E40" t="s">
        <v>888</v>
      </c>
      <c r="F40" t="s">
        <v>95</v>
      </c>
      <c r="G40" s="10">
        <v>30</v>
      </c>
      <c r="H40" s="10">
        <v>30</v>
      </c>
      <c r="I40" s="10">
        <f t="shared" si="0"/>
        <v>0</v>
      </c>
      <c r="J40" t="s">
        <v>20</v>
      </c>
      <c r="K40" t="s">
        <v>20</v>
      </c>
      <c r="L40" t="s">
        <v>785</v>
      </c>
      <c r="Q40" s="10">
        <v>1</v>
      </c>
    </row>
    <row r="41" spans="1:17" x14ac:dyDescent="0.25">
      <c r="B41" t="s">
        <v>16</v>
      </c>
      <c r="C41" t="s">
        <v>890</v>
      </c>
      <c r="D41" t="s">
        <v>891</v>
      </c>
      <c r="E41" t="s">
        <v>892</v>
      </c>
      <c r="F41" t="s">
        <v>95</v>
      </c>
      <c r="G41" s="10">
        <v>1505</v>
      </c>
      <c r="H41" s="10">
        <v>25</v>
      </c>
      <c r="I41" s="10">
        <f t="shared" si="0"/>
        <v>1480</v>
      </c>
      <c r="J41" t="s">
        <v>20</v>
      </c>
      <c r="K41" t="s">
        <v>20</v>
      </c>
      <c r="L41" t="s">
        <v>785</v>
      </c>
      <c r="Q41" s="10">
        <v>1</v>
      </c>
    </row>
    <row r="43" spans="1:17" x14ac:dyDescent="0.25">
      <c r="D43" s="4">
        <f>COUNTA(D3:D41)</f>
        <v>35</v>
      </c>
      <c r="G43" s="4">
        <f t="shared" ref="G43:Q43" si="1">SUBTOTAL(9,G3:G41)</f>
        <v>28245</v>
      </c>
      <c r="H43" s="4">
        <f t="shared" si="1"/>
        <v>1070</v>
      </c>
      <c r="I43" s="4">
        <f t="shared" si="1"/>
        <v>27175</v>
      </c>
      <c r="J43" s="4">
        <f t="shared" si="1"/>
        <v>0</v>
      </c>
      <c r="K43" s="4">
        <f t="shared" si="1"/>
        <v>0</v>
      </c>
      <c r="L43" s="4">
        <f t="shared" si="1"/>
        <v>0</v>
      </c>
      <c r="M43" s="4">
        <f t="shared" si="1"/>
        <v>0</v>
      </c>
      <c r="N43" s="4">
        <f t="shared" si="1"/>
        <v>0</v>
      </c>
      <c r="O43" s="4">
        <f t="shared" si="1"/>
        <v>0</v>
      </c>
      <c r="P43" s="4">
        <f t="shared" si="1"/>
        <v>0</v>
      </c>
      <c r="Q43" s="4">
        <f t="shared" si="1"/>
        <v>39</v>
      </c>
    </row>
    <row r="45" spans="1:17" x14ac:dyDescent="0.25">
      <c r="A45" s="4" t="s">
        <v>16</v>
      </c>
      <c r="C45" s="76" t="s">
        <v>262</v>
      </c>
      <c r="D45" s="76"/>
      <c r="E45" s="7" t="s">
        <v>263</v>
      </c>
      <c r="K45" s="43" t="s">
        <v>25</v>
      </c>
      <c r="L45" s="43" t="s">
        <v>264</v>
      </c>
      <c r="M45" s="43" t="s">
        <v>263</v>
      </c>
      <c r="N45" s="2"/>
      <c r="O45" s="3"/>
      <c r="P45" s="2"/>
      <c r="Q45" s="2"/>
    </row>
    <row r="46" spans="1:17" x14ac:dyDescent="0.25">
      <c r="A46" t="s">
        <v>785</v>
      </c>
      <c r="B46" s="6" t="s">
        <v>265</v>
      </c>
      <c r="C46" s="77">
        <f>SUMIFS(I$3:I$41,B$3:B$41,A$45,L$3:L$41,A$46)</f>
        <v>27175</v>
      </c>
      <c r="D46" s="77"/>
      <c r="E46" s="6">
        <f>SUMIFS(Q$3:Q$41,B$3:B$41,A$45,L$3:L$41,A$46)</f>
        <v>39</v>
      </c>
      <c r="F46" t="s">
        <v>464</v>
      </c>
      <c r="K46" t="s">
        <v>266</v>
      </c>
      <c r="L46">
        <f>SUMIFS(G$3:G$41,J$3:J$41,K$45)</f>
        <v>6580</v>
      </c>
      <c r="M46">
        <f>SUMIFS(Q$3:Q$41,J$3:J$41,K$45)</f>
        <v>11</v>
      </c>
      <c r="N46" s="2"/>
      <c r="O46" s="2"/>
      <c r="P46" s="2"/>
      <c r="Q46" s="2"/>
    </row>
    <row r="47" spans="1:17" x14ac:dyDescent="0.25">
      <c r="B47" s="5" t="s">
        <v>466</v>
      </c>
      <c r="C47" s="78">
        <f>-SUMIFS(H$3:H$41,B$3:B$41,A$45,L$3:L$41,A$46)</f>
        <v>-1070</v>
      </c>
      <c r="D47" s="78"/>
      <c r="E47">
        <f>SUMIFS(Q$3:Q$41,B$3:B$41,A$45,L$3:L$41,A$46)</f>
        <v>39</v>
      </c>
      <c r="K47" t="s">
        <v>268</v>
      </c>
      <c r="L47">
        <f>-SUMIFS(H$3:H$41,J$3:J$41,K$45)+M47*5</f>
        <v>-215</v>
      </c>
      <c r="M47">
        <f>SUMIFS(Q$3:Q$41,J$3:J$41,K$45)-COUNTIFS(J$3:J$41,K$45,M$3:M$41,"*gộp*")</f>
        <v>11</v>
      </c>
      <c r="N47" s="2"/>
      <c r="O47" s="2"/>
      <c r="P47" s="2"/>
      <c r="Q47" s="2"/>
    </row>
    <row r="48" spans="1:17" x14ac:dyDescent="0.25">
      <c r="B48" s="5" t="s">
        <v>269</v>
      </c>
      <c r="C48" s="78">
        <f>-SUMIFS(I$3:I$41,B$3:B$41,A$45,P$3:P$41,"xx",N$3:N$41,"x")</f>
        <v>0</v>
      </c>
      <c r="D48" s="78"/>
      <c r="E48" s="5">
        <f>SUMIFS(Q$3:Q$41,B$3:B$41,A$45,P$3:P$41,"xx",N$3:N$41,"x")</f>
        <v>0</v>
      </c>
      <c r="K48" t="s">
        <v>468</v>
      </c>
      <c r="N48" s="2"/>
      <c r="O48" s="2"/>
      <c r="P48" s="2"/>
      <c r="Q48" s="2"/>
    </row>
    <row r="49" spans="2:17" x14ac:dyDescent="0.25">
      <c r="B49" s="7" t="s">
        <v>270</v>
      </c>
      <c r="C49" s="76">
        <f>SUBTOTAL(9,C46:C48)</f>
        <v>26105</v>
      </c>
      <c r="D49" s="76"/>
      <c r="E49">
        <f>E46</f>
        <v>39</v>
      </c>
      <c r="K49" s="5" t="s">
        <v>72</v>
      </c>
      <c r="N49" s="2"/>
      <c r="O49" s="2"/>
      <c r="P49" s="2"/>
      <c r="Q49" s="2"/>
    </row>
    <row r="50" spans="2:17" x14ac:dyDescent="0.25">
      <c r="B50" s="5" t="s">
        <v>471</v>
      </c>
      <c r="C50" s="74"/>
      <c r="D50" s="74"/>
      <c r="K50" s="5" t="s">
        <v>272</v>
      </c>
      <c r="N50" s="2"/>
      <c r="O50" s="2"/>
      <c r="P50" s="2"/>
      <c r="Q50" s="2"/>
    </row>
    <row r="51" spans="2:17" x14ac:dyDescent="0.25">
      <c r="B51" s="70" t="s">
        <v>273</v>
      </c>
      <c r="C51" s="74"/>
      <c r="D51" s="74"/>
      <c r="L51" s="45">
        <f>SUBTOTAL(9,L46:L50)</f>
        <v>6365</v>
      </c>
      <c r="M51" s="45">
        <f>M46</f>
        <v>11</v>
      </c>
      <c r="N51" s="2"/>
      <c r="O51" s="3"/>
      <c r="P51" s="3"/>
      <c r="Q51" s="2"/>
    </row>
    <row r="53" spans="2:17" x14ac:dyDescent="0.25">
      <c r="B53" s="4" t="s">
        <v>274</v>
      </c>
      <c r="C53" s="75">
        <f>C49+C50+C51</f>
        <v>26105</v>
      </c>
      <c r="D53" s="75"/>
      <c r="E53" s="4" t="s">
        <v>275</v>
      </c>
      <c r="J53" s="2"/>
      <c r="K53" s="3"/>
      <c r="L53" s="3"/>
      <c r="M53" s="3"/>
      <c r="N53" s="2"/>
    </row>
    <row r="54" spans="2:17" x14ac:dyDescent="0.25">
      <c r="J54" s="2"/>
      <c r="K54" s="2"/>
      <c r="L54" s="2"/>
      <c r="M54" s="2"/>
      <c r="N54" s="2"/>
    </row>
    <row r="55" spans="2:17" x14ac:dyDescent="0.25">
      <c r="J55" s="2"/>
      <c r="K55" s="2"/>
      <c r="L55" s="2"/>
      <c r="M55" s="2"/>
      <c r="N55" s="2"/>
    </row>
    <row r="56" spans="2:17" x14ac:dyDescent="0.25">
      <c r="J56" s="2"/>
      <c r="K56" s="2"/>
      <c r="L56" s="2"/>
      <c r="M56" s="2"/>
      <c r="N56" s="2"/>
    </row>
    <row r="57" spans="2:17" x14ac:dyDescent="0.25">
      <c r="J57" s="2"/>
      <c r="K57" s="1"/>
      <c r="L57" s="2"/>
      <c r="M57" s="2"/>
      <c r="N57" s="2"/>
    </row>
    <row r="58" spans="2:17" x14ac:dyDescent="0.25">
      <c r="J58" s="2"/>
      <c r="K58" s="1"/>
      <c r="L58" s="2"/>
      <c r="M58" s="2"/>
      <c r="N58" s="2"/>
    </row>
    <row r="59" spans="2:17" x14ac:dyDescent="0.25">
      <c r="J59" s="2"/>
      <c r="K59" s="2"/>
      <c r="L59" s="3"/>
      <c r="M59" s="3"/>
      <c r="N59" s="2"/>
    </row>
    <row r="61" spans="2:17" x14ac:dyDescent="0.25">
      <c r="K61" s="43" t="s">
        <v>20</v>
      </c>
      <c r="L61" s="43" t="s">
        <v>264</v>
      </c>
      <c r="M61" s="43" t="s">
        <v>263</v>
      </c>
    </row>
    <row r="62" spans="2:17" x14ac:dyDescent="0.25">
      <c r="K62" t="s">
        <v>266</v>
      </c>
      <c r="L62">
        <f>SUMIFS(G$3:G$41,J$3:J$41,K$61)</f>
        <v>7390</v>
      </c>
      <c r="M62">
        <f>SUMIFS(Q$3:Q$41,J$3:J$41,K$61)</f>
        <v>10</v>
      </c>
    </row>
    <row r="63" spans="2:17" x14ac:dyDescent="0.25">
      <c r="K63" t="s">
        <v>268</v>
      </c>
      <c r="L63">
        <f>-SUMIFS(H$3:H$41,J$3:J$41,K$61)+M63*5</f>
        <v>-220</v>
      </c>
      <c r="M63">
        <f>SUMIFS(Q$3:Q$41,J$3:J$41,K$61)-COUNTIFS(J$3:J$41,K$61,M$3:M$41,"*gộp*")</f>
        <v>10</v>
      </c>
    </row>
    <row r="64" spans="2:17" x14ac:dyDescent="0.25">
      <c r="K64" t="s">
        <v>468</v>
      </c>
    </row>
    <row r="65" spans="11:13" x14ac:dyDescent="0.25">
      <c r="K65" s="5" t="s">
        <v>72</v>
      </c>
    </row>
    <row r="66" spans="11:13" x14ac:dyDescent="0.25">
      <c r="K66" s="5" t="s">
        <v>272</v>
      </c>
    </row>
    <row r="67" spans="11:13" x14ac:dyDescent="0.25">
      <c r="L67" s="45">
        <f>SUBTOTAL(9,L62:L66)</f>
        <v>7170</v>
      </c>
      <c r="M67" s="45">
        <f>M62</f>
        <v>10</v>
      </c>
    </row>
    <row r="69" spans="11:13" x14ac:dyDescent="0.25">
      <c r="K69" s="43" t="s">
        <v>239</v>
      </c>
      <c r="L69" s="43" t="s">
        <v>264</v>
      </c>
      <c r="M69" s="43" t="s">
        <v>263</v>
      </c>
    </row>
    <row r="70" spans="11:13" x14ac:dyDescent="0.25">
      <c r="K70" t="s">
        <v>266</v>
      </c>
      <c r="L70">
        <f>SUMIFS(G$3:G$41,J$3:J$41,K$69)</f>
        <v>785</v>
      </c>
      <c r="M70">
        <f>SUMIFS(Q$3:Q$41,J$3:J$41,K$69)</f>
        <v>2</v>
      </c>
    </row>
    <row r="71" spans="11:13" x14ac:dyDescent="0.25">
      <c r="K71" t="s">
        <v>268</v>
      </c>
      <c r="L71">
        <f>-SUMIFS(H$3:H$41,J$3:J$41,K$69)+M71*5</f>
        <v>-55</v>
      </c>
      <c r="M71">
        <f>SUMIFS(Q$3:Q$41,J$3:J$41,K$69)-COUNTIFS(J$3:J$41,K$69,M$3:M$41,"*gộp*")</f>
        <v>2</v>
      </c>
    </row>
    <row r="72" spans="11:13" x14ac:dyDescent="0.25">
      <c r="K72" t="s">
        <v>468</v>
      </c>
    </row>
    <row r="73" spans="11:13" x14ac:dyDescent="0.25">
      <c r="K73" s="5" t="s">
        <v>72</v>
      </c>
    </row>
    <row r="74" spans="11:13" x14ac:dyDescent="0.25">
      <c r="K74" s="5" t="s">
        <v>272</v>
      </c>
    </row>
    <row r="75" spans="11:13" x14ac:dyDescent="0.25">
      <c r="L75" s="45">
        <f>SUBTOTAL(9,L70:L74)</f>
        <v>730</v>
      </c>
      <c r="M75" s="45">
        <f>M70</f>
        <v>2</v>
      </c>
    </row>
  </sheetData>
  <autoFilter ref="A2:P41" xr:uid="{00000000-0009-0000-0000-000009000000}"/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72D30-8FB3-4ADF-8815-61C9F717B84B}">
  <sheetPr filterMode="1"/>
  <dimension ref="A2:Q53"/>
  <sheetViews>
    <sheetView zoomScale="90" zoomScaleNormal="90" workbookViewId="0">
      <selection activeCell="S44" sqref="S44 A1:XFD1048576"/>
    </sheetView>
  </sheetViews>
  <sheetFormatPr defaultRowHeight="15" x14ac:dyDescent="0.25"/>
  <cols>
    <col min="1" max="1" width="12.28515625" customWidth="1"/>
    <col min="2" max="2" width="19.140625" customWidth="1"/>
    <col min="3" max="3" width="35.7109375" customWidth="1"/>
    <col min="4" max="4" width="10.140625" customWidth="1"/>
    <col min="5" max="5" width="5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3.4257812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593</v>
      </c>
    </row>
    <row r="3" spans="1:17" hidden="1" x14ac:dyDescent="0.25">
      <c r="A3" t="s">
        <v>253</v>
      </c>
      <c r="B3" t="s">
        <v>16</v>
      </c>
      <c r="C3" t="s">
        <v>567</v>
      </c>
      <c r="E3" t="s">
        <v>895</v>
      </c>
      <c r="F3" s="10">
        <v>4</v>
      </c>
      <c r="G3" s="10">
        <v>30</v>
      </c>
      <c r="H3" s="10">
        <v>30</v>
      </c>
      <c r="I3" s="10">
        <f t="shared" ref="I3:I14" si="0">G3-H3</f>
        <v>0</v>
      </c>
      <c r="J3" t="s">
        <v>25</v>
      </c>
      <c r="K3" t="s">
        <v>20</v>
      </c>
      <c r="L3" t="s">
        <v>896</v>
      </c>
      <c r="Q3" s="10">
        <v>1</v>
      </c>
    </row>
    <row r="4" spans="1:17" hidden="1" x14ac:dyDescent="0.25">
      <c r="A4" t="s">
        <v>253</v>
      </c>
      <c r="B4" t="s">
        <v>16</v>
      </c>
      <c r="C4" t="s">
        <v>572</v>
      </c>
      <c r="E4" t="s">
        <v>573</v>
      </c>
      <c r="F4" t="s">
        <v>116</v>
      </c>
      <c r="G4" s="10">
        <v>650</v>
      </c>
      <c r="H4" s="10">
        <v>30</v>
      </c>
      <c r="I4" s="10">
        <f t="shared" si="0"/>
        <v>620</v>
      </c>
      <c r="J4" t="s">
        <v>20</v>
      </c>
      <c r="K4" t="s">
        <v>20</v>
      </c>
      <c r="L4" t="s">
        <v>896</v>
      </c>
      <c r="Q4" s="10">
        <v>1</v>
      </c>
    </row>
    <row r="5" spans="1:17" hidden="1" x14ac:dyDescent="0.25">
      <c r="A5" t="s">
        <v>253</v>
      </c>
      <c r="B5" t="s">
        <v>16</v>
      </c>
      <c r="C5" t="s">
        <v>897</v>
      </c>
      <c r="E5" t="s">
        <v>898</v>
      </c>
      <c r="F5" s="10">
        <v>5</v>
      </c>
      <c r="G5" s="10">
        <v>25</v>
      </c>
      <c r="H5" s="10">
        <v>25</v>
      </c>
      <c r="I5" s="10">
        <f t="shared" si="0"/>
        <v>0</v>
      </c>
      <c r="J5" t="s">
        <v>25</v>
      </c>
      <c r="K5" t="s">
        <v>20</v>
      </c>
      <c r="L5" t="s">
        <v>896</v>
      </c>
      <c r="Q5" s="10">
        <v>1</v>
      </c>
    </row>
    <row r="6" spans="1:17" x14ac:dyDescent="0.25">
      <c r="A6" t="s">
        <v>253</v>
      </c>
      <c r="B6" t="s">
        <v>16</v>
      </c>
      <c r="C6" t="s">
        <v>260</v>
      </c>
      <c r="E6" t="s">
        <v>899</v>
      </c>
      <c r="F6" s="10">
        <v>6</v>
      </c>
      <c r="G6" s="10">
        <v>757</v>
      </c>
      <c r="H6" s="10">
        <v>17</v>
      </c>
      <c r="I6" s="10">
        <f t="shared" si="0"/>
        <v>740</v>
      </c>
      <c r="J6" t="s">
        <v>900</v>
      </c>
      <c r="K6" t="s">
        <v>20</v>
      </c>
      <c r="L6" t="s">
        <v>896</v>
      </c>
      <c r="M6" t="s">
        <v>901</v>
      </c>
      <c r="Q6" s="10">
        <v>1</v>
      </c>
    </row>
    <row r="7" spans="1:17" x14ac:dyDescent="0.25">
      <c r="B7" t="s">
        <v>16</v>
      </c>
      <c r="C7" t="s">
        <v>902</v>
      </c>
      <c r="D7" t="s">
        <v>903</v>
      </c>
      <c r="E7" t="s">
        <v>904</v>
      </c>
      <c r="F7" t="s">
        <v>141</v>
      </c>
      <c r="G7" s="10">
        <v>820</v>
      </c>
      <c r="H7" s="10">
        <v>30</v>
      </c>
      <c r="I7" s="10">
        <f t="shared" si="0"/>
        <v>790</v>
      </c>
      <c r="J7" t="s">
        <v>900</v>
      </c>
      <c r="K7" t="s">
        <v>20</v>
      </c>
      <c r="L7" t="s">
        <v>896</v>
      </c>
      <c r="Q7" s="10">
        <v>1</v>
      </c>
    </row>
    <row r="8" spans="1:17" x14ac:dyDescent="0.25">
      <c r="B8" t="s">
        <v>16</v>
      </c>
      <c r="C8" t="s">
        <v>905</v>
      </c>
      <c r="D8" t="s">
        <v>906</v>
      </c>
      <c r="E8" t="s">
        <v>907</v>
      </c>
      <c r="F8" s="10">
        <v>6</v>
      </c>
      <c r="G8" s="10">
        <v>727</v>
      </c>
      <c r="H8" s="10">
        <v>17</v>
      </c>
      <c r="I8" s="10">
        <f t="shared" si="0"/>
        <v>710</v>
      </c>
      <c r="J8" t="s">
        <v>900</v>
      </c>
      <c r="K8" t="s">
        <v>20</v>
      </c>
      <c r="L8" t="s">
        <v>896</v>
      </c>
      <c r="Q8" s="10">
        <v>1</v>
      </c>
    </row>
    <row r="9" spans="1:17" hidden="1" x14ac:dyDescent="0.25">
      <c r="B9" t="s">
        <v>16</v>
      </c>
      <c r="C9" t="s">
        <v>908</v>
      </c>
      <c r="D9" t="s">
        <v>909</v>
      </c>
      <c r="E9" t="s">
        <v>910</v>
      </c>
      <c r="F9" t="s">
        <v>116</v>
      </c>
      <c r="G9" s="10">
        <v>1575</v>
      </c>
      <c r="H9" s="10">
        <v>25</v>
      </c>
      <c r="I9" s="10">
        <f t="shared" si="0"/>
        <v>1550</v>
      </c>
      <c r="J9" t="s">
        <v>20</v>
      </c>
      <c r="K9" t="s">
        <v>20</v>
      </c>
      <c r="L9" t="s">
        <v>896</v>
      </c>
      <c r="Q9" s="10">
        <v>1</v>
      </c>
    </row>
    <row r="10" spans="1:17" hidden="1" x14ac:dyDescent="0.25">
      <c r="B10" t="s">
        <v>16</v>
      </c>
      <c r="C10" t="s">
        <v>911</v>
      </c>
      <c r="D10" t="s">
        <v>912</v>
      </c>
      <c r="E10" t="s">
        <v>913</v>
      </c>
      <c r="F10" s="10">
        <v>10</v>
      </c>
      <c r="G10" s="10">
        <v>2250</v>
      </c>
      <c r="H10" s="10">
        <v>25</v>
      </c>
      <c r="I10" s="10">
        <f t="shared" si="0"/>
        <v>2225</v>
      </c>
      <c r="J10" t="s">
        <v>25</v>
      </c>
      <c r="K10" t="s">
        <v>20</v>
      </c>
      <c r="L10" t="s">
        <v>896</v>
      </c>
      <c r="M10" t="s">
        <v>846</v>
      </c>
      <c r="Q10" s="10">
        <v>1</v>
      </c>
    </row>
    <row r="11" spans="1:17" hidden="1" x14ac:dyDescent="0.25">
      <c r="B11" t="s">
        <v>16</v>
      </c>
      <c r="C11" t="s">
        <v>914</v>
      </c>
      <c r="D11" t="s">
        <v>915</v>
      </c>
      <c r="E11" t="s">
        <v>916</v>
      </c>
      <c r="F11" t="s">
        <v>91</v>
      </c>
      <c r="G11" s="10">
        <v>520</v>
      </c>
      <c r="H11" s="10">
        <v>20</v>
      </c>
      <c r="I11" s="10">
        <f t="shared" si="0"/>
        <v>500</v>
      </c>
      <c r="J11" t="s">
        <v>25</v>
      </c>
      <c r="K11" t="s">
        <v>20</v>
      </c>
      <c r="L11" t="s">
        <v>896</v>
      </c>
      <c r="Q11" s="10">
        <v>1</v>
      </c>
    </row>
    <row r="12" spans="1:17" x14ac:dyDescent="0.25">
      <c r="B12" t="s">
        <v>16</v>
      </c>
      <c r="C12" t="s">
        <v>917</v>
      </c>
      <c r="D12" t="s">
        <v>918</v>
      </c>
      <c r="E12" t="s">
        <v>919</v>
      </c>
      <c r="F12" s="10">
        <v>8</v>
      </c>
      <c r="G12" s="10">
        <v>397</v>
      </c>
      <c r="H12" s="10">
        <v>17</v>
      </c>
      <c r="I12" s="10">
        <f t="shared" si="0"/>
        <v>380</v>
      </c>
      <c r="J12" t="s">
        <v>900</v>
      </c>
      <c r="K12" t="s">
        <v>20</v>
      </c>
      <c r="L12" t="s">
        <v>896</v>
      </c>
      <c r="Q12" s="10">
        <v>1</v>
      </c>
    </row>
    <row r="13" spans="1:17" hidden="1" x14ac:dyDescent="0.25">
      <c r="B13" t="s">
        <v>16</v>
      </c>
      <c r="C13" t="s">
        <v>920</v>
      </c>
      <c r="D13" t="s">
        <v>921</v>
      </c>
      <c r="E13" t="s">
        <v>922</v>
      </c>
      <c r="F13" s="10">
        <v>1</v>
      </c>
      <c r="G13" s="10">
        <v>395</v>
      </c>
      <c r="H13" s="10">
        <v>25</v>
      </c>
      <c r="I13" s="10">
        <f t="shared" si="0"/>
        <v>370</v>
      </c>
      <c r="J13" t="s">
        <v>25</v>
      </c>
      <c r="K13" t="s">
        <v>20</v>
      </c>
      <c r="L13" t="s">
        <v>896</v>
      </c>
      <c r="Q13" s="10">
        <v>1</v>
      </c>
    </row>
    <row r="14" spans="1:17" hidden="1" x14ac:dyDescent="0.25">
      <c r="B14" t="s">
        <v>16</v>
      </c>
      <c r="C14" t="s">
        <v>923</v>
      </c>
      <c r="D14" t="s">
        <v>924</v>
      </c>
      <c r="E14" t="s">
        <v>925</v>
      </c>
      <c r="F14" t="s">
        <v>37</v>
      </c>
      <c r="G14" s="10">
        <v>820</v>
      </c>
      <c r="H14" s="10">
        <v>30</v>
      </c>
      <c r="I14" s="10">
        <f t="shared" si="0"/>
        <v>790</v>
      </c>
      <c r="J14" t="s">
        <v>20</v>
      </c>
      <c r="K14" t="s">
        <v>20</v>
      </c>
      <c r="L14" t="s">
        <v>896</v>
      </c>
      <c r="Q14" s="10">
        <v>1</v>
      </c>
    </row>
    <row r="15" spans="1:17" x14ac:dyDescent="0.25">
      <c r="B15" t="s">
        <v>16</v>
      </c>
      <c r="C15" t="s">
        <v>926</v>
      </c>
      <c r="D15" t="s">
        <v>927</v>
      </c>
      <c r="E15" t="s">
        <v>928</v>
      </c>
      <c r="F15" s="10">
        <v>6</v>
      </c>
      <c r="G15" s="10">
        <v>0</v>
      </c>
      <c r="H15" s="10">
        <v>17</v>
      </c>
      <c r="I15" s="10">
        <f>-H15</f>
        <v>-17</v>
      </c>
      <c r="J15" t="s">
        <v>900</v>
      </c>
      <c r="K15" t="s">
        <v>20</v>
      </c>
      <c r="L15" t="s">
        <v>896</v>
      </c>
      <c r="Q15" s="10">
        <v>1</v>
      </c>
    </row>
    <row r="16" spans="1:17" hidden="1" x14ac:dyDescent="0.25">
      <c r="B16" t="s">
        <v>16</v>
      </c>
      <c r="C16" t="s">
        <v>929</v>
      </c>
      <c r="D16" t="s">
        <v>930</v>
      </c>
      <c r="E16" t="s">
        <v>931</v>
      </c>
      <c r="F16" s="10">
        <v>1</v>
      </c>
      <c r="G16" s="10">
        <v>0</v>
      </c>
      <c r="H16" s="10">
        <v>25</v>
      </c>
      <c r="I16" s="10">
        <f>-H16</f>
        <v>-25</v>
      </c>
      <c r="J16" t="s">
        <v>25</v>
      </c>
      <c r="K16" t="s">
        <v>20</v>
      </c>
      <c r="L16" t="s">
        <v>896</v>
      </c>
      <c r="Q16" s="10">
        <v>1</v>
      </c>
    </row>
    <row r="17" spans="2:17" hidden="1" x14ac:dyDescent="0.25">
      <c r="B17" t="s">
        <v>16</v>
      </c>
      <c r="C17" t="s">
        <v>932</v>
      </c>
      <c r="D17" t="s">
        <v>933</v>
      </c>
      <c r="E17" t="s">
        <v>934</v>
      </c>
      <c r="F17" s="10">
        <v>10</v>
      </c>
      <c r="G17" s="10">
        <v>785</v>
      </c>
      <c r="H17" s="10">
        <v>25</v>
      </c>
      <c r="I17" s="10">
        <f t="shared" ref="I17:I22" si="1">G17-H17</f>
        <v>760</v>
      </c>
      <c r="J17" t="s">
        <v>25</v>
      </c>
      <c r="K17" t="s">
        <v>20</v>
      </c>
      <c r="L17" t="s">
        <v>896</v>
      </c>
      <c r="Q17" s="10">
        <v>1</v>
      </c>
    </row>
    <row r="18" spans="2:17" hidden="1" x14ac:dyDescent="0.25">
      <c r="B18" t="s">
        <v>16</v>
      </c>
      <c r="C18" t="s">
        <v>935</v>
      </c>
      <c r="D18" t="s">
        <v>936</v>
      </c>
      <c r="E18" t="s">
        <v>937</v>
      </c>
      <c r="F18" s="10">
        <v>3</v>
      </c>
      <c r="G18" s="10">
        <v>405</v>
      </c>
      <c r="H18" s="10">
        <v>25</v>
      </c>
      <c r="I18" s="10">
        <f t="shared" si="1"/>
        <v>380</v>
      </c>
      <c r="J18" t="s">
        <v>25</v>
      </c>
      <c r="K18" t="s">
        <v>20</v>
      </c>
      <c r="L18" t="s">
        <v>896</v>
      </c>
      <c r="Q18" s="10">
        <v>1</v>
      </c>
    </row>
    <row r="19" spans="2:17" hidden="1" x14ac:dyDescent="0.25">
      <c r="B19" t="s">
        <v>16</v>
      </c>
      <c r="C19" t="s">
        <v>938</v>
      </c>
      <c r="D19" t="s">
        <v>939</v>
      </c>
      <c r="E19" t="s">
        <v>940</v>
      </c>
      <c r="F19" t="s">
        <v>33</v>
      </c>
      <c r="G19" s="10">
        <v>390</v>
      </c>
      <c r="H19" s="10">
        <v>30</v>
      </c>
      <c r="I19" s="10">
        <f t="shared" si="1"/>
        <v>360</v>
      </c>
      <c r="J19" t="s">
        <v>20</v>
      </c>
      <c r="K19" t="s">
        <v>20</v>
      </c>
      <c r="L19" t="s">
        <v>896</v>
      </c>
      <c r="Q19" s="10">
        <v>1</v>
      </c>
    </row>
    <row r="20" spans="2:17" hidden="1" x14ac:dyDescent="0.25">
      <c r="B20" t="s">
        <v>16</v>
      </c>
      <c r="C20" t="s">
        <v>941</v>
      </c>
      <c r="D20" t="s">
        <v>942</v>
      </c>
      <c r="E20" t="s">
        <v>858</v>
      </c>
      <c r="F20" s="10">
        <v>4</v>
      </c>
      <c r="G20" s="10">
        <v>875</v>
      </c>
      <c r="H20" s="10">
        <v>25</v>
      </c>
      <c r="I20" s="10">
        <f t="shared" si="1"/>
        <v>850</v>
      </c>
      <c r="J20" t="s">
        <v>25</v>
      </c>
      <c r="K20" t="s">
        <v>20</v>
      </c>
      <c r="L20" t="s">
        <v>896</v>
      </c>
      <c r="Q20" s="10">
        <v>1</v>
      </c>
    </row>
    <row r="21" spans="2:17" hidden="1" x14ac:dyDescent="0.25">
      <c r="B21" t="s">
        <v>16</v>
      </c>
      <c r="C21" t="s">
        <v>943</v>
      </c>
      <c r="D21" t="s">
        <v>944</v>
      </c>
      <c r="E21" t="s">
        <v>945</v>
      </c>
      <c r="F21" s="10">
        <v>2</v>
      </c>
      <c r="G21" s="10">
        <v>1350</v>
      </c>
      <c r="H21" s="10">
        <v>30</v>
      </c>
      <c r="I21" s="10">
        <f t="shared" si="1"/>
        <v>1320</v>
      </c>
      <c r="J21" t="s">
        <v>20</v>
      </c>
      <c r="K21" t="s">
        <v>20</v>
      </c>
      <c r="L21" t="s">
        <v>896</v>
      </c>
      <c r="Q21" s="10">
        <v>1</v>
      </c>
    </row>
    <row r="22" spans="2:17" x14ac:dyDescent="0.25">
      <c r="B22" t="s">
        <v>16</v>
      </c>
      <c r="C22" t="s">
        <v>946</v>
      </c>
      <c r="D22" t="s">
        <v>947</v>
      </c>
      <c r="E22" t="s">
        <v>948</v>
      </c>
      <c r="F22" t="s">
        <v>47</v>
      </c>
      <c r="G22" s="10">
        <v>1635</v>
      </c>
      <c r="H22" s="10">
        <v>25</v>
      </c>
      <c r="I22" s="10">
        <f t="shared" si="1"/>
        <v>1610</v>
      </c>
      <c r="J22" t="s">
        <v>900</v>
      </c>
      <c r="K22" t="s">
        <v>20</v>
      </c>
      <c r="L22" t="s">
        <v>896</v>
      </c>
      <c r="Q22" s="10">
        <v>1</v>
      </c>
    </row>
    <row r="23" spans="2:17" hidden="1" x14ac:dyDescent="0.25">
      <c r="B23" t="s">
        <v>16</v>
      </c>
      <c r="C23" t="s">
        <v>949</v>
      </c>
      <c r="D23" t="s">
        <v>950</v>
      </c>
      <c r="E23" t="s">
        <v>951</v>
      </c>
      <c r="F23" s="10">
        <v>3</v>
      </c>
      <c r="G23" s="10">
        <v>0</v>
      </c>
      <c r="H23" s="10">
        <v>25</v>
      </c>
      <c r="I23" s="10">
        <f>-H23</f>
        <v>-25</v>
      </c>
      <c r="J23" t="s">
        <v>25</v>
      </c>
      <c r="K23" t="s">
        <v>20</v>
      </c>
      <c r="L23" t="s">
        <v>896</v>
      </c>
      <c r="Q23" s="10">
        <v>1</v>
      </c>
    </row>
    <row r="24" spans="2:17" x14ac:dyDescent="0.25">
      <c r="B24" t="s">
        <v>16</v>
      </c>
      <c r="C24" t="s">
        <v>952</v>
      </c>
      <c r="D24" t="s">
        <v>953</v>
      </c>
      <c r="E24" t="s">
        <v>954</v>
      </c>
      <c r="F24" s="10">
        <v>8</v>
      </c>
      <c r="G24" s="10">
        <v>807</v>
      </c>
      <c r="H24" s="10">
        <v>17</v>
      </c>
      <c r="I24" s="10">
        <f t="shared" ref="I24:I29" si="2">G24-H24</f>
        <v>790</v>
      </c>
      <c r="J24" t="s">
        <v>900</v>
      </c>
      <c r="K24" t="s">
        <v>20</v>
      </c>
      <c r="L24" t="s">
        <v>896</v>
      </c>
      <c r="Q24" s="10">
        <v>1</v>
      </c>
    </row>
    <row r="25" spans="2:17" x14ac:dyDescent="0.25">
      <c r="B25" t="s">
        <v>16</v>
      </c>
      <c r="C25" t="s">
        <v>955</v>
      </c>
      <c r="D25" t="s">
        <v>956</v>
      </c>
      <c r="E25" t="s">
        <v>957</v>
      </c>
      <c r="F25" t="s">
        <v>47</v>
      </c>
      <c r="G25" s="10">
        <v>815</v>
      </c>
      <c r="H25" s="10">
        <v>25</v>
      </c>
      <c r="I25" s="10">
        <f t="shared" si="2"/>
        <v>790</v>
      </c>
      <c r="J25" t="s">
        <v>900</v>
      </c>
      <c r="K25" t="s">
        <v>20</v>
      </c>
      <c r="L25" t="s">
        <v>896</v>
      </c>
      <c r="Q25" s="10">
        <v>1</v>
      </c>
    </row>
    <row r="26" spans="2:17" hidden="1" x14ac:dyDescent="0.25">
      <c r="B26" t="s">
        <v>16</v>
      </c>
      <c r="C26" t="s">
        <v>958</v>
      </c>
      <c r="D26" t="s">
        <v>959</v>
      </c>
      <c r="E26" t="s">
        <v>960</v>
      </c>
      <c r="F26" t="s">
        <v>95</v>
      </c>
      <c r="G26" s="10">
        <v>945</v>
      </c>
      <c r="H26" s="10">
        <v>25</v>
      </c>
      <c r="I26" s="10">
        <f t="shared" si="2"/>
        <v>920</v>
      </c>
      <c r="J26" t="s">
        <v>25</v>
      </c>
      <c r="K26" t="s">
        <v>20</v>
      </c>
      <c r="L26" t="s">
        <v>896</v>
      </c>
      <c r="Q26" s="10">
        <v>1</v>
      </c>
    </row>
    <row r="27" spans="2:17" hidden="1" x14ac:dyDescent="0.25">
      <c r="B27" t="s">
        <v>16</v>
      </c>
      <c r="C27" t="s">
        <v>961</v>
      </c>
      <c r="D27" t="s">
        <v>962</v>
      </c>
      <c r="E27" t="s">
        <v>963</v>
      </c>
      <c r="F27" t="s">
        <v>91</v>
      </c>
      <c r="G27" s="10">
        <v>730</v>
      </c>
      <c r="H27" s="10">
        <v>20</v>
      </c>
      <c r="I27" s="10">
        <f t="shared" si="2"/>
        <v>710</v>
      </c>
      <c r="J27" t="s">
        <v>25</v>
      </c>
      <c r="K27" t="s">
        <v>20</v>
      </c>
      <c r="L27" t="s">
        <v>896</v>
      </c>
      <c r="Q27" s="10">
        <v>1</v>
      </c>
    </row>
    <row r="28" spans="2:17" hidden="1" x14ac:dyDescent="0.25">
      <c r="B28" t="s">
        <v>16</v>
      </c>
      <c r="C28" t="s">
        <v>408</v>
      </c>
      <c r="D28" t="s">
        <v>964</v>
      </c>
      <c r="E28" t="s">
        <v>762</v>
      </c>
      <c r="F28" t="s">
        <v>33</v>
      </c>
      <c r="G28" s="10">
        <v>770</v>
      </c>
      <c r="H28" s="10">
        <v>30</v>
      </c>
      <c r="I28" s="10">
        <f t="shared" si="2"/>
        <v>740</v>
      </c>
      <c r="J28" t="s">
        <v>20</v>
      </c>
      <c r="K28" t="s">
        <v>20</v>
      </c>
      <c r="L28" t="s">
        <v>896</v>
      </c>
      <c r="Q28" s="10">
        <v>1</v>
      </c>
    </row>
    <row r="29" spans="2:17" x14ac:dyDescent="0.25">
      <c r="B29" t="s">
        <v>16</v>
      </c>
      <c r="C29" t="s">
        <v>163</v>
      </c>
      <c r="D29" t="s">
        <v>965</v>
      </c>
      <c r="E29" t="s">
        <v>165</v>
      </c>
      <c r="F29" s="10">
        <v>8</v>
      </c>
      <c r="G29" s="10">
        <v>827</v>
      </c>
      <c r="H29" s="10">
        <v>17</v>
      </c>
      <c r="I29" s="10">
        <f t="shared" si="2"/>
        <v>810</v>
      </c>
      <c r="J29" t="s">
        <v>900</v>
      </c>
      <c r="K29" t="s">
        <v>20</v>
      </c>
      <c r="L29" t="s">
        <v>896</v>
      </c>
      <c r="Q29" s="10">
        <v>1</v>
      </c>
    </row>
    <row r="30" spans="2:17" hidden="1" x14ac:dyDescent="0.25">
      <c r="B30" t="s">
        <v>16</v>
      </c>
      <c r="C30" t="s">
        <v>966</v>
      </c>
      <c r="D30" t="s">
        <v>967</v>
      </c>
      <c r="E30" t="s">
        <v>727</v>
      </c>
      <c r="F30" t="s">
        <v>95</v>
      </c>
      <c r="G30" s="10">
        <v>0</v>
      </c>
      <c r="H30" s="10">
        <v>25</v>
      </c>
      <c r="I30" s="10">
        <f>-H30</f>
        <v>-25</v>
      </c>
      <c r="J30" t="s">
        <v>25</v>
      </c>
      <c r="K30" t="s">
        <v>20</v>
      </c>
      <c r="L30" t="s">
        <v>896</v>
      </c>
      <c r="Q30" s="10">
        <v>1</v>
      </c>
    </row>
    <row r="31" spans="2:17" hidden="1" x14ac:dyDescent="0.25">
      <c r="B31" t="s">
        <v>16</v>
      </c>
      <c r="C31" t="s">
        <v>968</v>
      </c>
      <c r="D31" t="s">
        <v>969</v>
      </c>
      <c r="E31" t="s">
        <v>970</v>
      </c>
      <c r="F31" s="10">
        <v>2</v>
      </c>
      <c r="G31" s="10">
        <v>410</v>
      </c>
      <c r="H31" s="10">
        <v>30</v>
      </c>
      <c r="I31" s="10">
        <f>G31-H31</f>
        <v>380</v>
      </c>
      <c r="J31" t="s">
        <v>20</v>
      </c>
      <c r="K31" t="s">
        <v>20</v>
      </c>
      <c r="L31" t="s">
        <v>896</v>
      </c>
      <c r="Q31" s="10">
        <v>1</v>
      </c>
    </row>
    <row r="32" spans="2:17" hidden="1" x14ac:dyDescent="0.25">
      <c r="B32" t="s">
        <v>16</v>
      </c>
      <c r="C32" t="s">
        <v>497</v>
      </c>
      <c r="D32" t="s">
        <v>498</v>
      </c>
      <c r="E32" t="s">
        <v>499</v>
      </c>
      <c r="F32" s="10">
        <v>9</v>
      </c>
      <c r="G32" s="10">
        <v>390</v>
      </c>
      <c r="H32" s="10">
        <v>30</v>
      </c>
      <c r="I32" s="10">
        <f>G32-H32</f>
        <v>360</v>
      </c>
      <c r="J32" t="s">
        <v>438</v>
      </c>
      <c r="K32" t="s">
        <v>20</v>
      </c>
      <c r="L32" t="s">
        <v>481</v>
      </c>
      <c r="N32" t="s">
        <v>288</v>
      </c>
      <c r="O32" t="s">
        <v>288</v>
      </c>
      <c r="P32" t="s">
        <v>440</v>
      </c>
      <c r="Q32" s="10">
        <v>1</v>
      </c>
    </row>
    <row r="33" spans="1:17" hidden="1" x14ac:dyDescent="0.25">
      <c r="B33" t="s">
        <v>16</v>
      </c>
      <c r="C33" t="s">
        <v>971</v>
      </c>
      <c r="D33" t="s">
        <v>972</v>
      </c>
      <c r="E33" t="s">
        <v>973</v>
      </c>
      <c r="F33" s="10">
        <v>1</v>
      </c>
      <c r="G33" s="10">
        <v>0</v>
      </c>
      <c r="H33" s="10">
        <v>25</v>
      </c>
      <c r="I33" s="10">
        <f>-H33</f>
        <v>-25</v>
      </c>
      <c r="J33" t="s">
        <v>25</v>
      </c>
      <c r="K33" t="s">
        <v>20</v>
      </c>
      <c r="L33" t="s">
        <v>896</v>
      </c>
      <c r="Q33" s="10">
        <v>1</v>
      </c>
    </row>
    <row r="35" spans="1:17" x14ac:dyDescent="0.25">
      <c r="D35" s="4">
        <f>COUNTA(D3:D33)</f>
        <v>27</v>
      </c>
      <c r="G35" s="4">
        <f t="shared" ref="G35:Q35" si="3">SUBTOTAL(9,G3:G33)</f>
        <v>6785</v>
      </c>
      <c r="H35" s="4">
        <f t="shared" si="3"/>
        <v>182</v>
      </c>
      <c r="I35" s="4">
        <f t="shared" si="3"/>
        <v>6603</v>
      </c>
      <c r="J35" s="4">
        <f t="shared" si="3"/>
        <v>0</v>
      </c>
      <c r="K35" s="4">
        <f t="shared" si="3"/>
        <v>0</v>
      </c>
      <c r="L35" s="4">
        <f t="shared" si="3"/>
        <v>0</v>
      </c>
      <c r="M35" s="4">
        <f t="shared" si="3"/>
        <v>0</v>
      </c>
      <c r="N35" s="4">
        <f t="shared" si="3"/>
        <v>0</v>
      </c>
      <c r="O35" s="4">
        <f t="shared" si="3"/>
        <v>0</v>
      </c>
      <c r="P35" s="4">
        <f t="shared" si="3"/>
        <v>0</v>
      </c>
      <c r="Q35" s="4">
        <f t="shared" si="3"/>
        <v>9</v>
      </c>
    </row>
    <row r="36" spans="1:17" x14ac:dyDescent="0.25">
      <c r="A36" s="2"/>
      <c r="B36" s="2"/>
      <c r="C36" s="2"/>
      <c r="D36" s="2"/>
      <c r="E36" s="2"/>
    </row>
    <row r="37" spans="1:17" x14ac:dyDescent="0.25">
      <c r="A37" s="3"/>
      <c r="B37" s="2"/>
      <c r="C37" s="96"/>
      <c r="D37" s="96"/>
      <c r="E37" s="3"/>
      <c r="K37" s="3"/>
      <c r="L37" s="3"/>
      <c r="M37" s="3"/>
      <c r="N37" s="2"/>
      <c r="O37" s="7"/>
    </row>
    <row r="38" spans="1:17" x14ac:dyDescent="0.25">
      <c r="A38" s="2"/>
      <c r="B38" s="2"/>
      <c r="C38" s="95"/>
      <c r="D38" s="95"/>
      <c r="E38" s="2"/>
      <c r="G38" s="43" t="s">
        <v>789</v>
      </c>
      <c r="H38" s="43" t="s">
        <v>264</v>
      </c>
      <c r="I38" s="43" t="s">
        <v>263</v>
      </c>
      <c r="K38" s="2"/>
      <c r="L38" s="2"/>
      <c r="M38" s="2"/>
      <c r="N38" s="2"/>
    </row>
    <row r="39" spans="1:17" x14ac:dyDescent="0.25">
      <c r="A39" s="2"/>
      <c r="B39" s="1"/>
      <c r="C39" s="97"/>
      <c r="D39" s="97"/>
      <c r="E39" s="2"/>
      <c r="G39" t="s">
        <v>266</v>
      </c>
      <c r="H39">
        <v>6840</v>
      </c>
      <c r="I39">
        <f>SUMIFS(Q$3:Q$41,J$3:J$41,G$51)</f>
        <v>9</v>
      </c>
      <c r="K39" s="2"/>
      <c r="L39" s="2"/>
      <c r="M39" s="2"/>
      <c r="N39" s="2"/>
    </row>
    <row r="40" spans="1:17" x14ac:dyDescent="0.25">
      <c r="A40" s="2"/>
      <c r="B40" s="1"/>
      <c r="C40" s="97"/>
      <c r="D40" s="97"/>
      <c r="E40" s="1"/>
      <c r="G40" t="s">
        <v>268</v>
      </c>
      <c r="H40">
        <f>-H35</f>
        <v>-182</v>
      </c>
      <c r="I40" s="10">
        <f>SUMIFS(Q$3:Q$41,J$3:J$41,H$51)-COUNTIFS(J$3:J$41,H$51,M$3:M$41,"*gộp*")</f>
        <v>9</v>
      </c>
      <c r="K40" s="2"/>
      <c r="L40" s="2"/>
      <c r="M40" s="2"/>
      <c r="N40" s="2"/>
    </row>
    <row r="41" spans="1:17" x14ac:dyDescent="0.25">
      <c r="A41" s="2"/>
      <c r="B41" s="3"/>
      <c r="C41" s="96"/>
      <c r="D41" s="96"/>
      <c r="E41" s="2"/>
      <c r="G41" t="s">
        <v>468</v>
      </c>
      <c r="K41" s="1"/>
      <c r="L41" s="2"/>
      <c r="M41" s="2"/>
      <c r="N41" s="2"/>
    </row>
    <row r="42" spans="1:17" x14ac:dyDescent="0.25">
      <c r="A42" s="2"/>
      <c r="B42" s="1"/>
      <c r="C42" s="95"/>
      <c r="D42" s="95"/>
      <c r="E42" s="2"/>
      <c r="G42" s="5" t="s">
        <v>72</v>
      </c>
      <c r="K42" s="1"/>
      <c r="L42" s="2"/>
      <c r="M42" s="2"/>
      <c r="N42" s="2"/>
      <c r="O42" s="7"/>
      <c r="P42" s="7"/>
    </row>
    <row r="43" spans="1:17" x14ac:dyDescent="0.25">
      <c r="A43" s="2"/>
      <c r="B43" s="2"/>
      <c r="C43" s="95"/>
      <c r="D43" s="95"/>
      <c r="E43" s="2"/>
      <c r="G43" s="5" t="s">
        <v>272</v>
      </c>
      <c r="K43" s="2"/>
      <c r="L43" s="3"/>
      <c r="M43" s="3"/>
      <c r="N43" s="2"/>
    </row>
    <row r="44" spans="1:17" x14ac:dyDescent="0.25">
      <c r="A44" s="2"/>
      <c r="B44" s="2"/>
      <c r="C44" s="2"/>
      <c r="D44" s="2"/>
      <c r="E44" s="2"/>
      <c r="H44" s="45">
        <f>SUBTOTAL(9,H39:H43)</f>
        <v>6658</v>
      </c>
      <c r="I44" s="45">
        <f>I39</f>
        <v>9</v>
      </c>
      <c r="K44" s="2"/>
      <c r="L44" s="2"/>
      <c r="M44" s="2"/>
      <c r="N44" s="2"/>
    </row>
    <row r="45" spans="1:17" x14ac:dyDescent="0.25">
      <c r="A45" s="2"/>
      <c r="B45" s="3"/>
      <c r="C45" s="96"/>
      <c r="D45" s="96"/>
      <c r="E45" s="3"/>
      <c r="K45" s="3"/>
      <c r="L45" s="3"/>
      <c r="M45" s="3"/>
      <c r="N45" s="2"/>
    </row>
    <row r="46" spans="1:17" x14ac:dyDescent="0.25">
      <c r="A46" s="2"/>
      <c r="B46" s="2"/>
      <c r="C46" s="2"/>
      <c r="D46" s="2"/>
      <c r="E46" s="2"/>
      <c r="K46" s="2"/>
      <c r="L46" s="2"/>
      <c r="M46" s="2"/>
      <c r="N46" s="2"/>
    </row>
    <row r="47" spans="1:17" x14ac:dyDescent="0.25">
      <c r="A47" s="2"/>
      <c r="B47" s="2"/>
      <c r="C47" s="2"/>
      <c r="D47" s="2"/>
      <c r="E47" s="2"/>
      <c r="K47" s="2"/>
      <c r="L47" s="2"/>
      <c r="M47" s="2"/>
      <c r="N47" s="2"/>
    </row>
    <row r="48" spans="1:17" x14ac:dyDescent="0.25">
      <c r="A48" s="2"/>
      <c r="B48" s="2"/>
      <c r="C48" s="2"/>
      <c r="D48" s="2"/>
      <c r="E48" s="2"/>
      <c r="K48" s="2"/>
      <c r="L48" s="2"/>
      <c r="M48" s="2"/>
      <c r="N48" s="2"/>
    </row>
    <row r="49" spans="11:14" x14ac:dyDescent="0.25">
      <c r="K49" s="1"/>
      <c r="L49" s="2"/>
      <c r="M49" s="2"/>
      <c r="N49" s="2"/>
    </row>
    <row r="50" spans="11:14" x14ac:dyDescent="0.25">
      <c r="K50" s="1"/>
      <c r="L50" s="2"/>
      <c r="M50" s="2"/>
      <c r="N50" s="2"/>
    </row>
    <row r="51" spans="11:14" x14ac:dyDescent="0.25">
      <c r="K51" s="2"/>
      <c r="L51" s="3"/>
      <c r="M51" s="3"/>
      <c r="N51" s="2"/>
    </row>
    <row r="52" spans="11:14" x14ac:dyDescent="0.25">
      <c r="K52" s="2"/>
      <c r="L52" s="2"/>
      <c r="M52" s="2"/>
      <c r="N52" s="2"/>
    </row>
    <row r="53" spans="11:14" x14ac:dyDescent="0.25">
      <c r="K53" s="2"/>
      <c r="L53" s="2"/>
      <c r="M53" s="2"/>
      <c r="N53" s="2"/>
    </row>
  </sheetData>
  <autoFilter ref="A2:P33" xr:uid="{00000000-0009-0000-0000-00000A000000}">
    <filterColumn colId="9">
      <filters>
        <filter val="AT 14-03"/>
      </filters>
    </filterColumn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51"/>
  <sheetViews>
    <sheetView topLeftCell="A22" zoomScale="90" zoomScaleNormal="90" workbookViewId="0">
      <selection activeCell="E40" sqref="E40"/>
    </sheetView>
  </sheetViews>
  <sheetFormatPr defaultRowHeight="15" x14ac:dyDescent="0.25"/>
  <cols>
    <col min="1" max="1" width="12.28515625" customWidth="1"/>
    <col min="2" max="2" width="19.140625" customWidth="1"/>
    <col min="3" max="3" width="35.7109375" customWidth="1"/>
    <col min="4" max="4" width="10.140625" customWidth="1"/>
    <col min="5" max="5" width="5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3.4257812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593</v>
      </c>
    </row>
    <row r="3" spans="1:17" x14ac:dyDescent="0.25">
      <c r="A3" t="s">
        <v>253</v>
      </c>
      <c r="B3" t="s">
        <v>16</v>
      </c>
      <c r="C3" t="s">
        <v>567</v>
      </c>
      <c r="E3" t="s">
        <v>895</v>
      </c>
      <c r="F3" s="10">
        <v>4</v>
      </c>
      <c r="G3" s="10">
        <v>30</v>
      </c>
      <c r="H3" s="10">
        <v>30</v>
      </c>
      <c r="I3" s="10">
        <f t="shared" ref="I3:I14" si="0">G3-H3</f>
        <v>0</v>
      </c>
      <c r="J3" t="s">
        <v>25</v>
      </c>
      <c r="K3" t="s">
        <v>20</v>
      </c>
      <c r="L3" t="s">
        <v>896</v>
      </c>
      <c r="Q3" s="10">
        <v>1</v>
      </c>
    </row>
    <row r="4" spans="1:17" x14ac:dyDescent="0.25">
      <c r="A4" t="s">
        <v>253</v>
      </c>
      <c r="B4" t="s">
        <v>16</v>
      </c>
      <c r="C4" t="s">
        <v>572</v>
      </c>
      <c r="E4" t="s">
        <v>573</v>
      </c>
      <c r="F4" t="s">
        <v>116</v>
      </c>
      <c r="G4" s="10">
        <v>650</v>
      </c>
      <c r="H4" s="10">
        <v>30</v>
      </c>
      <c r="I4" s="10">
        <f t="shared" si="0"/>
        <v>620</v>
      </c>
      <c r="J4" t="s">
        <v>20</v>
      </c>
      <c r="K4" t="s">
        <v>20</v>
      </c>
      <c r="L4" t="s">
        <v>896</v>
      </c>
      <c r="Q4" s="10">
        <v>1</v>
      </c>
    </row>
    <row r="5" spans="1:17" x14ac:dyDescent="0.25">
      <c r="A5" t="s">
        <v>253</v>
      </c>
      <c r="B5" t="s">
        <v>16</v>
      </c>
      <c r="C5" t="s">
        <v>897</v>
      </c>
      <c r="E5" t="s">
        <v>898</v>
      </c>
      <c r="F5" s="10">
        <v>5</v>
      </c>
      <c r="G5" s="10">
        <v>25</v>
      </c>
      <c r="H5" s="10">
        <v>25</v>
      </c>
      <c r="I5" s="10">
        <f t="shared" si="0"/>
        <v>0</v>
      </c>
      <c r="J5" t="s">
        <v>25</v>
      </c>
      <c r="K5" t="s">
        <v>20</v>
      </c>
      <c r="L5" t="s">
        <v>896</v>
      </c>
      <c r="Q5" s="10">
        <v>1</v>
      </c>
    </row>
    <row r="6" spans="1:17" x14ac:dyDescent="0.25">
      <c r="A6" t="s">
        <v>253</v>
      </c>
      <c r="B6" t="s">
        <v>16</v>
      </c>
      <c r="C6" t="s">
        <v>260</v>
      </c>
      <c r="E6" t="s">
        <v>899</v>
      </c>
      <c r="F6" s="10">
        <v>6</v>
      </c>
      <c r="G6" s="10">
        <v>765</v>
      </c>
      <c r="H6" s="10">
        <v>25</v>
      </c>
      <c r="I6" s="10">
        <f t="shared" si="0"/>
        <v>740</v>
      </c>
      <c r="J6" t="s">
        <v>900</v>
      </c>
      <c r="K6" t="s">
        <v>20</v>
      </c>
      <c r="L6" t="s">
        <v>896</v>
      </c>
      <c r="M6" t="s">
        <v>901</v>
      </c>
      <c r="Q6" s="10">
        <v>1</v>
      </c>
    </row>
    <row r="7" spans="1:17" x14ac:dyDescent="0.25">
      <c r="B7" t="s">
        <v>16</v>
      </c>
      <c r="C7" t="s">
        <v>902</v>
      </c>
      <c r="D7" t="s">
        <v>903</v>
      </c>
      <c r="E7" t="s">
        <v>904</v>
      </c>
      <c r="F7" t="s">
        <v>141</v>
      </c>
      <c r="G7" s="10">
        <v>825</v>
      </c>
      <c r="H7" s="10">
        <v>35</v>
      </c>
      <c r="I7" s="10">
        <f t="shared" si="0"/>
        <v>790</v>
      </c>
      <c r="J7" t="s">
        <v>900</v>
      </c>
      <c r="K7" t="s">
        <v>20</v>
      </c>
      <c r="L7" t="s">
        <v>896</v>
      </c>
      <c r="Q7" s="10">
        <v>1</v>
      </c>
    </row>
    <row r="8" spans="1:17" x14ac:dyDescent="0.25">
      <c r="B8" t="s">
        <v>16</v>
      </c>
      <c r="C8" t="s">
        <v>905</v>
      </c>
      <c r="D8" t="s">
        <v>906</v>
      </c>
      <c r="E8" t="s">
        <v>907</v>
      </c>
      <c r="F8" s="10">
        <v>6</v>
      </c>
      <c r="G8" s="10">
        <v>735</v>
      </c>
      <c r="H8" s="10">
        <v>25</v>
      </c>
      <c r="I8" s="10">
        <f t="shared" si="0"/>
        <v>710</v>
      </c>
      <c r="J8" t="s">
        <v>900</v>
      </c>
      <c r="K8" t="s">
        <v>20</v>
      </c>
      <c r="L8" t="s">
        <v>896</v>
      </c>
      <c r="Q8" s="10">
        <v>1</v>
      </c>
    </row>
    <row r="9" spans="1:17" x14ac:dyDescent="0.25">
      <c r="B9" t="s">
        <v>16</v>
      </c>
      <c r="C9" t="s">
        <v>908</v>
      </c>
      <c r="D9" t="s">
        <v>909</v>
      </c>
      <c r="E9" t="s">
        <v>910</v>
      </c>
      <c r="F9" t="s">
        <v>116</v>
      </c>
      <c r="G9" s="10">
        <v>1575</v>
      </c>
      <c r="H9" s="10">
        <v>25</v>
      </c>
      <c r="I9" s="10">
        <f t="shared" si="0"/>
        <v>1550</v>
      </c>
      <c r="J9" t="s">
        <v>20</v>
      </c>
      <c r="K9" t="s">
        <v>20</v>
      </c>
      <c r="L9" t="s">
        <v>896</v>
      </c>
      <c r="Q9" s="10">
        <v>1</v>
      </c>
    </row>
    <row r="10" spans="1:17" x14ac:dyDescent="0.25">
      <c r="B10" t="s">
        <v>16</v>
      </c>
      <c r="C10" t="s">
        <v>911</v>
      </c>
      <c r="D10" t="s">
        <v>912</v>
      </c>
      <c r="E10" t="s">
        <v>913</v>
      </c>
      <c r="F10" s="10">
        <v>10</v>
      </c>
      <c r="G10" s="10">
        <v>2250</v>
      </c>
      <c r="H10" s="10">
        <v>25</v>
      </c>
      <c r="I10" s="10">
        <f t="shared" si="0"/>
        <v>2225</v>
      </c>
      <c r="J10" t="s">
        <v>25</v>
      </c>
      <c r="K10" t="s">
        <v>20</v>
      </c>
      <c r="L10" t="s">
        <v>896</v>
      </c>
      <c r="M10" t="s">
        <v>846</v>
      </c>
      <c r="Q10" s="10">
        <v>1</v>
      </c>
    </row>
    <row r="11" spans="1:17" x14ac:dyDescent="0.25">
      <c r="B11" t="s">
        <v>16</v>
      </c>
      <c r="C11" t="s">
        <v>914</v>
      </c>
      <c r="D11" t="s">
        <v>915</v>
      </c>
      <c r="E11" t="s">
        <v>916</v>
      </c>
      <c r="F11" t="s">
        <v>91</v>
      </c>
      <c r="G11" s="10">
        <v>520</v>
      </c>
      <c r="H11" s="10">
        <v>20</v>
      </c>
      <c r="I11" s="10">
        <f t="shared" si="0"/>
        <v>500</v>
      </c>
      <c r="J11" t="s">
        <v>25</v>
      </c>
      <c r="K11" t="s">
        <v>20</v>
      </c>
      <c r="L11" t="s">
        <v>896</v>
      </c>
      <c r="Q11" s="10">
        <v>1</v>
      </c>
    </row>
    <row r="12" spans="1:17" x14ac:dyDescent="0.25">
      <c r="B12" t="s">
        <v>16</v>
      </c>
      <c r="C12" t="s">
        <v>917</v>
      </c>
      <c r="D12" t="s">
        <v>918</v>
      </c>
      <c r="E12" t="s">
        <v>919</v>
      </c>
      <c r="F12" s="10">
        <v>8</v>
      </c>
      <c r="G12" s="10">
        <v>405</v>
      </c>
      <c r="H12" s="10">
        <v>25</v>
      </c>
      <c r="I12" s="10">
        <f t="shared" si="0"/>
        <v>380</v>
      </c>
      <c r="J12" t="s">
        <v>900</v>
      </c>
      <c r="K12" t="s">
        <v>20</v>
      </c>
      <c r="L12" t="s">
        <v>896</v>
      </c>
      <c r="Q12" s="10">
        <v>1</v>
      </c>
    </row>
    <row r="13" spans="1:17" x14ac:dyDescent="0.25">
      <c r="B13" t="s">
        <v>16</v>
      </c>
      <c r="C13" t="s">
        <v>920</v>
      </c>
      <c r="D13" t="s">
        <v>921</v>
      </c>
      <c r="E13" t="s">
        <v>922</v>
      </c>
      <c r="F13" s="10">
        <v>1</v>
      </c>
      <c r="G13" s="10">
        <v>395</v>
      </c>
      <c r="H13" s="10">
        <v>25</v>
      </c>
      <c r="I13" s="10">
        <f t="shared" si="0"/>
        <v>370</v>
      </c>
      <c r="J13" t="s">
        <v>25</v>
      </c>
      <c r="K13" t="s">
        <v>20</v>
      </c>
      <c r="L13" t="s">
        <v>896</v>
      </c>
      <c r="Q13" s="10">
        <v>1</v>
      </c>
    </row>
    <row r="14" spans="1:17" x14ac:dyDescent="0.25">
      <c r="B14" t="s">
        <v>16</v>
      </c>
      <c r="C14" t="s">
        <v>923</v>
      </c>
      <c r="D14" t="s">
        <v>924</v>
      </c>
      <c r="E14" t="s">
        <v>925</v>
      </c>
      <c r="F14" t="s">
        <v>37</v>
      </c>
      <c r="G14" s="10">
        <v>820</v>
      </c>
      <c r="H14" s="10">
        <v>30</v>
      </c>
      <c r="I14" s="10">
        <f t="shared" si="0"/>
        <v>790</v>
      </c>
      <c r="J14" t="s">
        <v>20</v>
      </c>
      <c r="K14" t="s">
        <v>20</v>
      </c>
      <c r="L14" t="s">
        <v>896</v>
      </c>
      <c r="Q14" s="10">
        <v>1</v>
      </c>
    </row>
    <row r="15" spans="1:17" x14ac:dyDescent="0.25">
      <c r="B15" t="s">
        <v>16</v>
      </c>
      <c r="C15" t="s">
        <v>926</v>
      </c>
      <c r="D15" t="s">
        <v>927</v>
      </c>
      <c r="E15" t="s">
        <v>928</v>
      </c>
      <c r="F15" s="10">
        <v>6</v>
      </c>
      <c r="G15" s="10">
        <v>0</v>
      </c>
      <c r="H15" s="10">
        <v>25</v>
      </c>
      <c r="I15" s="10">
        <f>-H15</f>
        <v>-25</v>
      </c>
      <c r="J15" t="s">
        <v>900</v>
      </c>
      <c r="K15" t="s">
        <v>20</v>
      </c>
      <c r="L15" t="s">
        <v>896</v>
      </c>
      <c r="Q15" s="10">
        <v>1</v>
      </c>
    </row>
    <row r="16" spans="1:17" x14ac:dyDescent="0.25">
      <c r="B16" t="s">
        <v>16</v>
      </c>
      <c r="C16" t="s">
        <v>929</v>
      </c>
      <c r="D16" t="s">
        <v>930</v>
      </c>
      <c r="E16" t="s">
        <v>931</v>
      </c>
      <c r="F16" s="10">
        <v>1</v>
      </c>
      <c r="G16" s="10">
        <v>0</v>
      </c>
      <c r="H16" s="10">
        <v>25</v>
      </c>
      <c r="I16" s="10">
        <f>-H16</f>
        <v>-25</v>
      </c>
      <c r="J16" t="s">
        <v>25</v>
      </c>
      <c r="K16" t="s">
        <v>20</v>
      </c>
      <c r="L16" t="s">
        <v>896</v>
      </c>
      <c r="Q16" s="10">
        <v>1</v>
      </c>
    </row>
    <row r="17" spans="2:17" x14ac:dyDescent="0.25">
      <c r="B17" t="s">
        <v>16</v>
      </c>
      <c r="C17" t="s">
        <v>932</v>
      </c>
      <c r="D17" t="s">
        <v>933</v>
      </c>
      <c r="E17" t="s">
        <v>934</v>
      </c>
      <c r="F17" s="10">
        <v>10</v>
      </c>
      <c r="G17" s="10">
        <v>785</v>
      </c>
      <c r="H17" s="10">
        <v>25</v>
      </c>
      <c r="I17" s="10">
        <f t="shared" ref="I17:I22" si="1">G17-H17</f>
        <v>760</v>
      </c>
      <c r="J17" t="s">
        <v>25</v>
      </c>
      <c r="K17" t="s">
        <v>20</v>
      </c>
      <c r="L17" t="s">
        <v>896</v>
      </c>
      <c r="Q17" s="10">
        <v>1</v>
      </c>
    </row>
    <row r="18" spans="2:17" x14ac:dyDescent="0.25">
      <c r="B18" t="s">
        <v>16</v>
      </c>
      <c r="C18" t="s">
        <v>935</v>
      </c>
      <c r="D18" t="s">
        <v>936</v>
      </c>
      <c r="E18" t="s">
        <v>937</v>
      </c>
      <c r="F18" s="10">
        <v>3</v>
      </c>
      <c r="G18" s="10">
        <v>405</v>
      </c>
      <c r="H18" s="10">
        <v>25</v>
      </c>
      <c r="I18" s="10">
        <f t="shared" si="1"/>
        <v>380</v>
      </c>
      <c r="J18" t="s">
        <v>25</v>
      </c>
      <c r="K18" t="s">
        <v>20</v>
      </c>
      <c r="L18" t="s">
        <v>896</v>
      </c>
      <c r="Q18" s="10">
        <v>1</v>
      </c>
    </row>
    <row r="19" spans="2:17" x14ac:dyDescent="0.25">
      <c r="B19" t="s">
        <v>16</v>
      </c>
      <c r="C19" t="s">
        <v>938</v>
      </c>
      <c r="D19" t="s">
        <v>939</v>
      </c>
      <c r="E19" t="s">
        <v>940</v>
      </c>
      <c r="F19" t="s">
        <v>33</v>
      </c>
      <c r="G19" s="10">
        <v>390</v>
      </c>
      <c r="H19" s="10">
        <v>30</v>
      </c>
      <c r="I19" s="10">
        <f t="shared" si="1"/>
        <v>360</v>
      </c>
      <c r="J19" t="s">
        <v>20</v>
      </c>
      <c r="K19" t="s">
        <v>20</v>
      </c>
      <c r="L19" t="s">
        <v>896</v>
      </c>
      <c r="Q19" s="10">
        <v>1</v>
      </c>
    </row>
    <row r="20" spans="2:17" x14ac:dyDescent="0.25">
      <c r="B20" t="s">
        <v>16</v>
      </c>
      <c r="C20" t="s">
        <v>941</v>
      </c>
      <c r="D20" t="s">
        <v>942</v>
      </c>
      <c r="E20" t="s">
        <v>858</v>
      </c>
      <c r="F20" s="10">
        <v>4</v>
      </c>
      <c r="G20" s="10">
        <v>875</v>
      </c>
      <c r="H20" s="10">
        <v>25</v>
      </c>
      <c r="I20" s="10">
        <f t="shared" si="1"/>
        <v>850</v>
      </c>
      <c r="J20" t="s">
        <v>25</v>
      </c>
      <c r="K20" t="s">
        <v>20</v>
      </c>
      <c r="L20" t="s">
        <v>896</v>
      </c>
      <c r="Q20" s="10">
        <v>1</v>
      </c>
    </row>
    <row r="21" spans="2:17" x14ac:dyDescent="0.25">
      <c r="B21" t="s">
        <v>16</v>
      </c>
      <c r="C21" t="s">
        <v>943</v>
      </c>
      <c r="D21" t="s">
        <v>944</v>
      </c>
      <c r="E21" t="s">
        <v>945</v>
      </c>
      <c r="F21" s="10">
        <v>2</v>
      </c>
      <c r="G21" s="10">
        <v>1350</v>
      </c>
      <c r="H21" s="10">
        <v>30</v>
      </c>
      <c r="I21" s="10">
        <f t="shared" si="1"/>
        <v>1320</v>
      </c>
      <c r="J21" t="s">
        <v>20</v>
      </c>
      <c r="K21" t="s">
        <v>20</v>
      </c>
      <c r="L21" t="s">
        <v>896</v>
      </c>
      <c r="Q21" s="10">
        <v>1</v>
      </c>
    </row>
    <row r="22" spans="2:17" x14ac:dyDescent="0.25">
      <c r="B22" t="s">
        <v>16</v>
      </c>
      <c r="C22" t="s">
        <v>946</v>
      </c>
      <c r="D22" t="s">
        <v>947</v>
      </c>
      <c r="E22" t="s">
        <v>948</v>
      </c>
      <c r="F22" t="s">
        <v>47</v>
      </c>
      <c r="G22" s="10">
        <v>1640</v>
      </c>
      <c r="H22" s="10">
        <v>30</v>
      </c>
      <c r="I22" s="10">
        <f t="shared" si="1"/>
        <v>1610</v>
      </c>
      <c r="J22" t="s">
        <v>900</v>
      </c>
      <c r="K22" t="s">
        <v>20</v>
      </c>
      <c r="L22" t="s">
        <v>896</v>
      </c>
      <c r="Q22" s="10">
        <v>1</v>
      </c>
    </row>
    <row r="23" spans="2:17" x14ac:dyDescent="0.25">
      <c r="B23" t="s">
        <v>16</v>
      </c>
      <c r="C23" t="s">
        <v>949</v>
      </c>
      <c r="D23" t="s">
        <v>950</v>
      </c>
      <c r="E23" t="s">
        <v>951</v>
      </c>
      <c r="F23" s="10">
        <v>3</v>
      </c>
      <c r="G23" s="10">
        <v>0</v>
      </c>
      <c r="H23" s="10">
        <v>25</v>
      </c>
      <c r="I23" s="10">
        <f>-H23</f>
        <v>-25</v>
      </c>
      <c r="J23" t="s">
        <v>25</v>
      </c>
      <c r="K23" t="s">
        <v>20</v>
      </c>
      <c r="L23" t="s">
        <v>896</v>
      </c>
      <c r="Q23" s="10">
        <v>1</v>
      </c>
    </row>
    <row r="24" spans="2:17" x14ac:dyDescent="0.25">
      <c r="B24" t="s">
        <v>16</v>
      </c>
      <c r="C24" t="s">
        <v>952</v>
      </c>
      <c r="D24" t="s">
        <v>953</v>
      </c>
      <c r="E24" t="s">
        <v>954</v>
      </c>
      <c r="F24" s="10">
        <v>8</v>
      </c>
      <c r="G24" s="10">
        <v>815</v>
      </c>
      <c r="H24" s="10">
        <v>25</v>
      </c>
      <c r="I24" s="10">
        <f t="shared" ref="I24:I29" si="2">G24-H24</f>
        <v>790</v>
      </c>
      <c r="J24" t="s">
        <v>900</v>
      </c>
      <c r="K24" t="s">
        <v>20</v>
      </c>
      <c r="L24" t="s">
        <v>896</v>
      </c>
      <c r="Q24" s="10">
        <v>1</v>
      </c>
    </row>
    <row r="25" spans="2:17" x14ac:dyDescent="0.25">
      <c r="B25" t="s">
        <v>16</v>
      </c>
      <c r="C25" t="s">
        <v>955</v>
      </c>
      <c r="D25" t="s">
        <v>956</v>
      </c>
      <c r="E25" t="s">
        <v>957</v>
      </c>
      <c r="F25" t="s">
        <v>47</v>
      </c>
      <c r="G25" s="10">
        <v>820</v>
      </c>
      <c r="H25" s="10">
        <v>30</v>
      </c>
      <c r="I25" s="10">
        <f t="shared" si="2"/>
        <v>790</v>
      </c>
      <c r="J25" t="s">
        <v>900</v>
      </c>
      <c r="K25" t="s">
        <v>20</v>
      </c>
      <c r="L25" t="s">
        <v>896</v>
      </c>
      <c r="Q25" s="10">
        <v>1</v>
      </c>
    </row>
    <row r="26" spans="2:17" x14ac:dyDescent="0.25">
      <c r="B26" t="s">
        <v>16</v>
      </c>
      <c r="C26" t="s">
        <v>958</v>
      </c>
      <c r="D26" t="s">
        <v>959</v>
      </c>
      <c r="E26" t="s">
        <v>960</v>
      </c>
      <c r="F26" t="s">
        <v>95</v>
      </c>
      <c r="G26" s="10">
        <v>945</v>
      </c>
      <c r="H26" s="10">
        <v>25</v>
      </c>
      <c r="I26" s="10">
        <f t="shared" si="2"/>
        <v>920</v>
      </c>
      <c r="J26" t="s">
        <v>25</v>
      </c>
      <c r="K26" t="s">
        <v>20</v>
      </c>
      <c r="L26" t="s">
        <v>896</v>
      </c>
      <c r="Q26" s="10">
        <v>1</v>
      </c>
    </row>
    <row r="27" spans="2:17" x14ac:dyDescent="0.25">
      <c r="B27" t="s">
        <v>16</v>
      </c>
      <c r="C27" t="s">
        <v>961</v>
      </c>
      <c r="D27" t="s">
        <v>962</v>
      </c>
      <c r="E27" t="s">
        <v>963</v>
      </c>
      <c r="F27" t="s">
        <v>91</v>
      </c>
      <c r="G27" s="10">
        <v>730</v>
      </c>
      <c r="H27" s="10">
        <v>20</v>
      </c>
      <c r="I27" s="10">
        <f t="shared" si="2"/>
        <v>710</v>
      </c>
      <c r="J27" t="s">
        <v>25</v>
      </c>
      <c r="K27" t="s">
        <v>20</v>
      </c>
      <c r="L27" t="s">
        <v>896</v>
      </c>
      <c r="Q27" s="10">
        <v>1</v>
      </c>
    </row>
    <row r="28" spans="2:17" x14ac:dyDescent="0.25">
      <c r="B28" t="s">
        <v>16</v>
      </c>
      <c r="C28" t="s">
        <v>408</v>
      </c>
      <c r="D28" t="s">
        <v>964</v>
      </c>
      <c r="E28" t="s">
        <v>762</v>
      </c>
      <c r="F28" t="s">
        <v>33</v>
      </c>
      <c r="G28" s="10">
        <v>770</v>
      </c>
      <c r="H28" s="10">
        <v>30</v>
      </c>
      <c r="I28" s="10">
        <f t="shared" si="2"/>
        <v>740</v>
      </c>
      <c r="J28" t="s">
        <v>20</v>
      </c>
      <c r="K28" t="s">
        <v>20</v>
      </c>
      <c r="L28" t="s">
        <v>896</v>
      </c>
      <c r="Q28" s="10">
        <v>1</v>
      </c>
    </row>
    <row r="29" spans="2:17" x14ac:dyDescent="0.25">
      <c r="B29" t="s">
        <v>16</v>
      </c>
      <c r="C29" t="s">
        <v>163</v>
      </c>
      <c r="D29" t="s">
        <v>965</v>
      </c>
      <c r="E29" t="s">
        <v>165</v>
      </c>
      <c r="F29" s="10">
        <v>8</v>
      </c>
      <c r="G29" s="10">
        <v>835</v>
      </c>
      <c r="H29" s="10">
        <v>25</v>
      </c>
      <c r="I29" s="10">
        <f t="shared" si="2"/>
        <v>810</v>
      </c>
      <c r="J29" t="s">
        <v>900</v>
      </c>
      <c r="K29" t="s">
        <v>20</v>
      </c>
      <c r="L29" t="s">
        <v>896</v>
      </c>
      <c r="Q29" s="10">
        <v>1</v>
      </c>
    </row>
    <row r="30" spans="2:17" x14ac:dyDescent="0.25">
      <c r="B30" t="s">
        <v>16</v>
      </c>
      <c r="C30" t="s">
        <v>966</v>
      </c>
      <c r="D30" t="s">
        <v>967</v>
      </c>
      <c r="E30" t="s">
        <v>727</v>
      </c>
      <c r="F30" t="s">
        <v>95</v>
      </c>
      <c r="G30" s="10">
        <v>0</v>
      </c>
      <c r="H30" s="10">
        <v>25</v>
      </c>
      <c r="I30" s="10">
        <f>-H30</f>
        <v>-25</v>
      </c>
      <c r="J30" t="s">
        <v>25</v>
      </c>
      <c r="K30" t="s">
        <v>20</v>
      </c>
      <c r="L30" t="s">
        <v>896</v>
      </c>
      <c r="Q30" s="10">
        <v>1</v>
      </c>
    </row>
    <row r="31" spans="2:17" x14ac:dyDescent="0.25">
      <c r="B31" t="s">
        <v>16</v>
      </c>
      <c r="C31" t="s">
        <v>968</v>
      </c>
      <c r="D31" t="s">
        <v>969</v>
      </c>
      <c r="E31" t="s">
        <v>970</v>
      </c>
      <c r="F31" s="10">
        <v>2</v>
      </c>
      <c r="G31" s="10">
        <v>410</v>
      </c>
      <c r="H31" s="10">
        <v>30</v>
      </c>
      <c r="I31" s="10">
        <f>G31-H31</f>
        <v>380</v>
      </c>
      <c r="J31" t="s">
        <v>20</v>
      </c>
      <c r="K31" t="s">
        <v>20</v>
      </c>
      <c r="L31" t="s">
        <v>896</v>
      </c>
      <c r="Q31" s="10">
        <v>1</v>
      </c>
    </row>
    <row r="32" spans="2:17" x14ac:dyDescent="0.25">
      <c r="B32" t="s">
        <v>16</v>
      </c>
      <c r="C32" t="s">
        <v>497</v>
      </c>
      <c r="D32" t="s">
        <v>498</v>
      </c>
      <c r="E32" t="s">
        <v>499</v>
      </c>
      <c r="F32" s="10">
        <v>9</v>
      </c>
      <c r="G32" s="10">
        <v>390</v>
      </c>
      <c r="H32" s="10">
        <v>30</v>
      </c>
      <c r="I32" s="10">
        <f>G32-H32</f>
        <v>360</v>
      </c>
      <c r="J32" t="s">
        <v>438</v>
      </c>
      <c r="K32" t="s">
        <v>20</v>
      </c>
      <c r="L32" t="s">
        <v>481</v>
      </c>
      <c r="N32" t="s">
        <v>288</v>
      </c>
      <c r="O32" t="s">
        <v>288</v>
      </c>
      <c r="P32" t="s">
        <v>440</v>
      </c>
      <c r="Q32" s="10">
        <v>1</v>
      </c>
    </row>
    <row r="33" spans="1:17" x14ac:dyDescent="0.25">
      <c r="B33" t="s">
        <v>16</v>
      </c>
      <c r="C33" t="s">
        <v>971</v>
      </c>
      <c r="D33" t="s">
        <v>972</v>
      </c>
      <c r="E33" t="s">
        <v>973</v>
      </c>
      <c r="F33" s="10">
        <v>1</v>
      </c>
      <c r="G33" s="10">
        <v>0</v>
      </c>
      <c r="H33" s="10">
        <v>25</v>
      </c>
      <c r="I33" s="10">
        <f>-H33</f>
        <v>-25</v>
      </c>
      <c r="J33" t="s">
        <v>25</v>
      </c>
      <c r="K33" t="s">
        <v>20</v>
      </c>
      <c r="L33" t="s">
        <v>896</v>
      </c>
      <c r="Q33" s="10">
        <v>1</v>
      </c>
    </row>
    <row r="35" spans="1:17" x14ac:dyDescent="0.25">
      <c r="D35" s="4">
        <f>COUNTA(D3:D33)</f>
        <v>27</v>
      </c>
      <c r="G35" s="4">
        <f t="shared" ref="G35:Q35" si="3">SUBTOTAL(9,G3:G33)</f>
        <v>20155</v>
      </c>
      <c r="H35" s="4">
        <f t="shared" si="3"/>
        <v>825</v>
      </c>
      <c r="I35" s="4">
        <f t="shared" si="3"/>
        <v>19330</v>
      </c>
      <c r="J35" s="4">
        <f t="shared" si="3"/>
        <v>0</v>
      </c>
      <c r="K35" s="4">
        <f t="shared" si="3"/>
        <v>0</v>
      </c>
      <c r="L35" s="4">
        <f t="shared" si="3"/>
        <v>0</v>
      </c>
      <c r="M35" s="4">
        <f t="shared" si="3"/>
        <v>0</v>
      </c>
      <c r="N35" s="4">
        <f t="shared" si="3"/>
        <v>0</v>
      </c>
      <c r="O35" s="4">
        <f t="shared" si="3"/>
        <v>0</v>
      </c>
      <c r="P35" s="4">
        <f t="shared" si="3"/>
        <v>0</v>
      </c>
      <c r="Q35" s="4">
        <f t="shared" si="3"/>
        <v>31</v>
      </c>
    </row>
    <row r="37" spans="1:17" x14ac:dyDescent="0.25">
      <c r="A37" s="4" t="s">
        <v>16</v>
      </c>
      <c r="C37" s="76" t="s">
        <v>262</v>
      </c>
      <c r="D37" s="76"/>
      <c r="E37" s="7" t="s">
        <v>263</v>
      </c>
      <c r="K37" s="43" t="s">
        <v>25</v>
      </c>
      <c r="L37" s="43" t="s">
        <v>264</v>
      </c>
      <c r="M37" s="43" t="s">
        <v>263</v>
      </c>
      <c r="O37" s="7"/>
    </row>
    <row r="38" spans="1:17" x14ac:dyDescent="0.25">
      <c r="A38" t="s">
        <v>896</v>
      </c>
      <c r="B38" s="6" t="s">
        <v>265</v>
      </c>
      <c r="C38" s="77">
        <f>SUMIFS(I$3:I$33,B$3:B$33,A$37,L$3:L$33,A$38)</f>
        <v>18970</v>
      </c>
      <c r="D38" s="77"/>
      <c r="E38" s="6">
        <f>SUMIFS(Q$3:Q$33,B$3:B$33,A$37,L$3:L$33,A$38)</f>
        <v>30</v>
      </c>
      <c r="F38" t="s">
        <v>464</v>
      </c>
      <c r="K38" t="s">
        <v>266</v>
      </c>
      <c r="L38">
        <f>SUMIFS(G$3:G$33,J$3:J$33,K$37)</f>
        <v>6960</v>
      </c>
      <c r="M38">
        <f>SUMIFS(Q$3:Q$33,J$3:J$33,K$37)</f>
        <v>14</v>
      </c>
    </row>
    <row r="39" spans="1:17" x14ac:dyDescent="0.25">
      <c r="B39" s="5" t="s">
        <v>974</v>
      </c>
      <c r="C39" s="78">
        <v>0</v>
      </c>
      <c r="D39" s="78"/>
      <c r="K39" t="s">
        <v>268</v>
      </c>
      <c r="L39">
        <f>-SUMIFS(H$3:H$33,J$3:J$33,K$37)+M39*5</f>
        <v>-275</v>
      </c>
      <c r="M39">
        <f>SUMIFS(Q$3:Q$33,J$3:J$33,K$37)-COUNTIFS(J$3:J$33,K$37,M$3:M$33,"*gộp*")</f>
        <v>14</v>
      </c>
    </row>
    <row r="40" spans="1:17" x14ac:dyDescent="0.25">
      <c r="B40" s="5" t="s">
        <v>269</v>
      </c>
      <c r="C40" s="78">
        <f>-SUMIFS(I$3:I$33,B$3:B$33,A$37,P$3:P$33,"xx",N$3:N$33,"x")</f>
        <v>-360</v>
      </c>
      <c r="D40" s="78"/>
      <c r="E40" s="5">
        <f>SUMIFS(Q$3:Q$33,B$3:B$33,A$37,P$3:P$33,"xx",N$3:N$33,"x")</f>
        <v>1</v>
      </c>
      <c r="K40" t="s">
        <v>468</v>
      </c>
    </row>
    <row r="41" spans="1:17" x14ac:dyDescent="0.25">
      <c r="B41" s="7" t="s">
        <v>270</v>
      </c>
      <c r="C41" s="76">
        <f>SUBTOTAL(9,C38:C40)</f>
        <v>18610</v>
      </c>
      <c r="D41" s="76"/>
      <c r="E41">
        <f>E38</f>
        <v>30</v>
      </c>
      <c r="K41" s="5" t="s">
        <v>72</v>
      </c>
    </row>
    <row r="42" spans="1:17" x14ac:dyDescent="0.25">
      <c r="B42" s="5" t="s">
        <v>471</v>
      </c>
      <c r="C42" s="74"/>
      <c r="D42" s="74"/>
      <c r="K42" s="5" t="s">
        <v>272</v>
      </c>
      <c r="O42" s="7"/>
      <c r="P42" s="7"/>
    </row>
    <row r="43" spans="1:17" x14ac:dyDescent="0.25">
      <c r="B43" s="70" t="s">
        <v>273</v>
      </c>
      <c r="C43" s="74"/>
      <c r="D43" s="74"/>
      <c r="L43" s="45">
        <f>SUBTOTAL(9,L38:L42)</f>
        <v>6685</v>
      </c>
      <c r="M43" s="45">
        <f>M38</f>
        <v>14</v>
      </c>
    </row>
    <row r="45" spans="1:17" x14ac:dyDescent="0.25">
      <c r="B45" s="4" t="s">
        <v>274</v>
      </c>
      <c r="C45" s="75">
        <f>C41+C42+C43</f>
        <v>18610</v>
      </c>
      <c r="D45" s="75"/>
      <c r="E45" s="4" t="s">
        <v>275</v>
      </c>
      <c r="K45" s="43" t="s">
        <v>20</v>
      </c>
      <c r="L45" s="43" t="s">
        <v>264</v>
      </c>
      <c r="M45" s="43" t="s">
        <v>263</v>
      </c>
    </row>
    <row r="46" spans="1:17" x14ac:dyDescent="0.25">
      <c r="K46" t="s">
        <v>266</v>
      </c>
      <c r="L46">
        <f>SUMIFS(G$3:G$33,J$3:J$33,K$45)</f>
        <v>5965</v>
      </c>
      <c r="M46">
        <f>SUMIFS(Q$3:Q$33,J$3:J$33,K$45)</f>
        <v>7</v>
      </c>
    </row>
    <row r="47" spans="1:17" x14ac:dyDescent="0.25">
      <c r="K47" t="s">
        <v>268</v>
      </c>
      <c r="L47">
        <f>-SUMIFS(H$3:H$33,J$3:J$33,K$45)+M47*5</f>
        <v>-170</v>
      </c>
      <c r="M47">
        <f>SUMIFS(Q$3:Q$33,J$3:J$33,K$45)-COUNTIFS(J$3:J$33,K$45,M$3:M$33,"*gộp*")</f>
        <v>7</v>
      </c>
    </row>
    <row r="48" spans="1:17" x14ac:dyDescent="0.25">
      <c r="K48" t="s">
        <v>468</v>
      </c>
    </row>
    <row r="49" spans="11:13" x14ac:dyDescent="0.25">
      <c r="K49" s="5" t="s">
        <v>72</v>
      </c>
    </row>
    <row r="50" spans="11:13" x14ac:dyDescent="0.25">
      <c r="K50" s="5" t="s">
        <v>272</v>
      </c>
    </row>
    <row r="51" spans="11:13" x14ac:dyDescent="0.25">
      <c r="L51" s="45">
        <f>SUBTOTAL(9,L46:L50)</f>
        <v>5795</v>
      </c>
      <c r="M51" s="45">
        <f>M46</f>
        <v>7</v>
      </c>
    </row>
  </sheetData>
  <autoFilter ref="A2:P33" xr:uid="{00000000-0009-0000-0000-00000B000000}"/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6"/>
  <sheetViews>
    <sheetView tabSelected="1" topLeftCell="A13" workbookViewId="0">
      <selection activeCell="C21" sqref="C21"/>
    </sheetView>
  </sheetViews>
  <sheetFormatPr defaultRowHeight="15" x14ac:dyDescent="0.25"/>
  <cols>
    <col min="1" max="1" width="14.42578125" customWidth="1"/>
    <col min="2" max="2" width="19.140625" customWidth="1"/>
    <col min="3" max="3" width="16.85546875" bestFit="1" customWidth="1"/>
    <col min="4" max="4" width="10.140625" customWidth="1"/>
    <col min="5" max="5" width="55.140625" customWidth="1"/>
    <col min="6" max="6" width="10" customWidth="1"/>
    <col min="7" max="7" width="11.42578125" customWidth="1"/>
    <col min="8" max="8" width="12" customWidth="1"/>
    <col min="9" max="9" width="13.140625" customWidth="1"/>
    <col min="10" max="10" width="12.140625" customWidth="1"/>
    <col min="11" max="11" width="13.42578125" customWidth="1"/>
    <col min="12" max="12" width="12" customWidth="1"/>
    <col min="13" max="13" width="11.140625" customWidth="1"/>
    <col min="14" max="14" width="12.140625" customWidth="1"/>
    <col min="15" max="15" width="12.85546875" customWidth="1"/>
    <col min="16" max="16" width="7" bestFit="1" customWidth="1"/>
    <col min="17" max="17" width="11" customWidth="1"/>
  </cols>
  <sheetData>
    <row r="1" spans="1:17" x14ac:dyDescent="0.25">
      <c r="B1" t="s">
        <v>591</v>
      </c>
      <c r="C1" t="s">
        <v>1023</v>
      </c>
    </row>
    <row r="2" spans="1:17" x14ac:dyDescent="0.25">
      <c r="A2" s="38" t="s">
        <v>0</v>
      </c>
      <c r="B2" s="38" t="s">
        <v>1</v>
      </c>
      <c r="C2" s="38" t="s">
        <v>2</v>
      </c>
      <c r="D2" s="38" t="s">
        <v>3</v>
      </c>
      <c r="E2" s="38" t="s">
        <v>4</v>
      </c>
      <c r="F2" s="38" t="s">
        <v>5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t="s">
        <v>475</v>
      </c>
    </row>
    <row r="3" spans="1:17" x14ac:dyDescent="0.25">
      <c r="B3" t="s">
        <v>16</v>
      </c>
      <c r="C3" t="s">
        <v>975</v>
      </c>
      <c r="D3" t="s">
        <v>976</v>
      </c>
      <c r="E3" t="s">
        <v>977</v>
      </c>
      <c r="F3" s="10">
        <v>7</v>
      </c>
      <c r="G3" s="10">
        <v>670</v>
      </c>
      <c r="H3" s="10">
        <v>30</v>
      </c>
      <c r="I3" s="10">
        <f>G3-H3</f>
        <v>640</v>
      </c>
      <c r="J3" t="s">
        <v>978</v>
      </c>
      <c r="K3" t="s">
        <v>20</v>
      </c>
      <c r="L3" t="s">
        <v>979</v>
      </c>
      <c r="M3" t="s">
        <v>354</v>
      </c>
      <c r="Q3">
        <v>1</v>
      </c>
    </row>
    <row r="4" spans="1:17" x14ac:dyDescent="0.25">
      <c r="B4" t="s">
        <v>16</v>
      </c>
      <c r="C4" t="s">
        <v>975</v>
      </c>
      <c r="D4" t="s">
        <v>989</v>
      </c>
      <c r="E4" t="s">
        <v>977</v>
      </c>
      <c r="F4" s="10">
        <v>7</v>
      </c>
      <c r="G4" s="10">
        <v>380</v>
      </c>
      <c r="H4" s="10">
        <v>0</v>
      </c>
      <c r="I4" s="10">
        <f>G4-H4</f>
        <v>380</v>
      </c>
      <c r="J4" t="s">
        <v>978</v>
      </c>
      <c r="K4" t="s">
        <v>20</v>
      </c>
      <c r="L4" t="s">
        <v>979</v>
      </c>
      <c r="M4" t="s">
        <v>354</v>
      </c>
      <c r="Q4">
        <v>1</v>
      </c>
    </row>
    <row r="5" spans="1:17" x14ac:dyDescent="0.25">
      <c r="B5" t="s">
        <v>16</v>
      </c>
      <c r="C5" t="s">
        <v>1002</v>
      </c>
      <c r="D5" t="s">
        <v>1003</v>
      </c>
      <c r="E5" t="s">
        <v>1004</v>
      </c>
      <c r="F5" s="10">
        <v>9</v>
      </c>
      <c r="G5" s="10">
        <v>670</v>
      </c>
      <c r="H5" s="10">
        <v>30</v>
      </c>
      <c r="I5" s="10">
        <f>G5-H5</f>
        <v>640</v>
      </c>
      <c r="J5" t="s">
        <v>978</v>
      </c>
      <c r="K5" t="s">
        <v>20</v>
      </c>
      <c r="L5" t="s">
        <v>979</v>
      </c>
      <c r="Q5">
        <v>1</v>
      </c>
    </row>
    <row r="6" spans="1:17" x14ac:dyDescent="0.25">
      <c r="B6" t="s">
        <v>16</v>
      </c>
      <c r="C6" t="s">
        <v>980</v>
      </c>
      <c r="D6" t="s">
        <v>981</v>
      </c>
      <c r="E6" t="s">
        <v>982</v>
      </c>
      <c r="F6" s="10">
        <v>12</v>
      </c>
      <c r="G6" s="10">
        <v>730</v>
      </c>
      <c r="H6" s="10">
        <v>30</v>
      </c>
      <c r="I6" s="10">
        <f>G6-H6</f>
        <v>700</v>
      </c>
      <c r="J6" t="s">
        <v>978</v>
      </c>
      <c r="K6" t="s">
        <v>20</v>
      </c>
      <c r="L6" t="s">
        <v>979</v>
      </c>
      <c r="Q6">
        <v>1</v>
      </c>
    </row>
    <row r="7" spans="1:17" x14ac:dyDescent="0.25">
      <c r="B7" t="s">
        <v>16</v>
      </c>
      <c r="C7" t="s">
        <v>996</v>
      </c>
      <c r="D7" t="s">
        <v>997</v>
      </c>
      <c r="E7" t="s">
        <v>998</v>
      </c>
      <c r="F7" s="10">
        <v>12</v>
      </c>
      <c r="G7" s="10">
        <v>0</v>
      </c>
      <c r="H7" s="10">
        <v>30</v>
      </c>
      <c r="I7" s="10">
        <f>-H7</f>
        <v>-30</v>
      </c>
      <c r="J7" t="s">
        <v>978</v>
      </c>
      <c r="K7" t="s">
        <v>20</v>
      </c>
      <c r="L7" t="s">
        <v>979</v>
      </c>
      <c r="Q7">
        <v>1</v>
      </c>
    </row>
    <row r="8" spans="1:17" x14ac:dyDescent="0.25">
      <c r="B8" t="s">
        <v>16</v>
      </c>
      <c r="C8" t="s">
        <v>1005</v>
      </c>
      <c r="D8" t="s">
        <v>1006</v>
      </c>
      <c r="E8" t="s">
        <v>1007</v>
      </c>
      <c r="F8" s="10">
        <v>12</v>
      </c>
      <c r="G8" s="10">
        <v>0</v>
      </c>
      <c r="H8" s="10">
        <v>30</v>
      </c>
      <c r="I8" s="10">
        <f>-H8</f>
        <v>-30</v>
      </c>
      <c r="J8" t="s">
        <v>978</v>
      </c>
      <c r="K8" t="s">
        <v>20</v>
      </c>
      <c r="L8" t="s">
        <v>979</v>
      </c>
      <c r="M8" t="s">
        <v>312</v>
      </c>
      <c r="Q8">
        <v>1</v>
      </c>
    </row>
    <row r="9" spans="1:17" x14ac:dyDescent="0.25">
      <c r="B9" t="s">
        <v>16</v>
      </c>
      <c r="C9" t="s">
        <v>999</v>
      </c>
      <c r="D9" t="s">
        <v>1000</v>
      </c>
      <c r="E9" t="s">
        <v>1001</v>
      </c>
      <c r="F9" t="s">
        <v>61</v>
      </c>
      <c r="G9" s="10">
        <v>755</v>
      </c>
      <c r="H9" s="10">
        <v>25</v>
      </c>
      <c r="I9" s="10">
        <f>G9-H9</f>
        <v>730</v>
      </c>
      <c r="J9" t="s">
        <v>978</v>
      </c>
      <c r="K9" t="s">
        <v>20</v>
      </c>
      <c r="L9" t="s">
        <v>979</v>
      </c>
      <c r="Q9">
        <v>1</v>
      </c>
    </row>
    <row r="10" spans="1:17" x14ac:dyDescent="0.25">
      <c r="A10" t="s">
        <v>253</v>
      </c>
      <c r="B10" t="s">
        <v>16</v>
      </c>
      <c r="C10" t="s">
        <v>1024</v>
      </c>
      <c r="E10" t="s">
        <v>777</v>
      </c>
      <c r="F10" t="s">
        <v>95</v>
      </c>
      <c r="G10" s="10">
        <v>1860</v>
      </c>
      <c r="H10" s="10">
        <v>60</v>
      </c>
      <c r="I10" s="10">
        <f>G10-H10</f>
        <v>1800</v>
      </c>
      <c r="J10" t="s">
        <v>978</v>
      </c>
      <c r="K10" t="s">
        <v>20</v>
      </c>
      <c r="L10" t="s">
        <v>979</v>
      </c>
      <c r="Q10">
        <v>1</v>
      </c>
    </row>
    <row r="11" spans="1:17" x14ac:dyDescent="0.25">
      <c r="B11" t="s">
        <v>16</v>
      </c>
      <c r="C11" t="s">
        <v>1012</v>
      </c>
      <c r="D11" t="s">
        <v>1013</v>
      </c>
      <c r="E11" t="s">
        <v>1014</v>
      </c>
      <c r="F11" s="10">
        <v>2</v>
      </c>
      <c r="G11" s="10">
        <v>870</v>
      </c>
      <c r="H11" s="10">
        <v>30</v>
      </c>
      <c r="I11" s="10">
        <f>G11-H11</f>
        <v>840</v>
      </c>
      <c r="J11" t="s">
        <v>20</v>
      </c>
      <c r="K11" t="s">
        <v>20</v>
      </c>
      <c r="L11" t="s">
        <v>979</v>
      </c>
      <c r="Q11">
        <v>1</v>
      </c>
    </row>
    <row r="12" spans="1:17" x14ac:dyDescent="0.25">
      <c r="B12" t="s">
        <v>16</v>
      </c>
      <c r="C12" t="s">
        <v>986</v>
      </c>
      <c r="D12" t="s">
        <v>987</v>
      </c>
      <c r="E12" t="s">
        <v>988</v>
      </c>
      <c r="F12" t="s">
        <v>51</v>
      </c>
      <c r="G12" s="10">
        <v>1630</v>
      </c>
      <c r="H12" s="10">
        <v>20</v>
      </c>
      <c r="I12" s="10">
        <f>G12-H12</f>
        <v>1610</v>
      </c>
      <c r="J12" t="s">
        <v>20</v>
      </c>
      <c r="K12" t="s">
        <v>20</v>
      </c>
      <c r="L12" t="s">
        <v>979</v>
      </c>
      <c r="Q12">
        <v>1</v>
      </c>
    </row>
    <row r="13" spans="1:17" x14ac:dyDescent="0.25">
      <c r="B13" t="s">
        <v>16</v>
      </c>
      <c r="C13" t="s">
        <v>993</v>
      </c>
      <c r="D13" t="s">
        <v>994</v>
      </c>
      <c r="E13" t="s">
        <v>995</v>
      </c>
      <c r="F13" t="s">
        <v>51</v>
      </c>
      <c r="G13" s="10">
        <v>0</v>
      </c>
      <c r="H13" s="10">
        <v>20</v>
      </c>
      <c r="I13" s="10">
        <f>-H13</f>
        <v>-20</v>
      </c>
      <c r="J13" t="s">
        <v>20</v>
      </c>
      <c r="K13" t="s">
        <v>20</v>
      </c>
      <c r="L13" t="s">
        <v>979</v>
      </c>
      <c r="Q13">
        <v>1</v>
      </c>
    </row>
    <row r="14" spans="1:17" x14ac:dyDescent="0.25">
      <c r="B14" t="s">
        <v>16</v>
      </c>
      <c r="C14" t="s">
        <v>1015</v>
      </c>
      <c r="D14" t="s">
        <v>1016</v>
      </c>
      <c r="E14" t="s">
        <v>1017</v>
      </c>
      <c r="F14" t="s">
        <v>51</v>
      </c>
      <c r="G14" s="10">
        <v>810</v>
      </c>
      <c r="H14" s="10">
        <v>20</v>
      </c>
      <c r="I14" s="10">
        <f>G14-H14</f>
        <v>790</v>
      </c>
      <c r="J14" t="s">
        <v>20</v>
      </c>
      <c r="K14" t="s">
        <v>20</v>
      </c>
      <c r="L14" t="s">
        <v>979</v>
      </c>
      <c r="Q14">
        <v>1</v>
      </c>
    </row>
    <row r="15" spans="1:17" x14ac:dyDescent="0.25">
      <c r="A15" t="s">
        <v>253</v>
      </c>
      <c r="B15" t="s">
        <v>16</v>
      </c>
      <c r="C15" t="s">
        <v>1018</v>
      </c>
      <c r="E15" t="s">
        <v>1019</v>
      </c>
      <c r="F15" t="s">
        <v>51</v>
      </c>
      <c r="G15" s="10">
        <v>30</v>
      </c>
      <c r="H15" s="10">
        <v>30</v>
      </c>
      <c r="I15" s="10">
        <f>G15-H15</f>
        <v>0</v>
      </c>
      <c r="J15" t="s">
        <v>20</v>
      </c>
      <c r="K15" t="s">
        <v>20</v>
      </c>
      <c r="L15" t="s">
        <v>979</v>
      </c>
      <c r="Q15">
        <v>1</v>
      </c>
    </row>
    <row r="16" spans="1:17" x14ac:dyDescent="0.25">
      <c r="A16" t="s">
        <v>253</v>
      </c>
      <c r="B16" t="s">
        <v>16</v>
      </c>
      <c r="C16" t="s">
        <v>256</v>
      </c>
      <c r="E16" t="s">
        <v>257</v>
      </c>
      <c r="F16" t="s">
        <v>116</v>
      </c>
      <c r="G16" s="10">
        <v>30</v>
      </c>
      <c r="H16" s="10">
        <v>30</v>
      </c>
      <c r="I16" s="10">
        <f>G16-H16</f>
        <v>0</v>
      </c>
      <c r="J16" t="s">
        <v>20</v>
      </c>
      <c r="K16" t="s">
        <v>20</v>
      </c>
      <c r="L16" t="s">
        <v>979</v>
      </c>
      <c r="Q16">
        <v>1</v>
      </c>
    </row>
    <row r="17" spans="1:17" x14ac:dyDescent="0.25">
      <c r="A17" t="s">
        <v>253</v>
      </c>
      <c r="B17" t="s">
        <v>16</v>
      </c>
      <c r="C17" t="s">
        <v>1020</v>
      </c>
      <c r="E17" t="s">
        <v>1021</v>
      </c>
      <c r="F17" t="s">
        <v>116</v>
      </c>
      <c r="G17" s="10">
        <v>0</v>
      </c>
      <c r="H17" s="10">
        <v>30</v>
      </c>
      <c r="I17" s="10">
        <f>-H17</f>
        <v>-30</v>
      </c>
      <c r="J17" t="s">
        <v>20</v>
      </c>
      <c r="K17" t="s">
        <v>20</v>
      </c>
      <c r="L17" t="s">
        <v>979</v>
      </c>
      <c r="Q17">
        <v>1</v>
      </c>
    </row>
    <row r="18" spans="1:17" x14ac:dyDescent="0.25">
      <c r="B18" t="s">
        <v>16</v>
      </c>
      <c r="C18" t="s">
        <v>1008</v>
      </c>
      <c r="D18" t="s">
        <v>1009</v>
      </c>
      <c r="E18" t="s">
        <v>1010</v>
      </c>
      <c r="F18" s="10">
        <v>10</v>
      </c>
      <c r="G18" s="10">
        <v>1455</v>
      </c>
      <c r="H18" s="10">
        <v>25</v>
      </c>
      <c r="I18" s="10">
        <f>G18-H18</f>
        <v>1430</v>
      </c>
      <c r="J18" t="s">
        <v>25</v>
      </c>
      <c r="K18" t="s">
        <v>20</v>
      </c>
      <c r="L18" t="s">
        <v>979</v>
      </c>
      <c r="Q18">
        <v>1</v>
      </c>
    </row>
    <row r="19" spans="1:17" x14ac:dyDescent="0.25">
      <c r="B19" t="s">
        <v>16</v>
      </c>
      <c r="C19" t="s">
        <v>990</v>
      </c>
      <c r="D19" t="s">
        <v>991</v>
      </c>
      <c r="E19" t="s">
        <v>992</v>
      </c>
      <c r="F19" t="s">
        <v>91</v>
      </c>
      <c r="G19" s="10">
        <v>660</v>
      </c>
      <c r="H19" s="10">
        <v>20</v>
      </c>
      <c r="I19" s="10">
        <f>G19-H19</f>
        <v>640</v>
      </c>
      <c r="J19" t="s">
        <v>25</v>
      </c>
      <c r="K19" t="s">
        <v>20</v>
      </c>
      <c r="L19" t="s">
        <v>979</v>
      </c>
      <c r="Q19">
        <v>1</v>
      </c>
    </row>
    <row r="20" spans="1:17" x14ac:dyDescent="0.25">
      <c r="B20" t="s">
        <v>16</v>
      </c>
      <c r="C20" t="s">
        <v>126</v>
      </c>
      <c r="D20" t="s">
        <v>1011</v>
      </c>
      <c r="E20" t="s">
        <v>128</v>
      </c>
      <c r="F20" t="s">
        <v>91</v>
      </c>
      <c r="G20" s="10">
        <v>600</v>
      </c>
      <c r="H20" s="10">
        <v>20</v>
      </c>
      <c r="I20" s="10">
        <f>G20-H20</f>
        <v>580</v>
      </c>
      <c r="J20" t="s">
        <v>25</v>
      </c>
      <c r="K20" t="s">
        <v>20</v>
      </c>
      <c r="L20" t="s">
        <v>979</v>
      </c>
      <c r="Q20">
        <v>1</v>
      </c>
    </row>
    <row r="21" spans="1:17" x14ac:dyDescent="0.25">
      <c r="B21" t="s">
        <v>16</v>
      </c>
      <c r="C21" t="s">
        <v>983</v>
      </c>
      <c r="D21" t="s">
        <v>984</v>
      </c>
      <c r="E21" t="s">
        <v>985</v>
      </c>
      <c r="F21" t="s">
        <v>95</v>
      </c>
      <c r="G21" s="10">
        <v>875</v>
      </c>
      <c r="H21" s="10">
        <v>25</v>
      </c>
      <c r="I21" s="10">
        <f>G21-H21</f>
        <v>850</v>
      </c>
      <c r="J21" t="s">
        <v>25</v>
      </c>
      <c r="K21" t="s">
        <v>20</v>
      </c>
      <c r="L21" t="s">
        <v>979</v>
      </c>
      <c r="Q21">
        <v>1</v>
      </c>
    </row>
    <row r="22" spans="1:17" x14ac:dyDescent="0.25">
      <c r="D22" s="4">
        <f>COUNTA(D3:D20)</f>
        <v>14</v>
      </c>
      <c r="G22" s="4">
        <f>SUBTOTAL(9,G3:G21)</f>
        <v>12025</v>
      </c>
      <c r="H22" s="4">
        <f>SUBTOTAL(9,H3:H21)</f>
        <v>505</v>
      </c>
      <c r="I22" s="4">
        <f>SUBTOTAL(9,I3:I21)</f>
        <v>11520</v>
      </c>
      <c r="J22" s="4">
        <f>SUBTOTAL(9,J3:J20)</f>
        <v>0</v>
      </c>
      <c r="K22" s="4">
        <f>SUBTOTAL(9,K3:K20)</f>
        <v>0</v>
      </c>
      <c r="L22" s="4">
        <f>SUBTOTAL(9,L3:L20)</f>
        <v>0</v>
      </c>
      <c r="M22" s="4">
        <f>SUBTOTAL(9,M3:M20)</f>
        <v>0</v>
      </c>
      <c r="N22" s="4">
        <f>SUBTOTAL(9,N3:N20)</f>
        <v>0</v>
      </c>
      <c r="O22" s="4">
        <f>SUBTOTAL(9,O3:O20)</f>
        <v>0</v>
      </c>
      <c r="P22" s="4">
        <f>SUBTOTAL(9,P3:P20)</f>
        <v>0</v>
      </c>
      <c r="Q22" s="4">
        <f>SUBTOTAL(9,Q3:Q21)</f>
        <v>19</v>
      </c>
    </row>
    <row r="23" spans="1:17" x14ac:dyDescent="0.25">
      <c r="H23">
        <f>-3*17</f>
        <v>-51</v>
      </c>
    </row>
    <row r="24" spans="1:17" x14ac:dyDescent="0.25">
      <c r="A24" s="4" t="s">
        <v>16</v>
      </c>
      <c r="C24" s="76" t="s">
        <v>262</v>
      </c>
      <c r="D24" s="76"/>
      <c r="E24" s="7" t="s">
        <v>263</v>
      </c>
      <c r="H24">
        <f>-4*25</f>
        <v>-100</v>
      </c>
      <c r="K24" s="43" t="s">
        <v>978</v>
      </c>
      <c r="L24" s="43" t="s">
        <v>264</v>
      </c>
      <c r="M24" s="43" t="s">
        <v>263</v>
      </c>
      <c r="O24" s="7" t="s">
        <v>462</v>
      </c>
    </row>
    <row r="25" spans="1:17" x14ac:dyDescent="0.25">
      <c r="A25" t="s">
        <v>979</v>
      </c>
      <c r="B25" s="6" t="s">
        <v>265</v>
      </c>
      <c r="C25" s="77">
        <f>SUMIFS(I$3:I$21,B$3:B$21,A$24,L$3:L$21,A$25)</f>
        <v>11520</v>
      </c>
      <c r="D25" s="77"/>
      <c r="E25" s="6">
        <f>SUMIFS(Q$3:Q$21,B$3:B$21,A$24,L$3:L$21,A$25)</f>
        <v>19</v>
      </c>
      <c r="F25" t="s">
        <v>464</v>
      </c>
      <c r="K25" t="s">
        <v>266</v>
      </c>
      <c r="L25">
        <f>SUMIFS(G$3:G$21,J$3:J$21,K$24)</f>
        <v>5065</v>
      </c>
      <c r="M25">
        <f>SUMIFS(Q$3:Q$21,J$3:J$21,K$24)</f>
        <v>8</v>
      </c>
      <c r="O25" t="s">
        <v>1022</v>
      </c>
      <c r="P25">
        <f>L30</f>
        <v>4914</v>
      </c>
    </row>
    <row r="26" spans="1:17" x14ac:dyDescent="0.25">
      <c r="B26" s="5" t="s">
        <v>974</v>
      </c>
      <c r="C26" s="78">
        <v>0</v>
      </c>
      <c r="D26" s="78"/>
      <c r="K26" t="s">
        <v>268</v>
      </c>
      <c r="L26">
        <f>SUM(H23:H24)</f>
        <v>-151</v>
      </c>
      <c r="M26">
        <f>SUMIFS(Q$3:Q$21,J$3:J$21,K$24)</f>
        <v>8</v>
      </c>
      <c r="O26" t="s">
        <v>25</v>
      </c>
      <c r="P26">
        <f>L38</f>
        <v>3500</v>
      </c>
    </row>
    <row r="27" spans="1:17" x14ac:dyDescent="0.25">
      <c r="B27" s="5" t="s">
        <v>269</v>
      </c>
      <c r="C27" s="78">
        <f>-SUMIFS(I$3:I$21,B$3:B$21,A$24,P$3:P$21,"xx",N$3:N$21,"x")</f>
        <v>0</v>
      </c>
      <c r="D27" s="78"/>
      <c r="E27" s="5">
        <f>SUMIFS(Q$3:Q$21,B$3:B$21,A$24,P$3:P$21,"xx",N$3:N$21,"x")</f>
        <v>0</v>
      </c>
      <c r="K27" t="s">
        <v>468</v>
      </c>
      <c r="O27" t="s">
        <v>20</v>
      </c>
      <c r="P27">
        <f>L46</f>
        <v>3154</v>
      </c>
    </row>
    <row r="28" spans="1:17" x14ac:dyDescent="0.25">
      <c r="B28" s="7" t="s">
        <v>270</v>
      </c>
      <c r="C28" s="76">
        <f>SUBTOTAL(9,C25:C27)</f>
        <v>11520</v>
      </c>
      <c r="D28" s="76"/>
      <c r="E28">
        <f>E25</f>
        <v>19</v>
      </c>
      <c r="K28" s="5" t="s">
        <v>72</v>
      </c>
      <c r="O28" t="s">
        <v>472</v>
      </c>
      <c r="P28">
        <f>-C32</f>
        <v>-11520</v>
      </c>
    </row>
    <row r="29" spans="1:17" x14ac:dyDescent="0.25">
      <c r="B29" s="5" t="s">
        <v>471</v>
      </c>
      <c r="C29" s="74"/>
      <c r="D29" s="74"/>
      <c r="K29" s="5" t="s">
        <v>272</v>
      </c>
      <c r="O29" s="7" t="s">
        <v>473</v>
      </c>
      <c r="P29" s="7">
        <f>SUBTOTAL(9,P25:P28)</f>
        <v>48</v>
      </c>
    </row>
    <row r="30" spans="1:17" x14ac:dyDescent="0.25">
      <c r="B30" s="70" t="s">
        <v>273</v>
      </c>
      <c r="C30" s="74"/>
      <c r="D30" s="74"/>
      <c r="L30" s="45">
        <f>SUBTOTAL(9,L25:L29)</f>
        <v>4914</v>
      </c>
      <c r="M30" s="45">
        <f>M25</f>
        <v>8</v>
      </c>
    </row>
    <row r="32" spans="1:17" x14ac:dyDescent="0.25">
      <c r="B32" s="4" t="s">
        <v>274</v>
      </c>
      <c r="C32" s="75">
        <f>C28+C29+C30</f>
        <v>11520</v>
      </c>
      <c r="D32" s="75"/>
      <c r="E32" s="4" t="s">
        <v>275</v>
      </c>
      <c r="K32" s="43" t="s">
        <v>25</v>
      </c>
      <c r="L32" s="43" t="s">
        <v>264</v>
      </c>
      <c r="M32" s="43" t="s">
        <v>263</v>
      </c>
    </row>
    <row r="33" spans="11:13" x14ac:dyDescent="0.25">
      <c r="K33" t="s">
        <v>266</v>
      </c>
      <c r="L33">
        <f>SUMIFS(G$3:G$21,J$3:J$21,K$32)</f>
        <v>3590</v>
      </c>
      <c r="M33">
        <f>SUMIFS(Q$3:Q$21,J$3:J$21,K$32)</f>
        <v>4</v>
      </c>
    </row>
    <row r="34" spans="11:13" x14ac:dyDescent="0.25">
      <c r="K34" t="s">
        <v>268</v>
      </c>
      <c r="L34">
        <f>-SUMIFS(H$3:H$21,J$3:J$21,K$32)</f>
        <v>-90</v>
      </c>
      <c r="M34">
        <f>SUMIFS(Q$3:Q$21,J$3:J$21,K$32)-COUNT(J$3:J$20,K$32,M$3:M$21)</f>
        <v>4</v>
      </c>
    </row>
    <row r="35" spans="11:13" x14ac:dyDescent="0.25">
      <c r="K35" t="s">
        <v>468</v>
      </c>
    </row>
    <row r="36" spans="11:13" x14ac:dyDescent="0.25">
      <c r="K36" s="5" t="s">
        <v>72</v>
      </c>
    </row>
    <row r="37" spans="11:13" x14ac:dyDescent="0.25">
      <c r="K37" s="5" t="s">
        <v>272</v>
      </c>
    </row>
    <row r="38" spans="11:13" x14ac:dyDescent="0.25">
      <c r="L38" s="45">
        <f>SUBTOTAL(9,L33:L37)</f>
        <v>3500</v>
      </c>
      <c r="M38" s="45">
        <f>M33</f>
        <v>4</v>
      </c>
    </row>
    <row r="40" spans="11:13" x14ac:dyDescent="0.25">
      <c r="K40" s="43" t="s">
        <v>20</v>
      </c>
      <c r="L40" s="43" t="s">
        <v>264</v>
      </c>
      <c r="M40" s="43" t="s">
        <v>263</v>
      </c>
    </row>
    <row r="41" spans="11:13" x14ac:dyDescent="0.25">
      <c r="K41" t="s">
        <v>266</v>
      </c>
      <c r="L41">
        <f>SUMIFS(G$3:G$21,J$3:J$21,K$40)</f>
        <v>3370</v>
      </c>
      <c r="M41">
        <f>SUMIFS(Q$3:Q$21,J$3:J$21,K$40)</f>
        <v>7</v>
      </c>
    </row>
    <row r="42" spans="11:13" x14ac:dyDescent="0.25">
      <c r="K42" t="s">
        <v>268</v>
      </c>
      <c r="L42">
        <f>-SUMIFS(H$3:H$21,J$3:J$21,K$40)</f>
        <v>-180</v>
      </c>
      <c r="M42">
        <f>SUMIFS(Q$3:Q$21,J$3:J$21,K$40)-COUNT(J$3:J$20,K$40,M$3:M$21)</f>
        <v>7</v>
      </c>
    </row>
    <row r="43" spans="11:13" x14ac:dyDescent="0.25">
      <c r="K43" t="s">
        <v>468</v>
      </c>
      <c r="L43">
        <f>-M43*2</f>
        <v>-36</v>
      </c>
      <c r="M43">
        <f>Q22-(COUNTIFS(J$3:J$20,K$24,M$3:M$20,"*gộp*")/2)</f>
        <v>18</v>
      </c>
    </row>
    <row r="44" spans="11:13" x14ac:dyDescent="0.25">
      <c r="K44" s="5" t="s">
        <v>72</v>
      </c>
    </row>
    <row r="45" spans="11:13" x14ac:dyDescent="0.25">
      <c r="K45" s="5" t="s">
        <v>272</v>
      </c>
    </row>
    <row r="46" spans="11:13" x14ac:dyDescent="0.25">
      <c r="L46" s="45">
        <f>SUBTOTAL(9,L41:L45)</f>
        <v>3154</v>
      </c>
      <c r="M46" s="45">
        <f>M41</f>
        <v>7</v>
      </c>
    </row>
  </sheetData>
  <autoFilter ref="A2:P20" xr:uid="{00000000-0009-0000-0000-00000C000000}">
    <sortState xmlns:xlrd2="http://schemas.microsoft.com/office/spreadsheetml/2017/richdata2" ref="A3:P9">
      <sortCondition ref="J2:J20"/>
    </sortState>
  </autoFilter>
  <mergeCells count="8">
    <mergeCell ref="C29:D29"/>
    <mergeCell ref="C30:D30"/>
    <mergeCell ref="C32:D32"/>
    <mergeCell ref="C24:D24"/>
    <mergeCell ref="C25:D25"/>
    <mergeCell ref="C26:D26"/>
    <mergeCell ref="C27:D27"/>
    <mergeCell ref="C28:D28"/>
  </mergeCells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02-03</vt:lpstr>
      <vt:lpstr>09-03</vt:lpstr>
      <vt:lpstr>10-03</vt:lpstr>
      <vt:lpstr>10-03 (2)</vt:lpstr>
      <vt:lpstr>11-03 (2)</vt:lpstr>
      <vt:lpstr>11-03</vt:lpstr>
      <vt:lpstr>12-03 (2)</vt:lpstr>
      <vt:lpstr>12-03</vt:lpstr>
      <vt:lpstr>13-03 (2)</vt:lpstr>
      <vt:lpstr>13-03</vt:lpstr>
      <vt:lpstr>14-03 (2)</vt:lpstr>
      <vt:lpstr>14-03</vt:lpstr>
      <vt:lpstr>18-03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2026-03-18T15:57:17Z</dcterms:modified>
</cp:coreProperties>
</file>