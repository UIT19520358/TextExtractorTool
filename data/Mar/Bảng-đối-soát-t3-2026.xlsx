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"/>
    </mc:Choice>
  </mc:AlternateContent>
  <xr:revisionPtr revIDLastSave="0" documentId="13_ncr:1_{04048687-BE3E-47BA-BDCC-8D47FD3CB952}" xr6:coauthVersionLast="47" xr6:coauthVersionMax="47" xr10:uidLastSave="{00000000-0000-0000-0000-000000000000}"/>
  <bookViews>
    <workbookView xWindow="-120" yWindow="-120" windowWidth="29040" windowHeight="15720" activeTab="12" xr2:uid="{7DBF314D-BB0B-41C9-BACA-A4F738DC8062}"/>
  </bookViews>
  <sheets>
    <sheet name="17-03" sheetId="20" r:id="rId1"/>
    <sheet name="18-03" sheetId="21" r:id="rId2"/>
    <sheet name="19-03" sheetId="22" r:id="rId3"/>
    <sheet name="20-03" sheetId="23" r:id="rId4"/>
    <sheet name="21-03" sheetId="24" r:id="rId5"/>
    <sheet name="23-03" sheetId="25" r:id="rId6"/>
    <sheet name="24-03" sheetId="26" r:id="rId7"/>
    <sheet name="25-03" sheetId="27" r:id="rId8"/>
    <sheet name="26-03" sheetId="28" r:id="rId9"/>
    <sheet name="27-03" sheetId="29" r:id="rId10"/>
    <sheet name="28-03" sheetId="30" r:id="rId11"/>
    <sheet name="30-03" sheetId="31" r:id="rId12"/>
    <sheet name="31-03" sheetId="19" r:id="rId13"/>
    <sheet name="Sheet1" sheetId="32" r:id="rId14"/>
  </sheets>
  <definedNames>
    <definedName name="_xlnm._FilterDatabase" localSheetId="0" hidden="1">'17-03'!$A$2:$Q$2</definedName>
    <definedName name="_xlnm._FilterDatabase" localSheetId="2" hidden="1">'19-03'!$A$2:$Q$34</definedName>
    <definedName name="_xlnm._FilterDatabase" localSheetId="3" hidden="1">'20-03'!$A$2:$P$27</definedName>
    <definedName name="_xlnm._FilterDatabase" localSheetId="4" hidden="1">'21-03'!$A$2:$P$34</definedName>
    <definedName name="_xlnm._FilterDatabase" localSheetId="5" hidden="1">'23-03'!$A$2:$P$77</definedName>
    <definedName name="_xlnm._FilterDatabase" localSheetId="6" hidden="1">'24-03'!$A$2:$P$19</definedName>
    <definedName name="_xlnm._FilterDatabase" localSheetId="7" hidden="1">'25-03'!$A$2:$P$19</definedName>
    <definedName name="_xlnm._FilterDatabase" localSheetId="8" hidden="1">'26-03'!$A$2:$P$33</definedName>
    <definedName name="_xlnm._FilterDatabase" localSheetId="9" hidden="1">'27-03'!$A$2:$P$37</definedName>
    <definedName name="_xlnm._FilterDatabase" localSheetId="10" hidden="1">'28-03'!$A$2:$P$29</definedName>
    <definedName name="_xlnm._FilterDatabase" localSheetId="11" hidden="1">'30-03'!$A$2:$P$68</definedName>
    <definedName name="_xlnm._FilterDatabase" localSheetId="12" hidden="1">'31-03'!$A$2:$P$35</definedName>
    <definedName name="_xlnm._FilterDatabase" localSheetId="13" hidden="1">Sheet1!$A$2:$E$15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19" l="1"/>
  <c r="L58" i="19" s="1"/>
  <c r="L56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D26" i="20"/>
  <c r="G26" i="20"/>
  <c r="H26" i="20"/>
  <c r="I26" i="20"/>
  <c r="J26" i="20"/>
  <c r="K26" i="20"/>
  <c r="L26" i="20"/>
  <c r="M26" i="20"/>
  <c r="N26" i="20"/>
  <c r="O26" i="20"/>
  <c r="P26" i="20"/>
  <c r="Q26" i="20"/>
  <c r="H27" i="20"/>
  <c r="H28" i="20"/>
  <c r="C30" i="20"/>
  <c r="E30" i="20"/>
  <c r="L30" i="20"/>
  <c r="M30" i="20"/>
  <c r="C31" i="20"/>
  <c r="E31" i="20"/>
  <c r="M31" i="20"/>
  <c r="L31" i="20" s="1"/>
  <c r="L35" i="20" s="1"/>
  <c r="P30" i="20" s="1"/>
  <c r="C32" i="20"/>
  <c r="C33" i="20" s="1"/>
  <c r="C37" i="20" s="1"/>
  <c r="P34" i="20" s="1"/>
  <c r="E32" i="20"/>
  <c r="E33" i="20"/>
  <c r="M35" i="20"/>
  <c r="L38" i="20"/>
  <c r="M38" i="20"/>
  <c r="M43" i="20" s="1"/>
  <c r="M39" i="20"/>
  <c r="L39" i="20" s="1"/>
  <c r="L43" i="20" s="1"/>
  <c r="P31" i="20" s="1"/>
  <c r="L46" i="20"/>
  <c r="M46" i="20"/>
  <c r="M51" i="20" s="1"/>
  <c r="L47" i="20"/>
  <c r="M47" i="20"/>
  <c r="L51" i="20"/>
  <c r="P32" i="20" s="1"/>
  <c r="L54" i="20"/>
  <c r="M54" i="20"/>
  <c r="M59" i="20" s="1"/>
  <c r="M55" i="20"/>
  <c r="L55" i="20" s="1"/>
  <c r="L59" i="20" s="1"/>
  <c r="P33" i="20" s="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C30" i="21" s="1"/>
  <c r="D23" i="21"/>
  <c r="G23" i="21"/>
  <c r="H23" i="21"/>
  <c r="J23" i="21"/>
  <c r="K23" i="21"/>
  <c r="L23" i="21"/>
  <c r="M23" i="21"/>
  <c r="N23" i="21"/>
  <c r="O23" i="21"/>
  <c r="P23" i="21"/>
  <c r="Q23" i="21"/>
  <c r="H24" i="21"/>
  <c r="H25" i="21"/>
  <c r="E28" i="21"/>
  <c r="L28" i="21"/>
  <c r="M28" i="21"/>
  <c r="L29" i="21"/>
  <c r="M29" i="21"/>
  <c r="E30" i="21"/>
  <c r="E31" i="21"/>
  <c r="L33" i="21"/>
  <c r="P28" i="21" s="1"/>
  <c r="M33" i="21"/>
  <c r="L36" i="21"/>
  <c r="M36" i="21"/>
  <c r="M37" i="21"/>
  <c r="L41" i="21"/>
  <c r="P29" i="21" s="1"/>
  <c r="M41" i="21"/>
  <c r="L44" i="21"/>
  <c r="M44" i="21"/>
  <c r="M45" i="21"/>
  <c r="L46" i="21"/>
  <c r="L49" i="21"/>
  <c r="P30" i="21" s="1"/>
  <c r="M49" i="2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D36" i="22"/>
  <c r="G36" i="22"/>
  <c r="H36" i="22"/>
  <c r="I36" i="22"/>
  <c r="J36" i="22"/>
  <c r="K36" i="22"/>
  <c r="L36" i="22"/>
  <c r="M36" i="22"/>
  <c r="N36" i="22"/>
  <c r="O36" i="22"/>
  <c r="P36" i="22"/>
  <c r="Q36" i="22"/>
  <c r="H37" i="22"/>
  <c r="H38" i="22"/>
  <c r="H39" i="22"/>
  <c r="E42" i="22"/>
  <c r="L42" i="22"/>
  <c r="M42" i="22"/>
  <c r="M43" i="22"/>
  <c r="L43" i="22" s="1"/>
  <c r="C44" i="22"/>
  <c r="E44" i="22"/>
  <c r="L44" i="22"/>
  <c r="E45" i="22"/>
  <c r="M47" i="22"/>
  <c r="L50" i="22"/>
  <c r="M50" i="22"/>
  <c r="M51" i="22"/>
  <c r="L51" i="22" s="1"/>
  <c r="L55" i="22" s="1"/>
  <c r="P43" i="22" s="1"/>
  <c r="M55" i="22"/>
  <c r="L58" i="22"/>
  <c r="M58" i="22"/>
  <c r="L59" i="22"/>
  <c r="M59" i="22"/>
  <c r="L63" i="22"/>
  <c r="P44" i="22" s="1"/>
  <c r="M63" i="22"/>
  <c r="L66" i="22"/>
  <c r="M66" i="22"/>
  <c r="M67" i="22"/>
  <c r="L67" i="22" s="1"/>
  <c r="L71" i="22" s="1"/>
  <c r="P45" i="22" s="1"/>
  <c r="M71" i="22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D29" i="23"/>
  <c r="G29" i="23"/>
  <c r="H29" i="23"/>
  <c r="J29" i="23"/>
  <c r="K29" i="23"/>
  <c r="L29" i="23"/>
  <c r="M29" i="23"/>
  <c r="N29" i="23"/>
  <c r="O29" i="23"/>
  <c r="P29" i="23"/>
  <c r="Q29" i="23"/>
  <c r="H30" i="23"/>
  <c r="H31" i="23"/>
  <c r="E32" i="23"/>
  <c r="E35" i="23" s="1"/>
  <c r="H32" i="23"/>
  <c r="L32" i="23"/>
  <c r="M32" i="23"/>
  <c r="L33" i="23"/>
  <c r="M33" i="23"/>
  <c r="C34" i="23"/>
  <c r="E34" i="23"/>
  <c r="M37" i="23"/>
  <c r="L40" i="23"/>
  <c r="M40" i="23"/>
  <c r="M41" i="23"/>
  <c r="L41" i="23" s="1"/>
  <c r="L45" i="23" s="1"/>
  <c r="P33" i="23" s="1"/>
  <c r="M45" i="23"/>
  <c r="L48" i="23"/>
  <c r="M48" i="23"/>
  <c r="M53" i="23" s="1"/>
  <c r="M49" i="23"/>
  <c r="L49" i="23" s="1"/>
  <c r="M50" i="23"/>
  <c r="L50" i="23" s="1"/>
  <c r="L56" i="23"/>
  <c r="M56" i="23"/>
  <c r="M61" i="23" s="1"/>
  <c r="M57" i="23"/>
  <c r="L57" i="23" s="1"/>
  <c r="L61" i="23" s="1"/>
  <c r="P35" i="23" s="1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D37" i="24"/>
  <c r="G37" i="24"/>
  <c r="H37" i="24"/>
  <c r="I37" i="24"/>
  <c r="J37" i="24"/>
  <c r="K37" i="24"/>
  <c r="L37" i="24"/>
  <c r="M37" i="24"/>
  <c r="N37" i="24"/>
  <c r="O37" i="24"/>
  <c r="P37" i="24"/>
  <c r="Q37" i="24"/>
  <c r="H38" i="24"/>
  <c r="H39" i="24"/>
  <c r="C40" i="24"/>
  <c r="E40" i="24"/>
  <c r="E43" i="24" s="1"/>
  <c r="H40" i="24"/>
  <c r="L40" i="24"/>
  <c r="M40" i="24"/>
  <c r="M45" i="24" s="1"/>
  <c r="M41" i="24"/>
  <c r="L41" i="24" s="1"/>
  <c r="L45" i="24" s="1"/>
  <c r="P40" i="24" s="1"/>
  <c r="C42" i="24"/>
  <c r="E42" i="24"/>
  <c r="L48" i="24"/>
  <c r="M48" i="24"/>
  <c r="M53" i="24" s="1"/>
  <c r="M49" i="24"/>
  <c r="L56" i="24"/>
  <c r="M56" i="24"/>
  <c r="M57" i="24"/>
  <c r="L57" i="24" s="1"/>
  <c r="M58" i="24"/>
  <c r="L58" i="24" s="1"/>
  <c r="M61" i="24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D79" i="25"/>
  <c r="G79" i="25"/>
  <c r="H79" i="25"/>
  <c r="J79" i="25"/>
  <c r="K79" i="25"/>
  <c r="L79" i="25"/>
  <c r="M79" i="25"/>
  <c r="N79" i="25"/>
  <c r="O79" i="25"/>
  <c r="P79" i="25"/>
  <c r="Q79" i="25"/>
  <c r="H80" i="25"/>
  <c r="H81" i="25"/>
  <c r="C82" i="25"/>
  <c r="E82" i="25"/>
  <c r="E85" i="25" s="1"/>
  <c r="H82" i="25"/>
  <c r="L82" i="25"/>
  <c r="M82" i="25"/>
  <c r="M87" i="25" s="1"/>
  <c r="M83" i="25"/>
  <c r="L83" i="25" s="1"/>
  <c r="L87" i="25" s="1"/>
  <c r="P82" i="25" s="1"/>
  <c r="C84" i="25"/>
  <c r="E84" i="25"/>
  <c r="M100" i="25" s="1"/>
  <c r="L100" i="25" s="1"/>
  <c r="L90" i="25"/>
  <c r="M90" i="25"/>
  <c r="M95" i="25" s="1"/>
  <c r="M91" i="25"/>
  <c r="L98" i="25"/>
  <c r="M98" i="25"/>
  <c r="M103" i="25" s="1"/>
  <c r="M99" i="25"/>
  <c r="L99" i="25" s="1"/>
  <c r="L106" i="25"/>
  <c r="M106" i="25"/>
  <c r="M111" i="25" s="1"/>
  <c r="M107" i="25"/>
  <c r="L107" i="25" s="1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D21" i="26"/>
  <c r="G21" i="26"/>
  <c r="H21" i="26"/>
  <c r="I21" i="26"/>
  <c r="J21" i="26"/>
  <c r="K21" i="26"/>
  <c r="L21" i="26"/>
  <c r="M21" i="26"/>
  <c r="N21" i="26"/>
  <c r="O21" i="26"/>
  <c r="P21" i="26"/>
  <c r="Q21" i="26"/>
  <c r="H22" i="26"/>
  <c r="H23" i="26"/>
  <c r="C24" i="26"/>
  <c r="E24" i="26"/>
  <c r="E27" i="26" s="1"/>
  <c r="H24" i="26"/>
  <c r="L24" i="26"/>
  <c r="M24" i="26"/>
  <c r="M25" i="26"/>
  <c r="L25" i="26" s="1"/>
  <c r="C26" i="26"/>
  <c r="E26" i="26"/>
  <c r="M26" i="26"/>
  <c r="L26" i="26" s="1"/>
  <c r="M29" i="26"/>
  <c r="L32" i="26"/>
  <c r="M32" i="26"/>
  <c r="L33" i="26"/>
  <c r="M33" i="26"/>
  <c r="L37" i="26"/>
  <c r="P25" i="26" s="1"/>
  <c r="M37" i="26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D21" i="27"/>
  <c r="G21" i="27"/>
  <c r="H21" i="27"/>
  <c r="I21" i="27"/>
  <c r="J21" i="27"/>
  <c r="K21" i="27"/>
  <c r="L21" i="27"/>
  <c r="M21" i="27"/>
  <c r="N21" i="27"/>
  <c r="O21" i="27"/>
  <c r="P21" i="27"/>
  <c r="Q21" i="27"/>
  <c r="M42" i="27" s="1"/>
  <c r="L42" i="27" s="1"/>
  <c r="H22" i="27"/>
  <c r="H23" i="27"/>
  <c r="C24" i="27"/>
  <c r="E24" i="27"/>
  <c r="E27" i="27" s="1"/>
  <c r="L24" i="27"/>
  <c r="M24" i="27"/>
  <c r="M29" i="27" s="1"/>
  <c r="L25" i="27"/>
  <c r="M25" i="27"/>
  <c r="C26" i="27"/>
  <c r="E26" i="27"/>
  <c r="L32" i="27"/>
  <c r="M32" i="27"/>
  <c r="M37" i="27" s="1"/>
  <c r="M33" i="27"/>
  <c r="L33" i="27" s="1"/>
  <c r="L40" i="27"/>
  <c r="M40" i="27"/>
  <c r="M45" i="27" s="1"/>
  <c r="M41" i="27"/>
  <c r="L41" i="27" s="1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D35" i="28"/>
  <c r="G35" i="28"/>
  <c r="H35" i="28"/>
  <c r="J35" i="28"/>
  <c r="K35" i="28"/>
  <c r="L35" i="28"/>
  <c r="M35" i="28"/>
  <c r="N35" i="28"/>
  <c r="O35" i="28"/>
  <c r="P35" i="28"/>
  <c r="Q35" i="28"/>
  <c r="H36" i="28"/>
  <c r="H37" i="28"/>
  <c r="E38" i="28"/>
  <c r="H38" i="28"/>
  <c r="L38" i="28"/>
  <c r="M38" i="28"/>
  <c r="M39" i="28"/>
  <c r="L39" i="28" s="1"/>
  <c r="C40" i="28"/>
  <c r="E40" i="28"/>
  <c r="M40" i="28"/>
  <c r="L40" i="28" s="1"/>
  <c r="E41" i="28"/>
  <c r="M43" i="28"/>
  <c r="L46" i="28"/>
  <c r="M46" i="28"/>
  <c r="M47" i="28"/>
  <c r="L47" i="28" s="1"/>
  <c r="L51" i="28" s="1"/>
  <c r="P39" i="28" s="1"/>
  <c r="M51" i="28"/>
  <c r="L54" i="28"/>
  <c r="M54" i="28"/>
  <c r="L55" i="28"/>
  <c r="M55" i="28"/>
  <c r="L59" i="28"/>
  <c r="P40" i="28" s="1"/>
  <c r="M59" i="28"/>
  <c r="L62" i="28"/>
  <c r="M62" i="28"/>
  <c r="M63" i="28"/>
  <c r="L63" i="28" s="1"/>
  <c r="L67" i="28" s="1"/>
  <c r="P41" i="28" s="1"/>
  <c r="M67" i="28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D39" i="29"/>
  <c r="G39" i="29"/>
  <c r="H39" i="29"/>
  <c r="J39" i="29"/>
  <c r="K39" i="29"/>
  <c r="L39" i="29"/>
  <c r="M39" i="29"/>
  <c r="N39" i="29"/>
  <c r="O39" i="29"/>
  <c r="P39" i="29"/>
  <c r="Q39" i="29"/>
  <c r="M60" i="29" s="1"/>
  <c r="L60" i="29" s="1"/>
  <c r="H40" i="29"/>
  <c r="H41" i="29"/>
  <c r="E42" i="29"/>
  <c r="H42" i="29"/>
  <c r="L42" i="29"/>
  <c r="M42" i="29"/>
  <c r="M43" i="29"/>
  <c r="L43" i="29" s="1"/>
  <c r="L47" i="29" s="1"/>
  <c r="P42" i="29" s="1"/>
  <c r="C44" i="29"/>
  <c r="E44" i="29"/>
  <c r="E45" i="29"/>
  <c r="M47" i="29"/>
  <c r="L50" i="29"/>
  <c r="M50" i="29"/>
  <c r="M51" i="29"/>
  <c r="M55" i="29"/>
  <c r="L58" i="29"/>
  <c r="M58" i="29"/>
  <c r="M59" i="29"/>
  <c r="L59" i="29" s="1"/>
  <c r="M63" i="29"/>
  <c r="L66" i="29"/>
  <c r="M66" i="29"/>
  <c r="M67" i="29"/>
  <c r="L67" i="29" s="1"/>
  <c r="L71" i="29" s="1"/>
  <c r="P45" i="29" s="1"/>
  <c r="M71" i="29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D31" i="30"/>
  <c r="G31" i="30"/>
  <c r="H31" i="30"/>
  <c r="J31" i="30"/>
  <c r="K31" i="30"/>
  <c r="L31" i="30"/>
  <c r="M31" i="30"/>
  <c r="N31" i="30"/>
  <c r="O31" i="30"/>
  <c r="P31" i="30"/>
  <c r="Q31" i="30"/>
  <c r="H32" i="30"/>
  <c r="H33" i="30"/>
  <c r="E34" i="30"/>
  <c r="H34" i="30"/>
  <c r="L34" i="30"/>
  <c r="M34" i="30"/>
  <c r="L35" i="30"/>
  <c r="M35" i="30"/>
  <c r="C36" i="30"/>
  <c r="E36" i="30"/>
  <c r="E37" i="30"/>
  <c r="L39" i="30"/>
  <c r="P34" i="30" s="1"/>
  <c r="M39" i="30"/>
  <c r="L42" i="30"/>
  <c r="M42" i="30"/>
  <c r="M43" i="30"/>
  <c r="L43" i="30" s="1"/>
  <c r="L47" i="30" s="1"/>
  <c r="P35" i="30" s="1"/>
  <c r="M47" i="30"/>
  <c r="L50" i="30"/>
  <c r="M50" i="30"/>
  <c r="M51" i="30"/>
  <c r="L51" i="30" s="1"/>
  <c r="M52" i="30"/>
  <c r="L52" i="30" s="1"/>
  <c r="M55" i="30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D70" i="31"/>
  <c r="G70" i="31"/>
  <c r="H70" i="31"/>
  <c r="J70" i="31"/>
  <c r="K70" i="31"/>
  <c r="L70" i="31"/>
  <c r="M70" i="31"/>
  <c r="N70" i="31"/>
  <c r="O70" i="31"/>
  <c r="P70" i="31"/>
  <c r="Q70" i="31"/>
  <c r="H71" i="31"/>
  <c r="H72" i="31"/>
  <c r="E73" i="31"/>
  <c r="H73" i="31"/>
  <c r="L73" i="31"/>
  <c r="M73" i="31"/>
  <c r="M74" i="31"/>
  <c r="L74" i="31" s="1"/>
  <c r="C75" i="31"/>
  <c r="E75" i="31"/>
  <c r="M75" i="31"/>
  <c r="L75" i="31" s="1"/>
  <c r="E76" i="31"/>
  <c r="M78" i="31"/>
  <c r="L81" i="31"/>
  <c r="M81" i="31"/>
  <c r="M86" i="31" s="1"/>
  <c r="L82" i="31"/>
  <c r="M82" i="31"/>
  <c r="L86" i="31"/>
  <c r="P74" i="31" s="1"/>
  <c r="L89" i="31"/>
  <c r="M89" i="31"/>
  <c r="M90" i="31"/>
  <c r="L90" i="31" s="1"/>
  <c r="L94" i="31" s="1"/>
  <c r="P75" i="31" s="1"/>
  <c r="M94" i="31"/>
  <c r="L97" i="31"/>
  <c r="M97" i="31"/>
  <c r="M102" i="31" s="1"/>
  <c r="M98" i="31"/>
  <c r="L98" i="31" s="1"/>
  <c r="L102" i="31" s="1"/>
  <c r="P76" i="31" s="1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D37" i="19"/>
  <c r="G37" i="19"/>
  <c r="H37" i="19"/>
  <c r="J37" i="19"/>
  <c r="K37" i="19"/>
  <c r="L37" i="19"/>
  <c r="M37" i="19"/>
  <c r="N37" i="19"/>
  <c r="O37" i="19"/>
  <c r="P37" i="19"/>
  <c r="Q37" i="19"/>
  <c r="H38" i="19"/>
  <c r="H39" i="19"/>
  <c r="E40" i="19"/>
  <c r="H40" i="19"/>
  <c r="L40" i="19"/>
  <c r="M40" i="19"/>
  <c r="M45" i="19" s="1"/>
  <c r="M41" i="19"/>
  <c r="L41" i="19" s="1"/>
  <c r="C42" i="19"/>
  <c r="E42" i="19"/>
  <c r="E43" i="19"/>
  <c r="L48" i="19"/>
  <c r="M48" i="19"/>
  <c r="M53" i="19" s="1"/>
  <c r="L49" i="19"/>
  <c r="M49" i="19"/>
  <c r="M56" i="19"/>
  <c r="M61" i="19" s="1"/>
  <c r="M57" i="19"/>
  <c r="L57" i="19" s="1"/>
  <c r="L37" i="23" l="1"/>
  <c r="P32" i="23" s="1"/>
  <c r="L29" i="27"/>
  <c r="P24" i="27" s="1"/>
  <c r="C43" i="24"/>
  <c r="C47" i="24" s="1"/>
  <c r="P43" i="24" s="1"/>
  <c r="L51" i="29"/>
  <c r="L55" i="29" s="1"/>
  <c r="P43" i="29" s="1"/>
  <c r="L49" i="24"/>
  <c r="L53" i="24" s="1"/>
  <c r="P41" i="24" s="1"/>
  <c r="L91" i="25"/>
  <c r="L95" i="25" s="1"/>
  <c r="P83" i="25" s="1"/>
  <c r="C42" i="22"/>
  <c r="C45" i="22" s="1"/>
  <c r="C49" i="22" s="1"/>
  <c r="P46" i="22" s="1"/>
  <c r="L47" i="22"/>
  <c r="P42" i="22" s="1"/>
  <c r="L53" i="23"/>
  <c r="P34" i="23" s="1"/>
  <c r="I79" i="25"/>
  <c r="C85" i="25"/>
  <c r="C89" i="25" s="1"/>
  <c r="P86" i="25" s="1"/>
  <c r="L103" i="25"/>
  <c r="P84" i="25" s="1"/>
  <c r="C27" i="26"/>
  <c r="C31" i="26" s="1"/>
  <c r="P26" i="26" s="1"/>
  <c r="L29" i="26"/>
  <c r="P24" i="26" s="1"/>
  <c r="C27" i="27"/>
  <c r="C31" i="27" s="1"/>
  <c r="P27" i="27" s="1"/>
  <c r="L45" i="27"/>
  <c r="P26" i="27" s="1"/>
  <c r="L43" i="28"/>
  <c r="P38" i="28" s="1"/>
  <c r="L63" i="29"/>
  <c r="P44" i="29" s="1"/>
  <c r="L78" i="31"/>
  <c r="P73" i="31" s="1"/>
  <c r="E16" i="32"/>
  <c r="E18" i="32" s="1"/>
  <c r="L53" i="19"/>
  <c r="P41" i="19" s="1"/>
  <c r="I29" i="23"/>
  <c r="C32" i="23"/>
  <c r="C35" i="23" s="1"/>
  <c r="C39" i="23" s="1"/>
  <c r="P36" i="23" s="1"/>
  <c r="I37" i="19"/>
  <c r="C40" i="19"/>
  <c r="C43" i="19" s="1"/>
  <c r="C47" i="19" s="1"/>
  <c r="P43" i="19" s="1"/>
  <c r="L45" i="19"/>
  <c r="P40" i="19" s="1"/>
  <c r="C28" i="21"/>
  <c r="C31" i="21" s="1"/>
  <c r="C35" i="21" s="1"/>
  <c r="P31" i="21" s="1"/>
  <c r="P32" i="21" s="1"/>
  <c r="I23" i="21"/>
  <c r="C38" i="28"/>
  <c r="C41" i="28" s="1"/>
  <c r="C45" i="28" s="1"/>
  <c r="P42" i="28" s="1"/>
  <c r="I35" i="28"/>
  <c r="C42" i="29"/>
  <c r="C45" i="29" s="1"/>
  <c r="C49" i="29" s="1"/>
  <c r="P46" i="29" s="1"/>
  <c r="I39" i="29"/>
  <c r="I31" i="30"/>
  <c r="C34" i="30"/>
  <c r="C37" i="30" s="1"/>
  <c r="C41" i="30" s="1"/>
  <c r="P37" i="30" s="1"/>
  <c r="C73" i="31"/>
  <c r="C76" i="31" s="1"/>
  <c r="C80" i="31" s="1"/>
  <c r="P77" i="31" s="1"/>
  <c r="P78" i="31" s="1"/>
  <c r="I70" i="31"/>
  <c r="L61" i="24"/>
  <c r="P42" i="24" s="1"/>
  <c r="L111" i="25"/>
  <c r="P85" i="25" s="1"/>
  <c r="L37" i="27"/>
  <c r="P25" i="27" s="1"/>
  <c r="L55" i="30"/>
  <c r="P36" i="30" s="1"/>
  <c r="L61" i="19"/>
  <c r="P42" i="19" s="1"/>
  <c r="P35" i="20"/>
  <c r="P47" i="29" l="1"/>
  <c r="P43" i="28"/>
  <c r="P27" i="26"/>
  <c r="P44" i="24"/>
  <c r="P47" i="22"/>
  <c r="P28" i="27"/>
  <c r="P37" i="23"/>
  <c r="P87" i="25"/>
  <c r="P38" i="30"/>
  <c r="P44" i="19"/>
  <c r="E17" i="32" l="1"/>
  <c r="E19" i="32" s="1"/>
</calcChain>
</file>

<file path=xl/sharedStrings.xml><?xml version="1.0" encoding="utf-8"?>
<sst xmlns="http://schemas.openxmlformats.org/spreadsheetml/2006/main" count="4156" uniqueCount="1257">
  <si>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</si>
  <si>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</si>
  <si>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</si>
  <si>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</si>
  <si>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</si>
  <si>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</si>
  <si>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</si>
  <si>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</si>
  <si>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</si>
  <si>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</si>
  <si>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</si>
  <si>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</si>
  <si>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</si>
  <si>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</si>
  <si>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</si>
  <si>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</si>
  <si>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</si>
  <si>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</si>
  <si>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Hồng Vân</t>
  </si>
  <si>
    <t>HD002584</t>
  </si>
  <si>
    <t>76 đặng nghiêm phường long thạnh mỹ</t>
  </si>
  <si>
    <t>a.quyen</t>
  </si>
  <si>
    <t>c.cuong</t>
  </si>
  <si>
    <t>17-03-2026</t>
  </si>
  <si>
    <t>hàng sỉ</t>
  </si>
  <si>
    <t>NGÂN KIM</t>
  </si>
  <si>
    <t>T8-20 mahattan vinhomes Grand park</t>
  </si>
  <si>
    <t>Giáng Hương</t>
  </si>
  <si>
    <t>HD002461</t>
  </si>
  <si>
    <t>111 đường số 10 phường 13</t>
  </si>
  <si>
    <t>AT 17-03</t>
  </si>
  <si>
    <t>MIE</t>
  </si>
  <si>
    <t>275/14B1 Đặng Nguyên Cẩn, Phường Phú Lâm</t>
  </si>
  <si>
    <t>TUYẾT NHI ZL2</t>
  </si>
  <si>
    <t>170F Tân Hoà Đông f14</t>
  </si>
  <si>
    <t>Sun Na</t>
  </si>
  <si>
    <t>HD002443</t>
  </si>
  <si>
    <t>Chung cư cardinal court toà B</t>
  </si>
  <si>
    <t>Tuyết Nhi</t>
  </si>
  <si>
    <t>HD002420</t>
  </si>
  <si>
    <t>Block d2, chung cư sài gòn riverside (số 4 đào trí, phú thuận )</t>
  </si>
  <si>
    <t>Nguyễn Hồng Ngát</t>
  </si>
  <si>
    <t>HD002462</t>
  </si>
  <si>
    <t>440 kinh dương vương, an lạc</t>
  </si>
  <si>
    <t>binh tan</t>
  </si>
  <si>
    <t>Trần Thị Kim Phương</t>
  </si>
  <si>
    <t>HD002362</t>
  </si>
  <si>
    <t>1870\1\98\14a tỉnh lộ 10 tân tạo</t>
  </si>
  <si>
    <t>Lưu Bích Ngọc</t>
  </si>
  <si>
    <t>HD002566</t>
  </si>
  <si>
    <t>133 nguyễn thị nhỏ p9</t>
  </si>
  <si>
    <t>tan binh</t>
  </si>
  <si>
    <t>Ngọc Thao Vu</t>
  </si>
  <si>
    <t>HD002439</t>
  </si>
  <si>
    <t>Riviera Points ( The View- Tháp 6) 02 Nguyễn văn tưởng</t>
  </si>
  <si>
    <t>tan phu</t>
  </si>
  <si>
    <t>c bong fb thu hường</t>
  </si>
  <si>
    <t>HD002509</t>
  </si>
  <si>
    <t>391 phú thọ hòa</t>
  </si>
  <si>
    <t>Ngọc Mơ</t>
  </si>
  <si>
    <t>HD002409</t>
  </si>
  <si>
    <t>107/7 huỳnh an khương p5</t>
  </si>
  <si>
    <t>go vap</t>
  </si>
  <si>
    <t>Nguyễn Trương Phương Oanh</t>
  </si>
  <si>
    <t>HD002339</t>
  </si>
  <si>
    <t>125/42/2 Bùi Đình Tuý, phường 14</t>
  </si>
  <si>
    <t>binh thanh</t>
  </si>
  <si>
    <t>An An</t>
  </si>
  <si>
    <t>HD002510</t>
  </si>
  <si>
    <t>115 Trần Thị Nghỉ, Hạnh Thông</t>
  </si>
  <si>
    <t>jenny bouti</t>
  </si>
  <si>
    <t>401 Quang trung f10</t>
  </si>
  <si>
    <t>THU SHIP</t>
  </si>
  <si>
    <t>1122/23/7 quang trung phường 8</t>
  </si>
  <si>
    <t>Vũ Nguyễn (phương tw)</t>
  </si>
  <si>
    <t>74/3 Trần thái tông, phường 15</t>
  </si>
  <si>
    <t>Nhiew (FB Proud 'Pround)</t>
  </si>
  <si>
    <t>HD002453</t>
  </si>
  <si>
    <t>39 Đường Trần Quốc Hoàn, P. 4</t>
  </si>
  <si>
    <t>c.hieu</t>
  </si>
  <si>
    <t>Kim Chúc</t>
  </si>
  <si>
    <t>HD002412</t>
  </si>
  <si>
    <t>Hẻm 18B/73 Nguyễn thị minh khai đakao</t>
  </si>
  <si>
    <t>Dang Ngoc Anh</t>
  </si>
  <si>
    <t>HD002417</t>
  </si>
  <si>
    <t>G1 galaxy9</t>
  </si>
  <si>
    <t>BN8823</t>
  </si>
  <si>
    <t>163 Đường Trương Thị Hoa, phường Tân Thới Hiệp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</si>
  <si>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</si>
  <si>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</si>
  <si>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</si>
  <si>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</si>
  <si>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</si>
  <si>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</si>
  <si>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</si>
  <si>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</si>
  <si>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</si>
  <si>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Đơn trả &amp; c.khoản</t>
  </si>
  <si>
    <t>tiền lấy</t>
  </si>
  <si>
    <t>at 17-03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</si>
  <si>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</si>
  <si>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</si>
  <si>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</si>
  <si>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</si>
  <si>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</si>
  <si>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</si>
  <si>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</si>
  <si>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</si>
  <si>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</si>
  <si>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THU 4</t>
  </si>
  <si>
    <t>NGAY 18-3</t>
  </si>
  <si>
    <t>Column1</t>
  </si>
  <si>
    <t>Nguyễn Kim Ngân</t>
  </si>
  <si>
    <t>HD002716</t>
  </si>
  <si>
    <t>Lavida Plus, Nguyễn Văn Linh, Tân Phong</t>
  </si>
  <si>
    <t>AT 18-03</t>
  </si>
  <si>
    <t>18-03-2026</t>
  </si>
  <si>
    <t>gộp</t>
  </si>
  <si>
    <t>HD002625</t>
  </si>
  <si>
    <t>Chocopie Nguyen</t>
  </si>
  <si>
    <t>HD002660</t>
  </si>
  <si>
    <t>2 đường 22 phường long bình</t>
  </si>
  <si>
    <t>Phương Đào</t>
  </si>
  <si>
    <t>HD002836</t>
  </si>
  <si>
    <t>100/1 B khu phố1, đường Tân thới nhất 11,phường Tân thới nhất</t>
  </si>
  <si>
    <t>W3235</t>
  </si>
  <si>
    <t>HD002687</t>
  </si>
  <si>
    <t>Địa chỉ: 375 tân thới hiệp 21, Tổ 3,Kp3 ( nhớ gỗ đủ)</t>
  </si>
  <si>
    <t>Thanh Tiên</t>
  </si>
  <si>
    <t>HD002513</t>
  </si>
  <si>
    <t>54/17b tô ngọc vân, Thạnh xuân</t>
  </si>
  <si>
    <t>đổi hàng</t>
  </si>
  <si>
    <t>Võ Thu Hà</t>
  </si>
  <si>
    <t>HD002809</t>
  </si>
  <si>
    <t>262/15 lũy bán bích, hòa thạch</t>
  </si>
  <si>
    <t>PUNLORK</t>
  </si>
  <si>
    <t>Xe Phy Phy</t>
  </si>
  <si>
    <t>thu hộ shop</t>
  </si>
  <si>
    <t>Ly Na</t>
  </si>
  <si>
    <t>HD002697</t>
  </si>
  <si>
    <t>98 vũ tông phan, p bình trưng</t>
  </si>
  <si>
    <t>Pé Py</t>
  </si>
  <si>
    <t>HD002724</t>
  </si>
  <si>
    <t>47 bùi đình tuý, P14</t>
  </si>
  <si>
    <t>Ngọc Lan</t>
  </si>
  <si>
    <t>HD002643</t>
  </si>
  <si>
    <t>13 mai xuân thưởng, p11</t>
  </si>
  <si>
    <t>lindsiepham</t>
  </si>
  <si>
    <t>HD002689</t>
  </si>
  <si>
    <t>landmark 5b vinhomes central park</t>
  </si>
  <si>
    <t>VICKY TRAN</t>
  </si>
  <si>
    <t>127/17 bình lợi p13</t>
  </si>
  <si>
    <t>Ly Clara Selena</t>
  </si>
  <si>
    <t>403 tân sơn p12</t>
  </si>
  <si>
    <t>May Oo (Isabella)</t>
  </si>
  <si>
    <t>494/1/12 le quang dinh,P1</t>
  </si>
  <si>
    <t>Cherry Nguyễn</t>
  </si>
  <si>
    <t>HD002837</t>
  </si>
  <si>
    <t>66 hùng vương p1</t>
  </si>
  <si>
    <t>Ngọc Trương</t>
  </si>
  <si>
    <t>HD002835</t>
  </si>
  <si>
    <t>462 phan xích long p2</t>
  </si>
  <si>
    <t>phu nhuan</t>
  </si>
  <si>
    <t>Ín Nile</t>
  </si>
  <si>
    <t>HD002700</t>
  </si>
  <si>
    <t>429/1 nguyễn kiệm p9</t>
  </si>
  <si>
    <t>Jenny Tran</t>
  </si>
  <si>
    <t>HD002603</t>
  </si>
  <si>
    <t>737/1C Lạc Long Quân F10</t>
  </si>
  <si>
    <t>sha sha</t>
  </si>
  <si>
    <t>HD002320</t>
  </si>
  <si>
    <t>532/3/6 kinh duong vuong</t>
  </si>
  <si>
    <t>luu tra</t>
  </si>
  <si>
    <t>16-03-2026</t>
  </si>
  <si>
    <t>x</t>
  </si>
  <si>
    <t>xx</t>
  </si>
  <si>
    <t>at 18-03</t>
  </si>
  <si>
    <t>Tiên</t>
  </si>
  <si>
    <t>HD002831</t>
  </si>
  <si>
    <t>Toà A2 chung cư gia hoà</t>
  </si>
  <si>
    <t>19-03-2026</t>
  </si>
  <si>
    <t>T8-20 mahattan vinhomes Grand park, phường long bình</t>
  </si>
  <si>
    <t>AT 19-03</t>
  </si>
  <si>
    <t>Lâm Tiên</t>
  </si>
  <si>
    <t>HD003140</t>
  </si>
  <si>
    <t>961 Hậu Giang, Lô D, Chung Cư An Phú</t>
  </si>
  <si>
    <t>Trinh</t>
  </si>
  <si>
    <t>HD003016</t>
  </si>
  <si>
    <t>105 lý phục man bình thuận</t>
  </si>
  <si>
    <t>Jang Milk</t>
  </si>
  <si>
    <t>HD003133</t>
  </si>
  <si>
    <t>118 Huỳnh Tấn Phát Tân Thuận Tây</t>
  </si>
  <si>
    <t>Pé Thỏ</t>
  </si>
  <si>
    <t>HD003156</t>
  </si>
  <si>
    <t>1002 tạ quang bừu f6 Chung cư the pegasuite1 (zone1)</t>
  </si>
  <si>
    <t>Thảo Ly Nguyễn</t>
  </si>
  <si>
    <t>HD002894</t>
  </si>
  <si>
    <t>35/4 đường Nguyễn thị búp phường hiệp thành</t>
  </si>
  <si>
    <t>Thanh Mây</t>
  </si>
  <si>
    <t>HD003139</t>
  </si>
  <si>
    <t>70G hẻm F1 xã Vĩnh Lộc A</t>
  </si>
  <si>
    <t>binh chanh</t>
  </si>
  <si>
    <t>Bích Huyền</t>
  </si>
  <si>
    <t>HD003079</t>
  </si>
  <si>
    <t>Số 4 đường số 22 khu dân cư bình hưng xã binh hưng</t>
  </si>
  <si>
    <t>Vòng Hồng Tuyền</t>
  </si>
  <si>
    <t>HD002956</t>
  </si>
  <si>
    <t>125/34 tây lân, phường bình trị động a</t>
  </si>
  <si>
    <t>Ngọc Sương</t>
  </si>
  <si>
    <t>HD002909</t>
  </si>
  <si>
    <t>704/44 hương lộ 2, bình trị đông a</t>
  </si>
  <si>
    <t>Doan Sam</t>
  </si>
  <si>
    <t>HD002953</t>
  </si>
  <si>
    <t>170/9a đường Trưng Vương 3, Ấp 61, Xã Bà Điểm</t>
  </si>
  <si>
    <t>hoc mon</t>
  </si>
  <si>
    <t>Nhung Xuxy</t>
  </si>
  <si>
    <t>HD003018</t>
  </si>
  <si>
    <t>2/11 thiên phước phường 9</t>
  </si>
  <si>
    <t>Anh Nhi Phương hoa (ah ni )</t>
  </si>
  <si>
    <t>HD003092</t>
  </si>
  <si>
    <t>007 LÔ B, Đường Cô, C/C Tây Thanh, P. Tây Thạnh</t>
  </si>
  <si>
    <t>Kim Liên</t>
  </si>
  <si>
    <t>HD003047</t>
  </si>
  <si>
    <t>hẻm 10/4 tên quý</t>
  </si>
  <si>
    <t>Nuong Huynh</t>
  </si>
  <si>
    <t>HD002920</t>
  </si>
  <si>
    <t>67 mai chí thọ phường an phú Cc lexington block B</t>
  </si>
  <si>
    <t>Bằng Bing</t>
  </si>
  <si>
    <t>HD002901</t>
  </si>
  <si>
    <t>Landmark 5, Vinhome central park, F22</t>
  </si>
  <si>
    <t>Kim Anh</t>
  </si>
  <si>
    <t>HD002992</t>
  </si>
  <si>
    <t>124/83/1 xô viết nghệ tĩnh p21</t>
  </si>
  <si>
    <t>401 quang trung f10</t>
  </si>
  <si>
    <t>Võ Ngọc Tường Vy</t>
  </si>
  <si>
    <t>HD003121</t>
  </si>
  <si>
    <t>14/11 bàu bàng, p13</t>
  </si>
  <si>
    <t>Mr Thế</t>
  </si>
  <si>
    <t>27/5 Quách Văn Tuấn, F12</t>
  </si>
  <si>
    <t>Phương Trang</t>
  </si>
  <si>
    <t>HD003015</t>
  </si>
  <si>
    <t>189b/a29 cống quỳnh phường nguyễn cư trinh</t>
  </si>
  <si>
    <t>Danh Hồng</t>
  </si>
  <si>
    <t>HD003149</t>
  </si>
  <si>
    <t>33 nguyễn văn giai p đakao</t>
  </si>
  <si>
    <t>Lý Minh Đức - fb Jolies Le</t>
  </si>
  <si>
    <t>HD003157</t>
  </si>
  <si>
    <t>581 tran hung đạo</t>
  </si>
  <si>
    <t>Lien Thuy</t>
  </si>
  <si>
    <t>HD003107</t>
  </si>
  <si>
    <t>151 nguyễn định chiều p.xuân hoà</t>
  </si>
  <si>
    <t>Đào Minh Ánh</t>
  </si>
  <si>
    <t>HD003132</t>
  </si>
  <si>
    <t xml:space="preserve">91/2a, Nguyễn Khoái, Phường 1 </t>
  </si>
  <si>
    <t>Nguyễn LyNa</t>
  </si>
  <si>
    <t>HD003104</t>
  </si>
  <si>
    <t>Chung cư số 1 tôn thất thuyết p1</t>
  </si>
  <si>
    <t>NGUYÊN NGUYÊN</t>
  </si>
  <si>
    <t>12 TÔN ĐẢN P13</t>
  </si>
  <si>
    <t>kim ngân</t>
  </si>
  <si>
    <t>HD002974</t>
  </si>
  <si>
    <t>162 đường số 3 xã bình hưng</t>
  </si>
  <si>
    <t>Hoàng Kim</t>
  </si>
  <si>
    <t>HD002898</t>
  </si>
  <si>
    <t>162 đường số 3, Trung Sơn, Bình Hưng</t>
  </si>
  <si>
    <t>Linh</t>
  </si>
  <si>
    <t>B12-03 Block B, botanica premier, 112 hồng hà p2</t>
  </si>
  <si>
    <t>at 19-03</t>
  </si>
  <si>
    <t>Bình Bee</t>
  </si>
  <si>
    <t>HD003301</t>
  </si>
  <si>
    <t>133 đỗ xuân hợp, phường phước long B</t>
  </si>
  <si>
    <t>20-03-2026</t>
  </si>
  <si>
    <t>QUÝ KHÁCH VUI LÒNG</t>
  </si>
  <si>
    <t>Số nhà 97A, đường 22, phường phước long</t>
  </si>
  <si>
    <t>Ng T Thi</t>
  </si>
  <si>
    <t>HD003004</t>
  </si>
  <si>
    <t>1135/17/28 huỳn tấn phát</t>
  </si>
  <si>
    <t>AT 20-03</t>
  </si>
  <si>
    <t>kh ck 1320</t>
  </si>
  <si>
    <t>Người Nhân Kim Loan (Ivybee)</t>
  </si>
  <si>
    <t>HD003237</t>
  </si>
  <si>
    <t>127/48/30 Âu Cơ, phường 14</t>
  </si>
  <si>
    <t>W2886</t>
  </si>
  <si>
    <t>HD003205</t>
  </si>
  <si>
    <t>Địa chỉ: 375 tân thới hiệp 21, Tổ 3,Kp3 ( nhớ gõ đủ) Số kho : 0325267896 ( nhớ ghi mã khách hàng )</t>
  </si>
  <si>
    <t>Nguyễn Huyền Trang</t>
  </si>
  <si>
    <t>HD003296</t>
  </si>
  <si>
    <t>67 duong 14 khu lovera khang điền phong phú 4</t>
  </si>
  <si>
    <t>Misa Trần</t>
  </si>
  <si>
    <t>HD003216</t>
  </si>
  <si>
    <t>27 Đường Số 1 tân tạo a</t>
  </si>
  <si>
    <t>Nguyễn Thu Phương</t>
  </si>
  <si>
    <t>HD003361</t>
  </si>
  <si>
    <t>Sunrise riverside tháp H Đường Nguyễn hữu thọ</t>
  </si>
  <si>
    <t>nha be</t>
  </si>
  <si>
    <t>HD003300</t>
  </si>
  <si>
    <t>10 Nguyễn Thái Học, phường Tân Thành</t>
  </si>
  <si>
    <t>HD003241</t>
  </si>
  <si>
    <t>Bẹp</t>
  </si>
  <si>
    <t>HD003353</t>
  </si>
  <si>
    <t>Lanmark 5-vinhome central park, Nguyễn hữu cảnh- thạnh mỹ tây</t>
  </si>
  <si>
    <t>HÀ VY</t>
  </si>
  <si>
    <t>482/10/26 nơ trang long, p13</t>
  </si>
  <si>
    <t>TRANG TRẦN 2</t>
  </si>
  <si>
    <t>tên Xuân ( nhan gium Nhi Doan)</t>
  </si>
  <si>
    <t>HD003330</t>
  </si>
  <si>
    <t>33/9 Quách Văn Tuấn phuong 12</t>
  </si>
  <si>
    <t>Phạm Thị Bảo Trân</t>
  </si>
  <si>
    <t>HD003288</t>
  </si>
  <si>
    <t>Block B Chung Cư Urban Green, Đường Số 6, Hiệp Bình</t>
  </si>
  <si>
    <t>thu duc</t>
  </si>
  <si>
    <t>Ánh Hồng</t>
  </si>
  <si>
    <t>HD003225</t>
  </si>
  <si>
    <t>82/28 đường số 2 phường hiệp bình phước</t>
  </si>
  <si>
    <t>thu đuc</t>
  </si>
  <si>
    <t>Như Quỳnh</t>
  </si>
  <si>
    <t>HD003309</t>
  </si>
  <si>
    <t>32 nguyễn cư trinh</t>
  </si>
  <si>
    <t>HD003245</t>
  </si>
  <si>
    <t>Chị Oanh fb Ivy Trần</t>
  </si>
  <si>
    <t>HD003191</t>
  </si>
  <si>
    <t>Toà nhà Takashimaya (cổng giao hàng) _ Số 92 – 94 Nam Kỳ Khởi Nghĩa, Phường Bến Nghé</t>
  </si>
  <si>
    <t>Diệu Ngọc</t>
  </si>
  <si>
    <t>HD003362</t>
  </si>
  <si>
    <t>40e ngô đức kể,bến nghé</t>
  </si>
  <si>
    <t>Mai Nhung</t>
  </si>
  <si>
    <t>HD003167</t>
  </si>
  <si>
    <t>346 bến vân đồn, P1</t>
  </si>
  <si>
    <t>borameyyy 015738168</t>
  </si>
  <si>
    <t>HD003117</t>
  </si>
  <si>
    <t>363-365-367, 363 Đ. Hùng Vương, Phường 9</t>
  </si>
  <si>
    <t>Kim An</t>
  </si>
  <si>
    <t>HD003281</t>
  </si>
  <si>
    <t>Bệnh viện Emcas 14/27 Hoàng Dư Khương, f12</t>
  </si>
  <si>
    <t>thu thu</t>
  </si>
  <si>
    <t>HD003359</t>
  </si>
  <si>
    <t>165/1 bạch đằng p2</t>
  </si>
  <si>
    <t>at 20-03</t>
  </si>
  <si>
    <t>Nhung Dang</t>
  </si>
  <si>
    <t>HD003482</t>
  </si>
  <si>
    <t>17 Hưng gia3 Tân phong</t>
  </si>
  <si>
    <t>AT 21-03</t>
  </si>
  <si>
    <t>21-03-2026</t>
  </si>
  <si>
    <t>Rose Love</t>
  </si>
  <si>
    <t>HD003506</t>
  </si>
  <si>
    <t>206 quách đình bảo phú thạnh</t>
  </si>
  <si>
    <t>Le Bao Ngoc</t>
  </si>
  <si>
    <t>HD003683</t>
  </si>
  <si>
    <t>chung cư Century Celadon, phường Sơn Kỳ - Sảnh C5 cổng 1</t>
  </si>
  <si>
    <t>Mr Adam/Fanee</t>
  </si>
  <si>
    <t>HD003422</t>
  </si>
  <si>
    <t>Chung cư Conic Reverside (Block A), Đường số 1, KDC Conic, khu phố 6</t>
  </si>
  <si>
    <t>Bích Ngà</t>
  </si>
  <si>
    <t>HD003643</t>
  </si>
  <si>
    <t>Nhà 18 lỗ H đường số 2 khu dân cư phú mỹ cửa màu đen có 2 cây mai to đường hoàng quốc việt quẹo vào, phường phú mỹ</t>
  </si>
  <si>
    <t>Nhi Nguyễn</t>
  </si>
  <si>
    <t>HD003289</t>
  </si>
  <si>
    <t>1185 lê đức anh khu phố 5 phường an lạc</t>
  </si>
  <si>
    <t>Dung Nguyễn</t>
  </si>
  <si>
    <t>HD003503</t>
  </si>
  <si>
    <t>1123 quốc lộ 1ạ, tân tạo, chung cư an gia the star</t>
  </si>
  <si>
    <t>Trịnh Hoài Thương</t>
  </si>
  <si>
    <t>HD003358</t>
  </si>
  <si>
    <t>75 tô hiệu phú thạnh</t>
  </si>
  <si>
    <t>LDVKH</t>
  </si>
  <si>
    <t>HD003456</t>
  </si>
  <si>
    <t>177c, Đường Số 1, P. Bình Hưng Hòa B</t>
  </si>
  <si>
    <t>Mercy Nguyễn Phu</t>
  </si>
  <si>
    <t>HD003706</t>
  </si>
  <si>
    <t>298/16/8B Tân Hoà Đông P bình trị đông</t>
  </si>
  <si>
    <t>HD003593</t>
  </si>
  <si>
    <t>Dream Home Palace (1436 Trịnh Quang Nghị, P7)</t>
  </si>
  <si>
    <t>g nghi</t>
  </si>
  <si>
    <t>Ngọc Dung</t>
  </si>
  <si>
    <t>HD003412</t>
  </si>
  <si>
    <t>2581/79a huỳnh tấn phát</t>
  </si>
  <si>
    <t>Từ Thụy Hồng Ngọc</t>
  </si>
  <si>
    <t>HD003555</t>
  </si>
  <si>
    <t>154/136/15/3 Au luong lan p3</t>
  </si>
  <si>
    <t>Cherry Nguyên</t>
  </si>
  <si>
    <t>HD003731</t>
  </si>
  <si>
    <t>A4/40A2 Tổ 4 ấp 1A đường 1C, xã Vĩnh Lộc B</t>
  </si>
  <si>
    <t>HD003685</t>
  </si>
  <si>
    <t>Thanh Thao</t>
  </si>
  <si>
    <t>HD003554</t>
  </si>
  <si>
    <t>1053/23/5 lê đức thọ p16</t>
  </si>
  <si>
    <t>Trần Mỹ Nhi</t>
  </si>
  <si>
    <t>HD003684</t>
  </si>
  <si>
    <t>352 Nguyễn xí p13</t>
  </si>
  <si>
    <t>Phạm Dung</t>
  </si>
  <si>
    <t>HD003689</t>
  </si>
  <si>
    <t>208 nguyễn hữu cảnh phường 22 chung cư vinhome - toà lanmark 5</t>
  </si>
  <si>
    <t>Quyên Nguyễn</t>
  </si>
  <si>
    <t>HD003233</t>
  </si>
  <si>
    <t>The opera residence tháp B scala</t>
  </si>
  <si>
    <t>Chị Nhậm ( gửi đồ cho Julie em chị Hà ở Úc) - fb Gia Khánh Linh</t>
  </si>
  <si>
    <t>HD003539</t>
  </si>
  <si>
    <t>40/8 xuân Thuỷ - Thảo Điền</t>
  </si>
  <si>
    <t>Kim Phú</t>
  </si>
  <si>
    <t>HD003644</t>
  </si>
  <si>
    <t>89/57 đường số 59 p14</t>
  </si>
  <si>
    <t>Tâm Như</t>
  </si>
  <si>
    <t>HD003500</t>
  </si>
  <si>
    <t>129/34 Nguyễn Văn Công, phường 3, Phường Gò Vấp</t>
  </si>
  <si>
    <t>Quỳnh Như</t>
  </si>
  <si>
    <t>HD003498</t>
  </si>
  <si>
    <t>79a đường số 12 linh tây</t>
  </si>
  <si>
    <t>Tên Khải fb : Lysa Kim</t>
  </si>
  <si>
    <t>HD003566</t>
  </si>
  <si>
    <t>124 Nam kỳ khởi nghĩa, phường bến nghé</t>
  </si>
  <si>
    <t>cô hai fb MeiLing Loke</t>
  </si>
  <si>
    <t>HD003670</t>
  </si>
  <si>
    <t>52/20 hồ thị kỷ f1 gặp cô 2</t>
  </si>
  <si>
    <t>giàu - gửi hàng cho Mỹ Phùng</t>
  </si>
  <si>
    <t>HD003541</t>
  </si>
  <si>
    <t>37 Đặng Minh Trứ, Phường Bảy Hiền</t>
  </si>
  <si>
    <t>Hoàng Yến Như</t>
  </si>
  <si>
    <t>HD003699</t>
  </si>
  <si>
    <t>145/11 Nguyễn Văn Trỗi, phường Phú Nhuận</t>
  </si>
  <si>
    <t>Thuý Ngân Nguyễn</t>
  </si>
  <si>
    <t>HD003531</t>
  </si>
  <si>
    <t>257/6/11A Phan xích Long p 2</t>
  </si>
  <si>
    <t>Gia Huy nhận của ELIS NGUYỄN ( singapore)</t>
  </si>
  <si>
    <t>HD003567</t>
  </si>
  <si>
    <t>2/11 Đường Thiên Phước, Phường 9</t>
  </si>
  <si>
    <t>nhà xe Khải Nam</t>
  </si>
  <si>
    <t>363 Đường Hùng vương P. 9</t>
  </si>
  <si>
    <t>Thanh Hằng ( Vivi Kosalim )</t>
  </si>
  <si>
    <t>605 Âu Cơ, Phường Phú Trung</t>
  </si>
  <si>
    <t>at 21-03</t>
  </si>
  <si>
    <t>Ruby Thao Tran</t>
  </si>
  <si>
    <t>HD004126</t>
  </si>
  <si>
    <t>86/2 đình phong Phu Tang Nhơn Phú</t>
  </si>
  <si>
    <t>23-03-2026</t>
  </si>
  <si>
    <t>Mai Thị Thu Phương</t>
  </si>
  <si>
    <t>HD003912</t>
  </si>
  <si>
    <t>Đường Số 297 Hẻm 5 Số Nhà 35/31D, Phường Phước Long B</t>
  </si>
  <si>
    <t>Thảo Nguyên</t>
  </si>
  <si>
    <t>HD004240</t>
  </si>
  <si>
    <t>chung cư Garden Court 2, đ.Tôn Dật Tiên</t>
  </si>
  <si>
    <t>AT 23-03</t>
  </si>
  <si>
    <t>Thụy An Dao</t>
  </si>
  <si>
    <t>HD003860</t>
  </si>
  <si>
    <t>Sảnh B2 chung cư Emerald phường sơn kỳ</t>
  </si>
  <si>
    <t>Dung Nguyen</t>
  </si>
  <si>
    <t>HD003942</t>
  </si>
  <si>
    <t>1123 quốc lộ 1a, tân tạo, chung cư an gia the star</t>
  </si>
  <si>
    <t>Diễm Phúc</t>
  </si>
  <si>
    <t>HD003938</t>
  </si>
  <si>
    <t>314/138 đường âu dương lân, p3</t>
  </si>
  <si>
    <t>Shin (inst shingg988)</t>
  </si>
  <si>
    <t>HD003943</t>
  </si>
  <si>
    <t>The park residence nguyễn hữu thọ phước kiến</t>
  </si>
  <si>
    <t>Thư Võ</t>
  </si>
  <si>
    <t>HD003996</t>
  </si>
  <si>
    <t>510 kinh dương vương, an lạc</t>
  </si>
  <si>
    <t>Tiên - Quyên</t>
  </si>
  <si>
    <t>HD003907</t>
  </si>
  <si>
    <t>Chung cư b1, Bông Sao, phường Bình Đông</t>
  </si>
  <si>
    <t>Tram Ho</t>
  </si>
  <si>
    <t>HD004103</t>
  </si>
  <si>
    <t>50/63/21 TX25, phường thới an</t>
  </si>
  <si>
    <t>Suby Phạm</t>
  </si>
  <si>
    <t>HD003905</t>
  </si>
  <si>
    <t>16 đường 36 Tân quy</t>
  </si>
  <si>
    <t>Tường Vy</t>
  </si>
  <si>
    <t>HD004049</t>
  </si>
  <si>
    <t>địa chỉ 13 mai am p9</t>
  </si>
  <si>
    <t>Le Hai</t>
  </si>
  <si>
    <t>HD003826</t>
  </si>
  <si>
    <t>161B/50 lạc long quân, p3</t>
  </si>
  <si>
    <t>Trần Khả Nhi</t>
  </si>
  <si>
    <t>HD003918</t>
  </si>
  <si>
    <t>288/30 duong bá trạc p2</t>
  </si>
  <si>
    <t>HD003946</t>
  </si>
  <si>
    <t>(LDVKH1211714)177C ( Đối diện 93C) Đường Số 1, Phường Hưng Hoà B , BÃI XE MINH CHÂU</t>
  </si>
  <si>
    <t>chị ngọc</t>
  </si>
  <si>
    <t>HD003777</t>
  </si>
  <si>
    <t>C4/68 phạm hùng</t>
  </si>
  <si>
    <t>605 Âu Cơ, phường Phú Trung</t>
  </si>
  <si>
    <t>Ng Mai</t>
  </si>
  <si>
    <t>HD003738</t>
  </si>
  <si>
    <t>109 Nguyễn thi xinh phường thới an</t>
  </si>
  <si>
    <t>Thanh Canh Nguyễn</t>
  </si>
  <si>
    <t>HD003816</t>
  </si>
  <si>
    <t>91 đường 21 tan quy</t>
  </si>
  <si>
    <t>Huyền Trang</t>
  </si>
  <si>
    <t>HD004026</t>
  </si>
  <si>
    <t>72 Hoàng Trọng Mậu, Phường Tân Hưng ( KDC Himlam )</t>
  </si>
  <si>
    <t>MC Sanita Mao (MV01908)</t>
  </si>
  <si>
    <t>HD004125</t>
  </si>
  <si>
    <t>315/18/6 Nguyễn Thị Tú</t>
  </si>
  <si>
    <t>Nguyễn Phương Thảo</t>
  </si>
  <si>
    <t>HD004071</t>
  </si>
  <si>
    <t>Địa chỉ 97 Thành Công Tân Thành</t>
  </si>
  <si>
    <t>Heng Roza (EV38382)</t>
  </si>
  <si>
    <t>HD003772</t>
  </si>
  <si>
    <t>315/18/6 Nhuyễn Thị Tú, Phường Bình Hưng Hòa B</t>
  </si>
  <si>
    <t>Huỳnh Quế Trinh</t>
  </si>
  <si>
    <t>HD004044</t>
  </si>
  <si>
    <t>166 đường số 1, khu phố 25, phường Bình Hưng Hòa</t>
  </si>
  <si>
    <t>Nhung Nguyễn</t>
  </si>
  <si>
    <t>HD004167</t>
  </si>
  <si>
    <t>341/13s Lạc Long quận phường 5</t>
  </si>
  <si>
    <t>Selina Chau</t>
  </si>
  <si>
    <t>HD004280</t>
  </si>
  <si>
    <t>23 Ng Hữu Thọ toà nhà Sunrise City p. Tân Hưng</t>
  </si>
  <si>
    <t>Jess-9244</t>
  </si>
  <si>
    <t>MINH ZU</t>
  </si>
  <si>
    <t>631 nguyễn văn quá đông hưng thuận</t>
  </si>
  <si>
    <t>Mie</t>
  </si>
  <si>
    <t>Chung cư Sunshine, 23 Phú Thuận Tân Phú</t>
  </si>
  <si>
    <t>Tuyết Nhi ZL2</t>
  </si>
  <si>
    <t>170F Tân Hòa Đông f14</t>
  </si>
  <si>
    <t>My Yến</t>
  </si>
  <si>
    <t>HD004141</t>
  </si>
  <si>
    <t>334/33/1C Chu văn an, phường 12</t>
  </si>
  <si>
    <t>shop chịu ship</t>
  </si>
  <si>
    <t>Nhận hộ fb Nguyễn Hà</t>
  </si>
  <si>
    <t>HD004016</t>
  </si>
  <si>
    <t>433/11/2 Lê Đức Thọ, Phường 17</t>
  </si>
  <si>
    <t>A Cường - Hoàng My</t>
  </si>
  <si>
    <t>HD004072</t>
  </si>
  <si>
    <t>635/78/20 xô viết nghệ tĩnh, phường 26</t>
  </si>
  <si>
    <t>Nguyễn Ánh Dương</t>
  </si>
  <si>
    <t>HD003876</t>
  </si>
  <si>
    <t>382/3/22 nguyễn thái sơn khu phố 1 phường An Nhơn</t>
  </si>
  <si>
    <t>Mon Huỳnh</t>
  </si>
  <si>
    <t>HD004205</t>
  </si>
  <si>
    <t>93 đường số 1 PHƯỜNG 4</t>
  </si>
  <si>
    <t>Mỹ Nga</t>
  </si>
  <si>
    <t>HD004094</t>
  </si>
  <si>
    <t>75/19/7 nguyen sy sach p tân sơn</t>
  </si>
  <si>
    <t>Mỹ</t>
  </si>
  <si>
    <t>HD004090</t>
  </si>
  <si>
    <t>Toà Landmark 6 - Vinhomes Central Park 208 Nguyễn Hữu Cảnh Phường 22</t>
  </si>
  <si>
    <t>Mộng Cầm</t>
  </si>
  <si>
    <t>HD003869</t>
  </si>
  <si>
    <t>222 nguyễn văn đậu p bình lợi trung</t>
  </si>
  <si>
    <t>Giang Thạch Thảo</t>
  </si>
  <si>
    <t>HD003948</t>
  </si>
  <si>
    <t>24 đường 10 Thảo Điền</t>
  </si>
  <si>
    <t>HD003873</t>
  </si>
  <si>
    <t>18/42/9/36 Đường số 53, Phường 14</t>
  </si>
  <si>
    <t>Nguyễn Huỳnh Cẩm Tú</t>
  </si>
  <si>
    <t>HD004266</t>
  </si>
  <si>
    <t>Chung cư park 1, Vinhomes Central Park, Phường 22</t>
  </si>
  <si>
    <t>Ngọc Anh</t>
  </si>
  <si>
    <t>HD003762</t>
  </si>
  <si>
    <t>chung cư flora novia, block b phạm văn đồng, an bình</t>
  </si>
  <si>
    <t>Minh Thao Le</t>
  </si>
  <si>
    <t>HD004268</t>
  </si>
  <si>
    <t>35/5 nguyên văn lượng f.17</t>
  </si>
  <si>
    <t>Diệu Quyên</t>
  </si>
  <si>
    <t>HD004178</t>
  </si>
  <si>
    <t>242/20 phạm văn bạch p15</t>
  </si>
  <si>
    <t>HD004063</t>
  </si>
  <si>
    <t>Trúc Nguyễn</t>
  </si>
  <si>
    <t>HD004008</t>
  </si>
  <si>
    <t>33 Đường 6 Linh Chiểu</t>
  </si>
  <si>
    <t>Phuong truong - Bình Trần</t>
  </si>
  <si>
    <t>41/8 Mai Lão Bạng, Phường 13</t>
  </si>
  <si>
    <t>BOS BMB</t>
  </si>
  <si>
    <t>119 hoàng diệu 2 linh trung</t>
  </si>
  <si>
    <t>Chau Bui</t>
  </si>
  <si>
    <t>HD004121</t>
  </si>
  <si>
    <t>20-22 phạm ngọc thạch</t>
  </si>
  <si>
    <t>HD003920</t>
  </si>
  <si>
    <t>55 nguyễn cư trinh</t>
  </si>
  <si>
    <t>Kim Diệu</t>
  </si>
  <si>
    <t>HD004101</t>
  </si>
  <si>
    <t>24 yên thế, tân sơn hòa</t>
  </si>
  <si>
    <t>Ái Ph</t>
  </si>
  <si>
    <t>HD003994</t>
  </si>
  <si>
    <t>chợ phạm văn hai p3</t>
  </si>
  <si>
    <t>NGUYỄN DUY BÀO - fb Nguyễn Hoàng Yến</t>
  </si>
  <si>
    <t>HD003449</t>
  </si>
  <si>
    <t>129/23D, Nguyễn Trãi, phường Chợ Quán</t>
  </si>
  <si>
    <t>Ngọc Tuyền</t>
  </si>
  <si>
    <t>HD004129</t>
  </si>
  <si>
    <t>Saigon Royal OT2</t>
  </si>
  <si>
    <t>Trâm Nguyễn</t>
  </si>
  <si>
    <t>HD003937</t>
  </si>
  <si>
    <t>462/ A 17 Đường 3/2 P12</t>
  </si>
  <si>
    <t>vi</t>
  </si>
  <si>
    <t>HD004117</t>
  </si>
  <si>
    <t>261b hai bà trưng phường võ thị sáu</t>
  </si>
  <si>
    <t>Ngọc Mai</t>
  </si>
  <si>
    <t>HD004035</t>
  </si>
  <si>
    <t>TPHCM: 5/5 Nguyễn Văn Vĩnh, Phường 4</t>
  </si>
  <si>
    <t>Võ Ngọc Trâm</t>
  </si>
  <si>
    <t>HD004100</t>
  </si>
  <si>
    <t>491 Điện Biên Phủ P3</t>
  </si>
  <si>
    <t>Trần Thục Oanh</t>
  </si>
  <si>
    <t>HD003882</t>
  </si>
  <si>
    <t>118 đường 3/2, p12</t>
  </si>
  <si>
    <t>Nga Tran</t>
  </si>
  <si>
    <t>HD003608</t>
  </si>
  <si>
    <t>số 229A Đường bùi thị xuân phu re - tphcm. ( chỉ nhận hàng git hành chính thứ 2 đến thứ 7, Sáng 8h đến điều 5:30 )</t>
  </si>
  <si>
    <t>Phi Yến</t>
  </si>
  <si>
    <t>HD003812</t>
  </si>
  <si>
    <t>216 tran hung dao p nct</t>
  </si>
  <si>
    <t>Thúy Fb Huỳnh Thị Thuỷ An</t>
  </si>
  <si>
    <t>HD003831</t>
  </si>
  <si>
    <t>958/13/8 Lạc Long Quân P8</t>
  </si>
  <si>
    <t>HD003793</t>
  </si>
  <si>
    <t>61/14 an bình p6</t>
  </si>
  <si>
    <t>Miêu My</t>
  </si>
  <si>
    <t>HD003799</t>
  </si>
  <si>
    <t>360A Bến Vân Đồn Phường 1</t>
  </si>
  <si>
    <t>Lê Mai</t>
  </si>
  <si>
    <t>HD004241</t>
  </si>
  <si>
    <t>120/1 Lê Lai phường Bến Thành</t>
  </si>
  <si>
    <t>Thủy Huỳnh page dnc</t>
  </si>
  <si>
    <t>HD004065</t>
  </si>
  <si>
    <t>88/3D/5 Nguyễn khoái p2</t>
  </si>
  <si>
    <t>yến trinh</t>
  </si>
  <si>
    <t>HD004299</t>
  </si>
  <si>
    <t>21 ngô thời nhiệm xuân hòa</t>
  </si>
  <si>
    <t>HD004282</t>
  </si>
  <si>
    <t>a 576/110E đoàn văn bơ</t>
  </si>
  <si>
    <t>Nguyễn Nhi</t>
  </si>
  <si>
    <t>HD003513</t>
  </si>
  <si>
    <t>số 18 giải phóng p4</t>
  </si>
  <si>
    <t>SU ANH</t>
  </si>
  <si>
    <t>22/40 Yên Thế, P2</t>
  </si>
  <si>
    <t>Mai Thuy Lin</t>
  </si>
  <si>
    <t>HD003835</t>
  </si>
  <si>
    <t>Số 10A đại lộ hữu nghị</t>
  </si>
  <si>
    <t>tinh</t>
  </si>
  <si>
    <t>hàng tỉnh</t>
  </si>
  <si>
    <t>duyen my</t>
  </si>
  <si>
    <t>HD136089</t>
  </si>
  <si>
    <t>268/18a le van viet</t>
  </si>
  <si>
    <t>07-03-2026</t>
  </si>
  <si>
    <t>at 23-03</t>
  </si>
  <si>
    <t>HD004392</t>
  </si>
  <si>
    <t>AT 24-03</t>
  </si>
  <si>
    <t>24-03-2026</t>
  </si>
  <si>
    <t>Thanh Hiền</t>
  </si>
  <si>
    <t>HD004324</t>
  </si>
  <si>
    <t>Block D1, Chung cư Hoàng Anh Gia Lai 3, Đường Nguyễn Hữu Thọ, xã Phước Kiến</t>
  </si>
  <si>
    <t>chuột ( fb Pon Nis)</t>
  </si>
  <si>
    <t>HD004468</t>
  </si>
  <si>
    <t>68 Tây Lân,P.Bình Trị Đông A</t>
  </si>
  <si>
    <t>HD004388</t>
  </si>
  <si>
    <t>trúc nguyễn</t>
  </si>
  <si>
    <t>HD004444</t>
  </si>
  <si>
    <t>861 Trần Xuân Soạn phường Tân Hưng</t>
  </si>
  <si>
    <t>Hàn Bảo Xuyên</t>
  </si>
  <si>
    <t>HD004397</t>
  </si>
  <si>
    <t>2a đường 79 phường tân quy</t>
  </si>
  <si>
    <t>Tammie Ng</t>
  </si>
  <si>
    <t>HD004418</t>
  </si>
  <si>
    <t>Dạ 479 vinh viễn, phường diên hồng</t>
  </si>
  <si>
    <t>kim xuyến</t>
  </si>
  <si>
    <t>HD004284</t>
  </si>
  <si>
    <t>1002 tạ quang bửu p6</t>
  </si>
  <si>
    <t>Đinh Thị Băng Tâm</t>
  </si>
  <si>
    <t>HD004375</t>
  </si>
  <si>
    <t>138/7 bùi thị xuân bến thành</t>
  </si>
  <si>
    <t>Mien Tran</t>
  </si>
  <si>
    <t>14 Lam Thi Ho, Tan Chanh Hiep Ward</t>
  </si>
  <si>
    <t>SUSI</t>
  </si>
  <si>
    <t>22,TÂN THỚI NHẤT 1B, Phường Tân Thới Nhất</t>
  </si>
  <si>
    <t>PU PU</t>
  </si>
  <si>
    <t>HD004481</t>
  </si>
  <si>
    <t>86 xuân thuỷ thảo điền</t>
  </si>
  <si>
    <t>Thiên lý fb Mei Chan</t>
  </si>
  <si>
    <t>HD004371</t>
  </si>
  <si>
    <t>55 đường 18, khu phố 4, Phường Hiệp Bình</t>
  </si>
  <si>
    <t>Qiun</t>
  </si>
  <si>
    <t>HD004338</t>
  </si>
  <si>
    <t>92/10e đường số 2 P Trường Thọ</t>
  </si>
  <si>
    <t>( Cô Trang Giáo Viên )</t>
  </si>
  <si>
    <t>HD004334</t>
  </si>
  <si>
    <t>Địa chỉ: Trường tiểu học Lê Văn Thọ, ở 1115 Lê Đức Thọ, phường An Hội Đông (phường 13 cũ)</t>
  </si>
  <si>
    <t>BN2422 somsom(inst -som_sompimvipa)</t>
  </si>
  <si>
    <t>HD004367</t>
  </si>
  <si>
    <t>163 Đường Trương Thị Hoa, phường Hiệp Thành</t>
  </si>
  <si>
    <t>Thảo Li</t>
  </si>
  <si>
    <t>HD004411</t>
  </si>
  <si>
    <t>1264/57/45D Lê Đức Thọ P13</t>
  </si>
  <si>
    <t>at 24-03</t>
  </si>
  <si>
    <t>Công Thanh - fb Bảo Trân</t>
  </si>
  <si>
    <t>HD004634</t>
  </si>
  <si>
    <t>Giao về 63/5 dương đình hội, phước long B</t>
  </si>
  <si>
    <t>25-03-2026</t>
  </si>
  <si>
    <t>Khả Hân</t>
  </si>
  <si>
    <t>HD004533</t>
  </si>
  <si>
    <t>chung cư Flora Kikyo Phú Hữu</t>
  </si>
  <si>
    <t>TRÂM ANH</t>
  </si>
  <si>
    <t>HD004402</t>
  </si>
  <si>
    <t>Địa chỉ: B2/1 đường 385 Tăng Nhơn Phú A</t>
  </si>
  <si>
    <t>Chị Diễm</t>
  </si>
  <si>
    <t>HD004592</t>
  </si>
  <si>
    <t>Số 62 đường d2 kdc dassia khang điền, phú hữu</t>
  </si>
  <si>
    <t>Kim Anh Phan</t>
  </si>
  <si>
    <t>HD004636</t>
  </si>
  <si>
    <t>16 cư xã bình minh, đường dương bá trạc phường 1</t>
  </si>
  <si>
    <t>AT 25-03</t>
  </si>
  <si>
    <t>HD004632</t>
  </si>
  <si>
    <t>1123 quốc lộ la, tân tạo, bình tân, tphcm chung cư an gia the star</t>
  </si>
  <si>
    <t>Nhung Bùi</t>
  </si>
  <si>
    <t>HD004593</t>
  </si>
  <si>
    <t>409/108/32/14c huynh thị hai tân chánh hiệp 12</t>
  </si>
  <si>
    <t>Thúy Duy</t>
  </si>
  <si>
    <t>HD004301</t>
  </si>
  <si>
    <t>539/22 Hương lộ 3 phường bình hưn hòa</t>
  </si>
  <si>
    <t>Phương Đoan</t>
  </si>
  <si>
    <t>HD004490</t>
  </si>
  <si>
    <t>số 17 đường số 13 bình hưng hòa</t>
  </si>
  <si>
    <t>Lê Thị Hoài Phương</t>
  </si>
  <si>
    <t>HD004548</t>
  </si>
  <si>
    <t>572/19/18 Âu cơ, Phường bảy hiền</t>
  </si>
  <si>
    <t>Trang Do</t>
  </si>
  <si>
    <t>HD004618</t>
  </si>
  <si>
    <t>79/25 phú định p16</t>
  </si>
  <si>
    <t>LêNguyễn Hải Đăng</t>
  </si>
  <si>
    <t>HD004339</t>
  </si>
  <si>
    <t>17 Mai Chí Thọ, P An Khánh, chung cư Newcity toà venice 2</t>
  </si>
  <si>
    <t>Minh Thư +Esther</t>
  </si>
  <si>
    <t>HD004601</t>
  </si>
  <si>
    <t>36/91 Lê Thị Hồng, phường gò vấp</t>
  </si>
  <si>
    <t>Huỳnh Thư Lê</t>
  </si>
  <si>
    <t>HD004603</t>
  </si>
  <si>
    <t>91/38 đường 8, linh trung</t>
  </si>
  <si>
    <t>TRẦN TRỌNG NGHĨA - Nhím Biển</t>
  </si>
  <si>
    <t>HD004519</t>
  </si>
  <si>
    <t>Công Ty TNHH Thương Mại Và Dịch Vụ Vận Tải EXIMLOG 6 đường số 4, khu phố 4, phường Hiệp Bình Chánh</t>
  </si>
  <si>
    <t>Sumin Nguyen</t>
  </si>
  <si>
    <t>HD004524</t>
  </si>
  <si>
    <t>chung cư sài gòn avenue phường tam bình</t>
  </si>
  <si>
    <t>Hằng Minh</t>
  </si>
  <si>
    <t>HD004528</t>
  </si>
  <si>
    <t>83/20/11 Phạm Văn Bạch, phường 15</t>
  </si>
  <si>
    <t>at 25-03</t>
  </si>
  <si>
    <t>Xuân Quỳnh</t>
  </si>
  <si>
    <t>HD004859</t>
  </si>
  <si>
    <t>S8 01 Origami, Long Bình</t>
  </si>
  <si>
    <t>26-03-2026</t>
  </si>
  <si>
    <t>Quynh Nhu</t>
  </si>
  <si>
    <t>HD004790</t>
  </si>
  <si>
    <t>tòa w4 sunrise city central, số 25 nguyễn hữu thọ tân hưng p606</t>
  </si>
  <si>
    <t>AT 26-03</t>
  </si>
  <si>
    <t>Kiều Nga fb Nguyễn Đan</t>
  </si>
  <si>
    <t>HD004942</t>
  </si>
  <si>
    <t>Địa chỉ: 33 Nguyễn Hữu Thọ, phường Tân Hưng ,(Sunrise City View_tháp A)</t>
  </si>
  <si>
    <t>Thanh Tuyền</t>
  </si>
  <si>
    <t>HD004713</t>
  </si>
  <si>
    <t>64 Trần thị liền Lê văn lương Phước kiểng</t>
  </si>
  <si>
    <t>Nguyễn Thị Ngọc Hân</t>
  </si>
  <si>
    <t>HD004673</t>
  </si>
  <si>
    <t>512 phạm thế hiển p4</t>
  </si>
  <si>
    <t>Huỳnh Mẫn</t>
  </si>
  <si>
    <t>HD004611</t>
  </si>
  <si>
    <t>1362 tỉnh lộ 10 tân tạo</t>
  </si>
  <si>
    <t>Mai Thi Trương</t>
  </si>
  <si>
    <t>HD004702</t>
  </si>
  <si>
    <t>ship 523 chung cư Nhiêu Lộc C, lô D, phường Tân Quý</t>
  </si>
  <si>
    <t>Huyền Lê</t>
  </si>
  <si>
    <t>HD004896</t>
  </si>
  <si>
    <t>Bock B,33 nguyễn hữu thọ, tân hưng</t>
  </si>
  <si>
    <t>Bùi Vi</t>
  </si>
  <si>
    <t>HD004701</t>
  </si>
  <si>
    <t>26/3a xuân thới đông 1, xuân thới đông</t>
  </si>
  <si>
    <t>Cẩm Cẩm</t>
  </si>
  <si>
    <t>HD004898</t>
  </si>
  <si>
    <t>150 Hoàng Trọng Mậu, Tân Hưng</t>
  </si>
  <si>
    <t>An fb Hạnh Xuân</t>
  </si>
  <si>
    <t>HD004802</t>
  </si>
  <si>
    <t>The horizon block A, phường tân phú</t>
  </si>
  <si>
    <t>Phuong Quynh Nguyen</t>
  </si>
  <si>
    <t>HD004943</t>
  </si>
  <si>
    <t>Qua chung cư Fullhouse số 1 đường 34 p.bình trị đông b</t>
  </si>
  <si>
    <t>Yên Yên</t>
  </si>
  <si>
    <t>HD004773</t>
  </si>
  <si>
    <t>104-102 đường số 28 p bình trị đồng b</t>
  </si>
  <si>
    <t>Trương Ngọc Ngân</t>
  </si>
  <si>
    <t>HD004707</t>
  </si>
  <si>
    <t>Chung cư bình đăng lộ D, đường số 1, p6</t>
  </si>
  <si>
    <t>HD004817</t>
  </si>
  <si>
    <t>( Thạch Thảo )</t>
  </si>
  <si>
    <t>HD004653</t>
  </si>
  <si>
    <t>1446/2B Lê Đức Thọ, phường 13</t>
  </si>
  <si>
    <t>Th Hiền</t>
  </si>
  <si>
    <t>HD004876</t>
  </si>
  <si>
    <t>127 Ung Văn Khiêm, Phường Thạnh Mỹ Tây</t>
  </si>
  <si>
    <t>Khanh Huynh Nguyen Tuong</t>
  </si>
  <si>
    <t>HD004824</t>
  </si>
  <si>
    <t>37 bàu cát 1,p14</t>
  </si>
  <si>
    <t>Phương Nga fb Quyên(indonesia)</t>
  </si>
  <si>
    <t>HD004803</t>
  </si>
  <si>
    <t>154/4/7 Nguyễn Phúc Chu, P.15</t>
  </si>
  <si>
    <t>TRẦN TRỌNG NGHĨA - Nhóm Biển</t>
  </si>
  <si>
    <t>HD004819</t>
  </si>
  <si>
    <t>xuân nguyên - fb Diễm My</t>
  </si>
  <si>
    <t>HD004479</t>
  </si>
  <si>
    <t>30/1/13 lê đức thọ phường 17</t>
  </si>
  <si>
    <t>Bảo Ngọc</t>
  </si>
  <si>
    <t>HD004680</t>
  </si>
  <si>
    <t>Vinhomes central Park park 6A (p6-44.03)</t>
  </si>
  <si>
    <t>Amy VD Tran</t>
  </si>
  <si>
    <t>HD004800</t>
  </si>
  <si>
    <t>85/8 Nguyễn Hồng Đào phường 14</t>
  </si>
  <si>
    <t>SREYEGNEGN NOEUN 0967415920 (Insta dalissd)- VIP</t>
  </si>
  <si>
    <t>HD004522</t>
  </si>
  <si>
    <t>363-365-367, 363 Đ. Hùng Vương - Khải Nam Transport</t>
  </si>
  <si>
    <t>Ha My</t>
  </si>
  <si>
    <t>HD004826</t>
  </si>
  <si>
    <t>27a Hoa Sứ P7</t>
  </si>
  <si>
    <t>Ngân Suri</t>
  </si>
  <si>
    <t>HD004657</t>
  </si>
  <si>
    <t>72 Lê Thánh Tôn</t>
  </si>
  <si>
    <t>Ka Nguyễn</t>
  </si>
  <si>
    <t>HD004786</t>
  </si>
  <si>
    <t>cc Golden Mansion - Toà GM2 - 119 Đ. Phổ Quang, Phường 9</t>
  </si>
  <si>
    <t>Việt Trinh</t>
  </si>
  <si>
    <t>HD004794</t>
  </si>
  <si>
    <t>53 Nguyễn trọng lội phường 4</t>
  </si>
  <si>
    <t>Trần Thị Hoài Thương</t>
  </si>
  <si>
    <t>HD004703</t>
  </si>
  <si>
    <t>Chung cư kingdom, 101 block c 334 tô hiến thành</t>
  </si>
  <si>
    <t>Anh Thu Nguyen</t>
  </si>
  <si>
    <t>HD004777</t>
  </si>
  <si>
    <t>230 cao thắng, p12</t>
  </si>
  <si>
    <t>Nguyễn thị nhung fb Yuna Tasaki</t>
  </si>
  <si>
    <t>HD004865</t>
  </si>
  <si>
    <t>21 lê văn lương Chung cư golden palm</t>
  </si>
  <si>
    <t>at 26-03</t>
  </si>
  <si>
    <t>Hiếu Phan</t>
  </si>
  <si>
    <t>HD005081</t>
  </si>
  <si>
    <t>BS10A vinhomes grand park phường long binh</t>
  </si>
  <si>
    <t>27-03-2026</t>
  </si>
  <si>
    <t>AT 27-03</t>
  </si>
  <si>
    <t>Xuân Hương</t>
  </si>
  <si>
    <t>HD005026</t>
  </si>
  <si>
    <t>Căn Hộ B3.16.05 116 Lý chiêu hoàng, phường Bình Phú</t>
  </si>
  <si>
    <t>Khánh Thuận</t>
  </si>
  <si>
    <t>HD005206</t>
  </si>
  <si>
    <t>30 tùng thiện vương phường Phú định</t>
  </si>
  <si>
    <t>Mai Diệu Trang</t>
  </si>
  <si>
    <t>HD005312</t>
  </si>
  <si>
    <t>765 Hồng bằng chung cư dhome</t>
  </si>
  <si>
    <t>Thảo Trần</t>
  </si>
  <si>
    <t>HD005059</t>
  </si>
  <si>
    <t>sunrise w1, 25 nguyễn hữu thọ, tân hưng</t>
  </si>
  <si>
    <t>HD005298</t>
  </si>
  <si>
    <t>chung cư võ đình TA15 thới an</t>
  </si>
  <si>
    <t>chị thủy</t>
  </si>
  <si>
    <t>HD005331</t>
  </si>
  <si>
    <t>Sunrise ruverside, Block D21-13, Đường Nguyễn Hữu Thọ, Xã Phước Kiển</t>
  </si>
  <si>
    <t>Võ Thuỳ Dương</t>
  </si>
  <si>
    <t>HD005293</t>
  </si>
  <si>
    <t>72A đường 23, Tân Quy</t>
  </si>
  <si>
    <t>Mercy Nguyễn Pmu</t>
  </si>
  <si>
    <t>HD004897</t>
  </si>
  <si>
    <t>Trần Lê Trâm Anh</t>
  </si>
  <si>
    <t>HD005071</t>
  </si>
  <si>
    <t>179/13A hoà bình Phường Hiệp Tân</t>
  </si>
  <si>
    <t>Yến Oanh</t>
  </si>
  <si>
    <t>HD005268</t>
  </si>
  <si>
    <t>33 Đ. Nguyễn Hữu Thọ, Tân Hưng, Sunrise city view block B</t>
  </si>
  <si>
    <t>Thanh Nhàn</t>
  </si>
  <si>
    <t>HD005305</t>
  </si>
  <si>
    <t>59 trần hưng đạo, p.tân thành</t>
  </si>
  <si>
    <t>Bông Bông</t>
  </si>
  <si>
    <t>HD005166</t>
  </si>
  <si>
    <t>Saigon riverside complex (block C1) Số 4 đào trí phú thuận</t>
  </si>
  <si>
    <t>Quyn Nguyễn</t>
  </si>
  <si>
    <t>HD005034</t>
  </si>
  <si>
    <t>Chung cư Emerald block C khu Celadon</t>
  </si>
  <si>
    <t>Trần Tươi</t>
  </si>
  <si>
    <t>HD005321</t>
  </si>
  <si>
    <t>213 Nguyễn thị búp phường Tân Chánh hiệp</t>
  </si>
  <si>
    <t>Hồng Hạnh</t>
  </si>
  <si>
    <t>HD005127</t>
  </si>
  <si>
    <t>362/65 đường Hiệp Thành 13, KP7, Phường Hiệp Thành</t>
  </si>
  <si>
    <t>Tram Anh Nguyen</t>
  </si>
  <si>
    <t>HD005110</t>
  </si>
  <si>
    <t>Topaz phoenix Ib phường 4</t>
  </si>
  <si>
    <t>Nguyễn Trần Thanh Hà</t>
  </si>
  <si>
    <t>HD005278</t>
  </si>
  <si>
    <t>43/2a3 đường số 8 hoàng diệu 2, linh trung</t>
  </si>
  <si>
    <t>Thiện Nhi</t>
  </si>
  <si>
    <t>HD005085</t>
  </si>
  <si>
    <t>129/33 huỳnh văn nghệ p12</t>
  </si>
  <si>
    <t>Nguyễn Thảo Vi</t>
  </si>
  <si>
    <t>HD005258</t>
  </si>
  <si>
    <t>Chung cư Saigon pearl toà ruby 1 số 92 nguyễn hữu cảnh</t>
  </si>
  <si>
    <t>Jemial Vo</t>
  </si>
  <si>
    <t>HD005141</t>
  </si>
  <si>
    <t>438 phan văn trị, p. hạnh thông</t>
  </si>
  <si>
    <t>Pham Huong</t>
  </si>
  <si>
    <t>HD005294</t>
  </si>
  <si>
    <t>764/50/41 phạm văn chiêu p15</t>
  </si>
  <si>
    <t>Anh Đào nhận dùm fb Ngô Thu</t>
  </si>
  <si>
    <t>HD005310</t>
  </si>
  <si>
    <t>72 Tân Hải, Phường 13</t>
  </si>
  <si>
    <t>Fangfang</t>
  </si>
  <si>
    <t>A75/6B/2 Bạch Đằng, Phường 2</t>
  </si>
  <si>
    <t>Venny (Indo)</t>
  </si>
  <si>
    <t>Mhome Sài Gòn 384/6 Lê Văn Sỹ</t>
  </si>
  <si>
    <t>Người nhận: Ngọc Bích</t>
  </si>
  <si>
    <t>HD005290</t>
  </si>
  <si>
    <t>90 Pasteur, phường Bến Nghé</t>
  </si>
  <si>
    <t>HD005008</t>
  </si>
  <si>
    <t>Rivergate Apartment 155 bến văn đồn , HCMC Sảnh B</t>
  </si>
  <si>
    <t>khun leang 092559972</t>
  </si>
  <si>
    <t>HD004805</t>
  </si>
  <si>
    <t>nhà xe khải nam</t>
  </si>
  <si>
    <t>em xíu shiiny</t>
  </si>
  <si>
    <t>HD004646</t>
  </si>
  <si>
    <t>số 217 Đường bùi thị xuân phường 1</t>
  </si>
  <si>
    <t>Người nhận: Mít</t>
  </si>
  <si>
    <t>HD005309</t>
  </si>
  <si>
    <t>số 122/27/56/5/31 tôn đàn phường 8</t>
  </si>
  <si>
    <t>Yến Lê</t>
  </si>
  <si>
    <t>HD005323</t>
  </si>
  <si>
    <t>78-89 nam kỳ khởi nghĩa p bến thành</t>
  </si>
  <si>
    <t>Hạnh Hạnh</t>
  </si>
  <si>
    <t>HD005291</t>
  </si>
  <si>
    <t>334 tô hiến thành p14 cuộn 10 Chung cư kingdom101 block a</t>
  </si>
  <si>
    <t>Nguyễn Uyên</t>
  </si>
  <si>
    <t>HD005087</t>
  </si>
  <si>
    <t>525/44 tô hiến thành p diên hồng</t>
  </si>
  <si>
    <t>at 27-03</t>
  </si>
  <si>
    <t>TUYẾT NHI</t>
  </si>
  <si>
    <t>AT 28-03</t>
  </si>
  <si>
    <t>28-03-2026</t>
  </si>
  <si>
    <t>nguyễn kiều diễm</t>
  </si>
  <si>
    <t>HD005386</t>
  </si>
  <si>
    <t>437 Đào Sư Tích, Xã Phước Lộc</t>
  </si>
  <si>
    <t>Phuong Thao</t>
  </si>
  <si>
    <t>HD005695</t>
  </si>
  <si>
    <t>137/18 âu dương lân</t>
  </si>
  <si>
    <t>HD005630</t>
  </si>
  <si>
    <t>Cao Huyền Anh</t>
  </si>
  <si>
    <t>HD005421</t>
  </si>
  <si>
    <t>765 hồng bàng p bình tây</t>
  </si>
  <si>
    <t>Nga Hong Cornee</t>
  </si>
  <si>
    <t>HD005363</t>
  </si>
  <si>
    <t>24/5F, Áp Đông Lân, Bà Điểm, Hạ Môn (T2–CN, nghi lễ)</t>
  </si>
  <si>
    <t>Nic Nic</t>
  </si>
  <si>
    <t>HD005390</t>
  </si>
  <si>
    <t>108 đường 85 tân hưng</t>
  </si>
  <si>
    <t>miko fb Giàu Ngọc</t>
  </si>
  <si>
    <t>HD005382</t>
  </si>
  <si>
    <t>85/6 bình tây phường 1</t>
  </si>
  <si>
    <t>HD005671</t>
  </si>
  <si>
    <t>Nguyễn Thị Tú</t>
  </si>
  <si>
    <t>HD001437</t>
  </si>
  <si>
    <t>Ngoc Venus</t>
  </si>
  <si>
    <t>HD005666</t>
  </si>
  <si>
    <t>69 phố tiểu nam, P Tân Phú</t>
  </si>
  <si>
    <t>Họ Mi</t>
  </si>
  <si>
    <t>HD005566</t>
  </si>
  <si>
    <t>Sunrise Riverside block C Phước Kiển</t>
  </si>
  <si>
    <t>Nguyễn Nhung</t>
  </si>
  <si>
    <t>HD005384</t>
  </si>
  <si>
    <t>688/2/1/28 huơng lộ 2- p. bình trị đông A</t>
  </si>
  <si>
    <t>Thuy Nga</t>
  </si>
  <si>
    <t>HD005472</t>
  </si>
  <si>
    <t>56 bình phú phường tam phú</t>
  </si>
  <si>
    <t>Thao Doan</t>
  </si>
  <si>
    <t>HD005490</t>
  </si>
  <si>
    <t>81/64 Nguyễn Cửu Vân, p17</t>
  </si>
  <si>
    <t>Phước Ngọc</t>
  </si>
  <si>
    <t>HD005146</t>
  </si>
  <si>
    <t>landmark 3 vinhomes center park</t>
  </si>
  <si>
    <t>Mai Đỗ Phi Phụng</t>
  </si>
  <si>
    <t>HD005478</t>
  </si>
  <si>
    <t>Empire city, toà tilia D12, đại lộ vòng cung, thủ thiêm</t>
  </si>
  <si>
    <t>Huỳnh Thanh Thanh</t>
  </si>
  <si>
    <t>HD005533</t>
  </si>
  <si>
    <t>26/2 đường 36 phường bình trưng tây</t>
  </si>
  <si>
    <t>Rann Visetha</t>
  </si>
  <si>
    <t>HD005457</t>
  </si>
  <si>
    <t>nx khải nam</t>
  </si>
  <si>
    <t>Thuỷ Tờ Rần</t>
  </si>
  <si>
    <t>HD005661</t>
  </si>
  <si>
    <t>68 nguyễn lâm f6</t>
  </si>
  <si>
    <t>Yen Thi Kim Le</t>
  </si>
  <si>
    <t>HD005338</t>
  </si>
  <si>
    <t>549 Điện Biên Phủ bàn cờ</t>
  </si>
  <si>
    <t>Ngọc Diễm</t>
  </si>
  <si>
    <t>HD005541</t>
  </si>
  <si>
    <t>Chung cư Central Plaza, 91 Phạm Văn Hai, phường Tân Sơn Hoà</t>
  </si>
  <si>
    <t>Huyền Võ</t>
  </si>
  <si>
    <t>HD005532</t>
  </si>
  <si>
    <t>83 triệu quang phục, phường 10</t>
  </si>
  <si>
    <t>Thư Thư</t>
  </si>
  <si>
    <t>HD005678</t>
  </si>
  <si>
    <t>314 Trần Hưng Đạo, P Nguyễn Cư Trinh</t>
  </si>
  <si>
    <t>MAI DUNG</t>
  </si>
  <si>
    <t>HD005500</t>
  </si>
  <si>
    <t>block c chung cư bontanica premier 108 hồng hà p2</t>
  </si>
  <si>
    <t>Ngọc Hương</t>
  </si>
  <si>
    <t>HD005685</t>
  </si>
  <si>
    <t>19 Hoàng dư Khương phường 12</t>
  </si>
  <si>
    <t>Châu Bui</t>
  </si>
  <si>
    <t>HD005467</t>
  </si>
  <si>
    <t>at 28-03</t>
  </si>
  <si>
    <t>30-03-2026</t>
  </si>
  <si>
    <t>HƯƠNG TRẦN</t>
  </si>
  <si>
    <t>261/2c chu văn an p12</t>
  </si>
  <si>
    <t>AT 30-03</t>
  </si>
  <si>
    <t>BELLA TRẦN</t>
  </si>
  <si>
    <t>66 đường 17 p10</t>
  </si>
  <si>
    <t>Tăng Thư Thư</t>
  </si>
  <si>
    <t>HD005791</t>
  </si>
  <si>
    <t>Ship 270 hong lac f11</t>
  </si>
  <si>
    <t>Huỳnh Như</t>
  </si>
  <si>
    <t>HD005948</t>
  </si>
  <si>
    <t>Block B chung cư Mia đường 9a kdc trung sơn bình Hưng</t>
  </si>
  <si>
    <t>Phi Âu</t>
  </si>
  <si>
    <t>HD006009</t>
  </si>
  <si>
    <t>lexington, block LD01.03, 67mai chí thọ, bình trưng</t>
  </si>
  <si>
    <t>HD005828</t>
  </si>
  <si>
    <t>Yu Mi</t>
  </si>
  <si>
    <t>HD006184</t>
  </si>
  <si>
    <t>346 bến vân đồn p1 ( chung cư gold view, Block a3 )</t>
  </si>
  <si>
    <t>Tieu My</t>
  </si>
  <si>
    <t>HD006206</t>
  </si>
  <si>
    <t>h8 cư xá phú lâm B, đường bà hơm, phường 13</t>
  </si>
  <si>
    <t>Đan Phượng</t>
  </si>
  <si>
    <t>HD005900</t>
  </si>
  <si>
    <t>35/2 đường 11,bình thọ</t>
  </si>
  <si>
    <t>Nguyễn Hồng Thoa</t>
  </si>
  <si>
    <t>HD005735</t>
  </si>
  <si>
    <t>112 bùi thị Xuân bến thành</t>
  </si>
  <si>
    <t>Thao My</t>
  </si>
  <si>
    <t>HD006091</t>
  </si>
  <si>
    <t>346 Bên Vân đồn f1 Chung cư Gold View</t>
  </si>
  <si>
    <t>Người nhận: Fb Phương Mai</t>
  </si>
  <si>
    <t>HD005930</t>
  </si>
  <si>
    <t>Yến Nhi</t>
  </si>
  <si>
    <t>HD005756</t>
  </si>
  <si>
    <t>17/9 đường 59 phường thảo điền</t>
  </si>
  <si>
    <t>Thanh Thanh</t>
  </si>
  <si>
    <t>HD005888</t>
  </si>
  <si>
    <t>107 vinh hội p4</t>
  </si>
  <si>
    <t>Nuh Nguyen</t>
  </si>
  <si>
    <t>HD006203</t>
  </si>
  <si>
    <t>Cc Vision Đ.Trần Đại Nghĩa,P Tân Tạo A</t>
  </si>
  <si>
    <t>Jenny Nguyen-9654 Tampines #0-690 Jenny: 92721531</t>
  </si>
  <si>
    <t>HD005753</t>
  </si>
  <si>
    <t>19 yên thế, Phuong 2</t>
  </si>
  <si>
    <t>Lee Nhi</t>
  </si>
  <si>
    <t>HD006024</t>
  </si>
  <si>
    <t>S5-03 saroma villas phường an khánh</t>
  </si>
  <si>
    <t>Nhan Nguyễn</t>
  </si>
  <si>
    <t>HD005929</t>
  </si>
  <si>
    <t>166 chung cư Phú thọ, Nguyễn thị nhỏ, P. Phú thọ</t>
  </si>
  <si>
    <t>C Hằng</t>
  </si>
  <si>
    <t>HD005721</t>
  </si>
  <si>
    <t>9 Nguyễn Thị Minh Khai, p Sài Gòn, tp HCM (Ngay Đài truyền hình HTV)</t>
  </si>
  <si>
    <t>Jenny (zl)</t>
  </si>
  <si>
    <t>HD006119</t>
  </si>
  <si>
    <t>201/12 mã lò, phường Bình Trị Đông A</t>
  </si>
  <si>
    <t>Jessica Châu</t>
  </si>
  <si>
    <t>HD006032</t>
  </si>
  <si>
    <t>14, đường 32A, p.bình trị đông</t>
  </si>
  <si>
    <t>HD006038</t>
  </si>
  <si>
    <t>72 Tân Hải, Phường 13 , Hồ Chí Minh</t>
  </si>
  <si>
    <t>Ngọc Ngân</t>
  </si>
  <si>
    <t>HD006157</t>
  </si>
  <si>
    <t>30/35 đường thạnh mỹ lợi, kp1, p thạnh mỹ lợi</t>
  </si>
  <si>
    <t>Huyền Bún</t>
  </si>
  <si>
    <t>HD005835</t>
  </si>
  <si>
    <t>chung cư Moscow Tower - đường tân thới nhất 17-p tân thới nhất</t>
  </si>
  <si>
    <t>Kim Kim Kim</t>
  </si>
  <si>
    <t>HD006035</t>
  </si>
  <si>
    <t>CUs One Seven Eight Zero Zero- CUS17800 - insta socheatahun</t>
  </si>
  <si>
    <t>HD005883</t>
  </si>
  <si>
    <t>270B Lý thường kiệt, khu phố 1, Phường 6</t>
  </si>
  <si>
    <t>HD005949</t>
  </si>
  <si>
    <t>86 Đường Số 17A, Bình Trị Đông B, An Lạc</t>
  </si>
  <si>
    <t>Thanh Hà Phạm</t>
  </si>
  <si>
    <t>HD005936</t>
  </si>
  <si>
    <t>29/15 yên thế, p2</t>
  </si>
  <si>
    <t>Kiều Filler</t>
  </si>
  <si>
    <t>HD006142</t>
  </si>
  <si>
    <t>166/48c thích quảng Đức</t>
  </si>
  <si>
    <t>Phương Phạm</t>
  </si>
  <si>
    <t>HD005911</t>
  </si>
  <si>
    <t>Bs16A vinhome grand park long bình</t>
  </si>
  <si>
    <t>Nguyet</t>
  </si>
  <si>
    <t>HD006353</t>
  </si>
  <si>
    <t>Toà nhà lux 6...Vinhomes Golden River ( Bason), 2 Nguyễn Hữu Cảnh, P. Bến Nghé</t>
  </si>
  <si>
    <t>HD006029</t>
  </si>
  <si>
    <t>Đỗ Đông Mi</t>
  </si>
  <si>
    <t>HD005779</t>
  </si>
  <si>
    <t>115 phan huy thuc ptan kieng</t>
  </si>
  <si>
    <t>Nguyễn Thủy</t>
  </si>
  <si>
    <t>HD005746</t>
  </si>
  <si>
    <t>51/18/120 phạm văn chiêu</t>
  </si>
  <si>
    <t>Sen Tina Huynh</t>
  </si>
  <si>
    <t>HD005830</t>
  </si>
  <si>
    <t>37 thích minh nguyệt p2</t>
  </si>
  <si>
    <t>Oanh Trương</t>
  </si>
  <si>
    <t>HD006315</t>
  </si>
  <si>
    <t>132 bến vân đồn</t>
  </si>
  <si>
    <t>Nguyễn Thị Kim Thoa</t>
  </si>
  <si>
    <t>HD005838</t>
  </si>
  <si>
    <t>số 25a đường 22 bình hưng hòa a</t>
  </si>
  <si>
    <t>My My</t>
  </si>
  <si>
    <t>HD006086</t>
  </si>
  <si>
    <t>53 Phan Đình Phùng, p15</t>
  </si>
  <si>
    <t>Susi Be</t>
  </si>
  <si>
    <t>HD005818</t>
  </si>
  <si>
    <t>143 ni sư huỳnh liên, p bảy hiền</t>
  </si>
  <si>
    <t>Ngọc Trinh</t>
  </si>
  <si>
    <t>HD005787</t>
  </si>
  <si>
    <t>261 lê đại hành p phú thọ</t>
  </si>
  <si>
    <t>Tuyet Nhung Nguyen</t>
  </si>
  <si>
    <t>HD006099</t>
  </si>
  <si>
    <t>35 Duy Tân phường 8</t>
  </si>
  <si>
    <t>Hoàng Ngọc Ánh</t>
  </si>
  <si>
    <t>HD006346</t>
  </si>
  <si>
    <t>Địa chỉ 22a đường số 19 Hiệp Bình Chánh</t>
  </si>
  <si>
    <t>Van May</t>
  </si>
  <si>
    <t>HD006320</t>
  </si>
  <si>
    <t>483 lô Q đoàn văn bơ p9</t>
  </si>
  <si>
    <t>Marry Tran</t>
  </si>
  <si>
    <t>HD006137</t>
  </si>
  <si>
    <t>6/5 Dương van Nga Phường 3</t>
  </si>
  <si>
    <t>Thuy Phan</t>
  </si>
  <si>
    <t>HD005775</t>
  </si>
  <si>
    <t>95/43/19/37 lê văn lương, p tan kiểng</t>
  </si>
  <si>
    <t>ALAN</t>
  </si>
  <si>
    <t>HD005837</t>
  </si>
  <si>
    <t>163/11, Đường Vườn Lài, KP2, P. An Phú Đông</t>
  </si>
  <si>
    <t>Khổng My</t>
  </si>
  <si>
    <t>HD006269</t>
  </si>
  <si>
    <t>34/1a liên khu 4-5 phường Bình Hưng Hòa B</t>
  </si>
  <si>
    <t>Linh Trần</t>
  </si>
  <si>
    <t>HD006318</t>
  </si>
  <si>
    <t>132 Bến Văn Đồn phường 6</t>
  </si>
  <si>
    <t>HD005705</t>
  </si>
  <si>
    <t>Địa chỉ: 375 tân thới hiệp 21, Tổ 3,Kp3 ( nhớ gõ đủ)</t>
  </si>
  <si>
    <t>Ha Hoa tikok @ha hoa 35</t>
  </si>
  <si>
    <t>HD006258</t>
  </si>
  <si>
    <t>766/6 sư vạn hạnh phường hòa trưng</t>
  </si>
  <si>
    <t>Minh Thư</t>
  </si>
  <si>
    <t>HD006103</t>
  </si>
  <si>
    <t>6/24 tân chánh hiệp 36, p trung mỹ tây</t>
  </si>
  <si>
    <t>Phụng</t>
  </si>
  <si>
    <t>HD006244</t>
  </si>
  <si>
    <t>597 Lê Hồng Phong, P10</t>
  </si>
  <si>
    <t>My Quynh Ngo</t>
  </si>
  <si>
    <t>HD006328</t>
  </si>
  <si>
    <t>11C, Thạnh Lộc 14, An Phú Đông</t>
  </si>
  <si>
    <t>Huệ Nghi</t>
  </si>
  <si>
    <t>HD006214</t>
  </si>
  <si>
    <t>36 phó đức chính</t>
  </si>
  <si>
    <t>HD005918</t>
  </si>
  <si>
    <t>chung cư sadora lock D phường an lợi đông</t>
  </si>
  <si>
    <t>HD006326</t>
  </si>
  <si>
    <t>322/8 đào sự tích phước lộc</t>
  </si>
  <si>
    <t>Hy An</t>
  </si>
  <si>
    <t>HD006355</t>
  </si>
  <si>
    <t>226 an dương vương, p bình phú ( p.16 cũ)</t>
  </si>
  <si>
    <t>Nguyễn Bích Trâm</t>
  </si>
  <si>
    <t>HD006305</t>
  </si>
  <si>
    <t>ACB Hàng Xanh, 278 Xô Viết Nghệ Tĩnh, Phường Thạnh Mỹ Tây</t>
  </si>
  <si>
    <t>HD006238</t>
  </si>
  <si>
    <t>Khách hàng</t>
  </si>
  <si>
    <t>HD006356</t>
  </si>
  <si>
    <t>320/12 Đường Nguyễn Văn Linh, Bình Thuận, Tân Thuận</t>
  </si>
  <si>
    <t>Trinh Phan</t>
  </si>
  <si>
    <t>HD006348</t>
  </si>
  <si>
    <t>27 Đinh công tráng tân định</t>
  </si>
  <si>
    <t>HD006230</t>
  </si>
  <si>
    <t>số 217Đường bùi thị xuân phường 1</t>
  </si>
  <si>
    <t>at 30-03</t>
  </si>
  <si>
    <t>THÁNG 3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</si>
  <si>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</si>
  <si>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</si>
  <si>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</si>
  <si>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</si>
  <si>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</si>
  <si>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</si>
  <si>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</si>
  <si>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</si>
  <si>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</si>
  <si>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Quỳnh Hương</t>
  </si>
  <si>
    <t>HD006634</t>
  </si>
  <si>
    <t>Saigon Royal Residences Nguyễn Trường Tộ, phường 13</t>
  </si>
  <si>
    <t>31-03-2026</t>
  </si>
  <si>
    <t>Trần Huyền</t>
  </si>
  <si>
    <t>HD006209</t>
  </si>
  <si>
    <t>Số 27, Đường D5, Phường Tân Thuận Tây</t>
  </si>
  <si>
    <t>AT 31-03</t>
  </si>
  <si>
    <t>MC Sanita Mao (MVO1908)</t>
  </si>
  <si>
    <t>HD006501</t>
  </si>
  <si>
    <t>Khoai Tây</t>
  </si>
  <si>
    <t>HD006429</t>
  </si>
  <si>
    <t>chung cư tera mia đường số 2 kdc B intressco, xã bình hưng</t>
  </si>
  <si>
    <t>HD006492</t>
  </si>
  <si>
    <t>HD006490</t>
  </si>
  <si>
    <t>Minh Vy</t>
  </si>
  <si>
    <t>HD006528</t>
  </si>
  <si>
    <t>688/23/1c hương lộ 2 bình trị đông A</t>
  </si>
  <si>
    <t>Cái Tiệm Lút ( Hong Nhu My )</t>
  </si>
  <si>
    <t>HD006529</t>
  </si>
  <si>
    <t>107 Trương Minh Ký, P13</t>
  </si>
  <si>
    <t>Khánh Như</t>
  </si>
  <si>
    <t>HD006441</t>
  </si>
  <si>
    <t>688/23/1c Hương Lộ 2, phường Bình Trị Đông A</t>
  </si>
  <si>
    <t>Winnie Chua</t>
  </si>
  <si>
    <t>HD006544</t>
  </si>
  <si>
    <t>210 bùi văn ba p.tan thuận đông kdc Jamona golden silk đường N3 căn M8</t>
  </si>
  <si>
    <t>Nguyễn Lý Kim Ngân</t>
  </si>
  <si>
    <t>HD006531</t>
  </si>
  <si>
    <t>137/31/14 phan anh phường bình trị đông</t>
  </si>
  <si>
    <t>Đông Nhi</t>
  </si>
  <si>
    <t>HD006448</t>
  </si>
  <si>
    <t>93 đường số 1, phường 4(phường 1 hoặc phường Hạnh Thông)</t>
  </si>
  <si>
    <t>HD006228</t>
  </si>
  <si>
    <t>29/18 đường số 5 bình trưng đông</t>
  </si>
  <si>
    <t>X.Anh</t>
  </si>
  <si>
    <t>HD006503</t>
  </si>
  <si>
    <t>Căn 603, lô B2 chung cư orchard parkview, 130-132 hồng hà, p. Đức nhuận</t>
  </si>
  <si>
    <t>Thanh Ngân</t>
  </si>
  <si>
    <t>HD006607</t>
  </si>
  <si>
    <t>37 trương vĩnh ký, phường Tân Thạnh</t>
  </si>
  <si>
    <t>HD006389</t>
  </si>
  <si>
    <t>Chung cư lavida plus Nguyễn Văn Linh, phường Tân Phong</t>
  </si>
  <si>
    <t>Hanh Corado</t>
  </si>
  <si>
    <t>HD006621</t>
  </si>
  <si>
    <t>09 Đường số 2, P. An Khánh</t>
  </si>
  <si>
    <t>Vân NA Vy</t>
  </si>
  <si>
    <t>HD006405</t>
  </si>
  <si>
    <t>251 đường 9a khu trung sơn, bình hưng</t>
  </si>
  <si>
    <t>HD006546</t>
  </si>
  <si>
    <t>Trang Lê</t>
  </si>
  <si>
    <t>HD006288</t>
  </si>
  <si>
    <t>8A Sông Thương P2</t>
  </si>
  <si>
    <t>CU519450/pepanhaketya</t>
  </si>
  <si>
    <t>HD006539</t>
  </si>
  <si>
    <t>HD006452</t>
  </si>
  <si>
    <t>431/7b đường Phan Văn Trị phường 7</t>
  </si>
  <si>
    <t>Thanh Thúy</t>
  </si>
  <si>
    <t>HD006512</t>
  </si>
  <si>
    <t>346 quang trung, phường thông tây hội</t>
  </si>
  <si>
    <t>W2459</t>
  </si>
  <si>
    <t>375 tân thới hiệp 21, Tổ 3, Kp3</t>
  </si>
  <si>
    <t>BN882</t>
  </si>
  <si>
    <t>Ivy Huyền</t>
  </si>
  <si>
    <t>Số 5 Nhất Chi Mai phường 13</t>
  </si>
  <si>
    <t>dolly dolly</t>
  </si>
  <si>
    <t>HD006339</t>
  </si>
  <si>
    <t>21 võ trường toản thảo điền</t>
  </si>
  <si>
    <t>at 31-03</t>
  </si>
  <si>
    <t>1 đơn</t>
  </si>
  <si>
    <t>3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</si>
</sst>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87C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 applyBorder="0"/>
  </cellStyleXfs>
  <cellXfs count="45">
    <xf numFmtId="0" fontId="0" fillId="0" borderId="0" xfId="0"/>
    <xf numFmtId="0" fontId="8" fillId="3" borderId="0" xfId="0" applyFont="1" applyFill="1"/>
    <xf numFmtId="0" fontId="3" fillId="0" borderId="0" xfId="2" applyFont="1"/>
    <xf numFmtId="0" fontId="7" fillId="3" borderId="0" xfId="0" applyFont="1" applyFill="1"/>
    <xf numFmtId="0" fontId="8" fillId="0" borderId="0" xfId="2" applyFont="1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8" borderId="0" xfId="0" applyFill="1"/>
    <xf numFmtId="0" fontId="1" fillId="6" borderId="0" xfId="0" applyFont="1" applyFill="1"/>
    <xf numFmtId="0" fontId="6" fillId="0" borderId="0" xfId="0" applyFont="1"/>
    <xf numFmtId="3" fontId="6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7" fillId="0" borderId="0" xfId="2" applyNumberFormat="1"/>
    <xf numFmtId="3" fontId="3" fillId="0" borderId="0" xfId="2" applyNumberFormat="1" applyFont="1"/>
    <xf numFmtId="0" fontId="0" fillId="6" borderId="1" xfId="0" applyFill="1" applyBorder="1"/>
    <xf numFmtId="164" fontId="0" fillId="0" borderId="1" xfId="0" applyNumberFormat="1" applyBorder="1"/>
    <xf numFmtId="0" fontId="0" fillId="0" borderId="1" xfId="0" applyBorder="1"/>
    <xf numFmtId="0" fontId="0" fillId="9" borderId="0" xfId="0" applyFill="1"/>
    <xf numFmtId="0" fontId="0" fillId="6" borderId="0" xfId="0" applyFill="1"/>
    <xf numFmtId="3" fontId="2" fillId="0" borderId="0" xfId="0" applyNumberFormat="1" applyFont="1"/>
    <xf numFmtId="0" fontId="2" fillId="7" borderId="0" xfId="0" applyFont="1" applyFill="1"/>
    <xf numFmtId="0" fontId="8" fillId="2" borderId="0" xfId="0" applyFont="1" applyFill="1"/>
    <xf numFmtId="0" fontId="8" fillId="4" borderId="0" xfId="0" applyFont="1" applyFill="1"/>
    <xf numFmtId="0" fontId="7" fillId="8" borderId="0" xfId="0" applyFont="1" applyFill="1"/>
    <xf numFmtId="0" fontId="8" fillId="5" borderId="0" xfId="0" applyFont="1" applyFill="1"/>
    <xf numFmtId="0" fontId="0" fillId="0" borderId="0" xfId="0" applyAlignment="1">
      <alignment horizontal="right"/>
    </xf>
    <xf numFmtId="0" fontId="1" fillId="5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  <xf numFmtId="3" fontId="0" fillId="3" borderId="0" xfId="0" applyNumberFormat="1" applyFill="1"/>
    <xf numFmtId="0" fontId="8" fillId="3" borderId="0" xfId="0" applyFont="1" applyFill="1"/>
    <xf numFmtId="0" fontId="8" fillId="0" borderId="0" xfId="2" applyFont="1"/>
    <xf numFmtId="0" fontId="7" fillId="3" borderId="0" xfId="0" applyFont="1" applyFill="1"/>
    <xf numFmtId="0" fontId="3" fillId="0" borderId="0" xfId="2" applyFont="1"/>
  </cellXfs>
  <cellStyles count="3">
    <cellStyle name="Normal" xfId="0" builtinId="0"/>
    <cellStyle name="Normal 2" xfId="1" xr:uid="{CBED1F9F-BA16-4586-AD1D-87DE4A3E1C2B}"/>
    <cellStyle name="Normal 3" xfId="2" xr:uid="{8D026F04-2ADF-4F87-822D-6938B6678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Q22" totalsRowShown="0">
  <autoFilter ref="A2:Q22" xr:uid="{00000000-0009-0000-0100-000001000000}"/>
  <tableColumns count="17">
    <tableColumn id="1" xr3:uid="{00000000-0010-0000-0000-000001000000}" name="Tình trạng TT"/>
    <tableColumn id="2" xr3:uid="{00000000-0010-0000-0000-000002000000}" name="SHOP"/>
    <tableColumn id="3" xr3:uid="{00000000-0010-0000-0000-000003000000}" name="TÊN KH"/>
    <tableColumn id="4" xr3:uid="{00000000-0010-0000-0000-000004000000}" name="MÃ"/>
    <tableColumn id="5" xr3:uid="{00000000-0010-0000-0000-000005000000}" name="ĐỊA CHỈ"/>
    <tableColumn id="6" xr3:uid="{00000000-0010-0000-0000-000006000000}" name="QUẬN"/>
    <tableColumn id="7" xr3:uid="{00000000-0010-0000-0000-000007000000}" name="TIỀN THU"/>
    <tableColumn id="8" xr3:uid="{00000000-0010-0000-0000-000008000000}" name="TIỀN SHIP"/>
    <tableColumn id="9" xr3:uid="{00000000-0010-0000-0000-000009000000}" name="TIỀN HÀNG"/>
    <tableColumn id="10" xr3:uid="{00000000-0010-0000-0000-00000A000000}" name="NGƯỜI ĐI"/>
    <tableColumn id="11" xr3:uid="{00000000-0010-0000-0000-00000B000000}" name="NGƯỜI LẤY"/>
    <tableColumn id="12" xr3:uid="{00000000-0010-0000-0000-00000C000000}" name="NGÀY LẤY"/>
    <tableColumn id="13" xr3:uid="{00000000-0010-0000-0000-00000D000000}" name="GHI CHÚ"/>
    <tableColumn id="14" xr3:uid="{00000000-0010-0000-0000-00000E000000}" name="ỨNG TIỀN"/>
    <tableColumn id="15" xr3:uid="{00000000-0010-0000-0000-00000F000000}" name="HÀNG TỒN"/>
    <tableColumn id="16" xr3:uid="{00000000-0010-0000-0000-000010000000}" name="FAIL"/>
    <tableColumn id="17" xr3:uid="{00000000-0010-0000-0000-000011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8E1C-726F-4263-AEA3-2BEB923DF92E}">
  <dimension ref="A2:Q59"/>
  <sheetViews>
    <sheetView topLeftCell="A31" workbookViewId="0">
      <selection activeCell="P35" sqref="P35"/>
    </sheetView>
  </sheetViews>
  <sheetFormatPr defaultColWidth="9.28515625" defaultRowHeight="15" x14ac:dyDescent="0.25"/>
  <cols>
    <col min="1" max="1" width="12.28515625" customWidth="1"/>
    <col min="2" max="2" width="19.140625" customWidth="1"/>
    <col min="3" max="3" width="26.28515625" customWidth="1"/>
    <col min="4" max="4" width="10.140625" customWidth="1"/>
    <col min="5" max="5" width="52.42578125" customWidth="1"/>
    <col min="6" max="6" width="9.85546875" customWidth="1"/>
    <col min="7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9.140625" customWidth="1"/>
    <col min="14" max="14" width="10.28515625" customWidth="1"/>
    <col min="15" max="15" width="11.140625" customWidth="1"/>
    <col min="16" max="16" width="7" bestFit="1" customWidth="1"/>
    <col min="17" max="17" width="6.42578125" customWidth="1"/>
    <col min="18" max="18" width="9.140625" customWidth="1"/>
  </cols>
  <sheetData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x14ac:dyDescent="0.25">
      <c r="B3" t="s">
        <v>17</v>
      </c>
      <c r="C3" t="s">
        <v>18</v>
      </c>
      <c r="D3" t="s">
        <v>19</v>
      </c>
      <c r="E3" t="s">
        <v>20</v>
      </c>
      <c r="F3" s="9">
        <v>9</v>
      </c>
      <c r="G3" s="9">
        <v>820</v>
      </c>
      <c r="H3" s="9">
        <v>30</v>
      </c>
      <c r="I3" s="9">
        <f>G3-H3</f>
        <v>790</v>
      </c>
      <c r="J3" t="s">
        <v>21</v>
      </c>
      <c r="K3" t="s">
        <v>22</v>
      </c>
      <c r="L3" t="s">
        <v>23</v>
      </c>
      <c r="Q3" s="9">
        <v>1</v>
      </c>
    </row>
    <row r="4" spans="1:17" x14ac:dyDescent="0.25">
      <c r="A4" t="s">
        <v>24</v>
      </c>
      <c r="B4" t="s">
        <v>17</v>
      </c>
      <c r="C4" t="s">
        <v>25</v>
      </c>
      <c r="E4" t="s">
        <v>26</v>
      </c>
      <c r="F4" s="9">
        <v>9</v>
      </c>
      <c r="G4" s="9">
        <v>805</v>
      </c>
      <c r="H4" s="9">
        <v>35</v>
      </c>
      <c r="I4" s="9">
        <f>G4-H4</f>
        <v>770</v>
      </c>
      <c r="J4" t="s">
        <v>21</v>
      </c>
      <c r="K4" t="s">
        <v>22</v>
      </c>
      <c r="L4" t="s">
        <v>23</v>
      </c>
      <c r="Q4" s="9">
        <v>1</v>
      </c>
    </row>
    <row r="5" spans="1:17" x14ac:dyDescent="0.25">
      <c r="B5" t="s">
        <v>17</v>
      </c>
      <c r="C5" t="s">
        <v>27</v>
      </c>
      <c r="D5" t="s">
        <v>28</v>
      </c>
      <c r="E5" t="s">
        <v>29</v>
      </c>
      <c r="F5" s="9">
        <v>6</v>
      </c>
      <c r="G5" s="9">
        <v>745</v>
      </c>
      <c r="H5" s="9">
        <v>25</v>
      </c>
      <c r="I5" s="9">
        <f>G5-H5</f>
        <v>720</v>
      </c>
      <c r="J5" t="s">
        <v>30</v>
      </c>
      <c r="K5" t="s">
        <v>22</v>
      </c>
      <c r="L5" t="s">
        <v>23</v>
      </c>
      <c r="Q5" s="9">
        <v>1</v>
      </c>
    </row>
    <row r="6" spans="1:17" x14ac:dyDescent="0.25">
      <c r="A6" t="s">
        <v>24</v>
      </c>
      <c r="B6" t="s">
        <v>17</v>
      </c>
      <c r="C6" t="s">
        <v>31</v>
      </c>
      <c r="E6" t="s">
        <v>32</v>
      </c>
      <c r="F6" s="9">
        <v>6</v>
      </c>
      <c r="G6" s="9">
        <v>0</v>
      </c>
      <c r="H6" s="9">
        <v>30</v>
      </c>
      <c r="I6" s="9">
        <f>-H6</f>
        <v>-30</v>
      </c>
      <c r="J6" t="s">
        <v>30</v>
      </c>
      <c r="K6" t="s">
        <v>22</v>
      </c>
      <c r="L6" t="s">
        <v>23</v>
      </c>
      <c r="Q6" s="9">
        <v>1</v>
      </c>
    </row>
    <row r="7" spans="1:17" x14ac:dyDescent="0.25">
      <c r="A7" t="s">
        <v>24</v>
      </c>
      <c r="B7" t="s">
        <v>17</v>
      </c>
      <c r="C7" t="s">
        <v>33</v>
      </c>
      <c r="E7" t="s">
        <v>34</v>
      </c>
      <c r="F7" s="9">
        <v>6</v>
      </c>
      <c r="G7" s="9">
        <v>650</v>
      </c>
      <c r="H7" s="9">
        <v>30</v>
      </c>
      <c r="I7" s="9">
        <f t="shared" ref="I7:I13" si="0">G7-H7</f>
        <v>620</v>
      </c>
      <c r="J7" t="s">
        <v>30</v>
      </c>
      <c r="K7" t="s">
        <v>22</v>
      </c>
      <c r="L7" t="s">
        <v>23</v>
      </c>
      <c r="Q7" s="9">
        <v>1</v>
      </c>
    </row>
    <row r="8" spans="1:17" x14ac:dyDescent="0.25">
      <c r="B8" t="s">
        <v>17</v>
      </c>
      <c r="C8" t="s">
        <v>35</v>
      </c>
      <c r="D8" t="s">
        <v>36</v>
      </c>
      <c r="E8" t="s">
        <v>37</v>
      </c>
      <c r="F8" s="9">
        <v>7</v>
      </c>
      <c r="G8" s="9">
        <v>610</v>
      </c>
      <c r="H8" s="9">
        <v>30</v>
      </c>
      <c r="I8" s="9">
        <f t="shared" si="0"/>
        <v>580</v>
      </c>
      <c r="J8" t="s">
        <v>30</v>
      </c>
      <c r="K8" t="s">
        <v>22</v>
      </c>
      <c r="L8" t="s">
        <v>23</v>
      </c>
      <c r="Q8" s="9">
        <v>1</v>
      </c>
    </row>
    <row r="9" spans="1:17" x14ac:dyDescent="0.25">
      <c r="B9" t="s">
        <v>17</v>
      </c>
      <c r="C9" t="s">
        <v>38</v>
      </c>
      <c r="D9" t="s">
        <v>39</v>
      </c>
      <c r="E9" t="s">
        <v>40</v>
      </c>
      <c r="F9" s="9">
        <v>7</v>
      </c>
      <c r="G9" s="9">
        <v>820</v>
      </c>
      <c r="H9" s="9">
        <v>30</v>
      </c>
      <c r="I9" s="9">
        <f t="shared" si="0"/>
        <v>790</v>
      </c>
      <c r="J9" t="s">
        <v>30</v>
      </c>
      <c r="K9" t="s">
        <v>22</v>
      </c>
      <c r="L9" t="s">
        <v>23</v>
      </c>
      <c r="Q9" s="9">
        <v>1</v>
      </c>
    </row>
    <row r="10" spans="1:17" x14ac:dyDescent="0.25">
      <c r="B10" t="s">
        <v>17</v>
      </c>
      <c r="C10" t="s">
        <v>41</v>
      </c>
      <c r="D10" t="s">
        <v>42</v>
      </c>
      <c r="E10" t="s">
        <v>43</v>
      </c>
      <c r="F10" t="s">
        <v>44</v>
      </c>
      <c r="G10" s="9">
        <v>770</v>
      </c>
      <c r="H10" s="9">
        <v>30</v>
      </c>
      <c r="I10" s="9">
        <f t="shared" si="0"/>
        <v>740</v>
      </c>
      <c r="J10" t="s">
        <v>30</v>
      </c>
      <c r="K10" t="s">
        <v>22</v>
      </c>
      <c r="L10" t="s">
        <v>23</v>
      </c>
      <c r="Q10" s="9">
        <v>1</v>
      </c>
    </row>
    <row r="11" spans="1:17" x14ac:dyDescent="0.25">
      <c r="B11" t="s">
        <v>17</v>
      </c>
      <c r="C11" t="s">
        <v>45</v>
      </c>
      <c r="D11" t="s">
        <v>46</v>
      </c>
      <c r="E11" t="s">
        <v>47</v>
      </c>
      <c r="F11" t="s">
        <v>44</v>
      </c>
      <c r="G11" s="9">
        <v>820</v>
      </c>
      <c r="H11" s="9">
        <v>30</v>
      </c>
      <c r="I11" s="9">
        <f t="shared" si="0"/>
        <v>790</v>
      </c>
      <c r="J11" t="s">
        <v>30</v>
      </c>
      <c r="K11" t="s">
        <v>22</v>
      </c>
      <c r="L11" t="s">
        <v>23</v>
      </c>
      <c r="Q11" s="9">
        <v>1</v>
      </c>
    </row>
    <row r="12" spans="1:17" x14ac:dyDescent="0.25">
      <c r="B12" t="s">
        <v>17</v>
      </c>
      <c r="C12" t="s">
        <v>48</v>
      </c>
      <c r="D12" t="s">
        <v>49</v>
      </c>
      <c r="E12" t="s">
        <v>50</v>
      </c>
      <c r="F12" t="s">
        <v>51</v>
      </c>
      <c r="G12" s="9">
        <v>945</v>
      </c>
      <c r="H12" s="9">
        <v>25</v>
      </c>
      <c r="I12" s="9">
        <f t="shared" si="0"/>
        <v>920</v>
      </c>
      <c r="J12" t="s">
        <v>30</v>
      </c>
      <c r="K12" t="s">
        <v>22</v>
      </c>
      <c r="L12" t="s">
        <v>23</v>
      </c>
      <c r="Q12" s="9">
        <v>1</v>
      </c>
    </row>
    <row r="13" spans="1:17" x14ac:dyDescent="0.25">
      <c r="B13" t="s">
        <v>17</v>
      </c>
      <c r="C13" t="s">
        <v>52</v>
      </c>
      <c r="D13" t="s">
        <v>53</v>
      </c>
      <c r="E13" t="s">
        <v>54</v>
      </c>
      <c r="F13" t="s">
        <v>55</v>
      </c>
      <c r="G13" s="9">
        <v>730</v>
      </c>
      <c r="H13" s="9">
        <v>30</v>
      </c>
      <c r="I13" s="9">
        <f t="shared" si="0"/>
        <v>700</v>
      </c>
      <c r="J13" t="s">
        <v>30</v>
      </c>
      <c r="K13" t="s">
        <v>22</v>
      </c>
      <c r="L13" t="s">
        <v>23</v>
      </c>
      <c r="Q13" s="9">
        <v>1</v>
      </c>
    </row>
    <row r="14" spans="1:17" x14ac:dyDescent="0.25">
      <c r="B14" t="s">
        <v>17</v>
      </c>
      <c r="C14" t="s">
        <v>56</v>
      </c>
      <c r="D14" t="s">
        <v>57</v>
      </c>
      <c r="E14" t="s">
        <v>58</v>
      </c>
      <c r="F14" t="s">
        <v>55</v>
      </c>
      <c r="G14" s="9">
        <v>0</v>
      </c>
      <c r="H14" s="9">
        <v>25</v>
      </c>
      <c r="I14" s="9">
        <f>-H14</f>
        <v>-25</v>
      </c>
      <c r="J14" t="s">
        <v>30</v>
      </c>
      <c r="K14" t="s">
        <v>22</v>
      </c>
      <c r="L14" t="s">
        <v>23</v>
      </c>
      <c r="Q14" s="9">
        <v>1</v>
      </c>
    </row>
    <row r="15" spans="1:17" x14ac:dyDescent="0.25">
      <c r="B15" t="s">
        <v>17</v>
      </c>
      <c r="C15" t="s">
        <v>59</v>
      </c>
      <c r="D15" t="s">
        <v>60</v>
      </c>
      <c r="E15" t="s">
        <v>61</v>
      </c>
      <c r="F15" t="s">
        <v>62</v>
      </c>
      <c r="G15" s="9">
        <v>745</v>
      </c>
      <c r="H15" s="9">
        <v>25</v>
      </c>
      <c r="I15" s="9">
        <f>G15-H15</f>
        <v>720</v>
      </c>
      <c r="J15" t="s">
        <v>22</v>
      </c>
      <c r="K15" t="s">
        <v>22</v>
      </c>
      <c r="L15" t="s">
        <v>23</v>
      </c>
      <c r="Q15" s="9">
        <v>1</v>
      </c>
    </row>
    <row r="16" spans="1:17" x14ac:dyDescent="0.25">
      <c r="B16" t="s">
        <v>17</v>
      </c>
      <c r="C16" t="s">
        <v>63</v>
      </c>
      <c r="D16" t="s">
        <v>64</v>
      </c>
      <c r="E16" t="s">
        <v>65</v>
      </c>
      <c r="F16" t="s">
        <v>66</v>
      </c>
      <c r="G16" s="9">
        <v>0</v>
      </c>
      <c r="H16" s="9">
        <v>20</v>
      </c>
      <c r="I16" s="9">
        <f>-H16</f>
        <v>-20</v>
      </c>
      <c r="J16" t="s">
        <v>22</v>
      </c>
      <c r="K16" t="s">
        <v>22</v>
      </c>
      <c r="L16" t="s">
        <v>23</v>
      </c>
      <c r="Q16" s="9">
        <v>1</v>
      </c>
    </row>
    <row r="17" spans="1:17" x14ac:dyDescent="0.25">
      <c r="B17" t="s">
        <v>17</v>
      </c>
      <c r="C17" t="s">
        <v>67</v>
      </c>
      <c r="D17" t="s">
        <v>68</v>
      </c>
      <c r="E17" t="s">
        <v>69</v>
      </c>
      <c r="F17" t="s">
        <v>62</v>
      </c>
      <c r="G17" s="9">
        <v>915</v>
      </c>
      <c r="H17" s="9">
        <v>25</v>
      </c>
      <c r="I17" s="9">
        <f>G17-H17</f>
        <v>890</v>
      </c>
      <c r="J17" t="s">
        <v>22</v>
      </c>
      <c r="K17" t="s">
        <v>22</v>
      </c>
      <c r="L17" t="s">
        <v>23</v>
      </c>
      <c r="Q17" s="9">
        <v>1</v>
      </c>
    </row>
    <row r="18" spans="1:17" x14ac:dyDescent="0.25">
      <c r="A18" t="s">
        <v>24</v>
      </c>
      <c r="B18" t="s">
        <v>17</v>
      </c>
      <c r="C18" t="s">
        <v>70</v>
      </c>
      <c r="E18" t="s">
        <v>71</v>
      </c>
      <c r="F18" t="s">
        <v>62</v>
      </c>
      <c r="G18" s="9">
        <v>1920</v>
      </c>
      <c r="H18" s="9">
        <v>30</v>
      </c>
      <c r="I18" s="9">
        <f>G18-H18</f>
        <v>1890</v>
      </c>
      <c r="J18" t="s">
        <v>22</v>
      </c>
      <c r="K18" t="s">
        <v>22</v>
      </c>
      <c r="L18" t="s">
        <v>23</v>
      </c>
      <c r="Q18" s="9">
        <v>1</v>
      </c>
    </row>
    <row r="19" spans="1:17" x14ac:dyDescent="0.25">
      <c r="A19" t="s">
        <v>24</v>
      </c>
      <c r="B19" t="s">
        <v>17</v>
      </c>
      <c r="C19" t="s">
        <v>72</v>
      </c>
      <c r="E19" t="s">
        <v>73</v>
      </c>
      <c r="F19" t="s">
        <v>62</v>
      </c>
      <c r="G19" s="9">
        <v>30</v>
      </c>
      <c r="H19" s="9">
        <v>30</v>
      </c>
      <c r="I19" s="9">
        <f>G19-H19</f>
        <v>0</v>
      </c>
      <c r="J19" t="s">
        <v>22</v>
      </c>
      <c r="K19" t="s">
        <v>22</v>
      </c>
      <c r="L19" t="s">
        <v>23</v>
      </c>
      <c r="Q19" s="9">
        <v>1</v>
      </c>
    </row>
    <row r="20" spans="1:17" x14ac:dyDescent="0.25">
      <c r="A20" t="s">
        <v>24</v>
      </c>
      <c r="B20" t="s">
        <v>17</v>
      </c>
      <c r="C20" t="s">
        <v>74</v>
      </c>
      <c r="E20" t="s">
        <v>75</v>
      </c>
      <c r="F20" t="s">
        <v>51</v>
      </c>
      <c r="G20" s="9">
        <v>35</v>
      </c>
      <c r="H20" s="9">
        <v>35</v>
      </c>
      <c r="I20" s="9">
        <f>G20-H20</f>
        <v>0</v>
      </c>
      <c r="J20" t="s">
        <v>22</v>
      </c>
      <c r="K20" t="s">
        <v>22</v>
      </c>
      <c r="L20" t="s">
        <v>23</v>
      </c>
      <c r="Q20" s="9">
        <v>1</v>
      </c>
    </row>
    <row r="21" spans="1:17" x14ac:dyDescent="0.25">
      <c r="B21" t="s">
        <v>17</v>
      </c>
      <c r="C21" t="s">
        <v>76</v>
      </c>
      <c r="D21" t="s">
        <v>77</v>
      </c>
      <c r="E21" t="s">
        <v>78</v>
      </c>
      <c r="F21" t="s">
        <v>51</v>
      </c>
      <c r="G21" s="9">
        <v>0</v>
      </c>
      <c r="H21" s="9">
        <v>25</v>
      </c>
      <c r="I21" s="9">
        <f>-H21</f>
        <v>-25</v>
      </c>
      <c r="J21" t="s">
        <v>79</v>
      </c>
      <c r="K21" t="s">
        <v>22</v>
      </c>
      <c r="L21" t="s">
        <v>23</v>
      </c>
      <c r="Q21" s="9">
        <v>1</v>
      </c>
    </row>
    <row r="22" spans="1:17" x14ac:dyDescent="0.25">
      <c r="B22" t="s">
        <v>17</v>
      </c>
      <c r="C22" t="s">
        <v>80</v>
      </c>
      <c r="D22" t="s">
        <v>81</v>
      </c>
      <c r="E22" t="s">
        <v>82</v>
      </c>
      <c r="F22" s="9">
        <v>1</v>
      </c>
      <c r="G22" s="9">
        <v>755</v>
      </c>
      <c r="H22" s="9">
        <v>25</v>
      </c>
      <c r="I22" s="9">
        <f>G22-H22</f>
        <v>730</v>
      </c>
      <c r="J22" t="s">
        <v>79</v>
      </c>
      <c r="K22" t="s">
        <v>22</v>
      </c>
      <c r="L22" t="s">
        <v>23</v>
      </c>
      <c r="Q22" s="9">
        <v>1</v>
      </c>
    </row>
    <row r="23" spans="1:17" x14ac:dyDescent="0.25">
      <c r="B23" t="s">
        <v>17</v>
      </c>
      <c r="C23" t="s">
        <v>83</v>
      </c>
      <c r="D23" t="s">
        <v>84</v>
      </c>
      <c r="E23" t="s">
        <v>85</v>
      </c>
      <c r="F23" s="9">
        <v>4</v>
      </c>
      <c r="G23" s="9">
        <v>815</v>
      </c>
      <c r="H23" s="9">
        <v>25</v>
      </c>
      <c r="I23" s="9">
        <f>G23-H23</f>
        <v>790</v>
      </c>
      <c r="J23" t="s">
        <v>79</v>
      </c>
      <c r="K23" t="s">
        <v>22</v>
      </c>
      <c r="L23" t="s">
        <v>23</v>
      </c>
      <c r="Q23" s="9">
        <v>1</v>
      </c>
    </row>
    <row r="24" spans="1:17" x14ac:dyDescent="0.25">
      <c r="A24" t="s">
        <v>24</v>
      </c>
      <c r="B24" t="s">
        <v>17</v>
      </c>
      <c r="C24" t="s">
        <v>86</v>
      </c>
      <c r="E24" t="s">
        <v>87</v>
      </c>
      <c r="F24" s="9">
        <v>12</v>
      </c>
      <c r="G24" s="9">
        <v>0</v>
      </c>
      <c r="H24" s="9">
        <v>45</v>
      </c>
      <c r="I24" s="9">
        <f>G24-H24</f>
        <v>-45</v>
      </c>
      <c r="J24" t="s">
        <v>79</v>
      </c>
      <c r="K24" t="s">
        <v>22</v>
      </c>
      <c r="L24" t="s">
        <v>23</v>
      </c>
      <c r="Q24" s="9">
        <v>1</v>
      </c>
    </row>
    <row r="26" spans="1:17" x14ac:dyDescent="0.25">
      <c r="D26" s="5">
        <f>COUNTA(D3:D24)</f>
        <v>15</v>
      </c>
      <c r="G26" s="5">
        <f t="shared" ref="G26:Q26" si="1">SUBTOTAL(9,G3:G24)</f>
        <v>12930</v>
      </c>
      <c r="H26" s="5">
        <f t="shared" si="1"/>
        <v>635</v>
      </c>
      <c r="I26" s="5">
        <f t="shared" si="1"/>
        <v>12295</v>
      </c>
      <c r="J26" s="5">
        <f t="shared" si="1"/>
        <v>0</v>
      </c>
      <c r="K26" s="5">
        <f t="shared" si="1"/>
        <v>0</v>
      </c>
      <c r="L26" s="5">
        <f t="shared" si="1"/>
        <v>0</v>
      </c>
      <c r="M26" s="5">
        <f t="shared" si="1"/>
        <v>0</v>
      </c>
      <c r="N26" s="5">
        <f t="shared" si="1"/>
        <v>0</v>
      </c>
      <c r="O26" s="5">
        <f t="shared" si="1"/>
        <v>0</v>
      </c>
      <c r="P26" s="5">
        <f t="shared" si="1"/>
        <v>0</v>
      </c>
      <c r="Q26" s="5">
        <f t="shared" si="1"/>
        <v>22</v>
      </c>
    </row>
    <row r="27" spans="1:17" x14ac:dyDescent="0.25">
      <c r="H27">
        <f>-8*17</f>
        <v>-136</v>
      </c>
    </row>
    <row r="28" spans="1:17" x14ac:dyDescent="0.25">
      <c r="H28">
        <f>-2*25</f>
        <v>-50</v>
      </c>
    </row>
    <row r="29" spans="1:17" x14ac:dyDescent="0.25">
      <c r="A29" s="5" t="s">
        <v>17</v>
      </c>
      <c r="C29" s="37" t="s">
        <v>88</v>
      </c>
      <c r="D29" s="37"/>
      <c r="E29" s="8" t="s">
        <v>89</v>
      </c>
      <c r="K29" s="11" t="s">
        <v>22</v>
      </c>
      <c r="L29" s="11" t="s">
        <v>90</v>
      </c>
      <c r="M29" s="11" t="s">
        <v>89</v>
      </c>
      <c r="O29" s="8" t="s">
        <v>91</v>
      </c>
    </row>
    <row r="30" spans="1:17" x14ac:dyDescent="0.25">
      <c r="A30" t="s">
        <v>23</v>
      </c>
      <c r="B30" s="7" t="s">
        <v>92</v>
      </c>
      <c r="C30" s="38">
        <f>SUMIFS(G$3:G$24,B$3:B$24,A$29,L$3:L$24,A$30)</f>
        <v>12930</v>
      </c>
      <c r="D30" s="38"/>
      <c r="E30" s="7">
        <f>SUMIFS(Q$3:Q$24,B$3:B$24,A$29,L$3:L$24,A$30)</f>
        <v>22</v>
      </c>
      <c r="F30" t="s">
        <v>93</v>
      </c>
      <c r="K30" t="s">
        <v>94</v>
      </c>
      <c r="L30">
        <f>SUMIFS(G$3:G$24,J$3:J$24,K$29)</f>
        <v>3645</v>
      </c>
      <c r="M30">
        <f>SUMIFS(Q$3:Q$24,J$3:J$24,K$29)</f>
        <v>6</v>
      </c>
      <c r="O30" t="s">
        <v>22</v>
      </c>
      <c r="P30">
        <f>L35</f>
        <v>3466</v>
      </c>
    </row>
    <row r="31" spans="1:17" x14ac:dyDescent="0.25">
      <c r="B31" s="6" t="s">
        <v>95</v>
      </c>
      <c r="C31" s="39">
        <f>-SUMIFS(H$3:H$111,$B$3:$B$111,$A29,$L$3:$L$111,$A30)</f>
        <v>-635</v>
      </c>
      <c r="D31" s="39"/>
      <c r="E31">
        <f>SUMIFS(Q$3:Q$111,$B$3:$B$111,$A29,$L$3:$L$111,$A30)</f>
        <v>22</v>
      </c>
      <c r="K31" t="s">
        <v>96</v>
      </c>
      <c r="L31">
        <f>-SUMIFS(H$3:H$24,J$3:J$24,K$29)+M31*5</f>
        <v>-135</v>
      </c>
      <c r="M31">
        <f>SUMIFS(Q$3:Q$24,J$3:J$24,K$29)-COUNTIFS(J$3:J$24,K$29,M$3:M$24,"*gộp*")</f>
        <v>6</v>
      </c>
      <c r="O31" t="s">
        <v>79</v>
      </c>
      <c r="P31">
        <f>L43</f>
        <v>1470</v>
      </c>
    </row>
    <row r="32" spans="1:17" x14ac:dyDescent="0.25">
      <c r="B32" s="6" t="s">
        <v>97</v>
      </c>
      <c r="C32" s="39">
        <f>-SUMIFS(I$3:I$24,B$3:B$24,A$29,P$3:P$24,"xx",N$3:N$24,"x")</f>
        <v>0</v>
      </c>
      <c r="D32" s="39"/>
      <c r="E32" s="6">
        <f>SUMIFS(Q$3:Q$24,B$3:B$24,A$29,P$3:P$24,"xx",N$3:N$24,"x")</f>
        <v>0</v>
      </c>
      <c r="K32" t="s">
        <v>98</v>
      </c>
      <c r="L32">
        <v>-44</v>
      </c>
      <c r="O32" t="s">
        <v>99</v>
      </c>
      <c r="P32">
        <f>L51</f>
        <v>5904</v>
      </c>
    </row>
    <row r="33" spans="2:16" x14ac:dyDescent="0.25">
      <c r="B33" s="8" t="s">
        <v>100</v>
      </c>
      <c r="C33" s="37">
        <f>SUBTOTAL(9,C30:C32)</f>
        <v>12295</v>
      </c>
      <c r="D33" s="37"/>
      <c r="E33">
        <f>E30</f>
        <v>22</v>
      </c>
      <c r="K33" s="6" t="s">
        <v>101</v>
      </c>
      <c r="O33" t="s">
        <v>21</v>
      </c>
      <c r="P33">
        <f>L59</f>
        <v>1570</v>
      </c>
    </row>
    <row r="34" spans="2:16" x14ac:dyDescent="0.25">
      <c r="B34" s="6" t="s">
        <v>102</v>
      </c>
      <c r="C34" s="35"/>
      <c r="D34" s="35"/>
      <c r="K34" s="6" t="s">
        <v>103</v>
      </c>
      <c r="O34" t="s">
        <v>104</v>
      </c>
      <c r="P34">
        <f>-C37</f>
        <v>-12295</v>
      </c>
    </row>
    <row r="35" spans="2:16" x14ac:dyDescent="0.25">
      <c r="B35" s="13" t="s">
        <v>105</v>
      </c>
      <c r="C35" s="35"/>
      <c r="D35" s="35"/>
      <c r="L35" s="12">
        <f>SUBTOTAL(9,L30:L34)</f>
        <v>3466</v>
      </c>
      <c r="M35" s="12">
        <f>M30</f>
        <v>6</v>
      </c>
      <c r="O35" s="8" t="s">
        <v>106</v>
      </c>
      <c r="P35" s="8">
        <f>SUBTOTAL(9,P30:P34)</f>
        <v>115</v>
      </c>
    </row>
    <row r="37" spans="2:16" x14ac:dyDescent="0.25">
      <c r="B37" s="5" t="s">
        <v>107</v>
      </c>
      <c r="C37" s="36">
        <f>C33+C34+C35</f>
        <v>12295</v>
      </c>
      <c r="D37" s="36"/>
      <c r="E37" s="5" t="s">
        <v>108</v>
      </c>
      <c r="K37" s="11" t="s">
        <v>79</v>
      </c>
      <c r="L37" s="11" t="s">
        <v>90</v>
      </c>
      <c r="M37" s="11" t="s">
        <v>89</v>
      </c>
    </row>
    <row r="38" spans="2:16" x14ac:dyDescent="0.25">
      <c r="K38" t="s">
        <v>94</v>
      </c>
      <c r="L38">
        <f>SUMIFS(G$3:G$24,J$3:J$24,K$37)</f>
        <v>1570</v>
      </c>
      <c r="M38">
        <f>SUMIFS(Q$3:Q$24,J$3:J$24,K$37)</f>
        <v>4</v>
      </c>
    </row>
    <row r="39" spans="2:16" x14ac:dyDescent="0.25">
      <c r="K39" t="s">
        <v>96</v>
      </c>
      <c r="L39">
        <f>-SUMIFS(H$3:H$24,J$3:J$24,K$37)+M39*5</f>
        <v>-100</v>
      </c>
      <c r="M39">
        <f>SUMIFS(Q$3:Q$24,J$3:J$24,K$37)-COUNTIFS(J$3:J$24,K$37,M$3:M$24,"*gộp*")</f>
        <v>4</v>
      </c>
    </row>
    <row r="40" spans="2:16" x14ac:dyDescent="0.25">
      <c r="K40" t="s">
        <v>98</v>
      </c>
    </row>
    <row r="41" spans="2:16" x14ac:dyDescent="0.25">
      <c r="K41" s="6" t="s">
        <v>101</v>
      </c>
    </row>
    <row r="42" spans="2:16" x14ac:dyDescent="0.25">
      <c r="K42" s="6" t="s">
        <v>103</v>
      </c>
    </row>
    <row r="43" spans="2:16" x14ac:dyDescent="0.25">
      <c r="L43" s="12">
        <f>SUBTOTAL(9,L38:L42)</f>
        <v>1470</v>
      </c>
      <c r="M43" s="12">
        <f>M38</f>
        <v>4</v>
      </c>
    </row>
    <row r="45" spans="2:16" x14ac:dyDescent="0.25">
      <c r="K45" s="11" t="s">
        <v>30</v>
      </c>
      <c r="L45" s="11" t="s">
        <v>90</v>
      </c>
      <c r="M45" s="11" t="s">
        <v>89</v>
      </c>
    </row>
    <row r="46" spans="2:16" x14ac:dyDescent="0.25">
      <c r="K46" t="s">
        <v>94</v>
      </c>
      <c r="L46">
        <f>SUMIFS(G$3:G$24,J$3:J$24,K$45)</f>
        <v>6090</v>
      </c>
      <c r="M46">
        <f>SUMIFS(Q$3:Q$24,J$3:J$24,K$45)</f>
        <v>10</v>
      </c>
    </row>
    <row r="47" spans="2:16" x14ac:dyDescent="0.25">
      <c r="K47" t="s">
        <v>96</v>
      </c>
      <c r="L47">
        <f>SUM(H27:H28)</f>
        <v>-186</v>
      </c>
      <c r="M47">
        <f>SUMIFS(Q$3:Q$24,J$3:J$24,K$45)-COUNTIFS(J$3:J$24,K$45,M$3:M$24,"*gộp*")</f>
        <v>10</v>
      </c>
    </row>
    <row r="48" spans="2:16" x14ac:dyDescent="0.25">
      <c r="K48" t="s">
        <v>98</v>
      </c>
    </row>
    <row r="49" spans="11:13" x14ac:dyDescent="0.25">
      <c r="K49" s="6" t="s">
        <v>101</v>
      </c>
    </row>
    <row r="50" spans="11:13" x14ac:dyDescent="0.25">
      <c r="K50" s="6" t="s">
        <v>103</v>
      </c>
    </row>
    <row r="51" spans="11:13" x14ac:dyDescent="0.25">
      <c r="L51" s="12">
        <f>SUBTOTAL(9,L46:L50)</f>
        <v>5904</v>
      </c>
      <c r="M51" s="12">
        <f>M46</f>
        <v>10</v>
      </c>
    </row>
    <row r="53" spans="11:13" x14ac:dyDescent="0.25">
      <c r="K53" s="11" t="s">
        <v>21</v>
      </c>
      <c r="L53" s="11" t="s">
        <v>90</v>
      </c>
      <c r="M53" s="11" t="s">
        <v>89</v>
      </c>
    </row>
    <row r="54" spans="11:13" x14ac:dyDescent="0.25">
      <c r="K54" t="s">
        <v>94</v>
      </c>
      <c r="L54">
        <f>SUMIFS(G$3:G$24,J$3:J$24,K$53)</f>
        <v>1625</v>
      </c>
      <c r="M54">
        <f>SUMIFS(Q$3:Q$24,J$3:J$24,K$53)</f>
        <v>2</v>
      </c>
    </row>
    <row r="55" spans="11:13" x14ac:dyDescent="0.25">
      <c r="K55" t="s">
        <v>96</v>
      </c>
      <c r="L55">
        <f>-SUMIFS(H$3:H$24,J$3:J$24,K$53)+M55*5</f>
        <v>-55</v>
      </c>
      <c r="M55">
        <f>SUMIFS(Q$3:Q$24,J$3:J$24,K$53)-COUNTIFS(J$3:J$24,K$53,M$3:M$24,"*gộp*")</f>
        <v>2</v>
      </c>
    </row>
    <row r="56" spans="11:13" x14ac:dyDescent="0.25">
      <c r="K56" t="s">
        <v>98</v>
      </c>
    </row>
    <row r="57" spans="11:13" x14ac:dyDescent="0.25">
      <c r="K57" s="6" t="s">
        <v>101</v>
      </c>
    </row>
    <row r="58" spans="11:13" x14ac:dyDescent="0.25">
      <c r="K58" s="6" t="s">
        <v>103</v>
      </c>
    </row>
    <row r="59" spans="11:13" x14ac:dyDescent="0.25">
      <c r="L59" s="12">
        <f>SUBTOTAL(9,L54:L58)</f>
        <v>1570</v>
      </c>
      <c r="M59" s="12">
        <f>M54</f>
        <v>2</v>
      </c>
    </row>
  </sheetData>
  <autoFilter ref="A2:Q2" xr:uid="{00000000-0009-0000-0000-000000000000}">
    <sortState xmlns:xlrd2="http://schemas.microsoft.com/office/spreadsheetml/2017/richdata2" ref="A2:Q2">
      <sortCondition ref="J2"/>
    </sortState>
  </autoFilter>
  <mergeCells count="8">
    <mergeCell ref="C34:D34"/>
    <mergeCell ref="C35:D35"/>
    <mergeCell ref="C37:D37"/>
    <mergeCell ref="C29:D29"/>
    <mergeCell ref="C30:D30"/>
    <mergeCell ref="C31:D31"/>
    <mergeCell ref="C32:D32"/>
    <mergeCell ref="C33:D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DAD0-3888-417E-AED0-7E9D32960B8F}">
  <dimension ref="A1:Q49"/>
  <sheetViews>
    <sheetView topLeftCell="A16" zoomScale="85" zoomScaleNormal="85" workbookViewId="0">
      <selection activeCell="M46" sqref="M46"/>
    </sheetView>
  </sheetViews>
  <sheetFormatPr defaultColWidth="9.28515625" defaultRowHeight="15" x14ac:dyDescent="0.25"/>
  <cols>
    <col min="1" max="1" width="14.42578125" customWidth="1"/>
    <col min="2" max="2" width="19.140625" customWidth="1"/>
    <col min="3" max="3" width="16.85546875" bestFit="1" customWidth="1"/>
    <col min="4" max="4" width="10.140625" customWidth="1"/>
    <col min="5" max="5" width="55.140625" customWidth="1"/>
    <col min="6" max="6" width="10" customWidth="1"/>
    <col min="7" max="7" width="11.42578125" customWidth="1"/>
    <col min="8" max="8" width="12" customWidth="1"/>
    <col min="9" max="9" width="13.140625" customWidth="1"/>
    <col min="10" max="10" width="12.140625" customWidth="1"/>
    <col min="11" max="11" width="13.42578125" customWidth="1"/>
    <col min="12" max="12" width="12" customWidth="1"/>
    <col min="13" max="13" width="11.140625" customWidth="1"/>
    <col min="14" max="14" width="12.140625" customWidth="1"/>
    <col min="15" max="15" width="12.85546875" customWidth="1"/>
    <col min="16" max="16" width="7" bestFit="1" customWidth="1"/>
    <col min="17" max="17" width="11" customWidth="1"/>
    <col min="18" max="18" width="9.140625" customWidth="1"/>
  </cols>
  <sheetData>
    <row r="1" spans="1:17" x14ac:dyDescent="0.25">
      <c r="B1" t="s">
        <v>109</v>
      </c>
      <c r="C1" t="s">
        <v>110</v>
      </c>
    </row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t="s">
        <v>111</v>
      </c>
    </row>
    <row r="3" spans="1:17" x14ac:dyDescent="0.25">
      <c r="B3" t="s">
        <v>17</v>
      </c>
      <c r="C3" t="s">
        <v>112</v>
      </c>
      <c r="D3" t="s">
        <v>113</v>
      </c>
      <c r="E3" t="s">
        <v>114</v>
      </c>
      <c r="F3" s="9">
        <v>7</v>
      </c>
      <c r="G3" s="9">
        <v>670</v>
      </c>
      <c r="H3" s="9">
        <v>30</v>
      </c>
      <c r="I3" s="9">
        <f>G3-H3</f>
        <v>640</v>
      </c>
      <c r="J3" t="s">
        <v>115</v>
      </c>
      <c r="K3" t="s">
        <v>22</v>
      </c>
      <c r="L3" t="s">
        <v>116</v>
      </c>
      <c r="M3" s="25" t="s">
        <v>117</v>
      </c>
      <c r="Q3">
        <v>1</v>
      </c>
    </row>
    <row r="4" spans="1:17" x14ac:dyDescent="0.25">
      <c r="B4" t="s">
        <v>17</v>
      </c>
      <c r="C4" t="s">
        <v>112</v>
      </c>
      <c r="D4" t="s">
        <v>118</v>
      </c>
      <c r="E4" t="s">
        <v>114</v>
      </c>
      <c r="F4" s="9">
        <v>7</v>
      </c>
      <c r="G4" s="9">
        <v>350</v>
      </c>
      <c r="H4" s="9">
        <v>0</v>
      </c>
      <c r="I4" s="9">
        <f>G4-H4</f>
        <v>350</v>
      </c>
      <c r="J4" t="s">
        <v>115</v>
      </c>
      <c r="K4" t="s">
        <v>22</v>
      </c>
      <c r="L4" t="s">
        <v>116</v>
      </c>
      <c r="M4" s="25" t="s">
        <v>117</v>
      </c>
      <c r="Q4">
        <v>1</v>
      </c>
    </row>
    <row r="5" spans="1:17" x14ac:dyDescent="0.25">
      <c r="B5" t="s">
        <v>17</v>
      </c>
      <c r="C5" t="s">
        <v>119</v>
      </c>
      <c r="D5" t="s">
        <v>120</v>
      </c>
      <c r="E5" t="s">
        <v>121</v>
      </c>
      <c r="F5" s="9">
        <v>9</v>
      </c>
      <c r="G5" s="9">
        <v>670</v>
      </c>
      <c r="H5" s="9">
        <v>30</v>
      </c>
      <c r="I5" s="9">
        <f>G5-H5</f>
        <v>640</v>
      </c>
      <c r="J5" t="s">
        <v>115</v>
      </c>
      <c r="K5" t="s">
        <v>22</v>
      </c>
      <c r="L5" t="s">
        <v>116</v>
      </c>
      <c r="Q5">
        <v>1</v>
      </c>
    </row>
    <row r="6" spans="1:17" x14ac:dyDescent="0.25">
      <c r="B6" t="s">
        <v>17</v>
      </c>
      <c r="C6" t="s">
        <v>122</v>
      </c>
      <c r="D6" t="s">
        <v>123</v>
      </c>
      <c r="E6" t="s">
        <v>124</v>
      </c>
      <c r="F6" s="9">
        <v>12</v>
      </c>
      <c r="G6" s="9">
        <v>730</v>
      </c>
      <c r="H6" s="9">
        <v>30</v>
      </c>
      <c r="I6" s="9">
        <f>G6-H6</f>
        <v>700</v>
      </c>
      <c r="J6" t="s">
        <v>115</v>
      </c>
      <c r="K6" t="s">
        <v>22</v>
      </c>
      <c r="L6" t="s">
        <v>116</v>
      </c>
      <c r="Q6">
        <v>1</v>
      </c>
    </row>
    <row r="7" spans="1:17" x14ac:dyDescent="0.25">
      <c r="B7" t="s">
        <v>17</v>
      </c>
      <c r="C7" t="s">
        <v>125</v>
      </c>
      <c r="D7" t="s">
        <v>126</v>
      </c>
      <c r="E7" t="s">
        <v>127</v>
      </c>
      <c r="F7" s="9">
        <v>12</v>
      </c>
      <c r="G7" s="9">
        <v>0</v>
      </c>
      <c r="H7" s="9">
        <v>30</v>
      </c>
      <c r="I7" s="9">
        <f>-H7</f>
        <v>-30</v>
      </c>
      <c r="J7" t="s">
        <v>115</v>
      </c>
      <c r="K7" t="s">
        <v>22</v>
      </c>
      <c r="L7" t="s">
        <v>116</v>
      </c>
      <c r="Q7">
        <v>1</v>
      </c>
    </row>
    <row r="8" spans="1:17" x14ac:dyDescent="0.25">
      <c r="B8" t="s">
        <v>17</v>
      </c>
      <c r="C8" t="s">
        <v>128</v>
      </c>
      <c r="D8" t="s">
        <v>129</v>
      </c>
      <c r="E8" t="s">
        <v>130</v>
      </c>
      <c r="F8" s="9">
        <v>12</v>
      </c>
      <c r="G8" s="9">
        <v>0</v>
      </c>
      <c r="H8" s="9">
        <v>30</v>
      </c>
      <c r="I8" s="9">
        <f>-H8</f>
        <v>-30</v>
      </c>
      <c r="J8" t="s">
        <v>115</v>
      </c>
      <c r="K8" t="s">
        <v>22</v>
      </c>
      <c r="L8" t="s">
        <v>116</v>
      </c>
      <c r="M8" t="s">
        <v>131</v>
      </c>
      <c r="Q8">
        <v>1</v>
      </c>
    </row>
    <row r="9" spans="1:17" x14ac:dyDescent="0.25">
      <c r="B9" t="s">
        <v>17</v>
      </c>
      <c r="C9" t="s">
        <v>132</v>
      </c>
      <c r="D9" t="s">
        <v>133</v>
      </c>
      <c r="E9" t="s">
        <v>134</v>
      </c>
      <c r="F9" t="s">
        <v>55</v>
      </c>
      <c r="G9" s="9">
        <v>755</v>
      </c>
      <c r="H9" s="9">
        <v>25</v>
      </c>
      <c r="I9" s="9">
        <f>G9-H9</f>
        <v>730</v>
      </c>
      <c r="J9" t="s">
        <v>115</v>
      </c>
      <c r="K9" t="s">
        <v>22</v>
      </c>
      <c r="L9" t="s">
        <v>116</v>
      </c>
      <c r="Q9">
        <v>1</v>
      </c>
    </row>
    <row r="10" spans="1:17" x14ac:dyDescent="0.25">
      <c r="A10" t="s">
        <v>24</v>
      </c>
      <c r="B10" t="s">
        <v>17</v>
      </c>
      <c r="C10" t="s">
        <v>135</v>
      </c>
      <c r="E10" t="s">
        <v>136</v>
      </c>
      <c r="F10" t="s">
        <v>51</v>
      </c>
      <c r="G10" s="9">
        <v>1860</v>
      </c>
      <c r="H10" s="9">
        <v>30</v>
      </c>
      <c r="I10" s="9">
        <f>G10-H10</f>
        <v>1830</v>
      </c>
      <c r="J10" t="s">
        <v>115</v>
      </c>
      <c r="K10" t="s">
        <v>22</v>
      </c>
      <c r="L10" t="s">
        <v>116</v>
      </c>
      <c r="M10" t="s">
        <v>137</v>
      </c>
      <c r="Q10">
        <v>1</v>
      </c>
    </row>
    <row r="11" spans="1:17" x14ac:dyDescent="0.25">
      <c r="B11" t="s">
        <v>17</v>
      </c>
      <c r="C11" t="s">
        <v>138</v>
      </c>
      <c r="D11" t="s">
        <v>139</v>
      </c>
      <c r="E11" t="s">
        <v>140</v>
      </c>
      <c r="F11" s="9">
        <v>2</v>
      </c>
      <c r="G11" s="9">
        <v>870</v>
      </c>
      <c r="H11" s="9">
        <v>30</v>
      </c>
      <c r="I11" s="9">
        <f>G11-H11</f>
        <v>840</v>
      </c>
      <c r="J11" t="s">
        <v>22</v>
      </c>
      <c r="K11" t="s">
        <v>22</v>
      </c>
      <c r="L11" t="s">
        <v>116</v>
      </c>
      <c r="Q11">
        <v>1</v>
      </c>
    </row>
    <row r="12" spans="1:17" x14ac:dyDescent="0.25">
      <c r="B12" t="s">
        <v>17</v>
      </c>
      <c r="C12" t="s">
        <v>141</v>
      </c>
      <c r="D12" t="s">
        <v>142</v>
      </c>
      <c r="E12" t="s">
        <v>143</v>
      </c>
      <c r="F12" t="s">
        <v>66</v>
      </c>
      <c r="G12" s="9">
        <v>1630</v>
      </c>
      <c r="H12" s="9">
        <v>20</v>
      </c>
      <c r="I12" s="9">
        <f>G12-H12</f>
        <v>1610</v>
      </c>
      <c r="J12" t="s">
        <v>22</v>
      </c>
      <c r="K12" t="s">
        <v>22</v>
      </c>
      <c r="L12" t="s">
        <v>116</v>
      </c>
      <c r="Q12">
        <v>1</v>
      </c>
    </row>
    <row r="13" spans="1:17" x14ac:dyDescent="0.25">
      <c r="B13" t="s">
        <v>17</v>
      </c>
      <c r="C13" t="s">
        <v>144</v>
      </c>
      <c r="D13" t="s">
        <v>145</v>
      </c>
      <c r="E13" t="s">
        <v>146</v>
      </c>
      <c r="F13" t="s">
        <v>66</v>
      </c>
      <c r="G13" s="9">
        <v>0</v>
      </c>
      <c r="H13" s="9">
        <v>20</v>
      </c>
      <c r="I13" s="9">
        <f>-H13</f>
        <v>-20</v>
      </c>
      <c r="J13" t="s">
        <v>22</v>
      </c>
      <c r="K13" t="s">
        <v>22</v>
      </c>
      <c r="L13" t="s">
        <v>116</v>
      </c>
      <c r="Q13">
        <v>1</v>
      </c>
    </row>
    <row r="14" spans="1:17" x14ac:dyDescent="0.25">
      <c r="B14" t="s">
        <v>17</v>
      </c>
      <c r="C14" t="s">
        <v>147</v>
      </c>
      <c r="D14" t="s">
        <v>148</v>
      </c>
      <c r="E14" t="s">
        <v>149</v>
      </c>
      <c r="F14" t="s">
        <v>66</v>
      </c>
      <c r="G14" s="9">
        <v>810</v>
      </c>
      <c r="H14" s="9">
        <v>20</v>
      </c>
      <c r="I14" s="9">
        <f>G14-H14</f>
        <v>790</v>
      </c>
      <c r="J14" t="s">
        <v>22</v>
      </c>
      <c r="K14" t="s">
        <v>22</v>
      </c>
      <c r="L14" t="s">
        <v>116</v>
      </c>
      <c r="Q14">
        <v>1</v>
      </c>
    </row>
    <row r="15" spans="1:17" x14ac:dyDescent="0.25">
      <c r="A15" t="s">
        <v>24</v>
      </c>
      <c r="B15" t="s">
        <v>17</v>
      </c>
      <c r="C15" t="s">
        <v>150</v>
      </c>
      <c r="E15" t="s">
        <v>151</v>
      </c>
      <c r="F15" t="s">
        <v>66</v>
      </c>
      <c r="G15" s="9">
        <v>30</v>
      </c>
      <c r="H15" s="9">
        <v>30</v>
      </c>
      <c r="I15" s="9">
        <f>G15-H15</f>
        <v>0</v>
      </c>
      <c r="J15" t="s">
        <v>22</v>
      </c>
      <c r="K15" t="s">
        <v>22</v>
      </c>
      <c r="L15" t="s">
        <v>116</v>
      </c>
      <c r="Q15">
        <v>1</v>
      </c>
    </row>
    <row r="16" spans="1:17" x14ac:dyDescent="0.25">
      <c r="A16" t="s">
        <v>24</v>
      </c>
      <c r="B16" t="s">
        <v>17</v>
      </c>
      <c r="C16" t="s">
        <v>152</v>
      </c>
      <c r="E16" t="s">
        <v>153</v>
      </c>
      <c r="F16" t="s">
        <v>62</v>
      </c>
      <c r="G16" s="9">
        <v>30</v>
      </c>
      <c r="H16" s="9">
        <v>30</v>
      </c>
      <c r="I16" s="9">
        <f>G16-H16</f>
        <v>0</v>
      </c>
      <c r="J16" t="s">
        <v>22</v>
      </c>
      <c r="K16" t="s">
        <v>22</v>
      </c>
      <c r="L16" t="s">
        <v>116</v>
      </c>
      <c r="Q16">
        <v>1</v>
      </c>
    </row>
    <row r="17" spans="1:17" x14ac:dyDescent="0.25">
      <c r="A17" t="s">
        <v>24</v>
      </c>
      <c r="B17" t="s">
        <v>17</v>
      </c>
      <c r="C17" t="s">
        <v>154</v>
      </c>
      <c r="E17" t="s">
        <v>155</v>
      </c>
      <c r="F17" t="s">
        <v>62</v>
      </c>
      <c r="G17" s="9">
        <v>0</v>
      </c>
      <c r="H17" s="9">
        <v>30</v>
      </c>
      <c r="I17" s="9">
        <f>-H17</f>
        <v>-30</v>
      </c>
      <c r="J17" t="s">
        <v>22</v>
      </c>
      <c r="K17" t="s">
        <v>22</v>
      </c>
      <c r="L17" t="s">
        <v>116</v>
      </c>
      <c r="Q17">
        <v>1</v>
      </c>
    </row>
    <row r="18" spans="1:17" x14ac:dyDescent="0.25">
      <c r="B18" t="s">
        <v>17</v>
      </c>
      <c r="C18" t="s">
        <v>156</v>
      </c>
      <c r="D18" t="s">
        <v>157</v>
      </c>
      <c r="E18" t="s">
        <v>158</v>
      </c>
      <c r="F18" s="9">
        <v>10</v>
      </c>
      <c r="G18" s="9">
        <v>1455</v>
      </c>
      <c r="H18" s="9">
        <v>25</v>
      </c>
      <c r="I18" s="9">
        <f>G18-H18</f>
        <v>1430</v>
      </c>
      <c r="J18" t="s">
        <v>79</v>
      </c>
      <c r="K18" t="s">
        <v>22</v>
      </c>
      <c r="L18" t="s">
        <v>116</v>
      </c>
      <c r="Q18">
        <v>1</v>
      </c>
    </row>
    <row r="19" spans="1:17" x14ac:dyDescent="0.25">
      <c r="B19" t="s">
        <v>17</v>
      </c>
      <c r="C19" t="s">
        <v>159</v>
      </c>
      <c r="D19" t="s">
        <v>160</v>
      </c>
      <c r="E19" t="s">
        <v>161</v>
      </c>
      <c r="F19" t="s">
        <v>162</v>
      </c>
      <c r="G19" s="9">
        <v>660</v>
      </c>
      <c r="H19" s="9">
        <v>20</v>
      </c>
      <c r="I19" s="9">
        <f>G19-H19</f>
        <v>640</v>
      </c>
      <c r="J19" t="s">
        <v>79</v>
      </c>
      <c r="K19" t="s">
        <v>22</v>
      </c>
      <c r="L19" t="s">
        <v>116</v>
      </c>
      <c r="Q19">
        <v>1</v>
      </c>
    </row>
    <row r="20" spans="1:17" x14ac:dyDescent="0.25">
      <c r="B20" t="s">
        <v>17</v>
      </c>
      <c r="C20" t="s">
        <v>163</v>
      </c>
      <c r="D20" t="s">
        <v>164</v>
      </c>
      <c r="E20" t="s">
        <v>165</v>
      </c>
      <c r="F20" t="s">
        <v>162</v>
      </c>
      <c r="G20" s="9">
        <v>600</v>
      </c>
      <c r="H20" s="9">
        <v>20</v>
      </c>
      <c r="I20" s="9">
        <f>G20-H20</f>
        <v>580</v>
      </c>
      <c r="J20" t="s">
        <v>79</v>
      </c>
      <c r="K20" t="s">
        <v>22</v>
      </c>
      <c r="L20" t="s">
        <v>116</v>
      </c>
      <c r="Q20">
        <v>1</v>
      </c>
    </row>
    <row r="21" spans="1:17" x14ac:dyDescent="0.25">
      <c r="B21" t="s">
        <v>17</v>
      </c>
      <c r="C21" t="s">
        <v>166</v>
      </c>
      <c r="D21" t="s">
        <v>167</v>
      </c>
      <c r="E21" t="s">
        <v>168</v>
      </c>
      <c r="F21" t="s">
        <v>51</v>
      </c>
      <c r="G21" s="9">
        <v>875</v>
      </c>
      <c r="H21" s="9">
        <v>25</v>
      </c>
      <c r="I21" s="9">
        <f>G21-H21</f>
        <v>850</v>
      </c>
      <c r="J21" t="s">
        <v>79</v>
      </c>
      <c r="K21" t="s">
        <v>22</v>
      </c>
      <c r="L21" t="s">
        <v>116</v>
      </c>
      <c r="Q21">
        <v>1</v>
      </c>
    </row>
    <row r="22" spans="1:17" s="6" customFormat="1" x14ac:dyDescent="0.25">
      <c r="B22" s="6" t="s">
        <v>17</v>
      </c>
      <c r="C22" s="6" t="s">
        <v>169</v>
      </c>
      <c r="D22" s="6" t="s">
        <v>170</v>
      </c>
      <c r="E22" s="6" t="s">
        <v>171</v>
      </c>
      <c r="F22" s="6" t="s">
        <v>44</v>
      </c>
      <c r="G22" s="26">
        <v>750</v>
      </c>
      <c r="H22" s="26">
        <v>0</v>
      </c>
      <c r="I22" s="26">
        <f>G22-H22</f>
        <v>750</v>
      </c>
      <c r="J22" s="6" t="s">
        <v>172</v>
      </c>
      <c r="K22" s="6" t="s">
        <v>22</v>
      </c>
      <c r="L22" s="6" t="s">
        <v>173</v>
      </c>
      <c r="N22" s="6" t="s">
        <v>174</v>
      </c>
      <c r="O22" s="6" t="s">
        <v>174</v>
      </c>
      <c r="P22" s="6" t="s">
        <v>175</v>
      </c>
      <c r="Q22" s="6">
        <v>1</v>
      </c>
    </row>
    <row r="23" spans="1:17" x14ac:dyDescent="0.25">
      <c r="D23" s="5">
        <f>COUNTA(D3:D20)</f>
        <v>14</v>
      </c>
      <c r="G23" s="7">
        <f>SUBTOTAL(9,G3:G22)</f>
        <v>12745</v>
      </c>
      <c r="H23" s="7">
        <f>SUBTOTAL(9,H3:H22)</f>
        <v>475</v>
      </c>
      <c r="I23" s="7">
        <f>SUBTOTAL(9,I3:I22)</f>
        <v>12270</v>
      </c>
      <c r="J23" s="5">
        <f t="shared" ref="J23:P23" si="0">SUBTOTAL(9,J3:J20)</f>
        <v>0</v>
      </c>
      <c r="K23" s="5">
        <f t="shared" si="0"/>
        <v>0</v>
      </c>
      <c r="L23" s="5">
        <f t="shared" si="0"/>
        <v>0</v>
      </c>
      <c r="M23" s="5">
        <f t="shared" si="0"/>
        <v>0</v>
      </c>
      <c r="N23" s="5">
        <f t="shared" si="0"/>
        <v>0</v>
      </c>
      <c r="O23" s="5">
        <f t="shared" si="0"/>
        <v>0</v>
      </c>
      <c r="P23" s="5">
        <f t="shared" si="0"/>
        <v>0</v>
      </c>
      <c r="Q23" s="7">
        <f>SUBTOTAL(9,Q3:Q22)</f>
        <v>20</v>
      </c>
    </row>
    <row r="24" spans="1:17" x14ac:dyDescent="0.25">
      <c r="H24">
        <f>-3*17</f>
        <v>-51</v>
      </c>
    </row>
    <row r="25" spans="1:17" x14ac:dyDescent="0.25">
      <c r="H25">
        <f>-4*25</f>
        <v>-100</v>
      </c>
    </row>
    <row r="27" spans="1:17" x14ac:dyDescent="0.25">
      <c r="A27" s="5" t="s">
        <v>17</v>
      </c>
      <c r="C27" s="37" t="s">
        <v>88</v>
      </c>
      <c r="D27" s="37"/>
      <c r="E27" s="8" t="s">
        <v>89</v>
      </c>
      <c r="K27" s="11" t="s">
        <v>115</v>
      </c>
      <c r="L27" s="11" t="s">
        <v>90</v>
      </c>
      <c r="M27" s="11" t="s">
        <v>89</v>
      </c>
      <c r="O27" s="8" t="s">
        <v>91</v>
      </c>
    </row>
    <row r="28" spans="1:17" x14ac:dyDescent="0.25">
      <c r="A28" t="s">
        <v>116</v>
      </c>
      <c r="B28" s="7" t="s">
        <v>92</v>
      </c>
      <c r="C28" s="40">
        <f>SUMIFS(I$3:I$22,B$3:B$22,A$27,L$3:L$22,A$28)</f>
        <v>11520</v>
      </c>
      <c r="D28" s="38"/>
      <c r="E28" s="7">
        <f>SUMIFS(Q$3:Q$22,B$3:B$22,A$27,L$3:L$22,A$28)</f>
        <v>19</v>
      </c>
      <c r="F28" t="s">
        <v>93</v>
      </c>
      <c r="K28" t="s">
        <v>94</v>
      </c>
      <c r="L28">
        <f>SUMIFS(G$3:G$22,J$3:J$22,K$27)</f>
        <v>5035</v>
      </c>
      <c r="M28">
        <f>SUMIFS(Q$3:Q$22,J$3:J$22,K$27)</f>
        <v>8</v>
      </c>
      <c r="O28" t="s">
        <v>176</v>
      </c>
      <c r="P28">
        <f>L33</f>
        <v>4134</v>
      </c>
    </row>
    <row r="29" spans="1:17" x14ac:dyDescent="0.25">
      <c r="B29" s="6" t="s">
        <v>95</v>
      </c>
      <c r="C29" s="39">
        <v>0</v>
      </c>
      <c r="D29" s="39"/>
      <c r="K29" t="s">
        <v>96</v>
      </c>
      <c r="L29">
        <f>SUM(H24:H25)</f>
        <v>-151</v>
      </c>
      <c r="M29">
        <f>SUMIFS(Q$3:Q$22,J$3:J$22,K$27)</f>
        <v>8</v>
      </c>
      <c r="O29" t="s">
        <v>79</v>
      </c>
      <c r="P29">
        <f>L41</f>
        <v>3520</v>
      </c>
    </row>
    <row r="30" spans="1:17" x14ac:dyDescent="0.25">
      <c r="B30" s="6" t="s">
        <v>97</v>
      </c>
      <c r="C30" s="39">
        <f>-SUMIFS(I$3:I$22,B$3:B$22,A$27,P$3:P$22,"xx",N$3:N$22,"x")</f>
        <v>-750</v>
      </c>
      <c r="D30" s="39"/>
      <c r="E30" s="6">
        <f>SUMIFS(Q$3:Q$22,B$3:B$22,A$27,P$3:P$22,"xx",N$3:N$22,"x")</f>
        <v>1</v>
      </c>
      <c r="K30" t="s">
        <v>98</v>
      </c>
      <c r="O30" t="s">
        <v>22</v>
      </c>
      <c r="P30">
        <f>L49</f>
        <v>3189</v>
      </c>
    </row>
    <row r="31" spans="1:17" x14ac:dyDescent="0.25">
      <c r="B31" s="8" t="s">
        <v>100</v>
      </c>
      <c r="C31" s="37">
        <f>SUBTOTAL(9,C28:C30)</f>
        <v>10770</v>
      </c>
      <c r="D31" s="37"/>
      <c r="E31">
        <f>E28</f>
        <v>19</v>
      </c>
      <c r="K31" s="6" t="s">
        <v>101</v>
      </c>
      <c r="O31" t="s">
        <v>104</v>
      </c>
      <c r="P31">
        <f>-C35</f>
        <v>-10770</v>
      </c>
    </row>
    <row r="32" spans="1:17" x14ac:dyDescent="0.25">
      <c r="B32" s="6" t="s">
        <v>102</v>
      </c>
      <c r="C32" s="35"/>
      <c r="D32" s="35"/>
      <c r="K32" s="6" t="s">
        <v>103</v>
      </c>
      <c r="L32">
        <v>-750</v>
      </c>
      <c r="O32" s="8" t="s">
        <v>106</v>
      </c>
      <c r="P32" s="8">
        <f>SUBTOTAL(9,P28:P31)</f>
        <v>73</v>
      </c>
    </row>
    <row r="33" spans="2:13" x14ac:dyDescent="0.25">
      <c r="B33" s="13" t="s">
        <v>105</v>
      </c>
      <c r="C33" s="35"/>
      <c r="D33" s="35"/>
      <c r="L33" s="12">
        <f>SUBTOTAL(9,L28:L32)</f>
        <v>4134</v>
      </c>
      <c r="M33" s="12">
        <f>M28</f>
        <v>8</v>
      </c>
    </row>
    <row r="35" spans="2:13" x14ac:dyDescent="0.25">
      <c r="B35" s="5" t="s">
        <v>107</v>
      </c>
      <c r="C35" s="36">
        <f>C31+C32+C33</f>
        <v>10770</v>
      </c>
      <c r="D35" s="36"/>
      <c r="E35" s="5" t="s">
        <v>108</v>
      </c>
      <c r="K35" s="11" t="s">
        <v>79</v>
      </c>
      <c r="L35" s="11" t="s">
        <v>90</v>
      </c>
      <c r="M35" s="11" t="s">
        <v>89</v>
      </c>
    </row>
    <row r="36" spans="2:13" x14ac:dyDescent="0.25">
      <c r="K36" t="s">
        <v>94</v>
      </c>
      <c r="L36">
        <f>SUMIFS(G$3:G$22,J$3:J$22,K$35)</f>
        <v>3590</v>
      </c>
      <c r="M36">
        <f>SUMIFS(Q$3:Q$22,J$3:J$22,K$35)</f>
        <v>4</v>
      </c>
    </row>
    <row r="37" spans="2:13" x14ac:dyDescent="0.25">
      <c r="K37" t="s">
        <v>96</v>
      </c>
      <c r="L37">
        <v>-70</v>
      </c>
      <c r="M37">
        <f>SUMIFS(Q$3:Q$22,J$3:J$22,K$35)-COUNT(J$3:J$20,K$35,M$3:M$22)</f>
        <v>4</v>
      </c>
    </row>
    <row r="38" spans="2:13" x14ac:dyDescent="0.25">
      <c r="K38" t="s">
        <v>98</v>
      </c>
    </row>
    <row r="39" spans="2:13" x14ac:dyDescent="0.25">
      <c r="K39" s="6" t="s">
        <v>101</v>
      </c>
    </row>
    <row r="40" spans="2:13" x14ac:dyDescent="0.25">
      <c r="K40" s="6" t="s">
        <v>103</v>
      </c>
    </row>
    <row r="41" spans="2:13" x14ac:dyDescent="0.25">
      <c r="L41" s="12">
        <f>SUBTOTAL(9,L36:L40)</f>
        <v>3520</v>
      </c>
      <c r="M41" s="12">
        <f>M36</f>
        <v>4</v>
      </c>
    </row>
    <row r="43" spans="2:13" x14ac:dyDescent="0.25">
      <c r="K43" s="11" t="s">
        <v>22</v>
      </c>
      <c r="L43" s="11" t="s">
        <v>90</v>
      </c>
      <c r="M43" s="11" t="s">
        <v>89</v>
      </c>
    </row>
    <row r="44" spans="2:13" x14ac:dyDescent="0.25">
      <c r="K44" t="s">
        <v>94</v>
      </c>
      <c r="L44">
        <f>SUMIFS(G$3:G$22,J$3:J$22,K$43)</f>
        <v>3370</v>
      </c>
      <c r="M44">
        <f>SUMIFS(Q$3:Q$22,J$3:J$22,K$43)</f>
        <v>7</v>
      </c>
    </row>
    <row r="45" spans="2:13" x14ac:dyDescent="0.25">
      <c r="K45" t="s">
        <v>96</v>
      </c>
      <c r="L45">
        <v>-145</v>
      </c>
      <c r="M45">
        <f>SUMIFS(Q$3:Q$22,J$3:J$22,K$43)-COUNT(J$3:J$20,K$43,M$3:M$22)</f>
        <v>7</v>
      </c>
    </row>
    <row r="46" spans="2:13" x14ac:dyDescent="0.25">
      <c r="K46" t="s">
        <v>98</v>
      </c>
      <c r="L46">
        <f>-M46*2</f>
        <v>-36</v>
      </c>
      <c r="M46">
        <v>18</v>
      </c>
    </row>
    <row r="47" spans="2:13" x14ac:dyDescent="0.25">
      <c r="K47" s="6" t="s">
        <v>101</v>
      </c>
    </row>
    <row r="48" spans="2:13" x14ac:dyDescent="0.25">
      <c r="K48" s="6" t="s">
        <v>103</v>
      </c>
    </row>
    <row r="49" spans="12:13" x14ac:dyDescent="0.25">
      <c r="L49" s="12">
        <f>SUBTOTAL(9,L44:L48)</f>
        <v>3189</v>
      </c>
      <c r="M49" s="12">
        <f>M44</f>
        <v>7</v>
      </c>
    </row>
  </sheetData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B6C5-3566-4A45-B6A2-E8CF8552519D}">
  <dimension ref="A2:Q71"/>
  <sheetViews>
    <sheetView topLeftCell="B10" zoomScale="85" zoomScaleNormal="85" workbookViewId="0">
      <selection activeCell="D10" sqref="D10"/>
    </sheetView>
  </sheetViews>
  <sheetFormatPr defaultRowHeight="15" x14ac:dyDescent="0.25"/>
  <cols>
    <col min="1" max="1" width="12.28515625" customWidth="1"/>
    <col min="2" max="2" width="19.140625" customWidth="1"/>
    <col min="3" max="3" width="25.140625" customWidth="1"/>
    <col min="4" max="4" width="11.5703125" bestFit="1" customWidth="1"/>
    <col min="5" max="5" width="48.5703125" customWidth="1"/>
    <col min="6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9.140625" customWidth="1"/>
    <col min="14" max="14" width="10.28515625" customWidth="1"/>
    <col min="15" max="15" width="11.140625" customWidth="1"/>
    <col min="16" max="16" width="8.5703125" bestFit="1" customWidth="1"/>
    <col min="17" max="17" width="6.42578125" customWidth="1"/>
  </cols>
  <sheetData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x14ac:dyDescent="0.25">
      <c r="B3" t="s">
        <v>17</v>
      </c>
      <c r="C3" t="s">
        <v>177</v>
      </c>
      <c r="D3" t="s">
        <v>178</v>
      </c>
      <c r="E3" t="s">
        <v>179</v>
      </c>
      <c r="F3" s="9">
        <v>9</v>
      </c>
      <c r="G3" s="9">
        <v>870</v>
      </c>
      <c r="H3" s="9">
        <v>30</v>
      </c>
      <c r="I3" s="9">
        <f>G3-H3</f>
        <v>840</v>
      </c>
      <c r="J3" t="s">
        <v>21</v>
      </c>
      <c r="K3" t="s">
        <v>22</v>
      </c>
      <c r="L3" t="s">
        <v>180</v>
      </c>
      <c r="Q3" s="9">
        <v>1</v>
      </c>
    </row>
    <row r="4" spans="1:17" x14ac:dyDescent="0.25">
      <c r="A4" t="s">
        <v>24</v>
      </c>
      <c r="B4" t="s">
        <v>17</v>
      </c>
      <c r="C4" t="s">
        <v>25</v>
      </c>
      <c r="E4" t="s">
        <v>181</v>
      </c>
      <c r="F4" s="9">
        <v>9</v>
      </c>
      <c r="G4" s="9">
        <v>1625</v>
      </c>
      <c r="H4" s="9">
        <v>35</v>
      </c>
      <c r="I4" s="9">
        <f>G4-H4</f>
        <v>1590</v>
      </c>
      <c r="J4" t="s">
        <v>21</v>
      </c>
      <c r="K4" t="s">
        <v>22</v>
      </c>
      <c r="L4" t="s">
        <v>180</v>
      </c>
      <c r="Q4" s="9">
        <v>1</v>
      </c>
    </row>
    <row r="5" spans="1:17" x14ac:dyDescent="0.25">
      <c r="A5" t="s">
        <v>24</v>
      </c>
      <c r="B5" t="s">
        <v>17</v>
      </c>
      <c r="C5" t="s">
        <v>31</v>
      </c>
      <c r="E5" t="s">
        <v>32</v>
      </c>
      <c r="F5" s="9">
        <v>6</v>
      </c>
      <c r="G5" s="9">
        <v>0</v>
      </c>
      <c r="H5" s="9">
        <v>25</v>
      </c>
      <c r="I5" s="9">
        <f>-H5</f>
        <v>-25</v>
      </c>
      <c r="J5" t="s">
        <v>182</v>
      </c>
      <c r="K5" t="s">
        <v>22</v>
      </c>
      <c r="L5" t="s">
        <v>180</v>
      </c>
      <c r="Q5" s="9">
        <v>1</v>
      </c>
    </row>
    <row r="6" spans="1:17" x14ac:dyDescent="0.25">
      <c r="B6" t="s">
        <v>17</v>
      </c>
      <c r="C6" t="s">
        <v>183</v>
      </c>
      <c r="D6" t="s">
        <v>184</v>
      </c>
      <c r="E6" t="s">
        <v>185</v>
      </c>
      <c r="F6" s="9">
        <v>6</v>
      </c>
      <c r="G6" s="9">
        <v>735</v>
      </c>
      <c r="H6" s="9">
        <v>25</v>
      </c>
      <c r="I6" s="9">
        <f t="shared" ref="I6:I15" si="0">G6-H6</f>
        <v>710</v>
      </c>
      <c r="J6" t="s">
        <v>182</v>
      </c>
      <c r="K6" t="s">
        <v>22</v>
      </c>
      <c r="L6" t="s">
        <v>180</v>
      </c>
      <c r="Q6" s="9">
        <v>1</v>
      </c>
    </row>
    <row r="7" spans="1:17" x14ac:dyDescent="0.25">
      <c r="B7" t="s">
        <v>17</v>
      </c>
      <c r="C7" t="s">
        <v>186</v>
      </c>
      <c r="D7" t="s">
        <v>187</v>
      </c>
      <c r="E7" t="s">
        <v>188</v>
      </c>
      <c r="F7" s="9">
        <v>7</v>
      </c>
      <c r="G7" s="9">
        <v>510</v>
      </c>
      <c r="H7" s="9">
        <v>30</v>
      </c>
      <c r="I7" s="9">
        <f t="shared" si="0"/>
        <v>480</v>
      </c>
      <c r="J7" t="s">
        <v>182</v>
      </c>
      <c r="K7" t="s">
        <v>22</v>
      </c>
      <c r="L7" t="s">
        <v>180</v>
      </c>
      <c r="Q7" s="9">
        <v>1</v>
      </c>
    </row>
    <row r="8" spans="1:17" x14ac:dyDescent="0.25">
      <c r="B8" t="s">
        <v>17</v>
      </c>
      <c r="C8" t="s">
        <v>189</v>
      </c>
      <c r="D8" t="s">
        <v>190</v>
      </c>
      <c r="E8" t="s">
        <v>191</v>
      </c>
      <c r="F8" s="9">
        <v>7</v>
      </c>
      <c r="G8" s="9">
        <v>1610</v>
      </c>
      <c r="H8" s="9">
        <v>30</v>
      </c>
      <c r="I8" s="9">
        <f t="shared" si="0"/>
        <v>1580</v>
      </c>
      <c r="J8" t="s">
        <v>182</v>
      </c>
      <c r="K8" t="s">
        <v>22</v>
      </c>
      <c r="L8" t="s">
        <v>180</v>
      </c>
      <c r="Q8" s="9">
        <v>1</v>
      </c>
    </row>
    <row r="9" spans="1:17" x14ac:dyDescent="0.25">
      <c r="B9" t="s">
        <v>17</v>
      </c>
      <c r="C9" t="s">
        <v>192</v>
      </c>
      <c r="D9" t="s">
        <v>193</v>
      </c>
      <c r="E9" t="s">
        <v>194</v>
      </c>
      <c r="F9" s="9">
        <v>8</v>
      </c>
      <c r="G9" s="9">
        <v>850</v>
      </c>
      <c r="H9" s="9">
        <v>30</v>
      </c>
      <c r="I9" s="9">
        <f t="shared" si="0"/>
        <v>820</v>
      </c>
      <c r="J9" t="s">
        <v>182</v>
      </c>
      <c r="K9" t="s">
        <v>22</v>
      </c>
      <c r="L9" t="s">
        <v>180</v>
      </c>
      <c r="Q9" s="9">
        <v>1</v>
      </c>
    </row>
    <row r="10" spans="1:17" x14ac:dyDescent="0.25">
      <c r="B10" t="s">
        <v>17</v>
      </c>
      <c r="C10" t="s">
        <v>195</v>
      </c>
      <c r="D10" t="s">
        <v>196</v>
      </c>
      <c r="E10" t="s">
        <v>197</v>
      </c>
      <c r="F10" s="9">
        <v>12</v>
      </c>
      <c r="G10" s="9">
        <v>820</v>
      </c>
      <c r="H10" s="9">
        <v>30</v>
      </c>
      <c r="I10" s="9">
        <f t="shared" si="0"/>
        <v>790</v>
      </c>
      <c r="J10" t="s">
        <v>182</v>
      </c>
      <c r="K10" t="s">
        <v>22</v>
      </c>
      <c r="L10" t="s">
        <v>180</v>
      </c>
      <c r="Q10" s="9">
        <v>1</v>
      </c>
    </row>
    <row r="11" spans="1:17" x14ac:dyDescent="0.25">
      <c r="B11" t="s">
        <v>17</v>
      </c>
      <c r="C11" t="s">
        <v>198</v>
      </c>
      <c r="D11" t="s">
        <v>199</v>
      </c>
      <c r="E11" t="s">
        <v>200</v>
      </c>
      <c r="F11" t="s">
        <v>201</v>
      </c>
      <c r="G11" s="9">
        <v>745</v>
      </c>
      <c r="H11" s="9">
        <v>35</v>
      </c>
      <c r="I11" s="9">
        <f t="shared" si="0"/>
        <v>710</v>
      </c>
      <c r="J11" t="s">
        <v>182</v>
      </c>
      <c r="K11" t="s">
        <v>22</v>
      </c>
      <c r="L11" t="s">
        <v>180</v>
      </c>
      <c r="Q11" s="9">
        <v>1</v>
      </c>
    </row>
    <row r="12" spans="1:17" x14ac:dyDescent="0.25">
      <c r="B12" t="s">
        <v>17</v>
      </c>
      <c r="C12" t="s">
        <v>202</v>
      </c>
      <c r="D12" t="s">
        <v>203</v>
      </c>
      <c r="E12" t="s">
        <v>204</v>
      </c>
      <c r="F12" t="s">
        <v>201</v>
      </c>
      <c r="G12" s="9">
        <v>35</v>
      </c>
      <c r="H12" s="9">
        <v>35</v>
      </c>
      <c r="I12" s="9">
        <f t="shared" si="0"/>
        <v>0</v>
      </c>
      <c r="J12" t="s">
        <v>182</v>
      </c>
      <c r="K12" t="s">
        <v>22</v>
      </c>
      <c r="L12" t="s">
        <v>180</v>
      </c>
      <c r="Q12" s="9">
        <v>1</v>
      </c>
    </row>
    <row r="13" spans="1:17" x14ac:dyDescent="0.25">
      <c r="B13" t="s">
        <v>17</v>
      </c>
      <c r="C13" t="s">
        <v>205</v>
      </c>
      <c r="D13" t="s">
        <v>206</v>
      </c>
      <c r="E13" t="s">
        <v>207</v>
      </c>
      <c r="F13" t="s">
        <v>44</v>
      </c>
      <c r="G13" s="9">
        <v>1760</v>
      </c>
      <c r="H13" s="9">
        <v>30</v>
      </c>
      <c r="I13" s="9">
        <f t="shared" si="0"/>
        <v>1730</v>
      </c>
      <c r="J13" t="s">
        <v>182</v>
      </c>
      <c r="K13" t="s">
        <v>22</v>
      </c>
      <c r="L13" t="s">
        <v>180</v>
      </c>
      <c r="Q13" s="9">
        <v>1</v>
      </c>
    </row>
    <row r="14" spans="1:17" x14ac:dyDescent="0.25">
      <c r="B14" t="s">
        <v>17</v>
      </c>
      <c r="C14" t="s">
        <v>208</v>
      </c>
      <c r="D14" t="s">
        <v>209</v>
      </c>
      <c r="E14" t="s">
        <v>210</v>
      </c>
      <c r="F14" t="s">
        <v>44</v>
      </c>
      <c r="G14" s="9">
        <v>670</v>
      </c>
      <c r="H14" s="9">
        <v>30</v>
      </c>
      <c r="I14" s="9">
        <f t="shared" si="0"/>
        <v>640</v>
      </c>
      <c r="J14" t="s">
        <v>182</v>
      </c>
      <c r="K14" t="s">
        <v>22</v>
      </c>
      <c r="L14" t="s">
        <v>180</v>
      </c>
      <c r="Q14" s="9">
        <v>1</v>
      </c>
    </row>
    <row r="15" spans="1:17" x14ac:dyDescent="0.25">
      <c r="B15" t="s">
        <v>17</v>
      </c>
      <c r="C15" t="s">
        <v>211</v>
      </c>
      <c r="D15" t="s">
        <v>212</v>
      </c>
      <c r="E15" t="s">
        <v>213</v>
      </c>
      <c r="F15" t="s">
        <v>214</v>
      </c>
      <c r="G15" s="9">
        <v>115</v>
      </c>
      <c r="H15" s="9">
        <v>35</v>
      </c>
      <c r="I15" s="9">
        <f t="shared" si="0"/>
        <v>80</v>
      </c>
      <c r="J15" t="s">
        <v>182</v>
      </c>
      <c r="K15" t="s">
        <v>22</v>
      </c>
      <c r="L15" t="s">
        <v>180</v>
      </c>
      <c r="Q15" s="9">
        <v>1</v>
      </c>
    </row>
    <row r="16" spans="1:17" x14ac:dyDescent="0.25">
      <c r="B16" t="s">
        <v>17</v>
      </c>
      <c r="C16" t="s">
        <v>215</v>
      </c>
      <c r="D16" t="s">
        <v>216</v>
      </c>
      <c r="E16" t="s">
        <v>217</v>
      </c>
      <c r="F16" t="s">
        <v>51</v>
      </c>
      <c r="G16" s="9">
        <v>0</v>
      </c>
      <c r="H16" s="9">
        <v>25</v>
      </c>
      <c r="I16" s="9">
        <f>-H16</f>
        <v>-25</v>
      </c>
      <c r="J16" t="s">
        <v>182</v>
      </c>
      <c r="K16" t="s">
        <v>22</v>
      </c>
      <c r="L16" t="s">
        <v>180</v>
      </c>
      <c r="Q16" s="9">
        <v>1</v>
      </c>
    </row>
    <row r="17" spans="1:17" x14ac:dyDescent="0.25">
      <c r="B17" t="s">
        <v>17</v>
      </c>
      <c r="C17" t="s">
        <v>218</v>
      </c>
      <c r="D17" t="s">
        <v>219</v>
      </c>
      <c r="E17" t="s">
        <v>220</v>
      </c>
      <c r="F17" t="s">
        <v>55</v>
      </c>
      <c r="G17" s="9">
        <v>885</v>
      </c>
      <c r="H17" s="9">
        <v>25</v>
      </c>
      <c r="I17" s="9">
        <f t="shared" ref="I17:I33" si="1">G17-H17</f>
        <v>860</v>
      </c>
      <c r="J17" t="s">
        <v>182</v>
      </c>
      <c r="K17" t="s">
        <v>22</v>
      </c>
      <c r="L17" t="s">
        <v>180</v>
      </c>
      <c r="Q17" s="9">
        <v>1</v>
      </c>
    </row>
    <row r="18" spans="1:17" x14ac:dyDescent="0.25">
      <c r="B18" t="s">
        <v>17</v>
      </c>
      <c r="C18" t="s">
        <v>221</v>
      </c>
      <c r="D18" t="s">
        <v>222</v>
      </c>
      <c r="E18" t="s">
        <v>223</v>
      </c>
      <c r="F18" t="s">
        <v>55</v>
      </c>
      <c r="G18" s="9">
        <v>745</v>
      </c>
      <c r="H18" s="9">
        <v>25</v>
      </c>
      <c r="I18" s="9">
        <f t="shared" si="1"/>
        <v>720</v>
      </c>
      <c r="J18" t="s">
        <v>182</v>
      </c>
      <c r="K18" t="s">
        <v>22</v>
      </c>
      <c r="L18" t="s">
        <v>180</v>
      </c>
      <c r="Q18" s="9">
        <v>1</v>
      </c>
    </row>
    <row r="19" spans="1:17" x14ac:dyDescent="0.25">
      <c r="B19" t="s">
        <v>17</v>
      </c>
      <c r="C19" t="s">
        <v>224</v>
      </c>
      <c r="D19" t="s">
        <v>225</v>
      </c>
      <c r="E19" t="s">
        <v>226</v>
      </c>
      <c r="F19" s="9">
        <v>2</v>
      </c>
      <c r="G19" s="9">
        <v>890</v>
      </c>
      <c r="H19" s="9">
        <v>30</v>
      </c>
      <c r="I19" s="9">
        <f t="shared" si="1"/>
        <v>860</v>
      </c>
      <c r="J19" t="s">
        <v>22</v>
      </c>
      <c r="K19" t="s">
        <v>22</v>
      </c>
      <c r="L19" t="s">
        <v>180</v>
      </c>
      <c r="Q19" s="9">
        <v>1</v>
      </c>
    </row>
    <row r="20" spans="1:17" x14ac:dyDescent="0.25">
      <c r="B20" t="s">
        <v>17</v>
      </c>
      <c r="C20" t="s">
        <v>227</v>
      </c>
      <c r="D20" t="s">
        <v>228</v>
      </c>
      <c r="E20" t="s">
        <v>229</v>
      </c>
      <c r="F20" t="s">
        <v>66</v>
      </c>
      <c r="G20" s="9">
        <v>1450</v>
      </c>
      <c r="H20" s="9">
        <v>20</v>
      </c>
      <c r="I20" s="9">
        <f t="shared" si="1"/>
        <v>1430</v>
      </c>
      <c r="J20" t="s">
        <v>22</v>
      </c>
      <c r="K20" t="s">
        <v>22</v>
      </c>
      <c r="L20" t="s">
        <v>180</v>
      </c>
      <c r="Q20" s="9">
        <v>1</v>
      </c>
    </row>
    <row r="21" spans="1:17" x14ac:dyDescent="0.25">
      <c r="B21" t="s">
        <v>17</v>
      </c>
      <c r="C21" t="s">
        <v>230</v>
      </c>
      <c r="D21" t="s">
        <v>231</v>
      </c>
      <c r="E21" t="s">
        <v>232</v>
      </c>
      <c r="F21" t="s">
        <v>66</v>
      </c>
      <c r="G21" s="9">
        <v>20</v>
      </c>
      <c r="H21" s="9">
        <v>20</v>
      </c>
      <c r="I21" s="9">
        <f t="shared" si="1"/>
        <v>0</v>
      </c>
      <c r="J21" t="s">
        <v>22</v>
      </c>
      <c r="K21" t="s">
        <v>22</v>
      </c>
      <c r="L21" t="s">
        <v>180</v>
      </c>
      <c r="M21" t="s">
        <v>131</v>
      </c>
      <c r="Q21" s="9">
        <v>1</v>
      </c>
    </row>
    <row r="22" spans="1:17" x14ac:dyDescent="0.25">
      <c r="A22" t="s">
        <v>24</v>
      </c>
      <c r="B22" t="s">
        <v>17</v>
      </c>
      <c r="C22" t="s">
        <v>70</v>
      </c>
      <c r="E22" t="s">
        <v>233</v>
      </c>
      <c r="F22" t="s">
        <v>62</v>
      </c>
      <c r="G22" s="9">
        <v>1530</v>
      </c>
      <c r="H22" s="9">
        <v>30</v>
      </c>
      <c r="I22" s="9">
        <f t="shared" si="1"/>
        <v>1500</v>
      </c>
      <c r="J22" t="s">
        <v>22</v>
      </c>
      <c r="K22" t="s">
        <v>22</v>
      </c>
      <c r="L22" t="s">
        <v>180</v>
      </c>
      <c r="Q22" s="9">
        <v>1</v>
      </c>
    </row>
    <row r="23" spans="1:17" x14ac:dyDescent="0.25">
      <c r="B23" t="s">
        <v>17</v>
      </c>
      <c r="C23" t="s">
        <v>234</v>
      </c>
      <c r="D23" t="s">
        <v>235</v>
      </c>
      <c r="E23" t="s">
        <v>236</v>
      </c>
      <c r="F23" t="s">
        <v>51</v>
      </c>
      <c r="G23" s="9">
        <v>765</v>
      </c>
      <c r="H23" s="9">
        <v>25</v>
      </c>
      <c r="I23" s="9">
        <f t="shared" si="1"/>
        <v>740</v>
      </c>
      <c r="J23" t="s">
        <v>22</v>
      </c>
      <c r="K23" t="s">
        <v>22</v>
      </c>
      <c r="L23" t="s">
        <v>180</v>
      </c>
      <c r="Q23" s="9">
        <v>1</v>
      </c>
    </row>
    <row r="24" spans="1:17" x14ac:dyDescent="0.25">
      <c r="A24" t="s">
        <v>24</v>
      </c>
      <c r="B24" t="s">
        <v>17</v>
      </c>
      <c r="C24" t="s">
        <v>237</v>
      </c>
      <c r="E24" t="s">
        <v>238</v>
      </c>
      <c r="F24" t="s">
        <v>51</v>
      </c>
      <c r="G24" s="9">
        <v>30</v>
      </c>
      <c r="H24" s="9">
        <v>30</v>
      </c>
      <c r="I24" s="9">
        <f t="shared" si="1"/>
        <v>0</v>
      </c>
      <c r="J24" t="s">
        <v>22</v>
      </c>
      <c r="K24" t="s">
        <v>22</v>
      </c>
      <c r="L24" t="s">
        <v>180</v>
      </c>
      <c r="Q24" s="9">
        <v>1</v>
      </c>
    </row>
    <row r="25" spans="1:17" x14ac:dyDescent="0.25">
      <c r="B25" t="s">
        <v>17</v>
      </c>
      <c r="C25" t="s">
        <v>239</v>
      </c>
      <c r="D25" t="s">
        <v>240</v>
      </c>
      <c r="E25" t="s">
        <v>241</v>
      </c>
      <c r="F25" s="9">
        <v>1</v>
      </c>
      <c r="G25" s="9">
        <v>945</v>
      </c>
      <c r="H25" s="9">
        <v>25</v>
      </c>
      <c r="I25" s="9">
        <f t="shared" si="1"/>
        <v>920</v>
      </c>
      <c r="J25" t="s">
        <v>79</v>
      </c>
      <c r="K25" t="s">
        <v>22</v>
      </c>
      <c r="L25" t="s">
        <v>180</v>
      </c>
      <c r="Q25" s="9">
        <v>1</v>
      </c>
    </row>
    <row r="26" spans="1:17" x14ac:dyDescent="0.25">
      <c r="B26" t="s">
        <v>17</v>
      </c>
      <c r="C26" t="s">
        <v>242</v>
      </c>
      <c r="D26" t="s">
        <v>243</v>
      </c>
      <c r="E26" t="s">
        <v>244</v>
      </c>
      <c r="F26" s="9">
        <v>1</v>
      </c>
      <c r="G26" s="9">
        <v>1015</v>
      </c>
      <c r="H26" s="9">
        <v>25</v>
      </c>
      <c r="I26" s="9">
        <f t="shared" si="1"/>
        <v>990</v>
      </c>
      <c r="J26" t="s">
        <v>79</v>
      </c>
      <c r="K26" t="s">
        <v>22</v>
      </c>
      <c r="L26" t="s">
        <v>180</v>
      </c>
      <c r="Q26" s="9">
        <v>1</v>
      </c>
    </row>
    <row r="27" spans="1:17" x14ac:dyDescent="0.25">
      <c r="B27" t="s">
        <v>17</v>
      </c>
      <c r="C27" t="s">
        <v>245</v>
      </c>
      <c r="D27" t="s">
        <v>246</v>
      </c>
      <c r="E27" t="s">
        <v>247</v>
      </c>
      <c r="F27" s="9">
        <v>1</v>
      </c>
      <c r="G27" s="9">
        <v>1155</v>
      </c>
      <c r="H27" s="9">
        <v>25</v>
      </c>
      <c r="I27" s="9">
        <f t="shared" si="1"/>
        <v>1130</v>
      </c>
      <c r="J27" t="s">
        <v>79</v>
      </c>
      <c r="K27" t="s">
        <v>22</v>
      </c>
      <c r="L27" t="s">
        <v>180</v>
      </c>
      <c r="Q27" s="9">
        <v>1</v>
      </c>
    </row>
    <row r="28" spans="1:17" x14ac:dyDescent="0.25">
      <c r="B28" t="s">
        <v>17</v>
      </c>
      <c r="C28" t="s">
        <v>248</v>
      </c>
      <c r="D28" t="s">
        <v>249</v>
      </c>
      <c r="E28" t="s">
        <v>250</v>
      </c>
      <c r="F28" s="9">
        <v>3</v>
      </c>
      <c r="G28" s="9">
        <v>1455</v>
      </c>
      <c r="H28" s="9">
        <v>25</v>
      </c>
      <c r="I28" s="9">
        <f t="shared" si="1"/>
        <v>1430</v>
      </c>
      <c r="J28" t="s">
        <v>79</v>
      </c>
      <c r="K28" t="s">
        <v>22</v>
      </c>
      <c r="L28" t="s">
        <v>180</v>
      </c>
      <c r="Q28" s="9">
        <v>1</v>
      </c>
    </row>
    <row r="29" spans="1:17" x14ac:dyDescent="0.25">
      <c r="B29" t="s">
        <v>17</v>
      </c>
      <c r="C29" t="s">
        <v>251</v>
      </c>
      <c r="D29" t="s">
        <v>252</v>
      </c>
      <c r="E29" t="s">
        <v>253</v>
      </c>
      <c r="F29" s="9">
        <v>4</v>
      </c>
      <c r="G29" s="9">
        <v>885</v>
      </c>
      <c r="H29" s="9">
        <v>25</v>
      </c>
      <c r="I29" s="9">
        <f t="shared" si="1"/>
        <v>860</v>
      </c>
      <c r="J29" t="s">
        <v>79</v>
      </c>
      <c r="K29" t="s">
        <v>22</v>
      </c>
      <c r="L29" t="s">
        <v>180</v>
      </c>
      <c r="Q29" s="9">
        <v>1</v>
      </c>
    </row>
    <row r="30" spans="1:17" x14ac:dyDescent="0.25">
      <c r="B30" t="s">
        <v>17</v>
      </c>
      <c r="C30" t="s">
        <v>254</v>
      </c>
      <c r="D30" t="s">
        <v>255</v>
      </c>
      <c r="E30" t="s">
        <v>256</v>
      </c>
      <c r="F30" s="9">
        <v>4</v>
      </c>
      <c r="G30" s="9">
        <v>1525</v>
      </c>
      <c r="H30" s="9">
        <v>25</v>
      </c>
      <c r="I30" s="9">
        <f t="shared" si="1"/>
        <v>1500</v>
      </c>
      <c r="J30" t="s">
        <v>79</v>
      </c>
      <c r="K30" t="s">
        <v>22</v>
      </c>
      <c r="L30" t="s">
        <v>180</v>
      </c>
      <c r="Q30" s="9">
        <v>1</v>
      </c>
    </row>
    <row r="31" spans="1:17" x14ac:dyDescent="0.25">
      <c r="A31" t="s">
        <v>24</v>
      </c>
      <c r="B31" t="s">
        <v>17</v>
      </c>
      <c r="C31" t="s">
        <v>257</v>
      </c>
      <c r="E31" t="s">
        <v>258</v>
      </c>
      <c r="F31" s="9">
        <v>4</v>
      </c>
      <c r="G31" s="9">
        <v>30</v>
      </c>
      <c r="H31" s="9">
        <v>30</v>
      </c>
      <c r="I31" s="9">
        <f t="shared" si="1"/>
        <v>0</v>
      </c>
      <c r="J31" t="s">
        <v>79</v>
      </c>
      <c r="K31" t="s">
        <v>22</v>
      </c>
      <c r="L31" t="s">
        <v>180</v>
      </c>
      <c r="Q31" s="9">
        <v>1</v>
      </c>
    </row>
    <row r="32" spans="1:17" x14ac:dyDescent="0.25">
      <c r="B32" t="s">
        <v>17</v>
      </c>
      <c r="C32" t="s">
        <v>259</v>
      </c>
      <c r="D32" t="s">
        <v>260</v>
      </c>
      <c r="E32" t="s">
        <v>261</v>
      </c>
      <c r="F32" t="s">
        <v>201</v>
      </c>
      <c r="G32" s="9">
        <v>765</v>
      </c>
      <c r="H32" s="9">
        <v>35</v>
      </c>
      <c r="I32" s="9">
        <f t="shared" si="1"/>
        <v>730</v>
      </c>
      <c r="J32" t="s">
        <v>79</v>
      </c>
      <c r="K32" t="s">
        <v>22</v>
      </c>
      <c r="L32" t="s">
        <v>180</v>
      </c>
      <c r="Q32" s="9">
        <v>1</v>
      </c>
    </row>
    <row r="33" spans="1:17" x14ac:dyDescent="0.25">
      <c r="B33" t="s">
        <v>17</v>
      </c>
      <c r="C33" t="s">
        <v>262</v>
      </c>
      <c r="D33" t="s">
        <v>263</v>
      </c>
      <c r="E33" t="s">
        <v>264</v>
      </c>
      <c r="F33" t="s">
        <v>201</v>
      </c>
      <c r="G33" s="9">
        <v>415</v>
      </c>
      <c r="H33" s="9">
        <v>35</v>
      </c>
      <c r="I33" s="9">
        <f t="shared" si="1"/>
        <v>380</v>
      </c>
      <c r="J33" t="s">
        <v>79</v>
      </c>
      <c r="K33" t="s">
        <v>22</v>
      </c>
      <c r="L33" t="s">
        <v>180</v>
      </c>
      <c r="Q33" s="9">
        <v>1</v>
      </c>
    </row>
    <row r="34" spans="1:17" x14ac:dyDescent="0.25">
      <c r="A34" t="s">
        <v>24</v>
      </c>
      <c r="B34" t="s">
        <v>17</v>
      </c>
      <c r="C34" t="s">
        <v>265</v>
      </c>
      <c r="E34" t="s">
        <v>266</v>
      </c>
      <c r="F34" t="s">
        <v>51</v>
      </c>
      <c r="G34" s="9">
        <v>0</v>
      </c>
      <c r="H34" s="9">
        <v>30</v>
      </c>
      <c r="I34" s="9">
        <f>-H34</f>
        <v>-30</v>
      </c>
      <c r="J34" t="s">
        <v>79</v>
      </c>
      <c r="K34" t="s">
        <v>22</v>
      </c>
      <c r="L34" t="s">
        <v>180</v>
      </c>
      <c r="Q34" s="9">
        <v>1</v>
      </c>
    </row>
    <row r="36" spans="1:17" x14ac:dyDescent="0.25">
      <c r="D36" s="5">
        <f>COUNTA(D3:D34)</f>
        <v>26</v>
      </c>
      <c r="G36" s="5">
        <f t="shared" ref="G36:Q36" si="2">SUBTOTAL(9,G3:G34)</f>
        <v>24850</v>
      </c>
      <c r="H36" s="5">
        <f t="shared" si="2"/>
        <v>910</v>
      </c>
      <c r="I36" s="5">
        <f t="shared" si="2"/>
        <v>23940</v>
      </c>
      <c r="J36" s="5">
        <f t="shared" si="2"/>
        <v>0</v>
      </c>
      <c r="K36" s="5">
        <f t="shared" si="2"/>
        <v>0</v>
      </c>
      <c r="L36" s="5">
        <f t="shared" si="2"/>
        <v>0</v>
      </c>
      <c r="M36" s="5">
        <f t="shared" si="2"/>
        <v>0</v>
      </c>
      <c r="N36" s="5">
        <f t="shared" si="2"/>
        <v>0</v>
      </c>
      <c r="O36" s="5">
        <f t="shared" si="2"/>
        <v>0</v>
      </c>
      <c r="P36" s="5">
        <f t="shared" si="2"/>
        <v>0</v>
      </c>
      <c r="Q36" s="5">
        <f t="shared" si="2"/>
        <v>32</v>
      </c>
    </row>
    <row r="37" spans="1:17" x14ac:dyDescent="0.25">
      <c r="H37">
        <f>-8*17</f>
        <v>-136</v>
      </c>
    </row>
    <row r="38" spans="1:17" x14ac:dyDescent="0.25">
      <c r="H38">
        <f>-3*25</f>
        <v>-75</v>
      </c>
    </row>
    <row r="39" spans="1:17" x14ac:dyDescent="0.25">
      <c r="H39">
        <f>-3*30</f>
        <v>-90</v>
      </c>
    </row>
    <row r="41" spans="1:17" x14ac:dyDescent="0.25">
      <c r="A41" s="5" t="s">
        <v>17</v>
      </c>
      <c r="C41" s="37" t="s">
        <v>88</v>
      </c>
      <c r="D41" s="37"/>
      <c r="E41" s="8" t="s">
        <v>89</v>
      </c>
      <c r="K41" s="11" t="s">
        <v>22</v>
      </c>
      <c r="L41" s="11" t="s">
        <v>90</v>
      </c>
      <c r="M41" s="11" t="s">
        <v>89</v>
      </c>
      <c r="O41" s="8" t="s">
        <v>91</v>
      </c>
    </row>
    <row r="42" spans="1:17" x14ac:dyDescent="0.25">
      <c r="A42" t="s">
        <v>180</v>
      </c>
      <c r="B42" s="7" t="s">
        <v>92</v>
      </c>
      <c r="C42" s="38">
        <f>SUMIFS(I$3:I$34,B$3:B$34,A$41,L$3:L$34,A$42)</f>
        <v>23940</v>
      </c>
      <c r="D42" s="38"/>
      <c r="E42" s="7">
        <f>SUMIFS(Q$3:Q$34,B$3:B$34,A$41,L$3:L$34,A$42)</f>
        <v>32</v>
      </c>
      <c r="F42" t="s">
        <v>93</v>
      </c>
      <c r="K42" t="s">
        <v>94</v>
      </c>
      <c r="L42">
        <f>SUMIFS(G$3:G$34,J$3:J$34,K$41)</f>
        <v>4685</v>
      </c>
      <c r="M42">
        <f>SUMIFS(Q$3:Q$34,J$3:J$34,K$41)</f>
        <v>6</v>
      </c>
      <c r="O42" t="s">
        <v>22</v>
      </c>
      <c r="P42">
        <f>L47</f>
        <v>4496</v>
      </c>
    </row>
    <row r="43" spans="1:17" x14ac:dyDescent="0.25">
      <c r="B43" s="6" t="s">
        <v>95</v>
      </c>
      <c r="C43" s="39">
        <v>0</v>
      </c>
      <c r="D43" s="39"/>
      <c r="K43" t="s">
        <v>96</v>
      </c>
      <c r="L43">
        <f>-SUMIFS(H$3:H$34,J$3:J$34,K$41)+M43*5</f>
        <v>-125</v>
      </c>
      <c r="M43">
        <f>SUMIFS(Q$3:Q$34,J$3:J$34,K$41)-COUNTIFS(J$3:J$34,K$41,M$3:M$34,"*gộp*")</f>
        <v>6</v>
      </c>
      <c r="O43" t="s">
        <v>79</v>
      </c>
      <c r="P43">
        <f>L55</f>
        <v>7960</v>
      </c>
    </row>
    <row r="44" spans="1:17" x14ac:dyDescent="0.25">
      <c r="B44" s="6" t="s">
        <v>97</v>
      </c>
      <c r="C44" s="39">
        <f>-SUMIFS(I$3:I$34,B$3:B$34,A$41,P$3:P$34,"xx",N$3:N$34,"x")</f>
        <v>0</v>
      </c>
      <c r="D44" s="39"/>
      <c r="E44" s="6">
        <f>SUMIFS(Q$3:Q$34,B$3:B$34,A$41,P$3:P$34,"xx",N$3:N$34,"x")</f>
        <v>0</v>
      </c>
      <c r="K44" t="s">
        <v>98</v>
      </c>
      <c r="L44">
        <f>-32*2</f>
        <v>-64</v>
      </c>
      <c r="O44" t="s">
        <v>267</v>
      </c>
      <c r="P44">
        <f>L63</f>
        <v>9179</v>
      </c>
    </row>
    <row r="45" spans="1:17" x14ac:dyDescent="0.25">
      <c r="B45" s="8" t="s">
        <v>100</v>
      </c>
      <c r="C45" s="37">
        <f>SUBTOTAL(9,C42:C44)</f>
        <v>23940</v>
      </c>
      <c r="D45" s="37"/>
      <c r="E45">
        <f>E42</f>
        <v>32</v>
      </c>
      <c r="K45" s="6" t="s">
        <v>101</v>
      </c>
      <c r="O45" t="s">
        <v>21</v>
      </c>
      <c r="P45">
        <f>L71</f>
        <v>2440</v>
      </c>
    </row>
    <row r="46" spans="1:17" x14ac:dyDescent="0.25">
      <c r="B46" s="6" t="s">
        <v>102</v>
      </c>
      <c r="C46" s="35"/>
      <c r="D46" s="35"/>
      <c r="K46" s="6" t="s">
        <v>103</v>
      </c>
      <c r="O46" t="s">
        <v>104</v>
      </c>
      <c r="P46">
        <f>-C49</f>
        <v>-23940</v>
      </c>
    </row>
    <row r="47" spans="1:17" x14ac:dyDescent="0.25">
      <c r="B47" s="13" t="s">
        <v>105</v>
      </c>
      <c r="C47" s="35"/>
      <c r="D47" s="35"/>
      <c r="L47" s="14">
        <f>SUBTOTAL(9,L42:L46)</f>
        <v>4496</v>
      </c>
      <c r="M47" s="14">
        <f>M42</f>
        <v>6</v>
      </c>
      <c r="O47" s="8" t="s">
        <v>106</v>
      </c>
      <c r="P47" s="8">
        <f>SUBTOTAL(9,P42:P46)</f>
        <v>135</v>
      </c>
    </row>
    <row r="49" spans="2:13" x14ac:dyDescent="0.25">
      <c r="B49" s="5" t="s">
        <v>107</v>
      </c>
      <c r="C49" s="36">
        <f>C45+C46+C47</f>
        <v>23940</v>
      </c>
      <c r="D49" s="36"/>
      <c r="E49" s="5" t="s">
        <v>108</v>
      </c>
      <c r="K49" s="11" t="s">
        <v>79</v>
      </c>
      <c r="L49" s="11" t="s">
        <v>90</v>
      </c>
      <c r="M49" s="11" t="s">
        <v>89</v>
      </c>
    </row>
    <row r="50" spans="2:13" x14ac:dyDescent="0.25">
      <c r="K50" t="s">
        <v>94</v>
      </c>
      <c r="L50">
        <f>SUMIFS(G$3:G$34,J$3:J$34,K$49)</f>
        <v>8190</v>
      </c>
      <c r="M50">
        <f>SUMIFS(Q$3:Q$34,J$3:J$34,K$49)</f>
        <v>10</v>
      </c>
    </row>
    <row r="51" spans="2:13" x14ac:dyDescent="0.25">
      <c r="K51" t="s">
        <v>96</v>
      </c>
      <c r="L51">
        <f>-SUMIFS(H$3:H$34,J$3:J$34,K$49)+M51*5</f>
        <v>-230</v>
      </c>
      <c r="M51">
        <f>SUMIFS(Q$3:Q$34,J$3:J$34,K$49)-COUNTIFS(J$3:J$34,K$49,M$3:M$34,"*gộp*")</f>
        <v>10</v>
      </c>
    </row>
    <row r="52" spans="2:13" x14ac:dyDescent="0.25">
      <c r="K52" t="s">
        <v>98</v>
      </c>
    </row>
    <row r="53" spans="2:13" x14ac:dyDescent="0.25">
      <c r="K53" s="6" t="s">
        <v>101</v>
      </c>
    </row>
    <row r="54" spans="2:13" x14ac:dyDescent="0.25">
      <c r="K54" s="6" t="s">
        <v>103</v>
      </c>
    </row>
    <row r="55" spans="2:13" x14ac:dyDescent="0.25">
      <c r="L55" s="14">
        <f>SUBTOTAL(9,L50:L54)</f>
        <v>7960</v>
      </c>
      <c r="M55" s="14">
        <f>M50</f>
        <v>10</v>
      </c>
    </row>
    <row r="57" spans="2:13" x14ac:dyDescent="0.25">
      <c r="K57" s="11" t="s">
        <v>182</v>
      </c>
      <c r="L57" s="11" t="s">
        <v>90</v>
      </c>
      <c r="M57" s="11" t="s">
        <v>89</v>
      </c>
    </row>
    <row r="58" spans="2:13" x14ac:dyDescent="0.25">
      <c r="K58" t="s">
        <v>94</v>
      </c>
      <c r="L58">
        <f>SUMIFS(G$3:G$34,J$3:J$34,K$57)</f>
        <v>9480</v>
      </c>
      <c r="M58">
        <f>SUMIFS(Q$3:Q$34,J$3:J$34,K$57)</f>
        <v>14</v>
      </c>
    </row>
    <row r="59" spans="2:13" x14ac:dyDescent="0.25">
      <c r="K59" t="s">
        <v>96</v>
      </c>
      <c r="L59">
        <f>SUM(H37:H39)</f>
        <v>-301</v>
      </c>
      <c r="M59">
        <f>SUMIFS(Q$3:Q$34,J$3:J$34,K$57)-COUNTIFS(J$3:J$34,K$57,M$3:M$34,"*gộp*")</f>
        <v>14</v>
      </c>
    </row>
    <row r="60" spans="2:13" x14ac:dyDescent="0.25">
      <c r="K60" t="s">
        <v>98</v>
      </c>
    </row>
    <row r="61" spans="2:13" x14ac:dyDescent="0.25">
      <c r="K61" s="6" t="s">
        <v>101</v>
      </c>
    </row>
    <row r="62" spans="2:13" x14ac:dyDescent="0.25">
      <c r="K62" s="6" t="s">
        <v>103</v>
      </c>
    </row>
    <row r="63" spans="2:13" x14ac:dyDescent="0.25">
      <c r="L63" s="12">
        <f>SUBTOTAL(9,L58:L62)</f>
        <v>9179</v>
      </c>
      <c r="M63" s="12">
        <f>M58</f>
        <v>14</v>
      </c>
    </row>
    <row r="65" spans="11:13" x14ac:dyDescent="0.25">
      <c r="K65" s="11" t="s">
        <v>21</v>
      </c>
      <c r="L65" s="11" t="s">
        <v>90</v>
      </c>
      <c r="M65" s="11" t="s">
        <v>89</v>
      </c>
    </row>
    <row r="66" spans="11:13" x14ac:dyDescent="0.25">
      <c r="K66" t="s">
        <v>94</v>
      </c>
      <c r="L66">
        <f>SUMIFS(G$3:G$34,J$3:J$34,K$65)</f>
        <v>2495</v>
      </c>
      <c r="M66">
        <f>SUMIFS(Q$3:Q$34,J$3:J$34,K$65)</f>
        <v>2</v>
      </c>
    </row>
    <row r="67" spans="11:13" x14ac:dyDescent="0.25">
      <c r="K67" t="s">
        <v>96</v>
      </c>
      <c r="L67">
        <f>-SUMIFS(H$3:H$34,J$3:J$34,K$65)+M67*5</f>
        <v>-55</v>
      </c>
      <c r="M67">
        <f>SUMIFS(Q$3:Q$34,J$3:J$34,K$65)-COUNTIFS(J$3:J$34,K$65,M$3:M$34,"*gộp*")</f>
        <v>2</v>
      </c>
    </row>
    <row r="68" spans="11:13" x14ac:dyDescent="0.25">
      <c r="K68" t="s">
        <v>98</v>
      </c>
    </row>
    <row r="69" spans="11:13" x14ac:dyDescent="0.25">
      <c r="K69" s="6" t="s">
        <v>101</v>
      </c>
    </row>
    <row r="70" spans="11:13" x14ac:dyDescent="0.25">
      <c r="K70" s="6" t="s">
        <v>103</v>
      </c>
    </row>
    <row r="71" spans="11:13" x14ac:dyDescent="0.25">
      <c r="L71" s="12">
        <f>SUBTOTAL(9,L66:L70)</f>
        <v>2440</v>
      </c>
      <c r="M71" s="12">
        <f>M66</f>
        <v>2</v>
      </c>
    </row>
  </sheetData>
  <autoFilter ref="A2:Q34" xr:uid="{00000000-0009-0000-0000-000002000000}">
    <sortState xmlns:xlrd2="http://schemas.microsoft.com/office/spreadsheetml/2017/richdata2" ref="A3:Q34">
      <sortCondition ref="F2:F34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D879-B4A9-4B7C-895A-78957A536CB9}">
  <dimension ref="A2:Q61"/>
  <sheetViews>
    <sheetView topLeftCell="B13" workbookViewId="0">
      <selection activeCell="M51" sqref="M51"/>
    </sheetView>
  </sheetViews>
  <sheetFormatPr defaultRowHeight="15" x14ac:dyDescent="0.25"/>
  <cols>
    <col min="1" max="1" width="12.28515625" customWidth="1"/>
    <col min="2" max="2" width="19.140625" customWidth="1"/>
    <col min="3" max="3" width="28.42578125" customWidth="1"/>
    <col min="4" max="4" width="10.140625" customWidth="1"/>
    <col min="5" max="5" width="85.5703125" customWidth="1"/>
    <col min="6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11.28515625" bestFit="1" customWidth="1"/>
    <col min="14" max="14" width="10.28515625" customWidth="1"/>
    <col min="15" max="15" width="11.140625" customWidth="1"/>
    <col min="16" max="16" width="7" bestFit="1" customWidth="1"/>
    <col min="17" max="17" width="6.42578125" customWidth="1"/>
  </cols>
  <sheetData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x14ac:dyDescent="0.25">
      <c r="B3" t="s">
        <v>17</v>
      </c>
      <c r="C3" t="s">
        <v>268</v>
      </c>
      <c r="D3" t="s">
        <v>269</v>
      </c>
      <c r="E3" t="s">
        <v>270</v>
      </c>
      <c r="F3" s="9">
        <v>9</v>
      </c>
      <c r="G3" s="9">
        <v>470</v>
      </c>
      <c r="H3" s="9">
        <v>30</v>
      </c>
      <c r="I3" s="9">
        <f>G3-H3</f>
        <v>440</v>
      </c>
      <c r="J3" t="s">
        <v>21</v>
      </c>
      <c r="K3" t="s">
        <v>22</v>
      </c>
      <c r="L3" t="s">
        <v>271</v>
      </c>
      <c r="Q3" s="9">
        <v>1</v>
      </c>
    </row>
    <row r="4" spans="1:17" x14ac:dyDescent="0.25">
      <c r="A4" t="s">
        <v>24</v>
      </c>
      <c r="B4" t="s">
        <v>17</v>
      </c>
      <c r="C4" t="s">
        <v>272</v>
      </c>
      <c r="E4" t="s">
        <v>273</v>
      </c>
      <c r="F4" s="9">
        <v>9</v>
      </c>
      <c r="G4" s="9">
        <v>35</v>
      </c>
      <c r="H4" s="9">
        <v>35</v>
      </c>
      <c r="I4" s="9">
        <f>G4-H4</f>
        <v>0</v>
      </c>
      <c r="J4" t="s">
        <v>21</v>
      </c>
      <c r="K4" t="s">
        <v>22</v>
      </c>
      <c r="L4" t="s">
        <v>271</v>
      </c>
      <c r="Q4" s="9">
        <v>1</v>
      </c>
    </row>
    <row r="5" spans="1:17" s="15" customFormat="1" x14ac:dyDescent="0.25">
      <c r="B5" s="15" t="s">
        <v>17</v>
      </c>
      <c r="C5" s="15" t="s">
        <v>274</v>
      </c>
      <c r="D5" s="15" t="s">
        <v>275</v>
      </c>
      <c r="E5" s="15" t="s">
        <v>276</v>
      </c>
      <c r="F5" s="16">
        <v>7</v>
      </c>
      <c r="G5" s="16">
        <v>0</v>
      </c>
      <c r="H5" s="16">
        <v>30</v>
      </c>
      <c r="I5" s="16">
        <f>G5-H5</f>
        <v>-30</v>
      </c>
      <c r="J5" t="s">
        <v>277</v>
      </c>
      <c r="K5" s="15" t="s">
        <v>22</v>
      </c>
      <c r="L5" s="15" t="s">
        <v>271</v>
      </c>
      <c r="M5" s="15" t="s">
        <v>278</v>
      </c>
      <c r="Q5" s="16">
        <v>1</v>
      </c>
    </row>
    <row r="6" spans="1:17" x14ac:dyDescent="0.25">
      <c r="B6" t="s">
        <v>17</v>
      </c>
      <c r="C6" t="s">
        <v>279</v>
      </c>
      <c r="D6" t="s">
        <v>280</v>
      </c>
      <c r="E6" t="s">
        <v>281</v>
      </c>
      <c r="F6" s="9">
        <v>11</v>
      </c>
      <c r="G6" s="9">
        <v>0</v>
      </c>
      <c r="H6" s="9">
        <v>25</v>
      </c>
      <c r="I6" s="9">
        <f>-H6</f>
        <v>-25</v>
      </c>
      <c r="J6" t="s">
        <v>277</v>
      </c>
      <c r="K6" t="s">
        <v>22</v>
      </c>
      <c r="L6" t="s">
        <v>271</v>
      </c>
      <c r="Q6" s="9">
        <v>1</v>
      </c>
    </row>
    <row r="7" spans="1:17" x14ac:dyDescent="0.25">
      <c r="B7" t="s">
        <v>17</v>
      </c>
      <c r="C7" t="s">
        <v>282</v>
      </c>
      <c r="D7" t="s">
        <v>283</v>
      </c>
      <c r="E7" t="s">
        <v>284</v>
      </c>
      <c r="F7" s="9">
        <v>12</v>
      </c>
      <c r="G7" s="9">
        <v>820</v>
      </c>
      <c r="H7" s="9">
        <v>30</v>
      </c>
      <c r="I7" s="9">
        <f>G7-H7</f>
        <v>790</v>
      </c>
      <c r="J7" t="s">
        <v>277</v>
      </c>
      <c r="K7" t="s">
        <v>22</v>
      </c>
      <c r="L7" t="s">
        <v>271</v>
      </c>
      <c r="Q7" s="9">
        <v>1</v>
      </c>
    </row>
    <row r="8" spans="1:17" x14ac:dyDescent="0.25">
      <c r="B8" t="s">
        <v>17</v>
      </c>
      <c r="C8" t="s">
        <v>285</v>
      </c>
      <c r="D8" t="s">
        <v>286</v>
      </c>
      <c r="E8" t="s">
        <v>287</v>
      </c>
      <c r="F8" t="s">
        <v>201</v>
      </c>
      <c r="G8" s="9">
        <v>155</v>
      </c>
      <c r="H8" s="9">
        <v>35</v>
      </c>
      <c r="I8" s="9">
        <f>G8-H8</f>
        <v>120</v>
      </c>
      <c r="J8" t="s">
        <v>277</v>
      </c>
      <c r="K8" t="s">
        <v>22</v>
      </c>
      <c r="L8" t="s">
        <v>271</v>
      </c>
      <c r="M8" t="s">
        <v>131</v>
      </c>
      <c r="Q8" s="9">
        <v>1</v>
      </c>
    </row>
    <row r="9" spans="1:17" x14ac:dyDescent="0.25">
      <c r="B9" t="s">
        <v>17</v>
      </c>
      <c r="C9" t="s">
        <v>288</v>
      </c>
      <c r="D9" t="s">
        <v>289</v>
      </c>
      <c r="E9" t="s">
        <v>290</v>
      </c>
      <c r="F9" t="s">
        <v>44</v>
      </c>
      <c r="G9" s="9">
        <v>410</v>
      </c>
      <c r="H9" s="9">
        <v>30</v>
      </c>
      <c r="I9" s="9">
        <f>G9-H9</f>
        <v>380</v>
      </c>
      <c r="J9" t="s">
        <v>277</v>
      </c>
      <c r="K9" t="s">
        <v>22</v>
      </c>
      <c r="L9" t="s">
        <v>271</v>
      </c>
      <c r="Q9" s="9">
        <v>1</v>
      </c>
    </row>
    <row r="10" spans="1:17" x14ac:dyDescent="0.25">
      <c r="B10" t="s">
        <v>17</v>
      </c>
      <c r="C10" t="s">
        <v>291</v>
      </c>
      <c r="D10" t="s">
        <v>292</v>
      </c>
      <c r="E10" t="s">
        <v>293</v>
      </c>
      <c r="F10" t="s">
        <v>294</v>
      </c>
      <c r="G10" s="9">
        <v>415</v>
      </c>
      <c r="H10" s="9">
        <v>35</v>
      </c>
      <c r="I10" s="9">
        <f>G10-H10</f>
        <v>380</v>
      </c>
      <c r="J10" t="s">
        <v>277</v>
      </c>
      <c r="K10" t="s">
        <v>22</v>
      </c>
      <c r="L10" t="s">
        <v>271</v>
      </c>
      <c r="Q10" s="9">
        <v>1</v>
      </c>
    </row>
    <row r="11" spans="1:17" x14ac:dyDescent="0.25">
      <c r="B11" t="s">
        <v>17</v>
      </c>
      <c r="C11" t="s">
        <v>144</v>
      </c>
      <c r="D11" t="s">
        <v>295</v>
      </c>
      <c r="E11" t="s">
        <v>296</v>
      </c>
      <c r="F11" t="s">
        <v>55</v>
      </c>
      <c r="G11" s="9">
        <v>815</v>
      </c>
      <c r="H11" s="9">
        <v>25</v>
      </c>
      <c r="I11" s="9">
        <f>G11-H11</f>
        <v>790</v>
      </c>
      <c r="J11" t="s">
        <v>277</v>
      </c>
      <c r="K11" t="s">
        <v>22</v>
      </c>
      <c r="L11" t="s">
        <v>271</v>
      </c>
      <c r="Q11" s="9">
        <v>1</v>
      </c>
    </row>
    <row r="12" spans="1:17" x14ac:dyDescent="0.25">
      <c r="B12" t="s">
        <v>17</v>
      </c>
      <c r="C12" t="s">
        <v>63</v>
      </c>
      <c r="D12" t="s">
        <v>297</v>
      </c>
      <c r="E12" t="s">
        <v>65</v>
      </c>
      <c r="F12" t="s">
        <v>66</v>
      </c>
      <c r="G12" s="9">
        <v>0</v>
      </c>
      <c r="H12" s="9">
        <v>20</v>
      </c>
      <c r="I12" s="9">
        <f>-H12</f>
        <v>-20</v>
      </c>
      <c r="J12" t="s">
        <v>22</v>
      </c>
      <c r="K12" t="s">
        <v>22</v>
      </c>
      <c r="L12" t="s">
        <v>271</v>
      </c>
      <c r="Q12" s="9">
        <v>1</v>
      </c>
    </row>
    <row r="13" spans="1:17" x14ac:dyDescent="0.25">
      <c r="B13" t="s">
        <v>17</v>
      </c>
      <c r="C13" t="s">
        <v>298</v>
      </c>
      <c r="D13" t="s">
        <v>299</v>
      </c>
      <c r="E13" t="s">
        <v>300</v>
      </c>
      <c r="F13" t="s">
        <v>66</v>
      </c>
      <c r="G13" s="9">
        <v>720</v>
      </c>
      <c r="H13" s="9">
        <v>20</v>
      </c>
      <c r="I13" s="9">
        <f>G13-H13</f>
        <v>700</v>
      </c>
      <c r="J13" t="s">
        <v>22</v>
      </c>
      <c r="K13" t="s">
        <v>22</v>
      </c>
      <c r="L13" t="s">
        <v>271</v>
      </c>
      <c r="Q13" s="9">
        <v>1</v>
      </c>
    </row>
    <row r="14" spans="1:17" x14ac:dyDescent="0.25">
      <c r="A14" t="s">
        <v>24</v>
      </c>
      <c r="B14" t="s">
        <v>17</v>
      </c>
      <c r="C14" t="s">
        <v>301</v>
      </c>
      <c r="E14" t="s">
        <v>302</v>
      </c>
      <c r="F14" t="s">
        <v>66</v>
      </c>
      <c r="G14" s="9">
        <v>305</v>
      </c>
      <c r="H14" s="9">
        <v>25</v>
      </c>
      <c r="I14" s="9">
        <f>G14-H14</f>
        <v>280</v>
      </c>
      <c r="J14" t="s">
        <v>22</v>
      </c>
      <c r="K14" t="s">
        <v>22</v>
      </c>
      <c r="L14" t="s">
        <v>271</v>
      </c>
      <c r="Q14" s="9">
        <v>1</v>
      </c>
    </row>
    <row r="15" spans="1:17" x14ac:dyDescent="0.25">
      <c r="A15" t="s">
        <v>24</v>
      </c>
      <c r="B15" t="s">
        <v>17</v>
      </c>
      <c r="C15" t="s">
        <v>303</v>
      </c>
      <c r="E15" t="s">
        <v>73</v>
      </c>
      <c r="F15" t="s">
        <v>62</v>
      </c>
      <c r="G15" s="9">
        <v>30</v>
      </c>
      <c r="H15" s="9">
        <v>30</v>
      </c>
      <c r="I15" s="9">
        <f>G15-H15</f>
        <v>0</v>
      </c>
      <c r="J15" t="s">
        <v>22</v>
      </c>
      <c r="K15" t="s">
        <v>22</v>
      </c>
      <c r="L15" t="s">
        <v>271</v>
      </c>
      <c r="Q15" s="9">
        <v>1</v>
      </c>
    </row>
    <row r="16" spans="1:17" x14ac:dyDescent="0.25">
      <c r="B16" t="s">
        <v>17</v>
      </c>
      <c r="C16" t="s">
        <v>304</v>
      </c>
      <c r="D16" t="s">
        <v>305</v>
      </c>
      <c r="E16" t="s">
        <v>306</v>
      </c>
      <c r="F16" t="s">
        <v>51</v>
      </c>
      <c r="G16" s="9">
        <v>0</v>
      </c>
      <c r="H16" s="9">
        <v>25</v>
      </c>
      <c r="I16" s="9">
        <f>-H16</f>
        <v>-25</v>
      </c>
      <c r="J16" t="s">
        <v>22</v>
      </c>
      <c r="K16" t="s">
        <v>22</v>
      </c>
      <c r="L16" t="s">
        <v>271</v>
      </c>
      <c r="Q16" s="9">
        <v>1</v>
      </c>
    </row>
    <row r="17" spans="1:17" x14ac:dyDescent="0.25">
      <c r="B17" t="s">
        <v>17</v>
      </c>
      <c r="C17" t="s">
        <v>307</v>
      </c>
      <c r="D17" t="s">
        <v>308</v>
      </c>
      <c r="E17" t="s">
        <v>309</v>
      </c>
      <c r="F17" t="s">
        <v>310</v>
      </c>
      <c r="G17" s="9">
        <v>1100</v>
      </c>
      <c r="H17" s="9">
        <v>30</v>
      </c>
      <c r="I17" s="9">
        <f t="shared" ref="I17:I23" si="0">G17-H17</f>
        <v>1070</v>
      </c>
      <c r="J17" t="s">
        <v>22</v>
      </c>
      <c r="K17" t="s">
        <v>22</v>
      </c>
      <c r="L17" t="s">
        <v>271</v>
      </c>
      <c r="Q17" s="9">
        <v>1</v>
      </c>
    </row>
    <row r="18" spans="1:17" x14ac:dyDescent="0.25">
      <c r="B18" t="s">
        <v>17</v>
      </c>
      <c r="C18" t="s">
        <v>311</v>
      </c>
      <c r="D18" t="s">
        <v>312</v>
      </c>
      <c r="E18" t="s">
        <v>313</v>
      </c>
      <c r="F18" t="s">
        <v>314</v>
      </c>
      <c r="G18" s="9">
        <v>760</v>
      </c>
      <c r="H18" s="9">
        <v>30</v>
      </c>
      <c r="I18" s="9">
        <f t="shared" si="0"/>
        <v>730</v>
      </c>
      <c r="J18" t="s">
        <v>22</v>
      </c>
      <c r="K18" t="s">
        <v>22</v>
      </c>
      <c r="L18" t="s">
        <v>271</v>
      </c>
      <c r="Q18" s="9">
        <v>1</v>
      </c>
    </row>
    <row r="19" spans="1:17" x14ac:dyDescent="0.25">
      <c r="B19" t="s">
        <v>17</v>
      </c>
      <c r="C19" t="s">
        <v>315</v>
      </c>
      <c r="D19" t="s">
        <v>316</v>
      </c>
      <c r="E19" t="s">
        <v>317</v>
      </c>
      <c r="F19" s="9">
        <v>1</v>
      </c>
      <c r="G19" s="9">
        <v>875</v>
      </c>
      <c r="H19" s="9">
        <v>25</v>
      </c>
      <c r="I19" s="9">
        <f t="shared" si="0"/>
        <v>850</v>
      </c>
      <c r="J19" t="s">
        <v>79</v>
      </c>
      <c r="K19" t="s">
        <v>22</v>
      </c>
      <c r="L19" t="s">
        <v>271</v>
      </c>
      <c r="Q19" s="9">
        <v>1</v>
      </c>
    </row>
    <row r="20" spans="1:17" x14ac:dyDescent="0.25">
      <c r="B20" t="s">
        <v>17</v>
      </c>
      <c r="C20" t="s">
        <v>242</v>
      </c>
      <c r="D20" t="s">
        <v>318</v>
      </c>
      <c r="E20" t="s">
        <v>244</v>
      </c>
      <c r="F20" s="9">
        <v>1</v>
      </c>
      <c r="G20" s="9">
        <v>375</v>
      </c>
      <c r="H20" s="9">
        <v>25</v>
      </c>
      <c r="I20" s="9">
        <f t="shared" si="0"/>
        <v>350</v>
      </c>
      <c r="J20" t="s">
        <v>79</v>
      </c>
      <c r="K20" t="s">
        <v>22</v>
      </c>
      <c r="L20" t="s">
        <v>271</v>
      </c>
      <c r="Q20" s="9">
        <v>1</v>
      </c>
    </row>
    <row r="21" spans="1:17" x14ac:dyDescent="0.25">
      <c r="B21" t="s">
        <v>17</v>
      </c>
      <c r="C21" t="s">
        <v>319</v>
      </c>
      <c r="D21" t="s">
        <v>320</v>
      </c>
      <c r="E21" t="s">
        <v>321</v>
      </c>
      <c r="F21" s="9">
        <v>1</v>
      </c>
      <c r="G21" s="9">
        <v>405</v>
      </c>
      <c r="H21" s="9">
        <v>25</v>
      </c>
      <c r="I21" s="9">
        <f t="shared" si="0"/>
        <v>380</v>
      </c>
      <c r="J21" t="s">
        <v>79</v>
      </c>
      <c r="K21" t="s">
        <v>22</v>
      </c>
      <c r="L21" t="s">
        <v>271</v>
      </c>
      <c r="Q21" s="9">
        <v>1</v>
      </c>
    </row>
    <row r="22" spans="1:17" x14ac:dyDescent="0.25">
      <c r="B22" t="s">
        <v>17</v>
      </c>
      <c r="C22" t="s">
        <v>322</v>
      </c>
      <c r="D22" t="s">
        <v>323</v>
      </c>
      <c r="E22" t="s">
        <v>324</v>
      </c>
      <c r="F22" s="9">
        <v>1</v>
      </c>
      <c r="G22" s="9">
        <v>885</v>
      </c>
      <c r="H22" s="9">
        <v>25</v>
      </c>
      <c r="I22" s="9">
        <f t="shared" si="0"/>
        <v>860</v>
      </c>
      <c r="J22" t="s">
        <v>79</v>
      </c>
      <c r="K22" t="s">
        <v>22</v>
      </c>
      <c r="L22" t="s">
        <v>271</v>
      </c>
      <c r="Q22" s="9">
        <v>1</v>
      </c>
    </row>
    <row r="23" spans="1:17" x14ac:dyDescent="0.25">
      <c r="B23" t="s">
        <v>17</v>
      </c>
      <c r="C23" t="s">
        <v>325</v>
      </c>
      <c r="D23" t="s">
        <v>326</v>
      </c>
      <c r="E23" t="s">
        <v>327</v>
      </c>
      <c r="F23" s="9">
        <v>4</v>
      </c>
      <c r="G23" s="9">
        <v>405</v>
      </c>
      <c r="H23" s="9">
        <v>25</v>
      </c>
      <c r="I23" s="9">
        <f t="shared" si="0"/>
        <v>380</v>
      </c>
      <c r="J23" t="s">
        <v>79</v>
      </c>
      <c r="K23" t="s">
        <v>22</v>
      </c>
      <c r="L23" t="s">
        <v>271</v>
      </c>
      <c r="Q23" s="9">
        <v>1</v>
      </c>
    </row>
    <row r="24" spans="1:17" x14ac:dyDescent="0.25">
      <c r="B24" t="s">
        <v>17</v>
      </c>
      <c r="C24" t="s">
        <v>328</v>
      </c>
      <c r="D24" t="s">
        <v>329</v>
      </c>
      <c r="E24" t="s">
        <v>330</v>
      </c>
      <c r="F24" s="9">
        <v>5</v>
      </c>
      <c r="G24" s="9">
        <v>0</v>
      </c>
      <c r="H24" s="9">
        <v>25</v>
      </c>
      <c r="I24" s="9">
        <f>-H24</f>
        <v>-25</v>
      </c>
      <c r="J24" t="s">
        <v>79</v>
      </c>
      <c r="K24" t="s">
        <v>22</v>
      </c>
      <c r="L24" t="s">
        <v>271</v>
      </c>
      <c r="Q24" s="9">
        <v>1</v>
      </c>
    </row>
    <row r="25" spans="1:17" x14ac:dyDescent="0.25">
      <c r="B25" t="s">
        <v>17</v>
      </c>
      <c r="C25" t="s">
        <v>331</v>
      </c>
      <c r="D25" t="s">
        <v>332</v>
      </c>
      <c r="E25" t="s">
        <v>333</v>
      </c>
      <c r="F25" s="9">
        <v>10</v>
      </c>
      <c r="G25" s="9">
        <v>405</v>
      </c>
      <c r="H25" s="9">
        <v>25</v>
      </c>
      <c r="I25" s="9">
        <f>G25-H25</f>
        <v>380</v>
      </c>
      <c r="J25" t="s">
        <v>79</v>
      </c>
      <c r="K25" t="s">
        <v>22</v>
      </c>
      <c r="L25" t="s">
        <v>271</v>
      </c>
      <c r="Q25" s="9">
        <v>1</v>
      </c>
    </row>
    <row r="26" spans="1:17" x14ac:dyDescent="0.25">
      <c r="B26" t="s">
        <v>17</v>
      </c>
      <c r="C26" t="s">
        <v>334</v>
      </c>
      <c r="D26" t="s">
        <v>335</v>
      </c>
      <c r="E26" t="s">
        <v>336</v>
      </c>
      <c r="F26" t="s">
        <v>51</v>
      </c>
      <c r="G26" s="9">
        <v>0</v>
      </c>
      <c r="H26" s="9">
        <v>25</v>
      </c>
      <c r="I26" s="9">
        <f>-H26</f>
        <v>-25</v>
      </c>
      <c r="J26" t="s">
        <v>79</v>
      </c>
      <c r="K26" t="s">
        <v>22</v>
      </c>
      <c r="L26" t="s">
        <v>271</v>
      </c>
      <c r="Q26" s="9">
        <v>1</v>
      </c>
    </row>
    <row r="27" spans="1:17" s="6" customFormat="1" x14ac:dyDescent="0.25">
      <c r="B27" s="6" t="s">
        <v>17</v>
      </c>
      <c r="C27" s="6" t="s">
        <v>227</v>
      </c>
      <c r="D27" s="6" t="s">
        <v>228</v>
      </c>
      <c r="E27" s="6" t="s">
        <v>229</v>
      </c>
      <c r="F27" s="6" t="s">
        <v>66</v>
      </c>
      <c r="G27" s="26">
        <v>1450</v>
      </c>
      <c r="H27" s="26">
        <v>0</v>
      </c>
      <c r="I27" s="26">
        <v>1450</v>
      </c>
      <c r="J27" s="6" t="s">
        <v>172</v>
      </c>
      <c r="K27" s="6" t="s">
        <v>22</v>
      </c>
      <c r="L27" s="6" t="s">
        <v>180</v>
      </c>
      <c r="N27" s="6" t="s">
        <v>174</v>
      </c>
      <c r="O27" s="6" t="s">
        <v>174</v>
      </c>
      <c r="P27" s="6" t="s">
        <v>175</v>
      </c>
      <c r="Q27" s="26">
        <v>1</v>
      </c>
    </row>
    <row r="29" spans="1:17" x14ac:dyDescent="0.25">
      <c r="D29" s="5">
        <f>COUNTA(D3:D27)</f>
        <v>22</v>
      </c>
      <c r="G29" s="5">
        <f t="shared" ref="G29:Q29" si="1">SUBTOTAL(9,G3:G27)</f>
        <v>10835</v>
      </c>
      <c r="H29" s="5">
        <f t="shared" si="1"/>
        <v>655</v>
      </c>
      <c r="I29" s="5">
        <f t="shared" si="1"/>
        <v>10180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25</v>
      </c>
    </row>
    <row r="30" spans="1:17" x14ac:dyDescent="0.25">
      <c r="H30">
        <f>-3*17</f>
        <v>-51</v>
      </c>
    </row>
    <row r="31" spans="1:17" x14ac:dyDescent="0.25">
      <c r="A31" s="5" t="s">
        <v>17</v>
      </c>
      <c r="C31" s="37" t="s">
        <v>88</v>
      </c>
      <c r="D31" s="37"/>
      <c r="E31" s="8" t="s">
        <v>89</v>
      </c>
      <c r="H31">
        <f>-2*25</f>
        <v>-50</v>
      </c>
      <c r="K31" s="11" t="s">
        <v>277</v>
      </c>
      <c r="L31" s="11" t="s">
        <v>90</v>
      </c>
      <c r="M31" s="11" t="s">
        <v>89</v>
      </c>
      <c r="O31" s="8" t="s">
        <v>91</v>
      </c>
    </row>
    <row r="32" spans="1:17" x14ac:dyDescent="0.25">
      <c r="A32" t="s">
        <v>271</v>
      </c>
      <c r="B32" s="7" t="s">
        <v>92</v>
      </c>
      <c r="C32" s="38">
        <f>SUMIFS(I$3:I$27,B$3:B$27,A$31,L$3:L$27,A$32)</f>
        <v>8730</v>
      </c>
      <c r="D32" s="38"/>
      <c r="E32" s="7">
        <f>SUMIFS(Q$3:Q$27,B$3:B$27,A$31,L$3:L$27,A$32)</f>
        <v>24</v>
      </c>
      <c r="F32" t="s">
        <v>93</v>
      </c>
      <c r="H32">
        <f>-2*30</f>
        <v>-60</v>
      </c>
      <c r="K32" t="s">
        <v>94</v>
      </c>
      <c r="L32">
        <f>SUMIFS(G$3:G$27,J$3:J$27,K$31)</f>
        <v>2615</v>
      </c>
      <c r="M32">
        <f>SUMIFS(Q$3:Q$27,J$3:J$27,K$31)</f>
        <v>7</v>
      </c>
      <c r="O32" t="s">
        <v>337</v>
      </c>
      <c r="P32">
        <f>L37</f>
        <v>2454</v>
      </c>
    </row>
    <row r="33" spans="2:16" x14ac:dyDescent="0.25">
      <c r="B33" s="6" t="s">
        <v>95</v>
      </c>
      <c r="C33" s="39">
        <v>0</v>
      </c>
      <c r="D33" s="39"/>
      <c r="K33" t="s">
        <v>96</v>
      </c>
      <c r="L33">
        <f>SUM(H30:H32)</f>
        <v>-161</v>
      </c>
      <c r="M33">
        <f>SUMIFS(Q$3:Q$27,J$3:J$27,K$31)</f>
        <v>7</v>
      </c>
      <c r="O33" t="s">
        <v>79</v>
      </c>
      <c r="P33">
        <f>L45</f>
        <v>3190</v>
      </c>
    </row>
    <row r="34" spans="2:16" x14ac:dyDescent="0.25">
      <c r="B34" s="6" t="s">
        <v>97</v>
      </c>
      <c r="C34" s="39">
        <f>-SUMIFS(I$3:I$27,B$3:B$27,A$31,P$3:P$27,"xx",N$3:N$27,"x")</f>
        <v>-1450</v>
      </c>
      <c r="D34" s="39"/>
      <c r="E34" s="6">
        <f>SUMIFS(Q$3:Q$27,B$3:B$27,A$31,P$3:P$27,"xx",N$3:N$27,"x")</f>
        <v>1</v>
      </c>
      <c r="K34" t="s">
        <v>98</v>
      </c>
      <c r="O34" t="s">
        <v>22</v>
      </c>
      <c r="P34">
        <f>L53</f>
        <v>1272</v>
      </c>
    </row>
    <row r="35" spans="2:16" x14ac:dyDescent="0.25">
      <c r="B35" s="8" t="s">
        <v>100</v>
      </c>
      <c r="C35" s="37">
        <f>SUBTOTAL(9,C32:C34)</f>
        <v>7280</v>
      </c>
      <c r="D35" s="37"/>
      <c r="E35">
        <f>E32</f>
        <v>24</v>
      </c>
      <c r="K35" s="6" t="s">
        <v>101</v>
      </c>
      <c r="O35" t="s">
        <v>21</v>
      </c>
      <c r="P35">
        <f>L61</f>
        <v>450</v>
      </c>
    </row>
    <row r="36" spans="2:16" x14ac:dyDescent="0.25">
      <c r="B36" s="6" t="s">
        <v>102</v>
      </c>
      <c r="C36" s="35"/>
      <c r="D36" s="35"/>
      <c r="K36" s="6" t="s">
        <v>103</v>
      </c>
      <c r="O36" t="s">
        <v>104</v>
      </c>
      <c r="P36">
        <f>-C39</f>
        <v>-7280</v>
      </c>
    </row>
    <row r="37" spans="2:16" x14ac:dyDescent="0.25">
      <c r="B37" s="13" t="s">
        <v>105</v>
      </c>
      <c r="C37" s="35"/>
      <c r="D37" s="35"/>
      <c r="L37" s="12">
        <f>SUBTOTAL(9,L32:L36)</f>
        <v>2454</v>
      </c>
      <c r="M37" s="12">
        <f>M32</f>
        <v>7</v>
      </c>
      <c r="O37" s="8" t="s">
        <v>106</v>
      </c>
      <c r="P37" s="8">
        <f>SUBTOTAL(9,P32:P36)</f>
        <v>86</v>
      </c>
    </row>
    <row r="39" spans="2:16" x14ac:dyDescent="0.25">
      <c r="B39" s="5" t="s">
        <v>107</v>
      </c>
      <c r="C39" s="36">
        <f>C35+C36+C37</f>
        <v>7280</v>
      </c>
      <c r="D39" s="36"/>
      <c r="E39" s="5" t="s">
        <v>108</v>
      </c>
      <c r="K39" s="11" t="s">
        <v>79</v>
      </c>
      <c r="L39" s="11" t="s">
        <v>90</v>
      </c>
      <c r="M39" s="11" t="s">
        <v>89</v>
      </c>
    </row>
    <row r="40" spans="2:16" x14ac:dyDescent="0.25">
      <c r="K40" t="s">
        <v>94</v>
      </c>
      <c r="L40">
        <f>SUMIFS(G$3:G$27,J$3:J$27,K$39)</f>
        <v>3350</v>
      </c>
      <c r="M40">
        <f>SUMIFS(Q$3:Q$27,J$3:J$27,K$39)</f>
        <v>8</v>
      </c>
    </row>
    <row r="41" spans="2:16" x14ac:dyDescent="0.25">
      <c r="K41" t="s">
        <v>96</v>
      </c>
      <c r="L41">
        <f>-SUMIFS(H$3:H$27,J$3:J$27,K$39)+M41*5</f>
        <v>-160</v>
      </c>
      <c r="M41">
        <f>SUMIFS(Q$3:Q$27,J$3:J$27,K$39)-COUNTIFS(J$3:J$27,K$39,M$3:M$27,"*gộp*")</f>
        <v>8</v>
      </c>
    </row>
    <row r="42" spans="2:16" x14ac:dyDescent="0.25">
      <c r="K42" t="s">
        <v>98</v>
      </c>
    </row>
    <row r="43" spans="2:16" x14ac:dyDescent="0.25">
      <c r="K43" s="6" t="s">
        <v>101</v>
      </c>
    </row>
    <row r="44" spans="2:16" x14ac:dyDescent="0.25">
      <c r="K44" s="6" t="s">
        <v>103</v>
      </c>
    </row>
    <row r="45" spans="2:16" x14ac:dyDescent="0.25">
      <c r="L45" s="12">
        <f>SUBTOTAL(9,L40:L44)</f>
        <v>3190</v>
      </c>
      <c r="M45" s="12">
        <f>M40</f>
        <v>8</v>
      </c>
    </row>
    <row r="47" spans="2:16" x14ac:dyDescent="0.25">
      <c r="K47" s="11" t="s">
        <v>22</v>
      </c>
      <c r="L47" s="11" t="s">
        <v>90</v>
      </c>
      <c r="M47" s="11" t="s">
        <v>89</v>
      </c>
    </row>
    <row r="48" spans="2:16" x14ac:dyDescent="0.25">
      <c r="K48" t="s">
        <v>94</v>
      </c>
      <c r="L48">
        <f>SUMIFS(G$3:G$27,J$3:J$27,K$47)</f>
        <v>2915</v>
      </c>
      <c r="M48">
        <f>SUMIFS(Q$3:Q$27,J$3:J$27,K$47)</f>
        <v>7</v>
      </c>
    </row>
    <row r="49" spans="11:13" x14ac:dyDescent="0.25">
      <c r="K49" t="s">
        <v>96</v>
      </c>
      <c r="L49">
        <f>-SUMIFS(H$3:H$27,J$3:J$27,K$47)+M49*5</f>
        <v>-145</v>
      </c>
      <c r="M49">
        <f>SUMIFS(Q$3:Q$27,J$3:J$27,K$47)-COUNTIFS(J$3:J$27,K$47,M$3:M$27,"*gộp*")</f>
        <v>7</v>
      </c>
    </row>
    <row r="50" spans="11:13" x14ac:dyDescent="0.25">
      <c r="K50" t="s">
        <v>98</v>
      </c>
      <c r="L50">
        <f>-M50*2</f>
        <v>-48</v>
      </c>
      <c r="M50">
        <f>COUNTIF(L3:L27,A$32)-(COUNTIFS(M$3:M$27,"*gộp*")/2)</f>
        <v>24</v>
      </c>
    </row>
    <row r="51" spans="11:13" x14ac:dyDescent="0.25">
      <c r="K51" s="6" t="s">
        <v>101</v>
      </c>
    </row>
    <row r="52" spans="11:13" x14ac:dyDescent="0.25">
      <c r="K52" s="6" t="s">
        <v>103</v>
      </c>
      <c r="L52">
        <v>-1450</v>
      </c>
    </row>
    <row r="53" spans="11:13" x14ac:dyDescent="0.25">
      <c r="L53" s="12">
        <f>SUBTOTAL(9,L48:L52)</f>
        <v>1272</v>
      </c>
      <c r="M53" s="12">
        <f>M48</f>
        <v>7</v>
      </c>
    </row>
    <row r="55" spans="11:13" x14ac:dyDescent="0.25">
      <c r="K55" s="11" t="s">
        <v>21</v>
      </c>
      <c r="L55" s="11" t="s">
        <v>90</v>
      </c>
      <c r="M55" s="11" t="s">
        <v>89</v>
      </c>
    </row>
    <row r="56" spans="11:13" x14ac:dyDescent="0.25">
      <c r="K56" t="s">
        <v>94</v>
      </c>
      <c r="L56">
        <f>SUMIFS(G$3:G$27,J$3:J$27,K$55)</f>
        <v>505</v>
      </c>
      <c r="M56">
        <f>SUMIFS(Q$3:Q$27,J$3:J$27,K$55)</f>
        <v>2</v>
      </c>
    </row>
    <row r="57" spans="11:13" x14ac:dyDescent="0.25">
      <c r="K57" t="s">
        <v>96</v>
      </c>
      <c r="L57">
        <f>-SUMIFS(H$3:H$27,J$3:J$27,K$55)+M57*5</f>
        <v>-55</v>
      </c>
      <c r="M57">
        <f>SUMIFS(Q$3:Q$27,J$3:J$27,K$55)-COUNTIFS(J$3:J$27,K$55,M$3:M$27,"*gộp*")</f>
        <v>2</v>
      </c>
    </row>
    <row r="58" spans="11:13" x14ac:dyDescent="0.25">
      <c r="K58" t="s">
        <v>98</v>
      </c>
    </row>
    <row r="59" spans="11:13" x14ac:dyDescent="0.25">
      <c r="K59" s="6" t="s">
        <v>101</v>
      </c>
    </row>
    <row r="60" spans="11:13" x14ac:dyDescent="0.25">
      <c r="K60" s="6" t="s">
        <v>103</v>
      </c>
    </row>
    <row r="61" spans="11:13" x14ac:dyDescent="0.25">
      <c r="L61" s="12">
        <f>SUBTOTAL(9,L56:L60)</f>
        <v>450</v>
      </c>
      <c r="M61" s="12">
        <f>M56</f>
        <v>2</v>
      </c>
    </row>
  </sheetData>
  <autoFilter ref="A2:P27" xr:uid="{00000000-0009-0000-0000-000003000000}">
    <sortState xmlns:xlrd2="http://schemas.microsoft.com/office/spreadsheetml/2017/richdata2" ref="A3:P27">
      <sortCondition ref="J2:J27"/>
    </sortState>
  </autoFilter>
  <mergeCells count="8">
    <mergeCell ref="C36:D36"/>
    <mergeCell ref="C37:D37"/>
    <mergeCell ref="C39:D39"/>
    <mergeCell ref="C31:D31"/>
    <mergeCell ref="C32:D32"/>
    <mergeCell ref="C33:D33"/>
    <mergeCell ref="C34:D34"/>
    <mergeCell ref="C35:D35"/>
  </mergeCells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95DE-B6A2-48BA-8E2F-4C2148BC1688}">
  <dimension ref="A2:Q61"/>
  <sheetViews>
    <sheetView topLeftCell="A17" zoomScale="70" zoomScaleNormal="70" workbookViewId="0">
      <selection activeCell="M58" sqref="M58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56.42578125" customWidth="1"/>
    <col min="4" max="4" width="9.85546875" customWidth="1"/>
    <col min="5" max="5" width="111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6.42578125" bestFit="1" customWidth="1"/>
    <col min="13" max="13" width="8.7109375" customWidth="1"/>
    <col min="14" max="14" width="9.7109375" customWidth="1"/>
    <col min="15" max="15" width="10.42578125" customWidth="1"/>
    <col min="16" max="16" width="10.140625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B3" t="s">
        <v>17</v>
      </c>
      <c r="C3" t="s">
        <v>338</v>
      </c>
      <c r="D3" t="s">
        <v>339</v>
      </c>
      <c r="E3" t="s">
        <v>340</v>
      </c>
      <c r="F3" s="19">
        <v>7</v>
      </c>
      <c r="G3" s="19">
        <v>890</v>
      </c>
      <c r="H3" s="19">
        <v>30</v>
      </c>
      <c r="I3" s="19">
        <f>G3-H3</f>
        <v>860</v>
      </c>
      <c r="J3" t="s">
        <v>341</v>
      </c>
      <c r="K3" t="s">
        <v>22</v>
      </c>
      <c r="L3" t="s">
        <v>342</v>
      </c>
      <c r="Q3" s="19">
        <v>1</v>
      </c>
    </row>
    <row r="4" spans="1:17" x14ac:dyDescent="0.25">
      <c r="B4" t="s">
        <v>17</v>
      </c>
      <c r="C4" t="s">
        <v>343</v>
      </c>
      <c r="D4" t="s">
        <v>344</v>
      </c>
      <c r="E4" t="s">
        <v>345</v>
      </c>
      <c r="F4" t="s">
        <v>55</v>
      </c>
      <c r="G4" s="19">
        <v>1325</v>
      </c>
      <c r="H4" s="19">
        <v>25</v>
      </c>
      <c r="I4" s="19">
        <f>G4-H4</f>
        <v>1300</v>
      </c>
      <c r="J4" t="s">
        <v>341</v>
      </c>
      <c r="K4" t="s">
        <v>22</v>
      </c>
      <c r="L4" t="s">
        <v>342</v>
      </c>
      <c r="Q4" s="19">
        <v>1</v>
      </c>
    </row>
    <row r="5" spans="1:17" x14ac:dyDescent="0.25">
      <c r="B5" t="s">
        <v>17</v>
      </c>
      <c r="C5" t="s">
        <v>346</v>
      </c>
      <c r="D5" t="s">
        <v>347</v>
      </c>
      <c r="E5" t="s">
        <v>348</v>
      </c>
      <c r="F5" t="s">
        <v>55</v>
      </c>
      <c r="G5" s="19">
        <v>765</v>
      </c>
      <c r="H5" s="19">
        <v>25</v>
      </c>
      <c r="I5" s="19">
        <f>G5-H5</f>
        <v>740</v>
      </c>
      <c r="J5" t="s">
        <v>341</v>
      </c>
      <c r="K5" t="s">
        <v>22</v>
      </c>
      <c r="L5" t="s">
        <v>342</v>
      </c>
      <c r="Q5" s="19">
        <v>1</v>
      </c>
    </row>
    <row r="6" spans="1:17" x14ac:dyDescent="0.25">
      <c r="B6" t="s">
        <v>17</v>
      </c>
      <c r="C6" t="s">
        <v>349</v>
      </c>
      <c r="D6" t="s">
        <v>350</v>
      </c>
      <c r="E6" t="s">
        <v>351</v>
      </c>
      <c r="F6" s="19">
        <v>8</v>
      </c>
      <c r="G6" s="19">
        <v>0</v>
      </c>
      <c r="H6" s="19">
        <v>25</v>
      </c>
      <c r="I6" s="19">
        <f>-H6</f>
        <v>-25</v>
      </c>
      <c r="J6" t="s">
        <v>341</v>
      </c>
      <c r="K6" t="s">
        <v>22</v>
      </c>
      <c r="L6" t="s">
        <v>342</v>
      </c>
      <c r="Q6" s="19">
        <v>1</v>
      </c>
    </row>
    <row r="7" spans="1:17" x14ac:dyDescent="0.25">
      <c r="B7" t="s">
        <v>17</v>
      </c>
      <c r="C7" t="s">
        <v>352</v>
      </c>
      <c r="D7" t="s">
        <v>353</v>
      </c>
      <c r="E7" t="s">
        <v>354</v>
      </c>
      <c r="F7" s="19">
        <v>7</v>
      </c>
      <c r="G7" s="19">
        <v>670</v>
      </c>
      <c r="H7" s="19">
        <v>30</v>
      </c>
      <c r="I7" s="19">
        <f>G7-H7</f>
        <v>640</v>
      </c>
      <c r="J7" t="s">
        <v>341</v>
      </c>
      <c r="K7" t="s">
        <v>22</v>
      </c>
      <c r="L7" t="s">
        <v>342</v>
      </c>
      <c r="Q7" s="19">
        <v>1</v>
      </c>
    </row>
    <row r="8" spans="1:17" x14ac:dyDescent="0.25">
      <c r="B8" t="s">
        <v>17</v>
      </c>
      <c r="C8" t="s">
        <v>355</v>
      </c>
      <c r="D8" t="s">
        <v>356</v>
      </c>
      <c r="E8" t="s">
        <v>357</v>
      </c>
      <c r="F8" t="s">
        <v>44</v>
      </c>
      <c r="G8" s="19">
        <v>890</v>
      </c>
      <c r="H8" s="19">
        <v>30</v>
      </c>
      <c r="I8" s="19">
        <f>G8-H8</f>
        <v>860</v>
      </c>
      <c r="J8" t="s">
        <v>341</v>
      </c>
      <c r="K8" t="s">
        <v>22</v>
      </c>
      <c r="L8" t="s">
        <v>342</v>
      </c>
      <c r="Q8" s="19">
        <v>1</v>
      </c>
    </row>
    <row r="9" spans="1:17" x14ac:dyDescent="0.25">
      <c r="B9" t="s">
        <v>17</v>
      </c>
      <c r="C9" t="s">
        <v>358</v>
      </c>
      <c r="D9" t="s">
        <v>359</v>
      </c>
      <c r="E9" t="s">
        <v>360</v>
      </c>
      <c r="F9" t="s">
        <v>44</v>
      </c>
      <c r="G9" s="19">
        <v>2010</v>
      </c>
      <c r="H9" s="19">
        <v>30</v>
      </c>
      <c r="I9" s="19">
        <f>G9-H9</f>
        <v>1980</v>
      </c>
      <c r="J9" t="s">
        <v>341</v>
      </c>
      <c r="K9" t="s">
        <v>22</v>
      </c>
      <c r="L9" t="s">
        <v>342</v>
      </c>
      <c r="Q9" s="19">
        <v>1</v>
      </c>
    </row>
    <row r="10" spans="1:17" x14ac:dyDescent="0.25">
      <c r="B10" t="s">
        <v>17</v>
      </c>
      <c r="C10" t="s">
        <v>361</v>
      </c>
      <c r="D10" t="s">
        <v>362</v>
      </c>
      <c r="E10" t="s">
        <v>363</v>
      </c>
      <c r="F10" t="s">
        <v>55</v>
      </c>
      <c r="G10" s="19">
        <v>405</v>
      </c>
      <c r="H10" s="19">
        <v>25</v>
      </c>
      <c r="I10" s="19">
        <f>G10-H10</f>
        <v>380</v>
      </c>
      <c r="J10" t="s">
        <v>341</v>
      </c>
      <c r="K10" t="s">
        <v>22</v>
      </c>
      <c r="L10" t="s">
        <v>342</v>
      </c>
      <c r="Q10" s="19">
        <v>1</v>
      </c>
    </row>
    <row r="11" spans="1:17" x14ac:dyDescent="0.25">
      <c r="B11" t="s">
        <v>17</v>
      </c>
      <c r="C11" t="s">
        <v>364</v>
      </c>
      <c r="D11" t="s">
        <v>365</v>
      </c>
      <c r="E11" t="s">
        <v>366</v>
      </c>
      <c r="F11" t="s">
        <v>44</v>
      </c>
      <c r="G11" s="19">
        <v>0</v>
      </c>
      <c r="H11" s="19">
        <v>25</v>
      </c>
      <c r="I11" s="19">
        <f>-H11</f>
        <v>-25</v>
      </c>
      <c r="J11" t="s">
        <v>341</v>
      </c>
      <c r="K11" t="s">
        <v>22</v>
      </c>
      <c r="L11" t="s">
        <v>342</v>
      </c>
      <c r="Q11" s="19">
        <v>1</v>
      </c>
    </row>
    <row r="12" spans="1:17" x14ac:dyDescent="0.25">
      <c r="B12" t="s">
        <v>17</v>
      </c>
      <c r="C12" t="s">
        <v>367</v>
      </c>
      <c r="D12" t="s">
        <v>368</v>
      </c>
      <c r="E12" t="s">
        <v>369</v>
      </c>
      <c r="F12" t="s">
        <v>44</v>
      </c>
      <c r="G12" s="19">
        <v>610</v>
      </c>
      <c r="H12" s="19">
        <v>30</v>
      </c>
      <c r="I12" s="19">
        <f>G12-H12</f>
        <v>580</v>
      </c>
      <c r="J12" t="s">
        <v>341</v>
      </c>
      <c r="K12" t="s">
        <v>22</v>
      </c>
      <c r="L12" t="s">
        <v>342</v>
      </c>
      <c r="Q12" s="19">
        <v>1</v>
      </c>
    </row>
    <row r="13" spans="1:17" x14ac:dyDescent="0.25">
      <c r="B13" t="s">
        <v>17</v>
      </c>
      <c r="C13" t="s">
        <v>262</v>
      </c>
      <c r="D13" t="s">
        <v>370</v>
      </c>
      <c r="E13" t="s">
        <v>371</v>
      </c>
      <c r="F13" t="s">
        <v>372</v>
      </c>
      <c r="G13" s="19">
        <v>380</v>
      </c>
      <c r="H13" s="19">
        <v>30</v>
      </c>
      <c r="I13" s="19">
        <f>G13-H13</f>
        <v>350</v>
      </c>
      <c r="J13" t="s">
        <v>341</v>
      </c>
      <c r="K13" t="s">
        <v>22</v>
      </c>
      <c r="L13" t="s">
        <v>342</v>
      </c>
      <c r="Q13" s="19">
        <v>1</v>
      </c>
    </row>
    <row r="14" spans="1:17" x14ac:dyDescent="0.25">
      <c r="B14" t="s">
        <v>17</v>
      </c>
      <c r="C14" t="s">
        <v>373</v>
      </c>
      <c r="D14" t="s">
        <v>374</v>
      </c>
      <c r="E14" t="s">
        <v>375</v>
      </c>
      <c r="F14" t="s">
        <v>294</v>
      </c>
      <c r="G14" s="19">
        <v>625</v>
      </c>
      <c r="H14" s="19">
        <v>35</v>
      </c>
      <c r="I14" s="19">
        <f>G14-H14</f>
        <v>590</v>
      </c>
      <c r="J14" t="s">
        <v>341</v>
      </c>
      <c r="K14" t="s">
        <v>22</v>
      </c>
      <c r="L14" t="s">
        <v>342</v>
      </c>
      <c r="Q14" s="19">
        <v>1</v>
      </c>
    </row>
    <row r="15" spans="1:17" x14ac:dyDescent="0.25">
      <c r="B15" t="s">
        <v>17</v>
      </c>
      <c r="C15" t="s">
        <v>376</v>
      </c>
      <c r="D15" t="s">
        <v>377</v>
      </c>
      <c r="E15" t="s">
        <v>378</v>
      </c>
      <c r="F15" s="19">
        <v>8</v>
      </c>
      <c r="G15" s="19">
        <v>405</v>
      </c>
      <c r="H15" s="19">
        <v>25</v>
      </c>
      <c r="I15" s="19">
        <f>G15-H15</f>
        <v>380</v>
      </c>
      <c r="J15" t="s">
        <v>341</v>
      </c>
      <c r="K15" t="s">
        <v>22</v>
      </c>
      <c r="L15" t="s">
        <v>342</v>
      </c>
      <c r="Q15" s="19">
        <v>1</v>
      </c>
    </row>
    <row r="16" spans="1:17" x14ac:dyDescent="0.25">
      <c r="B16" t="s">
        <v>17</v>
      </c>
      <c r="C16" t="s">
        <v>379</v>
      </c>
      <c r="D16" t="s">
        <v>380</v>
      </c>
      <c r="E16" t="s">
        <v>381</v>
      </c>
      <c r="F16" t="s">
        <v>201</v>
      </c>
      <c r="G16" s="19">
        <v>995</v>
      </c>
      <c r="H16" s="19">
        <v>35</v>
      </c>
      <c r="I16" s="19">
        <f>G16-H16</f>
        <v>960</v>
      </c>
      <c r="J16" t="s">
        <v>341</v>
      </c>
      <c r="K16" t="s">
        <v>22</v>
      </c>
      <c r="L16" t="s">
        <v>342</v>
      </c>
      <c r="Q16" s="19">
        <v>1</v>
      </c>
    </row>
    <row r="17" spans="1:17" x14ac:dyDescent="0.25">
      <c r="B17" t="s">
        <v>17</v>
      </c>
      <c r="C17" t="s">
        <v>274</v>
      </c>
      <c r="D17" t="s">
        <v>382</v>
      </c>
      <c r="E17" t="s">
        <v>276</v>
      </c>
      <c r="F17" s="19">
        <v>7</v>
      </c>
      <c r="G17" s="19">
        <v>0</v>
      </c>
      <c r="H17" s="19">
        <v>30</v>
      </c>
      <c r="I17" s="19">
        <f>-H17</f>
        <v>-30</v>
      </c>
      <c r="J17" t="s">
        <v>341</v>
      </c>
      <c r="K17" t="s">
        <v>22</v>
      </c>
      <c r="L17" t="s">
        <v>342</v>
      </c>
      <c r="M17" t="s">
        <v>131</v>
      </c>
      <c r="Q17" s="19">
        <v>1</v>
      </c>
    </row>
    <row r="18" spans="1:17" x14ac:dyDescent="0.25">
      <c r="B18" t="s">
        <v>17</v>
      </c>
      <c r="C18" t="s">
        <v>383</v>
      </c>
      <c r="D18" t="s">
        <v>384</v>
      </c>
      <c r="E18" t="s">
        <v>385</v>
      </c>
      <c r="F18" t="s">
        <v>62</v>
      </c>
      <c r="G18" s="19">
        <v>975</v>
      </c>
      <c r="H18" s="19">
        <v>25</v>
      </c>
      <c r="I18" s="19">
        <f>G18-H18</f>
        <v>950</v>
      </c>
      <c r="J18" t="s">
        <v>22</v>
      </c>
      <c r="K18" t="s">
        <v>22</v>
      </c>
      <c r="L18" t="s">
        <v>342</v>
      </c>
      <c r="Q18" s="19">
        <v>1</v>
      </c>
    </row>
    <row r="19" spans="1:17" x14ac:dyDescent="0.25">
      <c r="B19" t="s">
        <v>17</v>
      </c>
      <c r="C19" t="s">
        <v>386</v>
      </c>
      <c r="D19" t="s">
        <v>387</v>
      </c>
      <c r="E19" t="s">
        <v>388</v>
      </c>
      <c r="F19" t="s">
        <v>66</v>
      </c>
      <c r="G19" s="19">
        <v>600</v>
      </c>
      <c r="H19" s="19">
        <v>20</v>
      </c>
      <c r="I19" s="19">
        <f>G19-H19</f>
        <v>580</v>
      </c>
      <c r="J19" t="s">
        <v>22</v>
      </c>
      <c r="K19" t="s">
        <v>22</v>
      </c>
      <c r="L19" t="s">
        <v>342</v>
      </c>
      <c r="Q19" s="19">
        <v>1</v>
      </c>
    </row>
    <row r="20" spans="1:17" x14ac:dyDescent="0.25">
      <c r="B20" t="s">
        <v>17</v>
      </c>
      <c r="C20" t="s">
        <v>389</v>
      </c>
      <c r="D20" t="s">
        <v>390</v>
      </c>
      <c r="E20" t="s">
        <v>391</v>
      </c>
      <c r="F20" t="s">
        <v>66</v>
      </c>
      <c r="G20" s="19">
        <v>660</v>
      </c>
      <c r="H20" s="19">
        <v>20</v>
      </c>
      <c r="I20" s="19">
        <f>G20-H20</f>
        <v>640</v>
      </c>
      <c r="J20" t="s">
        <v>22</v>
      </c>
      <c r="K20" t="s">
        <v>22</v>
      </c>
      <c r="L20" t="s">
        <v>342</v>
      </c>
      <c r="Q20" s="19">
        <v>1</v>
      </c>
    </row>
    <row r="21" spans="1:17" x14ac:dyDescent="0.25">
      <c r="B21" t="s">
        <v>17</v>
      </c>
      <c r="C21" t="s">
        <v>392</v>
      </c>
      <c r="D21" t="s">
        <v>393</v>
      </c>
      <c r="E21" t="s">
        <v>394</v>
      </c>
      <c r="F21" s="19">
        <v>2</v>
      </c>
      <c r="G21" s="19">
        <v>750</v>
      </c>
      <c r="H21" s="19">
        <v>30</v>
      </c>
      <c r="I21" s="19">
        <f>G21-H21</f>
        <v>720</v>
      </c>
      <c r="J21" t="s">
        <v>22</v>
      </c>
      <c r="K21" t="s">
        <v>22</v>
      </c>
      <c r="L21" t="s">
        <v>342</v>
      </c>
      <c r="Q21" s="19">
        <v>1</v>
      </c>
    </row>
    <row r="22" spans="1:17" x14ac:dyDescent="0.25">
      <c r="B22" t="s">
        <v>17</v>
      </c>
      <c r="C22" t="s">
        <v>395</v>
      </c>
      <c r="D22" t="s">
        <v>396</v>
      </c>
      <c r="E22" t="s">
        <v>397</v>
      </c>
      <c r="F22" s="19">
        <v>2</v>
      </c>
      <c r="G22" s="19">
        <v>0</v>
      </c>
      <c r="H22" s="19">
        <v>30</v>
      </c>
      <c r="I22" s="19">
        <f>-H22</f>
        <v>-30</v>
      </c>
      <c r="J22" t="s">
        <v>22</v>
      </c>
      <c r="K22" t="s">
        <v>22</v>
      </c>
      <c r="L22" t="s">
        <v>342</v>
      </c>
      <c r="Q22" s="19">
        <v>1</v>
      </c>
    </row>
    <row r="23" spans="1:17" x14ac:dyDescent="0.25">
      <c r="B23" t="s">
        <v>17</v>
      </c>
      <c r="C23" t="s">
        <v>398</v>
      </c>
      <c r="D23" t="s">
        <v>399</v>
      </c>
      <c r="E23" t="s">
        <v>400</v>
      </c>
      <c r="F23" t="s">
        <v>62</v>
      </c>
      <c r="G23" s="19">
        <v>745</v>
      </c>
      <c r="H23" s="19">
        <v>25</v>
      </c>
      <c r="I23" s="19">
        <f>G23-H23</f>
        <v>720</v>
      </c>
      <c r="J23" t="s">
        <v>22</v>
      </c>
      <c r="K23" t="s">
        <v>22</v>
      </c>
      <c r="L23" t="s">
        <v>342</v>
      </c>
      <c r="Q23" s="19">
        <v>1</v>
      </c>
    </row>
    <row r="24" spans="1:17" x14ac:dyDescent="0.25">
      <c r="B24" t="s">
        <v>17</v>
      </c>
      <c r="C24" t="s">
        <v>401</v>
      </c>
      <c r="D24" t="s">
        <v>402</v>
      </c>
      <c r="E24" t="s">
        <v>403</v>
      </c>
      <c r="F24" t="s">
        <v>62</v>
      </c>
      <c r="G24" s="19">
        <v>755</v>
      </c>
      <c r="H24" s="19">
        <v>25</v>
      </c>
      <c r="I24" s="19">
        <f>G24-H24</f>
        <v>730</v>
      </c>
      <c r="J24" t="s">
        <v>22</v>
      </c>
      <c r="K24" t="s">
        <v>22</v>
      </c>
      <c r="L24" t="s">
        <v>342</v>
      </c>
      <c r="Q24" s="19">
        <v>1</v>
      </c>
    </row>
    <row r="25" spans="1:17" x14ac:dyDescent="0.25">
      <c r="B25" t="s">
        <v>17</v>
      </c>
      <c r="C25" t="s">
        <v>404</v>
      </c>
      <c r="D25" t="s">
        <v>405</v>
      </c>
      <c r="E25" t="s">
        <v>406</v>
      </c>
      <c r="F25" t="s">
        <v>310</v>
      </c>
      <c r="G25" s="19">
        <v>520</v>
      </c>
      <c r="H25" s="19">
        <v>30</v>
      </c>
      <c r="I25" s="19">
        <f>G25-H25</f>
        <v>490</v>
      </c>
      <c r="J25" t="s">
        <v>22</v>
      </c>
      <c r="K25" t="s">
        <v>22</v>
      </c>
      <c r="L25" t="s">
        <v>342</v>
      </c>
      <c r="Q25" s="19">
        <v>1</v>
      </c>
    </row>
    <row r="26" spans="1:17" x14ac:dyDescent="0.25">
      <c r="B26" t="s">
        <v>17</v>
      </c>
      <c r="C26" t="s">
        <v>407</v>
      </c>
      <c r="D26" t="s">
        <v>408</v>
      </c>
      <c r="E26" t="s">
        <v>409</v>
      </c>
      <c r="F26" s="19">
        <v>1</v>
      </c>
      <c r="G26" s="19">
        <v>365</v>
      </c>
      <c r="H26" s="19">
        <v>25</v>
      </c>
      <c r="I26" s="19">
        <f>G26-H26</f>
        <v>340</v>
      </c>
      <c r="J26" t="s">
        <v>79</v>
      </c>
      <c r="K26" t="s">
        <v>22</v>
      </c>
      <c r="L26" t="s">
        <v>342</v>
      </c>
      <c r="Q26" s="19">
        <v>1</v>
      </c>
    </row>
    <row r="27" spans="1:17" x14ac:dyDescent="0.25">
      <c r="B27" t="s">
        <v>17</v>
      </c>
      <c r="C27" t="s">
        <v>410</v>
      </c>
      <c r="D27" t="s">
        <v>411</v>
      </c>
      <c r="E27" t="s">
        <v>412</v>
      </c>
      <c r="F27" s="19">
        <v>10</v>
      </c>
      <c r="G27" s="19">
        <v>785</v>
      </c>
      <c r="H27" s="19">
        <v>25</v>
      </c>
      <c r="I27" s="19">
        <f>G27-H27</f>
        <v>760</v>
      </c>
      <c r="J27" t="s">
        <v>79</v>
      </c>
      <c r="K27" t="s">
        <v>22</v>
      </c>
      <c r="L27" t="s">
        <v>342</v>
      </c>
      <c r="Q27" s="19">
        <v>1</v>
      </c>
    </row>
    <row r="28" spans="1:17" x14ac:dyDescent="0.25">
      <c r="B28" t="s">
        <v>17</v>
      </c>
      <c r="C28" t="s">
        <v>413</v>
      </c>
      <c r="D28" t="s">
        <v>414</v>
      </c>
      <c r="E28" t="s">
        <v>415</v>
      </c>
      <c r="F28" t="s">
        <v>51</v>
      </c>
      <c r="G28" s="19">
        <v>0</v>
      </c>
      <c r="H28" s="19">
        <v>25</v>
      </c>
      <c r="I28" s="19">
        <f>-H28</f>
        <v>-25</v>
      </c>
      <c r="J28" t="s">
        <v>79</v>
      </c>
      <c r="K28" t="s">
        <v>22</v>
      </c>
      <c r="L28" t="s">
        <v>342</v>
      </c>
      <c r="Q28" s="19">
        <v>1</v>
      </c>
    </row>
    <row r="29" spans="1:17" x14ac:dyDescent="0.25">
      <c r="B29" t="s">
        <v>17</v>
      </c>
      <c r="C29" t="s">
        <v>416</v>
      </c>
      <c r="D29" t="s">
        <v>417</v>
      </c>
      <c r="E29" t="s">
        <v>418</v>
      </c>
      <c r="F29" t="s">
        <v>162</v>
      </c>
      <c r="G29" s="19">
        <v>0</v>
      </c>
      <c r="H29" s="19">
        <v>20</v>
      </c>
      <c r="I29" s="19">
        <f>-H29</f>
        <v>-20</v>
      </c>
      <c r="J29" t="s">
        <v>79</v>
      </c>
      <c r="K29" t="s">
        <v>22</v>
      </c>
      <c r="L29" t="s">
        <v>342</v>
      </c>
      <c r="Q29" s="19">
        <v>1</v>
      </c>
    </row>
    <row r="30" spans="1:17" x14ac:dyDescent="0.25">
      <c r="B30" t="s">
        <v>17</v>
      </c>
      <c r="C30" t="s">
        <v>419</v>
      </c>
      <c r="D30" t="s">
        <v>420</v>
      </c>
      <c r="E30" t="s">
        <v>421</v>
      </c>
      <c r="F30" t="s">
        <v>162</v>
      </c>
      <c r="G30" s="19">
        <v>610</v>
      </c>
      <c r="H30" s="19">
        <v>20</v>
      </c>
      <c r="I30" s="19">
        <f>G30-H30</f>
        <v>590</v>
      </c>
      <c r="J30" t="s">
        <v>79</v>
      </c>
      <c r="K30" t="s">
        <v>22</v>
      </c>
      <c r="L30" t="s">
        <v>342</v>
      </c>
      <c r="Q30" s="19">
        <v>1</v>
      </c>
    </row>
    <row r="31" spans="1:17" x14ac:dyDescent="0.25">
      <c r="B31" t="s">
        <v>17</v>
      </c>
      <c r="C31" t="s">
        <v>422</v>
      </c>
      <c r="D31" t="s">
        <v>423</v>
      </c>
      <c r="E31" t="s">
        <v>424</v>
      </c>
      <c r="F31" t="s">
        <v>51</v>
      </c>
      <c r="G31" s="19">
        <v>0</v>
      </c>
      <c r="H31" s="19">
        <v>25</v>
      </c>
      <c r="I31" s="19">
        <f>-H31</f>
        <v>-25</v>
      </c>
      <c r="J31" t="s">
        <v>79</v>
      </c>
      <c r="K31" t="s">
        <v>22</v>
      </c>
      <c r="L31" t="s">
        <v>342</v>
      </c>
      <c r="Q31" s="19">
        <v>1</v>
      </c>
    </row>
    <row r="32" spans="1:17" x14ac:dyDescent="0.25">
      <c r="A32" t="s">
        <v>24</v>
      </c>
      <c r="B32" t="s">
        <v>17</v>
      </c>
      <c r="C32" t="s">
        <v>425</v>
      </c>
      <c r="E32" t="s">
        <v>426</v>
      </c>
      <c r="F32" s="19">
        <v>5</v>
      </c>
      <c r="G32" s="19">
        <v>0</v>
      </c>
      <c r="H32" s="19">
        <v>30</v>
      </c>
      <c r="I32" s="19">
        <f>-H32</f>
        <v>-30</v>
      </c>
      <c r="J32" t="s">
        <v>79</v>
      </c>
      <c r="K32" t="s">
        <v>22</v>
      </c>
      <c r="L32" t="s">
        <v>342</v>
      </c>
      <c r="Q32" s="19">
        <v>1</v>
      </c>
    </row>
    <row r="33" spans="1:17" x14ac:dyDescent="0.25">
      <c r="A33" t="s">
        <v>24</v>
      </c>
      <c r="B33" t="s">
        <v>17</v>
      </c>
      <c r="C33" t="s">
        <v>257</v>
      </c>
      <c r="E33" t="s">
        <v>258</v>
      </c>
      <c r="F33" s="19">
        <v>4</v>
      </c>
      <c r="G33" s="19">
        <v>30</v>
      </c>
      <c r="H33" s="19">
        <v>30</v>
      </c>
      <c r="I33" s="19">
        <f>G33-H33</f>
        <v>0</v>
      </c>
      <c r="J33" t="s">
        <v>79</v>
      </c>
      <c r="K33" t="s">
        <v>22</v>
      </c>
      <c r="L33" t="s">
        <v>342</v>
      </c>
      <c r="Q33" s="19">
        <v>1</v>
      </c>
    </row>
    <row r="34" spans="1:17" x14ac:dyDescent="0.25">
      <c r="A34" t="s">
        <v>24</v>
      </c>
      <c r="B34" t="s">
        <v>17</v>
      </c>
      <c r="C34" t="s">
        <v>427</v>
      </c>
      <c r="E34" t="s">
        <v>428</v>
      </c>
      <c r="F34" t="s">
        <v>55</v>
      </c>
      <c r="G34" s="19">
        <v>40</v>
      </c>
      <c r="H34" s="19">
        <v>40</v>
      </c>
      <c r="I34" s="19">
        <f>G34-H34</f>
        <v>0</v>
      </c>
      <c r="J34" t="s">
        <v>79</v>
      </c>
      <c r="K34" t="s">
        <v>22</v>
      </c>
      <c r="L34" t="s">
        <v>342</v>
      </c>
      <c r="Q34" s="19">
        <v>1</v>
      </c>
    </row>
    <row r="35" spans="1:17" s="27" customFormat="1" x14ac:dyDescent="0.25">
      <c r="B35" s="27" t="s">
        <v>17</v>
      </c>
      <c r="C35" s="27" t="s">
        <v>282</v>
      </c>
      <c r="D35" s="27" t="s">
        <v>283</v>
      </c>
      <c r="E35" s="27" t="s">
        <v>284</v>
      </c>
      <c r="F35" s="27">
        <v>12</v>
      </c>
      <c r="G35" s="27">
        <v>820</v>
      </c>
      <c r="H35" s="27">
        <v>0</v>
      </c>
      <c r="I35" s="27">
        <f>G35-H35</f>
        <v>820</v>
      </c>
      <c r="J35" s="27" t="s">
        <v>172</v>
      </c>
      <c r="K35" s="27" t="s">
        <v>22</v>
      </c>
      <c r="L35" s="27" t="s">
        <v>271</v>
      </c>
      <c r="N35" s="27" t="s">
        <v>174</v>
      </c>
      <c r="O35" s="27" t="s">
        <v>174</v>
      </c>
      <c r="P35" s="27" t="s">
        <v>175</v>
      </c>
      <c r="Q35" s="27">
        <v>1</v>
      </c>
    </row>
    <row r="37" spans="1:17" x14ac:dyDescent="0.25">
      <c r="D37" s="1">
        <f>COUNTA(D3:D34)</f>
        <v>29</v>
      </c>
      <c r="G37" s="1">
        <f t="shared" ref="G37:Q37" si="0">SUBTOTAL(9,G3:G35)</f>
        <v>17625</v>
      </c>
      <c r="H37" s="1">
        <f t="shared" si="0"/>
        <v>875</v>
      </c>
      <c r="I37" s="1">
        <f t="shared" si="0"/>
        <v>16750</v>
      </c>
      <c r="J37" s="1">
        <f t="shared" si="0"/>
        <v>0</v>
      </c>
      <c r="K37" s="1">
        <f t="shared" si="0"/>
        <v>0</v>
      </c>
      <c r="L37" s="1">
        <f t="shared" si="0"/>
        <v>0</v>
      </c>
      <c r="M37" s="1">
        <f t="shared" si="0"/>
        <v>0</v>
      </c>
      <c r="N37" s="1">
        <f t="shared" si="0"/>
        <v>0</v>
      </c>
      <c r="O37" s="1">
        <f t="shared" si="0"/>
        <v>0</v>
      </c>
      <c r="P37" s="1">
        <f t="shared" si="0"/>
        <v>0</v>
      </c>
      <c r="Q37" s="1">
        <f t="shared" si="0"/>
        <v>33</v>
      </c>
    </row>
    <row r="38" spans="1:17" x14ac:dyDescent="0.25">
      <c r="H38">
        <f>-8*17</f>
        <v>-136</v>
      </c>
    </row>
    <row r="39" spans="1:17" x14ac:dyDescent="0.25">
      <c r="A39" s="1" t="s">
        <v>17</v>
      </c>
      <c r="C39" s="42" t="s">
        <v>88</v>
      </c>
      <c r="D39" s="42"/>
      <c r="E39" s="4" t="s">
        <v>89</v>
      </c>
      <c r="H39">
        <f>-4*25</f>
        <v>-100</v>
      </c>
      <c r="K39" s="29" t="s">
        <v>79</v>
      </c>
      <c r="L39" s="29" t="s">
        <v>90</v>
      </c>
      <c r="M39" s="29" t="s">
        <v>89</v>
      </c>
      <c r="O39" s="4" t="s">
        <v>91</v>
      </c>
    </row>
    <row r="40" spans="1:17" x14ac:dyDescent="0.25">
      <c r="A40" t="s">
        <v>342</v>
      </c>
      <c r="B40" s="3" t="s">
        <v>92</v>
      </c>
      <c r="C40" s="43">
        <f>SUMIFS(I$3:I$35,B$3:B$35,A$39,L$3:L$35,A$40)</f>
        <v>15930</v>
      </c>
      <c r="D40" s="43"/>
      <c r="E40" s="3">
        <f>SUMIFS(Q$3:Q$35,B$3:B$35,A$39,L$3:L$35,A$40)</f>
        <v>32</v>
      </c>
      <c r="F40" t="s">
        <v>93</v>
      </c>
      <c r="H40">
        <f>-2*30</f>
        <v>-60</v>
      </c>
      <c r="K40" t="s">
        <v>94</v>
      </c>
      <c r="L40">
        <f>SUMIFS(G$3:G$35,J$3:J$35,K$39)</f>
        <v>1830</v>
      </c>
      <c r="M40">
        <f>SUMIFS(Q$3:Q$35,J$3:J$35,K$39)</f>
        <v>9</v>
      </c>
      <c r="O40" t="s">
        <v>79</v>
      </c>
      <c r="P40">
        <f>L45</f>
        <v>1635</v>
      </c>
    </row>
    <row r="41" spans="1:17" x14ac:dyDescent="0.25">
      <c r="B41" s="2" t="s">
        <v>95</v>
      </c>
      <c r="C41" s="44">
        <v>0</v>
      </c>
      <c r="D41" s="44"/>
      <c r="K41" t="s">
        <v>96</v>
      </c>
      <c r="L41">
        <f>-SUMIFS(H$3:H$35,J$3:J$35,K$39)+M41*5</f>
        <v>-195</v>
      </c>
      <c r="M41" s="19">
        <f>SUMIFS(Q$3:Q$35,J$3:J$35,K$39)-COUNTIFS(J$3:J$35,K$39,M$3:M$35,"*gộp*")</f>
        <v>9</v>
      </c>
      <c r="O41" t="s">
        <v>429</v>
      </c>
      <c r="P41">
        <f>L53</f>
        <v>8854</v>
      </c>
    </row>
    <row r="42" spans="1:17" x14ac:dyDescent="0.25">
      <c r="B42" s="2" t="s">
        <v>97</v>
      </c>
      <c r="C42" s="44">
        <f>-SUMIFS(I$3:I$35,B$3:B$35,A$39,P$3:P$35,"xx",N$3:N$35,"x")</f>
        <v>-820</v>
      </c>
      <c r="D42" s="44"/>
      <c r="E42" s="2">
        <f>SUMIFS(Q$3:Q$35,B$3:B$35,A$39,P$3:P$35,"xx",N$3:N$35,"x")</f>
        <v>1</v>
      </c>
      <c r="K42" t="s">
        <v>98</v>
      </c>
      <c r="O42" t="s">
        <v>22</v>
      </c>
      <c r="P42">
        <f>L61</f>
        <v>4776</v>
      </c>
    </row>
    <row r="43" spans="1:17" x14ac:dyDescent="0.25">
      <c r="B43" s="4" t="s">
        <v>100</v>
      </c>
      <c r="C43" s="42">
        <f>SUBTOTAL(9,C40:C42)</f>
        <v>15110</v>
      </c>
      <c r="D43" s="42"/>
      <c r="E43">
        <f>E40</f>
        <v>32</v>
      </c>
      <c r="K43" s="2" t="s">
        <v>101</v>
      </c>
      <c r="O43" t="s">
        <v>104</v>
      </c>
      <c r="P43">
        <f>-C47</f>
        <v>-15110</v>
      </c>
    </row>
    <row r="44" spans="1:17" x14ac:dyDescent="0.25">
      <c r="B44" s="2" t="s">
        <v>102</v>
      </c>
      <c r="C44" s="35"/>
      <c r="D44" s="35"/>
      <c r="K44" s="2" t="s">
        <v>103</v>
      </c>
      <c r="O44" s="4" t="s">
        <v>106</v>
      </c>
      <c r="P44" s="4">
        <f>SUBTOTAL(9,P40:P43)</f>
        <v>155</v>
      </c>
    </row>
    <row r="45" spans="1:17" x14ac:dyDescent="0.25">
      <c r="B45" s="30" t="s">
        <v>105</v>
      </c>
      <c r="C45" s="35"/>
      <c r="D45" s="35"/>
      <c r="L45" s="31">
        <f>SUBTOTAL(9,L40:L44)</f>
        <v>1635</v>
      </c>
      <c r="M45" s="31">
        <f>M40</f>
        <v>9</v>
      </c>
    </row>
    <row r="47" spans="1:17" x14ac:dyDescent="0.25">
      <c r="B47" s="1" t="s">
        <v>107</v>
      </c>
      <c r="C47" s="41">
        <f>C43+C44+C45</f>
        <v>15110</v>
      </c>
      <c r="D47" s="41"/>
      <c r="E47" s="1" t="s">
        <v>108</v>
      </c>
      <c r="K47" s="29" t="s">
        <v>341</v>
      </c>
      <c r="L47" s="29" t="s">
        <v>90</v>
      </c>
      <c r="M47" s="29" t="s">
        <v>89</v>
      </c>
    </row>
    <row r="48" spans="1:17" x14ac:dyDescent="0.25">
      <c r="K48" t="s">
        <v>94</v>
      </c>
      <c r="L48">
        <f>SUMIFS(G$3:G$35,J$3:J$35,K$47)</f>
        <v>9970</v>
      </c>
      <c r="M48">
        <f>SUMIFS(Q$3:Q$35,J$3:J$35,K$47)</f>
        <v>15</v>
      </c>
    </row>
    <row r="49" spans="11:13" x14ac:dyDescent="0.25">
      <c r="K49" t="s">
        <v>96</v>
      </c>
      <c r="L49">
        <f>SUM(H38:H40)</f>
        <v>-296</v>
      </c>
      <c r="M49">
        <f>SUMIFS(Q$3:Q$35,J$3:J$35,K$47)</f>
        <v>15</v>
      </c>
    </row>
    <row r="50" spans="11:13" x14ac:dyDescent="0.25">
      <c r="K50" t="s">
        <v>98</v>
      </c>
    </row>
    <row r="51" spans="11:13" x14ac:dyDescent="0.25">
      <c r="K51" s="2" t="s">
        <v>101</v>
      </c>
    </row>
    <row r="52" spans="11:13" x14ac:dyDescent="0.25">
      <c r="K52" s="2" t="s">
        <v>103</v>
      </c>
      <c r="L52">
        <v>-820</v>
      </c>
    </row>
    <row r="53" spans="11:13" x14ac:dyDescent="0.25">
      <c r="L53" s="31">
        <f>SUBTOTAL(9,L48:L52)</f>
        <v>8854</v>
      </c>
      <c r="M53" s="31">
        <f>M48</f>
        <v>15</v>
      </c>
    </row>
    <row r="55" spans="11:13" x14ac:dyDescent="0.25">
      <c r="K55" s="29" t="s">
        <v>22</v>
      </c>
      <c r="L55" s="29" t="s">
        <v>90</v>
      </c>
      <c r="M55" s="29" t="s">
        <v>89</v>
      </c>
    </row>
    <row r="56" spans="11:13" x14ac:dyDescent="0.25">
      <c r="K56" t="s">
        <v>94</v>
      </c>
      <c r="L56">
        <f>SUMIFS(G$3:G$35,J$3:J$35,K$55)</f>
        <v>5005</v>
      </c>
      <c r="M56">
        <f>SUMIFS(Q$3:Q$35,J$3:J$35,K$55)</f>
        <v>8</v>
      </c>
    </row>
    <row r="57" spans="11:13" x14ac:dyDescent="0.25">
      <c r="K57" t="s">
        <v>96</v>
      </c>
      <c r="L57">
        <f>-SUMIFS(H$3:H$35,J$3:J$35,K$55)+M57*5</f>
        <v>-165</v>
      </c>
      <c r="M57" s="19">
        <f>SUMIFS(Q$3:Q$35,J$3:J$35,K$55)-COUNTIFS(J$3:J$35,K$55,M$3:M$35,"*gộp*")</f>
        <v>8</v>
      </c>
    </row>
    <row r="58" spans="11:13" x14ac:dyDescent="0.25">
      <c r="K58" t="s">
        <v>98</v>
      </c>
      <c r="L58">
        <f>-M58*2</f>
        <v>-64</v>
      </c>
      <c r="M58">
        <f>COUNTIF(L3:L35,A$40)-(COUNTIFS(M$3:M$35,"*gộp*")/2)</f>
        <v>32</v>
      </c>
    </row>
    <row r="59" spans="11:13" x14ac:dyDescent="0.25">
      <c r="K59" s="2" t="s">
        <v>101</v>
      </c>
    </row>
    <row r="60" spans="11:13" x14ac:dyDescent="0.25">
      <c r="K60" s="2" t="s">
        <v>103</v>
      </c>
    </row>
    <row r="61" spans="11:13" x14ac:dyDescent="0.25">
      <c r="L61" s="31">
        <f>SUBTOTAL(9,L56:L60)</f>
        <v>4776</v>
      </c>
      <c r="M61" s="31">
        <f>M56</f>
        <v>8</v>
      </c>
    </row>
  </sheetData>
  <autoFilter ref="A2:P34" xr:uid="{00000000-0009-0000-0000-000004000000}">
    <sortState xmlns:xlrd2="http://schemas.microsoft.com/office/spreadsheetml/2017/richdata2" ref="A3:P34">
      <sortCondition ref="J2:J34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CBDD-EEFF-47C4-BEAE-9713391EFAA9}">
  <dimension ref="A2:Q111"/>
  <sheetViews>
    <sheetView topLeftCell="C64" workbookViewId="0">
      <selection activeCell="D75" sqref="D75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38" customWidth="1"/>
    <col min="4" max="4" width="9.85546875" customWidth="1"/>
    <col min="5" max="5" width="103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B3" t="s">
        <v>17</v>
      </c>
      <c r="C3" t="s">
        <v>430</v>
      </c>
      <c r="D3" t="s">
        <v>431</v>
      </c>
      <c r="E3" t="s">
        <v>432</v>
      </c>
      <c r="F3" s="19">
        <v>9</v>
      </c>
      <c r="G3" s="19">
        <v>850</v>
      </c>
      <c r="H3" s="19">
        <v>30</v>
      </c>
      <c r="I3" s="19">
        <f>G3-H3</f>
        <v>820</v>
      </c>
      <c r="J3" t="s">
        <v>21</v>
      </c>
      <c r="K3" t="s">
        <v>22</v>
      </c>
      <c r="L3" t="s">
        <v>433</v>
      </c>
      <c r="Q3" s="19">
        <v>1</v>
      </c>
    </row>
    <row r="4" spans="1:17" x14ac:dyDescent="0.25">
      <c r="B4" t="s">
        <v>17</v>
      </c>
      <c r="C4" t="s">
        <v>434</v>
      </c>
      <c r="D4" t="s">
        <v>435</v>
      </c>
      <c r="E4" t="s">
        <v>436</v>
      </c>
      <c r="F4" s="19">
        <v>9</v>
      </c>
      <c r="G4" s="19">
        <v>850</v>
      </c>
      <c r="H4" s="19">
        <v>30</v>
      </c>
      <c r="I4" s="19">
        <f>G4-H4</f>
        <v>820</v>
      </c>
      <c r="J4" t="s">
        <v>21</v>
      </c>
      <c r="K4" t="s">
        <v>22</v>
      </c>
      <c r="L4" t="s">
        <v>433</v>
      </c>
      <c r="Q4" s="19">
        <v>1</v>
      </c>
    </row>
    <row r="5" spans="1:17" x14ac:dyDescent="0.25">
      <c r="B5" t="s">
        <v>17</v>
      </c>
      <c r="C5" t="s">
        <v>437</v>
      </c>
      <c r="D5" t="s">
        <v>438</v>
      </c>
      <c r="E5" t="s">
        <v>439</v>
      </c>
      <c r="F5" s="19">
        <v>7</v>
      </c>
      <c r="G5" s="19">
        <v>0</v>
      </c>
      <c r="H5" s="19">
        <v>30</v>
      </c>
      <c r="I5" s="19">
        <f>-H5</f>
        <v>-30</v>
      </c>
      <c r="J5" t="s">
        <v>440</v>
      </c>
      <c r="K5" t="s">
        <v>22</v>
      </c>
      <c r="L5" t="s">
        <v>433</v>
      </c>
      <c r="Q5" s="19">
        <v>1</v>
      </c>
    </row>
    <row r="6" spans="1:17" x14ac:dyDescent="0.25">
      <c r="B6" t="s">
        <v>17</v>
      </c>
      <c r="C6" t="s">
        <v>441</v>
      </c>
      <c r="D6" t="s">
        <v>442</v>
      </c>
      <c r="E6" t="s">
        <v>443</v>
      </c>
      <c r="F6" t="s">
        <v>55</v>
      </c>
      <c r="G6" s="19">
        <v>1315</v>
      </c>
      <c r="H6" s="19">
        <v>25</v>
      </c>
      <c r="I6" s="19">
        <f>G6-H6</f>
        <v>1290</v>
      </c>
      <c r="J6" t="s">
        <v>440</v>
      </c>
      <c r="K6" t="s">
        <v>22</v>
      </c>
      <c r="L6" t="s">
        <v>433</v>
      </c>
      <c r="Q6" s="19">
        <v>1</v>
      </c>
    </row>
    <row r="7" spans="1:17" x14ac:dyDescent="0.25">
      <c r="B7" t="s">
        <v>17</v>
      </c>
      <c r="C7" t="s">
        <v>444</v>
      </c>
      <c r="D7" t="s">
        <v>445</v>
      </c>
      <c r="E7" t="s">
        <v>446</v>
      </c>
      <c r="F7" t="s">
        <v>44</v>
      </c>
      <c r="G7" s="19">
        <v>510</v>
      </c>
      <c r="H7" s="19">
        <v>30</v>
      </c>
      <c r="I7" s="19">
        <f>G7-H7</f>
        <v>480</v>
      </c>
      <c r="J7" t="s">
        <v>440</v>
      </c>
      <c r="K7" t="s">
        <v>22</v>
      </c>
      <c r="L7" t="s">
        <v>433</v>
      </c>
      <c r="Q7" s="19">
        <v>1</v>
      </c>
    </row>
    <row r="8" spans="1:17" x14ac:dyDescent="0.25">
      <c r="B8" t="s">
        <v>17</v>
      </c>
      <c r="C8" t="s">
        <v>447</v>
      </c>
      <c r="D8" t="s">
        <v>448</v>
      </c>
      <c r="E8" t="s">
        <v>449</v>
      </c>
      <c r="F8" s="19">
        <v>8</v>
      </c>
      <c r="G8" s="19">
        <v>935</v>
      </c>
      <c r="H8" s="19">
        <v>25</v>
      </c>
      <c r="I8" s="19">
        <f>G8-H8</f>
        <v>910</v>
      </c>
      <c r="J8" t="s">
        <v>440</v>
      </c>
      <c r="K8" t="s">
        <v>22</v>
      </c>
      <c r="L8" t="s">
        <v>433</v>
      </c>
      <c r="Q8" s="19">
        <v>1</v>
      </c>
    </row>
    <row r="9" spans="1:17" x14ac:dyDescent="0.25">
      <c r="B9" t="s">
        <v>17</v>
      </c>
      <c r="C9" t="s">
        <v>450</v>
      </c>
      <c r="D9" t="s">
        <v>451</v>
      </c>
      <c r="E9" t="s">
        <v>452</v>
      </c>
      <c r="F9" t="s">
        <v>294</v>
      </c>
      <c r="G9" s="19">
        <v>675</v>
      </c>
      <c r="H9" s="19">
        <v>35</v>
      </c>
      <c r="I9" s="19">
        <f>G9-H9</f>
        <v>640</v>
      </c>
      <c r="J9" t="s">
        <v>440</v>
      </c>
      <c r="K9" t="s">
        <v>22</v>
      </c>
      <c r="L9" t="s">
        <v>433</v>
      </c>
      <c r="Q9" s="19">
        <v>1</v>
      </c>
    </row>
    <row r="10" spans="1:17" x14ac:dyDescent="0.25">
      <c r="B10" t="s">
        <v>17</v>
      </c>
      <c r="C10" t="s">
        <v>453</v>
      </c>
      <c r="D10" t="s">
        <v>454</v>
      </c>
      <c r="E10" t="s">
        <v>455</v>
      </c>
      <c r="F10" t="s">
        <v>44</v>
      </c>
      <c r="G10" s="19">
        <v>670</v>
      </c>
      <c r="H10" s="19">
        <v>30</v>
      </c>
      <c r="I10" s="19">
        <f>G10-H10</f>
        <v>640</v>
      </c>
      <c r="J10" t="s">
        <v>440</v>
      </c>
      <c r="K10" t="s">
        <v>22</v>
      </c>
      <c r="L10" t="s">
        <v>433</v>
      </c>
      <c r="Q10" s="19">
        <v>1</v>
      </c>
    </row>
    <row r="11" spans="1:17" x14ac:dyDescent="0.25">
      <c r="B11" t="s">
        <v>17</v>
      </c>
      <c r="C11" t="s">
        <v>456</v>
      </c>
      <c r="D11" t="s">
        <v>457</v>
      </c>
      <c r="E11" t="s">
        <v>458</v>
      </c>
      <c r="F11" s="19">
        <v>8</v>
      </c>
      <c r="G11" s="19">
        <v>0</v>
      </c>
      <c r="H11" s="19">
        <v>25</v>
      </c>
      <c r="I11" s="19">
        <f>-H11</f>
        <v>-25</v>
      </c>
      <c r="J11" t="s">
        <v>440</v>
      </c>
      <c r="K11" t="s">
        <v>22</v>
      </c>
      <c r="L11" t="s">
        <v>433</v>
      </c>
      <c r="Q11" s="19">
        <v>1</v>
      </c>
    </row>
    <row r="12" spans="1:17" x14ac:dyDescent="0.25">
      <c r="B12" t="s">
        <v>17</v>
      </c>
      <c r="C12" t="s">
        <v>459</v>
      </c>
      <c r="D12" t="s">
        <v>460</v>
      </c>
      <c r="E12" t="s">
        <v>461</v>
      </c>
      <c r="F12" s="19">
        <v>12</v>
      </c>
      <c r="G12" s="19">
        <v>410</v>
      </c>
      <c r="H12" s="19">
        <v>30</v>
      </c>
      <c r="I12" s="19">
        <f>G12-H12</f>
        <v>380</v>
      </c>
      <c r="J12" t="s">
        <v>440</v>
      </c>
      <c r="K12" t="s">
        <v>22</v>
      </c>
      <c r="L12" t="s">
        <v>433</v>
      </c>
      <c r="Q12" s="19">
        <v>1</v>
      </c>
    </row>
    <row r="13" spans="1:17" x14ac:dyDescent="0.25">
      <c r="B13" t="s">
        <v>17</v>
      </c>
      <c r="C13" t="s">
        <v>462</v>
      </c>
      <c r="D13" t="s">
        <v>463</v>
      </c>
      <c r="E13" t="s">
        <v>464</v>
      </c>
      <c r="F13" s="19">
        <v>7</v>
      </c>
      <c r="G13" s="19">
        <v>370</v>
      </c>
      <c r="H13" s="19">
        <v>30</v>
      </c>
      <c r="I13" s="19">
        <f>G13-H13</f>
        <v>340</v>
      </c>
      <c r="J13" t="s">
        <v>440</v>
      </c>
      <c r="K13" t="s">
        <v>22</v>
      </c>
      <c r="L13" t="s">
        <v>433</v>
      </c>
      <c r="Q13" s="19">
        <v>1</v>
      </c>
    </row>
    <row r="14" spans="1:17" x14ac:dyDescent="0.25">
      <c r="B14" t="s">
        <v>17</v>
      </c>
      <c r="C14" t="s">
        <v>465</v>
      </c>
      <c r="D14" t="s">
        <v>466</v>
      </c>
      <c r="E14" t="s">
        <v>467</v>
      </c>
      <c r="F14" s="19">
        <v>8</v>
      </c>
      <c r="G14" s="19">
        <v>1065</v>
      </c>
      <c r="H14" s="19">
        <v>25</v>
      </c>
      <c r="I14" s="19">
        <f>G14-H14</f>
        <v>1040</v>
      </c>
      <c r="J14" t="s">
        <v>440</v>
      </c>
      <c r="K14" t="s">
        <v>22</v>
      </c>
      <c r="L14" t="s">
        <v>433</v>
      </c>
      <c r="Q14" s="19">
        <v>1</v>
      </c>
    </row>
    <row r="15" spans="1:17" x14ac:dyDescent="0.25">
      <c r="B15" t="s">
        <v>17</v>
      </c>
      <c r="C15" t="s">
        <v>468</v>
      </c>
      <c r="D15" t="s">
        <v>469</v>
      </c>
      <c r="E15" t="s">
        <v>470</v>
      </c>
      <c r="F15" s="19">
        <v>11</v>
      </c>
      <c r="G15" s="19">
        <v>1695</v>
      </c>
      <c r="H15" s="19">
        <v>25</v>
      </c>
      <c r="I15" s="19">
        <f>G15-H15</f>
        <v>1670</v>
      </c>
      <c r="J15" t="s">
        <v>440</v>
      </c>
      <c r="K15" t="s">
        <v>22</v>
      </c>
      <c r="L15" t="s">
        <v>433</v>
      </c>
      <c r="Q15" s="19">
        <v>1</v>
      </c>
    </row>
    <row r="16" spans="1:17" x14ac:dyDescent="0.25">
      <c r="B16" t="s">
        <v>17</v>
      </c>
      <c r="C16" t="s">
        <v>471</v>
      </c>
      <c r="D16" t="s">
        <v>472</v>
      </c>
      <c r="E16" t="s">
        <v>473</v>
      </c>
      <c r="F16" s="19">
        <v>8</v>
      </c>
      <c r="G16" s="19">
        <v>605</v>
      </c>
      <c r="H16" s="19">
        <v>25</v>
      </c>
      <c r="I16" s="19">
        <f>G16-H16</f>
        <v>580</v>
      </c>
      <c r="J16" t="s">
        <v>440</v>
      </c>
      <c r="K16" t="s">
        <v>22</v>
      </c>
      <c r="L16" t="s">
        <v>433</v>
      </c>
      <c r="Q16" s="19">
        <v>1</v>
      </c>
    </row>
    <row r="17" spans="1:17" x14ac:dyDescent="0.25">
      <c r="B17" t="s">
        <v>17</v>
      </c>
      <c r="C17" t="s">
        <v>364</v>
      </c>
      <c r="D17" t="s">
        <v>474</v>
      </c>
      <c r="E17" t="s">
        <v>475</v>
      </c>
      <c r="F17" t="s">
        <v>44</v>
      </c>
      <c r="G17" s="19">
        <v>0</v>
      </c>
      <c r="H17" s="19">
        <v>30</v>
      </c>
      <c r="I17" s="19">
        <f>-H17</f>
        <v>-30</v>
      </c>
      <c r="J17" t="s">
        <v>440</v>
      </c>
      <c r="K17" t="s">
        <v>22</v>
      </c>
      <c r="L17" t="s">
        <v>433</v>
      </c>
      <c r="Q17" s="19">
        <v>1</v>
      </c>
    </row>
    <row r="18" spans="1:17" x14ac:dyDescent="0.25">
      <c r="B18" t="s">
        <v>17</v>
      </c>
      <c r="C18" t="s">
        <v>476</v>
      </c>
      <c r="D18" t="s">
        <v>477</v>
      </c>
      <c r="E18" t="s">
        <v>478</v>
      </c>
      <c r="F18" s="19" t="s">
        <v>201</v>
      </c>
      <c r="G18" s="19">
        <v>855</v>
      </c>
      <c r="H18" s="19">
        <v>35</v>
      </c>
      <c r="I18" s="19">
        <f>G18-H18</f>
        <v>820</v>
      </c>
      <c r="J18" t="s">
        <v>440</v>
      </c>
      <c r="K18" t="s">
        <v>22</v>
      </c>
      <c r="L18" t="s">
        <v>433</v>
      </c>
      <c r="Q18" s="19">
        <v>1</v>
      </c>
    </row>
    <row r="19" spans="1:17" x14ac:dyDescent="0.25">
      <c r="A19" t="s">
        <v>24</v>
      </c>
      <c r="B19" t="s">
        <v>17</v>
      </c>
      <c r="C19" t="s">
        <v>427</v>
      </c>
      <c r="E19" t="s">
        <v>479</v>
      </c>
      <c r="F19" t="s">
        <v>55</v>
      </c>
      <c r="G19" s="19">
        <v>30</v>
      </c>
      <c r="H19" s="19">
        <v>30</v>
      </c>
      <c r="I19" s="19">
        <f>G19-H19</f>
        <v>0</v>
      </c>
      <c r="J19" t="s">
        <v>440</v>
      </c>
      <c r="K19" t="s">
        <v>22</v>
      </c>
      <c r="L19" t="s">
        <v>433</v>
      </c>
      <c r="Q19" s="19">
        <v>1</v>
      </c>
    </row>
    <row r="20" spans="1:17" x14ac:dyDescent="0.25">
      <c r="B20" t="s">
        <v>17</v>
      </c>
      <c r="C20" t="s">
        <v>480</v>
      </c>
      <c r="D20" t="s">
        <v>481</v>
      </c>
      <c r="E20" t="s">
        <v>482</v>
      </c>
      <c r="F20" s="19">
        <v>12</v>
      </c>
      <c r="G20" s="19">
        <v>730</v>
      </c>
      <c r="H20" s="19">
        <v>30</v>
      </c>
      <c r="I20" s="19">
        <f>G20-H20</f>
        <v>700</v>
      </c>
      <c r="J20" t="s">
        <v>440</v>
      </c>
      <c r="K20" t="s">
        <v>22</v>
      </c>
      <c r="L20" t="s">
        <v>433</v>
      </c>
      <c r="Q20" s="19">
        <v>1</v>
      </c>
    </row>
    <row r="21" spans="1:17" x14ac:dyDescent="0.25">
      <c r="B21" t="s">
        <v>17</v>
      </c>
      <c r="C21" t="s">
        <v>483</v>
      </c>
      <c r="D21" t="s">
        <v>484</v>
      </c>
      <c r="E21" t="s">
        <v>485</v>
      </c>
      <c r="F21" s="19">
        <v>7</v>
      </c>
      <c r="G21" s="19">
        <v>850</v>
      </c>
      <c r="H21" s="19">
        <v>30</v>
      </c>
      <c r="I21" s="19">
        <f>G21-H21</f>
        <v>820</v>
      </c>
      <c r="J21" t="s">
        <v>440</v>
      </c>
      <c r="K21" t="s">
        <v>22</v>
      </c>
      <c r="L21" t="s">
        <v>433</v>
      </c>
      <c r="Q21" s="19">
        <v>1</v>
      </c>
    </row>
    <row r="22" spans="1:17" x14ac:dyDescent="0.25">
      <c r="B22" t="s">
        <v>17</v>
      </c>
      <c r="C22" t="s">
        <v>486</v>
      </c>
      <c r="D22" t="s">
        <v>487</v>
      </c>
      <c r="E22" t="s">
        <v>488</v>
      </c>
      <c r="F22" s="19">
        <v>7</v>
      </c>
      <c r="G22" s="19">
        <v>0</v>
      </c>
      <c r="H22" s="19">
        <v>30</v>
      </c>
      <c r="I22" s="19">
        <f>-H22</f>
        <v>-30</v>
      </c>
      <c r="J22" t="s">
        <v>440</v>
      </c>
      <c r="K22" t="s">
        <v>22</v>
      </c>
      <c r="L22" t="s">
        <v>433</v>
      </c>
      <c r="Q22" s="19">
        <v>1</v>
      </c>
    </row>
    <row r="23" spans="1:17" x14ac:dyDescent="0.25">
      <c r="B23" t="s">
        <v>17</v>
      </c>
      <c r="C23" t="s">
        <v>489</v>
      </c>
      <c r="D23" t="s">
        <v>490</v>
      </c>
      <c r="E23" t="s">
        <v>491</v>
      </c>
      <c r="F23" t="s">
        <v>44</v>
      </c>
      <c r="G23" s="19">
        <v>0</v>
      </c>
      <c r="H23" s="19">
        <v>30</v>
      </c>
      <c r="I23" s="19">
        <f>-H23</f>
        <v>-30</v>
      </c>
      <c r="J23" t="s">
        <v>440</v>
      </c>
      <c r="K23" t="s">
        <v>22</v>
      </c>
      <c r="L23" t="s">
        <v>433</v>
      </c>
      <c r="Q23" s="19">
        <v>1</v>
      </c>
    </row>
    <row r="24" spans="1:17" x14ac:dyDescent="0.25">
      <c r="B24" t="s">
        <v>17</v>
      </c>
      <c r="C24" t="s">
        <v>492</v>
      </c>
      <c r="D24" t="s">
        <v>493</v>
      </c>
      <c r="E24" t="s">
        <v>494</v>
      </c>
      <c r="F24" t="s">
        <v>55</v>
      </c>
      <c r="G24" s="19">
        <v>695</v>
      </c>
      <c r="H24" s="19">
        <v>25</v>
      </c>
      <c r="I24" s="19">
        <f>G24-H24</f>
        <v>670</v>
      </c>
      <c r="J24" t="s">
        <v>440</v>
      </c>
      <c r="K24" t="s">
        <v>22</v>
      </c>
      <c r="L24" t="s">
        <v>433</v>
      </c>
      <c r="Q24" s="19">
        <v>1</v>
      </c>
    </row>
    <row r="25" spans="1:17" x14ac:dyDescent="0.25">
      <c r="B25" t="s">
        <v>17</v>
      </c>
      <c r="C25" t="s">
        <v>495</v>
      </c>
      <c r="D25" t="s">
        <v>496</v>
      </c>
      <c r="E25" t="s">
        <v>497</v>
      </c>
      <c r="F25" t="s">
        <v>44</v>
      </c>
      <c r="G25" s="19">
        <v>50</v>
      </c>
      <c r="H25" s="19">
        <v>50</v>
      </c>
      <c r="I25" s="19">
        <f>G25-H25</f>
        <v>0</v>
      </c>
      <c r="J25" t="s">
        <v>440</v>
      </c>
      <c r="K25" t="s">
        <v>22</v>
      </c>
      <c r="L25" t="s">
        <v>433</v>
      </c>
      <c r="Q25" s="19">
        <v>1</v>
      </c>
    </row>
    <row r="26" spans="1:17" x14ac:dyDescent="0.25">
      <c r="B26" t="s">
        <v>17</v>
      </c>
      <c r="C26" t="s">
        <v>498</v>
      </c>
      <c r="D26" t="s">
        <v>499</v>
      </c>
      <c r="E26" t="s">
        <v>500</v>
      </c>
      <c r="F26" t="s">
        <v>44</v>
      </c>
      <c r="G26" s="19">
        <v>750</v>
      </c>
      <c r="H26" s="19">
        <v>30</v>
      </c>
      <c r="I26" s="19">
        <f>G26-H26</f>
        <v>720</v>
      </c>
      <c r="J26" t="s">
        <v>440</v>
      </c>
      <c r="K26" t="s">
        <v>22</v>
      </c>
      <c r="L26" t="s">
        <v>433</v>
      </c>
      <c r="Q26" s="19">
        <v>1</v>
      </c>
    </row>
    <row r="27" spans="1:17" x14ac:dyDescent="0.25">
      <c r="B27" t="s">
        <v>17</v>
      </c>
      <c r="C27" t="s">
        <v>501</v>
      </c>
      <c r="D27" t="s">
        <v>502</v>
      </c>
      <c r="E27" t="s">
        <v>503</v>
      </c>
      <c r="F27" s="19">
        <v>11</v>
      </c>
      <c r="G27" s="19">
        <v>0</v>
      </c>
      <c r="H27" s="19">
        <v>25</v>
      </c>
      <c r="I27" s="19">
        <f>-H27</f>
        <v>-25</v>
      </c>
      <c r="J27" t="s">
        <v>440</v>
      </c>
      <c r="K27" t="s">
        <v>22</v>
      </c>
      <c r="L27" t="s">
        <v>433</v>
      </c>
      <c r="Q27" s="19">
        <v>1</v>
      </c>
    </row>
    <row r="28" spans="1:17" x14ac:dyDescent="0.25">
      <c r="B28" t="s">
        <v>17</v>
      </c>
      <c r="C28" t="s">
        <v>504</v>
      </c>
      <c r="D28" t="s">
        <v>505</v>
      </c>
      <c r="E28" t="s">
        <v>506</v>
      </c>
      <c r="F28" s="19">
        <v>7</v>
      </c>
      <c r="G28" s="19">
        <v>0</v>
      </c>
      <c r="H28" s="19">
        <v>30</v>
      </c>
      <c r="I28" s="19">
        <f>-H28</f>
        <v>-30</v>
      </c>
      <c r="J28" t="s">
        <v>440</v>
      </c>
      <c r="K28" t="s">
        <v>22</v>
      </c>
      <c r="L28" t="s">
        <v>433</v>
      </c>
      <c r="Q28" s="19">
        <v>1</v>
      </c>
    </row>
    <row r="29" spans="1:17" x14ac:dyDescent="0.25">
      <c r="A29" t="s">
        <v>24</v>
      </c>
      <c r="B29" t="s">
        <v>17</v>
      </c>
      <c r="C29" t="s">
        <v>507</v>
      </c>
      <c r="E29" t="s">
        <v>32</v>
      </c>
      <c r="F29" s="19">
        <v>6</v>
      </c>
      <c r="G29" s="19">
        <v>0</v>
      </c>
      <c r="H29" s="19">
        <v>30</v>
      </c>
      <c r="I29" s="19">
        <f>-H29</f>
        <v>-30</v>
      </c>
      <c r="J29" t="s">
        <v>440</v>
      </c>
      <c r="K29" t="s">
        <v>22</v>
      </c>
      <c r="L29" t="s">
        <v>433</v>
      </c>
      <c r="Q29" s="19">
        <v>1</v>
      </c>
    </row>
    <row r="30" spans="1:17" x14ac:dyDescent="0.25">
      <c r="A30" t="s">
        <v>24</v>
      </c>
      <c r="B30" t="s">
        <v>17</v>
      </c>
      <c r="C30" t="s">
        <v>508</v>
      </c>
      <c r="E30" t="s">
        <v>509</v>
      </c>
      <c r="F30" s="19">
        <v>12</v>
      </c>
      <c r="G30" s="19">
        <v>645</v>
      </c>
      <c r="H30" s="19">
        <v>35</v>
      </c>
      <c r="I30" s="19">
        <f t="shared" ref="I30:I36" si="0">G30-H30</f>
        <v>610</v>
      </c>
      <c r="J30" t="s">
        <v>440</v>
      </c>
      <c r="K30" t="s">
        <v>22</v>
      </c>
      <c r="L30" t="s">
        <v>433</v>
      </c>
      <c r="Q30" s="19">
        <v>1</v>
      </c>
    </row>
    <row r="31" spans="1:17" x14ac:dyDescent="0.25">
      <c r="A31" t="s">
        <v>24</v>
      </c>
      <c r="B31" t="s">
        <v>17</v>
      </c>
      <c r="C31" t="s">
        <v>510</v>
      </c>
      <c r="E31" t="s">
        <v>511</v>
      </c>
      <c r="F31" s="19">
        <v>6</v>
      </c>
      <c r="G31" s="19">
        <v>850</v>
      </c>
      <c r="H31" s="19">
        <v>30</v>
      </c>
      <c r="I31" s="19">
        <f t="shared" si="0"/>
        <v>820</v>
      </c>
      <c r="J31" t="s">
        <v>440</v>
      </c>
      <c r="K31" t="s">
        <v>22</v>
      </c>
      <c r="L31" t="s">
        <v>433</v>
      </c>
      <c r="Q31" s="19">
        <v>1</v>
      </c>
    </row>
    <row r="32" spans="1:17" x14ac:dyDescent="0.25">
      <c r="A32" t="s">
        <v>24</v>
      </c>
      <c r="B32" t="s">
        <v>17</v>
      </c>
      <c r="C32" t="s">
        <v>512</v>
      </c>
      <c r="E32" t="s">
        <v>513</v>
      </c>
      <c r="F32" s="19">
        <v>6</v>
      </c>
      <c r="G32" s="19">
        <v>2425</v>
      </c>
      <c r="H32" s="19">
        <v>35</v>
      </c>
      <c r="I32" s="19">
        <f t="shared" si="0"/>
        <v>2390</v>
      </c>
      <c r="J32" t="s">
        <v>440</v>
      </c>
      <c r="K32" t="s">
        <v>22</v>
      </c>
      <c r="L32" t="s">
        <v>433</v>
      </c>
      <c r="Q32" s="19">
        <v>1</v>
      </c>
    </row>
    <row r="33" spans="2:17" x14ac:dyDescent="0.25">
      <c r="B33" t="s">
        <v>17</v>
      </c>
      <c r="C33" t="s">
        <v>514</v>
      </c>
      <c r="D33" t="s">
        <v>515</v>
      </c>
      <c r="E33" t="s">
        <v>516</v>
      </c>
      <c r="F33" t="s">
        <v>66</v>
      </c>
      <c r="G33" s="19">
        <v>40</v>
      </c>
      <c r="H33" s="19">
        <v>20</v>
      </c>
      <c r="I33" s="19">
        <f t="shared" si="0"/>
        <v>20</v>
      </c>
      <c r="J33" t="s">
        <v>22</v>
      </c>
      <c r="K33" t="s">
        <v>22</v>
      </c>
      <c r="L33" t="s">
        <v>433</v>
      </c>
      <c r="M33" t="s">
        <v>517</v>
      </c>
      <c r="Q33" s="19">
        <v>1</v>
      </c>
    </row>
    <row r="34" spans="2:17" x14ac:dyDescent="0.25">
      <c r="B34" t="s">
        <v>17</v>
      </c>
      <c r="C34" t="s">
        <v>518</v>
      </c>
      <c r="D34" t="s">
        <v>519</v>
      </c>
      <c r="E34" t="s">
        <v>520</v>
      </c>
      <c r="F34" t="s">
        <v>62</v>
      </c>
      <c r="G34" s="19">
        <v>935</v>
      </c>
      <c r="H34" s="19">
        <v>25</v>
      </c>
      <c r="I34" s="19">
        <f t="shared" si="0"/>
        <v>910</v>
      </c>
      <c r="J34" t="s">
        <v>22</v>
      </c>
      <c r="K34" t="s">
        <v>22</v>
      </c>
      <c r="L34" t="s">
        <v>433</v>
      </c>
      <c r="Q34" s="19">
        <v>1</v>
      </c>
    </row>
    <row r="35" spans="2:17" x14ac:dyDescent="0.25">
      <c r="B35" t="s">
        <v>17</v>
      </c>
      <c r="C35" t="s">
        <v>521</v>
      </c>
      <c r="D35" t="s">
        <v>522</v>
      </c>
      <c r="E35" t="s">
        <v>523</v>
      </c>
      <c r="F35" t="s">
        <v>66</v>
      </c>
      <c r="G35" s="19">
        <v>690</v>
      </c>
      <c r="H35" s="19">
        <v>20</v>
      </c>
      <c r="I35" s="19">
        <f t="shared" si="0"/>
        <v>670</v>
      </c>
      <c r="J35" t="s">
        <v>22</v>
      </c>
      <c r="K35" t="s">
        <v>22</v>
      </c>
      <c r="L35" t="s">
        <v>433</v>
      </c>
      <c r="Q35" s="19">
        <v>1</v>
      </c>
    </row>
    <row r="36" spans="2:17" x14ac:dyDescent="0.25">
      <c r="B36" t="s">
        <v>17</v>
      </c>
      <c r="C36" t="s">
        <v>524</v>
      </c>
      <c r="D36" t="s">
        <v>525</v>
      </c>
      <c r="E36" t="s">
        <v>526</v>
      </c>
      <c r="F36" t="s">
        <v>62</v>
      </c>
      <c r="G36" s="19">
        <v>1325</v>
      </c>
      <c r="H36" s="19">
        <v>25</v>
      </c>
      <c r="I36" s="19">
        <f t="shared" si="0"/>
        <v>1300</v>
      </c>
      <c r="J36" t="s">
        <v>22</v>
      </c>
      <c r="K36" t="s">
        <v>22</v>
      </c>
      <c r="L36" t="s">
        <v>433</v>
      </c>
      <c r="Q36" s="19">
        <v>1</v>
      </c>
    </row>
    <row r="37" spans="2:17" x14ac:dyDescent="0.25">
      <c r="B37" t="s">
        <v>17</v>
      </c>
      <c r="C37" t="s">
        <v>527</v>
      </c>
      <c r="D37" t="s">
        <v>528</v>
      </c>
      <c r="E37" t="s">
        <v>529</v>
      </c>
      <c r="F37" t="s">
        <v>62</v>
      </c>
      <c r="G37" s="19">
        <v>0</v>
      </c>
      <c r="H37" s="19">
        <v>25</v>
      </c>
      <c r="I37" s="19">
        <f>-H37</f>
        <v>-25</v>
      </c>
      <c r="J37" t="s">
        <v>22</v>
      </c>
      <c r="K37" t="s">
        <v>22</v>
      </c>
      <c r="L37" t="s">
        <v>433</v>
      </c>
      <c r="Q37" s="19">
        <v>1</v>
      </c>
    </row>
    <row r="38" spans="2:17" x14ac:dyDescent="0.25">
      <c r="B38" t="s">
        <v>17</v>
      </c>
      <c r="C38" t="s">
        <v>530</v>
      </c>
      <c r="D38" t="s">
        <v>531</v>
      </c>
      <c r="E38" t="s">
        <v>532</v>
      </c>
      <c r="F38" t="s">
        <v>51</v>
      </c>
      <c r="G38" s="19">
        <v>875</v>
      </c>
      <c r="H38" s="19">
        <v>25</v>
      </c>
      <c r="I38" s="19">
        <f>G38-H38</f>
        <v>850</v>
      </c>
      <c r="J38" t="s">
        <v>22</v>
      </c>
      <c r="K38" t="s">
        <v>22</v>
      </c>
      <c r="L38" t="s">
        <v>433</v>
      </c>
      <c r="Q38" s="19">
        <v>1</v>
      </c>
    </row>
    <row r="39" spans="2:17" x14ac:dyDescent="0.25">
      <c r="B39" t="s">
        <v>17</v>
      </c>
      <c r="C39" t="s">
        <v>533</v>
      </c>
      <c r="D39" t="s">
        <v>534</v>
      </c>
      <c r="E39" t="s">
        <v>535</v>
      </c>
      <c r="F39" t="s">
        <v>66</v>
      </c>
      <c r="G39" s="19">
        <v>810</v>
      </c>
      <c r="H39" s="19">
        <v>20</v>
      </c>
      <c r="I39" s="19">
        <f>G39-H39</f>
        <v>790</v>
      </c>
      <c r="J39" t="s">
        <v>22</v>
      </c>
      <c r="K39" t="s">
        <v>22</v>
      </c>
      <c r="L39" t="s">
        <v>433</v>
      </c>
      <c r="Q39" s="19">
        <v>1</v>
      </c>
    </row>
    <row r="40" spans="2:17" x14ac:dyDescent="0.25">
      <c r="B40" t="s">
        <v>17</v>
      </c>
      <c r="C40" t="s">
        <v>536</v>
      </c>
      <c r="D40" t="s">
        <v>537</v>
      </c>
      <c r="E40" t="s">
        <v>538</v>
      </c>
      <c r="F40" t="s">
        <v>66</v>
      </c>
      <c r="G40" s="19">
        <v>0</v>
      </c>
      <c r="H40" s="19">
        <v>20</v>
      </c>
      <c r="I40" s="19">
        <f>-H40</f>
        <v>-20</v>
      </c>
      <c r="J40" t="s">
        <v>22</v>
      </c>
      <c r="K40" t="s">
        <v>22</v>
      </c>
      <c r="L40" t="s">
        <v>433</v>
      </c>
      <c r="Q40" s="19">
        <v>1</v>
      </c>
    </row>
    <row r="41" spans="2:17" x14ac:dyDescent="0.25">
      <c r="B41" t="s">
        <v>17</v>
      </c>
      <c r="C41" t="s">
        <v>539</v>
      </c>
      <c r="D41" t="s">
        <v>540</v>
      </c>
      <c r="E41" t="s">
        <v>541</v>
      </c>
      <c r="F41" s="19">
        <v>2</v>
      </c>
      <c r="G41" s="19">
        <v>870</v>
      </c>
      <c r="H41" s="19">
        <v>30</v>
      </c>
      <c r="I41" s="19">
        <f>G41-H41</f>
        <v>840</v>
      </c>
      <c r="J41" t="s">
        <v>22</v>
      </c>
      <c r="K41" t="s">
        <v>22</v>
      </c>
      <c r="L41" t="s">
        <v>433</v>
      </c>
      <c r="Q41" s="19">
        <v>1</v>
      </c>
    </row>
    <row r="42" spans="2:17" x14ac:dyDescent="0.25">
      <c r="B42" t="s">
        <v>17</v>
      </c>
      <c r="C42" t="s">
        <v>358</v>
      </c>
      <c r="D42" t="s">
        <v>542</v>
      </c>
      <c r="E42" t="s">
        <v>543</v>
      </c>
      <c r="F42" t="s">
        <v>62</v>
      </c>
      <c r="G42" s="19">
        <v>605</v>
      </c>
      <c r="H42" s="19">
        <v>25</v>
      </c>
      <c r="I42" s="19">
        <f>G42-H42</f>
        <v>580</v>
      </c>
      <c r="J42" t="s">
        <v>22</v>
      </c>
      <c r="K42" t="s">
        <v>22</v>
      </c>
      <c r="L42" t="s">
        <v>433</v>
      </c>
      <c r="Q42" s="19">
        <v>1</v>
      </c>
    </row>
    <row r="43" spans="2:17" x14ac:dyDescent="0.25">
      <c r="B43" t="s">
        <v>17</v>
      </c>
      <c r="C43" t="s">
        <v>544</v>
      </c>
      <c r="D43" t="s">
        <v>545</v>
      </c>
      <c r="E43" t="s">
        <v>546</v>
      </c>
      <c r="F43" t="s">
        <v>66</v>
      </c>
      <c r="G43" s="19">
        <v>1570</v>
      </c>
      <c r="H43" s="19">
        <v>20</v>
      </c>
      <c r="I43" s="19">
        <f>G43-H43</f>
        <v>1550</v>
      </c>
      <c r="J43" t="s">
        <v>22</v>
      </c>
      <c r="K43" t="s">
        <v>22</v>
      </c>
      <c r="L43" t="s">
        <v>433</v>
      </c>
      <c r="Q43" s="19">
        <v>1</v>
      </c>
    </row>
    <row r="44" spans="2:17" x14ac:dyDescent="0.25">
      <c r="B44" t="s">
        <v>17</v>
      </c>
      <c r="C44" t="s">
        <v>547</v>
      </c>
      <c r="D44" t="s">
        <v>548</v>
      </c>
      <c r="E44" t="s">
        <v>549</v>
      </c>
      <c r="F44" t="s">
        <v>310</v>
      </c>
      <c r="G44" s="19">
        <v>0</v>
      </c>
      <c r="H44" s="19">
        <v>30</v>
      </c>
      <c r="I44" s="19">
        <f>-H44</f>
        <v>-30</v>
      </c>
      <c r="J44" t="s">
        <v>22</v>
      </c>
      <c r="K44" t="s">
        <v>22</v>
      </c>
      <c r="L44" t="s">
        <v>433</v>
      </c>
      <c r="Q44" s="19">
        <v>1</v>
      </c>
    </row>
    <row r="45" spans="2:17" x14ac:dyDescent="0.25">
      <c r="B45" t="s">
        <v>17</v>
      </c>
      <c r="C45" t="s">
        <v>550</v>
      </c>
      <c r="D45" t="s">
        <v>551</v>
      </c>
      <c r="E45" t="s">
        <v>552</v>
      </c>
      <c r="F45" t="s">
        <v>62</v>
      </c>
      <c r="G45" s="19">
        <v>1855</v>
      </c>
      <c r="H45" s="19">
        <v>25</v>
      </c>
      <c r="I45" s="19">
        <f>G45-H45</f>
        <v>1830</v>
      </c>
      <c r="J45" t="s">
        <v>22</v>
      </c>
      <c r="K45" t="s">
        <v>22</v>
      </c>
      <c r="L45" t="s">
        <v>433</v>
      </c>
      <c r="Q45" s="19">
        <v>1</v>
      </c>
    </row>
    <row r="46" spans="2:17" x14ac:dyDescent="0.25">
      <c r="B46" t="s">
        <v>17</v>
      </c>
      <c r="C46" t="s">
        <v>553</v>
      </c>
      <c r="D46" t="s">
        <v>554</v>
      </c>
      <c r="E46" t="s">
        <v>555</v>
      </c>
      <c r="F46" t="s">
        <v>51</v>
      </c>
      <c r="G46" s="19">
        <v>605</v>
      </c>
      <c r="H46" s="19">
        <v>25</v>
      </c>
      <c r="I46" s="19">
        <f>G46-H46</f>
        <v>580</v>
      </c>
      <c r="J46" t="s">
        <v>22</v>
      </c>
      <c r="K46" t="s">
        <v>22</v>
      </c>
      <c r="L46" t="s">
        <v>433</v>
      </c>
      <c r="Q46" s="19">
        <v>1</v>
      </c>
    </row>
    <row r="47" spans="2:17" x14ac:dyDescent="0.25">
      <c r="B47" t="s">
        <v>17</v>
      </c>
      <c r="C47" t="s">
        <v>63</v>
      </c>
      <c r="D47" t="s">
        <v>556</v>
      </c>
      <c r="E47" t="s">
        <v>65</v>
      </c>
      <c r="F47" t="s">
        <v>66</v>
      </c>
      <c r="G47" s="19">
        <v>0</v>
      </c>
      <c r="H47" s="19">
        <v>20</v>
      </c>
      <c r="I47" s="19">
        <f>-H47</f>
        <v>-20</v>
      </c>
      <c r="J47" t="s">
        <v>22</v>
      </c>
      <c r="K47" t="s">
        <v>22</v>
      </c>
      <c r="L47" t="s">
        <v>433</v>
      </c>
      <c r="Q47" s="19">
        <v>1</v>
      </c>
    </row>
    <row r="48" spans="2:17" x14ac:dyDescent="0.25">
      <c r="B48" t="s">
        <v>17</v>
      </c>
      <c r="C48" t="s">
        <v>557</v>
      </c>
      <c r="D48" t="s">
        <v>558</v>
      </c>
      <c r="E48" t="s">
        <v>559</v>
      </c>
      <c r="F48" t="s">
        <v>310</v>
      </c>
      <c r="G48" s="19">
        <v>760</v>
      </c>
      <c r="H48" s="19">
        <v>30</v>
      </c>
      <c r="I48" s="19">
        <f>G48-H48</f>
        <v>730</v>
      </c>
      <c r="J48" t="s">
        <v>22</v>
      </c>
      <c r="K48" t="s">
        <v>22</v>
      </c>
      <c r="L48" t="s">
        <v>433</v>
      </c>
      <c r="Q48" s="19">
        <v>1</v>
      </c>
    </row>
    <row r="49" spans="1:17" x14ac:dyDescent="0.25">
      <c r="A49" t="s">
        <v>24</v>
      </c>
      <c r="B49" t="s">
        <v>17</v>
      </c>
      <c r="C49" t="s">
        <v>560</v>
      </c>
      <c r="E49" t="s">
        <v>561</v>
      </c>
      <c r="F49" t="s">
        <v>51</v>
      </c>
      <c r="G49" s="19">
        <v>960</v>
      </c>
      <c r="H49" s="19">
        <v>30</v>
      </c>
      <c r="I49" s="19">
        <f>G49-H49</f>
        <v>930</v>
      </c>
      <c r="J49" t="s">
        <v>22</v>
      </c>
      <c r="K49" t="s">
        <v>22</v>
      </c>
      <c r="L49" t="s">
        <v>433</v>
      </c>
      <c r="Q49" s="19">
        <v>1</v>
      </c>
    </row>
    <row r="50" spans="1:17" x14ac:dyDescent="0.25">
      <c r="A50" t="s">
        <v>24</v>
      </c>
      <c r="B50" t="s">
        <v>17</v>
      </c>
      <c r="C50" t="s">
        <v>152</v>
      </c>
      <c r="E50" t="s">
        <v>153</v>
      </c>
      <c r="F50" t="s">
        <v>62</v>
      </c>
      <c r="G50" s="19">
        <v>30</v>
      </c>
      <c r="H50" s="19">
        <v>30</v>
      </c>
      <c r="I50" s="19">
        <f>G50-H50</f>
        <v>0</v>
      </c>
      <c r="J50" t="s">
        <v>22</v>
      </c>
      <c r="K50" t="s">
        <v>22</v>
      </c>
      <c r="L50" t="s">
        <v>433</v>
      </c>
      <c r="Q50" s="19">
        <v>1</v>
      </c>
    </row>
    <row r="51" spans="1:17" x14ac:dyDescent="0.25">
      <c r="A51" t="s">
        <v>24</v>
      </c>
      <c r="B51" t="s">
        <v>17</v>
      </c>
      <c r="C51" t="s">
        <v>70</v>
      </c>
      <c r="E51" t="s">
        <v>233</v>
      </c>
      <c r="F51" t="s">
        <v>62</v>
      </c>
      <c r="G51" s="19">
        <v>7090</v>
      </c>
      <c r="H51" s="19">
        <v>30</v>
      </c>
      <c r="I51" s="19">
        <f>G51-H51</f>
        <v>7060</v>
      </c>
      <c r="J51" t="s">
        <v>22</v>
      </c>
      <c r="K51" t="s">
        <v>22</v>
      </c>
      <c r="L51" t="s">
        <v>433</v>
      </c>
      <c r="Q51" s="19">
        <v>1</v>
      </c>
    </row>
    <row r="52" spans="1:17" x14ac:dyDescent="0.25">
      <c r="A52" t="s">
        <v>24</v>
      </c>
      <c r="B52" t="s">
        <v>17</v>
      </c>
      <c r="C52" t="s">
        <v>562</v>
      </c>
      <c r="E52" t="s">
        <v>563</v>
      </c>
      <c r="F52" t="s">
        <v>310</v>
      </c>
      <c r="G52" s="19">
        <v>995</v>
      </c>
      <c r="H52" s="19">
        <v>35</v>
      </c>
      <c r="I52" s="19">
        <f>G52-H52</f>
        <v>960</v>
      </c>
      <c r="J52" t="s">
        <v>22</v>
      </c>
      <c r="K52" t="s">
        <v>22</v>
      </c>
      <c r="L52" t="s">
        <v>433</v>
      </c>
      <c r="Q52" s="19">
        <v>1</v>
      </c>
    </row>
    <row r="53" spans="1:17" x14ac:dyDescent="0.25">
      <c r="B53" t="s">
        <v>17</v>
      </c>
      <c r="C53" t="s">
        <v>564</v>
      </c>
      <c r="D53" t="s">
        <v>565</v>
      </c>
      <c r="E53" t="s">
        <v>566</v>
      </c>
      <c r="F53" s="19">
        <v>3</v>
      </c>
      <c r="G53" s="19">
        <v>0</v>
      </c>
      <c r="H53" s="19">
        <v>25</v>
      </c>
      <c r="I53" s="19">
        <f>-H53</f>
        <v>-25</v>
      </c>
      <c r="J53" t="s">
        <v>79</v>
      </c>
      <c r="K53" t="s">
        <v>22</v>
      </c>
      <c r="L53" t="s">
        <v>433</v>
      </c>
      <c r="Q53" s="19">
        <v>1</v>
      </c>
    </row>
    <row r="54" spans="1:17" x14ac:dyDescent="0.25">
      <c r="B54" t="s">
        <v>17</v>
      </c>
      <c r="C54" t="s">
        <v>315</v>
      </c>
      <c r="D54" t="s">
        <v>567</v>
      </c>
      <c r="E54" t="s">
        <v>568</v>
      </c>
      <c r="F54" s="19">
        <v>1</v>
      </c>
      <c r="G54" s="19">
        <v>865</v>
      </c>
      <c r="H54" s="19">
        <v>25</v>
      </c>
      <c r="I54" s="19">
        <f t="shared" ref="I54:I65" si="1">G54-H54</f>
        <v>840</v>
      </c>
      <c r="J54" t="s">
        <v>79</v>
      </c>
      <c r="K54" t="s">
        <v>22</v>
      </c>
      <c r="L54" t="s">
        <v>433</v>
      </c>
      <c r="Q54" s="19">
        <v>1</v>
      </c>
    </row>
    <row r="55" spans="1:17" x14ac:dyDescent="0.25">
      <c r="B55" t="s">
        <v>17</v>
      </c>
      <c r="C55" t="s">
        <v>569</v>
      </c>
      <c r="D55" t="s">
        <v>570</v>
      </c>
      <c r="E55" t="s">
        <v>571</v>
      </c>
      <c r="F55" t="s">
        <v>51</v>
      </c>
      <c r="G55" s="19">
        <v>1635</v>
      </c>
      <c r="H55" s="19">
        <v>25</v>
      </c>
      <c r="I55" s="19">
        <f t="shared" si="1"/>
        <v>1610</v>
      </c>
      <c r="J55" t="s">
        <v>79</v>
      </c>
      <c r="K55" t="s">
        <v>22</v>
      </c>
      <c r="L55" t="s">
        <v>433</v>
      </c>
      <c r="Q55" s="19">
        <v>1</v>
      </c>
    </row>
    <row r="56" spans="1:17" x14ac:dyDescent="0.25">
      <c r="B56" t="s">
        <v>17</v>
      </c>
      <c r="C56" t="s">
        <v>572</v>
      </c>
      <c r="D56" t="s">
        <v>573</v>
      </c>
      <c r="E56" t="s">
        <v>574</v>
      </c>
      <c r="F56" t="s">
        <v>51</v>
      </c>
      <c r="G56" s="19">
        <v>645</v>
      </c>
      <c r="H56" s="19">
        <v>25</v>
      </c>
      <c r="I56" s="19">
        <f t="shared" si="1"/>
        <v>620</v>
      </c>
      <c r="J56" t="s">
        <v>79</v>
      </c>
      <c r="K56" t="s">
        <v>22</v>
      </c>
      <c r="L56" t="s">
        <v>433</v>
      </c>
      <c r="Q56" s="19">
        <v>1</v>
      </c>
    </row>
    <row r="57" spans="1:17" x14ac:dyDescent="0.25">
      <c r="B57" t="s">
        <v>17</v>
      </c>
      <c r="C57" t="s">
        <v>575</v>
      </c>
      <c r="D57" t="s">
        <v>576</v>
      </c>
      <c r="E57" t="s">
        <v>577</v>
      </c>
      <c r="F57" s="19">
        <v>5</v>
      </c>
      <c r="G57" s="19">
        <v>605</v>
      </c>
      <c r="H57" s="19">
        <v>25</v>
      </c>
      <c r="I57" s="19">
        <f t="shared" si="1"/>
        <v>580</v>
      </c>
      <c r="J57" t="s">
        <v>79</v>
      </c>
      <c r="K57" t="s">
        <v>22</v>
      </c>
      <c r="L57" t="s">
        <v>433</v>
      </c>
      <c r="Q57" s="19">
        <v>1</v>
      </c>
    </row>
    <row r="58" spans="1:17" x14ac:dyDescent="0.25">
      <c r="B58" t="s">
        <v>17</v>
      </c>
      <c r="C58" t="s">
        <v>578</v>
      </c>
      <c r="D58" t="s">
        <v>579</v>
      </c>
      <c r="E58" t="s">
        <v>580</v>
      </c>
      <c r="F58" s="19">
        <v>4</v>
      </c>
      <c r="G58" s="19">
        <v>735</v>
      </c>
      <c r="H58" s="19">
        <v>25</v>
      </c>
      <c r="I58" s="19">
        <f t="shared" si="1"/>
        <v>710</v>
      </c>
      <c r="J58" t="s">
        <v>79</v>
      </c>
      <c r="K58" t="s">
        <v>22</v>
      </c>
      <c r="L58" t="s">
        <v>433</v>
      </c>
      <c r="Q58" s="19">
        <v>1</v>
      </c>
    </row>
    <row r="59" spans="1:17" x14ac:dyDescent="0.25">
      <c r="B59" t="s">
        <v>17</v>
      </c>
      <c r="C59" t="s">
        <v>581</v>
      </c>
      <c r="D59" t="s">
        <v>582</v>
      </c>
      <c r="E59" t="s">
        <v>583</v>
      </c>
      <c r="F59" s="19">
        <v>10</v>
      </c>
      <c r="G59" s="19">
        <v>945</v>
      </c>
      <c r="H59" s="19">
        <v>25</v>
      </c>
      <c r="I59" s="19">
        <f t="shared" si="1"/>
        <v>920</v>
      </c>
      <c r="J59" t="s">
        <v>79</v>
      </c>
      <c r="K59" t="s">
        <v>22</v>
      </c>
      <c r="L59" t="s">
        <v>433</v>
      </c>
      <c r="Q59" s="19">
        <v>1</v>
      </c>
    </row>
    <row r="60" spans="1:17" x14ac:dyDescent="0.25">
      <c r="B60" t="s">
        <v>17</v>
      </c>
      <c r="C60" t="s">
        <v>584</v>
      </c>
      <c r="D60" t="s">
        <v>585</v>
      </c>
      <c r="E60" t="s">
        <v>586</v>
      </c>
      <c r="F60" s="19">
        <v>3</v>
      </c>
      <c r="G60" s="19">
        <v>935</v>
      </c>
      <c r="H60" s="19">
        <v>25</v>
      </c>
      <c r="I60" s="19">
        <f t="shared" si="1"/>
        <v>910</v>
      </c>
      <c r="J60" t="s">
        <v>79</v>
      </c>
      <c r="K60" t="s">
        <v>22</v>
      </c>
      <c r="L60" t="s">
        <v>433</v>
      </c>
      <c r="Q60" s="19">
        <v>1</v>
      </c>
    </row>
    <row r="61" spans="1:17" x14ac:dyDescent="0.25">
      <c r="B61" t="s">
        <v>17</v>
      </c>
      <c r="C61" t="s">
        <v>587</v>
      </c>
      <c r="D61" t="s">
        <v>588</v>
      </c>
      <c r="E61" t="s">
        <v>589</v>
      </c>
      <c r="F61" t="s">
        <v>51</v>
      </c>
      <c r="G61" s="19">
        <v>1765</v>
      </c>
      <c r="H61" s="19">
        <v>25</v>
      </c>
      <c r="I61" s="19">
        <f t="shared" si="1"/>
        <v>1740</v>
      </c>
      <c r="J61" t="s">
        <v>79</v>
      </c>
      <c r="K61" t="s">
        <v>22</v>
      </c>
      <c r="L61" t="s">
        <v>433</v>
      </c>
      <c r="Q61" s="19">
        <v>1</v>
      </c>
    </row>
    <row r="62" spans="1:17" x14ac:dyDescent="0.25">
      <c r="B62" t="s">
        <v>17</v>
      </c>
      <c r="C62" t="s">
        <v>590</v>
      </c>
      <c r="D62" t="s">
        <v>591</v>
      </c>
      <c r="E62" t="s">
        <v>592</v>
      </c>
      <c r="F62" s="19">
        <v>3</v>
      </c>
      <c r="G62" s="19">
        <v>845</v>
      </c>
      <c r="H62" s="19">
        <v>25</v>
      </c>
      <c r="I62" s="19">
        <f t="shared" si="1"/>
        <v>820</v>
      </c>
      <c r="J62" t="s">
        <v>79</v>
      </c>
      <c r="K62" t="s">
        <v>22</v>
      </c>
      <c r="L62" t="s">
        <v>433</v>
      </c>
      <c r="Q62" s="19">
        <v>1</v>
      </c>
    </row>
    <row r="63" spans="1:17" x14ac:dyDescent="0.25">
      <c r="B63" t="s">
        <v>17</v>
      </c>
      <c r="C63" t="s">
        <v>593</v>
      </c>
      <c r="D63" t="s">
        <v>594</v>
      </c>
      <c r="E63" t="s">
        <v>595</v>
      </c>
      <c r="F63" s="19">
        <v>10</v>
      </c>
      <c r="G63" s="19">
        <v>1535</v>
      </c>
      <c r="H63" s="19">
        <v>25</v>
      </c>
      <c r="I63" s="19">
        <f t="shared" si="1"/>
        <v>1510</v>
      </c>
      <c r="J63" t="s">
        <v>79</v>
      </c>
      <c r="K63" t="s">
        <v>22</v>
      </c>
      <c r="L63" t="s">
        <v>433</v>
      </c>
      <c r="Q63" s="19">
        <v>1</v>
      </c>
    </row>
    <row r="64" spans="1:17" x14ac:dyDescent="0.25">
      <c r="B64" t="s">
        <v>17</v>
      </c>
      <c r="C64" t="s">
        <v>596</v>
      </c>
      <c r="D64" t="s">
        <v>597</v>
      </c>
      <c r="E64" t="s">
        <v>598</v>
      </c>
      <c r="F64" t="s">
        <v>51</v>
      </c>
      <c r="G64" s="19">
        <v>605</v>
      </c>
      <c r="H64" s="19">
        <v>25</v>
      </c>
      <c r="I64" s="19">
        <f t="shared" si="1"/>
        <v>580</v>
      </c>
      <c r="J64" t="s">
        <v>79</v>
      </c>
      <c r="K64" t="s">
        <v>22</v>
      </c>
      <c r="L64" t="s">
        <v>433</v>
      </c>
      <c r="Q64" s="19">
        <v>1</v>
      </c>
    </row>
    <row r="65" spans="1:17" x14ac:dyDescent="0.25">
      <c r="B65" t="s">
        <v>17</v>
      </c>
      <c r="C65" t="s">
        <v>599</v>
      </c>
      <c r="D65" t="s">
        <v>600</v>
      </c>
      <c r="E65" t="s">
        <v>601</v>
      </c>
      <c r="F65" s="19">
        <v>1</v>
      </c>
      <c r="G65" s="19">
        <v>605</v>
      </c>
      <c r="H65" s="19">
        <v>25</v>
      </c>
      <c r="I65" s="19">
        <f t="shared" si="1"/>
        <v>580</v>
      </c>
      <c r="J65" t="s">
        <v>79</v>
      </c>
      <c r="K65" t="s">
        <v>22</v>
      </c>
      <c r="L65" t="s">
        <v>433</v>
      </c>
      <c r="Q65" s="19">
        <v>1</v>
      </c>
    </row>
    <row r="66" spans="1:17" x14ac:dyDescent="0.25">
      <c r="B66" t="s">
        <v>17</v>
      </c>
      <c r="C66" t="s">
        <v>602</v>
      </c>
      <c r="D66" t="s">
        <v>603</v>
      </c>
      <c r="E66" t="s">
        <v>604</v>
      </c>
      <c r="F66" t="s">
        <v>51</v>
      </c>
      <c r="G66" s="19">
        <v>0</v>
      </c>
      <c r="H66" s="19">
        <v>25</v>
      </c>
      <c r="I66" s="19">
        <f>-H66</f>
        <v>-25</v>
      </c>
      <c r="J66" t="s">
        <v>79</v>
      </c>
      <c r="K66" t="s">
        <v>22</v>
      </c>
      <c r="L66" t="s">
        <v>433</v>
      </c>
      <c r="Q66" s="19">
        <v>1</v>
      </c>
    </row>
    <row r="67" spans="1:17" x14ac:dyDescent="0.25">
      <c r="B67" t="s">
        <v>17</v>
      </c>
      <c r="C67" t="s">
        <v>465</v>
      </c>
      <c r="D67" t="s">
        <v>605</v>
      </c>
      <c r="E67" t="s">
        <v>606</v>
      </c>
      <c r="F67" s="19">
        <v>5</v>
      </c>
      <c r="G67" s="19">
        <v>845</v>
      </c>
      <c r="H67" s="19">
        <v>25</v>
      </c>
      <c r="I67" s="19">
        <f>G67-H67</f>
        <v>820</v>
      </c>
      <c r="J67" t="s">
        <v>79</v>
      </c>
      <c r="K67" t="s">
        <v>22</v>
      </c>
      <c r="L67" t="s">
        <v>433</v>
      </c>
      <c r="Q67" s="19">
        <v>1</v>
      </c>
    </row>
    <row r="68" spans="1:17" x14ac:dyDescent="0.25">
      <c r="B68" t="s">
        <v>17</v>
      </c>
      <c r="C68" t="s">
        <v>607</v>
      </c>
      <c r="D68" t="s">
        <v>608</v>
      </c>
      <c r="E68" t="s">
        <v>609</v>
      </c>
      <c r="F68" s="19">
        <v>4</v>
      </c>
      <c r="G68" s="19">
        <v>0</v>
      </c>
      <c r="H68" s="19">
        <v>25</v>
      </c>
      <c r="I68" s="19">
        <f>-H68</f>
        <v>-25</v>
      </c>
      <c r="J68" t="s">
        <v>79</v>
      </c>
      <c r="K68" t="s">
        <v>22</v>
      </c>
      <c r="L68" t="s">
        <v>433</v>
      </c>
      <c r="Q68" s="19">
        <v>1</v>
      </c>
    </row>
    <row r="69" spans="1:17" x14ac:dyDescent="0.25">
      <c r="B69" t="s">
        <v>17</v>
      </c>
      <c r="C69" t="s">
        <v>610</v>
      </c>
      <c r="D69" t="s">
        <v>611</v>
      </c>
      <c r="E69" t="s">
        <v>612</v>
      </c>
      <c r="F69" s="19">
        <v>1</v>
      </c>
      <c r="G69" s="19">
        <v>785</v>
      </c>
      <c r="H69" s="19">
        <v>25</v>
      </c>
      <c r="I69" s="19">
        <f>G69-H69</f>
        <v>760</v>
      </c>
      <c r="J69" t="s">
        <v>79</v>
      </c>
      <c r="K69" t="s">
        <v>22</v>
      </c>
      <c r="L69" t="s">
        <v>433</v>
      </c>
      <c r="Q69" s="19">
        <v>1</v>
      </c>
    </row>
    <row r="70" spans="1:17" x14ac:dyDescent="0.25">
      <c r="B70" t="s">
        <v>17</v>
      </c>
      <c r="C70" t="s">
        <v>613</v>
      </c>
      <c r="D70" t="s">
        <v>614</v>
      </c>
      <c r="E70" t="s">
        <v>615</v>
      </c>
      <c r="F70" s="19">
        <v>4</v>
      </c>
      <c r="G70" s="19">
        <v>785</v>
      </c>
      <c r="H70" s="19">
        <v>25</v>
      </c>
      <c r="I70" s="19">
        <f>G70-H70</f>
        <v>760</v>
      </c>
      <c r="J70" t="s">
        <v>79</v>
      </c>
      <c r="K70" t="s">
        <v>22</v>
      </c>
      <c r="L70" t="s">
        <v>433</v>
      </c>
      <c r="Q70" s="19">
        <v>1</v>
      </c>
    </row>
    <row r="71" spans="1:17" x14ac:dyDescent="0.25">
      <c r="B71" t="s">
        <v>17</v>
      </c>
      <c r="C71" t="s">
        <v>616</v>
      </c>
      <c r="D71" t="s">
        <v>617</v>
      </c>
      <c r="E71" t="s">
        <v>618</v>
      </c>
      <c r="F71" s="19">
        <v>3</v>
      </c>
      <c r="G71" s="19">
        <v>2340</v>
      </c>
      <c r="H71" s="19">
        <v>30</v>
      </c>
      <c r="I71" s="19">
        <f>G71-H71</f>
        <v>2310</v>
      </c>
      <c r="J71" t="s">
        <v>79</v>
      </c>
      <c r="K71" t="s">
        <v>22</v>
      </c>
      <c r="L71" t="s">
        <v>433</v>
      </c>
      <c r="M71" t="s">
        <v>517</v>
      </c>
      <c r="Q71" s="19">
        <v>1</v>
      </c>
    </row>
    <row r="72" spans="1:17" x14ac:dyDescent="0.25">
      <c r="B72" t="s">
        <v>17</v>
      </c>
      <c r="C72" t="s">
        <v>230</v>
      </c>
      <c r="D72" t="s">
        <v>619</v>
      </c>
      <c r="E72" t="s">
        <v>620</v>
      </c>
      <c r="F72" s="19">
        <v>4</v>
      </c>
      <c r="G72" s="19">
        <v>765</v>
      </c>
      <c r="H72" s="19">
        <v>25</v>
      </c>
      <c r="I72" s="19">
        <f>G72-H72</f>
        <v>740</v>
      </c>
      <c r="J72" t="s">
        <v>79</v>
      </c>
      <c r="K72" t="s">
        <v>22</v>
      </c>
      <c r="L72" t="s">
        <v>433</v>
      </c>
      <c r="Q72" s="19">
        <v>1</v>
      </c>
    </row>
    <row r="73" spans="1:17" x14ac:dyDescent="0.25">
      <c r="B73" t="s">
        <v>17</v>
      </c>
      <c r="C73" t="s">
        <v>621</v>
      </c>
      <c r="D73" t="s">
        <v>622</v>
      </c>
      <c r="E73" t="s">
        <v>623</v>
      </c>
      <c r="F73" t="s">
        <v>51</v>
      </c>
      <c r="G73" s="19">
        <v>0</v>
      </c>
      <c r="H73" s="19">
        <v>25</v>
      </c>
      <c r="I73" s="19">
        <f>-H73</f>
        <v>-25</v>
      </c>
      <c r="J73" t="s">
        <v>79</v>
      </c>
      <c r="K73" t="s">
        <v>22</v>
      </c>
      <c r="L73" t="s">
        <v>433</v>
      </c>
      <c r="Q73" s="19">
        <v>1</v>
      </c>
    </row>
    <row r="74" spans="1:17" x14ac:dyDescent="0.25">
      <c r="A74" t="s">
        <v>24</v>
      </c>
      <c r="B74" t="s">
        <v>17</v>
      </c>
      <c r="C74" t="s">
        <v>624</v>
      </c>
      <c r="E74" t="s">
        <v>625</v>
      </c>
      <c r="F74" t="s">
        <v>51</v>
      </c>
      <c r="G74" s="19">
        <v>0</v>
      </c>
      <c r="H74" s="19">
        <v>30</v>
      </c>
      <c r="I74" s="19">
        <f>-H74</f>
        <v>-30</v>
      </c>
      <c r="J74" t="s">
        <v>79</v>
      </c>
      <c r="K74" t="s">
        <v>22</v>
      </c>
      <c r="L74" t="s">
        <v>433</v>
      </c>
      <c r="Q74" s="19">
        <v>1</v>
      </c>
    </row>
    <row r="75" spans="1:17" s="2" customFormat="1" x14ac:dyDescent="0.25">
      <c r="B75" s="2" t="s">
        <v>17</v>
      </c>
      <c r="C75" s="2" t="s">
        <v>195</v>
      </c>
      <c r="D75" s="2" t="s">
        <v>196</v>
      </c>
      <c r="E75" s="2" t="s">
        <v>197</v>
      </c>
      <c r="F75" s="20">
        <v>12</v>
      </c>
      <c r="G75" s="20">
        <v>790</v>
      </c>
      <c r="H75" s="20">
        <v>0</v>
      </c>
      <c r="I75" s="20">
        <f>G75-H75</f>
        <v>790</v>
      </c>
      <c r="J75" s="2" t="s">
        <v>172</v>
      </c>
      <c r="K75" s="2" t="s">
        <v>22</v>
      </c>
      <c r="L75" s="2" t="s">
        <v>180</v>
      </c>
      <c r="M75" s="2" t="s">
        <v>101</v>
      </c>
      <c r="N75" s="2" t="s">
        <v>174</v>
      </c>
      <c r="O75" s="2" t="s">
        <v>174</v>
      </c>
      <c r="P75" s="2" t="s">
        <v>175</v>
      </c>
      <c r="Q75" s="20">
        <v>1</v>
      </c>
    </row>
    <row r="76" spans="1:17" s="2" customFormat="1" x14ac:dyDescent="0.25">
      <c r="B76" s="2" t="s">
        <v>17</v>
      </c>
      <c r="C76" s="2" t="s">
        <v>626</v>
      </c>
      <c r="D76" s="2" t="s">
        <v>627</v>
      </c>
      <c r="E76" s="2" t="s">
        <v>628</v>
      </c>
      <c r="F76" s="2" t="s">
        <v>629</v>
      </c>
      <c r="G76" s="20">
        <v>820</v>
      </c>
      <c r="H76" s="20">
        <v>0</v>
      </c>
      <c r="I76" s="20">
        <f>G76-H76</f>
        <v>820</v>
      </c>
      <c r="J76" s="2" t="s">
        <v>172</v>
      </c>
      <c r="K76" s="2" t="s">
        <v>22</v>
      </c>
      <c r="L76" s="2" t="s">
        <v>433</v>
      </c>
      <c r="M76" s="2" t="s">
        <v>630</v>
      </c>
      <c r="N76" s="2" t="s">
        <v>174</v>
      </c>
      <c r="P76" s="2" t="s">
        <v>175</v>
      </c>
      <c r="Q76" s="20">
        <v>1</v>
      </c>
    </row>
    <row r="77" spans="1:17" s="2" customFormat="1" x14ac:dyDescent="0.25">
      <c r="B77" s="2" t="s">
        <v>17</v>
      </c>
      <c r="C77" s="2" t="s">
        <v>631</v>
      </c>
      <c r="D77" s="2" t="s">
        <v>632</v>
      </c>
      <c r="E77" s="2" t="s">
        <v>633</v>
      </c>
      <c r="F77" s="20">
        <v>9</v>
      </c>
      <c r="G77" s="20">
        <v>820</v>
      </c>
      <c r="H77" s="20">
        <v>0</v>
      </c>
      <c r="I77" s="20">
        <f>G77-H77</f>
        <v>820</v>
      </c>
      <c r="J77" s="2" t="s">
        <v>172</v>
      </c>
      <c r="K77" s="2" t="s">
        <v>22</v>
      </c>
      <c r="L77" s="2" t="s">
        <v>634</v>
      </c>
      <c r="M77" s="2" t="s">
        <v>101</v>
      </c>
      <c r="N77" s="2" t="s">
        <v>174</v>
      </c>
      <c r="O77" s="2" t="s">
        <v>174</v>
      </c>
      <c r="P77" s="2" t="s">
        <v>175</v>
      </c>
      <c r="Q77" s="20">
        <v>1</v>
      </c>
    </row>
    <row r="79" spans="1:17" x14ac:dyDescent="0.25">
      <c r="D79" s="1">
        <f>COUNTA(D3:D77)</f>
        <v>65</v>
      </c>
      <c r="G79" s="1">
        <f t="shared" ref="G79:Q79" si="2">SUBTOTAL(9,G3:G77)</f>
        <v>57515</v>
      </c>
      <c r="H79" s="1">
        <f t="shared" si="2"/>
        <v>1970</v>
      </c>
      <c r="I79" s="1">
        <f t="shared" si="2"/>
        <v>55545</v>
      </c>
      <c r="J79" s="1">
        <f t="shared" si="2"/>
        <v>0</v>
      </c>
      <c r="K79" s="1">
        <f t="shared" si="2"/>
        <v>0</v>
      </c>
      <c r="L79" s="1">
        <f t="shared" si="2"/>
        <v>0</v>
      </c>
      <c r="M79" s="1">
        <f t="shared" si="2"/>
        <v>0</v>
      </c>
      <c r="N79" s="1">
        <f t="shared" si="2"/>
        <v>0</v>
      </c>
      <c r="O79" s="1">
        <f t="shared" si="2"/>
        <v>0</v>
      </c>
      <c r="P79" s="1">
        <f t="shared" si="2"/>
        <v>0</v>
      </c>
      <c r="Q79" s="1">
        <f t="shared" si="2"/>
        <v>75</v>
      </c>
    </row>
    <row r="80" spans="1:17" x14ac:dyDescent="0.25">
      <c r="H80">
        <f>-17*17</f>
        <v>-289</v>
      </c>
    </row>
    <row r="81" spans="1:16" x14ac:dyDescent="0.25">
      <c r="A81" s="1" t="s">
        <v>17</v>
      </c>
      <c r="C81" s="42" t="s">
        <v>88</v>
      </c>
      <c r="D81" s="42"/>
      <c r="E81" s="4" t="s">
        <v>89</v>
      </c>
      <c r="H81">
        <f>-9*25</f>
        <v>-225</v>
      </c>
      <c r="K81" s="29" t="s">
        <v>79</v>
      </c>
      <c r="L81" s="29" t="s">
        <v>90</v>
      </c>
      <c r="M81" s="29" t="s">
        <v>89</v>
      </c>
      <c r="O81" s="4" t="s">
        <v>91</v>
      </c>
    </row>
    <row r="82" spans="1:16" x14ac:dyDescent="0.25">
      <c r="A82" t="s">
        <v>433</v>
      </c>
      <c r="B82" s="3" t="s">
        <v>92</v>
      </c>
      <c r="C82" s="43">
        <f>SUMIFS(I$3:I$77,B$3:B$77,A$81,L$3:L$77,A$82)</f>
        <v>53935</v>
      </c>
      <c r="D82" s="43"/>
      <c r="E82" s="3">
        <f>SUMIFS(Q$3:Q$77,B$3:B$77,A$81,L$3:L$77,A$82)</f>
        <v>73</v>
      </c>
      <c r="F82" t="s">
        <v>93</v>
      </c>
      <c r="H82">
        <f>-2*30</f>
        <v>-60</v>
      </c>
      <c r="K82" t="s">
        <v>94</v>
      </c>
      <c r="L82">
        <f>SUMIFS(G$3:G$77,J$3:J$77,K$81)</f>
        <v>17240</v>
      </c>
      <c r="M82">
        <f>SUMIFS(Q$3:Q$77,J$3:J$77,K$81)</f>
        <v>22</v>
      </c>
      <c r="O82" t="s">
        <v>79</v>
      </c>
      <c r="P82">
        <f>L87</f>
        <v>16790</v>
      </c>
    </row>
    <row r="83" spans="1:16" x14ac:dyDescent="0.25">
      <c r="B83" s="2" t="s">
        <v>95</v>
      </c>
      <c r="C83" s="44">
        <v>0</v>
      </c>
      <c r="D83" s="44"/>
      <c r="K83" t="s">
        <v>96</v>
      </c>
      <c r="L83">
        <f>-SUMIFS(H$3:H$77,J$3:J$77,K$81)+M83*5</f>
        <v>-450</v>
      </c>
      <c r="M83">
        <f>SUMIFS(Q$3:Q$77,J$3:J$77,K$81)-COUNTIFS(J$3:J$77,K$81,M$3:M$77,"*gộp*")</f>
        <v>22</v>
      </c>
      <c r="O83" t="s">
        <v>635</v>
      </c>
      <c r="P83">
        <f>L95</f>
        <v>13936</v>
      </c>
    </row>
    <row r="84" spans="1:16" x14ac:dyDescent="0.25">
      <c r="B84" s="2" t="s">
        <v>97</v>
      </c>
      <c r="C84" s="44">
        <f>-SUMIFS(I$3:I$77,B$3:B$77,A$81,P$3:P$77,"xx",N$3:N$77,"x")</f>
        <v>-2430</v>
      </c>
      <c r="D84" s="44"/>
      <c r="E84" s="2">
        <f>SUMIFS(Q$3:Q$77,B$3:B$77,A$81,P$3:P$77,"xx",N$3:N$77,"x")</f>
        <v>3</v>
      </c>
      <c r="K84" t="s">
        <v>98</v>
      </c>
      <c r="O84" t="s">
        <v>22</v>
      </c>
      <c r="P84">
        <f>L103</f>
        <v>19465</v>
      </c>
    </row>
    <row r="85" spans="1:16" x14ac:dyDescent="0.25">
      <c r="B85" s="4" t="s">
        <v>100</v>
      </c>
      <c r="C85" s="42">
        <f>SUBTOTAL(9,C82:C84)</f>
        <v>51505</v>
      </c>
      <c r="D85" s="42"/>
      <c r="E85">
        <f>E82</f>
        <v>73</v>
      </c>
      <c r="K85" s="2" t="s">
        <v>101</v>
      </c>
      <c r="O85" t="s">
        <v>21</v>
      </c>
      <c r="P85">
        <f>L111</f>
        <v>1650</v>
      </c>
    </row>
    <row r="86" spans="1:16" x14ac:dyDescent="0.25">
      <c r="B86" s="2" t="s">
        <v>102</v>
      </c>
      <c r="C86" s="35"/>
      <c r="D86" s="35"/>
      <c r="K86" s="2" t="s">
        <v>103</v>
      </c>
      <c r="O86" t="s">
        <v>104</v>
      </c>
      <c r="P86">
        <f>-C89</f>
        <v>-51505</v>
      </c>
    </row>
    <row r="87" spans="1:16" x14ac:dyDescent="0.25">
      <c r="B87" s="30" t="s">
        <v>105</v>
      </c>
      <c r="C87" s="35"/>
      <c r="D87" s="35"/>
      <c r="L87" s="31">
        <f>SUBTOTAL(9,L82:L86)</f>
        <v>16790</v>
      </c>
      <c r="M87" s="31">
        <f>M82</f>
        <v>22</v>
      </c>
      <c r="O87" s="4" t="s">
        <v>106</v>
      </c>
      <c r="P87" s="4">
        <f>SUBTOTAL(9,P82:P86)</f>
        <v>336</v>
      </c>
    </row>
    <row r="89" spans="1:16" x14ac:dyDescent="0.25">
      <c r="B89" s="1" t="s">
        <v>107</v>
      </c>
      <c r="C89" s="41">
        <f>C85+C86+C87</f>
        <v>51505</v>
      </c>
      <c r="D89" s="41"/>
      <c r="E89" s="1" t="s">
        <v>108</v>
      </c>
      <c r="K89" s="29" t="s">
        <v>440</v>
      </c>
      <c r="L89" s="29" t="s">
        <v>90</v>
      </c>
      <c r="M89" s="29" t="s">
        <v>89</v>
      </c>
    </row>
    <row r="90" spans="1:16" x14ac:dyDescent="0.25">
      <c r="K90" t="s">
        <v>94</v>
      </c>
      <c r="L90">
        <f>SUMIFS(G$3:G$77,J$3:J$77,K$89)</f>
        <v>16130</v>
      </c>
      <c r="M90">
        <f>SUMIFS(Q$3:Q$77,J$3:J$77,K$89)</f>
        <v>28</v>
      </c>
    </row>
    <row r="91" spans="1:16" x14ac:dyDescent="0.25">
      <c r="K91" t="s">
        <v>96</v>
      </c>
      <c r="L91">
        <f>SUM(H80:H82)</f>
        <v>-574</v>
      </c>
      <c r="M91">
        <f>SUMIFS(Q$3:Q$77,J$3:J$77,K$89)</f>
        <v>28</v>
      </c>
    </row>
    <row r="92" spans="1:16" x14ac:dyDescent="0.25">
      <c r="K92" t="s">
        <v>98</v>
      </c>
    </row>
    <row r="93" spans="1:16" x14ac:dyDescent="0.25">
      <c r="K93" s="2" t="s">
        <v>101</v>
      </c>
      <c r="L93">
        <v>-1620</v>
      </c>
    </row>
    <row r="94" spans="1:16" x14ac:dyDescent="0.25">
      <c r="K94" s="2" t="s">
        <v>103</v>
      </c>
    </row>
    <row r="95" spans="1:16" x14ac:dyDescent="0.25">
      <c r="L95" s="31">
        <f>SUBTOTAL(9,L90:L94)</f>
        <v>13936</v>
      </c>
      <c r="M95" s="31">
        <f>M90</f>
        <v>28</v>
      </c>
    </row>
    <row r="97" spans="11:13" x14ac:dyDescent="0.25">
      <c r="K97" s="29" t="s">
        <v>22</v>
      </c>
      <c r="L97" s="29" t="s">
        <v>90</v>
      </c>
      <c r="M97" s="29" t="s">
        <v>89</v>
      </c>
    </row>
    <row r="98" spans="11:13" x14ac:dyDescent="0.25">
      <c r="K98" t="s">
        <v>94</v>
      </c>
      <c r="L98">
        <f>SUMIFS(G$3:G$77,J$3:J$77,K$97)</f>
        <v>20015</v>
      </c>
      <c r="M98">
        <f>SUMIFS(Q$3:Q$77,J$3:J$77,K$97)</f>
        <v>20</v>
      </c>
    </row>
    <row r="99" spans="11:13" x14ac:dyDescent="0.25">
      <c r="K99" t="s">
        <v>96</v>
      </c>
      <c r="L99">
        <f>-SUMIFS(H$3:H$77,J$3:J$77,K$97)+M99*5</f>
        <v>-410</v>
      </c>
      <c r="M99">
        <f>SUMIFS(Q$3:Q$77,J$3:J$77,K$97)-COUNTIFS(J$3:J$77,K$97,M$3:M$77,"*gộp*")</f>
        <v>20</v>
      </c>
    </row>
    <row r="100" spans="11:13" x14ac:dyDescent="0.25">
      <c r="K100" t="s">
        <v>98</v>
      </c>
      <c r="L100">
        <f>-M100*2</f>
        <v>-140</v>
      </c>
      <c r="M100">
        <f>E82-E84</f>
        <v>70</v>
      </c>
    </row>
    <row r="101" spans="11:13" x14ac:dyDescent="0.25">
      <c r="K101" s="2" t="s">
        <v>101</v>
      </c>
    </row>
    <row r="102" spans="11:13" x14ac:dyDescent="0.25">
      <c r="K102" s="2" t="s">
        <v>103</v>
      </c>
    </row>
    <row r="103" spans="11:13" x14ac:dyDescent="0.25">
      <c r="L103" s="31">
        <f>SUBTOTAL(9,L98:L102)</f>
        <v>19465</v>
      </c>
      <c r="M103" s="31">
        <f>M98</f>
        <v>20</v>
      </c>
    </row>
    <row r="105" spans="11:13" x14ac:dyDescent="0.25">
      <c r="K105" s="29" t="s">
        <v>21</v>
      </c>
      <c r="L105" s="29" t="s">
        <v>90</v>
      </c>
      <c r="M105" s="29" t="s">
        <v>89</v>
      </c>
    </row>
    <row r="106" spans="11:13" x14ac:dyDescent="0.25">
      <c r="K106" t="s">
        <v>94</v>
      </c>
      <c r="L106">
        <f>SUMIFS(G$3:G$77,J$3:J$77,K$105)</f>
        <v>1700</v>
      </c>
      <c r="M106">
        <f>SUMIFS(Q$3:Q$77,J$3:J$77,K$105)</f>
        <v>2</v>
      </c>
    </row>
    <row r="107" spans="11:13" x14ac:dyDescent="0.25">
      <c r="K107" t="s">
        <v>96</v>
      </c>
      <c r="L107">
        <f>-SUMIFS(H$3:H$77,J$3:J$77,K$105)+M107*5</f>
        <v>-50</v>
      </c>
      <c r="M107">
        <f>SUMIFS(Q$3:Q$77,J$3:J$77,K$105)-COUNTIFS(J$3:J$77,K$105,M$3:M$77,"*gộp*")</f>
        <v>2</v>
      </c>
    </row>
    <row r="108" spans="11:13" x14ac:dyDescent="0.25">
      <c r="K108" t="s">
        <v>98</v>
      </c>
    </row>
    <row r="109" spans="11:13" x14ac:dyDescent="0.25">
      <c r="K109" s="2" t="s">
        <v>101</v>
      </c>
    </row>
    <row r="110" spans="11:13" x14ac:dyDescent="0.25">
      <c r="K110" s="2" t="s">
        <v>103</v>
      </c>
    </row>
    <row r="111" spans="11:13" x14ac:dyDescent="0.25">
      <c r="L111" s="31">
        <f>SUBTOTAL(9,L106:L110)</f>
        <v>1650</v>
      </c>
      <c r="M111" s="31">
        <f>M106</f>
        <v>2</v>
      </c>
    </row>
  </sheetData>
  <autoFilter ref="A2:P77" xr:uid="{00000000-0009-0000-0000-000005000000}">
    <sortState xmlns:xlrd2="http://schemas.microsoft.com/office/spreadsheetml/2017/richdata2" ref="A3:P77">
      <sortCondition ref="J2:J77"/>
    </sortState>
  </autoFilter>
  <mergeCells count="8">
    <mergeCell ref="C86:D86"/>
    <mergeCell ref="C87:D87"/>
    <mergeCell ref="C89:D89"/>
    <mergeCell ref="C81:D81"/>
    <mergeCell ref="C82:D82"/>
    <mergeCell ref="C83:D83"/>
    <mergeCell ref="C84:D84"/>
    <mergeCell ref="C85:D85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F39C-5A0B-4E3B-A4D8-ABFD710251D1}">
  <dimension ref="A2:Q37"/>
  <sheetViews>
    <sheetView topLeftCell="B16" workbookViewId="0">
      <selection activeCell="A3" sqref="A3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37.85546875" customWidth="1"/>
    <col min="4" max="4" width="9.85546875" customWidth="1"/>
    <col min="5" max="5" width="84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B3" t="s">
        <v>17</v>
      </c>
      <c r="C3" t="s">
        <v>495</v>
      </c>
      <c r="D3" t="s">
        <v>636</v>
      </c>
      <c r="E3" t="s">
        <v>497</v>
      </c>
      <c r="F3" t="s">
        <v>44</v>
      </c>
      <c r="G3" s="19">
        <v>0</v>
      </c>
      <c r="H3" s="19">
        <v>60</v>
      </c>
      <c r="I3" s="19">
        <f>-H3</f>
        <v>-60</v>
      </c>
      <c r="J3" t="s">
        <v>637</v>
      </c>
      <c r="K3" t="s">
        <v>22</v>
      </c>
      <c r="L3" t="s">
        <v>638</v>
      </c>
      <c r="Q3" s="19">
        <v>1</v>
      </c>
    </row>
    <row r="4" spans="1:17" x14ac:dyDescent="0.25">
      <c r="B4" t="s">
        <v>17</v>
      </c>
      <c r="C4" t="s">
        <v>639</v>
      </c>
      <c r="D4" t="s">
        <v>640</v>
      </c>
      <c r="E4" t="s">
        <v>641</v>
      </c>
      <c r="F4" t="s">
        <v>294</v>
      </c>
      <c r="G4" s="19">
        <v>0</v>
      </c>
      <c r="H4" s="19">
        <v>35</v>
      </c>
      <c r="I4" s="19">
        <f>-H4</f>
        <v>-35</v>
      </c>
      <c r="J4" t="s">
        <v>637</v>
      </c>
      <c r="K4" t="s">
        <v>22</v>
      </c>
      <c r="L4" t="s">
        <v>638</v>
      </c>
      <c r="Q4" s="19">
        <v>1</v>
      </c>
    </row>
    <row r="5" spans="1:17" x14ac:dyDescent="0.25">
      <c r="B5" t="s">
        <v>17</v>
      </c>
      <c r="C5" t="s">
        <v>642</v>
      </c>
      <c r="D5" t="s">
        <v>643</v>
      </c>
      <c r="E5" t="s">
        <v>644</v>
      </c>
      <c r="F5" t="s">
        <v>44</v>
      </c>
      <c r="G5" s="19">
        <v>0</v>
      </c>
      <c r="H5" s="19">
        <v>30</v>
      </c>
      <c r="I5" s="19">
        <f>-H5</f>
        <v>-30</v>
      </c>
      <c r="J5" t="s">
        <v>637</v>
      </c>
      <c r="K5" t="s">
        <v>22</v>
      </c>
      <c r="L5" t="s">
        <v>638</v>
      </c>
      <c r="Q5" s="19">
        <v>1</v>
      </c>
    </row>
    <row r="6" spans="1:17" x14ac:dyDescent="0.25">
      <c r="B6" t="s">
        <v>17</v>
      </c>
      <c r="C6" t="s">
        <v>27</v>
      </c>
      <c r="D6" t="s">
        <v>645</v>
      </c>
      <c r="E6" t="s">
        <v>29</v>
      </c>
      <c r="F6" s="19">
        <v>6</v>
      </c>
      <c r="G6" s="19">
        <v>745</v>
      </c>
      <c r="H6" s="19">
        <v>25</v>
      </c>
      <c r="I6" s="19">
        <f t="shared" ref="I6:I14" si="0">G6-H6</f>
        <v>720</v>
      </c>
      <c r="J6" t="s">
        <v>637</v>
      </c>
      <c r="K6" t="s">
        <v>22</v>
      </c>
      <c r="L6" t="s">
        <v>638</v>
      </c>
      <c r="Q6" s="19">
        <v>1</v>
      </c>
    </row>
    <row r="7" spans="1:17" x14ac:dyDescent="0.25">
      <c r="B7" t="s">
        <v>17</v>
      </c>
      <c r="C7" t="s">
        <v>646</v>
      </c>
      <c r="D7" t="s">
        <v>647</v>
      </c>
      <c r="E7" t="s">
        <v>648</v>
      </c>
      <c r="F7" s="19">
        <v>7</v>
      </c>
      <c r="G7" s="19">
        <v>1480</v>
      </c>
      <c r="H7" s="19">
        <v>30</v>
      </c>
      <c r="I7" s="19">
        <f t="shared" si="0"/>
        <v>1450</v>
      </c>
      <c r="J7" t="s">
        <v>637</v>
      </c>
      <c r="K7" t="s">
        <v>22</v>
      </c>
      <c r="L7" t="s">
        <v>638</v>
      </c>
      <c r="Q7" s="19">
        <v>1</v>
      </c>
    </row>
    <row r="8" spans="1:17" x14ac:dyDescent="0.25">
      <c r="B8" t="s">
        <v>17</v>
      </c>
      <c r="C8" t="s">
        <v>649</v>
      </c>
      <c r="D8" t="s">
        <v>650</v>
      </c>
      <c r="E8" t="s">
        <v>651</v>
      </c>
      <c r="F8" s="19">
        <v>7</v>
      </c>
      <c r="G8" s="19">
        <v>760</v>
      </c>
      <c r="H8" s="19">
        <v>30</v>
      </c>
      <c r="I8" s="19">
        <f t="shared" si="0"/>
        <v>730</v>
      </c>
      <c r="J8" t="s">
        <v>637</v>
      </c>
      <c r="K8" t="s">
        <v>22</v>
      </c>
      <c r="L8" t="s">
        <v>638</v>
      </c>
      <c r="Q8" s="19">
        <v>1</v>
      </c>
    </row>
    <row r="9" spans="1:17" x14ac:dyDescent="0.25">
      <c r="B9" t="s">
        <v>17</v>
      </c>
      <c r="C9" t="s">
        <v>652</v>
      </c>
      <c r="D9" t="s">
        <v>653</v>
      </c>
      <c r="E9" t="s">
        <v>654</v>
      </c>
      <c r="F9" s="19">
        <v>10</v>
      </c>
      <c r="G9" s="19">
        <v>845</v>
      </c>
      <c r="H9" s="19">
        <v>25</v>
      </c>
      <c r="I9" s="19">
        <f t="shared" si="0"/>
        <v>820</v>
      </c>
      <c r="J9" t="s">
        <v>637</v>
      </c>
      <c r="K9" t="s">
        <v>22</v>
      </c>
      <c r="L9" t="s">
        <v>638</v>
      </c>
      <c r="Q9" s="19">
        <v>1</v>
      </c>
    </row>
    <row r="10" spans="1:17" x14ac:dyDescent="0.25">
      <c r="B10" t="s">
        <v>17</v>
      </c>
      <c r="C10" t="s">
        <v>655</v>
      </c>
      <c r="D10" t="s">
        <v>656</v>
      </c>
      <c r="E10" t="s">
        <v>657</v>
      </c>
      <c r="F10" s="19">
        <v>8</v>
      </c>
      <c r="G10" s="19">
        <v>770</v>
      </c>
      <c r="H10" s="19">
        <v>30</v>
      </c>
      <c r="I10" s="19">
        <f t="shared" si="0"/>
        <v>740</v>
      </c>
      <c r="J10" t="s">
        <v>637</v>
      </c>
      <c r="K10" t="s">
        <v>22</v>
      </c>
      <c r="L10" t="s">
        <v>638</v>
      </c>
      <c r="Q10" s="19">
        <v>1</v>
      </c>
    </row>
    <row r="11" spans="1:17" x14ac:dyDescent="0.25">
      <c r="B11" t="s">
        <v>17</v>
      </c>
      <c r="C11" t="s">
        <v>658</v>
      </c>
      <c r="D11" t="s">
        <v>659</v>
      </c>
      <c r="E11" t="s">
        <v>660</v>
      </c>
      <c r="F11" s="19">
        <v>1</v>
      </c>
      <c r="G11" s="19">
        <v>695</v>
      </c>
      <c r="H11" s="19">
        <v>25</v>
      </c>
      <c r="I11" s="19">
        <f t="shared" si="0"/>
        <v>670</v>
      </c>
      <c r="J11" t="s">
        <v>637</v>
      </c>
      <c r="K11" t="s">
        <v>22</v>
      </c>
      <c r="L11" t="s">
        <v>638</v>
      </c>
      <c r="Q11" s="19">
        <v>1</v>
      </c>
    </row>
    <row r="12" spans="1:17" x14ac:dyDescent="0.25">
      <c r="A12" t="s">
        <v>24</v>
      </c>
      <c r="B12" t="s">
        <v>17</v>
      </c>
      <c r="C12" t="s">
        <v>661</v>
      </c>
      <c r="E12" t="s">
        <v>662</v>
      </c>
      <c r="F12" s="19">
        <v>12</v>
      </c>
      <c r="G12" s="19">
        <v>45</v>
      </c>
      <c r="H12" s="19">
        <v>45</v>
      </c>
      <c r="I12" s="19">
        <f t="shared" si="0"/>
        <v>0</v>
      </c>
      <c r="J12" t="s">
        <v>22</v>
      </c>
      <c r="K12" t="s">
        <v>22</v>
      </c>
      <c r="L12" t="s">
        <v>638</v>
      </c>
      <c r="Q12" s="19">
        <v>1</v>
      </c>
    </row>
    <row r="13" spans="1:17" x14ac:dyDescent="0.25">
      <c r="A13" t="s">
        <v>24</v>
      </c>
      <c r="B13" t="s">
        <v>17</v>
      </c>
      <c r="C13" t="s">
        <v>663</v>
      </c>
      <c r="E13" t="s">
        <v>664</v>
      </c>
      <c r="F13" s="19">
        <v>12</v>
      </c>
      <c r="G13" s="19">
        <v>40</v>
      </c>
      <c r="H13" s="19">
        <v>40</v>
      </c>
      <c r="I13" s="19">
        <f t="shared" si="0"/>
        <v>0</v>
      </c>
      <c r="J13" t="s">
        <v>22</v>
      </c>
      <c r="K13" t="s">
        <v>22</v>
      </c>
      <c r="L13" t="s">
        <v>638</v>
      </c>
      <c r="Q13" s="19">
        <v>1</v>
      </c>
    </row>
    <row r="14" spans="1:17" x14ac:dyDescent="0.25">
      <c r="B14" t="s">
        <v>17</v>
      </c>
      <c r="C14" t="s">
        <v>665</v>
      </c>
      <c r="D14" t="s">
        <v>666</v>
      </c>
      <c r="E14" t="s">
        <v>667</v>
      </c>
      <c r="F14" s="19">
        <v>2</v>
      </c>
      <c r="G14" s="19">
        <v>750</v>
      </c>
      <c r="H14" s="19">
        <v>30</v>
      </c>
      <c r="I14" s="19">
        <f t="shared" si="0"/>
        <v>720</v>
      </c>
      <c r="J14" t="s">
        <v>22</v>
      </c>
      <c r="K14" t="s">
        <v>22</v>
      </c>
      <c r="L14" t="s">
        <v>638</v>
      </c>
      <c r="Q14" s="19">
        <v>1</v>
      </c>
    </row>
    <row r="15" spans="1:17" x14ac:dyDescent="0.25">
      <c r="B15" t="s">
        <v>17</v>
      </c>
      <c r="C15" t="s">
        <v>668</v>
      </c>
      <c r="D15" t="s">
        <v>669</v>
      </c>
      <c r="E15" t="s">
        <v>670</v>
      </c>
      <c r="F15" t="s">
        <v>310</v>
      </c>
      <c r="G15" s="19">
        <v>0</v>
      </c>
      <c r="H15" s="19">
        <v>30</v>
      </c>
      <c r="I15" s="19">
        <f>-H15</f>
        <v>-30</v>
      </c>
      <c r="J15" t="s">
        <v>22</v>
      </c>
      <c r="K15" t="s">
        <v>22</v>
      </c>
      <c r="L15" t="s">
        <v>638</v>
      </c>
      <c r="Q15" s="19">
        <v>1</v>
      </c>
    </row>
    <row r="16" spans="1:17" x14ac:dyDescent="0.25">
      <c r="B16" t="s">
        <v>17</v>
      </c>
      <c r="C16" t="s">
        <v>671</v>
      </c>
      <c r="D16" t="s">
        <v>672</v>
      </c>
      <c r="E16" t="s">
        <v>673</v>
      </c>
      <c r="F16" t="s">
        <v>310</v>
      </c>
      <c r="G16" s="19">
        <v>950</v>
      </c>
      <c r="H16" s="19">
        <v>30</v>
      </c>
      <c r="I16" s="19">
        <f>G16-H16</f>
        <v>920</v>
      </c>
      <c r="J16" t="s">
        <v>22</v>
      </c>
      <c r="K16" t="s">
        <v>22</v>
      </c>
      <c r="L16" t="s">
        <v>638</v>
      </c>
      <c r="Q16" s="19">
        <v>1</v>
      </c>
    </row>
    <row r="17" spans="1:17" x14ac:dyDescent="0.25">
      <c r="B17" t="s">
        <v>17</v>
      </c>
      <c r="C17" t="s">
        <v>674</v>
      </c>
      <c r="D17" t="s">
        <v>675</v>
      </c>
      <c r="E17" t="s">
        <v>676</v>
      </c>
      <c r="F17" t="s">
        <v>62</v>
      </c>
      <c r="G17" s="19">
        <v>755</v>
      </c>
      <c r="H17" s="19">
        <v>25</v>
      </c>
      <c r="I17" s="19">
        <f>G17-H17</f>
        <v>730</v>
      </c>
      <c r="J17" t="s">
        <v>22</v>
      </c>
      <c r="K17" t="s">
        <v>22</v>
      </c>
      <c r="L17" t="s">
        <v>638</v>
      </c>
      <c r="Q17" s="19">
        <v>1</v>
      </c>
    </row>
    <row r="18" spans="1:17" x14ac:dyDescent="0.25">
      <c r="B18" t="s">
        <v>17</v>
      </c>
      <c r="C18" t="s">
        <v>677</v>
      </c>
      <c r="D18" t="s">
        <v>678</v>
      </c>
      <c r="E18" t="s">
        <v>679</v>
      </c>
      <c r="F18" s="19">
        <v>12</v>
      </c>
      <c r="G18" s="19">
        <v>0</v>
      </c>
      <c r="H18" s="19">
        <v>30</v>
      </c>
      <c r="I18" s="19">
        <f>-H18</f>
        <v>-30</v>
      </c>
      <c r="J18" t="s">
        <v>22</v>
      </c>
      <c r="K18" t="s">
        <v>22</v>
      </c>
      <c r="L18" t="s">
        <v>638</v>
      </c>
      <c r="Q18" s="19">
        <v>1</v>
      </c>
    </row>
    <row r="19" spans="1:17" x14ac:dyDescent="0.25">
      <c r="B19" t="s">
        <v>17</v>
      </c>
      <c r="C19" t="s">
        <v>680</v>
      </c>
      <c r="D19" t="s">
        <v>681</v>
      </c>
      <c r="E19" t="s">
        <v>682</v>
      </c>
      <c r="F19" t="s">
        <v>62</v>
      </c>
      <c r="G19" s="19">
        <v>0</v>
      </c>
      <c r="H19" s="19">
        <v>25</v>
      </c>
      <c r="I19" s="19">
        <f>-H19</f>
        <v>-25</v>
      </c>
      <c r="J19" t="s">
        <v>22</v>
      </c>
      <c r="K19" t="s">
        <v>22</v>
      </c>
      <c r="L19" t="s">
        <v>638</v>
      </c>
      <c r="Q19" s="19">
        <v>1</v>
      </c>
    </row>
    <row r="21" spans="1:17" x14ac:dyDescent="0.25">
      <c r="D21" s="1">
        <f>COUNTA(D3:D19)</f>
        <v>15</v>
      </c>
      <c r="G21" s="1">
        <f t="shared" ref="G21:Q21" si="1">SUBTOTAL(9,G3:G19)</f>
        <v>7835</v>
      </c>
      <c r="H21" s="1">
        <f t="shared" si="1"/>
        <v>545</v>
      </c>
      <c r="I21" s="1">
        <f t="shared" si="1"/>
        <v>7290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</row>
    <row r="22" spans="1:17" x14ac:dyDescent="0.25">
      <c r="H22">
        <f>-6*17</f>
        <v>-102</v>
      </c>
    </row>
    <row r="23" spans="1:17" x14ac:dyDescent="0.25">
      <c r="A23" s="1" t="s">
        <v>17</v>
      </c>
      <c r="C23" s="42" t="s">
        <v>88</v>
      </c>
      <c r="D23" s="42"/>
      <c r="E23" s="4" t="s">
        <v>89</v>
      </c>
      <c r="H23">
        <f>-2*25</f>
        <v>-50</v>
      </c>
      <c r="K23" s="29" t="s">
        <v>22</v>
      </c>
      <c r="L23" s="29" t="s">
        <v>90</v>
      </c>
      <c r="M23" s="29" t="s">
        <v>89</v>
      </c>
      <c r="O23" s="4" t="s">
        <v>91</v>
      </c>
    </row>
    <row r="24" spans="1:17" x14ac:dyDescent="0.25">
      <c r="A24" t="s">
        <v>638</v>
      </c>
      <c r="B24" s="3" t="s">
        <v>92</v>
      </c>
      <c r="C24" s="43">
        <f>SUMIFS(I$3:I$19,B$3:B$19,A$23,L$3:L$19,A$24)</f>
        <v>7290</v>
      </c>
      <c r="D24" s="43"/>
      <c r="E24" s="3">
        <f>SUMIFS(Q$3:Q$19,B$3:B$19,A$23,L$3:L$19,A$24)</f>
        <v>17</v>
      </c>
      <c r="F24" t="s">
        <v>93</v>
      </c>
      <c r="H24">
        <f>-1*30</f>
        <v>-30</v>
      </c>
      <c r="K24" t="s">
        <v>94</v>
      </c>
      <c r="L24">
        <f>SUMIFS(G$3:G$19,J$3:J$19,K$23)</f>
        <v>2540</v>
      </c>
      <c r="M24">
        <f>SUMIFS(Q$3:Q$19,J$3:J$19,K$23)</f>
        <v>8</v>
      </c>
      <c r="O24" t="s">
        <v>22</v>
      </c>
      <c r="P24">
        <f>L29</f>
        <v>2291</v>
      </c>
    </row>
    <row r="25" spans="1:17" x14ac:dyDescent="0.25">
      <c r="B25" s="2" t="s">
        <v>95</v>
      </c>
      <c r="C25" s="44">
        <v>0</v>
      </c>
      <c r="D25" s="44"/>
      <c r="K25" t="s">
        <v>96</v>
      </c>
      <c r="L25">
        <f>-SUMIFS(H$3:H$19,J$3:J$19,K$23)+M25*5</f>
        <v>-215</v>
      </c>
      <c r="M25">
        <f>SUMIFS(Q$3:Q$19,J$3:J$19,K$23)-COUNTIFS(J$3:J$19,K$23,M$3:M$19,"*gộp*")</f>
        <v>8</v>
      </c>
      <c r="O25" t="s">
        <v>683</v>
      </c>
      <c r="P25">
        <f>L37</f>
        <v>5113</v>
      </c>
    </row>
    <row r="26" spans="1:17" x14ac:dyDescent="0.25">
      <c r="B26" s="2" t="s">
        <v>97</v>
      </c>
      <c r="C26" s="44">
        <f>-SUMIFS(I$3:I$19,B$3:B$19,A$23,P$3:P$19,"xx",N$3:N$19,"x")</f>
        <v>0</v>
      </c>
      <c r="D26" s="44"/>
      <c r="E26" s="2">
        <f>SUMIFS(Q$3:Q$19,B$3:B$19,A$23,P$3:P$19,"xx",N$3:N$19,"x")</f>
        <v>0</v>
      </c>
      <c r="K26" t="s">
        <v>98</v>
      </c>
      <c r="L26">
        <f>-M26*2</f>
        <v>-34</v>
      </c>
      <c r="M26">
        <f>Q21-(COUNTIFS(M$3:M$19,"*gộp*")/2)</f>
        <v>17</v>
      </c>
      <c r="O26" t="s">
        <v>104</v>
      </c>
      <c r="P26">
        <f>-C31</f>
        <v>-7290</v>
      </c>
    </row>
    <row r="27" spans="1:17" x14ac:dyDescent="0.25">
      <c r="B27" s="4" t="s">
        <v>100</v>
      </c>
      <c r="C27" s="42">
        <f>SUBTOTAL(9,C24:C26)</f>
        <v>7290</v>
      </c>
      <c r="D27" s="42"/>
      <c r="E27">
        <f>E24</f>
        <v>17</v>
      </c>
      <c r="K27" s="2" t="s">
        <v>101</v>
      </c>
      <c r="O27" s="4" t="s">
        <v>106</v>
      </c>
      <c r="P27" s="4">
        <f>SUBTOTAL(9,P24:P26)</f>
        <v>114</v>
      </c>
    </row>
    <row r="28" spans="1:17" x14ac:dyDescent="0.25">
      <c r="B28" s="2" t="s">
        <v>102</v>
      </c>
      <c r="C28" s="35"/>
      <c r="D28" s="35"/>
      <c r="K28" s="2" t="s">
        <v>103</v>
      </c>
    </row>
    <row r="29" spans="1:17" x14ac:dyDescent="0.25">
      <c r="B29" s="30" t="s">
        <v>105</v>
      </c>
      <c r="C29" s="35"/>
      <c r="D29" s="35"/>
      <c r="L29" s="31">
        <f>SUBTOTAL(9,L24:L28)</f>
        <v>2291</v>
      </c>
      <c r="M29" s="31">
        <f>M24</f>
        <v>8</v>
      </c>
    </row>
    <row r="31" spans="1:17" x14ac:dyDescent="0.25">
      <c r="B31" s="1" t="s">
        <v>107</v>
      </c>
      <c r="C31" s="41">
        <f>C27+C28+C29</f>
        <v>7290</v>
      </c>
      <c r="D31" s="41"/>
      <c r="E31" s="1" t="s">
        <v>108</v>
      </c>
      <c r="K31" s="29" t="s">
        <v>637</v>
      </c>
      <c r="L31" s="29" t="s">
        <v>90</v>
      </c>
      <c r="M31" s="29" t="s">
        <v>89</v>
      </c>
    </row>
    <row r="32" spans="1:17" x14ac:dyDescent="0.25">
      <c r="K32" t="s">
        <v>94</v>
      </c>
      <c r="L32">
        <f>SUMIFS(G$3:G$19,J$3:J$19,K$31)</f>
        <v>5295</v>
      </c>
      <c r="M32">
        <f>SUMIFS(Q$3:Q$19,J$3:J$19,K$31)</f>
        <v>9</v>
      </c>
    </row>
    <row r="33" spans="11:13" x14ac:dyDescent="0.25">
      <c r="K33" t="s">
        <v>96</v>
      </c>
      <c r="L33">
        <f>SUM(H22:H24)</f>
        <v>-182</v>
      </c>
      <c r="M33">
        <f>SUMIFS(Q$3:Q$19,J$3:J$19,K$31)</f>
        <v>9</v>
      </c>
    </row>
    <row r="34" spans="11:13" x14ac:dyDescent="0.25">
      <c r="K34" t="s">
        <v>98</v>
      </c>
    </row>
    <row r="35" spans="11:13" x14ac:dyDescent="0.25">
      <c r="K35" s="2" t="s">
        <v>101</v>
      </c>
    </row>
    <row r="36" spans="11:13" x14ac:dyDescent="0.25">
      <c r="K36" s="2" t="s">
        <v>103</v>
      </c>
    </row>
    <row r="37" spans="11:13" x14ac:dyDescent="0.25">
      <c r="L37" s="31">
        <f>SUBTOTAL(9,L32:L36)</f>
        <v>5113</v>
      </c>
      <c r="M37" s="31">
        <f>M32</f>
        <v>9</v>
      </c>
    </row>
  </sheetData>
  <autoFilter ref="A2:P19" xr:uid="{00000000-0009-0000-0000-000006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6D51-6036-4A99-9D24-714E67332C6E}">
  <dimension ref="A2:Q45"/>
  <sheetViews>
    <sheetView topLeftCell="A8" zoomScale="89" zoomScaleNormal="89" workbookViewId="0">
      <selection activeCell="I37" sqref="I37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29.7109375" customWidth="1"/>
    <col min="4" max="4" width="9.85546875" customWidth="1"/>
    <col min="5" max="5" width="97.140625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.42578125" bestFit="1" customWidth="1"/>
    <col min="17" max="17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</row>
    <row r="3" spans="1:17" x14ac:dyDescent="0.25">
      <c r="B3" t="s">
        <v>17</v>
      </c>
      <c r="C3" t="s">
        <v>684</v>
      </c>
      <c r="D3" t="s">
        <v>685</v>
      </c>
      <c r="E3" t="s">
        <v>686</v>
      </c>
      <c r="F3" s="19">
        <v>9</v>
      </c>
      <c r="G3" s="19">
        <v>0</v>
      </c>
      <c r="H3" s="19">
        <v>30</v>
      </c>
      <c r="I3" s="19">
        <f>-H3</f>
        <v>-30</v>
      </c>
      <c r="J3" t="s">
        <v>21</v>
      </c>
      <c r="K3" t="s">
        <v>22</v>
      </c>
      <c r="L3" t="s">
        <v>687</v>
      </c>
      <c r="Q3">
        <v>1</v>
      </c>
    </row>
    <row r="4" spans="1:17" x14ac:dyDescent="0.25">
      <c r="B4" t="s">
        <v>17</v>
      </c>
      <c r="C4" t="s">
        <v>688</v>
      </c>
      <c r="D4" t="s">
        <v>689</v>
      </c>
      <c r="E4" t="s">
        <v>690</v>
      </c>
      <c r="F4" s="19">
        <v>9</v>
      </c>
      <c r="G4" s="19">
        <v>790</v>
      </c>
      <c r="H4" s="19">
        <v>30</v>
      </c>
      <c r="I4" s="19">
        <f>G4-H4</f>
        <v>760</v>
      </c>
      <c r="J4" t="s">
        <v>21</v>
      </c>
      <c r="K4" t="s">
        <v>22</v>
      </c>
      <c r="L4" t="s">
        <v>687</v>
      </c>
      <c r="Q4">
        <v>1</v>
      </c>
    </row>
    <row r="5" spans="1:17" x14ac:dyDescent="0.25">
      <c r="B5" t="s">
        <v>17</v>
      </c>
      <c r="C5" t="s">
        <v>691</v>
      </c>
      <c r="D5" t="s">
        <v>692</v>
      </c>
      <c r="E5" t="s">
        <v>693</v>
      </c>
      <c r="F5" s="19">
        <v>9</v>
      </c>
      <c r="G5" s="19">
        <v>0</v>
      </c>
      <c r="H5" s="19">
        <v>30</v>
      </c>
      <c r="I5" s="19">
        <f>-H5</f>
        <v>-30</v>
      </c>
      <c r="J5" t="s">
        <v>21</v>
      </c>
      <c r="K5" t="s">
        <v>22</v>
      </c>
      <c r="L5" t="s">
        <v>687</v>
      </c>
      <c r="Q5">
        <v>1</v>
      </c>
    </row>
    <row r="6" spans="1:17" x14ac:dyDescent="0.25">
      <c r="B6" t="s">
        <v>17</v>
      </c>
      <c r="C6" t="s">
        <v>694</v>
      </c>
      <c r="D6" t="s">
        <v>695</v>
      </c>
      <c r="E6" t="s">
        <v>696</v>
      </c>
      <c r="F6" s="19">
        <v>9</v>
      </c>
      <c r="G6" s="19">
        <v>980</v>
      </c>
      <c r="H6" s="19">
        <v>30</v>
      </c>
      <c r="I6" s="19">
        <f t="shared" ref="I6:I12" si="0">G6-H6</f>
        <v>950</v>
      </c>
      <c r="J6" t="s">
        <v>21</v>
      </c>
      <c r="K6" t="s">
        <v>22</v>
      </c>
      <c r="L6" t="s">
        <v>687</v>
      </c>
      <c r="Q6">
        <v>1</v>
      </c>
    </row>
    <row r="7" spans="1:17" x14ac:dyDescent="0.25">
      <c r="B7" t="s">
        <v>17</v>
      </c>
      <c r="C7" t="s">
        <v>697</v>
      </c>
      <c r="D7" t="s">
        <v>698</v>
      </c>
      <c r="E7" t="s">
        <v>699</v>
      </c>
      <c r="F7" s="19">
        <v>8</v>
      </c>
      <c r="G7" s="19">
        <v>745</v>
      </c>
      <c r="H7" s="19">
        <v>25</v>
      </c>
      <c r="I7" s="19">
        <f t="shared" si="0"/>
        <v>720</v>
      </c>
      <c r="J7" t="s">
        <v>700</v>
      </c>
      <c r="K7" t="s">
        <v>22</v>
      </c>
      <c r="L7" t="s">
        <v>687</v>
      </c>
      <c r="Q7">
        <v>1</v>
      </c>
    </row>
    <row r="8" spans="1:17" x14ac:dyDescent="0.25">
      <c r="B8" t="s">
        <v>17</v>
      </c>
      <c r="C8" t="s">
        <v>358</v>
      </c>
      <c r="D8" t="s">
        <v>701</v>
      </c>
      <c r="E8" t="s">
        <v>702</v>
      </c>
      <c r="F8" t="s">
        <v>44</v>
      </c>
      <c r="G8" s="19">
        <v>510</v>
      </c>
      <c r="H8" s="19">
        <v>30</v>
      </c>
      <c r="I8" s="19">
        <f t="shared" si="0"/>
        <v>480</v>
      </c>
      <c r="J8" t="s">
        <v>700</v>
      </c>
      <c r="K8" t="s">
        <v>22</v>
      </c>
      <c r="L8" t="s">
        <v>687</v>
      </c>
      <c r="Q8">
        <v>1</v>
      </c>
    </row>
    <row r="9" spans="1:17" x14ac:dyDescent="0.25">
      <c r="B9" t="s">
        <v>17</v>
      </c>
      <c r="C9" t="s">
        <v>703</v>
      </c>
      <c r="D9" t="s">
        <v>704</v>
      </c>
      <c r="E9" t="s">
        <v>705</v>
      </c>
      <c r="F9" s="19">
        <v>12</v>
      </c>
      <c r="G9" s="19">
        <v>760</v>
      </c>
      <c r="H9" s="19">
        <v>30</v>
      </c>
      <c r="I9" s="19">
        <f t="shared" si="0"/>
        <v>730</v>
      </c>
      <c r="J9" t="s">
        <v>700</v>
      </c>
      <c r="K9" t="s">
        <v>22</v>
      </c>
      <c r="L9" t="s">
        <v>687</v>
      </c>
      <c r="Q9">
        <v>1</v>
      </c>
    </row>
    <row r="10" spans="1:17" x14ac:dyDescent="0.25">
      <c r="B10" t="s">
        <v>17</v>
      </c>
      <c r="C10" t="s">
        <v>706</v>
      </c>
      <c r="D10" t="s">
        <v>707</v>
      </c>
      <c r="E10" t="s">
        <v>708</v>
      </c>
      <c r="F10" t="s">
        <v>44</v>
      </c>
      <c r="G10" s="19">
        <v>1530</v>
      </c>
      <c r="H10" s="19">
        <v>30</v>
      </c>
      <c r="I10" s="19">
        <f t="shared" si="0"/>
        <v>1500</v>
      </c>
      <c r="J10" t="s">
        <v>700</v>
      </c>
      <c r="K10" t="s">
        <v>22</v>
      </c>
      <c r="L10" t="s">
        <v>687</v>
      </c>
      <c r="Q10">
        <v>1</v>
      </c>
    </row>
    <row r="11" spans="1:17" x14ac:dyDescent="0.25">
      <c r="B11" t="s">
        <v>17</v>
      </c>
      <c r="C11" t="s">
        <v>709</v>
      </c>
      <c r="D11" t="s">
        <v>710</v>
      </c>
      <c r="E11" t="s">
        <v>711</v>
      </c>
      <c r="F11" t="s">
        <v>44</v>
      </c>
      <c r="G11" s="19">
        <v>940</v>
      </c>
      <c r="H11" s="19">
        <v>30</v>
      </c>
      <c r="I11" s="19">
        <f t="shared" si="0"/>
        <v>910</v>
      </c>
      <c r="J11" t="s">
        <v>700</v>
      </c>
      <c r="K11" t="s">
        <v>22</v>
      </c>
      <c r="L11" t="s">
        <v>687</v>
      </c>
      <c r="Q11">
        <v>1</v>
      </c>
    </row>
    <row r="12" spans="1:17" x14ac:dyDescent="0.25">
      <c r="B12" t="s">
        <v>17</v>
      </c>
      <c r="C12" t="s">
        <v>712</v>
      </c>
      <c r="D12" t="s">
        <v>713</v>
      </c>
      <c r="E12" t="s">
        <v>714</v>
      </c>
      <c r="F12" t="s">
        <v>51</v>
      </c>
      <c r="G12" s="19">
        <v>985</v>
      </c>
      <c r="H12" s="19">
        <v>25</v>
      </c>
      <c r="I12" s="19">
        <f t="shared" si="0"/>
        <v>960</v>
      </c>
      <c r="J12" t="s">
        <v>700</v>
      </c>
      <c r="K12" t="s">
        <v>22</v>
      </c>
      <c r="L12" t="s">
        <v>687</v>
      </c>
      <c r="Q12">
        <v>1</v>
      </c>
    </row>
    <row r="13" spans="1:17" x14ac:dyDescent="0.25">
      <c r="B13" t="s">
        <v>17</v>
      </c>
      <c r="C13" t="s">
        <v>715</v>
      </c>
      <c r="D13" t="s">
        <v>716</v>
      </c>
      <c r="E13" t="s">
        <v>717</v>
      </c>
      <c r="F13" s="19">
        <v>8</v>
      </c>
      <c r="G13" s="19">
        <v>0</v>
      </c>
      <c r="H13" s="19">
        <v>25</v>
      </c>
      <c r="I13" s="19">
        <f>-H13</f>
        <v>-25</v>
      </c>
      <c r="J13" t="s">
        <v>700</v>
      </c>
      <c r="K13" t="s">
        <v>22</v>
      </c>
      <c r="L13" t="s">
        <v>687</v>
      </c>
      <c r="Q13">
        <v>1</v>
      </c>
    </row>
    <row r="14" spans="1:17" x14ac:dyDescent="0.25">
      <c r="B14" t="s">
        <v>17</v>
      </c>
      <c r="C14" t="s">
        <v>718</v>
      </c>
      <c r="D14" t="s">
        <v>719</v>
      </c>
      <c r="E14" t="s">
        <v>720</v>
      </c>
      <c r="F14" s="19">
        <v>2</v>
      </c>
      <c r="G14" s="19">
        <v>750</v>
      </c>
      <c r="H14" s="19">
        <v>30</v>
      </c>
      <c r="I14" s="19">
        <f>G14-H14</f>
        <v>720</v>
      </c>
      <c r="J14" t="s">
        <v>22</v>
      </c>
      <c r="K14" t="s">
        <v>22</v>
      </c>
      <c r="L14" t="s">
        <v>687</v>
      </c>
      <c r="Q14">
        <v>1</v>
      </c>
    </row>
    <row r="15" spans="1:17" x14ac:dyDescent="0.25">
      <c r="B15" t="s">
        <v>17</v>
      </c>
      <c r="C15" t="s">
        <v>721</v>
      </c>
      <c r="D15" t="s">
        <v>722</v>
      </c>
      <c r="E15" t="s">
        <v>723</v>
      </c>
      <c r="F15" t="s">
        <v>62</v>
      </c>
      <c r="G15" s="19">
        <v>695</v>
      </c>
      <c r="H15" s="19">
        <v>25</v>
      </c>
      <c r="I15" s="19">
        <f>G15-H15</f>
        <v>670</v>
      </c>
      <c r="J15" t="s">
        <v>22</v>
      </c>
      <c r="K15" t="s">
        <v>22</v>
      </c>
      <c r="L15" t="s">
        <v>687</v>
      </c>
      <c r="Q15">
        <v>1</v>
      </c>
    </row>
    <row r="16" spans="1:17" x14ac:dyDescent="0.25">
      <c r="B16" t="s">
        <v>17</v>
      </c>
      <c r="C16" t="s">
        <v>724</v>
      </c>
      <c r="D16" t="s">
        <v>725</v>
      </c>
      <c r="E16" t="s">
        <v>726</v>
      </c>
      <c r="F16" t="s">
        <v>310</v>
      </c>
      <c r="G16" s="19">
        <v>0</v>
      </c>
      <c r="H16" s="19">
        <v>30</v>
      </c>
      <c r="I16" s="19">
        <f>-H16</f>
        <v>-30</v>
      </c>
      <c r="J16" t="s">
        <v>22</v>
      </c>
      <c r="K16" t="s">
        <v>22</v>
      </c>
      <c r="L16" t="s">
        <v>687</v>
      </c>
      <c r="Q16">
        <v>1</v>
      </c>
    </row>
    <row r="17" spans="1:17" x14ac:dyDescent="0.25">
      <c r="B17" t="s">
        <v>17</v>
      </c>
      <c r="C17" t="s">
        <v>727</v>
      </c>
      <c r="D17" t="s">
        <v>728</v>
      </c>
      <c r="E17" t="s">
        <v>729</v>
      </c>
      <c r="F17" t="s">
        <v>310</v>
      </c>
      <c r="G17" s="19">
        <v>900</v>
      </c>
      <c r="H17" s="19">
        <v>30</v>
      </c>
      <c r="I17" s="19">
        <f>G17-H17</f>
        <v>870</v>
      </c>
      <c r="J17" t="s">
        <v>22</v>
      </c>
      <c r="K17" t="s">
        <v>22</v>
      </c>
      <c r="L17" t="s">
        <v>687</v>
      </c>
      <c r="Q17">
        <v>1</v>
      </c>
    </row>
    <row r="18" spans="1:17" x14ac:dyDescent="0.25">
      <c r="B18" t="s">
        <v>17</v>
      </c>
      <c r="C18" t="s">
        <v>730</v>
      </c>
      <c r="D18" t="s">
        <v>731</v>
      </c>
      <c r="E18" t="s">
        <v>732</v>
      </c>
      <c r="F18" t="s">
        <v>310</v>
      </c>
      <c r="G18" s="19">
        <v>620</v>
      </c>
      <c r="H18" s="19">
        <v>30</v>
      </c>
      <c r="I18" s="19">
        <f>G18-H18</f>
        <v>590</v>
      </c>
      <c r="J18" t="s">
        <v>22</v>
      </c>
      <c r="K18" t="s">
        <v>22</v>
      </c>
      <c r="L18" t="s">
        <v>687</v>
      </c>
      <c r="Q18">
        <v>1</v>
      </c>
    </row>
    <row r="19" spans="1:17" x14ac:dyDescent="0.25">
      <c r="B19" t="s">
        <v>17</v>
      </c>
      <c r="C19" t="s">
        <v>733</v>
      </c>
      <c r="D19" t="s">
        <v>734</v>
      </c>
      <c r="E19" t="s">
        <v>735</v>
      </c>
      <c r="F19" t="s">
        <v>51</v>
      </c>
      <c r="G19" s="19">
        <v>0</v>
      </c>
      <c r="H19" s="19">
        <v>25</v>
      </c>
      <c r="I19" s="19">
        <f>-H19</f>
        <v>-25</v>
      </c>
      <c r="J19" t="s">
        <v>22</v>
      </c>
      <c r="K19" t="s">
        <v>22</v>
      </c>
      <c r="L19" t="s">
        <v>687</v>
      </c>
      <c r="Q19">
        <v>1</v>
      </c>
    </row>
    <row r="21" spans="1:17" x14ac:dyDescent="0.25">
      <c r="D21" s="1">
        <f>COUNTA(D3:D19)</f>
        <v>17</v>
      </c>
      <c r="G21" s="1">
        <f t="shared" ref="G21:Q21" si="1">SUBTOTAL(9,G3:G19)</f>
        <v>10205</v>
      </c>
      <c r="H21" s="1">
        <f t="shared" si="1"/>
        <v>485</v>
      </c>
      <c r="I21" s="1">
        <f t="shared" si="1"/>
        <v>9720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</row>
    <row r="22" spans="1:17" x14ac:dyDescent="0.25">
      <c r="H22">
        <f>-3*17</f>
        <v>-51</v>
      </c>
    </row>
    <row r="23" spans="1:17" x14ac:dyDescent="0.25">
      <c r="A23" s="1" t="s">
        <v>17</v>
      </c>
      <c r="C23" s="42" t="s">
        <v>88</v>
      </c>
      <c r="D23" s="42"/>
      <c r="E23" s="4" t="s">
        <v>89</v>
      </c>
      <c r="H23">
        <f>-4*25</f>
        <v>-100</v>
      </c>
      <c r="K23" s="29" t="s">
        <v>700</v>
      </c>
      <c r="L23" s="29" t="s">
        <v>90</v>
      </c>
      <c r="M23" s="29" t="s">
        <v>89</v>
      </c>
      <c r="O23" s="4" t="s">
        <v>91</v>
      </c>
    </row>
    <row r="24" spans="1:17" x14ac:dyDescent="0.25">
      <c r="A24" t="s">
        <v>687</v>
      </c>
      <c r="B24" s="3" t="s">
        <v>92</v>
      </c>
      <c r="C24" s="43">
        <f>SUMIFS(I$3:I$19,B$3:B$19,A$23,L$3:L$19,A$24)</f>
        <v>9720</v>
      </c>
      <c r="D24" s="43"/>
      <c r="E24" s="3">
        <f>SUMIFS(Q$3:Q$19,B$3:B$19,A$23,L$3:L$19,A$24)</f>
        <v>17</v>
      </c>
      <c r="F24" t="s">
        <v>93</v>
      </c>
      <c r="K24" t="s">
        <v>94</v>
      </c>
      <c r="L24">
        <f>SUMIFS(G$3:G$19,J$3:J$19,K$23)</f>
        <v>5470</v>
      </c>
      <c r="M24">
        <f>SUMIFS(Q$3:Q$19,J$3:J$19,K$23)</f>
        <v>7</v>
      </c>
      <c r="O24" t="s">
        <v>736</v>
      </c>
      <c r="P24">
        <f>L29</f>
        <v>5319</v>
      </c>
    </row>
    <row r="25" spans="1:17" x14ac:dyDescent="0.25">
      <c r="B25" s="2" t="s">
        <v>95</v>
      </c>
      <c r="C25" s="44">
        <v>0</v>
      </c>
      <c r="D25" s="44"/>
      <c r="K25" t="s">
        <v>96</v>
      </c>
      <c r="L25">
        <f>SUM(H22:H23)</f>
        <v>-151</v>
      </c>
      <c r="M25">
        <f>SUMIFS(Q$3:Q$19,J$3:J$19,K$23)</f>
        <v>7</v>
      </c>
      <c r="O25" t="s">
        <v>21</v>
      </c>
      <c r="P25">
        <f>L37</f>
        <v>1670</v>
      </c>
    </row>
    <row r="26" spans="1:17" x14ac:dyDescent="0.25">
      <c r="B26" s="2" t="s">
        <v>97</v>
      </c>
      <c r="C26" s="44">
        <f>-SUMIFS(I$3:I$19,B$3:B$19,A$23,P$3:P$19,"xx",N$3:N$19,"x")</f>
        <v>0</v>
      </c>
      <c r="D26" s="44"/>
      <c r="E26" s="2">
        <f>SUMIFS(Q$3:Q$19,B$3:B$19,A$23,P$3:P$19,"xx",N$3:N$19,"x")</f>
        <v>0</v>
      </c>
      <c r="K26" t="s">
        <v>98</v>
      </c>
      <c r="O26" t="s">
        <v>22</v>
      </c>
      <c r="P26">
        <f>L45</f>
        <v>2791</v>
      </c>
    </row>
    <row r="27" spans="1:17" x14ac:dyDescent="0.25">
      <c r="B27" s="4" t="s">
        <v>100</v>
      </c>
      <c r="C27" s="42">
        <f>SUBTOTAL(9,C24:C26)</f>
        <v>9720</v>
      </c>
      <c r="D27" s="42"/>
      <c r="E27">
        <f>E24</f>
        <v>17</v>
      </c>
      <c r="K27" s="2" t="s">
        <v>101</v>
      </c>
      <c r="O27" t="s">
        <v>104</v>
      </c>
      <c r="P27">
        <f>-C31</f>
        <v>-9720</v>
      </c>
    </row>
    <row r="28" spans="1:17" x14ac:dyDescent="0.25">
      <c r="B28" s="2" t="s">
        <v>102</v>
      </c>
      <c r="C28" s="35"/>
      <c r="D28" s="35"/>
      <c r="K28" s="2" t="s">
        <v>103</v>
      </c>
      <c r="O28" s="4" t="s">
        <v>106</v>
      </c>
      <c r="P28" s="4">
        <f>SUBTOTAL(9,P24:P27)</f>
        <v>60</v>
      </c>
    </row>
    <row r="29" spans="1:17" x14ac:dyDescent="0.25">
      <c r="B29" s="30" t="s">
        <v>105</v>
      </c>
      <c r="C29" s="35"/>
      <c r="D29" s="35"/>
      <c r="L29" s="31">
        <f>SUBTOTAL(9,L24:L28)</f>
        <v>5319</v>
      </c>
      <c r="M29" s="31">
        <f>M24</f>
        <v>7</v>
      </c>
    </row>
    <row r="31" spans="1:17" x14ac:dyDescent="0.25">
      <c r="B31" s="1" t="s">
        <v>107</v>
      </c>
      <c r="C31" s="41">
        <f>C27+C28+C29</f>
        <v>9720</v>
      </c>
      <c r="D31" s="41"/>
      <c r="E31" s="1" t="s">
        <v>108</v>
      </c>
      <c r="K31" s="29" t="s">
        <v>21</v>
      </c>
      <c r="L31" s="29" t="s">
        <v>90</v>
      </c>
      <c r="M31" s="29" t="s">
        <v>89</v>
      </c>
    </row>
    <row r="32" spans="1:17" x14ac:dyDescent="0.25">
      <c r="K32" t="s">
        <v>94</v>
      </c>
      <c r="L32">
        <f>SUMIFS(G$3:G$19,J$3:J$19,K$31)</f>
        <v>1770</v>
      </c>
      <c r="M32">
        <f>SUMIFS(Q$3:Q$19,J$3:J$19,K$31)</f>
        <v>4</v>
      </c>
    </row>
    <row r="33" spans="11:13" x14ac:dyDescent="0.25">
      <c r="K33" t="s">
        <v>96</v>
      </c>
      <c r="L33">
        <f>-SUMIFS(H$3:H$19,J$3:J$19,K$31)+M33*5</f>
        <v>-100</v>
      </c>
      <c r="M33">
        <f>SUMIFS(Q$3:Q$19,J$3:J$19,K$31)-COUNTIFS(J$3:J$19,K$31,M$3:M$19,"*gộp*")</f>
        <v>4</v>
      </c>
    </row>
    <row r="34" spans="11:13" x14ac:dyDescent="0.25">
      <c r="K34" t="s">
        <v>98</v>
      </c>
    </row>
    <row r="35" spans="11:13" x14ac:dyDescent="0.25">
      <c r="K35" s="2" t="s">
        <v>101</v>
      </c>
    </row>
    <row r="36" spans="11:13" x14ac:dyDescent="0.25">
      <c r="K36" s="2" t="s">
        <v>103</v>
      </c>
    </row>
    <row r="37" spans="11:13" x14ac:dyDescent="0.25">
      <c r="L37" s="31">
        <f>SUBTOTAL(9,L32:L36)</f>
        <v>1670</v>
      </c>
      <c r="M37" s="31">
        <f>M32</f>
        <v>4</v>
      </c>
    </row>
    <row r="39" spans="11:13" x14ac:dyDescent="0.25">
      <c r="K39" s="29" t="s">
        <v>22</v>
      </c>
      <c r="L39" s="29" t="s">
        <v>90</v>
      </c>
      <c r="M39" s="29" t="s">
        <v>89</v>
      </c>
    </row>
    <row r="40" spans="11:13" x14ac:dyDescent="0.25">
      <c r="K40" t="s">
        <v>94</v>
      </c>
      <c r="L40">
        <f>SUMIFS(G$3:G$19,J$3:J$19,K$39)</f>
        <v>2965</v>
      </c>
      <c r="M40">
        <f>SUMIFS(Q$3:Q$19,J$3:J$19,K$39)</f>
        <v>6</v>
      </c>
    </row>
    <row r="41" spans="11:13" x14ac:dyDescent="0.25">
      <c r="K41" t="s">
        <v>96</v>
      </c>
      <c r="L41">
        <f>-SUMIFS(H$3:H$19,J$3:J$19,K$39)+M41*5</f>
        <v>-140</v>
      </c>
      <c r="M41">
        <f>SUMIFS(Q$3:Q$19,J$3:J$19,K$39)-COUNTIFS(J$3:J$19,K$39,M$3:M$19,"*gộp*")</f>
        <v>6</v>
      </c>
    </row>
    <row r="42" spans="11:13" x14ac:dyDescent="0.25">
      <c r="K42" t="s">
        <v>98</v>
      </c>
      <c r="L42">
        <f>-M42*2</f>
        <v>-34</v>
      </c>
      <c r="M42">
        <f>Q21-(COUNTIFS(M$3:M$19,"*gộp*")/2)</f>
        <v>17</v>
      </c>
    </row>
    <row r="43" spans="11:13" x14ac:dyDescent="0.25">
      <c r="K43" s="2" t="s">
        <v>101</v>
      </c>
    </row>
    <row r="44" spans="11:13" x14ac:dyDescent="0.25">
      <c r="K44" s="2" t="s">
        <v>103</v>
      </c>
    </row>
    <row r="45" spans="11:13" x14ac:dyDescent="0.25">
      <c r="L45" s="31">
        <f>SUBTOTAL(9,L40:L44)</f>
        <v>2791</v>
      </c>
      <c r="M45" s="31">
        <f>M40</f>
        <v>6</v>
      </c>
    </row>
  </sheetData>
  <autoFilter ref="A2:P19" xr:uid="{00000000-0009-0000-0000-000007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90C4-C6DD-4189-8E34-D7285CDD91D0}">
  <dimension ref="A2:Q67"/>
  <sheetViews>
    <sheetView topLeftCell="A28" zoomScale="80" zoomScaleNormal="80" workbookViewId="0">
      <selection activeCell="A33" sqref="A33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48" customWidth="1"/>
    <col min="4" max="4" width="9.85546875" customWidth="1"/>
    <col min="5" max="5" width="97.140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3" bestFit="1" customWidth="1"/>
    <col min="13" max="13" width="9.42578125" customWidth="1"/>
    <col min="14" max="14" width="9.7109375" customWidth="1"/>
    <col min="15" max="15" width="10.42578125" customWidth="1"/>
    <col min="16" max="16" width="7.85546875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B3" t="s">
        <v>17</v>
      </c>
      <c r="C3" t="s">
        <v>737</v>
      </c>
      <c r="D3" t="s">
        <v>738</v>
      </c>
      <c r="E3" t="s">
        <v>739</v>
      </c>
      <c r="F3" s="19">
        <v>9</v>
      </c>
      <c r="G3" s="19">
        <v>0</v>
      </c>
      <c r="H3" s="19">
        <v>30</v>
      </c>
      <c r="I3" s="19">
        <f>-H3</f>
        <v>-30</v>
      </c>
      <c r="J3" t="s">
        <v>21</v>
      </c>
      <c r="K3" t="s">
        <v>22</v>
      </c>
      <c r="L3" t="s">
        <v>740</v>
      </c>
      <c r="Q3" s="19">
        <v>1</v>
      </c>
    </row>
    <row r="4" spans="1:17" x14ac:dyDescent="0.25">
      <c r="B4" t="s">
        <v>17</v>
      </c>
      <c r="C4" t="s">
        <v>741</v>
      </c>
      <c r="D4" t="s">
        <v>742</v>
      </c>
      <c r="E4" t="s">
        <v>743</v>
      </c>
      <c r="F4" s="19">
        <v>7</v>
      </c>
      <c r="G4" s="19">
        <v>0</v>
      </c>
      <c r="H4" s="19">
        <v>30</v>
      </c>
      <c r="I4" s="19">
        <f>-H4</f>
        <v>-30</v>
      </c>
      <c r="J4" t="s">
        <v>744</v>
      </c>
      <c r="K4" t="s">
        <v>22</v>
      </c>
      <c r="L4" t="s">
        <v>740</v>
      </c>
      <c r="Q4" s="19">
        <v>1</v>
      </c>
    </row>
    <row r="5" spans="1:17" x14ac:dyDescent="0.25">
      <c r="B5" t="s">
        <v>17</v>
      </c>
      <c r="C5" t="s">
        <v>745</v>
      </c>
      <c r="D5" t="s">
        <v>746</v>
      </c>
      <c r="E5" t="s">
        <v>747</v>
      </c>
      <c r="F5" s="19">
        <v>7</v>
      </c>
      <c r="G5" s="19">
        <v>920</v>
      </c>
      <c r="H5" s="19">
        <v>30</v>
      </c>
      <c r="I5" s="19">
        <f t="shared" ref="I5:I23" si="0">G5-H5</f>
        <v>890</v>
      </c>
      <c r="J5" t="s">
        <v>744</v>
      </c>
      <c r="K5" t="s">
        <v>22</v>
      </c>
      <c r="L5" t="s">
        <v>740</v>
      </c>
      <c r="Q5" s="19">
        <v>1</v>
      </c>
    </row>
    <row r="6" spans="1:17" x14ac:dyDescent="0.25">
      <c r="B6" t="s">
        <v>17</v>
      </c>
      <c r="C6" t="s">
        <v>748</v>
      </c>
      <c r="D6" t="s">
        <v>749</v>
      </c>
      <c r="E6" t="s">
        <v>750</v>
      </c>
      <c r="F6" t="s">
        <v>294</v>
      </c>
      <c r="G6" s="19">
        <v>415</v>
      </c>
      <c r="H6" s="19">
        <v>35</v>
      </c>
      <c r="I6" s="19">
        <f t="shared" si="0"/>
        <v>380</v>
      </c>
      <c r="J6" t="s">
        <v>744</v>
      </c>
      <c r="K6" t="s">
        <v>22</v>
      </c>
      <c r="L6" t="s">
        <v>740</v>
      </c>
      <c r="Q6" s="19">
        <v>1</v>
      </c>
    </row>
    <row r="7" spans="1:17" x14ac:dyDescent="0.25">
      <c r="B7" t="s">
        <v>17</v>
      </c>
      <c r="C7" t="s">
        <v>751</v>
      </c>
      <c r="D7" t="s">
        <v>752</v>
      </c>
      <c r="E7" t="s">
        <v>753</v>
      </c>
      <c r="F7" s="19">
        <v>8</v>
      </c>
      <c r="G7" s="19">
        <v>945</v>
      </c>
      <c r="H7" s="19">
        <v>25</v>
      </c>
      <c r="I7" s="19">
        <f t="shared" si="0"/>
        <v>920</v>
      </c>
      <c r="J7" t="s">
        <v>744</v>
      </c>
      <c r="K7" t="s">
        <v>22</v>
      </c>
      <c r="L7" t="s">
        <v>740</v>
      </c>
      <c r="Q7" s="19">
        <v>1</v>
      </c>
    </row>
    <row r="8" spans="1:17" x14ac:dyDescent="0.25">
      <c r="B8" t="s">
        <v>17</v>
      </c>
      <c r="C8" t="s">
        <v>754</v>
      </c>
      <c r="D8" t="s">
        <v>755</v>
      </c>
      <c r="E8" t="s">
        <v>756</v>
      </c>
      <c r="F8" t="s">
        <v>44</v>
      </c>
      <c r="G8" s="19">
        <v>370</v>
      </c>
      <c r="H8" s="19">
        <v>30</v>
      </c>
      <c r="I8" s="19">
        <f t="shared" si="0"/>
        <v>340</v>
      </c>
      <c r="J8" t="s">
        <v>744</v>
      </c>
      <c r="K8" t="s">
        <v>22</v>
      </c>
      <c r="L8" t="s">
        <v>740</v>
      </c>
      <c r="Q8" s="19">
        <v>1</v>
      </c>
    </row>
    <row r="9" spans="1:17" x14ac:dyDescent="0.25">
      <c r="B9" t="s">
        <v>17</v>
      </c>
      <c r="C9" t="s">
        <v>757</v>
      </c>
      <c r="D9" t="s">
        <v>758</v>
      </c>
      <c r="E9" t="s">
        <v>759</v>
      </c>
      <c r="F9" t="s">
        <v>55</v>
      </c>
      <c r="G9" s="19">
        <v>815</v>
      </c>
      <c r="H9" s="19">
        <v>25</v>
      </c>
      <c r="I9" s="19">
        <f t="shared" si="0"/>
        <v>790</v>
      </c>
      <c r="J9" t="s">
        <v>744</v>
      </c>
      <c r="K9" t="s">
        <v>22</v>
      </c>
      <c r="L9" t="s">
        <v>740</v>
      </c>
      <c r="Q9" s="19">
        <v>1</v>
      </c>
    </row>
    <row r="10" spans="1:17" x14ac:dyDescent="0.25">
      <c r="B10" t="s">
        <v>17</v>
      </c>
      <c r="C10" t="s">
        <v>760</v>
      </c>
      <c r="D10" t="s">
        <v>761</v>
      </c>
      <c r="E10" t="s">
        <v>762</v>
      </c>
      <c r="F10" s="19">
        <v>7</v>
      </c>
      <c r="G10" s="19">
        <v>520</v>
      </c>
      <c r="H10" s="19">
        <v>30</v>
      </c>
      <c r="I10" s="19">
        <f t="shared" si="0"/>
        <v>490</v>
      </c>
      <c r="J10" t="s">
        <v>744</v>
      </c>
      <c r="K10" t="s">
        <v>22</v>
      </c>
      <c r="L10" t="s">
        <v>740</v>
      </c>
      <c r="Q10" s="19">
        <v>1</v>
      </c>
    </row>
    <row r="11" spans="1:17" x14ac:dyDescent="0.25">
      <c r="B11" t="s">
        <v>17</v>
      </c>
      <c r="C11" t="s">
        <v>763</v>
      </c>
      <c r="D11" t="s">
        <v>764</v>
      </c>
      <c r="E11" t="s">
        <v>765</v>
      </c>
      <c r="F11" t="s">
        <v>214</v>
      </c>
      <c r="G11" s="19">
        <v>825</v>
      </c>
      <c r="H11" s="19">
        <v>35</v>
      </c>
      <c r="I11" s="19">
        <f t="shared" si="0"/>
        <v>790</v>
      </c>
      <c r="J11" t="s">
        <v>744</v>
      </c>
      <c r="K11" t="s">
        <v>22</v>
      </c>
      <c r="L11" t="s">
        <v>740</v>
      </c>
      <c r="Q11" s="19">
        <v>1</v>
      </c>
    </row>
    <row r="12" spans="1:17" x14ac:dyDescent="0.25">
      <c r="B12" t="s">
        <v>17</v>
      </c>
      <c r="C12" t="s">
        <v>766</v>
      </c>
      <c r="D12" t="s">
        <v>767</v>
      </c>
      <c r="E12" t="s">
        <v>768</v>
      </c>
      <c r="F12" s="19">
        <v>7</v>
      </c>
      <c r="G12" s="19">
        <v>920</v>
      </c>
      <c r="H12" s="19">
        <v>30</v>
      </c>
      <c r="I12" s="19">
        <f t="shared" si="0"/>
        <v>890</v>
      </c>
      <c r="J12" t="s">
        <v>744</v>
      </c>
      <c r="K12" t="s">
        <v>22</v>
      </c>
      <c r="L12" t="s">
        <v>740</v>
      </c>
      <c r="Q12" s="19">
        <v>1</v>
      </c>
    </row>
    <row r="13" spans="1:17" x14ac:dyDescent="0.25">
      <c r="B13" t="s">
        <v>17</v>
      </c>
      <c r="C13" t="s">
        <v>769</v>
      </c>
      <c r="D13" t="s">
        <v>770</v>
      </c>
      <c r="E13" t="s">
        <v>771</v>
      </c>
      <c r="F13" s="19">
        <v>7</v>
      </c>
      <c r="G13" s="19">
        <v>460</v>
      </c>
      <c r="H13" s="19">
        <v>30</v>
      </c>
      <c r="I13" s="19">
        <f t="shared" si="0"/>
        <v>430</v>
      </c>
      <c r="J13" t="s">
        <v>744</v>
      </c>
      <c r="K13" t="s">
        <v>22</v>
      </c>
      <c r="L13" t="s">
        <v>740</v>
      </c>
      <c r="Q13" s="19">
        <v>1</v>
      </c>
    </row>
    <row r="14" spans="1:17" x14ac:dyDescent="0.25">
      <c r="B14" t="s">
        <v>17</v>
      </c>
      <c r="C14" t="s">
        <v>772</v>
      </c>
      <c r="D14" t="s">
        <v>773</v>
      </c>
      <c r="E14" t="s">
        <v>774</v>
      </c>
      <c r="F14" t="s">
        <v>44</v>
      </c>
      <c r="G14" s="19">
        <v>670</v>
      </c>
      <c r="H14" s="19">
        <v>30</v>
      </c>
      <c r="I14" s="19">
        <f t="shared" si="0"/>
        <v>640</v>
      </c>
      <c r="J14" t="s">
        <v>744</v>
      </c>
      <c r="K14" t="s">
        <v>22</v>
      </c>
      <c r="L14" t="s">
        <v>740</v>
      </c>
      <c r="Q14" s="19">
        <v>1</v>
      </c>
    </row>
    <row r="15" spans="1:17" x14ac:dyDescent="0.25">
      <c r="B15" t="s">
        <v>17</v>
      </c>
      <c r="C15" t="s">
        <v>775</v>
      </c>
      <c r="D15" t="s">
        <v>776</v>
      </c>
      <c r="E15" t="s">
        <v>777</v>
      </c>
      <c r="F15" t="s">
        <v>44</v>
      </c>
      <c r="G15" s="19">
        <v>780</v>
      </c>
      <c r="H15" s="19">
        <v>30</v>
      </c>
      <c r="I15" s="19">
        <f t="shared" si="0"/>
        <v>750</v>
      </c>
      <c r="J15" t="s">
        <v>744</v>
      </c>
      <c r="K15" t="s">
        <v>22</v>
      </c>
      <c r="L15" t="s">
        <v>740</v>
      </c>
      <c r="Q15" s="19">
        <v>1</v>
      </c>
    </row>
    <row r="16" spans="1:17" x14ac:dyDescent="0.25">
      <c r="B16" t="s">
        <v>17</v>
      </c>
      <c r="C16" t="s">
        <v>778</v>
      </c>
      <c r="D16" t="s">
        <v>779</v>
      </c>
      <c r="E16" t="s">
        <v>780</v>
      </c>
      <c r="F16" s="19">
        <v>8</v>
      </c>
      <c r="G16" s="19">
        <v>30</v>
      </c>
      <c r="H16" s="19">
        <v>30</v>
      </c>
      <c r="I16" s="19">
        <f t="shared" si="0"/>
        <v>0</v>
      </c>
      <c r="J16" t="s">
        <v>744</v>
      </c>
      <c r="K16" t="s">
        <v>22</v>
      </c>
      <c r="L16" t="s">
        <v>740</v>
      </c>
      <c r="M16" t="s">
        <v>131</v>
      </c>
      <c r="Q16" s="19">
        <v>1</v>
      </c>
    </row>
    <row r="17" spans="2:17" x14ac:dyDescent="0.25">
      <c r="B17" t="s">
        <v>17</v>
      </c>
      <c r="C17" t="s">
        <v>38</v>
      </c>
      <c r="D17" t="s">
        <v>781</v>
      </c>
      <c r="E17" t="s">
        <v>40</v>
      </c>
      <c r="F17" s="19">
        <v>7</v>
      </c>
      <c r="G17" s="19">
        <v>620</v>
      </c>
      <c r="H17" s="19">
        <v>30</v>
      </c>
      <c r="I17" s="19">
        <f t="shared" si="0"/>
        <v>590</v>
      </c>
      <c r="J17" t="s">
        <v>744</v>
      </c>
      <c r="K17" t="s">
        <v>22</v>
      </c>
      <c r="L17" t="s">
        <v>740</v>
      </c>
      <c r="Q17" s="19">
        <v>1</v>
      </c>
    </row>
    <row r="18" spans="2:17" x14ac:dyDescent="0.25">
      <c r="B18" t="s">
        <v>17</v>
      </c>
      <c r="C18" t="s">
        <v>782</v>
      </c>
      <c r="D18" t="s">
        <v>783</v>
      </c>
      <c r="E18" t="s">
        <v>784</v>
      </c>
      <c r="F18" t="s">
        <v>62</v>
      </c>
      <c r="G18" s="19">
        <v>25</v>
      </c>
      <c r="H18" s="19">
        <v>25</v>
      </c>
      <c r="I18" s="19">
        <f t="shared" si="0"/>
        <v>0</v>
      </c>
      <c r="J18" t="s">
        <v>22</v>
      </c>
      <c r="K18" t="s">
        <v>22</v>
      </c>
      <c r="L18" t="s">
        <v>740</v>
      </c>
      <c r="M18" t="s">
        <v>131</v>
      </c>
      <c r="Q18" s="19">
        <v>1</v>
      </c>
    </row>
    <row r="19" spans="2:17" x14ac:dyDescent="0.25">
      <c r="B19" t="s">
        <v>17</v>
      </c>
      <c r="C19" t="s">
        <v>785</v>
      </c>
      <c r="D19" t="s">
        <v>786</v>
      </c>
      <c r="E19" t="s">
        <v>787</v>
      </c>
      <c r="F19" t="s">
        <v>66</v>
      </c>
      <c r="G19" s="19">
        <v>790</v>
      </c>
      <c r="H19" s="19">
        <v>20</v>
      </c>
      <c r="I19" s="19">
        <f t="shared" si="0"/>
        <v>770</v>
      </c>
      <c r="J19" t="s">
        <v>22</v>
      </c>
      <c r="K19" t="s">
        <v>22</v>
      </c>
      <c r="L19" t="s">
        <v>740</v>
      </c>
      <c r="Q19" s="19">
        <v>1</v>
      </c>
    </row>
    <row r="20" spans="2:17" x14ac:dyDescent="0.25">
      <c r="B20" t="s">
        <v>17</v>
      </c>
      <c r="C20" t="s">
        <v>788</v>
      </c>
      <c r="D20" t="s">
        <v>789</v>
      </c>
      <c r="E20" t="s">
        <v>790</v>
      </c>
      <c r="F20" t="s">
        <v>51</v>
      </c>
      <c r="G20" s="19">
        <v>895</v>
      </c>
      <c r="H20" s="19">
        <v>25</v>
      </c>
      <c r="I20" s="19">
        <f t="shared" si="0"/>
        <v>870</v>
      </c>
      <c r="J20" t="s">
        <v>22</v>
      </c>
      <c r="K20" t="s">
        <v>22</v>
      </c>
      <c r="L20" t="s">
        <v>740</v>
      </c>
      <c r="Q20" s="19">
        <v>1</v>
      </c>
    </row>
    <row r="21" spans="2:17" x14ac:dyDescent="0.25">
      <c r="B21" t="s">
        <v>17</v>
      </c>
      <c r="C21" t="s">
        <v>791</v>
      </c>
      <c r="D21" t="s">
        <v>792</v>
      </c>
      <c r="E21" t="s">
        <v>793</v>
      </c>
      <c r="F21" t="s">
        <v>51</v>
      </c>
      <c r="G21" s="19">
        <v>885</v>
      </c>
      <c r="H21" s="19">
        <v>25</v>
      </c>
      <c r="I21" s="19">
        <f t="shared" si="0"/>
        <v>860</v>
      </c>
      <c r="J21" t="s">
        <v>22</v>
      </c>
      <c r="K21" t="s">
        <v>22</v>
      </c>
      <c r="L21" t="s">
        <v>740</v>
      </c>
      <c r="Q21" s="19">
        <v>1</v>
      </c>
    </row>
    <row r="22" spans="2:17" x14ac:dyDescent="0.25">
      <c r="B22" t="s">
        <v>17</v>
      </c>
      <c r="C22" t="s">
        <v>794</v>
      </c>
      <c r="D22" t="s">
        <v>795</v>
      </c>
      <c r="E22" t="s">
        <v>729</v>
      </c>
      <c r="F22" t="s">
        <v>310</v>
      </c>
      <c r="G22" s="19">
        <v>30</v>
      </c>
      <c r="H22" s="19">
        <v>30</v>
      </c>
      <c r="I22" s="19">
        <f t="shared" si="0"/>
        <v>0</v>
      </c>
      <c r="J22" t="s">
        <v>22</v>
      </c>
      <c r="K22" t="s">
        <v>22</v>
      </c>
      <c r="L22" t="s">
        <v>740</v>
      </c>
      <c r="M22" t="s">
        <v>131</v>
      </c>
      <c r="Q22" s="19">
        <v>1</v>
      </c>
    </row>
    <row r="23" spans="2:17" x14ac:dyDescent="0.25">
      <c r="B23" t="s">
        <v>17</v>
      </c>
      <c r="C23" t="s">
        <v>796</v>
      </c>
      <c r="D23" t="s">
        <v>797</v>
      </c>
      <c r="E23" t="s">
        <v>798</v>
      </c>
      <c r="F23" t="s">
        <v>62</v>
      </c>
      <c r="G23" s="19">
        <v>775</v>
      </c>
      <c r="H23" s="19">
        <v>25</v>
      </c>
      <c r="I23" s="19">
        <f t="shared" si="0"/>
        <v>750</v>
      </c>
      <c r="J23" t="s">
        <v>22</v>
      </c>
      <c r="K23" t="s">
        <v>22</v>
      </c>
      <c r="L23" t="s">
        <v>740</v>
      </c>
      <c r="Q23" s="19">
        <v>1</v>
      </c>
    </row>
    <row r="24" spans="2:17" x14ac:dyDescent="0.25">
      <c r="B24" t="s">
        <v>17</v>
      </c>
      <c r="C24" t="s">
        <v>799</v>
      </c>
      <c r="D24" t="s">
        <v>800</v>
      </c>
      <c r="E24" t="s">
        <v>801</v>
      </c>
      <c r="F24" t="s">
        <v>66</v>
      </c>
      <c r="G24" s="19">
        <v>0</v>
      </c>
      <c r="H24" s="19">
        <v>20</v>
      </c>
      <c r="I24" s="19">
        <f>-H24</f>
        <v>-20</v>
      </c>
      <c r="J24" t="s">
        <v>22</v>
      </c>
      <c r="K24" t="s">
        <v>22</v>
      </c>
      <c r="L24" t="s">
        <v>740</v>
      </c>
      <c r="Q24" s="19">
        <v>1</v>
      </c>
    </row>
    <row r="25" spans="2:17" x14ac:dyDescent="0.25">
      <c r="B25" t="s">
        <v>17</v>
      </c>
      <c r="C25" t="s">
        <v>802</v>
      </c>
      <c r="D25" t="s">
        <v>803</v>
      </c>
      <c r="E25" t="s">
        <v>804</v>
      </c>
      <c r="F25" t="s">
        <v>51</v>
      </c>
      <c r="G25" s="19">
        <v>0</v>
      </c>
      <c r="H25" s="19">
        <v>25</v>
      </c>
      <c r="I25" s="19">
        <f>-H25</f>
        <v>-25</v>
      </c>
      <c r="J25" t="s">
        <v>22</v>
      </c>
      <c r="K25" t="s">
        <v>22</v>
      </c>
      <c r="L25" t="s">
        <v>740</v>
      </c>
      <c r="Q25" s="19">
        <v>1</v>
      </c>
    </row>
    <row r="26" spans="2:17" x14ac:dyDescent="0.25">
      <c r="B26" t="s">
        <v>17</v>
      </c>
      <c r="C26" t="s">
        <v>805</v>
      </c>
      <c r="D26" t="s">
        <v>806</v>
      </c>
      <c r="E26" t="s">
        <v>807</v>
      </c>
      <c r="F26" s="19">
        <v>5</v>
      </c>
      <c r="G26" s="19">
        <v>0</v>
      </c>
      <c r="H26" s="19">
        <v>25</v>
      </c>
      <c r="I26" s="19">
        <f>-H26</f>
        <v>-25</v>
      </c>
      <c r="J26" t="s">
        <v>79</v>
      </c>
      <c r="K26" t="s">
        <v>22</v>
      </c>
      <c r="L26" t="s">
        <v>740</v>
      </c>
      <c r="Q26" s="19">
        <v>1</v>
      </c>
    </row>
    <row r="27" spans="2:17" x14ac:dyDescent="0.25">
      <c r="B27" t="s">
        <v>17</v>
      </c>
      <c r="C27" t="s">
        <v>808</v>
      </c>
      <c r="D27" t="s">
        <v>809</v>
      </c>
      <c r="E27" t="s">
        <v>810</v>
      </c>
      <c r="F27" t="s">
        <v>162</v>
      </c>
      <c r="G27" s="19">
        <v>810</v>
      </c>
      <c r="H27" s="19">
        <v>20</v>
      </c>
      <c r="I27" s="19">
        <f t="shared" ref="I27:I33" si="1">G27-H27</f>
        <v>790</v>
      </c>
      <c r="J27" t="s">
        <v>79</v>
      </c>
      <c r="K27" t="s">
        <v>22</v>
      </c>
      <c r="L27" t="s">
        <v>740</v>
      </c>
      <c r="Q27" s="19">
        <v>1</v>
      </c>
    </row>
    <row r="28" spans="2:17" x14ac:dyDescent="0.25">
      <c r="B28" t="s">
        <v>17</v>
      </c>
      <c r="C28" t="s">
        <v>811</v>
      </c>
      <c r="D28" t="s">
        <v>812</v>
      </c>
      <c r="E28" t="s">
        <v>813</v>
      </c>
      <c r="F28" s="19">
        <v>1</v>
      </c>
      <c r="G28" s="19">
        <v>665</v>
      </c>
      <c r="H28" s="19">
        <v>25</v>
      </c>
      <c r="I28" s="19">
        <f t="shared" si="1"/>
        <v>640</v>
      </c>
      <c r="J28" t="s">
        <v>79</v>
      </c>
      <c r="K28" t="s">
        <v>22</v>
      </c>
      <c r="L28" t="s">
        <v>740</v>
      </c>
      <c r="Q28" s="19">
        <v>1</v>
      </c>
    </row>
    <row r="29" spans="2:17" x14ac:dyDescent="0.25">
      <c r="B29" t="s">
        <v>17</v>
      </c>
      <c r="C29" t="s">
        <v>814</v>
      </c>
      <c r="D29" t="s">
        <v>815</v>
      </c>
      <c r="E29" t="s">
        <v>816</v>
      </c>
      <c r="F29" t="s">
        <v>162</v>
      </c>
      <c r="G29" s="19">
        <v>1680</v>
      </c>
      <c r="H29" s="19">
        <v>20</v>
      </c>
      <c r="I29" s="19">
        <f t="shared" si="1"/>
        <v>1660</v>
      </c>
      <c r="J29" t="s">
        <v>79</v>
      </c>
      <c r="K29" t="s">
        <v>22</v>
      </c>
      <c r="L29" t="s">
        <v>740</v>
      </c>
      <c r="Q29" s="19">
        <v>1</v>
      </c>
    </row>
    <row r="30" spans="2:17" x14ac:dyDescent="0.25">
      <c r="B30" t="s">
        <v>17</v>
      </c>
      <c r="C30" t="s">
        <v>817</v>
      </c>
      <c r="D30" t="s">
        <v>818</v>
      </c>
      <c r="E30" t="s">
        <v>819</v>
      </c>
      <c r="F30" t="s">
        <v>51</v>
      </c>
      <c r="G30" s="19">
        <v>915</v>
      </c>
      <c r="H30" s="19">
        <v>25</v>
      </c>
      <c r="I30" s="19">
        <f t="shared" si="1"/>
        <v>890</v>
      </c>
      <c r="J30" t="s">
        <v>79</v>
      </c>
      <c r="K30" t="s">
        <v>22</v>
      </c>
      <c r="L30" t="s">
        <v>740</v>
      </c>
      <c r="Q30" s="19">
        <v>1</v>
      </c>
    </row>
    <row r="31" spans="2:17" x14ac:dyDescent="0.25">
      <c r="B31" t="s">
        <v>17</v>
      </c>
      <c r="C31" t="s">
        <v>820</v>
      </c>
      <c r="D31" t="s">
        <v>821</v>
      </c>
      <c r="E31" t="s">
        <v>822</v>
      </c>
      <c r="F31" s="19">
        <v>10</v>
      </c>
      <c r="G31" s="19">
        <v>795</v>
      </c>
      <c r="H31" s="19">
        <v>25</v>
      </c>
      <c r="I31" s="19">
        <f t="shared" si="1"/>
        <v>770</v>
      </c>
      <c r="J31" t="s">
        <v>79</v>
      </c>
      <c r="K31" t="s">
        <v>22</v>
      </c>
      <c r="L31" t="s">
        <v>740</v>
      </c>
      <c r="Q31" s="19">
        <v>1</v>
      </c>
    </row>
    <row r="32" spans="2:17" x14ac:dyDescent="0.25">
      <c r="B32" t="s">
        <v>17</v>
      </c>
      <c r="C32" t="s">
        <v>823</v>
      </c>
      <c r="D32" t="s">
        <v>824</v>
      </c>
      <c r="E32" t="s">
        <v>825</v>
      </c>
      <c r="F32" s="19">
        <v>10</v>
      </c>
      <c r="G32" s="19">
        <v>615</v>
      </c>
      <c r="H32" s="19">
        <v>25</v>
      </c>
      <c r="I32" s="19">
        <f t="shared" si="1"/>
        <v>590</v>
      </c>
      <c r="J32" t="s">
        <v>79</v>
      </c>
      <c r="K32" t="s">
        <v>22</v>
      </c>
      <c r="L32" t="s">
        <v>740</v>
      </c>
      <c r="Q32" s="19">
        <v>1</v>
      </c>
    </row>
    <row r="33" spans="1:17" s="2" customFormat="1" x14ac:dyDescent="0.25">
      <c r="B33" s="2" t="s">
        <v>17</v>
      </c>
      <c r="C33" s="2" t="s">
        <v>826</v>
      </c>
      <c r="D33" s="2" t="s">
        <v>827</v>
      </c>
      <c r="E33" s="2" t="s">
        <v>828</v>
      </c>
      <c r="F33" s="2" t="s">
        <v>629</v>
      </c>
      <c r="G33" s="20">
        <v>870</v>
      </c>
      <c r="H33" s="20">
        <v>0</v>
      </c>
      <c r="I33" s="20">
        <f t="shared" si="1"/>
        <v>870</v>
      </c>
      <c r="J33" s="2" t="s">
        <v>172</v>
      </c>
      <c r="K33" s="2" t="s">
        <v>22</v>
      </c>
      <c r="L33" s="2" t="s">
        <v>740</v>
      </c>
      <c r="M33" s="2" t="s">
        <v>630</v>
      </c>
      <c r="N33" s="2" t="s">
        <v>174</v>
      </c>
      <c r="P33" s="2" t="s">
        <v>175</v>
      </c>
      <c r="Q33" s="20">
        <v>1</v>
      </c>
    </row>
    <row r="35" spans="1:17" x14ac:dyDescent="0.25">
      <c r="D35" s="1">
        <f>COUNTA(D3:D33)</f>
        <v>31</v>
      </c>
      <c r="G35" s="1">
        <f t="shared" ref="G35:Q35" si="2">SUBTOTAL(9,G3:G33)</f>
        <v>18040</v>
      </c>
      <c r="H35" s="1">
        <f t="shared" si="2"/>
        <v>810</v>
      </c>
      <c r="I35" s="1">
        <f t="shared" si="2"/>
        <v>17230</v>
      </c>
      <c r="J35" s="1">
        <f t="shared" si="2"/>
        <v>0</v>
      </c>
      <c r="K35" s="1">
        <f t="shared" si="2"/>
        <v>0</v>
      </c>
      <c r="L35" s="1">
        <f t="shared" si="2"/>
        <v>0</v>
      </c>
      <c r="M35" s="1">
        <f t="shared" si="2"/>
        <v>0</v>
      </c>
      <c r="N35" s="1">
        <f t="shared" si="2"/>
        <v>0</v>
      </c>
      <c r="O35" s="1">
        <f t="shared" si="2"/>
        <v>0</v>
      </c>
      <c r="P35" s="1">
        <f t="shared" si="2"/>
        <v>0</v>
      </c>
      <c r="Q35" s="1">
        <f t="shared" si="2"/>
        <v>31</v>
      </c>
    </row>
    <row r="36" spans="1:17" x14ac:dyDescent="0.25">
      <c r="H36">
        <f>-9*17</f>
        <v>-153</v>
      </c>
    </row>
    <row r="37" spans="1:17" x14ac:dyDescent="0.25">
      <c r="A37" s="1" t="s">
        <v>17</v>
      </c>
      <c r="C37" s="42" t="s">
        <v>88</v>
      </c>
      <c r="D37" s="42"/>
      <c r="E37" s="4" t="s">
        <v>89</v>
      </c>
      <c r="H37">
        <f>-3*25</f>
        <v>-75</v>
      </c>
      <c r="K37" s="29" t="s">
        <v>22</v>
      </c>
      <c r="L37" s="29" t="s">
        <v>90</v>
      </c>
      <c r="M37" s="29" t="s">
        <v>89</v>
      </c>
      <c r="O37" s="4" t="s">
        <v>91</v>
      </c>
    </row>
    <row r="38" spans="1:17" x14ac:dyDescent="0.25">
      <c r="A38" t="s">
        <v>740</v>
      </c>
      <c r="B38" s="3" t="s">
        <v>92</v>
      </c>
      <c r="C38" s="43">
        <f>SUMIFS(I$3:I$33,B$3:B$33,A$37,L$3:L$33,A$38)</f>
        <v>17230</v>
      </c>
      <c r="D38" s="43"/>
      <c r="E38" s="3">
        <f>SUMIFS(Q$3:Q$33,B$3:B$33,A$37,L$3:L$33,A$38)</f>
        <v>31</v>
      </c>
      <c r="F38" t="s">
        <v>93</v>
      </c>
      <c r="H38">
        <f>-2*30</f>
        <v>-60</v>
      </c>
      <c r="K38" t="s">
        <v>94</v>
      </c>
      <c r="L38">
        <f>SUMIFS(G$3:G$33,J$3:J$33,K$37)</f>
        <v>3400</v>
      </c>
      <c r="M38">
        <f>SUMIFS(Q$3:Q$33,J$3:J$33,K$37)</f>
        <v>8</v>
      </c>
      <c r="O38" t="s">
        <v>22</v>
      </c>
      <c r="P38">
        <f>L43</f>
        <v>3185</v>
      </c>
    </row>
    <row r="39" spans="1:17" x14ac:dyDescent="0.25">
      <c r="B39" s="2" t="s">
        <v>95</v>
      </c>
      <c r="C39" s="44">
        <v>0</v>
      </c>
      <c r="D39" s="44"/>
      <c r="K39" t="s">
        <v>96</v>
      </c>
      <c r="L39">
        <f>-SUMIFS(H$3:H$33,J$3:J$33,K$37)+M39*5</f>
        <v>-155</v>
      </c>
      <c r="M39">
        <f>SUMIFS(Q$3:Q$33,J$3:J$33,K$37)-COUNTIFS(J$3:J$33,K$37,M$3:M$33,"*gộp*")</f>
        <v>8</v>
      </c>
      <c r="O39" t="s">
        <v>21</v>
      </c>
      <c r="P39">
        <f>L51</f>
        <v>-25</v>
      </c>
    </row>
    <row r="40" spans="1:17" x14ac:dyDescent="0.25">
      <c r="B40" s="2" t="s">
        <v>97</v>
      </c>
      <c r="C40" s="44">
        <f>-SUMIFS(I$3:I$33,B$3:B$33,A$37,P$3:P$33,"xx",N$3:N$33,"x")</f>
        <v>-870</v>
      </c>
      <c r="D40" s="44"/>
      <c r="E40" s="2">
        <f>SUMIFS(Q$3:Q$33,B$3:B$33,A$37,P$3:P$33,"xx",N$3:N$33,"x")</f>
        <v>1</v>
      </c>
      <c r="K40" t="s">
        <v>98</v>
      </c>
      <c r="L40">
        <f>-M40*2</f>
        <v>-60</v>
      </c>
      <c r="M40">
        <f>E38-E40</f>
        <v>30</v>
      </c>
      <c r="O40" t="s">
        <v>829</v>
      </c>
      <c r="P40">
        <f>L59</f>
        <v>8002</v>
      </c>
    </row>
    <row r="41" spans="1:17" x14ac:dyDescent="0.25">
      <c r="B41" s="4" t="s">
        <v>100</v>
      </c>
      <c r="C41" s="42">
        <f>SUBTOTAL(9,C38:C40)</f>
        <v>16360</v>
      </c>
      <c r="D41" s="42"/>
      <c r="E41">
        <f>E38</f>
        <v>31</v>
      </c>
      <c r="K41" s="2" t="s">
        <v>101</v>
      </c>
      <c r="O41" t="s">
        <v>79</v>
      </c>
      <c r="P41">
        <f>L67</f>
        <v>5350</v>
      </c>
    </row>
    <row r="42" spans="1:17" x14ac:dyDescent="0.25">
      <c r="B42" s="2" t="s">
        <v>102</v>
      </c>
      <c r="C42" s="35"/>
      <c r="D42" s="35"/>
      <c r="K42" s="2" t="s">
        <v>103</v>
      </c>
      <c r="O42" t="s">
        <v>104</v>
      </c>
      <c r="P42">
        <f>-C45</f>
        <v>-16360</v>
      </c>
    </row>
    <row r="43" spans="1:17" x14ac:dyDescent="0.25">
      <c r="B43" s="30" t="s">
        <v>105</v>
      </c>
      <c r="C43" s="35"/>
      <c r="D43" s="35"/>
      <c r="L43" s="31">
        <f>SUBTOTAL(9,L38:L42)</f>
        <v>3185</v>
      </c>
      <c r="M43" s="31">
        <f>M38</f>
        <v>8</v>
      </c>
      <c r="O43" s="4" t="s">
        <v>106</v>
      </c>
      <c r="P43" s="4">
        <f>SUBTOTAL(9,P38:P42)</f>
        <v>152</v>
      </c>
    </row>
    <row r="45" spans="1:17" x14ac:dyDescent="0.25">
      <c r="B45" s="1" t="s">
        <v>107</v>
      </c>
      <c r="C45" s="41">
        <f>C41+C42+C43</f>
        <v>16360</v>
      </c>
      <c r="D45" s="41"/>
      <c r="E45" s="1" t="s">
        <v>108</v>
      </c>
      <c r="K45" s="29" t="s">
        <v>21</v>
      </c>
      <c r="L45" s="29" t="s">
        <v>90</v>
      </c>
      <c r="M45" s="29" t="s">
        <v>89</v>
      </c>
    </row>
    <row r="46" spans="1:17" x14ac:dyDescent="0.25">
      <c r="K46" t="s">
        <v>94</v>
      </c>
      <c r="L46">
        <f>SUMIFS(G$3:G$33,J$3:J$33,K$45)</f>
        <v>0</v>
      </c>
      <c r="M46">
        <f>SUMIFS(Q$3:Q$33,J$3:J$33,K$45)</f>
        <v>1</v>
      </c>
    </row>
    <row r="47" spans="1:17" x14ac:dyDescent="0.25">
      <c r="K47" t="s">
        <v>96</v>
      </c>
      <c r="L47">
        <f>-SUMIFS(H$3:H$33,J$3:J$33,K$45)+M47*5</f>
        <v>-25</v>
      </c>
      <c r="M47" s="19">
        <f>SUMIFS(Q$3:Q$33,J$3:J$33,K$45)-COUNTIFS(J$3:J$33,K$45,M$3:M$33,"*gộp*")</f>
        <v>1</v>
      </c>
    </row>
    <row r="48" spans="1:17" x14ac:dyDescent="0.25">
      <c r="K48" t="s">
        <v>98</v>
      </c>
    </row>
    <row r="49" spans="11:13" x14ac:dyDescent="0.25">
      <c r="K49" s="2" t="s">
        <v>101</v>
      </c>
    </row>
    <row r="50" spans="11:13" x14ac:dyDescent="0.25">
      <c r="K50" s="2" t="s">
        <v>103</v>
      </c>
    </row>
    <row r="51" spans="11:13" x14ac:dyDescent="0.25">
      <c r="L51" s="31">
        <f>SUBTOTAL(9,L46:L50)</f>
        <v>-25</v>
      </c>
      <c r="M51" s="31">
        <f>M46</f>
        <v>1</v>
      </c>
    </row>
    <row r="53" spans="11:13" x14ac:dyDescent="0.25">
      <c r="K53" s="29" t="s">
        <v>744</v>
      </c>
      <c r="L53" s="29" t="s">
        <v>90</v>
      </c>
      <c r="M53" s="29" t="s">
        <v>89</v>
      </c>
    </row>
    <row r="54" spans="11:13" x14ac:dyDescent="0.25">
      <c r="K54" t="s">
        <v>94</v>
      </c>
      <c r="L54">
        <f>SUMIFS(G$3:G$33,J$3:J$33,K$53)</f>
        <v>8290</v>
      </c>
      <c r="M54">
        <f>SUMIFS(Q$3:Q$33,J$3:J$33,K$53)</f>
        <v>14</v>
      </c>
    </row>
    <row r="55" spans="11:13" x14ac:dyDescent="0.25">
      <c r="K55" t="s">
        <v>96</v>
      </c>
      <c r="L55">
        <f>SUM(H36:H38)</f>
        <v>-288</v>
      </c>
      <c r="M55">
        <f>SUMIFS(Q$3:Q$33,J$3:J$33,K$53)</f>
        <v>14</v>
      </c>
    </row>
    <row r="56" spans="11:13" x14ac:dyDescent="0.25">
      <c r="K56" t="s">
        <v>98</v>
      </c>
    </row>
    <row r="57" spans="11:13" x14ac:dyDescent="0.25">
      <c r="K57" s="2" t="s">
        <v>101</v>
      </c>
    </row>
    <row r="58" spans="11:13" x14ac:dyDescent="0.25">
      <c r="K58" s="2" t="s">
        <v>103</v>
      </c>
    </row>
    <row r="59" spans="11:13" x14ac:dyDescent="0.25">
      <c r="L59" s="31">
        <f>SUBTOTAL(9,L54:L58)</f>
        <v>8002</v>
      </c>
      <c r="M59" s="31">
        <f>M54</f>
        <v>14</v>
      </c>
    </row>
    <row r="61" spans="11:13" x14ac:dyDescent="0.25">
      <c r="K61" s="29" t="s">
        <v>79</v>
      </c>
      <c r="L61" s="29" t="s">
        <v>90</v>
      </c>
      <c r="M61" s="29" t="s">
        <v>89</v>
      </c>
    </row>
    <row r="62" spans="11:13" x14ac:dyDescent="0.25">
      <c r="K62" t="s">
        <v>94</v>
      </c>
      <c r="L62">
        <f>SUMIFS(G$3:G$33,J$3:J$33,K$61)</f>
        <v>5480</v>
      </c>
      <c r="M62">
        <f>SUMIFS(Q$3:Q$33,J$3:J$33,K$61)</f>
        <v>7</v>
      </c>
    </row>
    <row r="63" spans="11:13" x14ac:dyDescent="0.25">
      <c r="K63" t="s">
        <v>96</v>
      </c>
      <c r="L63">
        <f>-SUMIFS(H$3:H$33,J$3:J$33,K$61)+M63*5</f>
        <v>-130</v>
      </c>
      <c r="M63">
        <f>SUMIFS(Q$3:Q$33,J$3:J$33,K$61)-COUNTIFS(J$3:J$33,K$61,M$3:M$33,"*gộp*")</f>
        <v>7</v>
      </c>
    </row>
    <row r="64" spans="11:13" x14ac:dyDescent="0.25">
      <c r="K64" t="s">
        <v>98</v>
      </c>
    </row>
    <row r="65" spans="11:13" x14ac:dyDescent="0.25">
      <c r="K65" s="2" t="s">
        <v>101</v>
      </c>
    </row>
    <row r="66" spans="11:13" x14ac:dyDescent="0.25">
      <c r="K66" s="2" t="s">
        <v>103</v>
      </c>
    </row>
    <row r="67" spans="11:13" x14ac:dyDescent="0.25">
      <c r="L67" s="31">
        <f>SUBTOTAL(9,L62:L66)</f>
        <v>5350</v>
      </c>
      <c r="M67" s="31">
        <f>M62</f>
        <v>7</v>
      </c>
    </row>
  </sheetData>
  <autoFilter ref="A2:P33" xr:uid="{00000000-0009-0000-0000-000008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D7F8-C3E6-456E-A5D8-5637D43CE2EF}">
  <dimension ref="A2:Q71"/>
  <sheetViews>
    <sheetView topLeftCell="A19" workbookViewId="0">
      <selection activeCell="D20" sqref="D20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28.7109375" customWidth="1"/>
    <col min="4" max="4" width="9.85546875" customWidth="1"/>
    <col min="5" max="5" width="66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  <col min="17" max="17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</row>
    <row r="3" spans="1:17" x14ac:dyDescent="0.25">
      <c r="B3" t="s">
        <v>17</v>
      </c>
      <c r="C3" t="s">
        <v>830</v>
      </c>
      <c r="D3" t="s">
        <v>831</v>
      </c>
      <c r="E3" t="s">
        <v>832</v>
      </c>
      <c r="F3" s="19">
        <v>9</v>
      </c>
      <c r="G3" s="19">
        <v>700</v>
      </c>
      <c r="H3" s="19">
        <v>30</v>
      </c>
      <c r="I3" s="19">
        <f>G3-H3</f>
        <v>670</v>
      </c>
      <c r="J3" t="s">
        <v>21</v>
      </c>
      <c r="K3" t="s">
        <v>22</v>
      </c>
      <c r="L3" t="s">
        <v>833</v>
      </c>
      <c r="Q3">
        <v>1</v>
      </c>
    </row>
    <row r="4" spans="1:17" x14ac:dyDescent="0.25">
      <c r="A4" t="s">
        <v>24</v>
      </c>
      <c r="B4" t="s">
        <v>17</v>
      </c>
      <c r="C4" t="s">
        <v>507</v>
      </c>
      <c r="E4" t="s">
        <v>32</v>
      </c>
      <c r="F4" s="19">
        <v>6</v>
      </c>
      <c r="G4" s="19">
        <v>0</v>
      </c>
      <c r="H4" s="19">
        <v>30</v>
      </c>
      <c r="I4" s="19">
        <f>-H4</f>
        <v>-30</v>
      </c>
      <c r="J4" t="s">
        <v>834</v>
      </c>
      <c r="K4" t="s">
        <v>22</v>
      </c>
      <c r="L4" t="s">
        <v>833</v>
      </c>
      <c r="Q4">
        <v>1</v>
      </c>
    </row>
    <row r="5" spans="1:17" x14ac:dyDescent="0.25">
      <c r="B5" t="s">
        <v>17</v>
      </c>
      <c r="C5" t="s">
        <v>835</v>
      </c>
      <c r="D5" t="s">
        <v>836</v>
      </c>
      <c r="E5" t="s">
        <v>837</v>
      </c>
      <c r="F5" s="19">
        <v>6</v>
      </c>
      <c r="G5" s="19">
        <v>885</v>
      </c>
      <c r="H5" s="19">
        <v>25</v>
      </c>
      <c r="I5" s="19">
        <f t="shared" ref="I5:I31" si="0">G5-H5</f>
        <v>860</v>
      </c>
      <c r="J5" t="s">
        <v>834</v>
      </c>
      <c r="K5" t="s">
        <v>22</v>
      </c>
      <c r="L5" t="s">
        <v>833</v>
      </c>
      <c r="Q5">
        <v>1</v>
      </c>
    </row>
    <row r="6" spans="1:17" x14ac:dyDescent="0.25">
      <c r="B6" t="s">
        <v>17</v>
      </c>
      <c r="C6" t="s">
        <v>838</v>
      </c>
      <c r="D6" t="s">
        <v>839</v>
      </c>
      <c r="E6" t="s">
        <v>840</v>
      </c>
      <c r="F6" s="19">
        <v>8</v>
      </c>
      <c r="G6" s="19">
        <v>935</v>
      </c>
      <c r="H6" s="19">
        <v>25</v>
      </c>
      <c r="I6" s="19">
        <f t="shared" si="0"/>
        <v>910</v>
      </c>
      <c r="J6" t="s">
        <v>834</v>
      </c>
      <c r="K6" t="s">
        <v>22</v>
      </c>
      <c r="L6" t="s">
        <v>833</v>
      </c>
      <c r="Q6">
        <v>1</v>
      </c>
    </row>
    <row r="7" spans="1:17" x14ac:dyDescent="0.25">
      <c r="B7" t="s">
        <v>17</v>
      </c>
      <c r="C7" t="s">
        <v>841</v>
      </c>
      <c r="D7" t="s">
        <v>842</v>
      </c>
      <c r="E7" t="s">
        <v>843</v>
      </c>
      <c r="F7" s="19">
        <v>6</v>
      </c>
      <c r="G7" s="19">
        <v>845</v>
      </c>
      <c r="H7" s="19">
        <v>25</v>
      </c>
      <c r="I7" s="19">
        <f t="shared" si="0"/>
        <v>820</v>
      </c>
      <c r="J7" t="s">
        <v>834</v>
      </c>
      <c r="K7" t="s">
        <v>22</v>
      </c>
      <c r="L7" t="s">
        <v>833</v>
      </c>
      <c r="Q7">
        <v>1</v>
      </c>
    </row>
    <row r="8" spans="1:17" x14ac:dyDescent="0.25">
      <c r="B8" t="s">
        <v>17</v>
      </c>
      <c r="C8" t="s">
        <v>844</v>
      </c>
      <c r="D8" t="s">
        <v>845</v>
      </c>
      <c r="E8" t="s">
        <v>846</v>
      </c>
      <c r="F8" s="19">
        <v>7</v>
      </c>
      <c r="G8" s="19">
        <v>620</v>
      </c>
      <c r="H8" s="19">
        <v>30</v>
      </c>
      <c r="I8" s="19">
        <f t="shared" si="0"/>
        <v>590</v>
      </c>
      <c r="J8" t="s">
        <v>834</v>
      </c>
      <c r="K8" t="s">
        <v>22</v>
      </c>
      <c r="L8" t="s">
        <v>833</v>
      </c>
      <c r="Q8">
        <v>1</v>
      </c>
    </row>
    <row r="9" spans="1:17" x14ac:dyDescent="0.25">
      <c r="B9" t="s">
        <v>17</v>
      </c>
      <c r="C9" t="s">
        <v>480</v>
      </c>
      <c r="D9" t="s">
        <v>847</v>
      </c>
      <c r="E9" t="s">
        <v>848</v>
      </c>
      <c r="F9" s="19">
        <v>12</v>
      </c>
      <c r="G9" s="19">
        <v>30</v>
      </c>
      <c r="H9" s="19">
        <v>30</v>
      </c>
      <c r="I9" s="19">
        <f t="shared" si="0"/>
        <v>0</v>
      </c>
      <c r="J9" t="s">
        <v>834</v>
      </c>
      <c r="K9" t="s">
        <v>22</v>
      </c>
      <c r="L9" t="s">
        <v>833</v>
      </c>
      <c r="M9" t="s">
        <v>131</v>
      </c>
      <c r="Q9">
        <v>1</v>
      </c>
    </row>
    <row r="10" spans="1:17" x14ac:dyDescent="0.25">
      <c r="B10" t="s">
        <v>17</v>
      </c>
      <c r="C10" t="s">
        <v>849</v>
      </c>
      <c r="D10" t="s">
        <v>850</v>
      </c>
      <c r="E10" t="s">
        <v>851</v>
      </c>
      <c r="F10" t="s">
        <v>294</v>
      </c>
      <c r="G10" s="19">
        <v>925</v>
      </c>
      <c r="H10" s="19">
        <v>35</v>
      </c>
      <c r="I10" s="19">
        <f t="shared" si="0"/>
        <v>890</v>
      </c>
      <c r="J10" t="s">
        <v>834</v>
      </c>
      <c r="K10" t="s">
        <v>22</v>
      </c>
      <c r="L10" t="s">
        <v>833</v>
      </c>
      <c r="Q10">
        <v>1</v>
      </c>
    </row>
    <row r="11" spans="1:17" x14ac:dyDescent="0.25">
      <c r="B11" t="s">
        <v>17</v>
      </c>
      <c r="C11" t="s">
        <v>852</v>
      </c>
      <c r="D11" t="s">
        <v>853</v>
      </c>
      <c r="E11" t="s">
        <v>854</v>
      </c>
      <c r="F11" s="19">
        <v>7</v>
      </c>
      <c r="G11" s="19">
        <v>1580</v>
      </c>
      <c r="H11" s="19">
        <v>30</v>
      </c>
      <c r="I11" s="19">
        <f t="shared" si="0"/>
        <v>1550</v>
      </c>
      <c r="J11" t="s">
        <v>834</v>
      </c>
      <c r="K11" t="s">
        <v>22</v>
      </c>
      <c r="L11" t="s">
        <v>833</v>
      </c>
      <c r="Q11">
        <v>1</v>
      </c>
    </row>
    <row r="12" spans="1:17" x14ac:dyDescent="0.25">
      <c r="B12" t="s">
        <v>17</v>
      </c>
      <c r="C12" t="s">
        <v>855</v>
      </c>
      <c r="D12" t="s">
        <v>856</v>
      </c>
      <c r="E12" t="s">
        <v>369</v>
      </c>
      <c r="F12" t="s">
        <v>44</v>
      </c>
      <c r="G12" s="19">
        <v>620</v>
      </c>
      <c r="H12" s="19">
        <v>30</v>
      </c>
      <c r="I12" s="19">
        <f t="shared" si="0"/>
        <v>590</v>
      </c>
      <c r="J12" t="s">
        <v>834</v>
      </c>
      <c r="K12" t="s">
        <v>22</v>
      </c>
      <c r="L12" t="s">
        <v>833</v>
      </c>
      <c r="Q12">
        <v>1</v>
      </c>
    </row>
    <row r="13" spans="1:17" x14ac:dyDescent="0.25">
      <c r="B13" t="s">
        <v>17</v>
      </c>
      <c r="C13" t="s">
        <v>857</v>
      </c>
      <c r="D13" t="s">
        <v>858</v>
      </c>
      <c r="E13" t="s">
        <v>859</v>
      </c>
      <c r="F13" t="s">
        <v>55</v>
      </c>
      <c r="G13" s="19">
        <v>785</v>
      </c>
      <c r="H13" s="19">
        <v>25</v>
      </c>
      <c r="I13" s="19">
        <f t="shared" si="0"/>
        <v>760</v>
      </c>
      <c r="J13" t="s">
        <v>834</v>
      </c>
      <c r="K13" t="s">
        <v>22</v>
      </c>
      <c r="L13" t="s">
        <v>833</v>
      </c>
      <c r="Q13">
        <v>1</v>
      </c>
    </row>
    <row r="14" spans="1:17" x14ac:dyDescent="0.25">
      <c r="B14" t="s">
        <v>17</v>
      </c>
      <c r="C14" t="s">
        <v>860</v>
      </c>
      <c r="D14" t="s">
        <v>861</v>
      </c>
      <c r="E14" t="s">
        <v>862</v>
      </c>
      <c r="F14" s="19">
        <v>7</v>
      </c>
      <c r="G14" s="19">
        <v>620</v>
      </c>
      <c r="H14" s="19">
        <v>30</v>
      </c>
      <c r="I14" s="19">
        <f t="shared" si="0"/>
        <v>590</v>
      </c>
      <c r="J14" t="s">
        <v>834</v>
      </c>
      <c r="K14" t="s">
        <v>22</v>
      </c>
      <c r="L14" t="s">
        <v>833</v>
      </c>
      <c r="Q14">
        <v>1</v>
      </c>
    </row>
    <row r="15" spans="1:17" x14ac:dyDescent="0.25">
      <c r="B15" t="s">
        <v>17</v>
      </c>
      <c r="C15" t="s">
        <v>863</v>
      </c>
      <c r="D15" t="s">
        <v>864</v>
      </c>
      <c r="E15" t="s">
        <v>865</v>
      </c>
      <c r="F15" t="s">
        <v>55</v>
      </c>
      <c r="G15" s="19">
        <v>845</v>
      </c>
      <c r="H15" s="19">
        <v>25</v>
      </c>
      <c r="I15" s="19">
        <f t="shared" si="0"/>
        <v>820</v>
      </c>
      <c r="J15" t="s">
        <v>834</v>
      </c>
      <c r="K15" t="s">
        <v>22</v>
      </c>
      <c r="L15" t="s">
        <v>833</v>
      </c>
      <c r="Q15">
        <v>1</v>
      </c>
    </row>
    <row r="16" spans="1:17" x14ac:dyDescent="0.25">
      <c r="B16" t="s">
        <v>17</v>
      </c>
      <c r="C16" t="s">
        <v>866</v>
      </c>
      <c r="D16" t="s">
        <v>867</v>
      </c>
      <c r="E16" t="s">
        <v>868</v>
      </c>
      <c r="F16" s="19">
        <v>7</v>
      </c>
      <c r="G16" s="19">
        <v>700</v>
      </c>
      <c r="H16" s="19">
        <v>30</v>
      </c>
      <c r="I16" s="19">
        <f t="shared" si="0"/>
        <v>670</v>
      </c>
      <c r="J16" t="s">
        <v>834</v>
      </c>
      <c r="K16" t="s">
        <v>22</v>
      </c>
      <c r="L16" t="s">
        <v>833</v>
      </c>
      <c r="Q16">
        <v>1</v>
      </c>
    </row>
    <row r="17" spans="1:17" x14ac:dyDescent="0.25">
      <c r="B17" t="s">
        <v>17</v>
      </c>
      <c r="C17" t="s">
        <v>869</v>
      </c>
      <c r="D17" t="s">
        <v>870</v>
      </c>
      <c r="E17" t="s">
        <v>871</v>
      </c>
      <c r="F17" t="s">
        <v>55</v>
      </c>
      <c r="G17" s="19">
        <v>915</v>
      </c>
      <c r="H17" s="19">
        <v>25</v>
      </c>
      <c r="I17" s="19">
        <f t="shared" si="0"/>
        <v>890</v>
      </c>
      <c r="J17" t="s">
        <v>834</v>
      </c>
      <c r="K17" t="s">
        <v>22</v>
      </c>
      <c r="L17" t="s">
        <v>833</v>
      </c>
      <c r="Q17">
        <v>1</v>
      </c>
    </row>
    <row r="18" spans="1:17" x14ac:dyDescent="0.25">
      <c r="B18" t="s">
        <v>17</v>
      </c>
      <c r="C18" t="s">
        <v>872</v>
      </c>
      <c r="D18" t="s">
        <v>873</v>
      </c>
      <c r="E18" t="s">
        <v>874</v>
      </c>
      <c r="F18" s="19">
        <v>12</v>
      </c>
      <c r="G18" s="19">
        <v>1010</v>
      </c>
      <c r="H18" s="19">
        <v>30</v>
      </c>
      <c r="I18" s="19">
        <f t="shared" si="0"/>
        <v>980</v>
      </c>
      <c r="J18" t="s">
        <v>834</v>
      </c>
      <c r="K18" t="s">
        <v>22</v>
      </c>
      <c r="L18" t="s">
        <v>833</v>
      </c>
      <c r="Q18">
        <v>1</v>
      </c>
    </row>
    <row r="19" spans="1:17" x14ac:dyDescent="0.25">
      <c r="B19" t="s">
        <v>17</v>
      </c>
      <c r="C19" t="s">
        <v>875</v>
      </c>
      <c r="D19" t="s">
        <v>876</v>
      </c>
      <c r="E19" t="s">
        <v>877</v>
      </c>
      <c r="F19" s="19">
        <v>1</v>
      </c>
      <c r="G19" s="19">
        <v>700</v>
      </c>
      <c r="H19" s="19">
        <v>30</v>
      </c>
      <c r="I19" s="19">
        <f t="shared" si="0"/>
        <v>670</v>
      </c>
      <c r="J19" t="s">
        <v>834</v>
      </c>
      <c r="K19" t="s">
        <v>22</v>
      </c>
      <c r="L19" t="s">
        <v>833</v>
      </c>
      <c r="Q19">
        <v>1</v>
      </c>
    </row>
    <row r="20" spans="1:17" x14ac:dyDescent="0.25">
      <c r="B20" t="s">
        <v>17</v>
      </c>
      <c r="C20" t="s">
        <v>878</v>
      </c>
      <c r="D20" t="s">
        <v>879</v>
      </c>
      <c r="E20" t="s">
        <v>880</v>
      </c>
      <c r="F20" s="19">
        <v>8</v>
      </c>
      <c r="G20" s="19">
        <v>845</v>
      </c>
      <c r="H20" s="19">
        <v>25</v>
      </c>
      <c r="I20" s="19">
        <f t="shared" si="0"/>
        <v>820</v>
      </c>
      <c r="J20" t="s">
        <v>834</v>
      </c>
      <c r="K20" t="s">
        <v>22</v>
      </c>
      <c r="L20" t="s">
        <v>833</v>
      </c>
      <c r="Q20">
        <v>1</v>
      </c>
    </row>
    <row r="21" spans="1:17" x14ac:dyDescent="0.25">
      <c r="B21" t="s">
        <v>17</v>
      </c>
      <c r="C21" t="s">
        <v>881</v>
      </c>
      <c r="D21" t="s">
        <v>882</v>
      </c>
      <c r="E21" t="s">
        <v>883</v>
      </c>
      <c r="F21" t="s">
        <v>310</v>
      </c>
      <c r="G21" s="19">
        <v>920</v>
      </c>
      <c r="H21" s="19">
        <v>30</v>
      </c>
      <c r="I21" s="19">
        <f t="shared" si="0"/>
        <v>890</v>
      </c>
      <c r="J21" t="s">
        <v>22</v>
      </c>
      <c r="K21" t="s">
        <v>22</v>
      </c>
      <c r="L21" t="s">
        <v>833</v>
      </c>
      <c r="Q21">
        <v>1</v>
      </c>
    </row>
    <row r="22" spans="1:17" x14ac:dyDescent="0.25">
      <c r="B22" t="s">
        <v>17</v>
      </c>
      <c r="C22" t="s">
        <v>884</v>
      </c>
      <c r="D22" t="s">
        <v>885</v>
      </c>
      <c r="E22" t="s">
        <v>886</v>
      </c>
      <c r="F22" t="s">
        <v>62</v>
      </c>
      <c r="G22" s="19">
        <v>695</v>
      </c>
      <c r="H22" s="19">
        <v>25</v>
      </c>
      <c r="I22" s="19">
        <f t="shared" si="0"/>
        <v>670</v>
      </c>
      <c r="J22" t="s">
        <v>22</v>
      </c>
      <c r="K22" t="s">
        <v>22</v>
      </c>
      <c r="L22" t="s">
        <v>833</v>
      </c>
      <c r="Q22">
        <v>1</v>
      </c>
    </row>
    <row r="23" spans="1:17" x14ac:dyDescent="0.25">
      <c r="B23" t="s">
        <v>17</v>
      </c>
      <c r="C23" t="s">
        <v>887</v>
      </c>
      <c r="D23" t="s">
        <v>888</v>
      </c>
      <c r="E23" t="s">
        <v>889</v>
      </c>
      <c r="F23" t="s">
        <v>66</v>
      </c>
      <c r="G23" s="19">
        <v>840</v>
      </c>
      <c r="H23" s="19">
        <v>20</v>
      </c>
      <c r="I23" s="19">
        <f t="shared" si="0"/>
        <v>820</v>
      </c>
      <c r="J23" t="s">
        <v>22</v>
      </c>
      <c r="K23" t="s">
        <v>22</v>
      </c>
      <c r="L23" t="s">
        <v>833</v>
      </c>
      <c r="Q23">
        <v>1</v>
      </c>
    </row>
    <row r="24" spans="1:17" x14ac:dyDescent="0.25">
      <c r="B24" t="s">
        <v>17</v>
      </c>
      <c r="C24" t="s">
        <v>890</v>
      </c>
      <c r="D24" t="s">
        <v>891</v>
      </c>
      <c r="E24" t="s">
        <v>892</v>
      </c>
      <c r="F24" t="s">
        <v>62</v>
      </c>
      <c r="G24" s="19">
        <v>695</v>
      </c>
      <c r="H24" s="19">
        <v>25</v>
      </c>
      <c r="I24" s="19">
        <f t="shared" si="0"/>
        <v>670</v>
      </c>
      <c r="J24" t="s">
        <v>22</v>
      </c>
      <c r="K24" t="s">
        <v>22</v>
      </c>
      <c r="L24" t="s">
        <v>833</v>
      </c>
      <c r="Q24">
        <v>1</v>
      </c>
    </row>
    <row r="25" spans="1:17" x14ac:dyDescent="0.25">
      <c r="B25" t="s">
        <v>17</v>
      </c>
      <c r="C25" t="s">
        <v>893</v>
      </c>
      <c r="D25" t="s">
        <v>894</v>
      </c>
      <c r="E25" t="s">
        <v>895</v>
      </c>
      <c r="F25" t="s">
        <v>62</v>
      </c>
      <c r="G25" s="19">
        <v>845</v>
      </c>
      <c r="H25" s="19">
        <v>25</v>
      </c>
      <c r="I25" s="19">
        <f t="shared" si="0"/>
        <v>820</v>
      </c>
      <c r="J25" t="s">
        <v>22</v>
      </c>
      <c r="K25" t="s">
        <v>22</v>
      </c>
      <c r="L25" t="s">
        <v>833</v>
      </c>
      <c r="Q25">
        <v>1</v>
      </c>
    </row>
    <row r="26" spans="1:17" x14ac:dyDescent="0.25">
      <c r="B26" t="s">
        <v>17</v>
      </c>
      <c r="C26" t="s">
        <v>896</v>
      </c>
      <c r="D26" t="s">
        <v>897</v>
      </c>
      <c r="E26" t="s">
        <v>898</v>
      </c>
      <c r="F26" t="s">
        <v>51</v>
      </c>
      <c r="G26" s="19">
        <v>615</v>
      </c>
      <c r="H26" s="19">
        <v>25</v>
      </c>
      <c r="I26" s="19">
        <f t="shared" si="0"/>
        <v>590</v>
      </c>
      <c r="J26" t="s">
        <v>22</v>
      </c>
      <c r="K26" t="s">
        <v>22</v>
      </c>
      <c r="L26" t="s">
        <v>833</v>
      </c>
      <c r="Q26">
        <v>1</v>
      </c>
    </row>
    <row r="27" spans="1:17" x14ac:dyDescent="0.25">
      <c r="A27" t="s">
        <v>24</v>
      </c>
      <c r="B27" t="s">
        <v>17</v>
      </c>
      <c r="C27" t="s">
        <v>624</v>
      </c>
      <c r="E27" t="s">
        <v>625</v>
      </c>
      <c r="F27" t="s">
        <v>51</v>
      </c>
      <c r="G27" s="19">
        <v>0</v>
      </c>
      <c r="H27" s="19">
        <v>30</v>
      </c>
      <c r="I27" s="19">
        <f t="shared" si="0"/>
        <v>-30</v>
      </c>
      <c r="J27" t="s">
        <v>79</v>
      </c>
      <c r="K27" t="s">
        <v>22</v>
      </c>
      <c r="L27" t="s">
        <v>833</v>
      </c>
      <c r="Q27">
        <v>1</v>
      </c>
    </row>
    <row r="28" spans="1:17" x14ac:dyDescent="0.25">
      <c r="A28" t="s">
        <v>24</v>
      </c>
      <c r="B28" t="s">
        <v>17</v>
      </c>
      <c r="C28" t="s">
        <v>899</v>
      </c>
      <c r="E28" t="s">
        <v>900</v>
      </c>
      <c r="F28" t="s">
        <v>51</v>
      </c>
      <c r="G28" s="19">
        <v>820</v>
      </c>
      <c r="H28" s="19">
        <v>30</v>
      </c>
      <c r="I28" s="19">
        <f t="shared" si="0"/>
        <v>790</v>
      </c>
      <c r="J28" t="s">
        <v>79</v>
      </c>
      <c r="K28" t="s">
        <v>22</v>
      </c>
      <c r="L28" t="s">
        <v>833</v>
      </c>
      <c r="Q28">
        <v>1</v>
      </c>
    </row>
    <row r="29" spans="1:17" x14ac:dyDescent="0.25">
      <c r="A29" t="s">
        <v>24</v>
      </c>
      <c r="B29" t="s">
        <v>17</v>
      </c>
      <c r="C29" t="s">
        <v>901</v>
      </c>
      <c r="E29" t="s">
        <v>902</v>
      </c>
      <c r="F29" s="19">
        <v>3</v>
      </c>
      <c r="G29" s="19">
        <v>0</v>
      </c>
      <c r="H29" s="19">
        <v>35</v>
      </c>
      <c r="I29" s="19">
        <f t="shared" si="0"/>
        <v>-35</v>
      </c>
      <c r="J29" t="s">
        <v>79</v>
      </c>
      <c r="K29" t="s">
        <v>22</v>
      </c>
      <c r="L29" t="s">
        <v>833</v>
      </c>
      <c r="Q29">
        <v>1</v>
      </c>
    </row>
    <row r="30" spans="1:17" x14ac:dyDescent="0.25">
      <c r="B30" t="s">
        <v>17</v>
      </c>
      <c r="C30" t="s">
        <v>903</v>
      </c>
      <c r="D30" t="s">
        <v>904</v>
      </c>
      <c r="E30" t="s">
        <v>905</v>
      </c>
      <c r="F30" s="19">
        <v>1</v>
      </c>
      <c r="G30" s="19">
        <v>845</v>
      </c>
      <c r="H30" s="19">
        <v>25</v>
      </c>
      <c r="I30" s="19">
        <f t="shared" si="0"/>
        <v>820</v>
      </c>
      <c r="J30" t="s">
        <v>79</v>
      </c>
      <c r="K30" t="s">
        <v>22</v>
      </c>
      <c r="L30" t="s">
        <v>833</v>
      </c>
      <c r="Q30">
        <v>1</v>
      </c>
    </row>
    <row r="31" spans="1:17" x14ac:dyDescent="0.25">
      <c r="B31" t="s">
        <v>17</v>
      </c>
      <c r="C31" t="s">
        <v>875</v>
      </c>
      <c r="D31" t="s">
        <v>906</v>
      </c>
      <c r="E31" t="s">
        <v>907</v>
      </c>
      <c r="F31" s="19">
        <v>4</v>
      </c>
      <c r="G31" s="19">
        <v>915</v>
      </c>
      <c r="H31" s="19">
        <v>25</v>
      </c>
      <c r="I31" s="19">
        <f t="shared" si="0"/>
        <v>890</v>
      </c>
      <c r="J31" t="s">
        <v>79</v>
      </c>
      <c r="K31" t="s">
        <v>22</v>
      </c>
      <c r="L31" t="s">
        <v>833</v>
      </c>
      <c r="Q31">
        <v>1</v>
      </c>
    </row>
    <row r="32" spans="1:17" x14ac:dyDescent="0.25">
      <c r="B32" t="s">
        <v>17</v>
      </c>
      <c r="C32" t="s">
        <v>908</v>
      </c>
      <c r="D32" t="s">
        <v>909</v>
      </c>
      <c r="E32" t="s">
        <v>910</v>
      </c>
      <c r="F32" s="19">
        <v>5</v>
      </c>
      <c r="G32" s="19">
        <v>0</v>
      </c>
      <c r="H32" s="19">
        <v>25</v>
      </c>
      <c r="I32" s="19">
        <f>-H32</f>
        <v>-25</v>
      </c>
      <c r="J32" t="s">
        <v>79</v>
      </c>
      <c r="K32" t="s">
        <v>22</v>
      </c>
      <c r="L32" t="s">
        <v>833</v>
      </c>
      <c r="Q32">
        <v>1</v>
      </c>
    </row>
    <row r="33" spans="1:17" x14ac:dyDescent="0.25">
      <c r="B33" t="s">
        <v>17</v>
      </c>
      <c r="C33" t="s">
        <v>911</v>
      </c>
      <c r="D33" t="s">
        <v>912</v>
      </c>
      <c r="E33" t="s">
        <v>913</v>
      </c>
      <c r="F33" t="s">
        <v>51</v>
      </c>
      <c r="G33" s="19">
        <v>1015</v>
      </c>
      <c r="H33" s="19">
        <v>25</v>
      </c>
      <c r="I33" s="19">
        <f>G33-H33</f>
        <v>990</v>
      </c>
      <c r="J33" t="s">
        <v>79</v>
      </c>
      <c r="K33" t="s">
        <v>22</v>
      </c>
      <c r="L33" t="s">
        <v>833</v>
      </c>
      <c r="Q33">
        <v>1</v>
      </c>
    </row>
    <row r="34" spans="1:17" x14ac:dyDescent="0.25">
      <c r="B34" t="s">
        <v>17</v>
      </c>
      <c r="C34" t="s">
        <v>914</v>
      </c>
      <c r="D34" t="s">
        <v>915</v>
      </c>
      <c r="E34" t="s">
        <v>916</v>
      </c>
      <c r="F34" s="19">
        <v>4</v>
      </c>
      <c r="G34" s="19">
        <v>1445</v>
      </c>
      <c r="H34" s="19">
        <v>25</v>
      </c>
      <c r="I34" s="19">
        <f>G34-H34</f>
        <v>1420</v>
      </c>
      <c r="J34" t="s">
        <v>79</v>
      </c>
      <c r="K34" t="s">
        <v>22</v>
      </c>
      <c r="L34" t="s">
        <v>833</v>
      </c>
      <c r="Q34">
        <v>1</v>
      </c>
    </row>
    <row r="35" spans="1:17" x14ac:dyDescent="0.25">
      <c r="B35" t="s">
        <v>17</v>
      </c>
      <c r="C35" t="s">
        <v>917</v>
      </c>
      <c r="D35" t="s">
        <v>918</v>
      </c>
      <c r="E35" t="s">
        <v>919</v>
      </c>
      <c r="F35" s="19">
        <v>1</v>
      </c>
      <c r="G35" s="19">
        <v>385</v>
      </c>
      <c r="H35" s="19">
        <v>25</v>
      </c>
      <c r="I35" s="19">
        <f>G35-H35</f>
        <v>360</v>
      </c>
      <c r="J35" t="s">
        <v>79</v>
      </c>
      <c r="K35" t="s">
        <v>22</v>
      </c>
      <c r="L35" t="s">
        <v>833</v>
      </c>
      <c r="Q35">
        <v>1</v>
      </c>
    </row>
    <row r="36" spans="1:17" x14ac:dyDescent="0.25">
      <c r="B36" t="s">
        <v>17</v>
      </c>
      <c r="C36" t="s">
        <v>920</v>
      </c>
      <c r="D36" t="s">
        <v>921</v>
      </c>
      <c r="E36" t="s">
        <v>922</v>
      </c>
      <c r="F36" s="19">
        <v>10</v>
      </c>
      <c r="G36" s="19">
        <v>845</v>
      </c>
      <c r="H36" s="19">
        <v>25</v>
      </c>
      <c r="I36" s="19">
        <f>G36-H36</f>
        <v>820</v>
      </c>
      <c r="J36" t="s">
        <v>79</v>
      </c>
      <c r="K36" t="s">
        <v>22</v>
      </c>
      <c r="L36" t="s">
        <v>833</v>
      </c>
      <c r="Q36">
        <v>1</v>
      </c>
    </row>
    <row r="37" spans="1:17" x14ac:dyDescent="0.25">
      <c r="B37" t="s">
        <v>17</v>
      </c>
      <c r="C37" t="s">
        <v>923</v>
      </c>
      <c r="D37" t="s">
        <v>924</v>
      </c>
      <c r="E37" t="s">
        <v>925</v>
      </c>
      <c r="F37" s="19">
        <v>10</v>
      </c>
      <c r="G37" s="19">
        <v>915</v>
      </c>
      <c r="H37" s="19">
        <v>25</v>
      </c>
      <c r="I37" s="19">
        <f>G37-H37</f>
        <v>890</v>
      </c>
      <c r="J37" t="s">
        <v>79</v>
      </c>
      <c r="K37" t="s">
        <v>22</v>
      </c>
      <c r="L37" t="s">
        <v>833</v>
      </c>
      <c r="Q37">
        <v>1</v>
      </c>
    </row>
    <row r="39" spans="1:17" x14ac:dyDescent="0.25">
      <c r="D39" s="1">
        <f>COUNTA(D3:D37)</f>
        <v>31</v>
      </c>
      <c r="G39" s="1">
        <f t="shared" ref="G39:Q39" si="1">SUBTOTAL(9,G3:G37)</f>
        <v>25355</v>
      </c>
      <c r="H39" s="1">
        <f t="shared" si="1"/>
        <v>955</v>
      </c>
      <c r="I39" s="1">
        <f t="shared" si="1"/>
        <v>24400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7" x14ac:dyDescent="0.25">
      <c r="H40">
        <f>-13*17</f>
        <v>-221</v>
      </c>
    </row>
    <row r="41" spans="1:17" x14ac:dyDescent="0.25">
      <c r="A41" s="1" t="s">
        <v>17</v>
      </c>
      <c r="C41" s="42" t="s">
        <v>88</v>
      </c>
      <c r="D41" s="42"/>
      <c r="E41" s="4" t="s">
        <v>89</v>
      </c>
      <c r="H41">
        <f>-3*25</f>
        <v>-75</v>
      </c>
      <c r="K41" s="29" t="s">
        <v>79</v>
      </c>
      <c r="L41" s="29" t="s">
        <v>90</v>
      </c>
      <c r="M41" s="29" t="s">
        <v>89</v>
      </c>
      <c r="O41" s="4" t="s">
        <v>91</v>
      </c>
    </row>
    <row r="42" spans="1:17" x14ac:dyDescent="0.25">
      <c r="A42" t="s">
        <v>833</v>
      </c>
      <c r="B42" s="3" t="s">
        <v>92</v>
      </c>
      <c r="C42" s="43">
        <f>SUMIFS(I$3:I$37,B$3:B$37,A$41,L$3:L$37,A$42)</f>
        <v>24400</v>
      </c>
      <c r="D42" s="43"/>
      <c r="E42" s="3">
        <f>SUMIFS(Q$3:Q$37,B$3:B$37,A$41,L$3:L$37,A$42)</f>
        <v>35</v>
      </c>
      <c r="F42" t="s">
        <v>93</v>
      </c>
      <c r="H42">
        <f>-1*30</f>
        <v>-30</v>
      </c>
      <c r="K42" t="s">
        <v>94</v>
      </c>
      <c r="L42">
        <f>SUMIFS(G$3:G$37,J$3:J$37,K$41)</f>
        <v>7185</v>
      </c>
      <c r="M42">
        <f>SUMIFS(Q$3:Q$37,J$3:J$37,K$41)</f>
        <v>11</v>
      </c>
      <c r="O42" t="s">
        <v>79</v>
      </c>
      <c r="P42">
        <f>L47</f>
        <v>6945</v>
      </c>
    </row>
    <row r="43" spans="1:17" x14ac:dyDescent="0.25">
      <c r="B43" s="2" t="s">
        <v>95</v>
      </c>
      <c r="C43" s="44">
        <v>0</v>
      </c>
      <c r="D43" s="44"/>
      <c r="K43" t="s">
        <v>96</v>
      </c>
      <c r="L43">
        <f>-SUMIFS(H$3:H$37,J$3:J$37,K$41)+M43*5</f>
        <v>-240</v>
      </c>
      <c r="M43">
        <f>SUMIFS(Q$3:Q$37,J$3:J$37,K$41)-COUNTIFS(J$3:J$37,K$41,M$3:M$37,"*gộp*")</f>
        <v>11</v>
      </c>
      <c r="O43" t="s">
        <v>926</v>
      </c>
      <c r="P43">
        <f>L55</f>
        <v>12534</v>
      </c>
    </row>
    <row r="44" spans="1:17" x14ac:dyDescent="0.25">
      <c r="B44" s="2" t="s">
        <v>97</v>
      </c>
      <c r="C44" s="44">
        <f>-SUMIFS(I$3:I$37,B$3:B$37,A$41,P$3:P$37,"xx",N$3:N$37,"x")</f>
        <v>0</v>
      </c>
      <c r="D44" s="44"/>
      <c r="E44" s="2">
        <f>SUMIFS(Q$3:Q$37,B$3:B$37,A$41,P$3:P$37,"xx",N$3:N$37,"x")</f>
        <v>0</v>
      </c>
      <c r="K44" t="s">
        <v>98</v>
      </c>
      <c r="O44" t="s">
        <v>22</v>
      </c>
      <c r="P44">
        <f>L63</f>
        <v>4420</v>
      </c>
    </row>
    <row r="45" spans="1:17" x14ac:dyDescent="0.25">
      <c r="B45" s="4" t="s">
        <v>100</v>
      </c>
      <c r="C45" s="42">
        <f>SUBTOTAL(9,C42:C44)</f>
        <v>24400</v>
      </c>
      <c r="D45" s="42"/>
      <c r="E45">
        <f>E42</f>
        <v>35</v>
      </c>
      <c r="K45" s="2" t="s">
        <v>101</v>
      </c>
      <c r="O45" t="s">
        <v>21</v>
      </c>
      <c r="P45">
        <f>L71</f>
        <v>675</v>
      </c>
    </row>
    <row r="46" spans="1:17" x14ac:dyDescent="0.25">
      <c r="B46" s="2" t="s">
        <v>102</v>
      </c>
      <c r="C46" s="35"/>
      <c r="D46" s="35"/>
      <c r="K46" s="2" t="s">
        <v>103</v>
      </c>
      <c r="O46" t="s">
        <v>104</v>
      </c>
      <c r="P46">
        <f>-C49</f>
        <v>-24400</v>
      </c>
    </row>
    <row r="47" spans="1:17" x14ac:dyDescent="0.25">
      <c r="B47" s="30" t="s">
        <v>105</v>
      </c>
      <c r="C47" s="35"/>
      <c r="D47" s="35"/>
      <c r="L47" s="31">
        <f>SUBTOTAL(9,L42:L46)</f>
        <v>6945</v>
      </c>
      <c r="M47" s="31">
        <f>M42</f>
        <v>11</v>
      </c>
      <c r="O47" s="4" t="s">
        <v>106</v>
      </c>
      <c r="P47" s="4">
        <f>SUBTOTAL(9,P42:P46)</f>
        <v>174</v>
      </c>
    </row>
    <row r="49" spans="2:13" x14ac:dyDescent="0.25">
      <c r="B49" s="1" t="s">
        <v>107</v>
      </c>
      <c r="C49" s="41">
        <f>C45+C46+C47</f>
        <v>24400</v>
      </c>
      <c r="D49" s="41"/>
      <c r="E49" s="1" t="s">
        <v>108</v>
      </c>
      <c r="K49" s="29" t="s">
        <v>834</v>
      </c>
      <c r="L49" s="29" t="s">
        <v>90</v>
      </c>
      <c r="M49" s="29" t="s">
        <v>89</v>
      </c>
    </row>
    <row r="50" spans="2:13" x14ac:dyDescent="0.25">
      <c r="K50" t="s">
        <v>94</v>
      </c>
      <c r="L50">
        <f>SUMIFS(G$3:G$37,J$3:J$37,K$49)</f>
        <v>12860</v>
      </c>
      <c r="M50">
        <f>SUMIFS(Q$3:Q$37,J$3:J$37,K$49)</f>
        <v>17</v>
      </c>
    </row>
    <row r="51" spans="2:13" x14ac:dyDescent="0.25">
      <c r="K51" t="s">
        <v>96</v>
      </c>
      <c r="L51">
        <f>SUM(H40:H42)</f>
        <v>-326</v>
      </c>
      <c r="M51">
        <f>SUMIFS(Q$3:Q$37,J$3:J$37,K$49)</f>
        <v>17</v>
      </c>
    </row>
    <row r="52" spans="2:13" x14ac:dyDescent="0.25">
      <c r="K52" t="s">
        <v>98</v>
      </c>
    </row>
    <row r="53" spans="2:13" x14ac:dyDescent="0.25">
      <c r="K53" s="2" t="s">
        <v>101</v>
      </c>
    </row>
    <row r="54" spans="2:13" x14ac:dyDescent="0.25">
      <c r="K54" s="2" t="s">
        <v>103</v>
      </c>
    </row>
    <row r="55" spans="2:13" x14ac:dyDescent="0.25">
      <c r="L55" s="31">
        <f>SUBTOTAL(9,L50:L54)</f>
        <v>12534</v>
      </c>
      <c r="M55" s="31">
        <f>M50</f>
        <v>17</v>
      </c>
    </row>
    <row r="57" spans="2:13" x14ac:dyDescent="0.25">
      <c r="K57" s="29" t="s">
        <v>22</v>
      </c>
      <c r="L57" s="29" t="s">
        <v>90</v>
      </c>
      <c r="M57" s="29" t="s">
        <v>89</v>
      </c>
    </row>
    <row r="58" spans="2:13" x14ac:dyDescent="0.25">
      <c r="K58" t="s">
        <v>94</v>
      </c>
      <c r="L58">
        <f>SUMIFS(G$3:G$37,J$3:J$37,K$57)</f>
        <v>4610</v>
      </c>
      <c r="M58">
        <f>SUMIFS(Q$3:Q$37,J$3:J$37,K$57)</f>
        <v>6</v>
      </c>
    </row>
    <row r="59" spans="2:13" x14ac:dyDescent="0.25">
      <c r="K59" t="s">
        <v>96</v>
      </c>
      <c r="L59">
        <f>-SUMIFS(H$3:H$37,J$3:J$37,K$57)+M59*5</f>
        <v>-120</v>
      </c>
      <c r="M59">
        <f>SUMIFS(Q$3:Q$37,J$3:J$37,K$57)-COUNTIFS(J$3:J$37,K$57,M$3:M$37,"*gộp*")</f>
        <v>6</v>
      </c>
    </row>
    <row r="60" spans="2:13" x14ac:dyDescent="0.25">
      <c r="K60" t="s">
        <v>98</v>
      </c>
      <c r="L60">
        <f>-M60*2</f>
        <v>-70</v>
      </c>
      <c r="M60">
        <f>Q39-(COUNTIFS(M$3:M$37,"*gộp*")/2)</f>
        <v>35</v>
      </c>
    </row>
    <row r="61" spans="2:13" x14ac:dyDescent="0.25">
      <c r="K61" s="2" t="s">
        <v>101</v>
      </c>
    </row>
    <row r="62" spans="2:13" x14ac:dyDescent="0.25">
      <c r="K62" s="2" t="s">
        <v>103</v>
      </c>
    </row>
    <row r="63" spans="2:13" x14ac:dyDescent="0.25">
      <c r="L63" s="31">
        <f>SUBTOTAL(9,L58:L62)</f>
        <v>4420</v>
      </c>
      <c r="M63" s="31">
        <f>M58</f>
        <v>6</v>
      </c>
    </row>
    <row r="65" spans="11:13" x14ac:dyDescent="0.25">
      <c r="K65" s="29" t="s">
        <v>21</v>
      </c>
      <c r="L65" s="29" t="s">
        <v>90</v>
      </c>
      <c r="M65" s="29" t="s">
        <v>89</v>
      </c>
    </row>
    <row r="66" spans="11:13" x14ac:dyDescent="0.25">
      <c r="K66" t="s">
        <v>94</v>
      </c>
      <c r="L66">
        <f>SUMIFS(G$3:G$37,J$3:J$37,K$65)</f>
        <v>700</v>
      </c>
      <c r="M66">
        <f>SUMIFS(Q$3:Q$37,J$3:J$37,K$65)</f>
        <v>1</v>
      </c>
    </row>
    <row r="67" spans="11:13" x14ac:dyDescent="0.25">
      <c r="K67" t="s">
        <v>96</v>
      </c>
      <c r="L67">
        <f>-SUMIFS(H$3:H$37,J$3:J$37,K$65)+M67*5</f>
        <v>-25</v>
      </c>
      <c r="M67">
        <f>SUMIFS(Q$3:Q$37,J$3:J$37,K$65)-COUNTIFS(J$3:J$37,K$65,M$3:M$37,"*gộp*")</f>
        <v>1</v>
      </c>
    </row>
    <row r="68" spans="11:13" x14ac:dyDescent="0.25">
      <c r="K68" t="s">
        <v>98</v>
      </c>
    </row>
    <row r="69" spans="11:13" x14ac:dyDescent="0.25">
      <c r="K69" s="2" t="s">
        <v>101</v>
      </c>
    </row>
    <row r="70" spans="11:13" x14ac:dyDescent="0.25">
      <c r="K70" s="2" t="s">
        <v>103</v>
      </c>
    </row>
    <row r="71" spans="11:13" x14ac:dyDescent="0.25">
      <c r="L71" s="31">
        <f>SUBTOTAL(9,L66:L70)</f>
        <v>675</v>
      </c>
      <c r="M71" s="31">
        <f>M66</f>
        <v>1</v>
      </c>
    </row>
  </sheetData>
  <autoFilter ref="A2:P37" xr:uid="{00000000-0009-0000-0000-000009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A1F4-1833-4FA2-92F1-E40412E68CE5}">
  <dimension ref="A2:Q55"/>
  <sheetViews>
    <sheetView topLeftCell="A25" workbookViewId="0">
      <selection activeCell="G28" sqref="G28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19.28515625" customWidth="1"/>
    <col min="4" max="4" width="9.85546875" customWidth="1"/>
    <col min="5" max="5" width="58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A3" t="s">
        <v>24</v>
      </c>
      <c r="B3" t="s">
        <v>17</v>
      </c>
      <c r="C3" t="s">
        <v>927</v>
      </c>
      <c r="E3" t="s">
        <v>513</v>
      </c>
      <c r="F3" s="19">
        <v>6</v>
      </c>
      <c r="G3" s="19">
        <v>720</v>
      </c>
      <c r="H3" s="19">
        <v>30</v>
      </c>
      <c r="I3" s="19">
        <f>G3-H3</f>
        <v>690</v>
      </c>
      <c r="J3" t="s">
        <v>928</v>
      </c>
      <c r="K3" t="s">
        <v>22</v>
      </c>
      <c r="L3" t="s">
        <v>929</v>
      </c>
      <c r="Q3" s="19">
        <v>1</v>
      </c>
    </row>
    <row r="4" spans="1:17" x14ac:dyDescent="0.25">
      <c r="B4" t="s">
        <v>17</v>
      </c>
      <c r="C4" t="s">
        <v>930</v>
      </c>
      <c r="D4" t="s">
        <v>931</v>
      </c>
      <c r="E4" t="s">
        <v>932</v>
      </c>
      <c r="F4" t="s">
        <v>294</v>
      </c>
      <c r="G4" s="19">
        <v>925</v>
      </c>
      <c r="H4" s="19">
        <v>35</v>
      </c>
      <c r="I4" s="19">
        <f>G4-H4</f>
        <v>890</v>
      </c>
      <c r="J4" t="s">
        <v>928</v>
      </c>
      <c r="K4" t="s">
        <v>22</v>
      </c>
      <c r="L4" t="s">
        <v>929</v>
      </c>
      <c r="Q4" s="19">
        <v>1</v>
      </c>
    </row>
    <row r="5" spans="1:17" x14ac:dyDescent="0.25">
      <c r="B5" t="s">
        <v>17</v>
      </c>
      <c r="C5" t="s">
        <v>933</v>
      </c>
      <c r="D5" t="s">
        <v>934</v>
      </c>
      <c r="E5" t="s">
        <v>935</v>
      </c>
      <c r="F5" s="19">
        <v>8</v>
      </c>
      <c r="G5" s="19">
        <v>745</v>
      </c>
      <c r="H5" s="19">
        <v>25</v>
      </c>
      <c r="I5" s="19">
        <f>G5-H5</f>
        <v>720</v>
      </c>
      <c r="J5" t="s">
        <v>928</v>
      </c>
      <c r="K5" t="s">
        <v>22</v>
      </c>
      <c r="L5" t="s">
        <v>929</v>
      </c>
      <c r="Q5" s="19">
        <v>1</v>
      </c>
    </row>
    <row r="6" spans="1:17" x14ac:dyDescent="0.25">
      <c r="B6" t="s">
        <v>17</v>
      </c>
      <c r="C6" t="s">
        <v>844</v>
      </c>
      <c r="D6" t="s">
        <v>936</v>
      </c>
      <c r="E6" t="s">
        <v>846</v>
      </c>
      <c r="F6" s="19">
        <v>7</v>
      </c>
      <c r="G6" s="19">
        <v>700</v>
      </c>
      <c r="H6" s="19">
        <v>30</v>
      </c>
      <c r="I6" s="19">
        <f>G6-H6</f>
        <v>670</v>
      </c>
      <c r="J6" t="s">
        <v>928</v>
      </c>
      <c r="K6" t="s">
        <v>22</v>
      </c>
      <c r="L6" t="s">
        <v>929</v>
      </c>
      <c r="Q6" s="19">
        <v>1</v>
      </c>
    </row>
    <row r="7" spans="1:17" x14ac:dyDescent="0.25">
      <c r="B7" t="s">
        <v>17</v>
      </c>
      <c r="C7" t="s">
        <v>937</v>
      </c>
      <c r="D7" t="s">
        <v>938</v>
      </c>
      <c r="E7" t="s">
        <v>939</v>
      </c>
      <c r="F7" s="19">
        <v>6</v>
      </c>
      <c r="G7" s="19">
        <v>845</v>
      </c>
      <c r="H7" s="19">
        <v>25</v>
      </c>
      <c r="I7" s="19">
        <f>G7-H7</f>
        <v>820</v>
      </c>
      <c r="J7" t="s">
        <v>928</v>
      </c>
      <c r="K7" t="s">
        <v>22</v>
      </c>
      <c r="L7" t="s">
        <v>929</v>
      </c>
      <c r="Q7" s="19">
        <v>1</v>
      </c>
    </row>
    <row r="8" spans="1:17" x14ac:dyDescent="0.25">
      <c r="B8" t="s">
        <v>17</v>
      </c>
      <c r="C8" t="s">
        <v>940</v>
      </c>
      <c r="D8" t="s">
        <v>941</v>
      </c>
      <c r="E8" t="s">
        <v>942</v>
      </c>
      <c r="F8" t="s">
        <v>214</v>
      </c>
      <c r="G8" s="19">
        <v>0</v>
      </c>
      <c r="H8" s="19">
        <v>35</v>
      </c>
      <c r="I8" s="19">
        <f>-H8</f>
        <v>-35</v>
      </c>
      <c r="J8" t="s">
        <v>928</v>
      </c>
      <c r="K8" t="s">
        <v>22</v>
      </c>
      <c r="L8" t="s">
        <v>929</v>
      </c>
      <c r="Q8" s="19">
        <v>1</v>
      </c>
    </row>
    <row r="9" spans="1:17" x14ac:dyDescent="0.25">
      <c r="B9" t="s">
        <v>17</v>
      </c>
      <c r="C9" t="s">
        <v>943</v>
      </c>
      <c r="D9" t="s">
        <v>944</v>
      </c>
      <c r="E9" t="s">
        <v>945</v>
      </c>
      <c r="F9" s="19">
        <v>7</v>
      </c>
      <c r="G9" s="19">
        <v>410</v>
      </c>
      <c r="H9" s="19">
        <v>30</v>
      </c>
      <c r="I9" s="19">
        <f>G9-H9</f>
        <v>380</v>
      </c>
      <c r="J9" t="s">
        <v>928</v>
      </c>
      <c r="K9" t="s">
        <v>22</v>
      </c>
      <c r="L9" t="s">
        <v>929</v>
      </c>
      <c r="Q9" s="19">
        <v>1</v>
      </c>
    </row>
    <row r="10" spans="1:17" x14ac:dyDescent="0.25">
      <c r="B10" t="s">
        <v>17</v>
      </c>
      <c r="C10" t="s">
        <v>946</v>
      </c>
      <c r="D10" t="s">
        <v>947</v>
      </c>
      <c r="E10" t="s">
        <v>948</v>
      </c>
      <c r="F10" s="19">
        <v>6</v>
      </c>
      <c r="G10" s="19">
        <v>0</v>
      </c>
      <c r="H10" s="19">
        <v>25</v>
      </c>
      <c r="I10" s="19">
        <f>-H10</f>
        <v>-25</v>
      </c>
      <c r="J10" t="s">
        <v>928</v>
      </c>
      <c r="K10" t="s">
        <v>22</v>
      </c>
      <c r="L10" t="s">
        <v>929</v>
      </c>
      <c r="Q10" s="19">
        <v>1</v>
      </c>
    </row>
    <row r="11" spans="1:17" x14ac:dyDescent="0.25">
      <c r="B11" t="s">
        <v>17</v>
      </c>
      <c r="C11" t="s">
        <v>338</v>
      </c>
      <c r="D11" t="s">
        <v>949</v>
      </c>
      <c r="E11" t="s">
        <v>340</v>
      </c>
      <c r="F11" s="19">
        <v>7</v>
      </c>
      <c r="G11" s="19">
        <v>750</v>
      </c>
      <c r="H11" s="19">
        <v>30</v>
      </c>
      <c r="I11" s="19">
        <f>G11-H11</f>
        <v>720</v>
      </c>
      <c r="J11" t="s">
        <v>928</v>
      </c>
      <c r="K11" t="s">
        <v>22</v>
      </c>
      <c r="L11" t="s">
        <v>929</v>
      </c>
      <c r="Q11" s="19">
        <v>1</v>
      </c>
    </row>
    <row r="12" spans="1:17" x14ac:dyDescent="0.25">
      <c r="B12" t="s">
        <v>17</v>
      </c>
      <c r="C12" t="s">
        <v>950</v>
      </c>
      <c r="D12" t="s">
        <v>951</v>
      </c>
      <c r="E12" t="s">
        <v>491</v>
      </c>
      <c r="F12" t="s">
        <v>44</v>
      </c>
      <c r="G12" s="19">
        <v>0</v>
      </c>
      <c r="H12" s="19">
        <v>30</v>
      </c>
      <c r="I12" s="19">
        <f>-H12</f>
        <v>-30</v>
      </c>
      <c r="J12" t="s">
        <v>928</v>
      </c>
      <c r="K12" t="s">
        <v>22</v>
      </c>
      <c r="L12" t="s">
        <v>929</v>
      </c>
      <c r="Q12" s="19">
        <v>1</v>
      </c>
    </row>
    <row r="13" spans="1:17" x14ac:dyDescent="0.25">
      <c r="B13" t="s">
        <v>17</v>
      </c>
      <c r="C13" t="s">
        <v>952</v>
      </c>
      <c r="D13" t="s">
        <v>953</v>
      </c>
      <c r="E13" t="s">
        <v>954</v>
      </c>
      <c r="F13" s="19">
        <v>7</v>
      </c>
      <c r="G13" s="19">
        <v>700</v>
      </c>
      <c r="H13" s="19">
        <v>30</v>
      </c>
      <c r="I13" s="19">
        <f t="shared" ref="I13:I20" si="0">G13-H13</f>
        <v>670</v>
      </c>
      <c r="J13" t="s">
        <v>928</v>
      </c>
      <c r="K13" t="s">
        <v>22</v>
      </c>
      <c r="L13" t="s">
        <v>929</v>
      </c>
      <c r="Q13" s="19">
        <v>1</v>
      </c>
    </row>
    <row r="14" spans="1:17" x14ac:dyDescent="0.25">
      <c r="B14" t="s">
        <v>17</v>
      </c>
      <c r="C14" t="s">
        <v>955</v>
      </c>
      <c r="D14" t="s">
        <v>956</v>
      </c>
      <c r="E14" t="s">
        <v>957</v>
      </c>
      <c r="F14" t="s">
        <v>294</v>
      </c>
      <c r="G14" s="19">
        <v>855</v>
      </c>
      <c r="H14" s="19">
        <v>35</v>
      </c>
      <c r="I14" s="19">
        <f t="shared" si="0"/>
        <v>820</v>
      </c>
      <c r="J14" t="s">
        <v>928</v>
      </c>
      <c r="K14" t="s">
        <v>22</v>
      </c>
      <c r="L14" t="s">
        <v>929</v>
      </c>
      <c r="Q14" s="19">
        <v>1</v>
      </c>
    </row>
    <row r="15" spans="1:17" x14ac:dyDescent="0.25">
      <c r="B15" t="s">
        <v>17</v>
      </c>
      <c r="C15" t="s">
        <v>958</v>
      </c>
      <c r="D15" t="s">
        <v>959</v>
      </c>
      <c r="E15" t="s">
        <v>960</v>
      </c>
      <c r="F15" t="s">
        <v>44</v>
      </c>
      <c r="G15" s="19">
        <v>920</v>
      </c>
      <c r="H15" s="19">
        <v>30</v>
      </c>
      <c r="I15" s="19">
        <f t="shared" si="0"/>
        <v>890</v>
      </c>
      <c r="J15" t="s">
        <v>928</v>
      </c>
      <c r="K15" t="s">
        <v>22</v>
      </c>
      <c r="L15" t="s">
        <v>929</v>
      </c>
      <c r="Q15" s="19">
        <v>1</v>
      </c>
    </row>
    <row r="16" spans="1:17" x14ac:dyDescent="0.25">
      <c r="B16" t="s">
        <v>17</v>
      </c>
      <c r="C16" t="s">
        <v>961</v>
      </c>
      <c r="D16" t="s">
        <v>962</v>
      </c>
      <c r="E16" t="s">
        <v>963</v>
      </c>
      <c r="F16" t="s">
        <v>310</v>
      </c>
      <c r="G16" s="19">
        <v>900</v>
      </c>
      <c r="H16" s="19">
        <v>30</v>
      </c>
      <c r="I16" s="19">
        <f t="shared" si="0"/>
        <v>870</v>
      </c>
      <c r="J16" t="s">
        <v>22</v>
      </c>
      <c r="K16" t="s">
        <v>22</v>
      </c>
      <c r="L16" t="s">
        <v>929</v>
      </c>
      <c r="Q16" s="19">
        <v>1</v>
      </c>
    </row>
    <row r="17" spans="2:17" x14ac:dyDescent="0.25">
      <c r="B17" t="s">
        <v>17</v>
      </c>
      <c r="C17" t="s">
        <v>964</v>
      </c>
      <c r="D17" t="s">
        <v>965</v>
      </c>
      <c r="E17" t="s">
        <v>966</v>
      </c>
      <c r="F17" t="s">
        <v>66</v>
      </c>
      <c r="G17" s="19">
        <v>840</v>
      </c>
      <c r="H17" s="19">
        <v>20</v>
      </c>
      <c r="I17" s="19">
        <f t="shared" si="0"/>
        <v>820</v>
      </c>
      <c r="J17" t="s">
        <v>22</v>
      </c>
      <c r="K17" t="s">
        <v>22</v>
      </c>
      <c r="L17" t="s">
        <v>929</v>
      </c>
      <c r="Q17" s="19">
        <v>1</v>
      </c>
    </row>
    <row r="18" spans="2:17" x14ac:dyDescent="0.25">
      <c r="B18" t="s">
        <v>17</v>
      </c>
      <c r="C18" t="s">
        <v>967</v>
      </c>
      <c r="D18" t="s">
        <v>968</v>
      </c>
      <c r="E18" t="s">
        <v>969</v>
      </c>
      <c r="F18" t="s">
        <v>66</v>
      </c>
      <c r="G18" s="19">
        <v>1670</v>
      </c>
      <c r="H18" s="19">
        <v>20</v>
      </c>
      <c r="I18" s="19">
        <f t="shared" si="0"/>
        <v>1650</v>
      </c>
      <c r="J18" t="s">
        <v>22</v>
      </c>
      <c r="K18" t="s">
        <v>22</v>
      </c>
      <c r="L18" t="s">
        <v>929</v>
      </c>
      <c r="Q18" s="19">
        <v>1</v>
      </c>
    </row>
    <row r="19" spans="2:17" x14ac:dyDescent="0.25">
      <c r="B19" t="s">
        <v>17</v>
      </c>
      <c r="C19" t="s">
        <v>970</v>
      </c>
      <c r="D19" t="s">
        <v>971</v>
      </c>
      <c r="E19" t="s">
        <v>972</v>
      </c>
      <c r="F19" s="19">
        <v>2</v>
      </c>
      <c r="G19" s="19">
        <v>700</v>
      </c>
      <c r="H19" s="19">
        <v>30</v>
      </c>
      <c r="I19" s="19">
        <f t="shared" si="0"/>
        <v>670</v>
      </c>
      <c r="J19" t="s">
        <v>22</v>
      </c>
      <c r="K19" t="s">
        <v>22</v>
      </c>
      <c r="L19" t="s">
        <v>929</v>
      </c>
      <c r="Q19" s="19">
        <v>1</v>
      </c>
    </row>
    <row r="20" spans="2:17" x14ac:dyDescent="0.25">
      <c r="B20" t="s">
        <v>17</v>
      </c>
      <c r="C20" t="s">
        <v>973</v>
      </c>
      <c r="D20" t="s">
        <v>974</v>
      </c>
      <c r="E20" t="s">
        <v>975</v>
      </c>
      <c r="F20" s="19">
        <v>2</v>
      </c>
      <c r="G20" s="19">
        <v>1770</v>
      </c>
      <c r="H20" s="19">
        <v>30</v>
      </c>
      <c r="I20" s="19">
        <f t="shared" si="0"/>
        <v>1740</v>
      </c>
      <c r="J20" t="s">
        <v>22</v>
      </c>
      <c r="K20" t="s">
        <v>22</v>
      </c>
      <c r="L20" t="s">
        <v>929</v>
      </c>
      <c r="Q20" s="19">
        <v>1</v>
      </c>
    </row>
    <row r="21" spans="2:17" x14ac:dyDescent="0.25">
      <c r="B21" t="s">
        <v>17</v>
      </c>
      <c r="C21" t="s">
        <v>976</v>
      </c>
      <c r="D21" t="s">
        <v>977</v>
      </c>
      <c r="E21" t="s">
        <v>978</v>
      </c>
      <c r="F21" s="19">
        <v>5</v>
      </c>
      <c r="G21" s="19">
        <v>0</v>
      </c>
      <c r="H21" s="19">
        <v>25</v>
      </c>
      <c r="I21" s="19">
        <f>-H21</f>
        <v>-25</v>
      </c>
      <c r="J21" t="s">
        <v>79</v>
      </c>
      <c r="K21" t="s">
        <v>22</v>
      </c>
      <c r="L21" t="s">
        <v>929</v>
      </c>
      <c r="Q21" s="19">
        <v>1</v>
      </c>
    </row>
    <row r="22" spans="2:17" x14ac:dyDescent="0.25">
      <c r="B22" t="s">
        <v>17</v>
      </c>
      <c r="C22" t="s">
        <v>979</v>
      </c>
      <c r="D22" t="s">
        <v>980</v>
      </c>
      <c r="E22" t="s">
        <v>981</v>
      </c>
      <c r="F22" s="19">
        <v>10</v>
      </c>
      <c r="G22" s="19">
        <v>845</v>
      </c>
      <c r="H22" s="19">
        <v>25</v>
      </c>
      <c r="I22" s="19">
        <f>G22-H22</f>
        <v>820</v>
      </c>
      <c r="J22" t="s">
        <v>79</v>
      </c>
      <c r="K22" t="s">
        <v>22</v>
      </c>
      <c r="L22" t="s">
        <v>929</v>
      </c>
      <c r="Q22" s="19">
        <v>1</v>
      </c>
    </row>
    <row r="23" spans="2:17" x14ac:dyDescent="0.25">
      <c r="B23" t="s">
        <v>17</v>
      </c>
      <c r="C23" t="s">
        <v>982</v>
      </c>
      <c r="D23" t="s">
        <v>983</v>
      </c>
      <c r="E23" t="s">
        <v>984</v>
      </c>
      <c r="F23" s="19">
        <v>3</v>
      </c>
      <c r="G23" s="19">
        <v>845</v>
      </c>
      <c r="H23" s="19">
        <v>25</v>
      </c>
      <c r="I23" s="19">
        <f>G23-H23</f>
        <v>820</v>
      </c>
      <c r="J23" t="s">
        <v>79</v>
      </c>
      <c r="K23" t="s">
        <v>22</v>
      </c>
      <c r="L23" t="s">
        <v>929</v>
      </c>
      <c r="Q23" s="19">
        <v>1</v>
      </c>
    </row>
    <row r="24" spans="2:17" x14ac:dyDescent="0.25">
      <c r="B24" t="s">
        <v>17</v>
      </c>
      <c r="C24" t="s">
        <v>985</v>
      </c>
      <c r="D24" t="s">
        <v>986</v>
      </c>
      <c r="E24" t="s">
        <v>987</v>
      </c>
      <c r="F24" t="s">
        <v>51</v>
      </c>
      <c r="G24" s="19">
        <v>0</v>
      </c>
      <c r="H24" s="19">
        <v>25</v>
      </c>
      <c r="I24" s="19">
        <f>-H24</f>
        <v>-25</v>
      </c>
      <c r="J24" t="s">
        <v>79</v>
      </c>
      <c r="K24" t="s">
        <v>22</v>
      </c>
      <c r="L24" t="s">
        <v>929</v>
      </c>
      <c r="Q24" s="19">
        <v>1</v>
      </c>
    </row>
    <row r="25" spans="2:17" x14ac:dyDescent="0.25">
      <c r="B25" t="s">
        <v>17</v>
      </c>
      <c r="C25" t="s">
        <v>988</v>
      </c>
      <c r="D25" t="s">
        <v>989</v>
      </c>
      <c r="E25" t="s">
        <v>990</v>
      </c>
      <c r="F25" s="19">
        <v>5</v>
      </c>
      <c r="G25" s="19">
        <v>0</v>
      </c>
      <c r="H25" s="19">
        <v>25</v>
      </c>
      <c r="I25" s="19">
        <f>-H25</f>
        <v>-25</v>
      </c>
      <c r="J25" t="s">
        <v>79</v>
      </c>
      <c r="K25" t="s">
        <v>22</v>
      </c>
      <c r="L25" t="s">
        <v>929</v>
      </c>
      <c r="Q25" s="19">
        <v>1</v>
      </c>
    </row>
    <row r="26" spans="2:17" x14ac:dyDescent="0.25">
      <c r="B26" t="s">
        <v>17</v>
      </c>
      <c r="C26" t="s">
        <v>991</v>
      </c>
      <c r="D26" t="s">
        <v>992</v>
      </c>
      <c r="E26" t="s">
        <v>993</v>
      </c>
      <c r="F26" s="19">
        <v>1</v>
      </c>
      <c r="G26" s="19">
        <v>0</v>
      </c>
      <c r="H26" s="19">
        <v>25</v>
      </c>
      <c r="I26" s="19">
        <f>-H26</f>
        <v>-25</v>
      </c>
      <c r="J26" t="s">
        <v>79</v>
      </c>
      <c r="K26" t="s">
        <v>22</v>
      </c>
      <c r="L26" t="s">
        <v>929</v>
      </c>
      <c r="Q26" s="19">
        <v>1</v>
      </c>
    </row>
    <row r="27" spans="2:17" x14ac:dyDescent="0.25">
      <c r="B27" t="s">
        <v>17</v>
      </c>
      <c r="C27" t="s">
        <v>994</v>
      </c>
      <c r="D27" t="s">
        <v>995</v>
      </c>
      <c r="E27" t="s">
        <v>996</v>
      </c>
      <c r="F27" t="s">
        <v>51</v>
      </c>
      <c r="G27" s="19">
        <v>1595</v>
      </c>
      <c r="H27" s="19">
        <v>25</v>
      </c>
      <c r="I27" s="19">
        <f>G27-H27</f>
        <v>1570</v>
      </c>
      <c r="J27" t="s">
        <v>79</v>
      </c>
      <c r="K27" t="s">
        <v>22</v>
      </c>
      <c r="L27" t="s">
        <v>929</v>
      </c>
      <c r="Q27" s="19">
        <v>1</v>
      </c>
    </row>
    <row r="28" spans="2:17" x14ac:dyDescent="0.25">
      <c r="B28" t="s">
        <v>17</v>
      </c>
      <c r="C28" t="s">
        <v>997</v>
      </c>
      <c r="D28" t="s">
        <v>998</v>
      </c>
      <c r="E28" t="s">
        <v>999</v>
      </c>
      <c r="F28" s="19">
        <v>10</v>
      </c>
      <c r="G28" s="19">
        <v>915</v>
      </c>
      <c r="H28" s="19">
        <v>25</v>
      </c>
      <c r="I28" s="19">
        <f>G28-H28</f>
        <v>890</v>
      </c>
      <c r="J28" t="s">
        <v>79</v>
      </c>
      <c r="K28" t="s">
        <v>22</v>
      </c>
      <c r="L28" t="s">
        <v>929</v>
      </c>
      <c r="Q28" s="19">
        <v>1</v>
      </c>
    </row>
    <row r="29" spans="2:17" x14ac:dyDescent="0.25">
      <c r="B29" t="s">
        <v>17</v>
      </c>
      <c r="C29" t="s">
        <v>1000</v>
      </c>
      <c r="D29" t="s">
        <v>1001</v>
      </c>
      <c r="E29" t="s">
        <v>566</v>
      </c>
      <c r="F29" s="19">
        <v>3</v>
      </c>
      <c r="G29" s="19">
        <v>845</v>
      </c>
      <c r="H29" s="19">
        <v>25</v>
      </c>
      <c r="I29" s="19">
        <f>G29-H29</f>
        <v>820</v>
      </c>
      <c r="J29" t="s">
        <v>79</v>
      </c>
      <c r="K29" t="s">
        <v>22</v>
      </c>
      <c r="L29" t="s">
        <v>929</v>
      </c>
      <c r="Q29" s="19">
        <v>1</v>
      </c>
    </row>
    <row r="31" spans="2:17" x14ac:dyDescent="0.25">
      <c r="D31" s="1">
        <f>COUNTA(D3:D29)</f>
        <v>26</v>
      </c>
      <c r="G31" s="1">
        <f t="shared" ref="G31:Q31" si="1">SUBTOTAL(9,G3:G29)</f>
        <v>18495</v>
      </c>
      <c r="H31" s="1">
        <f t="shared" si="1"/>
        <v>745</v>
      </c>
      <c r="I31" s="1">
        <f t="shared" si="1"/>
        <v>17750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</row>
    <row r="32" spans="2:17" x14ac:dyDescent="0.25">
      <c r="H32">
        <f>-8*17</f>
        <v>-136</v>
      </c>
    </row>
    <row r="33" spans="1:16" x14ac:dyDescent="0.25">
      <c r="A33" s="1" t="s">
        <v>17</v>
      </c>
      <c r="C33" s="42" t="s">
        <v>88</v>
      </c>
      <c r="D33" s="42"/>
      <c r="E33" s="4" t="s">
        <v>89</v>
      </c>
      <c r="H33">
        <f>-2*25</f>
        <v>-50</v>
      </c>
      <c r="K33" s="29" t="s">
        <v>928</v>
      </c>
      <c r="L33" s="29" t="s">
        <v>90</v>
      </c>
      <c r="M33" s="29" t="s">
        <v>89</v>
      </c>
      <c r="O33" s="4" t="s">
        <v>91</v>
      </c>
    </row>
    <row r="34" spans="1:16" x14ac:dyDescent="0.25">
      <c r="A34" t="s">
        <v>929</v>
      </c>
      <c r="B34" s="3" t="s">
        <v>92</v>
      </c>
      <c r="C34" s="43">
        <f>SUMIFS(I$3:I$29,B$3:B$29,A$33,L$3:L$29,A$34)</f>
        <v>17750</v>
      </c>
      <c r="D34" s="43"/>
      <c r="E34" s="3">
        <f>SUMIFS(Q$3:Q$29,B$3:B$29,A$33,L$3:L$29,A$34)</f>
        <v>27</v>
      </c>
      <c r="F34" t="s">
        <v>93</v>
      </c>
      <c r="H34">
        <f>-3*30</f>
        <v>-90</v>
      </c>
      <c r="K34" t="s">
        <v>94</v>
      </c>
      <c r="L34">
        <f>SUMIFS(G$3:G$29,J$3:J$29,K$33)</f>
        <v>7570</v>
      </c>
      <c r="M34">
        <f>SUMIFS(Q$3:Q$29,J$3:J$29,K$33)</f>
        <v>13</v>
      </c>
      <c r="O34" t="s">
        <v>1002</v>
      </c>
      <c r="P34">
        <f>L39</f>
        <v>7294</v>
      </c>
    </row>
    <row r="35" spans="1:16" x14ac:dyDescent="0.25">
      <c r="B35" s="2" t="s">
        <v>95</v>
      </c>
      <c r="C35" s="44">
        <v>0</v>
      </c>
      <c r="D35" s="44"/>
      <c r="K35" t="s">
        <v>96</v>
      </c>
      <c r="L35">
        <f>SUM(H32:H34)</f>
        <v>-276</v>
      </c>
      <c r="M35">
        <f>SUMIFS(Q$3:Q$29,J$3:J$29,K$33)</f>
        <v>13</v>
      </c>
      <c r="O35" t="s">
        <v>79</v>
      </c>
      <c r="P35">
        <f>L47</f>
        <v>4865</v>
      </c>
    </row>
    <row r="36" spans="1:16" x14ac:dyDescent="0.25">
      <c r="B36" s="2" t="s">
        <v>97</v>
      </c>
      <c r="C36" s="44">
        <f>-SUMIFS(I$3:I$29,B$3:B$29,A$33,P$3:P$29,"xx",N$3:N$29,"x")</f>
        <v>0</v>
      </c>
      <c r="D36" s="44"/>
      <c r="E36" s="2">
        <f>SUMIFS(Q$3:Q$29,B$3:B$29,A$33,P$3:P$29,"xx",N$3:N$29,"x")</f>
        <v>0</v>
      </c>
      <c r="K36" t="s">
        <v>98</v>
      </c>
      <c r="O36" t="s">
        <v>22</v>
      </c>
      <c r="P36">
        <f>L55</f>
        <v>5721</v>
      </c>
    </row>
    <row r="37" spans="1:16" x14ac:dyDescent="0.25">
      <c r="B37" s="4" t="s">
        <v>100</v>
      </c>
      <c r="C37" s="42">
        <f>SUBTOTAL(9,C34:C36)</f>
        <v>17750</v>
      </c>
      <c r="D37" s="42"/>
      <c r="E37">
        <f>E34</f>
        <v>27</v>
      </c>
      <c r="K37" s="2" t="s">
        <v>101</v>
      </c>
      <c r="O37" t="s">
        <v>104</v>
      </c>
      <c r="P37">
        <f>-C41</f>
        <v>-17750</v>
      </c>
    </row>
    <row r="38" spans="1:16" x14ac:dyDescent="0.25">
      <c r="B38" s="2" t="s">
        <v>102</v>
      </c>
      <c r="C38" s="35"/>
      <c r="D38" s="35"/>
      <c r="K38" s="2" t="s">
        <v>103</v>
      </c>
      <c r="O38" s="4" t="s">
        <v>106</v>
      </c>
      <c r="P38" s="4">
        <f>SUBTOTAL(9,P34:P37)</f>
        <v>130</v>
      </c>
    </row>
    <row r="39" spans="1:16" x14ac:dyDescent="0.25">
      <c r="B39" s="30" t="s">
        <v>105</v>
      </c>
      <c r="C39" s="35"/>
      <c r="D39" s="35"/>
      <c r="L39" s="31">
        <f>SUBTOTAL(9,L34:L38)</f>
        <v>7294</v>
      </c>
      <c r="M39" s="31">
        <f>M34</f>
        <v>13</v>
      </c>
    </row>
    <row r="41" spans="1:16" x14ac:dyDescent="0.25">
      <c r="B41" s="1" t="s">
        <v>107</v>
      </c>
      <c r="C41" s="41">
        <f>C37+C38+C39</f>
        <v>17750</v>
      </c>
      <c r="D41" s="41"/>
      <c r="E41" s="1" t="s">
        <v>108</v>
      </c>
      <c r="K41" s="29" t="s">
        <v>79</v>
      </c>
      <c r="L41" s="29" t="s">
        <v>90</v>
      </c>
      <c r="M41" s="29" t="s">
        <v>89</v>
      </c>
    </row>
    <row r="42" spans="1:16" x14ac:dyDescent="0.25">
      <c r="K42" t="s">
        <v>94</v>
      </c>
      <c r="L42">
        <f>SUMIFS(G$3:G$29,J$3:J$29,K$41)</f>
        <v>5045</v>
      </c>
      <c r="M42">
        <f>SUMIFS(Q$3:Q$29,J$3:J$29,K$41)</f>
        <v>9</v>
      </c>
    </row>
    <row r="43" spans="1:16" x14ac:dyDescent="0.25">
      <c r="K43" t="s">
        <v>96</v>
      </c>
      <c r="L43">
        <f>-SUMIFS(H$3:H$29,J$3:J$29,K$41)+M43*5</f>
        <v>-180</v>
      </c>
      <c r="M43">
        <f>SUMIFS(Q$3:Q$29,J$3:J$29,K$41)-COUNTIFS(J$3:J$29,K$41,M$3:M$29,"*gộp*")</f>
        <v>9</v>
      </c>
    </row>
    <row r="44" spans="1:16" x14ac:dyDescent="0.25">
      <c r="K44" t="s">
        <v>98</v>
      </c>
    </row>
    <row r="45" spans="1:16" x14ac:dyDescent="0.25">
      <c r="K45" s="2" t="s">
        <v>101</v>
      </c>
    </row>
    <row r="46" spans="1:16" x14ac:dyDescent="0.25">
      <c r="K46" s="2" t="s">
        <v>103</v>
      </c>
    </row>
    <row r="47" spans="1:16" x14ac:dyDescent="0.25">
      <c r="L47" s="31">
        <f>SUBTOTAL(9,L42:L46)</f>
        <v>4865</v>
      </c>
      <c r="M47" s="31">
        <f>M42</f>
        <v>9</v>
      </c>
    </row>
    <row r="49" spans="11:13" x14ac:dyDescent="0.25">
      <c r="K49" s="29" t="s">
        <v>22</v>
      </c>
      <c r="L49" s="29" t="s">
        <v>90</v>
      </c>
      <c r="M49" s="29" t="s">
        <v>89</v>
      </c>
    </row>
    <row r="50" spans="11:13" x14ac:dyDescent="0.25">
      <c r="K50" t="s">
        <v>94</v>
      </c>
      <c r="L50">
        <f>SUMIFS(G$3:G$29,J$3:J$29,K$49)</f>
        <v>5880</v>
      </c>
      <c r="M50">
        <f>SUMIFS(Q$3:Q$29,J$3:J$29,K$49)</f>
        <v>5</v>
      </c>
    </row>
    <row r="51" spans="11:13" x14ac:dyDescent="0.25">
      <c r="K51" t="s">
        <v>96</v>
      </c>
      <c r="L51">
        <f>-SUMIFS(H$3:H$29,J$3:J$29,K$49)+M51*5</f>
        <v>-105</v>
      </c>
      <c r="M51">
        <f>SUMIFS(Q$3:Q$29,J$3:J$29,K$49)-COUNTIFS(J$3:J$29,K$49,M$3:M$29,"*gộp*")</f>
        <v>5</v>
      </c>
    </row>
    <row r="52" spans="11:13" x14ac:dyDescent="0.25">
      <c r="K52" t="s">
        <v>98</v>
      </c>
      <c r="L52">
        <f>-M52*2</f>
        <v>-54</v>
      </c>
      <c r="M52">
        <f>Q31-(COUNTIFS(M$3:M$29,"*gộp*")/2)</f>
        <v>27</v>
      </c>
    </row>
    <row r="53" spans="11:13" x14ac:dyDescent="0.25">
      <c r="K53" s="2" t="s">
        <v>101</v>
      </c>
    </row>
    <row r="54" spans="11:13" x14ac:dyDescent="0.25">
      <c r="K54" s="2" t="s">
        <v>103</v>
      </c>
    </row>
    <row r="55" spans="11:13" x14ac:dyDescent="0.25">
      <c r="L55" s="31">
        <f>SUBTOTAL(9,L50:L54)</f>
        <v>5721</v>
      </c>
      <c r="M55" s="31">
        <f>M50</f>
        <v>5</v>
      </c>
    </row>
  </sheetData>
  <autoFilter ref="A2:P29" xr:uid="{00000000-0009-0000-0000-00000A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1:D41"/>
    <mergeCell ref="C33:D33"/>
    <mergeCell ref="C34:D34"/>
    <mergeCell ref="C35:D35"/>
    <mergeCell ref="C36:D36"/>
    <mergeCell ref="C37:D37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A2AE-DA74-48C7-B819-A85E917CF02D}">
  <dimension ref="A2:Q102"/>
  <sheetViews>
    <sheetView topLeftCell="C61" workbookViewId="0">
      <selection activeCell="D13" sqref="D13"/>
    </sheetView>
  </sheetViews>
  <sheetFormatPr defaultColWidth="9.28515625" defaultRowHeight="15" x14ac:dyDescent="0.25"/>
  <cols>
    <col min="1" max="1" width="12.7109375" customWidth="1"/>
    <col min="2" max="2" width="17.7109375" customWidth="1"/>
    <col min="3" max="3" width="56.5703125" customWidth="1"/>
    <col min="4" max="4" width="9.85546875" customWidth="1"/>
    <col min="5" max="5" width="74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14062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  <col min="18" max="18" width="9.140625" customWidth="1"/>
  </cols>
  <sheetData>
    <row r="2" spans="1:17" x14ac:dyDescent="0.25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28" t="s">
        <v>14</v>
      </c>
      <c r="P2" s="28" t="s">
        <v>15</v>
      </c>
      <c r="Q2" s="28" t="s">
        <v>16</v>
      </c>
    </row>
    <row r="3" spans="1:17" x14ac:dyDescent="0.25">
      <c r="A3" t="s">
        <v>24</v>
      </c>
      <c r="B3" t="s">
        <v>17</v>
      </c>
      <c r="C3" t="s">
        <v>237</v>
      </c>
      <c r="E3" t="s">
        <v>238</v>
      </c>
      <c r="F3" t="s">
        <v>51</v>
      </c>
      <c r="G3" s="19">
        <v>30</v>
      </c>
      <c r="H3" s="19">
        <v>30</v>
      </c>
      <c r="I3" s="19">
        <f t="shared" ref="I3:I13" si="0">G3-H3</f>
        <v>0</v>
      </c>
      <c r="J3" t="s">
        <v>22</v>
      </c>
      <c r="K3" t="s">
        <v>22</v>
      </c>
      <c r="L3" t="s">
        <v>1003</v>
      </c>
      <c r="Q3" s="19">
        <v>1</v>
      </c>
    </row>
    <row r="4" spans="1:17" x14ac:dyDescent="0.25">
      <c r="A4" t="s">
        <v>24</v>
      </c>
      <c r="B4" t="s">
        <v>17</v>
      </c>
      <c r="C4" t="s">
        <v>1004</v>
      </c>
      <c r="E4" t="s">
        <v>1005</v>
      </c>
      <c r="F4" t="s">
        <v>66</v>
      </c>
      <c r="G4" s="19">
        <v>955</v>
      </c>
      <c r="H4" s="19">
        <v>25</v>
      </c>
      <c r="I4" s="19">
        <f t="shared" si="0"/>
        <v>930</v>
      </c>
      <c r="J4" t="s">
        <v>22</v>
      </c>
      <c r="K4" t="s">
        <v>22</v>
      </c>
      <c r="L4" t="s">
        <v>1003</v>
      </c>
      <c r="Q4" s="19">
        <v>1</v>
      </c>
    </row>
    <row r="5" spans="1:17" x14ac:dyDescent="0.25">
      <c r="A5" t="s">
        <v>24</v>
      </c>
      <c r="B5" t="s">
        <v>17</v>
      </c>
      <c r="C5" t="s">
        <v>507</v>
      </c>
      <c r="E5" t="s">
        <v>32</v>
      </c>
      <c r="F5" s="19">
        <v>6</v>
      </c>
      <c r="G5" s="19">
        <v>30</v>
      </c>
      <c r="H5" s="19">
        <v>30</v>
      </c>
      <c r="I5" s="19">
        <f t="shared" si="0"/>
        <v>0</v>
      </c>
      <c r="J5" t="s">
        <v>1006</v>
      </c>
      <c r="K5" t="s">
        <v>22</v>
      </c>
      <c r="L5" t="s">
        <v>1003</v>
      </c>
      <c r="Q5" s="19">
        <v>1</v>
      </c>
    </row>
    <row r="6" spans="1:17" x14ac:dyDescent="0.25">
      <c r="A6" t="s">
        <v>24</v>
      </c>
      <c r="B6" t="s">
        <v>17</v>
      </c>
      <c r="C6" t="s">
        <v>257</v>
      </c>
      <c r="E6" t="s">
        <v>258</v>
      </c>
      <c r="F6" s="19">
        <v>4</v>
      </c>
      <c r="G6" s="19">
        <v>30</v>
      </c>
      <c r="H6" s="19">
        <v>30</v>
      </c>
      <c r="I6" s="19">
        <f t="shared" si="0"/>
        <v>0</v>
      </c>
      <c r="J6" t="s">
        <v>79</v>
      </c>
      <c r="K6" t="s">
        <v>22</v>
      </c>
      <c r="L6" t="s">
        <v>1003</v>
      </c>
      <c r="Q6" s="19">
        <v>1</v>
      </c>
    </row>
    <row r="7" spans="1:17" x14ac:dyDescent="0.25">
      <c r="A7" t="s">
        <v>24</v>
      </c>
      <c r="B7" t="s">
        <v>17</v>
      </c>
      <c r="C7" t="s">
        <v>38</v>
      </c>
      <c r="E7" t="s">
        <v>513</v>
      </c>
      <c r="F7" s="19">
        <v>6</v>
      </c>
      <c r="G7" s="19">
        <v>800</v>
      </c>
      <c r="H7" s="19">
        <v>30</v>
      </c>
      <c r="I7" s="19">
        <f t="shared" si="0"/>
        <v>770</v>
      </c>
      <c r="J7" t="s">
        <v>1006</v>
      </c>
      <c r="K7" t="s">
        <v>22</v>
      </c>
      <c r="L7" t="s">
        <v>1003</v>
      </c>
      <c r="Q7">
        <v>1</v>
      </c>
    </row>
    <row r="8" spans="1:17" x14ac:dyDescent="0.25">
      <c r="A8" t="s">
        <v>24</v>
      </c>
      <c r="B8" t="s">
        <v>17</v>
      </c>
      <c r="C8" t="s">
        <v>1007</v>
      </c>
      <c r="E8" t="s">
        <v>1008</v>
      </c>
      <c r="F8" s="19">
        <v>6</v>
      </c>
      <c r="G8" s="19">
        <v>35</v>
      </c>
      <c r="H8" s="19">
        <v>35</v>
      </c>
      <c r="I8" s="19">
        <f t="shared" si="0"/>
        <v>0</v>
      </c>
      <c r="J8" t="s">
        <v>1006</v>
      </c>
      <c r="K8" t="s">
        <v>22</v>
      </c>
      <c r="L8" t="s">
        <v>1003</v>
      </c>
      <c r="Q8" s="19">
        <v>1</v>
      </c>
    </row>
    <row r="9" spans="1:17" x14ac:dyDescent="0.25">
      <c r="B9" t="s">
        <v>17</v>
      </c>
      <c r="C9" t="s">
        <v>1009</v>
      </c>
      <c r="D9" t="s">
        <v>1010</v>
      </c>
      <c r="E9" t="s">
        <v>1011</v>
      </c>
      <c r="F9" t="s">
        <v>51</v>
      </c>
      <c r="G9" s="19">
        <v>845</v>
      </c>
      <c r="H9" s="19">
        <v>25</v>
      </c>
      <c r="I9" s="19">
        <f t="shared" si="0"/>
        <v>820</v>
      </c>
      <c r="J9" t="s">
        <v>79</v>
      </c>
      <c r="K9" t="s">
        <v>22</v>
      </c>
      <c r="L9" t="s">
        <v>1003</v>
      </c>
      <c r="Q9" s="19">
        <v>1</v>
      </c>
    </row>
    <row r="10" spans="1:17" x14ac:dyDescent="0.25">
      <c r="B10" t="s">
        <v>17</v>
      </c>
      <c r="C10" t="s">
        <v>1012</v>
      </c>
      <c r="D10" t="s">
        <v>1013</v>
      </c>
      <c r="E10" t="s">
        <v>1014</v>
      </c>
      <c r="F10" t="s">
        <v>201</v>
      </c>
      <c r="G10" s="19">
        <v>755</v>
      </c>
      <c r="H10" s="19">
        <v>35</v>
      </c>
      <c r="I10" s="19">
        <f t="shared" si="0"/>
        <v>720</v>
      </c>
      <c r="J10" t="s">
        <v>1006</v>
      </c>
      <c r="K10" t="s">
        <v>22</v>
      </c>
      <c r="L10" t="s">
        <v>1003</v>
      </c>
      <c r="Q10" s="19">
        <v>1</v>
      </c>
    </row>
    <row r="11" spans="1:17" x14ac:dyDescent="0.25">
      <c r="B11" t="s">
        <v>17</v>
      </c>
      <c r="C11" t="s">
        <v>1015</v>
      </c>
      <c r="D11" t="s">
        <v>1016</v>
      </c>
      <c r="E11" t="s">
        <v>1017</v>
      </c>
      <c r="F11" s="19">
        <v>2</v>
      </c>
      <c r="G11" s="19">
        <v>720</v>
      </c>
      <c r="H11" s="19">
        <v>30</v>
      </c>
      <c r="I11" s="19">
        <f t="shared" si="0"/>
        <v>690</v>
      </c>
      <c r="J11" t="s">
        <v>22</v>
      </c>
      <c r="K11" t="s">
        <v>22</v>
      </c>
      <c r="L11" t="s">
        <v>1003</v>
      </c>
      <c r="Q11" s="19">
        <v>1</v>
      </c>
    </row>
    <row r="12" spans="1:17" x14ac:dyDescent="0.25">
      <c r="B12" t="s">
        <v>17</v>
      </c>
      <c r="C12" t="s">
        <v>844</v>
      </c>
      <c r="D12" t="s">
        <v>1018</v>
      </c>
      <c r="E12" t="s">
        <v>846</v>
      </c>
      <c r="F12" s="19">
        <v>7</v>
      </c>
      <c r="G12" s="19">
        <v>30</v>
      </c>
      <c r="H12" s="19">
        <v>30</v>
      </c>
      <c r="I12" s="19">
        <f t="shared" si="0"/>
        <v>0</v>
      </c>
      <c r="J12" t="s">
        <v>1006</v>
      </c>
      <c r="K12" t="s">
        <v>22</v>
      </c>
      <c r="L12" t="s">
        <v>1003</v>
      </c>
      <c r="M12" t="s">
        <v>131</v>
      </c>
      <c r="Q12" s="19">
        <v>1</v>
      </c>
    </row>
    <row r="13" spans="1:17" x14ac:dyDescent="0.25">
      <c r="B13" t="s">
        <v>17</v>
      </c>
      <c r="C13" t="s">
        <v>1019</v>
      </c>
      <c r="D13" t="s">
        <v>1020</v>
      </c>
      <c r="E13" t="s">
        <v>1021</v>
      </c>
      <c r="F13" s="19">
        <v>4</v>
      </c>
      <c r="G13" s="19">
        <v>745</v>
      </c>
      <c r="H13" s="19">
        <v>25</v>
      </c>
      <c r="I13" s="19">
        <f t="shared" si="0"/>
        <v>720</v>
      </c>
      <c r="J13" t="s">
        <v>79</v>
      </c>
      <c r="K13" t="s">
        <v>22</v>
      </c>
      <c r="L13" t="s">
        <v>1003</v>
      </c>
      <c r="Q13" s="19">
        <v>1</v>
      </c>
    </row>
    <row r="14" spans="1:17" x14ac:dyDescent="0.25">
      <c r="B14" t="s">
        <v>17</v>
      </c>
      <c r="C14" t="s">
        <v>1022</v>
      </c>
      <c r="D14" t="s">
        <v>1023</v>
      </c>
      <c r="E14" t="s">
        <v>1024</v>
      </c>
      <c r="F14" s="19">
        <v>6</v>
      </c>
      <c r="G14" s="19">
        <v>0</v>
      </c>
      <c r="H14" s="19">
        <v>25</v>
      </c>
      <c r="I14" s="19">
        <f>-H14</f>
        <v>-25</v>
      </c>
      <c r="J14" t="s">
        <v>1006</v>
      </c>
      <c r="K14" t="s">
        <v>22</v>
      </c>
      <c r="L14" t="s">
        <v>1003</v>
      </c>
      <c r="Q14" s="19">
        <v>1</v>
      </c>
    </row>
    <row r="15" spans="1:17" x14ac:dyDescent="0.25">
      <c r="B15" t="s">
        <v>17</v>
      </c>
      <c r="C15" t="s">
        <v>1025</v>
      </c>
      <c r="D15" t="s">
        <v>1026</v>
      </c>
      <c r="E15" t="s">
        <v>1027</v>
      </c>
      <c r="F15" t="s">
        <v>310</v>
      </c>
      <c r="G15" s="19">
        <v>760</v>
      </c>
      <c r="H15" s="19">
        <v>30</v>
      </c>
      <c r="I15" s="19">
        <f>G15-H15</f>
        <v>730</v>
      </c>
      <c r="J15" t="s">
        <v>22</v>
      </c>
      <c r="K15" t="s">
        <v>22</v>
      </c>
      <c r="L15" t="s">
        <v>1003</v>
      </c>
      <c r="Q15" s="19">
        <v>1</v>
      </c>
    </row>
    <row r="16" spans="1:17" x14ac:dyDescent="0.25">
      <c r="B16" t="s">
        <v>17</v>
      </c>
      <c r="C16" t="s">
        <v>1028</v>
      </c>
      <c r="D16" t="s">
        <v>1029</v>
      </c>
      <c r="E16" t="s">
        <v>1030</v>
      </c>
      <c r="F16" s="19">
        <v>1</v>
      </c>
      <c r="G16" s="19">
        <v>765</v>
      </c>
      <c r="H16" s="19">
        <v>25</v>
      </c>
      <c r="I16" s="19">
        <f>G16-H16</f>
        <v>740</v>
      </c>
      <c r="J16" t="s">
        <v>79</v>
      </c>
      <c r="K16" t="s">
        <v>22</v>
      </c>
      <c r="L16" t="s">
        <v>1003</v>
      </c>
      <c r="Q16" s="19">
        <v>1</v>
      </c>
    </row>
    <row r="17" spans="2:17" x14ac:dyDescent="0.25">
      <c r="B17" t="s">
        <v>17</v>
      </c>
      <c r="C17" t="s">
        <v>1031</v>
      </c>
      <c r="D17" t="s">
        <v>1032</v>
      </c>
      <c r="E17" t="s">
        <v>1033</v>
      </c>
      <c r="F17" s="19">
        <v>4</v>
      </c>
      <c r="G17" s="19">
        <v>695</v>
      </c>
      <c r="H17" s="19">
        <v>25</v>
      </c>
      <c r="I17" s="19">
        <f>G17-H17</f>
        <v>670</v>
      </c>
      <c r="J17" t="s">
        <v>79</v>
      </c>
      <c r="K17" t="s">
        <v>22</v>
      </c>
      <c r="L17" t="s">
        <v>1003</v>
      </c>
      <c r="Q17" s="19">
        <v>1</v>
      </c>
    </row>
    <row r="18" spans="2:17" x14ac:dyDescent="0.25">
      <c r="B18" t="s">
        <v>17</v>
      </c>
      <c r="C18" t="s">
        <v>1034</v>
      </c>
      <c r="D18" t="s">
        <v>1035</v>
      </c>
      <c r="E18" t="s">
        <v>520</v>
      </c>
      <c r="F18" t="s">
        <v>62</v>
      </c>
      <c r="G18" s="19">
        <v>745</v>
      </c>
      <c r="H18" s="19">
        <v>25</v>
      </c>
      <c r="I18" s="19">
        <f>G18-H18</f>
        <v>720</v>
      </c>
      <c r="J18" t="s">
        <v>22</v>
      </c>
      <c r="K18" t="s">
        <v>22</v>
      </c>
      <c r="L18" t="s">
        <v>1003</v>
      </c>
      <c r="Q18" s="19">
        <v>1</v>
      </c>
    </row>
    <row r="19" spans="2:17" x14ac:dyDescent="0.25">
      <c r="B19" t="s">
        <v>17</v>
      </c>
      <c r="C19" t="s">
        <v>1036</v>
      </c>
      <c r="D19" t="s">
        <v>1037</v>
      </c>
      <c r="E19" t="s">
        <v>1038</v>
      </c>
      <c r="F19" s="19">
        <v>2</v>
      </c>
      <c r="G19" s="19">
        <v>0</v>
      </c>
      <c r="H19" s="19">
        <v>30</v>
      </c>
      <c r="I19" s="19">
        <f>-H19</f>
        <v>-30</v>
      </c>
      <c r="J19" t="s">
        <v>22</v>
      </c>
      <c r="K19" t="s">
        <v>22</v>
      </c>
      <c r="L19" t="s">
        <v>1003</v>
      </c>
      <c r="Q19" s="19">
        <v>1</v>
      </c>
    </row>
    <row r="20" spans="2:17" x14ac:dyDescent="0.25">
      <c r="B20" t="s">
        <v>17</v>
      </c>
      <c r="C20" t="s">
        <v>1039</v>
      </c>
      <c r="D20" t="s">
        <v>1040</v>
      </c>
      <c r="E20" t="s">
        <v>1041</v>
      </c>
      <c r="F20" s="19">
        <v>4</v>
      </c>
      <c r="G20" s="19">
        <v>895</v>
      </c>
      <c r="H20" s="19">
        <v>25</v>
      </c>
      <c r="I20" s="19">
        <f>G20-H20</f>
        <v>870</v>
      </c>
      <c r="J20" t="s">
        <v>79</v>
      </c>
      <c r="K20" t="s">
        <v>22</v>
      </c>
      <c r="L20" t="s">
        <v>1003</v>
      </c>
      <c r="Q20" s="19">
        <v>1</v>
      </c>
    </row>
    <row r="21" spans="2:17" x14ac:dyDescent="0.25">
      <c r="B21" t="s">
        <v>17</v>
      </c>
      <c r="C21" t="s">
        <v>1042</v>
      </c>
      <c r="D21" t="s">
        <v>1043</v>
      </c>
      <c r="E21" t="s">
        <v>1044</v>
      </c>
      <c r="F21" t="s">
        <v>44</v>
      </c>
      <c r="G21" s="19">
        <v>750</v>
      </c>
      <c r="H21" s="19">
        <v>30</v>
      </c>
      <c r="I21" s="19">
        <f>G21-H21</f>
        <v>720</v>
      </c>
      <c r="J21" t="s">
        <v>1006</v>
      </c>
      <c r="K21" t="s">
        <v>22</v>
      </c>
      <c r="L21" t="s">
        <v>1003</v>
      </c>
      <c r="Q21" s="19">
        <v>1</v>
      </c>
    </row>
    <row r="22" spans="2:17" x14ac:dyDescent="0.25">
      <c r="B22" t="s">
        <v>17</v>
      </c>
      <c r="C22" t="s">
        <v>1045</v>
      </c>
      <c r="D22" t="s">
        <v>1046</v>
      </c>
      <c r="E22" t="s">
        <v>1047</v>
      </c>
      <c r="F22" t="s">
        <v>51</v>
      </c>
      <c r="G22" s="19">
        <v>745</v>
      </c>
      <c r="H22" s="19">
        <v>25</v>
      </c>
      <c r="I22" s="19">
        <f>G22-H22</f>
        <v>720</v>
      </c>
      <c r="J22" t="s">
        <v>79</v>
      </c>
      <c r="K22" t="s">
        <v>22</v>
      </c>
      <c r="L22" t="s">
        <v>1003</v>
      </c>
      <c r="Q22" s="19">
        <v>1</v>
      </c>
    </row>
    <row r="23" spans="2:17" x14ac:dyDescent="0.25">
      <c r="B23" t="s">
        <v>17</v>
      </c>
      <c r="C23" t="s">
        <v>1048</v>
      </c>
      <c r="D23" t="s">
        <v>1049</v>
      </c>
      <c r="E23" t="s">
        <v>1050</v>
      </c>
      <c r="F23" s="19">
        <v>2</v>
      </c>
      <c r="G23" s="19">
        <v>0</v>
      </c>
      <c r="H23" s="19">
        <v>30</v>
      </c>
      <c r="I23" s="19">
        <f>-H23</f>
        <v>-30</v>
      </c>
      <c r="J23" t="s">
        <v>22</v>
      </c>
      <c r="K23" t="s">
        <v>22</v>
      </c>
      <c r="L23" t="s">
        <v>1003</v>
      </c>
      <c r="Q23" s="19">
        <v>1</v>
      </c>
    </row>
    <row r="24" spans="2:17" x14ac:dyDescent="0.25">
      <c r="B24" t="s">
        <v>17</v>
      </c>
      <c r="C24" t="s">
        <v>1051</v>
      </c>
      <c r="D24" t="s">
        <v>1052</v>
      </c>
      <c r="E24" t="s">
        <v>1053</v>
      </c>
      <c r="F24" s="19">
        <v>11</v>
      </c>
      <c r="G24" s="19">
        <v>715</v>
      </c>
      <c r="H24" s="19">
        <v>25</v>
      </c>
      <c r="I24" s="19">
        <f>G24-H24</f>
        <v>690</v>
      </c>
      <c r="J24" t="s">
        <v>1006</v>
      </c>
      <c r="K24" t="s">
        <v>22</v>
      </c>
      <c r="L24" t="s">
        <v>1003</v>
      </c>
      <c r="Q24" s="19">
        <v>1</v>
      </c>
    </row>
    <row r="25" spans="2:17" x14ac:dyDescent="0.25">
      <c r="B25" t="s">
        <v>17</v>
      </c>
      <c r="C25" t="s">
        <v>1054</v>
      </c>
      <c r="D25" t="s">
        <v>1055</v>
      </c>
      <c r="E25" t="s">
        <v>1056</v>
      </c>
      <c r="F25" s="19">
        <v>1</v>
      </c>
      <c r="G25" s="19">
        <v>0</v>
      </c>
      <c r="H25" s="19">
        <v>25</v>
      </c>
      <c r="I25" s="19">
        <f>-H25</f>
        <v>-25</v>
      </c>
      <c r="J25" t="s">
        <v>79</v>
      </c>
      <c r="K25" t="s">
        <v>22</v>
      </c>
      <c r="L25" t="s">
        <v>1003</v>
      </c>
      <c r="Q25" s="19">
        <v>1</v>
      </c>
    </row>
    <row r="26" spans="2:17" x14ac:dyDescent="0.25">
      <c r="B26" t="s">
        <v>17</v>
      </c>
      <c r="C26" t="s">
        <v>1057</v>
      </c>
      <c r="D26" t="s">
        <v>1058</v>
      </c>
      <c r="E26" t="s">
        <v>1059</v>
      </c>
      <c r="F26" t="s">
        <v>44</v>
      </c>
      <c r="G26" s="19">
        <v>0</v>
      </c>
      <c r="H26" s="19">
        <v>30</v>
      </c>
      <c r="I26" s="19">
        <f>-H26</f>
        <v>-30</v>
      </c>
      <c r="J26" t="s">
        <v>1006</v>
      </c>
      <c r="K26" t="s">
        <v>22</v>
      </c>
      <c r="L26" t="s">
        <v>1003</v>
      </c>
      <c r="Q26" s="19">
        <v>1</v>
      </c>
    </row>
    <row r="27" spans="2:17" x14ac:dyDescent="0.25">
      <c r="B27" t="s">
        <v>17</v>
      </c>
      <c r="C27" t="s">
        <v>1060</v>
      </c>
      <c r="D27" t="s">
        <v>1061</v>
      </c>
      <c r="E27" t="s">
        <v>1062</v>
      </c>
      <c r="F27" t="s">
        <v>44</v>
      </c>
      <c r="G27" s="19">
        <v>0</v>
      </c>
      <c r="H27" s="19">
        <v>30</v>
      </c>
      <c r="I27" s="19">
        <f>G27-H27</f>
        <v>-30</v>
      </c>
      <c r="J27" t="s">
        <v>1006</v>
      </c>
      <c r="K27" t="s">
        <v>22</v>
      </c>
      <c r="L27" t="s">
        <v>1003</v>
      </c>
      <c r="Q27" s="19">
        <v>1</v>
      </c>
    </row>
    <row r="28" spans="2:17" x14ac:dyDescent="0.25">
      <c r="B28" t="s">
        <v>17</v>
      </c>
      <c r="C28" t="s">
        <v>896</v>
      </c>
      <c r="D28" t="s">
        <v>1063</v>
      </c>
      <c r="E28" t="s">
        <v>1064</v>
      </c>
      <c r="F28" t="s">
        <v>51</v>
      </c>
      <c r="G28" s="19">
        <v>2080</v>
      </c>
      <c r="H28" s="19">
        <v>30</v>
      </c>
      <c r="I28" s="19">
        <f>G28-H28</f>
        <v>2050</v>
      </c>
      <c r="J28" t="s">
        <v>22</v>
      </c>
      <c r="K28" t="s">
        <v>22</v>
      </c>
      <c r="L28" t="s">
        <v>1003</v>
      </c>
      <c r="M28" t="s">
        <v>517</v>
      </c>
      <c r="Q28" s="19">
        <v>1</v>
      </c>
    </row>
    <row r="29" spans="2:17" x14ac:dyDescent="0.25">
      <c r="B29" t="s">
        <v>17</v>
      </c>
      <c r="C29" t="s">
        <v>1065</v>
      </c>
      <c r="D29" t="s">
        <v>1066</v>
      </c>
      <c r="E29" t="s">
        <v>1067</v>
      </c>
      <c r="F29" t="s">
        <v>310</v>
      </c>
      <c r="G29" s="19">
        <v>0</v>
      </c>
      <c r="H29" s="19">
        <v>30</v>
      </c>
      <c r="I29" s="19">
        <f>-H29</f>
        <v>-30</v>
      </c>
      <c r="J29" t="s">
        <v>22</v>
      </c>
      <c r="K29" t="s">
        <v>22</v>
      </c>
      <c r="L29" t="s">
        <v>1003</v>
      </c>
      <c r="Q29" s="19">
        <v>1</v>
      </c>
    </row>
    <row r="30" spans="2:17" x14ac:dyDescent="0.25">
      <c r="B30" t="s">
        <v>17</v>
      </c>
      <c r="C30" t="s">
        <v>1068</v>
      </c>
      <c r="D30" t="s">
        <v>1069</v>
      </c>
      <c r="E30" t="s">
        <v>1070</v>
      </c>
      <c r="F30" s="19">
        <v>12</v>
      </c>
      <c r="G30" s="19">
        <v>700</v>
      </c>
      <c r="H30" s="19">
        <v>30</v>
      </c>
      <c r="I30" s="19">
        <f>G30-H30</f>
        <v>670</v>
      </c>
      <c r="J30" t="s">
        <v>1006</v>
      </c>
      <c r="K30" t="s">
        <v>22</v>
      </c>
      <c r="L30" t="s">
        <v>1003</v>
      </c>
      <c r="Q30" s="19">
        <v>1</v>
      </c>
    </row>
    <row r="31" spans="2:17" x14ac:dyDescent="0.25">
      <c r="B31" t="s">
        <v>17</v>
      </c>
      <c r="C31" t="s">
        <v>1071</v>
      </c>
      <c r="D31" t="s">
        <v>1072</v>
      </c>
      <c r="E31" t="s">
        <v>900</v>
      </c>
      <c r="F31" t="s">
        <v>51</v>
      </c>
      <c r="G31" s="19">
        <v>405</v>
      </c>
      <c r="H31" s="19">
        <v>25</v>
      </c>
      <c r="I31" s="19">
        <f>G31-H31</f>
        <v>380</v>
      </c>
      <c r="J31" t="s">
        <v>79</v>
      </c>
      <c r="K31" t="s">
        <v>22</v>
      </c>
      <c r="L31" t="s">
        <v>1003</v>
      </c>
      <c r="Q31" s="19">
        <v>1</v>
      </c>
    </row>
    <row r="32" spans="2:17" x14ac:dyDescent="0.25">
      <c r="B32" t="s">
        <v>17</v>
      </c>
      <c r="C32" t="s">
        <v>1073</v>
      </c>
      <c r="D32" t="s">
        <v>1074</v>
      </c>
      <c r="E32" t="s">
        <v>1075</v>
      </c>
      <c r="F32" t="s">
        <v>51</v>
      </c>
      <c r="G32" s="19">
        <v>0</v>
      </c>
      <c r="H32" s="19">
        <v>25</v>
      </c>
      <c r="I32" s="19">
        <f>-H32</f>
        <v>-25</v>
      </c>
      <c r="J32" t="s">
        <v>79</v>
      </c>
      <c r="K32" t="s">
        <v>22</v>
      </c>
      <c r="L32" t="s">
        <v>1003</v>
      </c>
      <c r="Q32" s="19">
        <v>1</v>
      </c>
    </row>
    <row r="33" spans="2:17" x14ac:dyDescent="0.25">
      <c r="B33" t="s">
        <v>17</v>
      </c>
      <c r="C33" t="s">
        <v>578</v>
      </c>
      <c r="D33" t="s">
        <v>1076</v>
      </c>
      <c r="E33" t="s">
        <v>1077</v>
      </c>
      <c r="F33" t="s">
        <v>44</v>
      </c>
      <c r="G33" s="19">
        <v>670</v>
      </c>
      <c r="H33" s="19">
        <v>30</v>
      </c>
      <c r="I33" s="19">
        <f>G33-H33</f>
        <v>640</v>
      </c>
      <c r="J33" t="s">
        <v>1006</v>
      </c>
      <c r="K33" t="s">
        <v>22</v>
      </c>
      <c r="L33" t="s">
        <v>1003</v>
      </c>
      <c r="Q33" s="19">
        <v>1</v>
      </c>
    </row>
    <row r="34" spans="2:17" x14ac:dyDescent="0.25">
      <c r="B34" t="s">
        <v>17</v>
      </c>
      <c r="C34" t="s">
        <v>1078</v>
      </c>
      <c r="D34" t="s">
        <v>1079</v>
      </c>
      <c r="E34" t="s">
        <v>1080</v>
      </c>
      <c r="F34" t="s">
        <v>51</v>
      </c>
      <c r="G34" s="19">
        <v>695</v>
      </c>
      <c r="H34" s="19">
        <v>25</v>
      </c>
      <c r="I34" s="19">
        <f>G34-H34</f>
        <v>670</v>
      </c>
      <c r="J34" t="s">
        <v>79</v>
      </c>
      <c r="K34" t="s">
        <v>22</v>
      </c>
      <c r="L34" t="s">
        <v>1003</v>
      </c>
      <c r="Q34" s="19">
        <v>1</v>
      </c>
    </row>
    <row r="35" spans="2:17" x14ac:dyDescent="0.25">
      <c r="B35" t="s">
        <v>17</v>
      </c>
      <c r="C35" t="s">
        <v>1081</v>
      </c>
      <c r="D35" t="s">
        <v>1082</v>
      </c>
      <c r="E35" t="s">
        <v>1083</v>
      </c>
      <c r="F35" t="s">
        <v>162</v>
      </c>
      <c r="G35" s="19">
        <v>370</v>
      </c>
      <c r="H35" s="19">
        <v>20</v>
      </c>
      <c r="I35" s="19">
        <f>G35-H35</f>
        <v>350</v>
      </c>
      <c r="J35" t="s">
        <v>79</v>
      </c>
      <c r="K35" t="s">
        <v>22</v>
      </c>
      <c r="L35" t="s">
        <v>1003</v>
      </c>
      <c r="Q35" s="19">
        <v>1</v>
      </c>
    </row>
    <row r="36" spans="2:17" x14ac:dyDescent="0.25">
      <c r="B36" t="s">
        <v>17</v>
      </c>
      <c r="C36" t="s">
        <v>1084</v>
      </c>
      <c r="D36" t="s">
        <v>1085</v>
      </c>
      <c r="E36" t="s">
        <v>1086</v>
      </c>
      <c r="F36" s="19">
        <v>9</v>
      </c>
      <c r="G36" s="19">
        <v>750</v>
      </c>
      <c r="H36" s="19">
        <v>30</v>
      </c>
      <c r="I36" s="19">
        <f>G36-H36</f>
        <v>720</v>
      </c>
      <c r="J36" t="s">
        <v>21</v>
      </c>
      <c r="K36" t="s">
        <v>22</v>
      </c>
      <c r="L36" t="s">
        <v>1003</v>
      </c>
      <c r="Q36" s="19">
        <v>1</v>
      </c>
    </row>
    <row r="37" spans="2:17" x14ac:dyDescent="0.25">
      <c r="B37" t="s">
        <v>17</v>
      </c>
      <c r="C37" t="s">
        <v>1087</v>
      </c>
      <c r="D37" t="s">
        <v>1088</v>
      </c>
      <c r="E37" t="s">
        <v>1089</v>
      </c>
      <c r="F37" s="19">
        <v>1</v>
      </c>
      <c r="G37" s="19">
        <v>405</v>
      </c>
      <c r="H37" s="19">
        <v>25</v>
      </c>
      <c r="I37" s="19">
        <f>G37-H37</f>
        <v>380</v>
      </c>
      <c r="J37" t="s">
        <v>79</v>
      </c>
      <c r="K37" t="s">
        <v>22</v>
      </c>
      <c r="L37" t="s">
        <v>1003</v>
      </c>
      <c r="Q37" s="19">
        <v>1</v>
      </c>
    </row>
    <row r="38" spans="2:17" x14ac:dyDescent="0.25">
      <c r="B38" t="s">
        <v>17</v>
      </c>
      <c r="C38" t="s">
        <v>215</v>
      </c>
      <c r="D38" t="s">
        <v>1090</v>
      </c>
      <c r="E38" t="s">
        <v>217</v>
      </c>
      <c r="F38" t="s">
        <v>51</v>
      </c>
      <c r="G38" s="19">
        <v>0</v>
      </c>
      <c r="H38" s="19">
        <v>25</v>
      </c>
      <c r="I38" s="19">
        <f>-H38</f>
        <v>-25</v>
      </c>
      <c r="J38" t="s">
        <v>79</v>
      </c>
      <c r="K38" t="s">
        <v>22</v>
      </c>
      <c r="L38" t="s">
        <v>1003</v>
      </c>
      <c r="Q38" s="19">
        <v>1</v>
      </c>
    </row>
    <row r="39" spans="2:17" x14ac:dyDescent="0.25">
      <c r="B39" t="s">
        <v>17</v>
      </c>
      <c r="C39" t="s">
        <v>1091</v>
      </c>
      <c r="D39" t="s">
        <v>1092</v>
      </c>
      <c r="E39" t="s">
        <v>1093</v>
      </c>
      <c r="F39" s="19">
        <v>7</v>
      </c>
      <c r="G39" s="19">
        <v>750</v>
      </c>
      <c r="H39" s="19">
        <v>30</v>
      </c>
      <c r="I39" s="19">
        <f t="shared" ref="I39:I50" si="1">G39-H39</f>
        <v>720</v>
      </c>
      <c r="J39" t="s">
        <v>1006</v>
      </c>
      <c r="K39" t="s">
        <v>22</v>
      </c>
      <c r="L39" t="s">
        <v>1003</v>
      </c>
      <c r="Q39" s="19">
        <v>1</v>
      </c>
    </row>
    <row r="40" spans="2:17" x14ac:dyDescent="0.25">
      <c r="B40" t="s">
        <v>17</v>
      </c>
      <c r="C40" t="s">
        <v>1094</v>
      </c>
      <c r="D40" t="s">
        <v>1095</v>
      </c>
      <c r="E40" t="s">
        <v>1096</v>
      </c>
      <c r="F40" t="s">
        <v>62</v>
      </c>
      <c r="G40" s="19">
        <v>795</v>
      </c>
      <c r="H40" s="19">
        <v>25</v>
      </c>
      <c r="I40" s="19">
        <f t="shared" si="1"/>
        <v>770</v>
      </c>
      <c r="J40" t="s">
        <v>22</v>
      </c>
      <c r="K40" t="s">
        <v>22</v>
      </c>
      <c r="L40" t="s">
        <v>1003</v>
      </c>
      <c r="Q40" s="19">
        <v>1</v>
      </c>
    </row>
    <row r="41" spans="2:17" x14ac:dyDescent="0.25">
      <c r="B41" t="s">
        <v>17</v>
      </c>
      <c r="C41" t="s">
        <v>1097</v>
      </c>
      <c r="D41" t="s">
        <v>1098</v>
      </c>
      <c r="E41" t="s">
        <v>1099</v>
      </c>
      <c r="F41" t="s">
        <v>51</v>
      </c>
      <c r="G41" s="19">
        <v>735</v>
      </c>
      <c r="H41" s="19">
        <v>25</v>
      </c>
      <c r="I41" s="19">
        <f t="shared" si="1"/>
        <v>710</v>
      </c>
      <c r="J41" t="s">
        <v>79</v>
      </c>
      <c r="K41" t="s">
        <v>22</v>
      </c>
      <c r="L41" t="s">
        <v>1003</v>
      </c>
      <c r="Q41" s="19">
        <v>1</v>
      </c>
    </row>
    <row r="42" spans="2:17" x14ac:dyDescent="0.25">
      <c r="B42" t="s">
        <v>17</v>
      </c>
      <c r="C42" t="s">
        <v>1100</v>
      </c>
      <c r="D42" t="s">
        <v>1101</v>
      </c>
      <c r="E42" t="s">
        <v>1102</v>
      </c>
      <c r="F42" s="19">
        <v>4</v>
      </c>
      <c r="G42" s="19">
        <v>695</v>
      </c>
      <c r="H42" s="19">
        <v>25</v>
      </c>
      <c r="I42" s="19">
        <f t="shared" si="1"/>
        <v>670</v>
      </c>
      <c r="J42" t="s">
        <v>79</v>
      </c>
      <c r="K42" t="s">
        <v>22</v>
      </c>
      <c r="L42" t="s">
        <v>1003</v>
      </c>
      <c r="Q42" s="19">
        <v>1</v>
      </c>
    </row>
    <row r="43" spans="2:17" x14ac:dyDescent="0.25">
      <c r="B43" t="s">
        <v>17</v>
      </c>
      <c r="C43" t="s">
        <v>1103</v>
      </c>
      <c r="D43" t="s">
        <v>1104</v>
      </c>
      <c r="E43" t="s">
        <v>1105</v>
      </c>
      <c r="F43" t="s">
        <v>44</v>
      </c>
      <c r="G43" s="19">
        <v>1660</v>
      </c>
      <c r="H43" s="19">
        <v>30</v>
      </c>
      <c r="I43" s="19">
        <f t="shared" si="1"/>
        <v>1630</v>
      </c>
      <c r="J43" t="s">
        <v>1006</v>
      </c>
      <c r="K43" t="s">
        <v>22</v>
      </c>
      <c r="L43" t="s">
        <v>1003</v>
      </c>
      <c r="Q43" s="19">
        <v>1</v>
      </c>
    </row>
    <row r="44" spans="2:17" x14ac:dyDescent="0.25">
      <c r="B44" t="s">
        <v>17</v>
      </c>
      <c r="C44" t="s">
        <v>1106</v>
      </c>
      <c r="D44" t="s">
        <v>1107</v>
      </c>
      <c r="E44" t="s">
        <v>1108</v>
      </c>
      <c r="F44" t="s">
        <v>162</v>
      </c>
      <c r="G44" s="19">
        <v>910</v>
      </c>
      <c r="H44" s="19">
        <v>20</v>
      </c>
      <c r="I44" s="19">
        <f t="shared" si="1"/>
        <v>890</v>
      </c>
      <c r="J44" t="s">
        <v>79</v>
      </c>
      <c r="K44" t="s">
        <v>22</v>
      </c>
      <c r="L44" t="s">
        <v>1003</v>
      </c>
      <c r="Q44" s="19">
        <v>1</v>
      </c>
    </row>
    <row r="45" spans="2:17" x14ac:dyDescent="0.25">
      <c r="B45" t="s">
        <v>17</v>
      </c>
      <c r="C45" t="s">
        <v>1109</v>
      </c>
      <c r="D45" t="s">
        <v>1110</v>
      </c>
      <c r="E45" t="s">
        <v>1111</v>
      </c>
      <c r="F45" t="s">
        <v>51</v>
      </c>
      <c r="G45" s="19">
        <v>815</v>
      </c>
      <c r="H45" s="19">
        <v>25</v>
      </c>
      <c r="I45" s="19">
        <f t="shared" si="1"/>
        <v>790</v>
      </c>
      <c r="J45" t="s">
        <v>79</v>
      </c>
      <c r="K45" t="s">
        <v>22</v>
      </c>
      <c r="L45" t="s">
        <v>1003</v>
      </c>
      <c r="Q45" s="19">
        <v>1</v>
      </c>
    </row>
    <row r="46" spans="2:17" x14ac:dyDescent="0.25">
      <c r="B46" t="s">
        <v>17</v>
      </c>
      <c r="C46" t="s">
        <v>1112</v>
      </c>
      <c r="D46" t="s">
        <v>1113</v>
      </c>
      <c r="E46" t="s">
        <v>1114</v>
      </c>
      <c r="F46" s="19">
        <v>11</v>
      </c>
      <c r="G46" s="19">
        <v>915</v>
      </c>
      <c r="H46" s="19">
        <v>25</v>
      </c>
      <c r="I46" s="19">
        <f t="shared" si="1"/>
        <v>890</v>
      </c>
      <c r="J46" t="s">
        <v>1006</v>
      </c>
      <c r="K46" t="s">
        <v>22</v>
      </c>
      <c r="L46" t="s">
        <v>1003</v>
      </c>
      <c r="Q46" s="19">
        <v>1</v>
      </c>
    </row>
    <row r="47" spans="2:17" x14ac:dyDescent="0.25">
      <c r="B47" t="s">
        <v>17</v>
      </c>
      <c r="C47" t="s">
        <v>1115</v>
      </c>
      <c r="D47" t="s">
        <v>1116</v>
      </c>
      <c r="E47" t="s">
        <v>1117</v>
      </c>
      <c r="F47" t="s">
        <v>51</v>
      </c>
      <c r="G47" s="19">
        <v>695</v>
      </c>
      <c r="H47" s="19">
        <v>25</v>
      </c>
      <c r="I47" s="19">
        <f t="shared" si="1"/>
        <v>670</v>
      </c>
      <c r="J47" t="s">
        <v>79</v>
      </c>
      <c r="K47" t="s">
        <v>22</v>
      </c>
      <c r="L47" t="s">
        <v>1003</v>
      </c>
      <c r="Q47" s="19">
        <v>1</v>
      </c>
    </row>
    <row r="48" spans="2:17" x14ac:dyDescent="0.25">
      <c r="B48" t="s">
        <v>17</v>
      </c>
      <c r="C48" t="s">
        <v>1118</v>
      </c>
      <c r="D48" t="s">
        <v>1119</v>
      </c>
      <c r="E48" t="s">
        <v>1120</v>
      </c>
      <c r="F48" t="s">
        <v>310</v>
      </c>
      <c r="G48" s="19">
        <v>820</v>
      </c>
      <c r="H48" s="19">
        <v>30</v>
      </c>
      <c r="I48" s="19">
        <f t="shared" si="1"/>
        <v>790</v>
      </c>
      <c r="J48" t="s">
        <v>22</v>
      </c>
      <c r="K48" t="s">
        <v>22</v>
      </c>
      <c r="L48" t="s">
        <v>1003</v>
      </c>
      <c r="Q48" s="19">
        <v>1</v>
      </c>
    </row>
    <row r="49" spans="2:17" x14ac:dyDescent="0.25">
      <c r="B49" t="s">
        <v>17</v>
      </c>
      <c r="C49" t="s">
        <v>1121</v>
      </c>
      <c r="D49" t="s">
        <v>1122</v>
      </c>
      <c r="E49" t="s">
        <v>1123</v>
      </c>
      <c r="F49" s="19">
        <v>4</v>
      </c>
      <c r="G49" s="19">
        <v>695</v>
      </c>
      <c r="H49" s="19">
        <v>25</v>
      </c>
      <c r="I49" s="19">
        <f t="shared" si="1"/>
        <v>670</v>
      </c>
      <c r="J49" t="s">
        <v>79</v>
      </c>
      <c r="K49" t="s">
        <v>22</v>
      </c>
      <c r="L49" t="s">
        <v>1003</v>
      </c>
      <c r="Q49" s="19">
        <v>1</v>
      </c>
    </row>
    <row r="50" spans="2:17" x14ac:dyDescent="0.25">
      <c r="B50" t="s">
        <v>17</v>
      </c>
      <c r="C50" t="s">
        <v>1124</v>
      </c>
      <c r="D50" t="s">
        <v>1125</v>
      </c>
      <c r="E50" t="s">
        <v>1126</v>
      </c>
      <c r="F50" t="s">
        <v>51</v>
      </c>
      <c r="G50" s="19">
        <v>735</v>
      </c>
      <c r="H50" s="19">
        <v>25</v>
      </c>
      <c r="I50" s="19">
        <f t="shared" si="1"/>
        <v>710</v>
      </c>
      <c r="J50" t="s">
        <v>79</v>
      </c>
      <c r="K50" t="s">
        <v>22</v>
      </c>
      <c r="L50" t="s">
        <v>1003</v>
      </c>
      <c r="Q50" s="19">
        <v>1</v>
      </c>
    </row>
    <row r="51" spans="2:17" x14ac:dyDescent="0.25">
      <c r="B51" t="s">
        <v>17</v>
      </c>
      <c r="C51" t="s">
        <v>1127</v>
      </c>
      <c r="D51" t="s">
        <v>1128</v>
      </c>
      <c r="E51" t="s">
        <v>1129</v>
      </c>
      <c r="F51" s="19">
        <v>7</v>
      </c>
      <c r="G51" s="19">
        <v>0</v>
      </c>
      <c r="H51" s="19">
        <v>30</v>
      </c>
      <c r="I51" s="19">
        <f>-H51</f>
        <v>-30</v>
      </c>
      <c r="J51" t="s">
        <v>1006</v>
      </c>
      <c r="K51" t="s">
        <v>22</v>
      </c>
      <c r="L51" t="s">
        <v>1003</v>
      </c>
      <c r="Q51" s="19">
        <v>1</v>
      </c>
    </row>
    <row r="52" spans="2:17" x14ac:dyDescent="0.25">
      <c r="B52" t="s">
        <v>17</v>
      </c>
      <c r="C52" t="s">
        <v>1130</v>
      </c>
      <c r="D52" t="s">
        <v>1131</v>
      </c>
      <c r="E52" t="s">
        <v>1132</v>
      </c>
      <c r="F52" s="19">
        <v>12</v>
      </c>
      <c r="G52" s="19">
        <v>740</v>
      </c>
      <c r="H52" s="19">
        <v>30</v>
      </c>
      <c r="I52" s="19">
        <f>G52-H52</f>
        <v>710</v>
      </c>
      <c r="J52" t="s">
        <v>1006</v>
      </c>
      <c r="K52" t="s">
        <v>22</v>
      </c>
      <c r="L52" t="s">
        <v>1003</v>
      </c>
      <c r="Q52" s="19">
        <v>1</v>
      </c>
    </row>
    <row r="53" spans="2:17" x14ac:dyDescent="0.25">
      <c r="B53" t="s">
        <v>17</v>
      </c>
      <c r="C53" t="s">
        <v>1133</v>
      </c>
      <c r="D53" t="s">
        <v>1134</v>
      </c>
      <c r="E53" t="s">
        <v>1135</v>
      </c>
      <c r="F53" t="s">
        <v>44</v>
      </c>
      <c r="G53" s="19">
        <v>750</v>
      </c>
      <c r="H53" s="19">
        <v>30</v>
      </c>
      <c r="I53" s="19">
        <f>G53-H53</f>
        <v>720</v>
      </c>
      <c r="J53" t="s">
        <v>1006</v>
      </c>
      <c r="K53" t="s">
        <v>22</v>
      </c>
      <c r="L53" t="s">
        <v>1003</v>
      </c>
      <c r="Q53" s="19">
        <v>1</v>
      </c>
    </row>
    <row r="54" spans="2:17" x14ac:dyDescent="0.25">
      <c r="B54" t="s">
        <v>17</v>
      </c>
      <c r="C54" t="s">
        <v>1136</v>
      </c>
      <c r="D54" t="s">
        <v>1137</v>
      </c>
      <c r="E54" t="s">
        <v>1138</v>
      </c>
      <c r="F54" s="19">
        <v>4</v>
      </c>
      <c r="G54" s="19">
        <v>25</v>
      </c>
      <c r="H54" s="19">
        <v>25</v>
      </c>
      <c r="I54" s="19">
        <f>G54-H54</f>
        <v>0</v>
      </c>
      <c r="J54" t="s">
        <v>79</v>
      </c>
      <c r="K54" t="s">
        <v>22</v>
      </c>
      <c r="L54" t="s">
        <v>1003</v>
      </c>
      <c r="M54" t="s">
        <v>131</v>
      </c>
      <c r="Q54" s="19">
        <v>1</v>
      </c>
    </row>
    <row r="55" spans="2:17" x14ac:dyDescent="0.25">
      <c r="B55" t="s">
        <v>17</v>
      </c>
      <c r="C55" t="s">
        <v>125</v>
      </c>
      <c r="D55" t="s">
        <v>1139</v>
      </c>
      <c r="E55" t="s">
        <v>1140</v>
      </c>
      <c r="F55" s="19">
        <v>12</v>
      </c>
      <c r="G55" s="19">
        <v>0</v>
      </c>
      <c r="H55" s="19">
        <v>30</v>
      </c>
      <c r="I55" s="19">
        <f>-H55</f>
        <v>-30</v>
      </c>
      <c r="J55" t="s">
        <v>1006</v>
      </c>
      <c r="K55" t="s">
        <v>22</v>
      </c>
      <c r="L55" t="s">
        <v>1003</v>
      </c>
      <c r="Q55" s="19">
        <v>1</v>
      </c>
    </row>
    <row r="56" spans="2:17" x14ac:dyDescent="0.25">
      <c r="B56" t="s">
        <v>17</v>
      </c>
      <c r="C56" t="s">
        <v>1141</v>
      </c>
      <c r="D56" t="s">
        <v>1142</v>
      </c>
      <c r="E56" t="s">
        <v>1143</v>
      </c>
      <c r="F56" s="19">
        <v>10</v>
      </c>
      <c r="G56" s="19">
        <v>375</v>
      </c>
      <c r="H56" s="19">
        <v>25</v>
      </c>
      <c r="I56" s="19">
        <f t="shared" ref="I56:I64" si="2">G56-H56</f>
        <v>350</v>
      </c>
      <c r="J56" t="s">
        <v>79</v>
      </c>
      <c r="K56" t="s">
        <v>22</v>
      </c>
      <c r="L56" t="s">
        <v>1003</v>
      </c>
      <c r="Q56" s="19">
        <v>1</v>
      </c>
    </row>
    <row r="57" spans="2:17" x14ac:dyDescent="0.25">
      <c r="B57" t="s">
        <v>17</v>
      </c>
      <c r="C57" t="s">
        <v>1144</v>
      </c>
      <c r="D57" t="s">
        <v>1145</v>
      </c>
      <c r="E57" t="s">
        <v>1146</v>
      </c>
      <c r="F57" s="19">
        <v>12</v>
      </c>
      <c r="G57" s="19">
        <v>850</v>
      </c>
      <c r="H57" s="19">
        <v>30</v>
      </c>
      <c r="I57" s="19">
        <f t="shared" si="2"/>
        <v>820</v>
      </c>
      <c r="J57" t="s">
        <v>1006</v>
      </c>
      <c r="K57" t="s">
        <v>22</v>
      </c>
      <c r="L57" t="s">
        <v>1003</v>
      </c>
      <c r="Q57" s="19">
        <v>1</v>
      </c>
    </row>
    <row r="58" spans="2:17" x14ac:dyDescent="0.25">
      <c r="B58" t="s">
        <v>17</v>
      </c>
      <c r="C58" t="s">
        <v>1147</v>
      </c>
      <c r="D58" t="s">
        <v>1148</v>
      </c>
      <c r="E58" t="s">
        <v>1149</v>
      </c>
      <c r="F58" s="19">
        <v>10</v>
      </c>
      <c r="G58" s="19">
        <v>745</v>
      </c>
      <c r="H58" s="19">
        <v>25</v>
      </c>
      <c r="I58" s="19">
        <f t="shared" si="2"/>
        <v>720</v>
      </c>
      <c r="J58" t="s">
        <v>79</v>
      </c>
      <c r="K58" t="s">
        <v>22</v>
      </c>
      <c r="L58" t="s">
        <v>1003</v>
      </c>
      <c r="Q58" s="19">
        <v>1</v>
      </c>
    </row>
    <row r="59" spans="2:17" x14ac:dyDescent="0.25">
      <c r="B59" t="s">
        <v>17</v>
      </c>
      <c r="C59" t="s">
        <v>1150</v>
      </c>
      <c r="D59" t="s">
        <v>1151</v>
      </c>
      <c r="E59" t="s">
        <v>1152</v>
      </c>
      <c r="F59" s="19">
        <v>2</v>
      </c>
      <c r="G59" s="19">
        <v>700</v>
      </c>
      <c r="H59" s="19">
        <v>30</v>
      </c>
      <c r="I59" s="19">
        <f t="shared" si="2"/>
        <v>670</v>
      </c>
      <c r="J59" t="s">
        <v>1006</v>
      </c>
      <c r="K59" t="s">
        <v>22</v>
      </c>
      <c r="L59" t="s">
        <v>1003</v>
      </c>
      <c r="Q59" s="19">
        <v>1</v>
      </c>
    </row>
    <row r="60" spans="2:17" x14ac:dyDescent="0.25">
      <c r="B60" t="s">
        <v>17</v>
      </c>
      <c r="C60" t="s">
        <v>1153</v>
      </c>
      <c r="D60" t="s">
        <v>1154</v>
      </c>
      <c r="E60" t="s">
        <v>1155</v>
      </c>
      <c r="F60" s="19">
        <v>1</v>
      </c>
      <c r="G60" s="19">
        <v>695</v>
      </c>
      <c r="H60" s="19">
        <v>25</v>
      </c>
      <c r="I60" s="19">
        <f t="shared" si="2"/>
        <v>670</v>
      </c>
      <c r="J60" t="s">
        <v>79</v>
      </c>
      <c r="K60" t="s">
        <v>22</v>
      </c>
      <c r="L60" t="s">
        <v>1003</v>
      </c>
      <c r="Q60" s="19">
        <v>1</v>
      </c>
    </row>
    <row r="61" spans="2:17" x14ac:dyDescent="0.25">
      <c r="B61" t="s">
        <v>17</v>
      </c>
      <c r="C61" t="s">
        <v>1144</v>
      </c>
      <c r="D61" t="s">
        <v>1156</v>
      </c>
      <c r="E61" t="s">
        <v>1157</v>
      </c>
      <c r="F61" s="19">
        <v>2</v>
      </c>
      <c r="G61" s="19">
        <v>920</v>
      </c>
      <c r="H61" s="19">
        <v>30</v>
      </c>
      <c r="I61" s="19">
        <f t="shared" si="2"/>
        <v>890</v>
      </c>
      <c r="J61" t="s">
        <v>22</v>
      </c>
      <c r="K61" t="s">
        <v>22</v>
      </c>
      <c r="L61" t="s">
        <v>1003</v>
      </c>
      <c r="Q61" s="19">
        <v>1</v>
      </c>
    </row>
    <row r="62" spans="2:17" x14ac:dyDescent="0.25">
      <c r="B62" t="s">
        <v>17</v>
      </c>
      <c r="C62" t="s">
        <v>358</v>
      </c>
      <c r="D62" t="s">
        <v>1158</v>
      </c>
      <c r="E62" t="s">
        <v>1159</v>
      </c>
      <c r="F62" t="s">
        <v>294</v>
      </c>
      <c r="G62" s="19">
        <v>925</v>
      </c>
      <c r="H62" s="19">
        <v>35</v>
      </c>
      <c r="I62" s="19">
        <f t="shared" si="2"/>
        <v>890</v>
      </c>
      <c r="J62" t="s">
        <v>1006</v>
      </c>
      <c r="K62" t="s">
        <v>22</v>
      </c>
      <c r="L62" t="s">
        <v>1003</v>
      </c>
      <c r="Q62" s="19">
        <v>1</v>
      </c>
    </row>
    <row r="63" spans="2:17" x14ac:dyDescent="0.25">
      <c r="B63" t="s">
        <v>17</v>
      </c>
      <c r="C63" t="s">
        <v>1160</v>
      </c>
      <c r="D63" t="s">
        <v>1161</v>
      </c>
      <c r="E63" t="s">
        <v>1162</v>
      </c>
      <c r="F63" s="19">
        <v>8</v>
      </c>
      <c r="G63" s="19">
        <v>700</v>
      </c>
      <c r="H63" s="19">
        <v>30</v>
      </c>
      <c r="I63" s="19">
        <f t="shared" si="2"/>
        <v>670</v>
      </c>
      <c r="J63" t="s">
        <v>1006</v>
      </c>
      <c r="K63" t="s">
        <v>22</v>
      </c>
      <c r="L63" t="s">
        <v>1003</v>
      </c>
      <c r="Q63" s="19">
        <v>1</v>
      </c>
    </row>
    <row r="64" spans="2:17" x14ac:dyDescent="0.25">
      <c r="B64" t="s">
        <v>17</v>
      </c>
      <c r="C64" t="s">
        <v>1163</v>
      </c>
      <c r="D64" t="s">
        <v>1164</v>
      </c>
      <c r="E64" t="s">
        <v>1165</v>
      </c>
      <c r="F64" t="s">
        <v>66</v>
      </c>
      <c r="G64" s="19">
        <v>690</v>
      </c>
      <c r="H64" s="19">
        <v>20</v>
      </c>
      <c r="I64" s="19">
        <f t="shared" si="2"/>
        <v>670</v>
      </c>
      <c r="J64" t="s">
        <v>22</v>
      </c>
      <c r="K64" t="s">
        <v>22</v>
      </c>
      <c r="L64" t="s">
        <v>1003</v>
      </c>
      <c r="Q64" s="19">
        <v>1</v>
      </c>
    </row>
    <row r="65" spans="1:17" x14ac:dyDescent="0.25">
      <c r="B65" t="s">
        <v>17</v>
      </c>
      <c r="C65" t="s">
        <v>63</v>
      </c>
      <c r="D65" t="s">
        <v>1166</v>
      </c>
      <c r="E65" t="s">
        <v>65</v>
      </c>
      <c r="F65" t="s">
        <v>66</v>
      </c>
      <c r="G65" s="19">
        <v>0</v>
      </c>
      <c r="H65" s="19">
        <v>20</v>
      </c>
      <c r="I65" s="19">
        <f>-H65</f>
        <v>-20</v>
      </c>
      <c r="J65" t="s">
        <v>22</v>
      </c>
      <c r="K65" t="s">
        <v>22</v>
      </c>
      <c r="L65" t="s">
        <v>1003</v>
      </c>
      <c r="Q65" s="19">
        <v>1</v>
      </c>
    </row>
    <row r="66" spans="1:17" x14ac:dyDescent="0.25">
      <c r="B66" t="s">
        <v>17</v>
      </c>
      <c r="C66" t="s">
        <v>1167</v>
      </c>
      <c r="D66" t="s">
        <v>1168</v>
      </c>
      <c r="E66" t="s">
        <v>1169</v>
      </c>
      <c r="F66" s="19">
        <v>7</v>
      </c>
      <c r="G66" s="19">
        <v>0</v>
      </c>
      <c r="H66" s="19">
        <v>30</v>
      </c>
      <c r="I66" s="19">
        <f>-H66</f>
        <v>-30</v>
      </c>
      <c r="J66" t="s">
        <v>1006</v>
      </c>
      <c r="K66" t="s">
        <v>22</v>
      </c>
      <c r="L66" t="s">
        <v>1003</v>
      </c>
      <c r="Q66" s="19">
        <v>1</v>
      </c>
    </row>
    <row r="67" spans="1:17" x14ac:dyDescent="0.25">
      <c r="B67" t="s">
        <v>17</v>
      </c>
      <c r="C67" t="s">
        <v>1170</v>
      </c>
      <c r="D67" t="s">
        <v>1171</v>
      </c>
      <c r="E67" t="s">
        <v>1172</v>
      </c>
      <c r="F67" s="19">
        <v>1</v>
      </c>
      <c r="G67" s="19">
        <v>0</v>
      </c>
      <c r="H67" s="19">
        <v>25</v>
      </c>
      <c r="I67" s="19">
        <f>-H67</f>
        <v>-25</v>
      </c>
      <c r="J67" t="s">
        <v>79</v>
      </c>
      <c r="K67" t="s">
        <v>22</v>
      </c>
      <c r="L67" t="s">
        <v>1003</v>
      </c>
      <c r="M67" t="s">
        <v>131</v>
      </c>
      <c r="Q67" s="19">
        <v>1</v>
      </c>
    </row>
    <row r="68" spans="1:17" x14ac:dyDescent="0.25">
      <c r="B68" t="s">
        <v>17</v>
      </c>
      <c r="C68" t="s">
        <v>911</v>
      </c>
      <c r="D68" t="s">
        <v>1173</v>
      </c>
      <c r="E68" t="s">
        <v>1174</v>
      </c>
      <c r="F68" t="s">
        <v>51</v>
      </c>
      <c r="G68" s="19">
        <v>1075</v>
      </c>
      <c r="H68" s="19">
        <v>25</v>
      </c>
      <c r="I68" s="19">
        <f>G68-H68</f>
        <v>1050</v>
      </c>
      <c r="J68" t="s">
        <v>79</v>
      </c>
      <c r="K68" t="s">
        <v>22</v>
      </c>
      <c r="L68" t="s">
        <v>1003</v>
      </c>
      <c r="Q68" s="19">
        <v>1</v>
      </c>
    </row>
    <row r="70" spans="1:17" x14ac:dyDescent="0.25">
      <c r="D70" s="1">
        <f>COUNTA(D3:D68)</f>
        <v>60</v>
      </c>
      <c r="G70" s="1">
        <f t="shared" ref="G70:Q70" si="3">SUBTOTAL(9,G3:G68)</f>
        <v>36530</v>
      </c>
      <c r="H70" s="1">
        <f t="shared" si="3"/>
        <v>1805</v>
      </c>
      <c r="I70" s="1">
        <f t="shared" si="3"/>
        <v>34725</v>
      </c>
      <c r="J70" s="1">
        <f t="shared" si="3"/>
        <v>0</v>
      </c>
      <c r="K70" s="1">
        <f t="shared" si="3"/>
        <v>0</v>
      </c>
      <c r="L70" s="1">
        <f t="shared" si="3"/>
        <v>0</v>
      </c>
      <c r="M70" s="1">
        <f t="shared" si="3"/>
        <v>0</v>
      </c>
      <c r="N70" s="1">
        <f t="shared" si="3"/>
        <v>0</v>
      </c>
      <c r="O70" s="1">
        <f t="shared" si="3"/>
        <v>0</v>
      </c>
      <c r="P70" s="1">
        <f t="shared" si="3"/>
        <v>0</v>
      </c>
      <c r="Q70" s="1">
        <f t="shared" si="3"/>
        <v>66</v>
      </c>
    </row>
    <row r="71" spans="1:17" x14ac:dyDescent="0.25">
      <c r="H71">
        <f>-11*17</f>
        <v>-187</v>
      </c>
    </row>
    <row r="72" spans="1:17" x14ac:dyDescent="0.25">
      <c r="A72" s="1" t="s">
        <v>17</v>
      </c>
      <c r="C72" s="42" t="s">
        <v>88</v>
      </c>
      <c r="D72" s="42"/>
      <c r="E72" s="4" t="s">
        <v>89</v>
      </c>
      <c r="H72">
        <f>-11*25</f>
        <v>-275</v>
      </c>
      <c r="K72" s="29" t="s">
        <v>22</v>
      </c>
      <c r="L72" s="29" t="s">
        <v>90</v>
      </c>
      <c r="M72" s="29" t="s">
        <v>89</v>
      </c>
      <c r="O72" s="4" t="s">
        <v>91</v>
      </c>
    </row>
    <row r="73" spans="1:17" x14ac:dyDescent="0.25">
      <c r="A73" t="s">
        <v>1003</v>
      </c>
      <c r="B73" s="3" t="s">
        <v>92</v>
      </c>
      <c r="C73" s="43">
        <f>SUMIFS(I$3:I$68,B$3:B$68,A$72,L$3:L$68,A$73)</f>
        <v>34725</v>
      </c>
      <c r="D73" s="43"/>
      <c r="E73" s="3">
        <f>SUMIFS(Q$3:Q$68,B$3:B$68,A$72,L$3:L$68,A$73)</f>
        <v>66</v>
      </c>
      <c r="F73" t="s">
        <v>93</v>
      </c>
      <c r="H73">
        <f>-2*30</f>
        <v>-60</v>
      </c>
      <c r="K73" t="s">
        <v>94</v>
      </c>
      <c r="L73">
        <f>SUMIFS(G$3:G$68,J$3:J$68,K$72)</f>
        <v>8515</v>
      </c>
      <c r="M73">
        <f>SUMIFS(Q$3:Q$68,J$3:J$68,K$72)</f>
        <v>14</v>
      </c>
      <c r="O73" t="s">
        <v>22</v>
      </c>
      <c r="P73">
        <f>L78</f>
        <v>8068</v>
      </c>
    </row>
    <row r="74" spans="1:17" x14ac:dyDescent="0.25">
      <c r="B74" s="2" t="s">
        <v>95</v>
      </c>
      <c r="C74" s="44">
        <v>0</v>
      </c>
      <c r="D74" s="44"/>
      <c r="K74" t="s">
        <v>96</v>
      </c>
      <c r="L74">
        <f>-SUMIFS(H$3:H$68,J$3:J$68,K$72)+M74*5</f>
        <v>-315</v>
      </c>
      <c r="M74">
        <f>SUMIFS(Q$3:Q$68,J$3:J$68,K$72)-COUNTIFS(J$3:J$68,K$72,M$3:M$68,"*gộp*")</f>
        <v>14</v>
      </c>
      <c r="O74" t="s">
        <v>1175</v>
      </c>
      <c r="P74">
        <f>L86</f>
        <v>11953</v>
      </c>
    </row>
    <row r="75" spans="1:17" x14ac:dyDescent="0.25">
      <c r="B75" s="2" t="s">
        <v>97</v>
      </c>
      <c r="C75" s="44">
        <f>-SUMIFS(I$3:I$68,B$3:B$68,A$72,P$3:P$68,"xx",N$3:N$68,"x")</f>
        <v>0</v>
      </c>
      <c r="D75" s="44"/>
      <c r="E75" s="2">
        <f>SUMIFS(Q$3:Q$68,B$3:B$68,A$72,P$3:P$68,"xx",N$3:N$68,"x")</f>
        <v>0</v>
      </c>
      <c r="K75" t="s">
        <v>98</v>
      </c>
      <c r="L75">
        <f>-M75*2</f>
        <v>-132</v>
      </c>
      <c r="M75">
        <f>Q70-(COUNTIFS(M$3:M$68,"*gộp*")/2)</f>
        <v>66</v>
      </c>
      <c r="O75" t="s">
        <v>79</v>
      </c>
      <c r="P75">
        <f>L94</f>
        <v>14255</v>
      </c>
    </row>
    <row r="76" spans="1:17" x14ac:dyDescent="0.25">
      <c r="B76" s="4" t="s">
        <v>100</v>
      </c>
      <c r="C76" s="42">
        <f>SUBTOTAL(9,C73:C75)</f>
        <v>34725</v>
      </c>
      <c r="D76" s="42"/>
      <c r="E76">
        <f>E73</f>
        <v>66</v>
      </c>
      <c r="K76" s="2" t="s">
        <v>101</v>
      </c>
      <c r="O76" t="s">
        <v>21</v>
      </c>
      <c r="P76">
        <f>L102</f>
        <v>725</v>
      </c>
    </row>
    <row r="77" spans="1:17" x14ac:dyDescent="0.25">
      <c r="B77" s="2" t="s">
        <v>102</v>
      </c>
      <c r="C77" s="35"/>
      <c r="D77" s="35"/>
      <c r="K77" s="2" t="s">
        <v>103</v>
      </c>
      <c r="O77" t="s">
        <v>104</v>
      </c>
      <c r="P77">
        <f>-C80</f>
        <v>-34725</v>
      </c>
    </row>
    <row r="78" spans="1:17" x14ac:dyDescent="0.25">
      <c r="B78" s="30" t="s">
        <v>105</v>
      </c>
      <c r="C78" s="35"/>
      <c r="D78" s="35"/>
      <c r="L78" s="31">
        <f>SUBTOTAL(9,L73:L77)</f>
        <v>8068</v>
      </c>
      <c r="M78" s="31">
        <f>M73</f>
        <v>14</v>
      </c>
      <c r="O78" s="4" t="s">
        <v>106</v>
      </c>
      <c r="P78" s="4">
        <f>SUBTOTAL(9,P73:P77)</f>
        <v>276</v>
      </c>
    </row>
    <row r="80" spans="1:17" x14ac:dyDescent="0.25">
      <c r="B80" s="1" t="s">
        <v>107</v>
      </c>
      <c r="C80" s="41">
        <f>C76+C77+C78</f>
        <v>34725</v>
      </c>
      <c r="D80" s="41"/>
      <c r="E80" s="1" t="s">
        <v>108</v>
      </c>
      <c r="K80" s="29" t="s">
        <v>1006</v>
      </c>
      <c r="L80" s="29" t="s">
        <v>90</v>
      </c>
      <c r="M80" s="29" t="s">
        <v>89</v>
      </c>
    </row>
    <row r="81" spans="11:13" x14ac:dyDescent="0.25">
      <c r="K81" t="s">
        <v>94</v>
      </c>
      <c r="L81">
        <f>SUMIFS(G$3:G$68,J$3:J$68,K$80)</f>
        <v>12475</v>
      </c>
      <c r="M81">
        <f>SUMIFS(Q$3:Q$68,J$3:J$68,K$80)</f>
        <v>24</v>
      </c>
    </row>
    <row r="82" spans="11:13" x14ac:dyDescent="0.25">
      <c r="K82" t="s">
        <v>96</v>
      </c>
      <c r="L82">
        <f>SUM(H71:H73)</f>
        <v>-522</v>
      </c>
      <c r="M82">
        <f>SUMIFS(Q$3:Q$68,J$3:J$68,K$80)</f>
        <v>24</v>
      </c>
    </row>
    <row r="83" spans="11:13" x14ac:dyDescent="0.25">
      <c r="K83" t="s">
        <v>98</v>
      </c>
    </row>
    <row r="84" spans="11:13" x14ac:dyDescent="0.25">
      <c r="K84" s="2" t="s">
        <v>101</v>
      </c>
    </row>
    <row r="85" spans="11:13" x14ac:dyDescent="0.25">
      <c r="K85" s="2" t="s">
        <v>103</v>
      </c>
    </row>
    <row r="86" spans="11:13" x14ac:dyDescent="0.25">
      <c r="L86" s="31">
        <f>SUBTOTAL(9,L81:L85)</f>
        <v>11953</v>
      </c>
      <c r="M86" s="31">
        <f>M81</f>
        <v>24</v>
      </c>
    </row>
    <row r="88" spans="11:13" x14ac:dyDescent="0.25">
      <c r="K88" s="29" t="s">
        <v>79</v>
      </c>
      <c r="L88" s="29" t="s">
        <v>90</v>
      </c>
      <c r="M88" s="29" t="s">
        <v>89</v>
      </c>
    </row>
    <row r="89" spans="11:13" x14ac:dyDescent="0.25">
      <c r="K89" t="s">
        <v>94</v>
      </c>
      <c r="L89">
        <f>SUMIFS(G$3:G$68,J$3:J$68,K$88)</f>
        <v>14790</v>
      </c>
      <c r="M89">
        <f>SUMIFS(Q$3:Q$68,J$3:J$68,K$88)</f>
        <v>27</v>
      </c>
    </row>
    <row r="90" spans="11:13" x14ac:dyDescent="0.25">
      <c r="K90" t="s">
        <v>96</v>
      </c>
      <c r="L90">
        <f>-SUMIFS(H$3:H$68,J$3:J$68,K$88)+M90*5</f>
        <v>-535</v>
      </c>
      <c r="M90">
        <f>SUMIFS(Q$3:Q$68,J$3:J$68,K$88)-COUNTIFS(J$3:J$68,K$88,M$3:M$68,"*gộp*")</f>
        <v>27</v>
      </c>
    </row>
    <row r="91" spans="11:13" x14ac:dyDescent="0.25">
      <c r="K91" t="s">
        <v>98</v>
      </c>
    </row>
    <row r="92" spans="11:13" x14ac:dyDescent="0.25">
      <c r="K92" s="2" t="s">
        <v>101</v>
      </c>
    </row>
    <row r="93" spans="11:13" x14ac:dyDescent="0.25">
      <c r="K93" s="2" t="s">
        <v>103</v>
      </c>
    </row>
    <row r="94" spans="11:13" x14ac:dyDescent="0.25">
      <c r="L94" s="31">
        <f>SUBTOTAL(9,L89:L93)</f>
        <v>14255</v>
      </c>
      <c r="M94" s="31">
        <f>M89</f>
        <v>27</v>
      </c>
    </row>
    <row r="96" spans="11:13" x14ac:dyDescent="0.25">
      <c r="K96" s="29" t="s">
        <v>21</v>
      </c>
      <c r="L96" s="29" t="s">
        <v>90</v>
      </c>
      <c r="M96" s="29" t="s">
        <v>89</v>
      </c>
    </row>
    <row r="97" spans="11:13" x14ac:dyDescent="0.25">
      <c r="K97" t="s">
        <v>94</v>
      </c>
      <c r="L97">
        <f>SUMIFS(G$3:G$68,J$3:J$68,K$96)</f>
        <v>750</v>
      </c>
      <c r="M97">
        <f>SUMIFS(Q$3:Q$68,J$3:J$68,K$96)</f>
        <v>1</v>
      </c>
    </row>
    <row r="98" spans="11:13" x14ac:dyDescent="0.25">
      <c r="K98" t="s">
        <v>96</v>
      </c>
      <c r="L98">
        <f>-SUMIFS(H$3:H$68,J$3:J$68,K$96)+M98*5</f>
        <v>-25</v>
      </c>
      <c r="M98">
        <f>SUMIFS(Q$3:Q$68,J$3:J$68,K$96)-COUNTIFS(J$3:J$68,K$96,M$3:M$68,"*gộp*")</f>
        <v>1</v>
      </c>
    </row>
    <row r="99" spans="11:13" x14ac:dyDescent="0.25">
      <c r="K99" t="s">
        <v>98</v>
      </c>
    </row>
    <row r="100" spans="11:13" x14ac:dyDescent="0.25">
      <c r="K100" s="2" t="s">
        <v>101</v>
      </c>
    </row>
    <row r="101" spans="11:13" x14ac:dyDescent="0.25">
      <c r="K101" s="2" t="s">
        <v>103</v>
      </c>
    </row>
    <row r="102" spans="11:13" x14ac:dyDescent="0.25">
      <c r="L102" s="31">
        <f>SUBTOTAL(9,L97:L101)</f>
        <v>725</v>
      </c>
      <c r="M102" s="31">
        <f>M97</f>
        <v>1</v>
      </c>
    </row>
  </sheetData>
  <autoFilter ref="A2:P68" xr:uid="{00000000-0009-0000-0000-00000B000000}"/>
  <mergeCells count="8">
    <mergeCell ref="C77:D77"/>
    <mergeCell ref="C78:D78"/>
    <mergeCell ref="C80:D80"/>
    <mergeCell ref="C72:D72"/>
    <mergeCell ref="C73:D73"/>
    <mergeCell ref="C74:D74"/>
    <mergeCell ref="C75:D75"/>
    <mergeCell ref="C76:D76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61"/>
  <sheetViews>
    <sheetView tabSelected="1" topLeftCell="A25" workbookViewId="0">
      <selection activeCell="L44" sqref="L44"/>
    </sheetView>
  </sheetViews>
  <sheetFormatPr defaultRowHeight="15" x14ac:dyDescent="0.25"/>
  <cols>
    <col min="1" max="1" width="12.28515625" customWidth="1"/>
    <col min="2" max="2" width="19.140625" customWidth="1"/>
    <col min="3" max="3" width="26.28515625" customWidth="1"/>
    <col min="4" max="4" width="10.140625" customWidth="1"/>
    <col min="5" max="5" width="64.85546875" customWidth="1"/>
    <col min="6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14.140625" bestFit="1" customWidth="1"/>
    <col min="14" max="14" width="10.28515625" customWidth="1"/>
    <col min="15" max="15" width="11.140625" customWidth="1"/>
    <col min="16" max="16" width="7" bestFit="1" customWidth="1"/>
    <col min="17" max="17" width="6.42578125" customWidth="1"/>
  </cols>
  <sheetData>
    <row r="2" spans="1:17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x14ac:dyDescent="0.25">
      <c r="B3" t="s">
        <v>17</v>
      </c>
      <c r="C3" t="s">
        <v>1186</v>
      </c>
      <c r="D3" t="s">
        <v>1187</v>
      </c>
      <c r="E3" t="s">
        <v>1188</v>
      </c>
      <c r="F3" s="9">
        <v>4</v>
      </c>
      <c r="G3" s="9">
        <v>815</v>
      </c>
      <c r="H3" s="9">
        <v>25</v>
      </c>
      <c r="I3" s="9">
        <f>G3-H3</f>
        <v>790</v>
      </c>
      <c r="J3" t="s">
        <v>79</v>
      </c>
      <c r="K3" t="s">
        <v>22</v>
      </c>
      <c r="L3" t="s">
        <v>1189</v>
      </c>
      <c r="Q3" s="9">
        <v>1</v>
      </c>
    </row>
    <row r="4" spans="1:17" x14ac:dyDescent="0.25">
      <c r="B4" t="s">
        <v>17</v>
      </c>
      <c r="C4" t="s">
        <v>1190</v>
      </c>
      <c r="D4" t="s">
        <v>1191</v>
      </c>
      <c r="E4" t="s">
        <v>1192</v>
      </c>
      <c r="F4" s="9">
        <v>7</v>
      </c>
      <c r="G4" s="9">
        <v>700</v>
      </c>
      <c r="H4" s="9">
        <v>30</v>
      </c>
      <c r="I4" s="9">
        <f>G4-H4</f>
        <v>670</v>
      </c>
      <c r="J4" t="s">
        <v>1193</v>
      </c>
      <c r="K4" t="s">
        <v>22</v>
      </c>
      <c r="L4" t="s">
        <v>1189</v>
      </c>
      <c r="Q4" s="9">
        <v>1</v>
      </c>
    </row>
    <row r="5" spans="1:17" x14ac:dyDescent="0.25">
      <c r="B5" t="s">
        <v>17</v>
      </c>
      <c r="C5" t="s">
        <v>1194</v>
      </c>
      <c r="D5" t="s">
        <v>1195</v>
      </c>
      <c r="E5" t="s">
        <v>491</v>
      </c>
      <c r="F5" t="s">
        <v>44</v>
      </c>
      <c r="G5" s="9">
        <v>0</v>
      </c>
      <c r="H5" s="9">
        <v>30</v>
      </c>
      <c r="I5" s="9">
        <f>-H5</f>
        <v>-30</v>
      </c>
      <c r="J5" t="s">
        <v>1193</v>
      </c>
      <c r="K5" t="s">
        <v>22</v>
      </c>
      <c r="L5" t="s">
        <v>1189</v>
      </c>
      <c r="Q5" s="9">
        <v>1</v>
      </c>
    </row>
    <row r="6" spans="1:17" x14ac:dyDescent="0.25">
      <c r="B6" t="s">
        <v>17</v>
      </c>
      <c r="C6" t="s">
        <v>1196</v>
      </c>
      <c r="D6" t="s">
        <v>1197</v>
      </c>
      <c r="E6" t="s">
        <v>1198</v>
      </c>
      <c r="F6" t="s">
        <v>201</v>
      </c>
      <c r="G6" s="9">
        <v>415</v>
      </c>
      <c r="H6" s="9">
        <v>35</v>
      </c>
      <c r="I6" s="9">
        <f>G6-H6</f>
        <v>380</v>
      </c>
      <c r="J6" t="s">
        <v>1193</v>
      </c>
      <c r="K6" t="s">
        <v>22</v>
      </c>
      <c r="L6" t="s">
        <v>1189</v>
      </c>
      <c r="Q6" s="9">
        <v>1</v>
      </c>
    </row>
    <row r="7" spans="1:17" x14ac:dyDescent="0.25">
      <c r="B7" t="s">
        <v>17</v>
      </c>
      <c r="C7" t="s">
        <v>156</v>
      </c>
      <c r="D7" t="s">
        <v>1199</v>
      </c>
      <c r="E7" t="s">
        <v>158</v>
      </c>
      <c r="F7" s="9">
        <v>10</v>
      </c>
      <c r="G7" s="9">
        <v>885</v>
      </c>
      <c r="H7" s="9">
        <v>25</v>
      </c>
      <c r="I7" s="9">
        <f>G7-H7</f>
        <v>860</v>
      </c>
      <c r="J7" t="s">
        <v>79</v>
      </c>
      <c r="K7" t="s">
        <v>22</v>
      </c>
      <c r="L7" t="s">
        <v>1189</v>
      </c>
      <c r="Q7" s="9">
        <v>1</v>
      </c>
    </row>
    <row r="8" spans="1:17" x14ac:dyDescent="0.25">
      <c r="B8" t="s">
        <v>17</v>
      </c>
      <c r="C8" t="s">
        <v>239</v>
      </c>
      <c r="D8" t="s">
        <v>1200</v>
      </c>
      <c r="E8" t="s">
        <v>241</v>
      </c>
      <c r="F8" s="9">
        <v>1</v>
      </c>
      <c r="G8" s="9">
        <v>815</v>
      </c>
      <c r="H8" s="9">
        <v>25</v>
      </c>
      <c r="I8" s="9">
        <f>G8-H8</f>
        <v>790</v>
      </c>
      <c r="J8" t="s">
        <v>79</v>
      </c>
      <c r="K8" t="s">
        <v>22</v>
      </c>
      <c r="L8" t="s">
        <v>1189</v>
      </c>
      <c r="Q8" s="9">
        <v>1</v>
      </c>
    </row>
    <row r="9" spans="1:17" x14ac:dyDescent="0.25">
      <c r="B9" t="s">
        <v>17</v>
      </c>
      <c r="C9" t="s">
        <v>1201</v>
      </c>
      <c r="D9" t="s">
        <v>1202</v>
      </c>
      <c r="E9" t="s">
        <v>1203</v>
      </c>
      <c r="F9" t="s">
        <v>44</v>
      </c>
      <c r="G9" s="9">
        <v>0</v>
      </c>
      <c r="H9" s="9">
        <v>30</v>
      </c>
      <c r="I9" s="9">
        <f>-H9</f>
        <v>-30</v>
      </c>
      <c r="J9" t="s">
        <v>1193</v>
      </c>
      <c r="K9" t="s">
        <v>22</v>
      </c>
      <c r="L9" t="s">
        <v>1189</v>
      </c>
      <c r="Q9" s="9">
        <v>1</v>
      </c>
    </row>
    <row r="10" spans="1:17" x14ac:dyDescent="0.25">
      <c r="B10" t="s">
        <v>17</v>
      </c>
      <c r="C10" t="s">
        <v>1204</v>
      </c>
      <c r="D10" t="s">
        <v>1205</v>
      </c>
      <c r="E10" t="s">
        <v>1206</v>
      </c>
      <c r="F10" t="s">
        <v>62</v>
      </c>
      <c r="G10" s="9">
        <v>0</v>
      </c>
      <c r="H10" s="9">
        <v>25</v>
      </c>
      <c r="I10" s="9">
        <f>-H10</f>
        <v>-25</v>
      </c>
      <c r="J10" t="s">
        <v>22</v>
      </c>
      <c r="K10" t="s">
        <v>22</v>
      </c>
      <c r="L10" t="s">
        <v>1189</v>
      </c>
      <c r="Q10" s="9">
        <v>1</v>
      </c>
    </row>
    <row r="11" spans="1:17" x14ac:dyDescent="0.25">
      <c r="B11" t="s">
        <v>17</v>
      </c>
      <c r="C11" t="s">
        <v>1207</v>
      </c>
      <c r="D11" t="s">
        <v>1208</v>
      </c>
      <c r="E11" t="s">
        <v>1209</v>
      </c>
      <c r="F11" t="s">
        <v>44</v>
      </c>
      <c r="G11" s="9">
        <v>740</v>
      </c>
      <c r="H11" s="9">
        <v>30</v>
      </c>
      <c r="I11" s="9">
        <f>G11-H11</f>
        <v>710</v>
      </c>
      <c r="J11" t="s">
        <v>1193</v>
      </c>
      <c r="K11" t="s">
        <v>22</v>
      </c>
      <c r="L11" t="s">
        <v>1189</v>
      </c>
      <c r="Q11" s="9">
        <v>1</v>
      </c>
    </row>
    <row r="12" spans="1:17" x14ac:dyDescent="0.25">
      <c r="B12" t="s">
        <v>17</v>
      </c>
      <c r="C12" t="s">
        <v>1210</v>
      </c>
      <c r="D12" t="s">
        <v>1211</v>
      </c>
      <c r="E12" t="s">
        <v>1212</v>
      </c>
      <c r="F12" s="9">
        <v>7</v>
      </c>
      <c r="G12" s="9">
        <v>0</v>
      </c>
      <c r="H12" s="9">
        <v>30</v>
      </c>
      <c r="I12" s="9">
        <f>-H12</f>
        <v>-30</v>
      </c>
      <c r="J12" t="s">
        <v>1193</v>
      </c>
      <c r="K12" t="s">
        <v>22</v>
      </c>
      <c r="L12" t="s">
        <v>1189</v>
      </c>
      <c r="Q12" s="9">
        <v>1</v>
      </c>
    </row>
    <row r="13" spans="1:17" x14ac:dyDescent="0.25">
      <c r="B13" t="s">
        <v>17</v>
      </c>
      <c r="C13" t="s">
        <v>1213</v>
      </c>
      <c r="D13" t="s">
        <v>1214</v>
      </c>
      <c r="E13" t="s">
        <v>1215</v>
      </c>
      <c r="F13" t="s">
        <v>44</v>
      </c>
      <c r="G13" s="9">
        <v>1030</v>
      </c>
      <c r="H13" s="9">
        <v>30</v>
      </c>
      <c r="I13" s="9">
        <f>G13-H13</f>
        <v>1000</v>
      </c>
      <c r="J13" t="s">
        <v>1193</v>
      </c>
      <c r="K13" t="s">
        <v>22</v>
      </c>
      <c r="L13" t="s">
        <v>1189</v>
      </c>
      <c r="Q13" s="9">
        <v>1</v>
      </c>
    </row>
    <row r="14" spans="1:17" x14ac:dyDescent="0.25">
      <c r="B14" t="s">
        <v>17</v>
      </c>
      <c r="C14" t="s">
        <v>1216</v>
      </c>
      <c r="D14" t="s">
        <v>1217</v>
      </c>
      <c r="E14" t="s">
        <v>1218</v>
      </c>
      <c r="F14" t="s">
        <v>62</v>
      </c>
      <c r="G14" s="9">
        <v>0</v>
      </c>
      <c r="H14" s="9">
        <v>25</v>
      </c>
      <c r="I14" s="9">
        <f>-H14</f>
        <v>-25</v>
      </c>
      <c r="J14" t="s">
        <v>22</v>
      </c>
      <c r="K14" t="s">
        <v>22</v>
      </c>
      <c r="L14" t="s">
        <v>1189</v>
      </c>
      <c r="Q14" s="9">
        <v>1</v>
      </c>
    </row>
    <row r="15" spans="1:17" x14ac:dyDescent="0.25">
      <c r="B15" t="s">
        <v>17</v>
      </c>
      <c r="C15" t="s">
        <v>1136</v>
      </c>
      <c r="D15" t="s">
        <v>1219</v>
      </c>
      <c r="E15" t="s">
        <v>1220</v>
      </c>
      <c r="F15" s="9">
        <v>2</v>
      </c>
      <c r="G15" s="9">
        <v>700</v>
      </c>
      <c r="H15" s="9">
        <v>30</v>
      </c>
      <c r="I15" s="9">
        <f t="shared" ref="I15:I22" si="0">G15-H15</f>
        <v>670</v>
      </c>
      <c r="J15" t="s">
        <v>22</v>
      </c>
      <c r="K15" t="s">
        <v>22</v>
      </c>
      <c r="L15" t="s">
        <v>1189</v>
      </c>
      <c r="Q15" s="9">
        <v>1</v>
      </c>
    </row>
    <row r="16" spans="1:17" x14ac:dyDescent="0.25">
      <c r="B16" t="s">
        <v>17</v>
      </c>
      <c r="C16" t="s">
        <v>1221</v>
      </c>
      <c r="D16" t="s">
        <v>1222</v>
      </c>
      <c r="E16" t="s">
        <v>1223</v>
      </c>
      <c r="F16" t="s">
        <v>162</v>
      </c>
      <c r="G16" s="9">
        <v>810</v>
      </c>
      <c r="H16" s="9">
        <v>20</v>
      </c>
      <c r="I16" s="9">
        <f t="shared" si="0"/>
        <v>790</v>
      </c>
      <c r="J16" t="s">
        <v>79</v>
      </c>
      <c r="K16" t="s">
        <v>22</v>
      </c>
      <c r="L16" t="s">
        <v>1189</v>
      </c>
      <c r="Q16" s="9">
        <v>1</v>
      </c>
    </row>
    <row r="17" spans="1:17" x14ac:dyDescent="0.25">
      <c r="B17" t="s">
        <v>17</v>
      </c>
      <c r="C17" t="s">
        <v>1224</v>
      </c>
      <c r="D17" t="s">
        <v>1225</v>
      </c>
      <c r="E17" t="s">
        <v>1226</v>
      </c>
      <c r="F17" t="s">
        <v>55</v>
      </c>
      <c r="G17" s="9">
        <v>915</v>
      </c>
      <c r="H17" s="9">
        <v>25</v>
      </c>
      <c r="I17" s="9">
        <f t="shared" si="0"/>
        <v>890</v>
      </c>
      <c r="J17" t="s">
        <v>1193</v>
      </c>
      <c r="K17" t="s">
        <v>22</v>
      </c>
      <c r="L17" t="s">
        <v>1189</v>
      </c>
      <c r="Q17" s="9">
        <v>1</v>
      </c>
    </row>
    <row r="18" spans="1:17" x14ac:dyDescent="0.25">
      <c r="B18" t="s">
        <v>17</v>
      </c>
      <c r="C18" t="s">
        <v>1012</v>
      </c>
      <c r="D18" t="s">
        <v>1227</v>
      </c>
      <c r="E18" t="s">
        <v>1228</v>
      </c>
      <c r="F18" s="9">
        <v>7</v>
      </c>
      <c r="G18" s="9">
        <v>800</v>
      </c>
      <c r="H18" s="9">
        <v>30</v>
      </c>
      <c r="I18" s="9">
        <f t="shared" si="0"/>
        <v>770</v>
      </c>
      <c r="J18" t="s">
        <v>1193</v>
      </c>
      <c r="K18" t="s">
        <v>22</v>
      </c>
      <c r="L18" t="s">
        <v>1189</v>
      </c>
      <c r="Q18" s="9">
        <v>1</v>
      </c>
    </row>
    <row r="19" spans="1:17" x14ac:dyDescent="0.25">
      <c r="B19" t="s">
        <v>17</v>
      </c>
      <c r="C19" t="s">
        <v>1229</v>
      </c>
      <c r="D19" t="s">
        <v>1230</v>
      </c>
      <c r="E19" t="s">
        <v>1231</v>
      </c>
      <c r="F19" s="9">
        <v>2</v>
      </c>
      <c r="G19" s="9">
        <v>820</v>
      </c>
      <c r="H19" s="9">
        <v>30</v>
      </c>
      <c r="I19" s="9">
        <f t="shared" si="0"/>
        <v>790</v>
      </c>
      <c r="J19" t="s">
        <v>22</v>
      </c>
      <c r="K19" t="s">
        <v>22</v>
      </c>
      <c r="L19" t="s">
        <v>1189</v>
      </c>
      <c r="Q19" s="9">
        <v>1</v>
      </c>
    </row>
    <row r="20" spans="1:17" x14ac:dyDescent="0.25">
      <c r="B20" t="s">
        <v>17</v>
      </c>
      <c r="C20" t="s">
        <v>1232</v>
      </c>
      <c r="D20" t="s">
        <v>1233</v>
      </c>
      <c r="E20" t="s">
        <v>1234</v>
      </c>
      <c r="F20" t="s">
        <v>201</v>
      </c>
      <c r="G20" s="9">
        <v>745</v>
      </c>
      <c r="H20" s="9">
        <v>35</v>
      </c>
      <c r="I20" s="9">
        <f t="shared" si="0"/>
        <v>710</v>
      </c>
      <c r="J20" t="s">
        <v>1193</v>
      </c>
      <c r="K20" t="s">
        <v>22</v>
      </c>
      <c r="L20" t="s">
        <v>1189</v>
      </c>
      <c r="Q20" s="9">
        <v>1</v>
      </c>
    </row>
    <row r="21" spans="1:17" x14ac:dyDescent="0.25">
      <c r="B21" t="s">
        <v>17</v>
      </c>
      <c r="C21" t="s">
        <v>1160</v>
      </c>
      <c r="D21" t="s">
        <v>1235</v>
      </c>
      <c r="E21" t="s">
        <v>1162</v>
      </c>
      <c r="F21" s="9">
        <v>8</v>
      </c>
      <c r="G21" s="9">
        <v>30</v>
      </c>
      <c r="H21" s="9">
        <v>30</v>
      </c>
      <c r="I21" s="9">
        <f t="shared" si="0"/>
        <v>0</v>
      </c>
      <c r="J21" t="s">
        <v>1193</v>
      </c>
      <c r="K21" t="s">
        <v>22</v>
      </c>
      <c r="L21" t="s">
        <v>1189</v>
      </c>
      <c r="M21" t="s">
        <v>131</v>
      </c>
      <c r="Q21" s="9">
        <v>1</v>
      </c>
    </row>
    <row r="22" spans="1:17" x14ac:dyDescent="0.25">
      <c r="B22" t="s">
        <v>17</v>
      </c>
      <c r="C22" t="s">
        <v>1236</v>
      </c>
      <c r="D22" t="s">
        <v>1237</v>
      </c>
      <c r="E22" t="s">
        <v>1238</v>
      </c>
      <c r="F22" t="s">
        <v>51</v>
      </c>
      <c r="G22" s="9">
        <v>845</v>
      </c>
      <c r="H22" s="9">
        <v>25</v>
      </c>
      <c r="I22" s="9">
        <f t="shared" si="0"/>
        <v>820</v>
      </c>
      <c r="J22" t="s">
        <v>79</v>
      </c>
      <c r="K22" t="s">
        <v>22</v>
      </c>
      <c r="L22" t="s">
        <v>1189</v>
      </c>
      <c r="Q22" s="9">
        <v>1</v>
      </c>
    </row>
    <row r="23" spans="1:17" x14ac:dyDescent="0.25">
      <c r="B23" t="s">
        <v>17</v>
      </c>
      <c r="C23" t="s">
        <v>1239</v>
      </c>
      <c r="D23" t="s">
        <v>1240</v>
      </c>
      <c r="E23" t="s">
        <v>1075</v>
      </c>
      <c r="F23" t="s">
        <v>51</v>
      </c>
      <c r="G23" s="9">
        <v>0</v>
      </c>
      <c r="H23" s="9">
        <v>25</v>
      </c>
      <c r="I23" s="9">
        <f>-H23</f>
        <v>-25</v>
      </c>
      <c r="J23" t="s">
        <v>79</v>
      </c>
      <c r="K23" t="s">
        <v>22</v>
      </c>
      <c r="L23" t="s">
        <v>1189</v>
      </c>
      <c r="Q23" s="9">
        <v>1</v>
      </c>
    </row>
    <row r="24" spans="1:17" x14ac:dyDescent="0.25">
      <c r="B24" t="s">
        <v>17</v>
      </c>
      <c r="C24" t="s">
        <v>1039</v>
      </c>
      <c r="D24" t="s">
        <v>1241</v>
      </c>
      <c r="E24" t="s">
        <v>1242</v>
      </c>
      <c r="F24" s="9">
        <v>5</v>
      </c>
      <c r="G24" s="9">
        <v>55</v>
      </c>
      <c r="H24" s="9">
        <v>25</v>
      </c>
      <c r="I24" s="9">
        <f>G24-H24</f>
        <v>30</v>
      </c>
      <c r="J24" t="s">
        <v>79</v>
      </c>
      <c r="K24" t="s">
        <v>22</v>
      </c>
      <c r="L24" t="s">
        <v>1189</v>
      </c>
      <c r="M24" t="s">
        <v>131</v>
      </c>
      <c r="Q24" s="9">
        <v>1</v>
      </c>
    </row>
    <row r="25" spans="1:17" x14ac:dyDescent="0.25">
      <c r="B25" t="s">
        <v>17</v>
      </c>
      <c r="C25" t="s">
        <v>1243</v>
      </c>
      <c r="D25" t="s">
        <v>1244</v>
      </c>
      <c r="E25" t="s">
        <v>1245</v>
      </c>
      <c r="F25" t="s">
        <v>62</v>
      </c>
      <c r="G25" s="9">
        <v>945</v>
      </c>
      <c r="H25" s="9">
        <v>25</v>
      </c>
      <c r="I25" s="9">
        <f>G25-H25</f>
        <v>920</v>
      </c>
      <c r="J25" t="s">
        <v>22</v>
      </c>
      <c r="K25" t="s">
        <v>22</v>
      </c>
      <c r="L25" t="s">
        <v>1189</v>
      </c>
      <c r="Q25" s="9">
        <v>1</v>
      </c>
    </row>
    <row r="26" spans="1:17" x14ac:dyDescent="0.25">
      <c r="A26" t="s">
        <v>24</v>
      </c>
      <c r="B26" t="s">
        <v>17</v>
      </c>
      <c r="C26" t="s">
        <v>1246</v>
      </c>
      <c r="E26" t="s">
        <v>1247</v>
      </c>
      <c r="F26" s="9">
        <v>12</v>
      </c>
      <c r="G26" s="9">
        <v>0</v>
      </c>
      <c r="H26" s="9">
        <v>35</v>
      </c>
      <c r="I26" s="9">
        <f>-H26</f>
        <v>-35</v>
      </c>
      <c r="J26" t="s">
        <v>22</v>
      </c>
      <c r="K26" t="s">
        <v>22</v>
      </c>
      <c r="L26" t="s">
        <v>1189</v>
      </c>
      <c r="Q26" s="9">
        <v>1</v>
      </c>
    </row>
    <row r="27" spans="1:17" x14ac:dyDescent="0.25">
      <c r="A27" t="s">
        <v>24</v>
      </c>
      <c r="B27" t="s">
        <v>17</v>
      </c>
      <c r="C27" t="s">
        <v>1248</v>
      </c>
      <c r="E27" t="s">
        <v>87</v>
      </c>
      <c r="F27" s="9">
        <v>12</v>
      </c>
      <c r="G27" s="9">
        <v>0</v>
      </c>
      <c r="H27" s="9">
        <v>45</v>
      </c>
      <c r="I27" s="9">
        <f>-H27</f>
        <v>-45</v>
      </c>
      <c r="J27" t="s">
        <v>22</v>
      </c>
      <c r="K27" t="s">
        <v>22</v>
      </c>
      <c r="L27" t="s">
        <v>1189</v>
      </c>
      <c r="Q27" s="9">
        <v>1</v>
      </c>
    </row>
    <row r="28" spans="1:17" x14ac:dyDescent="0.25">
      <c r="A28" t="s">
        <v>24</v>
      </c>
      <c r="B28" t="s">
        <v>17</v>
      </c>
      <c r="C28" t="s">
        <v>1249</v>
      </c>
      <c r="E28" t="s">
        <v>1250</v>
      </c>
      <c r="F28" t="s">
        <v>51</v>
      </c>
      <c r="G28" s="9">
        <v>30</v>
      </c>
      <c r="H28" s="9">
        <v>30</v>
      </c>
      <c r="I28" s="9">
        <f>G28-H28</f>
        <v>0</v>
      </c>
      <c r="J28" t="s">
        <v>22</v>
      </c>
      <c r="K28" t="s">
        <v>22</v>
      </c>
      <c r="L28" t="s">
        <v>1189</v>
      </c>
      <c r="Q28" s="9">
        <v>1</v>
      </c>
    </row>
    <row r="29" spans="1:17" x14ac:dyDescent="0.25">
      <c r="A29" t="s">
        <v>24</v>
      </c>
      <c r="B29" t="s">
        <v>17</v>
      </c>
      <c r="C29" t="s">
        <v>507</v>
      </c>
      <c r="E29" t="s">
        <v>32</v>
      </c>
      <c r="F29" s="9">
        <v>6</v>
      </c>
      <c r="G29" s="9">
        <v>0</v>
      </c>
      <c r="H29" s="9">
        <v>30</v>
      </c>
      <c r="I29" s="9">
        <f>-H29</f>
        <v>-30</v>
      </c>
      <c r="J29" t="s">
        <v>1193</v>
      </c>
      <c r="K29" t="s">
        <v>22</v>
      </c>
      <c r="L29" t="s">
        <v>1189</v>
      </c>
      <c r="Q29" s="9">
        <v>1</v>
      </c>
    </row>
    <row r="30" spans="1:17" s="17" customFormat="1" x14ac:dyDescent="0.25">
      <c r="B30" s="17" t="s">
        <v>17</v>
      </c>
      <c r="C30" s="17" t="s">
        <v>599</v>
      </c>
      <c r="D30" s="17" t="s">
        <v>600</v>
      </c>
      <c r="E30" s="17" t="s">
        <v>601</v>
      </c>
      <c r="F30" s="18">
        <v>1</v>
      </c>
      <c r="G30" s="18">
        <v>580</v>
      </c>
      <c r="H30" s="18">
        <v>0</v>
      </c>
      <c r="I30" s="18">
        <f t="shared" ref="I30:I35" si="1">G30-H30</f>
        <v>580</v>
      </c>
      <c r="J30" s="17" t="s">
        <v>172</v>
      </c>
      <c r="K30" s="17" t="s">
        <v>22</v>
      </c>
      <c r="L30" s="17" t="s">
        <v>433</v>
      </c>
      <c r="M30" s="17" t="s">
        <v>101</v>
      </c>
      <c r="N30" s="17" t="s">
        <v>174</v>
      </c>
      <c r="O30" s="17" t="s">
        <v>174</v>
      </c>
      <c r="P30" s="17" t="s">
        <v>175</v>
      </c>
      <c r="Q30" s="18">
        <v>1</v>
      </c>
    </row>
    <row r="31" spans="1:17" x14ac:dyDescent="0.25">
      <c r="B31" t="s">
        <v>17</v>
      </c>
      <c r="C31" t="s">
        <v>1251</v>
      </c>
      <c r="D31" t="s">
        <v>1252</v>
      </c>
      <c r="E31" t="s">
        <v>1253</v>
      </c>
      <c r="F31" s="9">
        <v>2</v>
      </c>
      <c r="G31" s="9">
        <v>2910</v>
      </c>
      <c r="H31" s="9">
        <v>35</v>
      </c>
      <c r="I31" s="9">
        <f t="shared" si="1"/>
        <v>2875</v>
      </c>
      <c r="J31" t="s">
        <v>22</v>
      </c>
      <c r="K31" t="s">
        <v>22</v>
      </c>
      <c r="L31" t="s">
        <v>1189</v>
      </c>
      <c r="M31" s="25" t="s">
        <v>517</v>
      </c>
      <c r="Q31" s="9">
        <v>1</v>
      </c>
    </row>
    <row r="32" spans="1:17" s="17" customFormat="1" x14ac:dyDescent="0.25">
      <c r="B32" s="17" t="s">
        <v>17</v>
      </c>
      <c r="C32" s="17" t="s">
        <v>878</v>
      </c>
      <c r="D32" s="17" t="s">
        <v>879</v>
      </c>
      <c r="E32" s="17" t="s">
        <v>880</v>
      </c>
      <c r="F32" s="18">
        <v>8</v>
      </c>
      <c r="G32" s="18">
        <v>820</v>
      </c>
      <c r="H32" s="18">
        <v>0</v>
      </c>
      <c r="I32" s="18">
        <f t="shared" si="1"/>
        <v>820</v>
      </c>
      <c r="J32" s="17" t="s">
        <v>172</v>
      </c>
      <c r="K32" s="17" t="s">
        <v>22</v>
      </c>
      <c r="L32" s="17" t="s">
        <v>833</v>
      </c>
      <c r="M32" s="17" t="s">
        <v>101</v>
      </c>
      <c r="N32" s="17" t="s">
        <v>174</v>
      </c>
      <c r="O32" s="17" t="s">
        <v>174</v>
      </c>
      <c r="P32" s="17" t="s">
        <v>175</v>
      </c>
      <c r="Q32" s="18">
        <v>1</v>
      </c>
    </row>
    <row r="33" spans="1:17" s="17" customFormat="1" x14ac:dyDescent="0.25">
      <c r="B33" s="17" t="s">
        <v>17</v>
      </c>
      <c r="C33" s="17" t="s">
        <v>860</v>
      </c>
      <c r="D33" s="17" t="s">
        <v>861</v>
      </c>
      <c r="E33" s="17" t="s">
        <v>862</v>
      </c>
      <c r="F33" s="18">
        <v>7</v>
      </c>
      <c r="G33" s="18">
        <v>590</v>
      </c>
      <c r="H33" s="18">
        <v>0</v>
      </c>
      <c r="I33" s="18">
        <f t="shared" si="1"/>
        <v>590</v>
      </c>
      <c r="J33" s="17" t="s">
        <v>172</v>
      </c>
      <c r="K33" s="17" t="s">
        <v>22</v>
      </c>
      <c r="L33" s="17" t="s">
        <v>833</v>
      </c>
      <c r="M33" s="17" t="s">
        <v>101</v>
      </c>
      <c r="N33" s="17" t="s">
        <v>174</v>
      </c>
      <c r="O33" s="17" t="s">
        <v>174</v>
      </c>
      <c r="P33" s="17" t="s">
        <v>175</v>
      </c>
      <c r="Q33" s="18">
        <v>1</v>
      </c>
    </row>
    <row r="34" spans="1:17" s="17" customFormat="1" x14ac:dyDescent="0.25">
      <c r="B34" s="17" t="s">
        <v>17</v>
      </c>
      <c r="C34" s="17" t="s">
        <v>450</v>
      </c>
      <c r="D34" s="17" t="s">
        <v>451</v>
      </c>
      <c r="E34" s="17" t="s">
        <v>452</v>
      </c>
      <c r="F34" s="17" t="s">
        <v>294</v>
      </c>
      <c r="G34" s="18">
        <v>640</v>
      </c>
      <c r="H34" s="18">
        <v>0</v>
      </c>
      <c r="I34" s="18">
        <f t="shared" si="1"/>
        <v>640</v>
      </c>
      <c r="J34" s="17" t="s">
        <v>172</v>
      </c>
      <c r="K34" s="17" t="s">
        <v>22</v>
      </c>
      <c r="L34" s="17" t="s">
        <v>433</v>
      </c>
      <c r="M34" s="17" t="s">
        <v>101</v>
      </c>
      <c r="N34" s="17" t="s">
        <v>174</v>
      </c>
      <c r="O34" s="17" t="s">
        <v>174</v>
      </c>
      <c r="P34" s="17" t="s">
        <v>175</v>
      </c>
      <c r="Q34" s="18">
        <v>1</v>
      </c>
    </row>
    <row r="35" spans="1:17" s="17" customFormat="1" x14ac:dyDescent="0.25">
      <c r="B35" s="17" t="s">
        <v>17</v>
      </c>
      <c r="C35" s="17" t="s">
        <v>1019</v>
      </c>
      <c r="D35" s="17" t="s">
        <v>1020</v>
      </c>
      <c r="E35" s="17" t="s">
        <v>1021</v>
      </c>
      <c r="F35" s="18">
        <v>4</v>
      </c>
      <c r="G35" s="18">
        <v>745</v>
      </c>
      <c r="H35" s="18">
        <v>0</v>
      </c>
      <c r="I35" s="18">
        <f t="shared" si="1"/>
        <v>745</v>
      </c>
      <c r="J35" s="17" t="s">
        <v>172</v>
      </c>
      <c r="K35" s="17" t="s">
        <v>22</v>
      </c>
      <c r="L35" s="17" t="s">
        <v>1003</v>
      </c>
      <c r="N35" s="17" t="s">
        <v>174</v>
      </c>
      <c r="O35" s="17" t="s">
        <v>174</v>
      </c>
      <c r="P35" s="17" t="s">
        <v>175</v>
      </c>
      <c r="Q35" s="18">
        <v>1</v>
      </c>
    </row>
    <row r="37" spans="1:17" x14ac:dyDescent="0.25">
      <c r="D37" s="5">
        <f>COUNTA(D3:D35)</f>
        <v>29</v>
      </c>
      <c r="G37" s="5">
        <f t="shared" ref="G37:Q37" si="2">SUBTOTAL(9,G3:G35)</f>
        <v>18380</v>
      </c>
      <c r="H37" s="5">
        <f t="shared" si="2"/>
        <v>815</v>
      </c>
      <c r="I37" s="5">
        <f t="shared" si="2"/>
        <v>17565</v>
      </c>
      <c r="J37" s="5">
        <f t="shared" si="2"/>
        <v>0</v>
      </c>
      <c r="K37" s="5">
        <f t="shared" si="2"/>
        <v>0</v>
      </c>
      <c r="L37" s="5">
        <f t="shared" si="2"/>
        <v>0</v>
      </c>
      <c r="M37" s="5">
        <f t="shared" si="2"/>
        <v>0</v>
      </c>
      <c r="N37" s="5">
        <f t="shared" si="2"/>
        <v>0</v>
      </c>
      <c r="O37" s="5">
        <f t="shared" si="2"/>
        <v>0</v>
      </c>
      <c r="P37" s="5">
        <f t="shared" si="2"/>
        <v>0</v>
      </c>
      <c r="Q37" s="5">
        <f t="shared" si="2"/>
        <v>33</v>
      </c>
    </row>
    <row r="38" spans="1:17" x14ac:dyDescent="0.25">
      <c r="H38">
        <f>-6*17</f>
        <v>-102</v>
      </c>
    </row>
    <row r="39" spans="1:17" x14ac:dyDescent="0.25">
      <c r="A39" s="5" t="s">
        <v>17</v>
      </c>
      <c r="C39" s="37" t="s">
        <v>88</v>
      </c>
      <c r="D39" s="37"/>
      <c r="E39" s="8" t="s">
        <v>89</v>
      </c>
      <c r="H39">
        <f>-4*25</f>
        <v>-100</v>
      </c>
      <c r="K39" s="11" t="s">
        <v>79</v>
      </c>
      <c r="L39" s="11" t="s">
        <v>90</v>
      </c>
      <c r="M39" s="11" t="s">
        <v>89</v>
      </c>
      <c r="O39" s="8" t="s">
        <v>91</v>
      </c>
    </row>
    <row r="40" spans="1:17" x14ac:dyDescent="0.25">
      <c r="A40" t="s">
        <v>1189</v>
      </c>
      <c r="B40" s="7" t="s">
        <v>92</v>
      </c>
      <c r="C40" s="38">
        <f>SUMIFS(I$3:I$35,B$3:B$35,A$39,L$3:L$35,A$40)</f>
        <v>14190</v>
      </c>
      <c r="D40" s="38"/>
      <c r="E40" s="7">
        <f>SUMIFS(Q$3:Q$35,B$3:B$35,A$39,L$3:L$35,A$40)</f>
        <v>28</v>
      </c>
      <c r="F40" t="s">
        <v>93</v>
      </c>
      <c r="H40">
        <f>-2*30</f>
        <v>-60</v>
      </c>
      <c r="K40" t="s">
        <v>94</v>
      </c>
      <c r="L40">
        <f>SUMIFS(G$3:G$35,J$3:J$35,K$39)</f>
        <v>4225</v>
      </c>
      <c r="M40">
        <f>SUMIFS(Q$3:Q$35,J$3:J$35,K$39)</f>
        <v>7</v>
      </c>
      <c r="O40" t="s">
        <v>79</v>
      </c>
      <c r="P40">
        <f>L45</f>
        <v>2760</v>
      </c>
    </row>
    <row r="41" spans="1:17" x14ac:dyDescent="0.25">
      <c r="B41" s="6" t="s">
        <v>95</v>
      </c>
      <c r="C41" s="39">
        <v>0</v>
      </c>
      <c r="D41" s="39"/>
      <c r="K41" t="s">
        <v>96</v>
      </c>
      <c r="L41">
        <f>-SUMIFS(H$3:H$35,J$3:J$35,K$39)+M41*5</f>
        <v>-135</v>
      </c>
      <c r="M41">
        <f>SUMIFS(Q$3:Q$35,J$3:J$35,K$39)-COUNTIFS(J$3:J$35,K$39,M$3:M$35,"*gộp*")</f>
        <v>7</v>
      </c>
      <c r="O41" t="s">
        <v>1254</v>
      </c>
      <c r="P41">
        <f>L53</f>
        <v>2999</v>
      </c>
    </row>
    <row r="42" spans="1:17" x14ac:dyDescent="0.25">
      <c r="B42" s="6" t="s">
        <v>97</v>
      </c>
      <c r="C42" s="39">
        <f>-SUMIFS(I$3:I$35,B$3:B$35,A$39,P$3:P$35,"xx",N$3:N$35,"x")</f>
        <v>-3375</v>
      </c>
      <c r="D42" s="39"/>
      <c r="E42" s="6">
        <f>SUMIFS(Q$3:Q$35,B$3:B$35,A$39,P$3:P$35,"xx",N$3:N$35,"x")</f>
        <v>5</v>
      </c>
      <c r="K42" t="s">
        <v>98</v>
      </c>
      <c r="O42" t="s">
        <v>22</v>
      </c>
      <c r="P42">
        <f>L61</f>
        <v>5122</v>
      </c>
    </row>
    <row r="43" spans="1:17" x14ac:dyDescent="0.25">
      <c r="B43" s="8" t="s">
        <v>100</v>
      </c>
      <c r="C43" s="37">
        <f>SUBTOTAL(9,C40:C42)</f>
        <v>10815</v>
      </c>
      <c r="D43" s="37"/>
      <c r="E43">
        <f>E40</f>
        <v>28</v>
      </c>
      <c r="K43" s="6" t="s">
        <v>101</v>
      </c>
      <c r="L43" s="6">
        <v>-585</v>
      </c>
      <c r="M43" s="32" t="s">
        <v>1255</v>
      </c>
      <c r="O43" t="s">
        <v>104</v>
      </c>
      <c r="P43">
        <f>-C47</f>
        <v>-10815</v>
      </c>
    </row>
    <row r="44" spans="1:17" x14ac:dyDescent="0.25">
      <c r="B44" s="6" t="s">
        <v>102</v>
      </c>
      <c r="C44" s="35"/>
      <c r="D44" s="35"/>
      <c r="K44" s="6" t="s">
        <v>103</v>
      </c>
      <c r="L44" s="17">
        <v>-745</v>
      </c>
      <c r="M44" s="32"/>
      <c r="O44" s="8" t="s">
        <v>106</v>
      </c>
      <c r="P44" s="8">
        <f>SUBTOTAL(9,P40:P43)</f>
        <v>66</v>
      </c>
    </row>
    <row r="45" spans="1:17" x14ac:dyDescent="0.25">
      <c r="B45" s="13" t="s">
        <v>105</v>
      </c>
      <c r="C45" s="35"/>
      <c r="D45" s="35"/>
      <c r="L45" s="12">
        <f>SUBTOTAL(9,L40:L44)</f>
        <v>2760</v>
      </c>
      <c r="M45" s="33">
        <f>M40</f>
        <v>7</v>
      </c>
    </row>
    <row r="46" spans="1:17" x14ac:dyDescent="0.25">
      <c r="M46" s="32"/>
    </row>
    <row r="47" spans="1:17" x14ac:dyDescent="0.25">
      <c r="B47" s="5" t="s">
        <v>107</v>
      </c>
      <c r="C47" s="36">
        <f>C43+C44+C45</f>
        <v>10815</v>
      </c>
      <c r="D47" s="36"/>
      <c r="E47" s="5" t="s">
        <v>108</v>
      </c>
      <c r="K47" s="11" t="s">
        <v>1193</v>
      </c>
      <c r="L47" s="11" t="s">
        <v>90</v>
      </c>
      <c r="M47" s="34" t="s">
        <v>89</v>
      </c>
    </row>
    <row r="48" spans="1:17" x14ac:dyDescent="0.25">
      <c r="K48" t="s">
        <v>94</v>
      </c>
      <c r="L48">
        <f>SUMIFS(G$3:G$35,J$3:J$35,K$47)</f>
        <v>5375</v>
      </c>
      <c r="M48" s="32">
        <f>SUMIFS(Q$3:Q$35,J$3:J$35,K$47)</f>
        <v>12</v>
      </c>
    </row>
    <row r="49" spans="11:13" x14ac:dyDescent="0.25">
      <c r="K49" t="s">
        <v>96</v>
      </c>
      <c r="L49">
        <f>SUM(H38:H40)</f>
        <v>-262</v>
      </c>
      <c r="M49" s="32">
        <f>SUMIFS(Q$3:Q$35,J$3:J$35,K$47)</f>
        <v>12</v>
      </c>
    </row>
    <row r="50" spans="11:13" x14ac:dyDescent="0.25">
      <c r="K50" t="s">
        <v>98</v>
      </c>
      <c r="M50" s="32"/>
    </row>
    <row r="51" spans="11:13" x14ac:dyDescent="0.25">
      <c r="K51" s="6" t="s">
        <v>101</v>
      </c>
      <c r="L51" s="18">
        <v>-2114</v>
      </c>
      <c r="M51" s="32" t="s">
        <v>1256</v>
      </c>
    </row>
    <row r="52" spans="11:13" x14ac:dyDescent="0.25">
      <c r="K52" s="6" t="s">
        <v>103</v>
      </c>
    </row>
    <row r="53" spans="11:13" x14ac:dyDescent="0.25">
      <c r="L53" s="12">
        <f>SUBTOTAL(9,L48:L52)</f>
        <v>2999</v>
      </c>
      <c r="M53" s="12">
        <f>M48</f>
        <v>12</v>
      </c>
    </row>
    <row r="55" spans="11:13" x14ac:dyDescent="0.25">
      <c r="K55" s="11" t="s">
        <v>22</v>
      </c>
      <c r="L55" s="11" t="s">
        <v>90</v>
      </c>
      <c r="M55" s="11" t="s">
        <v>89</v>
      </c>
    </row>
    <row r="56" spans="11:13" x14ac:dyDescent="0.25">
      <c r="K56" t="s">
        <v>94</v>
      </c>
      <c r="L56">
        <f>SUMIFS(G$3:G$35,J$3:J$35,K$55)</f>
        <v>5405</v>
      </c>
      <c r="M56">
        <f>SUMIFS(Q$3:Q$35,J$3:J$35,K$55)</f>
        <v>9</v>
      </c>
    </row>
    <row r="57" spans="11:13" x14ac:dyDescent="0.25">
      <c r="K57" t="s">
        <v>96</v>
      </c>
      <c r="L57">
        <f>-SUMIFS(H$3:H$35,J$3:J$35,K$55)+M57*5</f>
        <v>-235</v>
      </c>
      <c r="M57">
        <f>SUMIFS(Q$3:Q$35,J$3:J$35,K$55)-COUNTIFS(J$3:J$35,K$55,M$3:M$35,"*gộp*")</f>
        <v>9</v>
      </c>
    </row>
    <row r="58" spans="11:13" x14ac:dyDescent="0.25">
      <c r="K58" t="s">
        <v>98</v>
      </c>
      <c r="L58">
        <f>-M58*2</f>
        <v>-48</v>
      </c>
      <c r="M58">
        <f>E40-(COUNTIFS(M$3:M$35,"*đơn trả*")-(COUNTIFS(M$3:M$35,"*gộp*")/2))</f>
        <v>24</v>
      </c>
    </row>
    <row r="59" spans="11:13" x14ac:dyDescent="0.25">
      <c r="K59" s="6" t="s">
        <v>101</v>
      </c>
    </row>
    <row r="60" spans="11:13" x14ac:dyDescent="0.25">
      <c r="K60" s="6" t="s">
        <v>103</v>
      </c>
    </row>
    <row r="61" spans="11:13" x14ac:dyDescent="0.25">
      <c r="L61" s="12">
        <f>SUBTOTAL(9,L56:L60)</f>
        <v>5122</v>
      </c>
      <c r="M61" s="12">
        <f>M56</f>
        <v>9</v>
      </c>
    </row>
  </sheetData>
  <autoFilter ref="A2:P35" xr:uid="{00000000-0009-0000-0000-00000D000000}"/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6CEE-D9BD-471C-BE28-69B9C4322082}">
  <dimension ref="A1:E19"/>
  <sheetViews>
    <sheetView workbookViewId="0">
      <selection activeCell="F20" sqref="F20"/>
    </sheetView>
  </sheetViews>
  <sheetFormatPr defaultRowHeight="15" x14ac:dyDescent="0.25"/>
  <cols>
    <col min="1" max="1" width="9.42578125" bestFit="1" customWidth="1"/>
    <col min="2" max="2" width="10.85546875" bestFit="1" customWidth="1"/>
    <col min="3" max="3" width="9.42578125" bestFit="1" customWidth="1"/>
    <col min="4" max="4" width="17.5703125" bestFit="1" customWidth="1"/>
    <col min="5" max="5" width="15.85546875" bestFit="1" customWidth="1"/>
  </cols>
  <sheetData>
    <row r="1" spans="1:5" x14ac:dyDescent="0.25">
      <c r="A1" t="s">
        <v>1176</v>
      </c>
      <c r="B1">
        <v>2026</v>
      </c>
    </row>
    <row r="2" spans="1:5" x14ac:dyDescent="0.25">
      <c r="A2" s="21" t="s">
        <v>1177</v>
      </c>
      <c r="B2" s="21" t="s">
        <v>1178</v>
      </c>
      <c r="C2" s="21" t="s">
        <v>1179</v>
      </c>
      <c r="D2" s="21" t="s">
        <v>1180</v>
      </c>
      <c r="E2" s="21" t="s">
        <v>1181</v>
      </c>
    </row>
    <row r="3" spans="1:5" x14ac:dyDescent="0.25">
      <c r="A3" s="22">
        <v>46098</v>
      </c>
      <c r="B3" s="23">
        <v>22</v>
      </c>
      <c r="C3" s="23"/>
      <c r="D3" s="23"/>
      <c r="E3" s="23">
        <f t="shared" ref="E3:E15" si="0">B3-C3-D3</f>
        <v>22</v>
      </c>
    </row>
    <row r="4" spans="1:5" x14ac:dyDescent="0.25">
      <c r="A4" s="22">
        <v>46099</v>
      </c>
      <c r="B4" s="23">
        <v>19</v>
      </c>
      <c r="C4" s="23">
        <v>1</v>
      </c>
      <c r="D4" s="23"/>
      <c r="E4" s="23">
        <f t="shared" si="0"/>
        <v>18</v>
      </c>
    </row>
    <row r="5" spans="1:5" x14ac:dyDescent="0.25">
      <c r="A5" s="22">
        <v>46100</v>
      </c>
      <c r="B5" s="23">
        <v>32</v>
      </c>
      <c r="C5" s="23"/>
      <c r="D5" s="23"/>
      <c r="E5" s="23">
        <f t="shared" si="0"/>
        <v>32</v>
      </c>
    </row>
    <row r="6" spans="1:5" x14ac:dyDescent="0.25">
      <c r="A6" s="22">
        <v>46101</v>
      </c>
      <c r="B6" s="23">
        <v>24</v>
      </c>
      <c r="C6" s="23"/>
      <c r="D6" s="23"/>
      <c r="E6" s="23">
        <f t="shared" si="0"/>
        <v>24</v>
      </c>
    </row>
    <row r="7" spans="1:5" x14ac:dyDescent="0.25">
      <c r="A7" s="22">
        <v>46102</v>
      </c>
      <c r="B7" s="23">
        <v>32</v>
      </c>
      <c r="C7" s="23"/>
      <c r="D7" s="23"/>
      <c r="E7" s="23">
        <f t="shared" si="0"/>
        <v>32</v>
      </c>
    </row>
    <row r="8" spans="1:5" x14ac:dyDescent="0.25">
      <c r="A8" s="22">
        <v>46104</v>
      </c>
      <c r="B8" s="23">
        <v>73</v>
      </c>
      <c r="C8" s="23"/>
      <c r="D8" s="23">
        <v>3</v>
      </c>
      <c r="E8" s="23">
        <f t="shared" si="0"/>
        <v>70</v>
      </c>
    </row>
    <row r="9" spans="1:5" x14ac:dyDescent="0.25">
      <c r="A9" s="22">
        <v>46105</v>
      </c>
      <c r="B9" s="23">
        <v>17</v>
      </c>
      <c r="C9" s="23"/>
      <c r="D9" s="23"/>
      <c r="E9" s="23">
        <f t="shared" si="0"/>
        <v>17</v>
      </c>
    </row>
    <row r="10" spans="1:5" x14ac:dyDescent="0.25">
      <c r="A10" s="22">
        <v>46106</v>
      </c>
      <c r="B10" s="23">
        <v>17</v>
      </c>
      <c r="C10" s="23"/>
      <c r="D10" s="23"/>
      <c r="E10" s="23">
        <f t="shared" si="0"/>
        <v>17</v>
      </c>
    </row>
    <row r="11" spans="1:5" x14ac:dyDescent="0.25">
      <c r="A11" s="22">
        <v>46107</v>
      </c>
      <c r="B11" s="23">
        <v>31</v>
      </c>
      <c r="C11" s="23"/>
      <c r="D11" s="23">
        <v>1</v>
      </c>
      <c r="E11" s="23">
        <f t="shared" si="0"/>
        <v>30</v>
      </c>
    </row>
    <row r="12" spans="1:5" x14ac:dyDescent="0.25">
      <c r="A12" s="22">
        <v>46108</v>
      </c>
      <c r="B12" s="23">
        <v>35</v>
      </c>
      <c r="C12" s="23"/>
      <c r="D12" s="23"/>
      <c r="E12" s="23">
        <f t="shared" si="0"/>
        <v>35</v>
      </c>
    </row>
    <row r="13" spans="1:5" x14ac:dyDescent="0.25">
      <c r="A13" s="22">
        <v>46109</v>
      </c>
      <c r="B13" s="23">
        <v>27</v>
      </c>
      <c r="C13" s="23"/>
      <c r="D13" s="23"/>
      <c r="E13" s="23">
        <f t="shared" si="0"/>
        <v>27</v>
      </c>
    </row>
    <row r="14" spans="1:5" x14ac:dyDescent="0.25">
      <c r="A14" s="22">
        <v>46111</v>
      </c>
      <c r="B14" s="23">
        <v>66</v>
      </c>
      <c r="C14" s="23"/>
      <c r="D14" s="23"/>
      <c r="E14" s="23">
        <f t="shared" si="0"/>
        <v>66</v>
      </c>
    </row>
    <row r="15" spans="1:5" x14ac:dyDescent="0.25">
      <c r="A15" s="22">
        <v>46112</v>
      </c>
      <c r="B15" s="23">
        <v>28</v>
      </c>
      <c r="C15" s="23"/>
      <c r="D15" s="23">
        <v>4</v>
      </c>
      <c r="E15" s="23">
        <f t="shared" si="0"/>
        <v>24</v>
      </c>
    </row>
    <row r="16" spans="1:5" x14ac:dyDescent="0.25">
      <c r="D16" s="24" t="s">
        <v>1182</v>
      </c>
      <c r="E16" s="24">
        <f>SUBTOTAL(9,E3:E15)</f>
        <v>414</v>
      </c>
    </row>
    <row r="17" spans="4:5" x14ac:dyDescent="0.25">
      <c r="D17" s="24" t="s">
        <v>1183</v>
      </c>
      <c r="E17" s="24">
        <f>SUM('17-03'!P35,'18-03'!P32,'19-03'!P47,'20-03'!P37,'21-03'!P44,'23-03'!P87,'24-03'!P27,'25-03'!P28,'26-03'!P43,'27-03'!P47,'28-03'!P38,'30-03'!P78,'31-03'!P44)</f>
        <v>1872</v>
      </c>
    </row>
    <row r="18" spans="4:5" x14ac:dyDescent="0.25">
      <c r="D18" s="24" t="s">
        <v>1184</v>
      </c>
      <c r="E18" s="24">
        <f>-E16*2</f>
        <v>-828</v>
      </c>
    </row>
    <row r="19" spans="4:5" x14ac:dyDescent="0.25">
      <c r="D19" s="24" t="s">
        <v>1185</v>
      </c>
      <c r="E19" s="24">
        <f>SUBTOTAL(9,E17:E18)</f>
        <v>1044</v>
      </c>
    </row>
  </sheetData>
  <autoFilter ref="A2:E15" xr:uid="{00000000-0009-0000-0000-00000C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17-03</vt:lpstr>
      <vt:lpstr>18-03</vt:lpstr>
      <vt:lpstr>19-03</vt:lpstr>
      <vt:lpstr>20-03</vt:lpstr>
      <vt:lpstr>21-03</vt:lpstr>
      <vt:lpstr>23-03</vt:lpstr>
      <vt:lpstr>24-03</vt:lpstr>
      <vt:lpstr>25-03</vt:lpstr>
      <vt:lpstr>26-03</vt:lpstr>
      <vt:lpstr>27-03</vt:lpstr>
      <vt:lpstr>28-03</vt:lpstr>
      <vt:lpstr>30-03</vt:lpstr>
      <vt:lpstr>31-03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2026-03-02T14:09:29Z</dcterms:created>
  <dcterms:modified xsi:type="dcterms:W3CDTF">2026-04-18T09:08:47Z</dcterms:modified>
</cp:coreProperties>
</file>