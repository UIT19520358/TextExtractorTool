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628"/>
  <x: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8_{DCF5FEC8-956B-4B8D-A09B-1F5918288C98}" xr6:coauthVersionLast="47" xr6:coauthVersionMax="47" xr10:uidLastSave="{00000000-0000-0000-0000-000000000000}"/>
  <x:bookViews>
    <x:workbookView xWindow="-120" yWindow="-120" windowWidth="29040" windowHeight="15720" firstSheet="0" activeTab="0" xr2:uid="{7DBF314D-BB0B-41C9-BACA-A4F738DC8062}"/>
  </x:bookViews>
  <x:sheets>
    <x:sheet name="02-03" sheetId="7" r:id="rId7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I3" i="7"/>
  <x:c r="I4" i="7"/>
  <x:c r="I5" i="7"/>
  <x:c r="I6" i="7"/>
  <x:c r="I7" i="7"/>
  <x:c r="I8" i="7"/>
  <x:c r="I9" i="7"/>
  <x:c r="I10" i="7"/>
  <x:c r="I11" i="7"/>
  <x:c r="I12" i="7"/>
  <x:c r="I13" i="7"/>
  <x:c r="I14" i="7"/>
  <x:c r="I15" i="7"/>
  <x:c r="I16" i="7"/>
  <x:c r="I17" i="7"/>
  <x:c r="I18" i="7"/>
  <x:c r="I19" i="7"/>
  <x:c r="I20" i="7"/>
  <x:c r="I21" i="7"/>
  <x:c r="I22" i="7"/>
  <x:c r="I23" i="7"/>
  <x:c r="I24" i="7"/>
  <x:c r="I25" i="7"/>
  <x:c r="I26" i="7"/>
  <x:c r="I27" i="7"/>
  <x:c r="I28" i="7"/>
  <x:c r="I29" i="7"/>
  <x:c r="I30" i="7"/>
  <x:c r="I31" i="7"/>
  <x:c r="I32" i="7"/>
  <x:c r="I33" i="7"/>
  <x:c r="I34" i="7"/>
  <x:c r="I35" i="7"/>
  <x:c r="I36" i="7"/>
  <x:c r="I37" i="7"/>
  <x:c r="I38" i="7"/>
  <x:c r="I39" i="7"/>
  <x:c r="I40" i="7"/>
  <x:c r="I41" i="7"/>
  <x:c r="I42" i="7"/>
  <x:c r="I43" i="7"/>
  <x:c r="I44" i="7"/>
  <x:c r="I45" i="7"/>
  <x:c r="I46" i="7"/>
  <x:c r="I47" i="7"/>
  <x:c r="I48" i="7"/>
  <x:c r="I49" i="7"/>
  <x:c r="I50" i="7"/>
  <x:c r="I51" i="7"/>
  <x:c r="I52" i="7"/>
  <x:c r="I53" i="7"/>
  <x:c r="I54" i="7"/>
  <x:c r="I55" i="7"/>
  <x:c r="I56" i="7"/>
  <x:c r="I57" i="7"/>
  <x:c r="I58" i="7"/>
  <x:c r="I59" i="7"/>
  <x:c r="I60" i="7"/>
  <x:c r="I61" i="7"/>
  <x:c r="I62" i="7"/>
  <x:c r="I63" i="7"/>
  <x:c r="I64" i="7"/>
  <x:c r="I65" i="7"/>
  <x:c r="I66" i="7"/>
  <x:c r="I67" i="7"/>
  <x:c r="I68" i="7"/>
  <x:c r="I69" i="7"/>
  <x:c r="I70" i="7"/>
  <x:c r="I71" i="7"/>
  <x:c r="I72" i="7"/>
  <x:c r="I73" i="7"/>
  <x:c r="I74" i="7"/>
  <x:c r="I75" i="7"/>
  <x:c r="I76" i="7"/>
  <x:c r="I77" i="7"/>
  <x:c r="I78" i="7"/>
  <x:c r="G80" i="7"/>
  <x:c r="H80" i="7"/>
  <x:c r="I80" i="7"/>
  <x:c r="N80" i="7"/>
  <x:c r="O80" i="7"/>
  <x:c r="C83" i="7"/>
  <x:c r="D83" i="7"/>
  <x:c r="K83" i="7"/>
  <x:c r="L83" i="7"/>
  <x:c r="C84" i="7"/>
  <x:c r="K84" i="7"/>
  <x:c r="C86" i="7"/>
  <x:c r="D86" i="7"/>
  <x:c r="K88" i="7"/>
  <x:c r="L88" i="7"/>
  <x:c r="C89" i="7"/>
  <x:c r="K91" i="7"/>
  <x:c r="L91" i="7"/>
  <x:c r="K92" i="7"/>
  <x:c r="K96" i="7"/>
  <x:c r="L96" i="7"/>
  <x:c r="K99" i="7"/>
  <x:c r="L99" i="7"/>
  <x:c r="K100" i="7"/>
  <x:c r="K104" i="7"/>
  <x:c r="L104" i="7"/>
</x:calcChain>
</file>

<file path=xl/sharedStrings.xml><?xml version="1.0" encoding="utf-8"?>
<x:sst xmlns:x="http://schemas.openxmlformats.org/spreadsheetml/2006/main">
  <x:si>
    <x:t>Tình trạng TT</x:t>
  </x:si>
  <x:si>
    <x:t>SHOP</x:t>
  </x:si>
  <x:si>
    <x:t>TÊN KH</x:t>
  </x:si>
  <x:si>
    <x:t>MÃ</x:t>
  </x:si>
  <x:si>
    <x:t>ĐỊA CHỈ</x:t>
  </x:si>
  <x:si>
    <x:t>QUẬN</x:t>
  </x:si>
  <x:si>
    <x:t>TIỀN THU</x:t>
  </x:si>
  <x:si>
    <x:t>TIỀN SHIP</x:t>
  </x:si>
  <x:si>
    <x:t>TIỀN HÀNG</x:t>
  </x:si>
  <x:si>
    <x:t>NGƯỜI ĐI</x:t>
  </x:si>
  <x:si>
    <x:t>NGƯỜI LẤY</x:t>
  </x:si>
  <x:si>
    <x:t>NGÀY LẤY</x:t>
  </x:si>
  <x:si>
    <x:t>GHI CHÚ</x:t>
  </x:si>
  <x:si>
    <x:t>ỨNG TIỀN</x:t>
  </x:si>
  <x:si>
    <x:t>HÀNG TỒN</x:t>
  </x:si>
  <x:si>
    <x:t>FAIL</x:t>
  </x:si>
  <x:si>
    <x:t>ĐOÀN NGÂN CHÂU</x:t>
  </x:si>
  <x:si>
    <x:t>Tường Vy</x:t>
  </x:si>
  <x:si>
    <x:t>HD133277</x:t>
  </x:si>
  <x:si>
    <x:t>256/40 phạm văn chí p4</x:t>
  </x:si>
  <x:si>
    <x:t>c.cuong</x:t>
  </x:si>
  <x:si>
    <x:t>28-02-2026</x:t>
  </x:si>
  <x:si>
    <x:t>Hằng</x:t>
  </x:si>
  <x:si>
    <x:t>HD133304</x:t>
  </x:si>
  <x:si>
    <x:t>547c cmt8</x:t>
  </x:si>
  <x:si>
    <x:t>c.hieu</x:t>
  </x:si>
  <x:si>
    <x:t>Thu 916 + ship</x:t>
  </x:si>
  <x:si>
    <x:t>_hanny_ne</x:t>
  </x:si>
  <x:si>
    <x:t>HD133306</x:t>
  </x:si>
  <x:si>
    <x:t>Giao về giua mình cả 51 nguyễn thị minh khai, phường Sài Gòn</x:t>
  </x:si>
  <x:si>
    <x:t>Phan Ngọc Hân</x:t>
  </x:si>
  <x:si>
    <x:t>HD133328</x:t>
  </x:si>
  <x:si>
    <x:t>Lumiere toà West địa chỉ 6284 Vũ Nguyên Giáp, phường An Khánh</x:t>
  </x:si>
  <x:si>
    <x:t>thu duc</x:t>
  </x:si>
  <x:si>
    <x:t>trần ngọc song</x:t>
  </x:si>
  <x:si>
    <x:t>HD133334</x:t>
  </x:si>
  <x:si>
    <x:t>Ehome nam Sài Gòn block C, Xã Bình Hưng</x:t>
  </x:si>
  <x:si>
    <x:t>binh chanh</x:t>
  </x:si>
  <x:si>
    <x:t>SHINE ANNA</x:t>
  </x:si>
  <x:si>
    <x:t>HD133353</x:t>
  </x:si>
  <x:si>
    <x:t>26a tam bình phường hiệp bình chánh</x:t>
  </x:si>
  <x:si>
    <x:t>Hồng Hạnh</x:t>
  </x:si>
  <x:si>
    <x:t>HD133360</x:t>
  </x:si>
  <x:si>
    <x:t>362/65 đường Hiệp Thành 13, KP7, Phường Hiệp Thành</x:t>
  </x:si>
  <x:si>
    <x:t>Fb: quỳnh vũ ( minh hải )</x:t>
  </x:si>
  <x:si>
    <x:t>HD133366</x:t>
  </x:si>
  <x:si>
    <x:t>Số 17 đường số 13 phường bình hưng hòa</x:t>
  </x:si>
  <x:si>
    <x:t>binh tan</x:t>
  </x:si>
  <x:si>
    <x:t>Lê Thu</x:t>
  </x:si>
  <x:si>
    <x:t>HD133367</x:t>
  </x:si>
  <x:si>
    <x:t>180/ 60A Nguyễn Hữu Cảnh, P Thạnh Mỹ Tây</x:t>
  </x:si>
  <x:si>
    <x:t>binh thanh</x:t>
  </x:si>
  <x:si>
    <x:t>Coco Coca</x:t>
  </x:si>
  <x:si>
    <x:t>HD133372</x:t>
  </x:si>
  <x:si>
    <x:t>730/129/3 hương lộ 2 bình trị đông A</x:t>
  </x:si>
  <x:si>
    <x:t>Đồ của Ánh hồ</x:t>
  </x:si>
  <x:si>
    <x:t>HD133382</x:t>
  </x:si>
  <x:si>
    <x:t>146 tên lửa bình trị đông b</x:t>
  </x:si>
  <x:si>
    <x:t>Thanh Trúc Ib Chloe Ha</x:t>
  </x:si>
  <x:si>
    <x:t>HD133394</x:t>
  </x:si>
  <x:si>
    <x:t>108/20/12 tô hiệu phường hiệp tân</x:t>
  </x:si>
  <x:si>
    <x:t>tan phu</x:t>
  </x:si>
  <x:si>
    <x:t>Nguyen Thuy Linh</x:t>
  </x:si>
  <x:si>
    <x:t>HD133399</x:t>
  </x:si>
  <x:si>
    <x:t>56 bến vân đồn, p13</x:t>
  </x:si>
  <x:si>
    <x:t>Sapphire Moon</x:t>
  </x:si>
  <x:si>
    <x:t>HD133423</x:t>
  </x:si>
  <x:si>
    <x:t>2/7c Liên khu 2-10, BHHA</x:t>
  </x:si>
  <x:si>
    <x:t>Nguyễn Thị Loan</x:t>
  </x:si>
  <x:si>
    <x:t>HD133443</x:t>
  </x:si>
  <x:si>
    <x:t>522 khu phố an hoà phường hoà lợi, bến cát, bình dương</x:t>
  </x:si>
  <x:si>
    <x:t>binh duong</x:t>
  </x:si>
  <x:si>
    <x:t>đơn trả</x:t>
  </x:si>
  <x:si>
    <x:t>Trang Nguyễn</x:t>
  </x:si>
  <x:si>
    <x:t>HD133454</x:t>
  </x:si>
  <x:si>
    <x:t>cc diamond brillant sơn kỳ b1.01.10 sành b1</x:t>
  </x:si>
  <x:si>
    <x:t>Hà Phan</x:t>
  </x:si>
  <x:si>
    <x:t>HD133471</x:t>
  </x:si>
  <x:si>
    <x:t>Khu Glen, số nhà V8-08 Cổng 1 Diamond Brilliant, Sơn Kì</x:t>
  </x:si>
  <x:si>
    <x:t>bii fb Mai Khanh Huyen</x:t>
  </x:si>
  <x:si>
    <x:t>HD133484</x:t>
  </x:si>
  <x:si>
    <x:t>32D/11B Nguyễn Văn Linh, Phường Bình Thuận</x:t>
  </x:si>
  <x:si>
    <x:t>Nguyễn Hàng Ý Nhi</x:t>
  </x:si>
  <x:si>
    <x:t>HD133492</x:t>
  </x:si>
  <x:si>
    <x:t>3B Tân hòa p14</x:t>
  </x:si>
  <x:si>
    <x:t>Nguyen Nhu</x:t>
  </x:si>
  <x:si>
    <x:t>HD133496</x:t>
  </x:si>
  <x:si>
    <x:t>Trường tiểu học Lê Quý Đôn 2A/58 Lê Ngung, Tân Tạo A</x:t>
  </x:si>
  <x:si>
    <x:t>Phạm Thị Phương Trinh</x:t>
  </x:si>
  <x:si>
    <x:t>HD133538</x:t>
  </x:si>
  <x:si>
    <x:t>541/64 Huỳnh Văn Bánh, P.13</x:t>
  </x:si>
  <x:si>
    <x:t>phu nhuan</x:t>
  </x:si>
  <x:si>
    <x:t>tên Xuân ( nhan gium Nhi Doan-( nhan gium Lan My Nguyen) )</x:t>
  </x:si>
  <x:si>
    <x:t>HD133570</x:t>
  </x:si>
  <x:si>
    <x:t>33/9 Quách Văn Tuấn phuong 12</x:t>
  </x:si>
  <x:si>
    <x:t>tan binh</x:t>
  </x:si>
  <x:si>
    <x:t>01-03-2026</x:t>
  </x:si>
  <x:si>
    <x:t>Đang Phượng</x:t>
  </x:si>
  <x:si>
    <x:t>HD133589</x:t>
  </x:si>
  <x:si>
    <x:t>21 đường 996 Tạ Quang Bửu Phường 6</x:t>
  </x:si>
  <x:si>
    <x:t>Dao Trần</x:t>
  </x:si>
  <x:si>
    <x:t>HD133595</x:t>
  </x:si>
  <x:si>
    <x:t>Block E2 Emerald Celadon, đường N4, Sơn Kỳ</x:t>
  </x:si>
  <x:si>
    <x:t>Cherry Thái</x:t>
  </x:si>
  <x:si>
    <x:t>HD133603</x:t>
  </x:si>
  <x:si>
    <x:t>19 tôn dật tiên pường tân phú</x:t>
  </x:si>
  <x:si>
    <x:t>Bông Xinh</x:t>
  </x:si>
  <x:si>
    <x:t>HD133614</x:t>
  </x:si>
  <x:si>
    <x:t>Số 19 đường 52, tml, Kdc Thạnh Mỹ Lợi</x:t>
  </x:si>
  <x:si>
    <x:t>Quỳnh Như</x:t>
  </x:si>
  <x:si>
    <x:t>HD133622</x:t>
  </x:si>
  <x:si>
    <x:t>66/68, Phổ Quang, Phường 2</x:t>
  </x:si>
  <x:si>
    <x:t>01-03-2025</x:t>
  </x:si>
  <x:si>
    <x:t>Kem Kem</x:t>
  </x:si>
  <x:si>
    <x:t>HD133630</x:t>
  </x:si>
  <x:si>
    <x:t>632/5 lê văn thọ p13</x:t>
  </x:si>
  <x:si>
    <x:t>go vap</x:t>
  </x:si>
  <x:si>
    <x:t>Diệu Hiền</x:t>
  </x:si>
  <x:si>
    <x:t>HD133635</x:t>
  </x:si>
  <x:si>
    <x:t>163/14/18 tô hiến thành p 13</x:t>
  </x:si>
  <x:si>
    <x:t>Mèo Chelsea</x:t>
  </x:si>
  <x:si>
    <x:t>HD133638</x:t>
  </x:si>
  <x:si>
    <x:t>76 đường số 7 tân kiểng</x:t>
  </x:si>
  <x:si>
    <x:t>Anh Thu Nguyen</x:t>
  </x:si>
  <x:si>
    <x:t>HD133643</x:t>
  </x:si>
  <x:si>
    <x:t>230 cao thắng, p12</x:t>
  </x:si>
  <x:si>
    <x:t>Ín Nile</x:t>
  </x:si>
  <x:si>
    <x:t>HD133648</x:t>
  </x:si>
  <x:si>
    <x:t>429/1 nguyễn kiệm p9</x:t>
  </x:si>
  <x:si>
    <x:t>Kim Tiên</x:t>
  </x:si>
  <x:si>
    <x:t>HD133659</x:t>
  </x:si>
  <x:si>
    <x:t>778 xô viết nghệ tĩnh p25</x:t>
  </x:si>
  <x:si>
    <x:t>Nguyễn Thuỳ Vân</x:t>
  </x:si>
  <x:si>
    <x:t>HD133668</x:t>
  </x:si>
  <x:si>
    <x:t>Phường Tăng Nhơn Phú</x:t>
  </x:si>
  <x:si>
    <x:t>Chúc</x:t>
  </x:si>
  <x:si>
    <x:t>HD133678</x:t>
  </x:si>
  <x:si>
    <x:t>321 An Dương Vương, An Lạc</x:t>
  </x:si>
  <x:si>
    <x:t>Bánh Đậu</x:t>
  </x:si>
  <x:si>
    <x:t>HD133680</x:t>
  </x:si>
  <x:si>
    <x:t>178 đường số 4 ấp 3 xã bà điểm</x:t>
  </x:si>
  <x:si>
    <x:t>hoc mon</x:t>
  </x:si>
  <x:si>
    <x:t>coca (kẹ)</x:t>
  </x:si>
  <x:si>
    <x:t>HD133691</x:t>
  </x:si>
  <x:si>
    <x:t>532/3/93 kinh dương vương, Phường an lạc</x:t>
  </x:si>
  <x:si>
    <x:t>Bé Cam</x:t>
  </x:si>
  <x:si>
    <x:t>HD133697</x:t>
  </x:si>
  <x:si>
    <x:t>Số 2 đường 31 bình trị đông B</x:t>
  </x:si>
  <x:si>
    <x:t>Lưu Thanh Thảo</x:t>
  </x:si>
  <x:si>
    <x:t>HD133702</x:t>
  </x:si>
  <x:si>
    <x:t>28 Bis Mạc Đỉnh Chi, Đa Kao</x:t>
  </x:si>
  <x:si>
    <x:t>Nhat Anh (inst naa_vox)</x:t>
  </x:si>
  <x:si>
    <x:t>HD133708</x:t>
  </x:si>
  <x:si>
    <x:t>331/70/74m phan huy ích p 14</x:t>
  </x:si>
  <x:si>
    <x:t>ELLY NGUYÊN - THẮM NGUYÊN</x:t>
  </x:si>
  <x:si>
    <x:t>HD133725</x:t>
  </x:si>
  <x:si>
    <x:t>120/3/11 Đặng Thùy Trâm, P13 ( CTY GIA HUY EXPRESS )</x:t>
  </x:si>
  <x:si>
    <x:t>Thúy Anh</x:t>
  </x:si>
  <x:si>
    <x:t>HD133729</x:t>
  </x:si>
  <x:si>
    <x:t>số nhà 56 đường 3A kdc vĩnh lộc, bình hưng hòa b</x:t>
  </x:si>
  <x:si>
    <x:t>Gạo</x:t>
  </x:si>
  <x:si>
    <x:t>HD133733</x:t>
  </x:si>
  <x:si>
    <x:t>48/9K Hồ Biểu Chánh,p11</x:t>
  </x:si>
  <x:si>
    <x:t>Khánh Thuận</x:t>
  </x:si>
  <x:si>
    <x:t>HD133734</x:t>
  </x:si>
  <x:si>
    <x:t>30 tùng thiện vương phường Phú định</x:t>
  </x:si>
  <x:si>
    <x:t>Phượng Kim</x:t>
  </x:si>
  <x:si>
    <x:t>HD133737</x:t>
  </x:si>
  <x:si>
    <x:t>668/16 ql13, hiệp bình phước</x:t>
  </x:si>
  <x:si>
    <x:t>Phương Nhi</x:t>
  </x:si>
  <x:si>
    <x:t>HD133744</x:t>
  </x:si>
  <x:si>
    <x:t>27 đường số 1 khu phố 5 tân tạo a</x:t>
  </x:si>
  <x:si>
    <x:t>MiMi Phạm</x:t>
  </x:si>
  <x:si>
    <x:t>HD133752</x:t>
  </x:si>
  <x:si>
    <x:t>Block A Rio Masteri An Phú, 179 Võ Nguyên Giáp, Thảo Điền</x:t>
  </x:si>
  <x:si>
    <x:t>Thu Thảo</x:t>
  </x:si>
  <x:si>
    <x:t>HD133761</x:t>
  </x:si>
  <x:si>
    <x:t>448/13 phạm văn chiêu p9</x:t>
  </x:si>
  <x:si>
    <x:t>Anh Nhi Phương hoa (ah ni )</x:t>
  </x:si>
  <x:si>
    <x:t>HD133765</x:t>
  </x:si>
  <x:si>
    <x:t>007 Lô B, Đường C6, C/c Tây Thạnh, P. Tây Thạnh</x:t>
  </x:si>
  <x:si>
    <x:t>Kim Ngân</x:t>
  </x:si>
  <x:si>
    <x:t>HD133814</x:t>
  </x:si>
  <x:si>
    <x:t>292/1 gò dầu</x:t>
  </x:si>
  <x:si>
    <x:t>Nguyễn Ngọc Mỹ Huyền</x:t>
  </x:si>
  <x:si>
    <x:t>HD133870</x:t>
  </x:si>
  <x:si>
    <x:t>813 tran xuan soạn tân hưng</x:t>
  </x:si>
  <x:si>
    <x:t>Bich Thuy</x:t>
  </x:si>
  <x:si>
    <x:t>HD133910</x:t>
  </x:si>
  <x:si>
    <x:t>Số 9 đường 10, kp37, ( phường Bình Chiểu )</x:t>
  </x:si>
  <x:si>
    <x:t>Phạm Đỗ Như Quỳnh</x:t>
  </x:si>
  <x:si>
    <x:t>HD133916</x:t>
  </x:si>
  <x:si>
    <x:t>47A Phổ Quang phường 2</x:t>
  </x:si>
  <x:si>
    <x:t>Cô Hoa - fb Tinou Huynh</x:t>
  </x:si>
  <x:si>
    <x:t>HD133918</x:t>
  </x:si>
  <x:si>
    <x:t>162/18/37 Nguyễn Duy Cung p12</x:t>
  </x:si>
  <x:si>
    <x:t>Xuan Ngoc An</x:t>
  </x:si>
  <x:si>
    <x:t>HD133923</x:t>
  </x:si>
  <x:si>
    <x:t>1002 Tạ Quang Bửu, chung cư Pegasuite - sảnh 2</x:t>
  </x:si>
  <x:si>
    <x:t>W24130 Miki (Chou)</x:t>
  </x:si>
  <x:si>
    <x:t>HD133930</x:t>
  </x:si>
  <x:si>
    <x:t>375 tân thới hiệp 21, Tổ 3,Kp3</x:t>
  </x:si>
  <x:si>
    <x:t>Huỳnh Như fb Bùi Quỳnh</x:t>
  </x:si>
  <x:si>
    <x:t>HD133944</x:t>
  </x:si>
  <x:si>
    <x:t>304/10/19, đường số 5, phường bình hưng hòa A</x:t>
  </x:si>
  <x:si>
    <x:t>Donna Kha</x:t>
  </x:si>
  <x:si>
    <x:t>HD133980</x:t>
  </x:si>
  <x:si>
    <x:t>45/88/2c bình tiên f7</x:t>
  </x:si>
  <x:si>
    <x:t>02-03-2026</x:t>
  </x:si>
  <x:si>
    <x:t>Chan Bảo Quyên</x:t>
  </x:si>
  <x:si>
    <x:t>HD133992</x:t>
  </x:si>
  <x:si>
    <x:t>49/77 đường số 51 p14</x:t>
  </x:si>
  <x:si>
    <x:t>Nguyễn Thị Diễm Trang</x:t>
  </x:si>
  <x:si>
    <x:t>HD133998</x:t>
  </x:si>
  <x:si>
    <x:t>Chung cư lavita charm block b 58 số 1</x:t>
  </x:si>
  <x:si>
    <x:t>Thế Diễm</x:t>
  </x:si>
  <x:si>
    <x:t>HD134006</x:t>
  </x:si>
  <x:si>
    <x:t>159 Võ Nguyên Giáp, P Thảo Điền Chung cư Masteri Thảo Điền (Tháp 3)</x:t>
  </x:si>
  <x:si>
    <x:t>Minh Hải Quỳnh Vũ</x:t>
  </x:si>
  <x:si>
    <x:t>HD134009</x:t>
  </x:si>
  <x:si>
    <x:t>17 Đường Số 13 Phường Bình Hưng Hòa</x:t>
  </x:si>
  <x:si>
    <x:t>Táo Đỏ</x:t>
  </x:si>
  <x:si>
    <x:t>HD134012</x:t>
  </x:si>
  <x:si>
    <x:t>The Sun Avenue S6 APARTMENT - 28 Mai Chí Thọ, Phường Bình Trưng</x:t>
  </x:si>
  <x:si>
    <x:t>Nguyễn Huyền Trang</x:t>
  </x:si>
  <x:si>
    <x:t>HD134017</x:t>
  </x:si>
  <x:si>
    <x:t>67 duong 14 khu lovera khang điền phong phú 4</x:t>
  </x:si>
  <x:si>
    <x:t>Nguyễn Thanh Vân</x:t>
  </x:si>
  <x:si>
    <x:t>HD134022</x:t>
  </x:si>
  <x:si>
    <x:t>29 do doc long f tân thành</x:t>
  </x:si>
  <x:si>
    <x:t>Ginny Tran</x:t>
  </x:si>
  <x:si>
    <x:t>HD134027</x:t>
  </x:si>
  <x:si>
    <x:t>153/12/1 cao thắng, p11</x:t>
  </x:si>
  <x:si>
    <x:t>Nguyễn Thuỷ</x:t>
  </x:si>
  <x:si>
    <x:t>HD134035</x:t>
  </x:si>
  <x:si>
    <x:t>702/6C Nguyễn thị định phường cát lái</x:t>
  </x:si>
  <x:si>
    <x:t>Huyền trang</x:t>
  </x:si>
  <x:si>
    <x:t>HD134036</x:t>
  </x:si>
  <x:si>
    <x:t>Shophouse C00.04, Tòa C, Masteri Centre Point, TP Thủ Đức (Gần trạm xe đạp công cộng Masteri C)</x:t>
  </x:si>
  <x:si>
    <x:t>a.quyen</x:t>
  </x:si>
  <x:si>
    <x:t>Tiara Dumawa (sumthingtopasabuy)</x:t>
  </x:si>
  <x:si>
    <x:t>HD134043</x:t>
  </x:si>
  <x:si>
    <x:t>Room #303 188BF2 Nguyen Van Huong St., P. Thao Dien</x:t>
  </x:si>
  <x:si>
    <x:t>02-03-2026.</x:t>
  </x:si>
  <x:si>
    <x:t>Huyền Nhung</x:t>
  </x:si>
  <x:si>
    <x:t>HD134054</x:t>
  </x:si>
  <x:si>
    <x:t>910 Nguyễn chí thanh, p4</x:t>
  </x:si>
  <x:si>
    <x:t>Đình Lâm</x:t>
  </x:si>
  <x:si>
    <x:t>HD134055</x:t>
  </x:si>
  <x:si>
    <x:t>78/21A Nguyễn Văn Khối, P11</x:t>
  </x:si>
  <x:si>
    <x:t>hiền - fb Jolie Ngoc Diem</x:t>
  </x:si>
  <x:si>
    <x:t>HD134062</x:t>
  </x:si>
  <x:si>
    <x:t>12A đường Bạch đằng, p2</x:t>
  </x:si>
  <x:si>
    <x:t>hàng sỉ</x:t>
  </x:si>
  <x:si>
    <x:t>Mie</x:t>
  </x:si>
  <x:si>
    <x:t>275/14B1 Đặng Nguyên Cẩn, Phường Phú Lâm</x:t>
  </x:si>
  <x:si>
    <x:t>Ly Clara Selena</x:t>
  </x:si>
  <x:si>
    <x:t>403 tân sơn p12</x:t>
  </x:si>
  <x:si>
    <x:t>SU ANH</x:t>
  </x:si>
  <x:si>
    <x:t>22/40 Yên Thế, P2</x:t>
  </x:si>
  <x:si>
    <x:t>TUYẾT NHI</x:t>
  </x:si>
  <x:si>
    <x:t>170F Tân Hòa Đông f14</x:t>
  </x:si>
  <x:si>
    <x:t>Tiền</x:t>
  </x:si>
  <x:si>
    <x:t>Số đơn</x:t>
  </x:si>
  <x:si>
    <x:t>Tiền Thu</x:t>
  </x:si>
  <x:si>
    <x:t>cod</x:t>
  </x:si>
  <x:si>
    <x:t>TỔNG ĐƠN NHẬN</x:t>
  </x:si>
  <x:si>
    <x:t>Trừ Tiền Ship</x:t>
  </x:si>
  <x:si>
    <x:t>tiền ship</x:t>
  </x:si>
  <x:si>
    <x:t>Đơn trả &amp; c.khoản</x:t>
  </x:si>
  <x:si>
    <x:t>Tiền Hàng Hcm</x:t>
  </x:si>
  <x:si>
    <x:t>đơn đơn</x:t>
  </x:si>
  <x:si>
    <x:t>đơn cũ ck</x:t>
  </x:si>
  <x:si>
    <x:t>nợ cũ</x:t>
  </x:si>
  <x:si>
    <x:t>THANH TOÁN</x:t>
  </x:si>
  <x:si>
    <x:t>CK Đủ 100%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</x:si>
</x:sst>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0" formatCode=""/>
    <x:numFmt numFmtId="164" formatCode="#,##0"/>
  </x:numFmts>
  <x:fonts count="4" x14ac:knownFonts="1">
    <x:font>
      <x:sz val="11"/>
      <x:color theme="1"/>
      <x:name val="Aptos Narrow"/>
      <x:family val="2"/>
      <x:scheme val="minor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Aptos Narrow"/>
      <x:family val="2"/>
    </x:font>
    <x:font>
      <x:vertAlign val="baseline"/>
      <x:sz val="11"/>
      <x:color rgb="FFFF0000"/>
      <x:name val="Aptos Narrow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D3D3D3"/>
      </x:patternFill>
    </x:fill>
    <x:fill>
      <x:patternFill patternType="solid">
        <x:fgColor rgb="FFFFFFE0"/>
      </x:patternFill>
    </x:fill>
    <x:fill>
      <x:patternFill patternType="solid">
        <x:fgColor rgb="FFB0C4DE"/>
      </x:patternFill>
    </x:fill>
    <x:fill>
      <x:patternFill patternType="solid">
        <x:fgColor rgb="FFADD8E6"/>
      </x:patternFill>
    </x:fill>
    <x:fill>
      <x:patternFill patternType="solid">
        <x:fgColor rgb="FF90EE90"/>
      </x:patternFill>
    </x:fill>
  </x:fills>
  <x:borders count="10">
    <x:border>
      <x:left/>
      <x:right/>
      <x:top/>
      <x:bottom/>
      <x:diagonal/>
    </x:border>
    <x:border diagonalUp="0" diagonalDown="0">
      <x:left style="medium">
        <x:color rgb="FF4682B4"/>
      </x:left>
      <x:right style="none">
        <x:color rgb="FF000000"/>
      </x:right>
      <x:top style="medium">
        <x:color rgb="FF4682B4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medium">
        <x:color rgb="FF4682B4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4682B4"/>
      </x:right>
      <x:top style="medium">
        <x:color rgb="FF4682B4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4682B4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4682B4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4682B4"/>
      </x:left>
      <x:right style="none">
        <x:color rgb="FF000000"/>
      </x:right>
      <x:top style="none">
        <x:color rgb="FF000000"/>
      </x:top>
      <x:bottom style="thin">
        <x:color rgb="FF4682B4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4682B4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4682B4"/>
      </x:right>
      <x:top style="none">
        <x:color rgb="FF000000"/>
      </x:top>
      <x:bottom style="thin">
        <x:color rgb="FF4682B4"/>
      </x:bottom>
      <x:diagonal style="none">
        <x:color rgb="FF000000"/>
      </x:diagonal>
    </x:border>
  </x:borders>
  <x:cellStyleXfs count="28">
    <x:xf numFmtId="0" fontId="0" fillId="0" borderId="0"/>
    <x:xf numFmtId="0" fontId="2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164" fontId="2" fillId="3" borderId="0" applyNumberFormat="1" applyFill="0" applyBorder="0" applyAlignment="1" applyProtection="1">
      <x:protection locked="1" hidden="0"/>
    </x:xf>
    <x:xf numFmtId="0" fontId="2" fillId="4" borderId="1" applyNumberFormat="1" applyFill="0" applyBorder="1" applyAlignment="1" applyProtection="1">
      <x:protection locked="1" hidden="0"/>
    </x:xf>
    <x:xf numFmtId="0" fontId="2" fillId="4" borderId="2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2" fillId="4" borderId="3" applyNumberFormat="1" applyFill="0" applyBorder="1" applyAlignment="1" applyProtection="1">
      <x:protection locked="1" hidden="0"/>
    </x:xf>
    <x:xf numFmtId="0" fontId="2" fillId="4" borderId="0" applyNumberFormat="1" applyFill="0" applyBorder="0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64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3" fillId="0" borderId="5" applyNumberFormat="1" applyFill="1" applyBorder="1" applyAlignment="1" applyProtection="1">
      <x:protection locked="1" hidden="0"/>
    </x:xf>
    <x:xf numFmtId="0" fontId="2" fillId="0" borderId="5" applyNumberFormat="1" applyFill="1" applyBorder="1" applyAlignment="1" applyProtection="1">
      <x:protection locked="1" hidden="0"/>
    </x:xf>
    <x:xf numFmtId="164" fontId="2" fillId="0" borderId="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64" fontId="2" fillId="5" borderId="0" applyNumberFormat="1" applyFill="0" applyBorder="0" applyAlignment="1" applyProtection="1">
      <x:protection locked="1" hidden="0"/>
    </x:xf>
    <x:xf numFmtId="0" fontId="2" fillId="5" borderId="0" applyNumberFormat="1" applyFill="0" applyBorder="0" applyAlignment="1" applyProtection="1">
      <x:protection locked="1" hidden="0"/>
    </x:xf>
    <x:xf numFmtId="0" fontId="2" fillId="6" borderId="7" applyNumberFormat="1" applyFill="0" applyBorder="1" applyAlignment="1" applyProtection="1">
      <x:protection locked="1" hidden="0"/>
    </x:xf>
    <x:xf numFmtId="0" fontId="2" fillId="6" borderId="8" applyNumberFormat="1" applyFill="0" applyBorder="1" applyAlignment="1" applyProtection="1">
      <x:protection locked="1" hidden="0"/>
    </x:xf>
    <x:xf numFmtId="164" fontId="2" fillId="6" borderId="8" applyNumberFormat="1" applyFill="0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2" fillId="6" borderId="9" applyNumberFormat="1" applyFill="0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</x:cellStyleXfs>
  <x:cellXfs count="28">
    <x:xf numFmtId="0" fontId="0" fillId="0" borderId="0" xfId="0"/>
    <x:xf numFmtId="0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6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6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6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6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sharedStrings" Target="/xl/sharedStrings.xml" Id="rId5" /><Relationship Type="http://schemas.openxmlformats.org/officeDocument/2006/relationships/worksheet" Target="/xl/worksheets/sheet2.xml" Id="rId7" /><Relationship Type="http://schemas.openxmlformats.org/officeDocument/2006/relationships/calcChain" Target="/xl/calcChain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P78"/>
  <x:sheetViews>
    <x:sheetView workbookViewId="0"/>
  </x:sheetViews>
  <x:sheetFormatPr defaultRowHeight="15"/>
  <x:cols>
    <x:col min="1" max="1" width="12.335625" style="0" customWidth="1"/>
    <x:col min="2" max="2" width="19.085625" style="0" customWidth="1"/>
    <x:col min="3" max="3" width="54.335625" style="0" customWidth="1"/>
    <x:col min="4" max="4" width="10.210625" style="0" customWidth="1"/>
    <x:col min="5" max="5" width="87.585625" style="0" customWidth="1"/>
    <x:col min="6" max="6" width="10.335625" style="0" customWidth="1"/>
    <x:col min="7" max="7" width="10.085625" style="0" customWidth="1"/>
    <x:col min="8" max="8" width="10.585625" style="0" customWidth="1"/>
    <x:col min="9" max="9" width="11.585625" style="0" customWidth="1"/>
    <x:col min="10" max="10" width="9.835625" style="0" customWidth="1"/>
    <x:col min="11" max="11" width="11.460625" style="0" customWidth="1"/>
    <x:col min="12" max="12" width="11.210625" style="0" customWidth="1"/>
    <x:col min="13" max="13" width="13.460625" style="0" customWidth="1"/>
    <x:col min="14" max="14" width="10.335625" style="0" customWidth="1"/>
    <x:col min="15" max="15" width="11.210625" style="0" customWidth="1"/>
    <x:col min="16" max="16" width="4.835625" style="0" customWidth="1"/>
  </x:cols>
  <x:sheetData>
    <x:row r="1" spans="1:16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</x:row>
    <x:row r="3" spans="1:16">
      <x:c r="B3" s="0" t="s">
        <x:v>16</x:v>
      </x:c>
      <x:c r="C3" s="0" t="s">
        <x:v>17</x:v>
      </x:c>
      <x:c r="D3" s="0" t="s">
        <x:v>18</x:v>
      </x:c>
      <x:c r="E3" s="0" t="s">
        <x:v>19</x:v>
      </x:c>
      <x:c r="F3" s="2">
        <x:v>6</x:v>
      </x:c>
      <x:c r="G3" s="2">
        <x:v>810</x:v>
      </x:c>
      <x:c r="H3" s="2">
        <x:v>25</x:v>
      </x:c>
      <x:c r="I3" s="2">
        <x:f>G3-H3</x:f>
      </x:c>
      <x:c r="K3" s="0" t="s">
        <x:v>20</x:v>
      </x:c>
      <x:c r="L3" s="0" t="s">
        <x:v>21</x:v>
      </x:c>
    </x:row>
    <x:row r="4" spans="1:16">
      <x:c r="B4" s="0" t="s">
        <x:v>16</x:v>
      </x:c>
      <x:c r="C4" s="0" t="s">
        <x:v>22</x:v>
      </x:c>
      <x:c r="D4" s="0" t="s">
        <x:v>23</x:v>
      </x:c>
      <x:c r="E4" s="0" t="s">
        <x:v>24</x:v>
      </x:c>
      <x:c r="F4" s="2">
        <x:v>10</x:v>
      </x:c>
      <x:c r="G4" s="2">
        <x:v>990</x:v>
      </x:c>
      <x:c r="H4" s="2">
        <x:v>25</x:v>
      </x:c>
      <x:c r="I4" s="2">
        <x:f>G4-H4</x:f>
      </x:c>
      <x:c r="J4" s="0" t="s">
        <x:v>25</x:v>
      </x:c>
      <x:c r="K4" s="0" t="s">
        <x:v>20</x:v>
      </x:c>
      <x:c r="L4" s="0" t="s">
        <x:v>21</x:v>
      </x:c>
      <x:c r="M4" s="0" t="s">
        <x:v>26</x:v>
      </x:c>
    </x:row>
    <x:row r="5" spans="1:16">
      <x:c r="B5" s="0" t="s">
        <x:v>16</x:v>
      </x:c>
      <x:c r="C5" s="0" t="s">
        <x:v>27</x:v>
      </x:c>
      <x:c r="D5" s="0" t="s">
        <x:v>28</x:v>
      </x:c>
      <x:c r="E5" s="0" t="s">
        <x:v>29</x:v>
      </x:c>
      <x:c r="F5" s="2">
        <x:v>1</x:v>
      </x:c>
      <x:c r="G5" s="2">
        <x:v>740</x:v>
      </x:c>
      <x:c r="H5" s="2">
        <x:v>25</x:v>
      </x:c>
      <x:c r="I5" s="2">
        <x:f>G5-H5</x:f>
      </x:c>
      <x:c r="J5" s="0" t="s">
        <x:v>25</x:v>
      </x:c>
      <x:c r="K5" s="0" t="s">
        <x:v>20</x:v>
      </x:c>
      <x:c r="L5" s="0" t="s">
        <x:v>21</x:v>
      </x:c>
    </x:row>
    <x:row r="6" spans="1:16">
      <x:c r="B6" s="0" t="s">
        <x:v>16</x:v>
      </x:c>
      <x:c r="C6" s="0" t="s">
        <x:v>30</x:v>
      </x:c>
      <x:c r="D6" s="0" t="s">
        <x:v>31</x:v>
      </x:c>
      <x:c r="E6" s="0" t="s">
        <x:v>32</x:v>
      </x:c>
      <x:c r="F6" s="0" t="s">
        <x:v>33</x:v>
      </x:c>
      <x:c r="G6" s="2">
        <x:v>740</x:v>
      </x:c>
      <x:c r="H6" s="2">
        <x:v>30</x:v>
      </x:c>
      <x:c r="I6" s="2">
        <x:f>G6-H6</x:f>
      </x:c>
      <x:c r="J6" s="0" t="s">
        <x:v>20</x:v>
      </x:c>
      <x:c r="K6" s="0" t="s">
        <x:v>20</x:v>
      </x:c>
      <x:c r="L6" s="0" t="s">
        <x:v>21</x:v>
      </x:c>
    </x:row>
    <x:row r="7" spans="1:16">
      <x:c r="B7" s="0" t="s">
        <x:v>16</x:v>
      </x:c>
      <x:c r="C7" s="0" t="s">
        <x:v>34</x:v>
      </x:c>
      <x:c r="D7" s="0" t="s">
        <x:v>35</x:v>
      </x:c>
      <x:c r="E7" s="0" t="s">
        <x:v>36</x:v>
      </x:c>
      <x:c r="F7" s="0" t="s">
        <x:v>37</x:v>
      </x:c>
      <x:c r="G7" s="2">
        <x:v>670</x:v>
      </x:c>
      <x:c r="H7" s="2">
        <x:v>35</x:v>
      </x:c>
      <x:c r="I7" s="2">
        <x:f>G7-H7</x:f>
      </x:c>
      <x:c r="K7" s="0" t="s">
        <x:v>20</x:v>
      </x:c>
      <x:c r="L7" s="0" t="s">
        <x:v>21</x:v>
      </x:c>
    </x:row>
    <x:row r="8" spans="1:16">
      <x:c r="B8" s="0" t="s">
        <x:v>16</x:v>
      </x:c>
      <x:c r="C8" s="0" t="s">
        <x:v>38</x:v>
      </x:c>
      <x:c r="D8" s="0" t="s">
        <x:v>39</x:v>
      </x:c>
      <x:c r="E8" s="0" t="s">
        <x:v>40</x:v>
      </x:c>
      <x:c r="F8" s="0" t="s">
        <x:v>33</x:v>
      </x:c>
      <x:c r="G8" s="2">
        <x:v>342</x:v>
      </x:c>
      <x:c r="H8" s="2">
        <x:v>30</x:v>
      </x:c>
      <x:c r="I8" s="2">
        <x:f>G8-H8</x:f>
      </x:c>
      <x:c r="J8" s="0" t="s">
        <x:v>20</x:v>
      </x:c>
      <x:c r="K8" s="0" t="s">
        <x:v>20</x:v>
      </x:c>
      <x:c r="L8" s="0" t="s">
        <x:v>21</x:v>
      </x:c>
    </x:row>
    <x:row r="9" spans="1:16">
      <x:c r="B9" s="0" t="s">
        <x:v>16</x:v>
      </x:c>
      <x:c r="C9" s="0" t="s">
        <x:v>41</x:v>
      </x:c>
      <x:c r="D9" s="0" t="s">
        <x:v>42</x:v>
      </x:c>
      <x:c r="E9" s="0" t="s">
        <x:v>43</x:v>
      </x:c>
      <x:c r="F9" s="2">
        <x:v>1</x:v>
      </x:c>
      <x:c r="G9" s="2">
        <x:v>756</x:v>
      </x:c>
      <x:c r="H9" s="2">
        <x:v>25</x:v>
      </x:c>
      <x:c r="I9" s="2">
        <x:f>G9-H9</x:f>
      </x:c>
      <x:c r="K9" s="0" t="s">
        <x:v>20</x:v>
      </x:c>
      <x:c r="L9" s="0" t="s">
        <x:v>21</x:v>
      </x:c>
    </x:row>
    <x:row r="10" spans="1:16">
      <x:c r="B10" s="0" t="s">
        <x:v>16</x:v>
      </x:c>
      <x:c r="C10" s="0" t="s">
        <x:v>44</x:v>
      </x:c>
      <x:c r="D10" s="0" t="s">
        <x:v>45</x:v>
      </x:c>
      <x:c r="E10" s="0" t="s">
        <x:v>46</x:v>
      </x:c>
      <x:c r="F10" s="0" t="s">
        <x:v>47</x:v>
      </x:c>
      <x:c r="G10" s="2">
        <x:v>670</x:v>
      </x:c>
      <x:c r="H10" s="2">
        <x:v>30</x:v>
      </x:c>
      <x:c r="I10" s="2">
        <x:f>G10-H10</x:f>
      </x:c>
      <x:c r="K10" s="0" t="s">
        <x:v>20</x:v>
      </x:c>
      <x:c r="L10" s="0" t="s">
        <x:v>21</x:v>
      </x:c>
    </x:row>
    <x:row r="11" spans="1:16">
      <x:c r="B11" s="0" t="s">
        <x:v>16</x:v>
      </x:c>
      <x:c r="C11" s="0" t="s">
        <x:v>48</x:v>
      </x:c>
      <x:c r="D11" s="0" t="s">
        <x:v>49</x:v>
      </x:c>
      <x:c r="E11" s="0" t="s">
        <x:v>50</x:v>
      </x:c>
      <x:c r="F11" s="0" t="s">
        <x:v>51</x:v>
      </x:c>
      <x:c r="G11" s="2">
        <x:v>1630</x:v>
      </x:c>
      <x:c r="H11" s="2">
        <x:v>20</x:v>
      </x:c>
      <x:c r="I11" s="2">
        <x:f>G11-H11</x:f>
      </x:c>
      <x:c r="J11" s="0" t="s">
        <x:v>20</x:v>
      </x:c>
      <x:c r="K11" s="0" t="s">
        <x:v>20</x:v>
      </x:c>
      <x:c r="L11" s="0" t="s">
        <x:v>21</x:v>
      </x:c>
    </x:row>
    <x:row r="12" spans="1:16">
      <x:c r="B12" s="0" t="s">
        <x:v>16</x:v>
      </x:c>
      <x:c r="C12" s="0" t="s">
        <x:v>52</x:v>
      </x:c>
      <x:c r="D12" s="0" t="s">
        <x:v>53</x:v>
      </x:c>
      <x:c r="E12" s="0" t="s">
        <x:v>54</x:v>
      </x:c>
      <x:c r="F12" s="0" t="s">
        <x:v>47</x:v>
      </x:c>
      <x:c r="G12" s="2">
        <x:v>380</x:v>
      </x:c>
      <x:c r="H12" s="2">
        <x:v>30</x:v>
      </x:c>
      <x:c r="I12" s="2">
        <x:f>G12-H12</x:f>
      </x:c>
      <x:c r="K12" s="0" t="s">
        <x:v>20</x:v>
      </x:c>
      <x:c r="L12" s="0" t="s">
        <x:v>21</x:v>
      </x:c>
    </x:row>
    <x:row r="13" spans="1:16">
      <x:c r="B13" s="0" t="s">
        <x:v>16</x:v>
      </x:c>
      <x:c r="C13" s="0" t="s">
        <x:v>55</x:v>
      </x:c>
      <x:c r="D13" s="0" t="s">
        <x:v>56</x:v>
      </x:c>
      <x:c r="E13" s="0" t="s">
        <x:v>57</x:v>
      </x:c>
      <x:c r="F13" s="0" t="s">
        <x:v>47</x:v>
      </x:c>
      <x:c r="G13" s="2">
        <x:v>380</x:v>
      </x:c>
      <x:c r="H13" s="2">
        <x:v>30</x:v>
      </x:c>
      <x:c r="I13" s="2">
        <x:f>G13-H13</x:f>
      </x:c>
      <x:c r="K13" s="0" t="s">
        <x:v>20</x:v>
      </x:c>
      <x:c r="L13" s="0" t="s">
        <x:v>21</x:v>
      </x:c>
    </x:row>
    <x:row r="14" spans="1:16">
      <x:c r="B14" s="0" t="s">
        <x:v>16</x:v>
      </x:c>
      <x:c r="C14" s="0" t="s">
        <x:v>58</x:v>
      </x:c>
      <x:c r="D14" s="0" t="s">
        <x:v>59</x:v>
      </x:c>
      <x:c r="E14" s="0" t="s">
        <x:v>60</x:v>
      </x:c>
      <x:c r="F14" s="0" t="s">
        <x:v>61</x:v>
      </x:c>
      <x:c r="G14" s="2">
        <x:v>840</x:v>
      </x:c>
      <x:c r="H14" s="2">
        <x:v>25</x:v>
      </x:c>
      <x:c r="I14" s="2">
        <x:f>G14-H14</x:f>
      </x:c>
      <x:c r="K14" s="0" t="s">
        <x:v>20</x:v>
      </x:c>
      <x:c r="L14" s="0" t="s">
        <x:v>21</x:v>
      </x:c>
    </x:row>
    <x:row r="15" spans="1:16">
      <x:c r="B15" s="0" t="s">
        <x:v>16</x:v>
      </x:c>
      <x:c r="C15" s="0" t="s">
        <x:v>62</x:v>
      </x:c>
      <x:c r="D15" s="0" t="s">
        <x:v>63</x:v>
      </x:c>
      <x:c r="E15" s="0" t="s">
        <x:v>64</x:v>
      </x:c>
      <x:c r="F15" s="2">
        <x:v>4</x:v>
      </x:c>
      <x:c r="G15" s="2">
        <x:v>1350</x:v>
      </x:c>
      <x:c r="H15" s="2">
        <x:v>25</x:v>
      </x:c>
      <x:c r="I15" s="2">
        <x:f>G15-H15</x:f>
      </x:c>
      <x:c r="J15" s="0" t="s">
        <x:v>25</x:v>
      </x:c>
      <x:c r="K15" s="0" t="s">
        <x:v>20</x:v>
      </x:c>
      <x:c r="L15" s="0" t="s">
        <x:v>21</x:v>
      </x:c>
    </x:row>
    <x:row r="16" spans="1:16">
      <x:c r="B16" s="0" t="s">
        <x:v>16</x:v>
      </x:c>
      <x:c r="C16" s="0" t="s">
        <x:v>65</x:v>
      </x:c>
      <x:c r="D16" s="0" t="s">
        <x:v>66</x:v>
      </x:c>
      <x:c r="E16" s="0" t="s">
        <x:v>67</x:v>
      </x:c>
      <x:c r="F16" s="0" t="s">
        <x:v>47</x:v>
      </x:c>
      <x:c r="G16" s="2">
        <x:v>0</x:v>
      </x:c>
      <x:c r="H16" s="2">
        <x:v>30</x:v>
      </x:c>
      <x:c r="I16" s="2">
        <x:f>G16-H16</x:f>
      </x:c>
      <x:c r="K16" s="0" t="s">
        <x:v>20</x:v>
      </x:c>
      <x:c r="L16" s="0" t="s">
        <x:v>21</x:v>
      </x:c>
    </x:row>
    <x:row r="17" spans="1:16">
      <x:c r="B17" s="0" t="s">
        <x:v>16</x:v>
      </x:c>
      <x:c r="C17" s="0" t="s">
        <x:v>68</x:v>
      </x:c>
      <x:c r="D17" s="0" t="s">
        <x:v>69</x:v>
      </x:c>
      <x:c r="E17" s="0" t="s">
        <x:v>70</x:v>
      </x:c>
      <x:c r="F17" s="0" t="s">
        <x:v>71</x:v>
      </x:c>
      <x:c r="G17" s="2">
        <x:v>0</x:v>
      </x:c>
      <x:c r="H17" s="2">
        <x:v>35</x:v>
      </x:c>
      <x:c r="I17" s="2">
        <x:f>G17-H17</x:f>
      </x:c>
      <x:c r="K17" s="0" t="s">
        <x:v>20</x:v>
      </x:c>
      <x:c r="L17" s="0" t="s">
        <x:v>21</x:v>
      </x:c>
      <x:c r="M17" s="0" t="s">
        <x:v>72</x:v>
      </x:c>
    </x:row>
    <x:row r="18" spans="1:16">
      <x:c r="B18" s="0" t="s">
        <x:v>16</x:v>
      </x:c>
      <x:c r="C18" s="0" t="s">
        <x:v>73</x:v>
      </x:c>
      <x:c r="D18" s="0" t="s">
        <x:v>74</x:v>
      </x:c>
      <x:c r="E18" s="0" t="s">
        <x:v>75</x:v>
      </x:c>
      <x:c r="F18" s="0" t="s">
        <x:v>61</x:v>
      </x:c>
      <x:c r="G18" s="2">
        <x:v>670</x:v>
      </x:c>
      <x:c r="H18" s="2">
        <x:v>25</x:v>
      </x:c>
      <x:c r="I18" s="2">
        <x:f>G18-H18</x:f>
      </x:c>
      <x:c r="K18" s="0" t="s">
        <x:v>20</x:v>
      </x:c>
      <x:c r="L18" s="0" t="s">
        <x:v>21</x:v>
      </x:c>
    </x:row>
    <x:row r="19" spans="1:16">
      <x:c r="B19" s="0" t="s">
        <x:v>16</x:v>
      </x:c>
      <x:c r="C19" s="0" t="s">
        <x:v>76</x:v>
      </x:c>
      <x:c r="D19" s="0" t="s">
        <x:v>77</x:v>
      </x:c>
      <x:c r="E19" s="0" t="s">
        <x:v>78</x:v>
      </x:c>
      <x:c r="F19" s="0" t="s">
        <x:v>61</x:v>
      </x:c>
      <x:c r="G19" s="2">
        <x:v>940</x:v>
      </x:c>
      <x:c r="H19" s="2">
        <x:v>25</x:v>
      </x:c>
      <x:c r="I19" s="2">
        <x:f>G19-H19</x:f>
      </x:c>
      <x:c r="K19" s="0" t="s">
        <x:v>20</x:v>
      </x:c>
      <x:c r="L19" s="0" t="s">
        <x:v>21</x:v>
      </x:c>
    </x:row>
    <x:row r="20" spans="1:16">
      <x:c r="B20" s="0" t="s">
        <x:v>16</x:v>
      </x:c>
      <x:c r="C20" s="0" t="s">
        <x:v>79</x:v>
      </x:c>
      <x:c r="D20" s="0" t="s">
        <x:v>80</x:v>
      </x:c>
      <x:c r="E20" s="0" t="s">
        <x:v>81</x:v>
      </x:c>
      <x:c r="F20" s="2">
        <x:v>7</x:v>
      </x:c>
      <x:c r="G20" s="2">
        <x:v>0</x:v>
      </x:c>
      <x:c r="H20" s="2">
        <x:v>30</x:v>
      </x:c>
      <x:c r="I20" s="2">
        <x:f>G20-H20</x:f>
      </x:c>
      <x:c r="K20" s="0" t="s">
        <x:v>20</x:v>
      </x:c>
      <x:c r="L20" s="0" t="s">
        <x:v>21</x:v>
      </x:c>
    </x:row>
    <x:row r="21" spans="1:16">
      <x:c r="B21" s="0" t="s">
        <x:v>16</x:v>
      </x:c>
      <x:c r="C21" s="0" t="s">
        <x:v>82</x:v>
      </x:c>
      <x:c r="D21" s="0" t="s">
        <x:v>83</x:v>
      </x:c>
      <x:c r="E21" s="0" t="s">
        <x:v>84</x:v>
      </x:c>
      <x:c r="F21" s="2">
        <x:v>6</x:v>
      </x:c>
      <x:c r="G21" s="2">
        <x:v>1680</x:v>
      </x:c>
      <x:c r="H21" s="2">
        <x:v>25</x:v>
      </x:c>
      <x:c r="I21" s="2">
        <x:f>G21-H21</x:f>
      </x:c>
      <x:c r="K21" s="0" t="s">
        <x:v>20</x:v>
      </x:c>
      <x:c r="L21" s="0" t="s">
        <x:v>21</x:v>
      </x:c>
    </x:row>
    <x:row r="22" spans="1:16">
      <x:c r="B22" s="0" t="s">
        <x:v>16</x:v>
      </x:c>
      <x:c r="C22" s="0" t="s">
        <x:v>85</x:v>
      </x:c>
      <x:c r="D22" s="0" t="s">
        <x:v>86</x:v>
      </x:c>
      <x:c r="E22" s="0" t="s">
        <x:v>87</x:v>
      </x:c>
      <x:c r="F22" s="0" t="s">
        <x:v>47</x:v>
      </x:c>
      <x:c r="G22" s="2">
        <x:v>0</x:v>
      </x:c>
      <x:c r="H22" s="2">
        <x:v>30</x:v>
      </x:c>
      <x:c r="I22" s="2">
        <x:f>G22-H22</x:f>
      </x:c>
      <x:c r="K22" s="0" t="s">
        <x:v>20</x:v>
      </x:c>
      <x:c r="L22" s="0" t="s">
        <x:v>21</x:v>
      </x:c>
    </x:row>
    <x:row r="23" spans="1:16">
      <x:c r="B23" s="0" t="s">
        <x:v>16</x:v>
      </x:c>
      <x:c r="C23" s="0" t="s">
        <x:v>88</x:v>
      </x:c>
      <x:c r="D23" s="0" t="s">
        <x:v>89</x:v>
      </x:c>
      <x:c r="E23" s="0" t="s">
        <x:v>90</x:v>
      </x:c>
      <x:c r="F23" s="0" t="s">
        <x:v>91</x:v>
      </x:c>
      <x:c r="G23" s="2">
        <x:v>670</x:v>
      </x:c>
      <x:c r="H23" s="2">
        <x:v>20</x:v>
      </x:c>
      <x:c r="I23" s="2">
        <x:f>G23-H23</x:f>
      </x:c>
      <x:c r="J23" s="0" t="s">
        <x:v>25</x:v>
      </x:c>
      <x:c r="K23" s="0" t="s">
        <x:v>20</x:v>
      </x:c>
      <x:c r="L23" s="0" t="s">
        <x:v>21</x:v>
      </x:c>
    </x:row>
    <x:row r="24" spans="1:16">
      <x:c r="B24" s="0" t="s">
        <x:v>16</x:v>
      </x:c>
      <x:c r="C24" s="0" t="s">
        <x:v>92</x:v>
      </x:c>
      <x:c r="D24" s="0" t="s">
        <x:v>93</x:v>
      </x:c>
      <x:c r="E24" s="0" t="s">
        <x:v>94</x:v>
      </x:c>
      <x:c r="F24" s="0" t="s">
        <x:v>95</x:v>
      </x:c>
      <x:c r="G24" s="2">
        <x:v>0</x:v>
      </x:c>
      <x:c r="H24" s="2">
        <x:v>25</x:v>
      </x:c>
      <x:c r="I24" s="2">
        <x:f>G24-H24</x:f>
      </x:c>
      <x:c r="J24" s="0" t="s">
        <x:v>20</x:v>
      </x:c>
      <x:c r="K24" s="0" t="s">
        <x:v>20</x:v>
      </x:c>
      <x:c r="L24" s="0" t="s">
        <x:v>96</x:v>
      </x:c>
    </x:row>
    <x:row r="25" spans="1:16">
      <x:c r="B25" s="0" t="s">
        <x:v>16</x:v>
      </x:c>
      <x:c r="C25" s="0" t="s">
        <x:v>97</x:v>
      </x:c>
      <x:c r="D25" s="0" t="s">
        <x:v>98</x:v>
      </x:c>
      <x:c r="E25" s="0" t="s">
        <x:v>99</x:v>
      </x:c>
      <x:c r="F25" s="2">
        <x:v>8</x:v>
      </x:c>
      <x:c r="G25" s="2">
        <x:v>0</x:v>
      </x:c>
      <x:c r="H25" s="2">
        <x:v>25</x:v>
      </x:c>
      <x:c r="I25" s="2">
        <x:f>G25-H25</x:f>
      </x:c>
      <x:c r="K25" s="0" t="s">
        <x:v>20</x:v>
      </x:c>
      <x:c r="L25" s="0" t="s">
        <x:v>96</x:v>
      </x:c>
    </x:row>
    <x:row r="26" spans="1:16">
      <x:c r="B26" s="0" t="s">
        <x:v>16</x:v>
      </x:c>
      <x:c r="C26" s="0" t="s">
        <x:v>100</x:v>
      </x:c>
      <x:c r="D26" s="0" t="s">
        <x:v>101</x:v>
      </x:c>
      <x:c r="E26" s="0" t="s">
        <x:v>102</x:v>
      </x:c>
      <x:c r="F26" s="0" t="s">
        <x:v>61</x:v>
      </x:c>
      <x:c r="G26" s="2">
        <x:v>740</x:v>
      </x:c>
      <x:c r="H26" s="2">
        <x:v>25</x:v>
      </x:c>
      <x:c r="I26" s="2">
        <x:f>G26-H26</x:f>
      </x:c>
      <x:c r="K26" s="0" t="s">
        <x:v>20</x:v>
      </x:c>
      <x:c r="L26" s="0" t="s">
        <x:v>96</x:v>
      </x:c>
    </x:row>
    <x:row r="27" spans="1:16">
      <x:c r="B27" s="0" t="s">
        <x:v>16</x:v>
      </x:c>
      <x:c r="C27" s="0" t="s">
        <x:v>103</x:v>
      </x:c>
      <x:c r="D27" s="0" t="s">
        <x:v>104</x:v>
      </x:c>
      <x:c r="E27" s="0" t="s">
        <x:v>105</x:v>
      </x:c>
      <x:c r="F27" s="2">
        <x:v>7</x:v>
      </x:c>
      <x:c r="G27" s="2">
        <x:v>790</x:v>
      </x:c>
      <x:c r="H27" s="2">
        <x:v>30</x:v>
      </x:c>
      <x:c r="I27" s="2">
        <x:f>G27-H27</x:f>
      </x:c>
      <x:c r="K27" s="0" t="s">
        <x:v>20</x:v>
      </x:c>
      <x:c r="L27" s="0" t="s">
        <x:v>96</x:v>
      </x:c>
    </x:row>
    <x:row r="28" spans="1:16">
      <x:c r="B28" s="0" t="s">
        <x:v>16</x:v>
      </x:c>
      <x:c r="C28" s="0" t="s">
        <x:v>106</x:v>
      </x:c>
      <x:c r="D28" s="0" t="s">
        <x:v>107</x:v>
      </x:c>
      <x:c r="E28" s="0" t="s">
        <x:v>108</x:v>
      </x:c>
      <x:c r="F28" s="2">
        <x:v>2</x:v>
      </x:c>
      <x:c r="G28" s="2">
        <x:v>0</x:v>
      </x:c>
      <x:c r="H28" s="2">
        <x:v>30</x:v>
      </x:c>
      <x:c r="I28" s="2">
        <x:f>G28-H28</x:f>
      </x:c>
      <x:c r="J28" s="0" t="s">
        <x:v>20</x:v>
      </x:c>
      <x:c r="K28" s="0" t="s">
        <x:v>20</x:v>
      </x:c>
      <x:c r="L28" s="0" t="s">
        <x:v>96</x:v>
      </x:c>
    </x:row>
    <x:row r="29" spans="1:16">
      <x:c r="B29" s="0" t="s">
        <x:v>16</x:v>
      </x:c>
      <x:c r="C29" s="0" t="s">
        <x:v>109</x:v>
      </x:c>
      <x:c r="D29" s="0" t="s">
        <x:v>110</x:v>
      </x:c>
      <x:c r="E29" s="0" t="s">
        <x:v>111</x:v>
      </x:c>
      <x:c r="F29" s="0" t="s">
        <x:v>95</x:v>
      </x:c>
      <x:c r="G29" s="2">
        <x:v>1630</x:v>
      </x:c>
      <x:c r="H29" s="2">
        <x:v>25</x:v>
      </x:c>
      <x:c r="I29" s="2">
        <x:f>G29-H29</x:f>
      </x:c>
      <x:c r="J29" s="0" t="s">
        <x:v>25</x:v>
      </x:c>
      <x:c r="K29" s="0" t="s">
        <x:v>20</x:v>
      </x:c>
      <x:c r="L29" s="0" t="s">
        <x:v>112</x:v>
      </x:c>
    </x:row>
    <x:row r="30" spans="1:16">
      <x:c r="B30" s="0" t="s">
        <x:v>16</x:v>
      </x:c>
      <x:c r="C30" s="0" t="s">
        <x:v>113</x:v>
      </x:c>
      <x:c r="D30" s="0" t="s">
        <x:v>114</x:v>
      </x:c>
      <x:c r="E30" s="0" t="s">
        <x:v>115</x:v>
      </x:c>
      <x:c r="F30" s="0" t="s">
        <x:v>116</x:v>
      </x:c>
      <x:c r="G30" s="2">
        <x:v>690</x:v>
      </x:c>
      <x:c r="H30" s="2">
        <x:v>25</x:v>
      </x:c>
      <x:c r="I30" s="2">
        <x:f>G30-H30</x:f>
      </x:c>
      <x:c r="J30" s="0" t="s">
        <x:v>20</x:v>
      </x:c>
      <x:c r="K30" s="0" t="s">
        <x:v>20</x:v>
      </x:c>
      <x:c r="L30" s="0" t="s">
        <x:v>96</x:v>
      </x:c>
    </x:row>
    <x:row r="31" spans="1:16">
      <x:c r="B31" s="0" t="s">
        <x:v>16</x:v>
      </x:c>
      <x:c r="C31" s="0" t="s">
        <x:v>117</x:v>
      </x:c>
      <x:c r="D31" s="0" t="s">
        <x:v>118</x:v>
      </x:c>
      <x:c r="E31" s="0" t="s">
        <x:v>119</x:v>
      </x:c>
      <x:c r="F31" s="2">
        <x:v>10</x:v>
      </x:c>
      <x:c r="G31" s="2">
        <x:v>780</x:v>
      </x:c>
      <x:c r="H31" s="2">
        <x:v>25</x:v>
      </x:c>
      <x:c r="I31" s="2">
        <x:f>G31-H31</x:f>
      </x:c>
      <x:c r="J31" s="0" t="s">
        <x:v>25</x:v>
      </x:c>
      <x:c r="K31" s="0" t="s">
        <x:v>20</x:v>
      </x:c>
      <x:c r="L31" s="0" t="s">
        <x:v>96</x:v>
      </x:c>
    </x:row>
    <x:row r="32" spans="1:16">
      <x:c r="B32" s="0" t="s">
        <x:v>16</x:v>
      </x:c>
      <x:c r="C32" s="0" t="s">
        <x:v>120</x:v>
      </x:c>
      <x:c r="D32" s="0" t="s">
        <x:v>121</x:v>
      </x:c>
      <x:c r="E32" s="0" t="s">
        <x:v>122</x:v>
      </x:c>
      <x:c r="F32" s="2">
        <x:v>7</x:v>
      </x:c>
      <x:c r="G32" s="2">
        <x:v>790</x:v>
      </x:c>
      <x:c r="H32" s="2">
        <x:v>30</x:v>
      </x:c>
      <x:c r="I32" s="2">
        <x:f>G32-H32</x:f>
      </x:c>
      <x:c r="K32" s="0" t="s">
        <x:v>20</x:v>
      </x:c>
      <x:c r="L32" s="0" t="s">
        <x:v>96</x:v>
      </x:c>
    </x:row>
    <x:row r="33" spans="1:16">
      <x:c r="B33" s="0" t="s">
        <x:v>16</x:v>
      </x:c>
      <x:c r="C33" s="0" t="s">
        <x:v>123</x:v>
      </x:c>
      <x:c r="D33" s="0" t="s">
        <x:v>124</x:v>
      </x:c>
      <x:c r="E33" s="0" t="s">
        <x:v>125</x:v>
      </x:c>
      <x:c r="F33" s="2">
        <x:v>10</x:v>
      </x:c>
      <x:c r="G33" s="2">
        <x:v>670</x:v>
      </x:c>
      <x:c r="H33" s="2">
        <x:v>25</x:v>
      </x:c>
      <x:c r="I33" s="2">
        <x:f>G33-H33</x:f>
      </x:c>
      <x:c r="J33" s="0" t="s">
        <x:v>25</x:v>
      </x:c>
      <x:c r="K33" s="0" t="s">
        <x:v>20</x:v>
      </x:c>
      <x:c r="L33" s="0" t="s">
        <x:v>96</x:v>
      </x:c>
    </x:row>
    <x:row r="34" spans="1:16">
      <x:c r="B34" s="0" t="s">
        <x:v>16</x:v>
      </x:c>
      <x:c r="C34" s="0" t="s">
        <x:v>126</x:v>
      </x:c>
      <x:c r="D34" s="0" t="s">
        <x:v>127</x:v>
      </x:c>
      <x:c r="E34" s="0" t="s">
        <x:v>128</x:v>
      </x:c>
      <x:c r="F34" s="0" t="s">
        <x:v>91</x:v>
      </x:c>
      <x:c r="G34" s="2">
        <x:v>670</x:v>
      </x:c>
      <x:c r="H34" s="2">
        <x:v>20</x:v>
      </x:c>
      <x:c r="I34" s="2">
        <x:f>G34-H34</x:f>
      </x:c>
      <x:c r="J34" s="0" t="s">
        <x:v>25</x:v>
      </x:c>
      <x:c r="K34" s="0" t="s">
        <x:v>20</x:v>
      </x:c>
      <x:c r="L34" s="0" t="s">
        <x:v>96</x:v>
      </x:c>
    </x:row>
    <x:row r="35" spans="1:16">
      <x:c r="B35" s="0" t="s">
        <x:v>16</x:v>
      </x:c>
      <x:c r="C35" s="0" t="s">
        <x:v>129</x:v>
      </x:c>
      <x:c r="D35" s="0" t="s">
        <x:v>130</x:v>
      </x:c>
      <x:c r="E35" s="0" t="s">
        <x:v>131</x:v>
      </x:c>
      <x:c r="F35" s="0" t="s">
        <x:v>51</x:v>
      </x:c>
      <x:c r="G35" s="2">
        <x:v>840</x:v>
      </x:c>
      <x:c r="H35" s="2">
        <x:v>20</x:v>
      </x:c>
      <x:c r="I35" s="2">
        <x:f>G35-H35</x:f>
      </x:c>
      <x:c r="J35" s="0" t="s">
        <x:v>20</x:v>
      </x:c>
      <x:c r="K35" s="0" t="s">
        <x:v>20</x:v>
      </x:c>
      <x:c r="L35" s="0" t="s">
        <x:v>96</x:v>
      </x:c>
    </x:row>
    <x:row r="36" spans="1:16">
      <x:c r="B36" s="0" t="s">
        <x:v>16</x:v>
      </x:c>
      <x:c r="C36" s="0" t="s">
        <x:v>132</x:v>
      </x:c>
      <x:c r="D36" s="0" t="s">
        <x:v>133</x:v>
      </x:c>
      <x:c r="E36" s="0" t="s">
        <x:v>134</x:v>
      </x:c>
      <x:c r="F36" s="0" t="s">
        <x:v>61</x:v>
      </x:c>
      <x:c r="G36" s="2">
        <x:v>0</x:v>
      </x:c>
      <x:c r="H36" s="2">
        <x:v>25</x:v>
      </x:c>
      <x:c r="I36" s="2">
        <x:f>G36-H36</x:f>
      </x:c>
      <x:c r="K36" s="0" t="s">
        <x:v>20</x:v>
      </x:c>
      <x:c r="L36" s="0" t="s">
        <x:v>96</x:v>
      </x:c>
    </x:row>
    <x:row r="37" spans="1:16">
      <x:c r="B37" s="0" t="s">
        <x:v>16</x:v>
      </x:c>
      <x:c r="C37" s="0" t="s">
        <x:v>135</x:v>
      </x:c>
      <x:c r="D37" s="0" t="s">
        <x:v>136</x:v>
      </x:c>
      <x:c r="E37" s="0" t="s">
        <x:v>137</x:v>
      </x:c>
      <x:c r="F37" s="0" t="s">
        <x:v>47</x:v>
      </x:c>
      <x:c r="G37" s="2">
        <x:v>780</x:v>
      </x:c>
      <x:c r="H37" s="2">
        <x:v>30</x:v>
      </x:c>
      <x:c r="I37" s="2">
        <x:f>G37-H37</x:f>
      </x:c>
      <x:c r="K37" s="0" t="s">
        <x:v>20</x:v>
      </x:c>
      <x:c r="L37" s="0" t="s">
        <x:v>96</x:v>
      </x:c>
    </x:row>
    <x:row r="38" spans="1:16">
      <x:c r="B38" s="0" t="s">
        <x:v>16</x:v>
      </x:c>
      <x:c r="C38" s="0" t="s">
        <x:v>138</x:v>
      </x:c>
      <x:c r="D38" s="0" t="s">
        <x:v>139</x:v>
      </x:c>
      <x:c r="E38" s="0" t="s">
        <x:v>140</x:v>
      </x:c>
      <x:c r="F38" s="0" t="s">
        <x:v>141</x:v>
      </x:c>
      <x:c r="G38" s="2">
        <x:v>670</x:v>
      </x:c>
      <x:c r="H38" s="2">
        <x:v>35</x:v>
      </x:c>
      <x:c r="I38" s="2">
        <x:f>G38-H38</x:f>
      </x:c>
      <x:c r="K38" s="0" t="s">
        <x:v>20</x:v>
      </x:c>
      <x:c r="L38" s="0" t="s">
        <x:v>96</x:v>
      </x:c>
    </x:row>
    <x:row r="39" spans="1:16">
      <x:c r="B39" s="0" t="s">
        <x:v>16</x:v>
      </x:c>
      <x:c r="C39" s="0" t="s">
        <x:v>142</x:v>
      </x:c>
      <x:c r="D39" s="0" t="s">
        <x:v>143</x:v>
      </x:c>
      <x:c r="E39" s="0" t="s">
        <x:v>144</x:v>
      </x:c>
      <x:c r="F39" s="0" t="s">
        <x:v>47</x:v>
      </x:c>
      <x:c r="G39" s="2">
        <x:v>1540</x:v>
      </x:c>
      <x:c r="H39" s="2">
        <x:v>30</x:v>
      </x:c>
      <x:c r="I39" s="2">
        <x:f>G39-H39</x:f>
      </x:c>
      <x:c r="K39" s="0" t="s">
        <x:v>20</x:v>
      </x:c>
      <x:c r="L39" s="0" t="s">
        <x:v>96</x:v>
      </x:c>
    </x:row>
    <x:row r="40" spans="1:16">
      <x:c r="B40" s="0" t="s">
        <x:v>16</x:v>
      </x:c>
      <x:c r="C40" s="0" t="s">
        <x:v>145</x:v>
      </x:c>
      <x:c r="D40" s="0" t="s">
        <x:v>146</x:v>
      </x:c>
      <x:c r="E40" s="0" t="s">
        <x:v>147</x:v>
      </x:c>
      <x:c r="F40" s="0" t="s">
        <x:v>47</x:v>
      </x:c>
      <x:c r="G40" s="2">
        <x:v>810</x:v>
      </x:c>
      <x:c r="H40" s="2">
        <x:v>30</x:v>
      </x:c>
      <x:c r="I40" s="2">
        <x:f>G40-H40</x:f>
      </x:c>
      <x:c r="K40" s="0" t="s">
        <x:v>20</x:v>
      </x:c>
      <x:c r="L40" s="0" t="s">
        <x:v>96</x:v>
      </x:c>
    </x:row>
    <x:row r="41" spans="1:16">
      <x:c r="B41" s="0" t="s">
        <x:v>16</x:v>
      </x:c>
      <x:c r="C41" s="0" t="s">
        <x:v>148</x:v>
      </x:c>
      <x:c r="D41" s="0" t="s">
        <x:v>149</x:v>
      </x:c>
      <x:c r="E41" s="0" t="s">
        <x:v>150</x:v>
      </x:c>
      <x:c r="F41" s="2">
        <x:v>1</x:v>
      </x:c>
      <x:c r="G41" s="2">
        <x:v>740</x:v>
      </x:c>
      <x:c r="H41" s="2">
        <x:v>25</x:v>
      </x:c>
      <x:c r="I41" s="2">
        <x:f>G41-H41</x:f>
      </x:c>
      <x:c r="J41" s="0" t="s">
        <x:v>25</x:v>
      </x:c>
      <x:c r="K41" s="0" t="s">
        <x:v>20</x:v>
      </x:c>
      <x:c r="L41" s="0" t="s">
        <x:v>96</x:v>
      </x:c>
    </x:row>
    <x:row r="42" spans="1:16">
      <x:c r="B42" s="0" t="s">
        <x:v>16</x:v>
      </x:c>
      <x:c r="C42" s="0" t="s">
        <x:v>151</x:v>
      </x:c>
      <x:c r="D42" s="0" t="s">
        <x:v>152</x:v>
      </x:c>
      <x:c r="E42" s="0" t="s">
        <x:v>153</x:v>
      </x:c>
      <x:c r="F42" s="0" t="s">
        <x:v>116</x:v>
      </x:c>
      <x:c r="G42" s="2">
        <x:v>780</x:v>
      </x:c>
      <x:c r="H42" s="2">
        <x:v>25</x:v>
      </x:c>
      <x:c r="I42" s="2">
        <x:f>G42-H42</x:f>
      </x:c>
      <x:c r="J42" s="0" t="s">
        <x:v>20</x:v>
      </x:c>
      <x:c r="K42" s="0" t="s">
        <x:v>20</x:v>
      </x:c>
      <x:c r="L42" s="0" t="s">
        <x:v>96</x:v>
      </x:c>
    </x:row>
    <x:row r="43" spans="1:16">
      <x:c r="B43" s="0" t="s">
        <x:v>16</x:v>
      </x:c>
      <x:c r="C43" s="0" t="s">
        <x:v>154</x:v>
      </x:c>
      <x:c r="D43" s="0" t="s">
        <x:v>155</x:v>
      </x:c>
      <x:c r="E43" s="0" t="s">
        <x:v>156</x:v>
      </x:c>
      <x:c r="F43" s="0" t="s">
        <x:v>51</x:v>
      </x:c>
      <x:c r="G43" s="2">
        <x:v>0</x:v>
      </x:c>
      <x:c r="H43" s="2">
        <x:v>20</x:v>
      </x:c>
      <x:c r="I43" s="2">
        <x:f>G43-H43</x:f>
      </x:c>
      <x:c r="J43" s="0" t="s">
        <x:v>20</x:v>
      </x:c>
      <x:c r="K43" s="0" t="s">
        <x:v>20</x:v>
      </x:c>
      <x:c r="L43" s="0" t="s">
        <x:v>96</x:v>
      </x:c>
    </x:row>
    <x:row r="44" spans="1:16">
      <x:c r="B44" s="0" t="s">
        <x:v>16</x:v>
      </x:c>
      <x:c r="C44" s="0" t="s">
        <x:v>157</x:v>
      </x:c>
      <x:c r="D44" s="0" t="s">
        <x:v>158</x:v>
      </x:c>
      <x:c r="E44" s="0" t="s">
        <x:v>159</x:v>
      </x:c>
      <x:c r="F44" s="0" t="s">
        <x:v>47</x:v>
      </x:c>
      <x:c r="G44" s="2">
        <x:v>0</x:v>
      </x:c>
      <x:c r="H44" s="2">
        <x:v>30</x:v>
      </x:c>
      <x:c r="I44" s="2">
        <x:f>G44-H44</x:f>
      </x:c>
      <x:c r="K44" s="0" t="s">
        <x:v>20</x:v>
      </x:c>
      <x:c r="L44" s="0" t="s">
        <x:v>96</x:v>
      </x:c>
    </x:row>
    <x:row r="45" spans="1:16">
      <x:c r="B45" s="0" t="s">
        <x:v>16</x:v>
      </x:c>
      <x:c r="C45" s="0" t="s">
        <x:v>160</x:v>
      </x:c>
      <x:c r="D45" s="0" t="s">
        <x:v>161</x:v>
      </x:c>
      <x:c r="E45" s="0" t="s">
        <x:v>162</x:v>
      </x:c>
      <x:c r="F45" s="0" t="s">
        <x:v>91</x:v>
      </x:c>
      <x:c r="G45" s="2">
        <x:v>670</x:v>
      </x:c>
      <x:c r="H45" s="2">
        <x:v>20</x:v>
      </x:c>
      <x:c r="I45" s="2">
        <x:f>G45-H45</x:f>
      </x:c>
      <x:c r="J45" s="0" t="s">
        <x:v>25</x:v>
      </x:c>
      <x:c r="K45" s="0" t="s">
        <x:v>20</x:v>
      </x:c>
      <x:c r="L45" s="0" t="s">
        <x:v>96</x:v>
      </x:c>
    </x:row>
    <x:row r="46" spans="1:16">
      <x:c r="B46" s="0" t="s">
        <x:v>16</x:v>
      </x:c>
      <x:c r="C46" s="0" t="s">
        <x:v>163</x:v>
      </x:c>
      <x:c r="D46" s="0" t="s">
        <x:v>164</x:v>
      </x:c>
      <x:c r="E46" s="0" t="s">
        <x:v>165</x:v>
      </x:c>
      <x:c r="F46" s="2">
        <x:v>8</x:v>
      </x:c>
      <x:c r="G46" s="2">
        <x:v>670</x:v>
      </x:c>
      <x:c r="H46" s="2">
        <x:v>25</x:v>
      </x:c>
      <x:c r="I46" s="2">
        <x:f>G46-H46</x:f>
      </x:c>
      <x:c r="K46" s="0" t="s">
        <x:v>20</x:v>
      </x:c>
      <x:c r="L46" s="0" t="s">
        <x:v>96</x:v>
      </x:c>
    </x:row>
    <x:row r="47" spans="1:16">
      <x:c r="B47" s="0" t="s">
        <x:v>16</x:v>
      </x:c>
      <x:c r="C47" s="0" t="s">
        <x:v>166</x:v>
      </x:c>
      <x:c r="D47" s="0" t="s">
        <x:v>167</x:v>
      </x:c>
      <x:c r="E47" s="0" t="s">
        <x:v>168</x:v>
      </x:c>
      <x:c r="F47" s="0" t="s">
        <x:v>33</x:v>
      </x:c>
      <x:c r="G47" s="2">
        <x:v>670</x:v>
      </x:c>
      <x:c r="H47" s="2">
        <x:v>30</x:v>
      </x:c>
      <x:c r="I47" s="2">
        <x:f>G47-H47</x:f>
      </x:c>
      <x:c r="J47" s="0" t="s">
        <x:v>20</x:v>
      </x:c>
      <x:c r="K47" s="0" t="s">
        <x:v>20</x:v>
      </x:c>
      <x:c r="L47" s="0" t="s">
        <x:v>96</x:v>
      </x:c>
    </x:row>
    <x:row r="48" spans="1:16">
      <x:c r="B48" s="0" t="s">
        <x:v>16</x:v>
      </x:c>
      <x:c r="C48" s="0" t="s">
        <x:v>169</x:v>
      </x:c>
      <x:c r="D48" s="0" t="s">
        <x:v>170</x:v>
      </x:c>
      <x:c r="E48" s="0" t="s">
        <x:v>171</x:v>
      </x:c>
      <x:c r="F48" s="0" t="s">
        <x:v>47</x:v>
      </x:c>
      <x:c r="G48" s="2">
        <x:v>1200</x:v>
      </x:c>
      <x:c r="H48" s="2">
        <x:v>30</x:v>
      </x:c>
      <x:c r="I48" s="2">
        <x:f>G48-H48</x:f>
      </x:c>
      <x:c r="K48" s="0" t="s">
        <x:v>20</x:v>
      </x:c>
      <x:c r="L48" s="0" t="s">
        <x:v>96</x:v>
      </x:c>
    </x:row>
    <x:row r="49" spans="1:16">
      <x:c r="B49" s="0" t="s">
        <x:v>16</x:v>
      </x:c>
      <x:c r="C49" s="0" t="s">
        <x:v>172</x:v>
      </x:c>
      <x:c r="D49" s="0" t="s">
        <x:v>173</x:v>
      </x:c>
      <x:c r="E49" s="0" t="s">
        <x:v>174</x:v>
      </x:c>
      <x:c r="F49" s="2">
        <x:v>2</x:v>
      </x:c>
      <x:c r="G49" s="2">
        <x:v>0</x:v>
      </x:c>
      <x:c r="H49" s="2">
        <x:v>30</x:v>
      </x:c>
      <x:c r="I49" s="2">
        <x:f>G49-H49</x:f>
      </x:c>
      <x:c r="J49" s="0" t="s">
        <x:v>20</x:v>
      </x:c>
      <x:c r="K49" s="0" t="s">
        <x:v>20</x:v>
      </x:c>
      <x:c r="L49" s="0" t="s">
        <x:v>96</x:v>
      </x:c>
    </x:row>
    <x:row r="50" spans="1:16">
      <x:c r="B50" s="0" t="s">
        <x:v>16</x:v>
      </x:c>
      <x:c r="C50" s="0" t="s">
        <x:v>175</x:v>
      </x:c>
      <x:c r="D50" s="0" t="s">
        <x:v>176</x:v>
      </x:c>
      <x:c r="E50" s="0" t="s">
        <x:v>177</x:v>
      </x:c>
      <x:c r="F50" s="0" t="s">
        <x:v>116</x:v>
      </x:c>
      <x:c r="G50" s="2">
        <x:v>660</x:v>
      </x:c>
      <x:c r="H50" s="2">
        <x:v>25</x:v>
      </x:c>
      <x:c r="I50" s="2">
        <x:f>G50-H50</x:f>
      </x:c>
      <x:c r="J50" s="0" t="s">
        <x:v>20</x:v>
      </x:c>
      <x:c r="K50" s="0" t="s">
        <x:v>20</x:v>
      </x:c>
      <x:c r="L50" s="0" t="s">
        <x:v>96</x:v>
      </x:c>
    </x:row>
    <x:row r="51" spans="1:16">
      <x:c r="B51" s="0" t="s">
        <x:v>16</x:v>
      </x:c>
      <x:c r="C51" s="0" t="s">
        <x:v>178</x:v>
      </x:c>
      <x:c r="D51" s="0" t="s">
        <x:v>179</x:v>
      </x:c>
      <x:c r="E51" s="0" t="s">
        <x:v>180</x:v>
      </x:c>
      <x:c r="F51" s="0" t="s">
        <x:v>61</x:v>
      </x:c>
      <x:c r="G51" s="2">
        <x:v>670</x:v>
      </x:c>
      <x:c r="H51" s="2">
        <x:v>25</x:v>
      </x:c>
      <x:c r="I51" s="2">
        <x:f>G51-H51</x:f>
      </x:c>
      <x:c r="K51" s="0" t="s">
        <x:v>20</x:v>
      </x:c>
      <x:c r="L51" s="0" t="s">
        <x:v>112</x:v>
      </x:c>
    </x:row>
    <x:row r="52" spans="1:16">
      <x:c r="B52" s="0" t="s">
        <x:v>16</x:v>
      </x:c>
      <x:c r="C52" s="0" t="s">
        <x:v>181</x:v>
      </x:c>
      <x:c r="D52" s="0" t="s">
        <x:v>182</x:v>
      </x:c>
      <x:c r="E52" s="0" t="s">
        <x:v>183</x:v>
      </x:c>
      <x:c r="F52" s="0" t="s">
        <x:v>61</x:v>
      </x:c>
      <x:c r="G52" s="2">
        <x:v>670</x:v>
      </x:c>
      <x:c r="H52" s="2">
        <x:v>25</x:v>
      </x:c>
      <x:c r="I52" s="2">
        <x:f>G52-H52</x:f>
      </x:c>
      <x:c r="K52" s="0" t="s">
        <x:v>20</x:v>
      </x:c>
      <x:c r="L52" s="0" t="s">
        <x:v>96</x:v>
      </x:c>
    </x:row>
    <x:row r="53" spans="1:16">
      <x:c r="B53" s="0" t="s">
        <x:v>16</x:v>
      </x:c>
      <x:c r="C53" s="0" t="s">
        <x:v>184</x:v>
      </x:c>
      <x:c r="D53" s="0" t="s">
        <x:v>185</x:v>
      </x:c>
      <x:c r="E53" s="0" t="s">
        <x:v>186</x:v>
      </x:c>
      <x:c r="F53" s="2">
        <x:v>7</x:v>
      </x:c>
      <x:c r="G53" s="2">
        <x:v>780</x:v>
      </x:c>
      <x:c r="H53" s="2">
        <x:v>30</x:v>
      </x:c>
      <x:c r="I53" s="2">
        <x:f>G53-H53</x:f>
      </x:c>
      <x:c r="K53" s="0" t="s">
        <x:v>20</x:v>
      </x:c>
      <x:c r="L53" s="0" t="s">
        <x:v>96</x:v>
      </x:c>
    </x:row>
    <x:row r="54" spans="1:16">
      <x:c r="B54" s="0" t="s">
        <x:v>16</x:v>
      </x:c>
      <x:c r="C54" s="0" t="s">
        <x:v>187</x:v>
      </x:c>
      <x:c r="D54" s="0" t="s">
        <x:v>188</x:v>
      </x:c>
      <x:c r="E54" s="0" t="s">
        <x:v>189</x:v>
      </x:c>
      <x:c r="F54" s="0" t="s">
        <x:v>33</x:v>
      </x:c>
      <x:c r="G54" s="2">
        <x:v>700</x:v>
      </x:c>
      <x:c r="H54" s="2">
        <x:v>30</x:v>
      </x:c>
      <x:c r="I54" s="2">
        <x:f>G54-H54</x:f>
      </x:c>
      <x:c r="J54" s="0" t="s">
        <x:v>20</x:v>
      </x:c>
      <x:c r="K54" s="0" t="s">
        <x:v>20</x:v>
      </x:c>
      <x:c r="L54" s="0" t="s">
        <x:v>112</x:v>
      </x:c>
    </x:row>
    <x:row r="55" spans="1:16">
      <x:c r="B55" s="0" t="s">
        <x:v>16</x:v>
      </x:c>
      <x:c r="C55" s="0" t="s">
        <x:v>190</x:v>
      </x:c>
      <x:c r="D55" s="0" t="s">
        <x:v>191</x:v>
      </x:c>
      <x:c r="E55" s="0" t="s">
        <x:v>192</x:v>
      </x:c>
      <x:c r="F55" s="0" t="s">
        <x:v>95</x:v>
      </x:c>
      <x:c r="G55" s="2">
        <x:v>670</x:v>
      </x:c>
      <x:c r="H55" s="2">
        <x:v>25</x:v>
      </x:c>
      <x:c r="I55" s="2">
        <x:f>G55-H55</x:f>
      </x:c>
      <x:c r="J55" s="0" t="s">
        <x:v>25</x:v>
      </x:c>
      <x:c r="K55" s="0" t="s">
        <x:v>20</x:v>
      </x:c>
      <x:c r="L55" s="0" t="s">
        <x:v>96</x:v>
      </x:c>
    </x:row>
    <x:row r="56" spans="1:16">
      <x:c r="B56" s="0" t="s">
        <x:v>16</x:v>
      </x:c>
      <x:c r="C56" s="0" t="s">
        <x:v>193</x:v>
      </x:c>
      <x:c r="D56" s="0" t="s">
        <x:v>194</x:v>
      </x:c>
      <x:c r="E56" s="0" t="s">
        <x:v>195</x:v>
      </x:c>
      <x:c r="F56" s="0" t="s">
        <x:v>116</x:v>
      </x:c>
      <x:c r="G56" s="2">
        <x:v>670</x:v>
      </x:c>
      <x:c r="H56" s="2">
        <x:v>25</x:v>
      </x:c>
      <x:c r="I56" s="2">
        <x:f>G56-H56</x:f>
      </x:c>
      <x:c r="J56" s="0" t="s">
        <x:v>20</x:v>
      </x:c>
      <x:c r="K56" s="0" t="s">
        <x:v>20</x:v>
      </x:c>
      <x:c r="L56" s="0" t="s">
        <x:v>96</x:v>
      </x:c>
    </x:row>
    <x:row r="57" spans="1:16">
      <x:c r="B57" s="0" t="s">
        <x:v>16</x:v>
      </x:c>
      <x:c r="C57" s="0" t="s">
        <x:v>196</x:v>
      </x:c>
      <x:c r="D57" s="0" t="s">
        <x:v>197</x:v>
      </x:c>
      <x:c r="E57" s="0" t="s">
        <x:v>198</x:v>
      </x:c>
      <x:c r="F57" s="2">
        <x:v>8</x:v>
      </x:c>
      <x:c r="G57" s="2">
        <x:v>670</x:v>
      </x:c>
      <x:c r="H57" s="2">
        <x:v>25</x:v>
      </x:c>
      <x:c r="I57" s="2">
        <x:f>G57-H57</x:f>
      </x:c>
      <x:c r="K57" s="0" t="s">
        <x:v>20</x:v>
      </x:c>
      <x:c r="L57" s="0" t="s">
        <x:v>96</x:v>
      </x:c>
    </x:row>
    <x:row r="58" spans="1:16">
      <x:c r="B58" s="0" t="s">
        <x:v>16</x:v>
      </x:c>
      <x:c r="C58" s="0" t="s">
        <x:v>199</x:v>
      </x:c>
      <x:c r="D58" s="0" t="s">
        <x:v>200</x:v>
      </x:c>
      <x:c r="E58" s="0" t="s">
        <x:v>201</x:v>
      </x:c>
      <x:c r="F58" s="2">
        <x:v>12</x:v>
      </x:c>
      <x:c r="G58" s="2">
        <x:v>0</x:v>
      </x:c>
      <x:c r="H58" s="2">
        <x:v>30</x:v>
      </x:c>
      <x:c r="I58" s="2">
        <x:f>G58-H58</x:f>
      </x:c>
      <x:c r="K58" s="0" t="s">
        <x:v>20</x:v>
      </x:c>
      <x:c r="L58" s="0" t="s">
        <x:v>96</x:v>
      </x:c>
    </x:row>
    <x:row r="59" spans="1:16">
      <x:c r="B59" s="0" t="s">
        <x:v>16</x:v>
      </x:c>
      <x:c r="C59" s="0" t="s">
        <x:v>202</x:v>
      </x:c>
      <x:c r="D59" s="0" t="s">
        <x:v>203</x:v>
      </x:c>
      <x:c r="E59" s="0" t="s">
        <x:v>204</x:v>
      </x:c>
      <x:c r="F59" s="0" t="s">
        <x:v>47</x:v>
      </x:c>
      <x:c r="G59" s="2">
        <x:v>840</x:v>
      </x:c>
      <x:c r="H59" s="2">
        <x:v>30</x:v>
      </x:c>
      <x:c r="I59" s="2">
        <x:f>G59-H59</x:f>
      </x:c>
      <x:c r="K59" s="0" t="s">
        <x:v>20</x:v>
      </x:c>
      <x:c r="L59" s="0" t="s">
        <x:v>96</x:v>
      </x:c>
    </x:row>
    <x:row r="60" spans="1:16">
      <x:c r="B60" s="0" t="s">
        <x:v>16</x:v>
      </x:c>
      <x:c r="C60" s="0" t="s">
        <x:v>205</x:v>
      </x:c>
      <x:c r="D60" s="0" t="s">
        <x:v>206</x:v>
      </x:c>
      <x:c r="E60" s="0" t="s">
        <x:v>207</x:v>
      </x:c>
      <x:c r="F60" s="2">
        <x:v>6</x:v>
      </x:c>
      <x:c r="G60" s="2">
        <x:v>670</x:v>
      </x:c>
      <x:c r="H60" s="2">
        <x:v>25</x:v>
      </x:c>
      <x:c r="I60" s="2">
        <x:f>G60-H60</x:f>
      </x:c>
      <x:c r="K60" s="0" t="s">
        <x:v>20</x:v>
      </x:c>
      <x:c r="L60" s="0" t="s">
        <x:v>208</x:v>
      </x:c>
    </x:row>
    <x:row r="61" spans="1:16">
      <x:c r="B61" s="0" t="s">
        <x:v>16</x:v>
      </x:c>
      <x:c r="C61" s="0" t="s">
        <x:v>209</x:v>
      </x:c>
      <x:c r="D61" s="0" t="s">
        <x:v>210</x:v>
      </x:c>
      <x:c r="E61" s="0" t="s">
        <x:v>211</x:v>
      </x:c>
      <x:c r="F61" s="0" t="s">
        <x:v>116</x:v>
      </x:c>
      <x:c r="G61" s="2">
        <x:v>0</x:v>
      </x:c>
      <x:c r="H61" s="2">
        <x:v>25</x:v>
      </x:c>
      <x:c r="I61" s="2">
        <x:f>G61-H61</x:f>
      </x:c>
      <x:c r="J61" s="0" t="s">
        <x:v>20</x:v>
      </x:c>
      <x:c r="K61" s="0" t="s">
        <x:v>20</x:v>
      </x:c>
      <x:c r="L61" s="0" t="s">
        <x:v>208</x:v>
      </x:c>
    </x:row>
    <x:row r="62" spans="1:16">
      <x:c r="B62" s="0" t="s">
        <x:v>16</x:v>
      </x:c>
      <x:c r="C62" s="0" t="s">
        <x:v>212</x:v>
      </x:c>
      <x:c r="D62" s="0" t="s">
        <x:v>213</x:v>
      </x:c>
      <x:c r="E62" s="0" t="s">
        <x:v>214</x:v>
      </x:c>
      <x:c r="F62" s="0" t="s">
        <x:v>33</x:v>
      </x:c>
      <x:c r="G62" s="2">
        <x:v>980</x:v>
      </x:c>
      <x:c r="H62" s="2">
        <x:v>30</x:v>
      </x:c>
      <x:c r="I62" s="2">
        <x:f>G62-H62</x:f>
      </x:c>
      <x:c r="J62" s="0" t="s">
        <x:v>20</x:v>
      </x:c>
      <x:c r="K62" s="0" t="s">
        <x:v>20</x:v>
      </x:c>
      <x:c r="L62" s="0" t="s">
        <x:v>208</x:v>
      </x:c>
    </x:row>
    <x:row r="63" spans="1:16">
      <x:c r="B63" s="0" t="s">
        <x:v>16</x:v>
      </x:c>
      <x:c r="C63" s="0" t="s">
        <x:v>215</x:v>
      </x:c>
      <x:c r="D63" s="0" t="s">
        <x:v>216</x:v>
      </x:c>
      <x:c r="E63" s="0" t="s">
        <x:v>217</x:v>
      </x:c>
      <x:c r="F63" s="2">
        <x:v>2</x:v>
      </x:c>
      <x:c r="G63" s="2">
        <x:v>1160</x:v>
      </x:c>
      <x:c r="H63" s="2">
        <x:v>30</x:v>
      </x:c>
      <x:c r="I63" s="2">
        <x:f>G63-H63</x:f>
      </x:c>
      <x:c r="J63" s="0" t="s">
        <x:v>20</x:v>
      </x:c>
      <x:c r="K63" s="0" t="s">
        <x:v>20</x:v>
      </x:c>
      <x:c r="L63" s="0" t="s">
        <x:v>208</x:v>
      </x:c>
    </x:row>
    <x:row r="64" spans="1:16">
      <x:c r="B64" s="0" t="s">
        <x:v>16</x:v>
      </x:c>
      <x:c r="C64" s="0" t="s">
        <x:v>218</x:v>
      </x:c>
      <x:c r="D64" s="0" t="s">
        <x:v>219</x:v>
      </x:c>
      <x:c r="E64" s="0" t="s">
        <x:v>220</x:v>
      </x:c>
      <x:c r="F64" s="0" t="s">
        <x:v>47</x:v>
      </x:c>
      <x:c r="G64" s="2">
        <x:v>0</x:v>
      </x:c>
      <x:c r="H64" s="2">
        <x:v>30</x:v>
      </x:c>
      <x:c r="I64" s="2">
        <x:f>G64-H64</x:f>
      </x:c>
      <x:c r="K64" s="0" t="s">
        <x:v>20</x:v>
      </x:c>
      <x:c r="L64" s="0" t="s">
        <x:v>208</x:v>
      </x:c>
    </x:row>
    <x:row r="65" spans="1:16">
      <x:c r="B65" s="0" t="s">
        <x:v>16</x:v>
      </x:c>
      <x:c r="C65" s="0" t="s">
        <x:v>221</x:v>
      </x:c>
      <x:c r="D65" s="0" t="s">
        <x:v>222</x:v>
      </x:c>
      <x:c r="E65" s="0" t="s">
        <x:v>223</x:v>
      </x:c>
      <x:c r="F65" s="2">
        <x:v>2</x:v>
      </x:c>
      <x:c r="G65" s="2">
        <x:v>840</x:v>
      </x:c>
      <x:c r="H65" s="2">
        <x:v>30</x:v>
      </x:c>
      <x:c r="I65" s="2">
        <x:f>G65-H65</x:f>
      </x:c>
      <x:c r="J65" s="0" t="s">
        <x:v>20</x:v>
      </x:c>
      <x:c r="K65" s="0" t="s">
        <x:v>20</x:v>
      </x:c>
      <x:c r="L65" s="0" t="s">
        <x:v>208</x:v>
      </x:c>
    </x:row>
    <x:row r="66" spans="1:16">
      <x:c r="B66" s="0" t="s">
        <x:v>16</x:v>
      </x:c>
      <x:c r="C66" s="0" t="s">
        <x:v>224</x:v>
      </x:c>
      <x:c r="D66" s="0" t="s">
        <x:v>225</x:v>
      </x:c>
      <x:c r="E66" s="0" t="s">
        <x:v>226</x:v>
      </x:c>
      <x:c r="F66" s="0" t="s">
        <x:v>37</x:v>
      </x:c>
      <x:c r="G66" s="2">
        <x:v>790</x:v>
      </x:c>
      <x:c r="H66" s="2">
        <x:v>35</x:v>
      </x:c>
      <x:c r="I66" s="2">
        <x:f>G66-H66</x:f>
      </x:c>
      <x:c r="K66" s="0" t="s">
        <x:v>20</x:v>
      </x:c>
      <x:c r="L66" s="0" t="s">
        <x:v>208</x:v>
      </x:c>
    </x:row>
    <x:row r="67" spans="1:16">
      <x:c r="B67" s="0" t="s">
        <x:v>16</x:v>
      </x:c>
      <x:c r="C67" s="0" t="s">
        <x:v>227</x:v>
      </x:c>
      <x:c r="D67" s="0" t="s">
        <x:v>228</x:v>
      </x:c>
      <x:c r="E67" s="0" t="s">
        <x:v>229</x:v>
      </x:c>
      <x:c r="F67" s="0" t="s">
        <x:v>61</x:v>
      </x:c>
      <x:c r="G67" s="2">
        <x:v>690</x:v>
      </x:c>
      <x:c r="H67" s="2">
        <x:v>25</x:v>
      </x:c>
      <x:c r="I67" s="2">
        <x:f>G67-H67</x:f>
      </x:c>
      <x:c r="K67" s="0" t="s">
        <x:v>20</x:v>
      </x:c>
      <x:c r="L67" s="0" t="s">
        <x:v>208</x:v>
      </x:c>
    </x:row>
    <x:row r="68" spans="1:16">
      <x:c r="B68" s="0" t="s">
        <x:v>16</x:v>
      </x:c>
      <x:c r="C68" s="0" t="s">
        <x:v>230</x:v>
      </x:c>
      <x:c r="D68" s="0" t="s">
        <x:v>231</x:v>
      </x:c>
      <x:c r="E68" s="0" t="s">
        <x:v>232</x:v>
      </x:c>
      <x:c r="F68" s="2">
        <x:v>10</x:v>
      </x:c>
      <x:c r="G68" s="2">
        <x:v>890</x:v>
      </x:c>
      <x:c r="H68" s="2">
        <x:v>25</x:v>
      </x:c>
      <x:c r="I68" s="2">
        <x:f>G68-H68</x:f>
      </x:c>
      <x:c r="J68" s="0" t="s">
        <x:v>25</x:v>
      </x:c>
      <x:c r="K68" s="0" t="s">
        <x:v>20</x:v>
      </x:c>
      <x:c r="L68" s="0" t="s">
        <x:v>208</x:v>
      </x:c>
    </x:row>
    <x:row r="69" spans="1:16">
      <x:c r="B69" s="0" t="s">
        <x:v>16</x:v>
      </x:c>
      <x:c r="C69" s="0" t="s">
        <x:v>233</x:v>
      </x:c>
      <x:c r="D69" s="0" t="s">
        <x:v>234</x:v>
      </x:c>
      <x:c r="E69" s="0" t="s">
        <x:v>235</x:v>
      </x:c>
      <x:c r="F69" s="2">
        <x:v>2</x:v>
      </x:c>
      <x:c r="G69" s="2">
        <x:v>520</x:v>
      </x:c>
      <x:c r="H69" s="2">
        <x:v>30</x:v>
      </x:c>
      <x:c r="I69" s="2">
        <x:f>G69-H69</x:f>
      </x:c>
      <x:c r="J69" s="0" t="s">
        <x:v>20</x:v>
      </x:c>
      <x:c r="K69" s="0" t="s">
        <x:v>20</x:v>
      </x:c>
      <x:c r="L69" s="0" t="s">
        <x:v>208</x:v>
      </x:c>
    </x:row>
    <x:row r="70" spans="1:16">
      <x:c r="B70" s="0" t="s">
        <x:v>16</x:v>
      </x:c>
      <x:c r="C70" s="0" t="s">
        <x:v>236</x:v>
      </x:c>
      <x:c r="D70" s="0" t="s">
        <x:v>237</x:v>
      </x:c>
      <x:c r="E70" s="0" t="s">
        <x:v>238</x:v>
      </x:c>
      <x:c r="F70" s="2">
        <x:v>9</x:v>
      </x:c>
      <x:c r="G70" s="2">
        <x:v>860</x:v>
      </x:c>
      <x:c r="H70" s="2">
        <x:v>30</x:v>
      </x:c>
      <x:c r="I70" s="2">
        <x:f>G70-H70</x:f>
      </x:c>
      <x:c r="J70" s="0" t="s">
        <x:v>239</x:v>
      </x:c>
      <x:c r="K70" s="0" t="s">
        <x:v>20</x:v>
      </x:c>
      <x:c r="L70" s="0" t="s">
        <x:v>208</x:v>
      </x:c>
    </x:row>
    <x:row r="71" spans="1:16">
      <x:c r="B71" s="0" t="s">
        <x:v>16</x:v>
      </x:c>
      <x:c r="C71" s="0" t="s">
        <x:v>240</x:v>
      </x:c>
      <x:c r="D71" s="0" t="s">
        <x:v>241</x:v>
      </x:c>
      <x:c r="E71" s="0" t="s">
        <x:v>242</x:v>
      </x:c>
      <x:c r="F71" s="2">
        <x:v>2</x:v>
      </x:c>
      <x:c r="G71" s="2">
        <x:v>890</x:v>
      </x:c>
      <x:c r="H71" s="2">
        <x:v>30</x:v>
      </x:c>
      <x:c r="I71" s="2">
        <x:f>G71-H71</x:f>
      </x:c>
      <x:c r="J71" s="0" t="s">
        <x:v>20</x:v>
      </x:c>
      <x:c r="K71" s="0" t="s">
        <x:v>20</x:v>
      </x:c>
      <x:c r="L71" s="0" t="s">
        <x:v>243</x:v>
      </x:c>
    </x:row>
    <x:row r="72" spans="1:16">
      <x:c r="B72" s="0" t="s">
        <x:v>16</x:v>
      </x:c>
      <x:c r="C72" s="0" t="s">
        <x:v>244</x:v>
      </x:c>
      <x:c r="D72" s="0" t="s">
        <x:v>245</x:v>
      </x:c>
      <x:c r="E72" s="0" t="s">
        <x:v>246</x:v>
      </x:c>
      <x:c r="F72" s="2">
        <x:v>11</x:v>
      </x:c>
      <x:c r="G72" s="2">
        <x:v>670</x:v>
      </x:c>
      <x:c r="H72" s="2">
        <x:v>25</x:v>
      </x:c>
      <x:c r="I72" s="2">
        <x:f>G72-H72</x:f>
      </x:c>
      <x:c r="K72" s="0" t="s">
        <x:v>20</x:v>
      </x:c>
      <x:c r="L72" s="0" t="s">
        <x:v>208</x:v>
      </x:c>
    </x:row>
    <x:row r="73" spans="1:16">
      <x:c r="B73" s="0" t="s">
        <x:v>16</x:v>
      </x:c>
      <x:c r="C73" s="0" t="s">
        <x:v>247</x:v>
      </x:c>
      <x:c r="D73" s="0" t="s">
        <x:v>248</x:v>
      </x:c>
      <x:c r="E73" s="0" t="s">
        <x:v>249</x:v>
      </x:c>
      <x:c r="F73" s="0" t="s">
        <x:v>116</x:v>
      </x:c>
      <x:c r="G73" s="2">
        <x:v>790</x:v>
      </x:c>
      <x:c r="H73" s="2">
        <x:v>25</x:v>
      </x:c>
      <x:c r="I73" s="2">
        <x:f>G73-H73</x:f>
      </x:c>
      <x:c r="J73" s="0" t="s">
        <x:v>20</x:v>
      </x:c>
      <x:c r="K73" s="0" t="s">
        <x:v>20</x:v>
      </x:c>
      <x:c r="L73" s="0" t="s">
        <x:v>208</x:v>
      </x:c>
    </x:row>
    <x:row r="74" spans="1:16">
      <x:c r="B74" s="0" t="s">
        <x:v>16</x:v>
      </x:c>
      <x:c r="C74" s="0" t="s">
        <x:v>250</x:v>
      </x:c>
      <x:c r="D74" s="0" t="s">
        <x:v>251</x:v>
      </x:c>
      <x:c r="E74" s="0" t="s">
        <x:v>252</x:v>
      </x:c>
      <x:c r="F74" s="0" t="s">
        <x:v>95</x:v>
      </x:c>
      <x:c r="G74" s="2">
        <x:v>670</x:v>
      </x:c>
      <x:c r="H74" s="2">
        <x:v>25</x:v>
      </x:c>
      <x:c r="I74" s="2">
        <x:f>G74-H74</x:f>
      </x:c>
      <x:c r="J74" s="0" t="s">
        <x:v>25</x:v>
      </x:c>
      <x:c r="K74" s="0" t="s">
        <x:v>20</x:v>
      </x:c>
      <x:c r="L74" s="0" t="s">
        <x:v>208</x:v>
      </x:c>
    </x:row>
    <x:row r="75" spans="1:16">
      <x:c r="A75" s="0" t="s">
        <x:v>253</x:v>
      </x:c>
      <x:c r="B75" s="0" t="s">
        <x:v>16</x:v>
      </x:c>
      <x:c r="C75" s="0" t="s">
        <x:v>254</x:v>
      </x:c>
      <x:c r="E75" s="0" t="s">
        <x:v>255</x:v>
      </x:c>
      <x:c r="F75" s="2">
        <x:v>6</x:v>
      </x:c>
      <x:c r="G75" s="2">
        <x:v>0</x:v>
      </x:c>
      <x:c r="H75" s="2">
        <x:v>25</x:v>
      </x:c>
      <x:c r="I75" s="2">
        <x:f>G75-H75</x:f>
      </x:c>
      <x:c r="K75" s="0" t="s">
        <x:v>20</x:v>
      </x:c>
      <x:c r="L75" s="0" t="s">
        <x:v>243</x:v>
      </x:c>
    </x:row>
    <x:row r="76" spans="1:16">
      <x:c r="A76" s="0" t="s">
        <x:v>253</x:v>
      </x:c>
      <x:c r="B76" s="0" t="s">
        <x:v>16</x:v>
      </x:c>
      <x:c r="C76" s="0" t="s">
        <x:v>256</x:v>
      </x:c>
      <x:c r="E76" s="0" t="s">
        <x:v>257</x:v>
      </x:c>
      <x:c r="F76" s="0" t="s">
        <x:v>116</x:v>
      </x:c>
      <x:c r="G76" s="2">
        <x:v>0</x:v>
      </x:c>
      <x:c r="H76" s="2">
        <x:v>25</x:v>
      </x:c>
      <x:c r="I76" s="2">
        <x:f>G76-H76</x:f>
      </x:c>
      <x:c r="J76" s="0" t="s">
        <x:v>20</x:v>
      </x:c>
      <x:c r="K76" s="0" t="s">
        <x:v>20</x:v>
      </x:c>
      <x:c r="L76" s="0" t="s">
        <x:v>243</x:v>
      </x:c>
    </x:row>
    <x:row r="77" spans="1:16">
      <x:c r="A77" s="0" t="s">
        <x:v>253</x:v>
      </x:c>
      <x:c r="B77" s="0" t="s">
        <x:v>16</x:v>
      </x:c>
      <x:c r="C77" s="0" t="s">
        <x:v>258</x:v>
      </x:c>
      <x:c r="E77" s="0" t="s">
        <x:v>259</x:v>
      </x:c>
      <x:c r="F77" s="0" t="s">
        <x:v>95</x:v>
      </x:c>
      <x:c r="G77" s="2">
        <x:v>0</x:v>
      </x:c>
      <x:c r="H77" s="2">
        <x:v>25</x:v>
      </x:c>
      <x:c r="I77" s="2">
        <x:f>G77-H77</x:f>
      </x:c>
      <x:c r="J77" s="0" t="s">
        <x:v>25</x:v>
      </x:c>
      <x:c r="K77" s="0" t="s">
        <x:v>20</x:v>
      </x:c>
      <x:c r="L77" s="0" t="s">
        <x:v>243</x:v>
      </x:c>
    </x:row>
    <x:row r="78" spans="1:16">
      <x:c r="A78" s="0" t="s">
        <x:v>253</x:v>
      </x:c>
      <x:c r="B78" s="0" t="s">
        <x:v>16</x:v>
      </x:c>
      <x:c r="C78" s="0" t="s">
        <x:v>260</x:v>
      </x:c>
      <x:c r="E78" s="0" t="s">
        <x:v>261</x:v>
      </x:c>
      <x:c r="F78" s="2">
        <x:v>6</x:v>
      </x:c>
      <x:c r="G78" s="2">
        <x:v>2020</x:v>
      </x:c>
      <x:c r="H78" s="2">
        <x:v>25</x:v>
      </x:c>
      <x:c r="I78" s="2">
        <x:f>G78-H78</x:f>
      </x:c>
      <x:c r="K78" s="0" t="s">
        <x:v>20</x:v>
      </x:c>
      <x:c r="L78" s="0" t="s">
        <x:v>243</x:v>
      </x:c>
    </x:row>
    <x:row r="80" spans="1:16">
      <x:c r="G80" s="4">
        <x:f>SUBTOTAL(9,G3:G78)</x:f>
      </x:c>
      <x:c r="H80" s="4">
        <x:f>SUBTOTAL(9,H3:H78)</x:f>
      </x:c>
      <x:c r="I80" s="4">
        <x:f>SUBTOTAL(9,I3:I78)</x:f>
      </x:c>
      <x:c r="N80" s="4">
        <x:f>SUBTOTAL(9,N3:N78)</x:f>
      </x:c>
      <x:c r="O80" s="4">
        <x:f>SUBTOTAL(9,O3:O78)</x:f>
      </x:c>
    </x:row>
    <x:row r="82" spans="1:16">
      <x:c r="A82" s="5" t="s">
        <x:v>16</x:v>
      </x:c>
      <x:c r="B82" s="6" t="s"/>
      <x:c r="C82" s="6" t="s">
        <x:v>262</x:v>
      </x:c>
      <x:c r="D82" s="8" t="s">
        <x:v>263</x:v>
      </x:c>
      <x:c r="J82" s="9" t="s">
        <x:v>25</x:v>
      </x:c>
      <x:c r="K82" s="9" t="s">
        <x:v>264</x:v>
      </x:c>
      <x:c r="L82" s="9" t="s">
        <x:v>263</x:v>
      </x:c>
    </x:row>
    <x:row r="83" spans="1:16">
      <x:c r="A83" s="10"/>
      <x:c r="B83" s="11" t="s">
        <x:v>265</x:v>
      </x:c>
      <x:c r="C83" s="12">
        <x:f>SUMIFS(G$3:G$78,B$3:B$78,$A$82)</x:f>
      </x:c>
      <x:c r="D83" s="13">
        <x:f>COUNTIFS(B$3:B$78,"&lt;&gt;",B$3:B$78,$A$82)</x:f>
      </x:c>
      <x:c r="J83" s="0" t="s">
        <x:v>266</x:v>
      </x:c>
      <x:c r="K83" s="2">
        <x:f>SUMIFS(G$3:G$78,J$3:J$78,"c.hieu")</x:f>
      </x:c>
      <x:c r="L83" s="0">
        <x:f>COUNTIFS(B$3:B$78,"&lt;&gt;",J$3:J$78,"c.hieu")</x:f>
      </x:c>
    </x:row>
    <x:row r="84" spans="1:16">
      <x:c r="A84" s="10"/>
      <x:c r="B84" s="11" t="s">
        <x:v>267</x:v>
      </x:c>
      <x:c r="C84" s="12">
        <x:f>-SUMIFS(H$3:H$78,B$3:B$78,$A$82)</x:f>
      </x:c>
      <x:c r="D84" s="13"/>
      <x:c r="J84" s="0" t="s">
        <x:v>268</x:v>
      </x:c>
      <x:c r="K84" s="2">
        <x:f>-SUMIFS(H$3:H$78,J$3:J$78,"c.hieu")</x:f>
      </x:c>
    </x:row>
    <x:row r="85" spans="1:16">
      <x:c r="A85" s="10"/>
      <x:c r="B85" s="14" t="s">
        <x:v>269</x:v>
      </x:c>
      <x:c r="C85" s="11"/>
      <x:c r="D85" s="13"/>
    </x:row>
    <x:row r="86" spans="1:16">
      <x:c r="A86" s="10"/>
      <x:c r="B86" s="15" t="s">
        <x:v>270</x:v>
      </x:c>
      <x:c r="C86" s="16">
        <x:f>SUBTOTAL(9,C83:C85)</x:f>
      </x:c>
      <x:c r="D86" s="27">
        <x:f>E83</x:f>
      </x:c>
      <x:c r="J86" s="17" t="s">
        <x:v>72</x:v>
      </x:c>
    </x:row>
    <x:row r="87" spans="1:16">
      <x:c r="A87" s="10"/>
      <x:c r="B87" s="14" t="s">
        <x:v>271</x:v>
      </x:c>
      <x:c r="C87" s="11"/>
      <x:c r="D87" s="13"/>
      <x:c r="J87" s="17" t="s">
        <x:v>272</x:v>
      </x:c>
    </x:row>
    <x:row r="88" spans="1:16">
      <x:c r="A88" s="10"/>
      <x:c r="B88" s="14" t="s">
        <x:v>273</x:v>
      </x:c>
      <x:c r="C88" s="11"/>
      <x:c r="D88" s="13"/>
      <x:c r="K88" s="18">
        <x:f>SUBTOTAL(9,K83:K87)</x:f>
      </x:c>
      <x:c r="L88" s="19">
        <x:f>L83</x:f>
      </x:c>
    </x:row>
    <x:row r="89" spans="1:16">
      <x:c r="A89" s="20" t="s"/>
      <x:c r="B89" s="21" t="s">
        <x:v>274</x:v>
      </x:c>
      <x:c r="C89" s="22">
        <x:f>C86+C87+C88</x:f>
      </x:c>
      <x:c r="D89" s="24" t="s">
        <x:v>275</x:v>
      </x:c>
    </x:row>
    <x:row r="90" spans="1:16">
      <x:c r="J90" s="9" t="s">
        <x:v>20</x:v>
      </x:c>
      <x:c r="K90" s="9" t="s">
        <x:v>264</x:v>
      </x:c>
      <x:c r="L90" s="9" t="s">
        <x:v>263</x:v>
      </x:c>
    </x:row>
    <x:row r="91" spans="1:16">
      <x:c r="J91" s="0" t="s">
        <x:v>266</x:v>
      </x:c>
      <x:c r="K91" s="2">
        <x:f>SUMIFS(G$3:G$78,J$3:J$78,"c.cuong")</x:f>
      </x:c>
      <x:c r="L91" s="0">
        <x:f>COUNTIFS(B$3:B$78,"&lt;&gt;",J$3:J$78,"c.cuong")</x:f>
      </x:c>
    </x:row>
    <x:row r="92" spans="1:16">
      <x:c r="J92" s="0" t="s">
        <x:v>268</x:v>
      </x:c>
      <x:c r="K92" s="2">
        <x:f>-SUMIFS(H$3:H$78,J$3:J$78,"c.cuong")</x:f>
      </x:c>
    </x:row>
    <x:row r="94" spans="1:16">
      <x:c r="J94" s="17" t="s">
        <x:v>72</x:v>
      </x:c>
    </x:row>
    <x:row r="95" spans="1:16">
      <x:c r="J95" s="17" t="s">
        <x:v>272</x:v>
      </x:c>
    </x:row>
    <x:row r="96" spans="1:16">
      <x:c r="K96" s="18">
        <x:f>SUBTOTAL(9,K91:K95)</x:f>
      </x:c>
      <x:c r="L96" s="19">
        <x:f>L91</x:f>
      </x:c>
    </x:row>
    <x:row r="98" spans="1:16">
      <x:c r="J98" s="9" t="s">
        <x:v>239</x:v>
      </x:c>
      <x:c r="K98" s="9" t="s">
        <x:v>264</x:v>
      </x:c>
      <x:c r="L98" s="9" t="s">
        <x:v>263</x:v>
      </x:c>
    </x:row>
    <x:row r="99" spans="1:16">
      <x:c r="J99" s="0" t="s">
        <x:v>266</x:v>
      </x:c>
      <x:c r="K99" s="2">
        <x:f>SUMIFS(G$3:G$78,J$3:J$78,"a.quyen")</x:f>
      </x:c>
      <x:c r="L99" s="0">
        <x:f>COUNTIFS(B$3:B$78,"&lt;&gt;",J$3:J$78,"a.quyen")</x:f>
      </x:c>
    </x:row>
    <x:row r="100" spans="1:16">
      <x:c r="J100" s="0" t="s">
        <x:v>268</x:v>
      </x:c>
      <x:c r="K100" s="2">
        <x:f>-SUMIFS(H$3:H$78,J$3:J$78,"a.quyen")</x:f>
      </x:c>
    </x:row>
    <x:row r="102" spans="1:16">
      <x:c r="J102" s="17" t="s">
        <x:v>72</x:v>
      </x:c>
    </x:row>
    <x:row r="103" spans="1:16">
      <x:c r="J103" s="17" t="s">
        <x:v>272</x:v>
      </x:c>
    </x:row>
    <x:row r="104" spans="1:16">
      <x:c r="K104" s="18">
        <x:f>SUBTOTAL(9,K99:K103)</x:f>
      </x:c>
      <x:c r="L104" s="19">
        <x:f>L99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02-03</vt:lpstr>
      <vt:lpstr>02-03!Print_Area</vt:lpstr>
      <vt:lpstr>02-03!Print_Titles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Sei Pham</dc:creator>
  <lastModifiedBy>Sei Pham</lastModifiedBy>
  <dcterms:created xsi:type="dcterms:W3CDTF">2026-03-02T14:09:29.0000000Z</dcterms:created>
  <dcterms:modified xsi:type="dcterms:W3CDTF">2026-03-02T14:11:45.0000000Z</dcterms:modified>
</coreProperties>
</file>