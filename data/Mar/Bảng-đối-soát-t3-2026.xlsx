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45052A69-881B-4504-B286-01BC8D2EA525}" xr6:coauthVersionLast="47" xr6:coauthVersionMax="47" xr10:uidLastSave="{00000000-0000-0000-0000-000000000000}"/>
  <bookViews>
    <workbookView xWindow="-28920" yWindow="-150" windowWidth="29040" windowHeight="15720" activeTab="12" xr2:uid="{7DBF314D-BB0B-41C9-BACA-A4F738DC8062}"/>
  </bookViews>
  <sheets>
    <sheet name="17-03" sheetId="20" r:id="rId1"/>
    <sheet name="18-03" sheetId="21" r:id="rId2"/>
    <sheet name="19-03" sheetId="22" r:id="rId3"/>
    <sheet name="20-03" sheetId="23" r:id="rId4"/>
    <sheet name="21-03" sheetId="24" r:id="rId5"/>
    <sheet name="23-03" sheetId="25" r:id="rId6"/>
    <sheet name="24-03" sheetId="26" r:id="rId7"/>
    <sheet name="25-03" sheetId="27" r:id="rId8"/>
    <sheet name="26-03" sheetId="28" r:id="rId9"/>
    <sheet name="27-03" sheetId="29" r:id="rId10"/>
    <sheet name="28-03" sheetId="30" r:id="rId11"/>
    <sheet name="30-03" sheetId="31" r:id="rId12"/>
    <sheet name="Sheet1" sheetId="32" r:id="rId13"/>
  </sheets>
  <definedNames>
    <definedName name="_xlnm._FilterDatabase" localSheetId="0" hidden="1">'17-03'!$A$2:$Q$2</definedName>
    <definedName name="_xlnm._FilterDatabase" localSheetId="1" hidden="1">'18-03'!$A$2:$Q$22</definedName>
    <definedName name="_xlnm._FilterDatabase" localSheetId="2" hidden="1">'19-03'!$A$2:$Q$34</definedName>
    <definedName name="_xlnm._FilterDatabase" localSheetId="3" hidden="1">'20-03'!$A$2:$P$27</definedName>
    <definedName name="_xlnm._FilterDatabase" localSheetId="4" hidden="1">'21-03'!$A$2:$P$34</definedName>
    <definedName name="_xlnm._FilterDatabase" localSheetId="5" hidden="1">'23-03'!$A$2:$P$77</definedName>
    <definedName name="_xlnm._FilterDatabase" localSheetId="6" hidden="1">'24-03'!$A$2:$P$19</definedName>
    <definedName name="_xlnm._FilterDatabase" localSheetId="7" hidden="1">'25-03'!$A$2:$P$19</definedName>
    <definedName name="_xlnm._FilterDatabase" localSheetId="8" hidden="1">'26-03'!$A$2:$P$33</definedName>
    <definedName name="_xlnm._FilterDatabase" localSheetId="9" hidden="1">'27-03'!$A$2:$P$37</definedName>
    <definedName name="_xlnm._FilterDatabase" localSheetId="10" hidden="1">'28-03'!$A$2:$P$29</definedName>
    <definedName name="_xlnm._FilterDatabase" localSheetId="11" hidden="1">'30-03'!$A$2:$P$68</definedName>
    <definedName name="_xlnm._FilterDatabase" localSheetId="12" hidden="1">Sheet1!$A$2:$E$15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32" l="1"/>
  <c r="E18" i="32"/>
  <c r="E17" i="32"/>
  <c r="E8" i="32"/>
  <c r="E4" i="32"/>
  <c r="E16" i="32" s="1"/>
  <c r="E5" i="32"/>
  <c r="E6" i="32"/>
  <c r="E7" i="32"/>
  <c r="E9" i="32"/>
  <c r="E10" i="32"/>
  <c r="E11" i="32"/>
  <c r="E12" i="32"/>
  <c r="E13" i="32"/>
  <c r="E14" i="32"/>
  <c r="E15" i="32"/>
  <c r="E3" i="32"/>
  <c r="M98" i="31" l="1"/>
  <c r="L98" i="31"/>
  <c r="M97" i="31"/>
  <c r="M102" i="31" s="1"/>
  <c r="L97" i="31"/>
  <c r="L102" i="31" s="1"/>
  <c r="P76" i="31" s="1"/>
  <c r="M90" i="31"/>
  <c r="L90" i="31" s="1"/>
  <c r="M89" i="31"/>
  <c r="M94" i="31" s="1"/>
  <c r="L89" i="31"/>
  <c r="M86" i="31"/>
  <c r="M82" i="31"/>
  <c r="L82" i="31"/>
  <c r="L86" i="31" s="1"/>
  <c r="P74" i="31" s="1"/>
  <c r="M81" i="31"/>
  <c r="L81" i="31"/>
  <c r="M78" i="31"/>
  <c r="M75" i="31"/>
  <c r="L75" i="31"/>
  <c r="E75" i="31"/>
  <c r="C75" i="31"/>
  <c r="M74" i="31"/>
  <c r="L74" i="31" s="1"/>
  <c r="M73" i="31"/>
  <c r="L73" i="31"/>
  <c r="L78" i="31" s="1"/>
  <c r="P73" i="31" s="1"/>
  <c r="H73" i="31"/>
  <c r="E73" i="31"/>
  <c r="E76" i="31" s="1"/>
  <c r="H72" i="31"/>
  <c r="H71" i="31"/>
  <c r="Q70" i="31"/>
  <c r="P70" i="31"/>
  <c r="O70" i="31"/>
  <c r="N70" i="31"/>
  <c r="M70" i="31"/>
  <c r="L70" i="31"/>
  <c r="K70" i="31"/>
  <c r="J70" i="31"/>
  <c r="H70" i="31"/>
  <c r="G70" i="31"/>
  <c r="D70" i="31"/>
  <c r="I68" i="31"/>
  <c r="I67" i="31"/>
  <c r="I66" i="31"/>
  <c r="I65" i="31"/>
  <c r="I64" i="31"/>
  <c r="I63" i="31"/>
  <c r="I62" i="31"/>
  <c r="I61" i="31"/>
  <c r="I60" i="31"/>
  <c r="I59" i="31"/>
  <c r="I58" i="31"/>
  <c r="I57" i="31"/>
  <c r="I56" i="31"/>
  <c r="I55" i="31"/>
  <c r="I54" i="31"/>
  <c r="I53" i="31"/>
  <c r="I52" i="31"/>
  <c r="I51" i="31"/>
  <c r="I50" i="31"/>
  <c r="I49" i="31"/>
  <c r="I48" i="31"/>
  <c r="I47" i="31"/>
  <c r="I46" i="31"/>
  <c r="I45" i="31"/>
  <c r="I44" i="31"/>
  <c r="I43" i="31"/>
  <c r="I42" i="31"/>
  <c r="I41" i="31"/>
  <c r="I40" i="31"/>
  <c r="I39" i="31"/>
  <c r="I38" i="31"/>
  <c r="I37" i="31"/>
  <c r="I36" i="31"/>
  <c r="I35" i="31"/>
  <c r="I34" i="31"/>
  <c r="I33" i="31"/>
  <c r="I32" i="31"/>
  <c r="I31" i="31"/>
  <c r="I30" i="31"/>
  <c r="I29" i="31"/>
  <c r="I28" i="31"/>
  <c r="I27" i="31"/>
  <c r="I26" i="31"/>
  <c r="I25" i="31"/>
  <c r="I24" i="31"/>
  <c r="I23" i="31"/>
  <c r="I22" i="31"/>
  <c r="I21" i="31"/>
  <c r="I20" i="31"/>
  <c r="I19" i="31"/>
  <c r="I18" i="31"/>
  <c r="I17" i="31"/>
  <c r="I16" i="31"/>
  <c r="I15" i="31"/>
  <c r="I14" i="31"/>
  <c r="I13" i="31"/>
  <c r="I12" i="31"/>
  <c r="I11" i="31"/>
  <c r="I10" i="31"/>
  <c r="I9" i="31"/>
  <c r="I8" i="31"/>
  <c r="I7" i="31"/>
  <c r="I6" i="31"/>
  <c r="I5" i="31"/>
  <c r="I4" i="31"/>
  <c r="I3" i="31"/>
  <c r="I70" i="31" s="1"/>
  <c r="L94" i="31" l="1"/>
  <c r="P75" i="31" s="1"/>
  <c r="C73" i="31"/>
  <c r="C76" i="31" s="1"/>
  <c r="C80" i="31" s="1"/>
  <c r="P77" i="31" s="1"/>
  <c r="P78" i="31" s="1"/>
  <c r="M51" i="30" l="1"/>
  <c r="L51" i="30" s="1"/>
  <c r="M50" i="30"/>
  <c r="M55" i="30" s="1"/>
  <c r="L50" i="30"/>
  <c r="M43" i="30"/>
  <c r="L43" i="30" s="1"/>
  <c r="M42" i="30"/>
  <c r="M47" i="30" s="1"/>
  <c r="L42" i="30"/>
  <c r="M39" i="30"/>
  <c r="E36" i="30"/>
  <c r="C36" i="30"/>
  <c r="M35" i="30"/>
  <c r="M34" i="30"/>
  <c r="L34" i="30"/>
  <c r="H34" i="30"/>
  <c r="L35" i="30" s="1"/>
  <c r="E34" i="30"/>
  <c r="E37" i="30" s="1"/>
  <c r="H33" i="30"/>
  <c r="H32" i="30"/>
  <c r="Q31" i="30"/>
  <c r="M52" i="30" s="1"/>
  <c r="L52" i="30" s="1"/>
  <c r="P31" i="30"/>
  <c r="O31" i="30"/>
  <c r="N31" i="30"/>
  <c r="M31" i="30"/>
  <c r="L31" i="30"/>
  <c r="K31" i="30"/>
  <c r="J31" i="30"/>
  <c r="H31" i="30"/>
  <c r="G31" i="30"/>
  <c r="D31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31" i="30" s="1"/>
  <c r="I12" i="30"/>
  <c r="I11" i="30"/>
  <c r="I10" i="30"/>
  <c r="I9" i="30"/>
  <c r="I8" i="30"/>
  <c r="I7" i="30"/>
  <c r="I6" i="30"/>
  <c r="I5" i="30"/>
  <c r="I4" i="30"/>
  <c r="I3" i="30"/>
  <c r="C34" i="30" s="1"/>
  <c r="C37" i="30" s="1"/>
  <c r="C41" i="30" s="1"/>
  <c r="P37" i="30" s="1"/>
  <c r="L39" i="30" l="1"/>
  <c r="P34" i="30" s="1"/>
  <c r="L47" i="30"/>
  <c r="P35" i="30" s="1"/>
  <c r="L55" i="30"/>
  <c r="P36" i="30" s="1"/>
  <c r="P38" i="30" l="1"/>
  <c r="M67" i="29"/>
  <c r="L67" i="29" s="1"/>
  <c r="M66" i="29"/>
  <c r="M71" i="29" s="1"/>
  <c r="L66" i="29"/>
  <c r="M59" i="29"/>
  <c r="L59" i="29" s="1"/>
  <c r="M58" i="29"/>
  <c r="M63" i="29" s="1"/>
  <c r="L58" i="29"/>
  <c r="L63" i="29" s="1"/>
  <c r="P44" i="29" s="1"/>
  <c r="M55" i="29"/>
  <c r="M51" i="29"/>
  <c r="M50" i="29"/>
  <c r="L50" i="29"/>
  <c r="E45" i="29"/>
  <c r="E44" i="29"/>
  <c r="C44" i="29"/>
  <c r="M43" i="29"/>
  <c r="L43" i="29" s="1"/>
  <c r="M42" i="29"/>
  <c r="M47" i="29" s="1"/>
  <c r="L42" i="29"/>
  <c r="H42" i="29"/>
  <c r="E42" i="29"/>
  <c r="C42" i="29"/>
  <c r="C45" i="29" s="1"/>
  <c r="C49" i="29" s="1"/>
  <c r="P46" i="29" s="1"/>
  <c r="H41" i="29"/>
  <c r="H40" i="29"/>
  <c r="L51" i="29" s="1"/>
  <c r="L55" i="29" s="1"/>
  <c r="P43" i="29" s="1"/>
  <c r="Q39" i="29"/>
  <c r="M60" i="29" s="1"/>
  <c r="L60" i="29" s="1"/>
  <c r="P39" i="29"/>
  <c r="O39" i="29"/>
  <c r="N39" i="29"/>
  <c r="M39" i="29"/>
  <c r="L39" i="29"/>
  <c r="K39" i="29"/>
  <c r="J39" i="29"/>
  <c r="H39" i="29"/>
  <c r="G39" i="29"/>
  <c r="D39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39" i="29" s="1"/>
  <c r="L47" i="29" l="1"/>
  <c r="P42" i="29" s="1"/>
  <c r="L71" i="29"/>
  <c r="P45" i="29" s="1"/>
  <c r="P47" i="29" l="1"/>
  <c r="M63" i="28"/>
  <c r="L63" i="28" s="1"/>
  <c r="M62" i="28"/>
  <c r="M67" i="28" s="1"/>
  <c r="L62" i="28"/>
  <c r="M55" i="28"/>
  <c r="M54" i="28"/>
  <c r="M59" i="28" s="1"/>
  <c r="L54" i="28"/>
  <c r="M51" i="28"/>
  <c r="M47" i="28"/>
  <c r="L47" i="28"/>
  <c r="M46" i="28"/>
  <c r="L46" i="28"/>
  <c r="L51" i="28" s="1"/>
  <c r="P39" i="28" s="1"/>
  <c r="M43" i="28"/>
  <c r="E40" i="28"/>
  <c r="C40" i="28"/>
  <c r="M39" i="28"/>
  <c r="L39" i="28"/>
  <c r="M38" i="28"/>
  <c r="L38" i="28"/>
  <c r="H38" i="28"/>
  <c r="E38" i="28"/>
  <c r="E41" i="28" s="1"/>
  <c r="H37" i="28"/>
  <c r="H36" i="28"/>
  <c r="L55" i="28" s="1"/>
  <c r="Q35" i="28"/>
  <c r="P35" i="28"/>
  <c r="O35" i="28"/>
  <c r="N35" i="28"/>
  <c r="M35" i="28"/>
  <c r="L35" i="28"/>
  <c r="K35" i="28"/>
  <c r="J35" i="28"/>
  <c r="H35" i="28"/>
  <c r="G35" i="28"/>
  <c r="D35" i="28"/>
  <c r="I33" i="28"/>
  <c r="I32" i="28"/>
  <c r="I31" i="28"/>
  <c r="I30" i="28"/>
  <c r="I29" i="28"/>
  <c r="I28" i="28"/>
  <c r="I27" i="28"/>
  <c r="I26" i="28"/>
  <c r="I25" i="28"/>
  <c r="I24" i="28"/>
  <c r="I23" i="28"/>
  <c r="I22" i="28"/>
  <c r="I21" i="28"/>
  <c r="I20" i="28"/>
  <c r="I19" i="28"/>
  <c r="I18" i="28"/>
  <c r="I17" i="28"/>
  <c r="I16" i="28"/>
  <c r="I15" i="28"/>
  <c r="I14" i="28"/>
  <c r="I13" i="28"/>
  <c r="I12" i="28"/>
  <c r="I11" i="28"/>
  <c r="I10" i="28"/>
  <c r="I9" i="28"/>
  <c r="I8" i="28"/>
  <c r="I7" i="28"/>
  <c r="I6" i="28"/>
  <c r="I5" i="28"/>
  <c r="I35" i="28" s="1"/>
  <c r="I4" i="28"/>
  <c r="I3" i="28"/>
  <c r="C38" i="28" s="1"/>
  <c r="C41" i="28" s="1"/>
  <c r="C45" i="28" s="1"/>
  <c r="P42" i="28" s="1"/>
  <c r="L59" i="28" l="1"/>
  <c r="P40" i="28" s="1"/>
  <c r="L67" i="28"/>
  <c r="P41" i="28" s="1"/>
  <c r="M40" i="28"/>
  <c r="L40" i="28" s="1"/>
  <c r="L43" i="28" s="1"/>
  <c r="P38" i="28" s="1"/>
  <c r="P43" i="28" s="1"/>
  <c r="M41" i="27" l="1"/>
  <c r="L41" i="27" s="1"/>
  <c r="M40" i="27"/>
  <c r="M45" i="27" s="1"/>
  <c r="L40" i="27"/>
  <c r="M33" i="27"/>
  <c r="L33" i="27" s="1"/>
  <c r="M32" i="27"/>
  <c r="M37" i="27" s="1"/>
  <c r="L32" i="27"/>
  <c r="L37" i="27" s="1"/>
  <c r="P25" i="27" s="1"/>
  <c r="E26" i="27"/>
  <c r="C26" i="27"/>
  <c r="M25" i="27"/>
  <c r="L25" i="27"/>
  <c r="M24" i="27"/>
  <c r="M29" i="27" s="1"/>
  <c r="L24" i="27"/>
  <c r="L29" i="27" s="1"/>
  <c r="P24" i="27" s="1"/>
  <c r="E24" i="27"/>
  <c r="E27" i="27" s="1"/>
  <c r="C24" i="27"/>
  <c r="C27" i="27" s="1"/>
  <c r="C31" i="27" s="1"/>
  <c r="P27" i="27" s="1"/>
  <c r="H23" i="27"/>
  <c r="H22" i="27"/>
  <c r="Q21" i="27"/>
  <c r="M42" i="27" s="1"/>
  <c r="L42" i="27" s="1"/>
  <c r="P21" i="27"/>
  <c r="O21" i="27"/>
  <c r="N21" i="27"/>
  <c r="M21" i="27"/>
  <c r="L21" i="27"/>
  <c r="K21" i="27"/>
  <c r="J21" i="27"/>
  <c r="H21" i="27"/>
  <c r="G21" i="27"/>
  <c r="D21" i="27"/>
  <c r="I19" i="27"/>
  <c r="I18" i="27"/>
  <c r="I17" i="27"/>
  <c r="I16" i="27"/>
  <c r="I15" i="27"/>
  <c r="I14" i="27"/>
  <c r="I13" i="27"/>
  <c r="I12" i="27"/>
  <c r="I11" i="27"/>
  <c r="I10" i="27"/>
  <c r="I9" i="27"/>
  <c r="I8" i="27"/>
  <c r="I7" i="27"/>
  <c r="I6" i="27"/>
  <c r="I5" i="27"/>
  <c r="I4" i="27"/>
  <c r="I3" i="27"/>
  <c r="I21" i="27" s="1"/>
  <c r="L45" i="27" l="1"/>
  <c r="P26" i="27" s="1"/>
  <c r="P28" i="27"/>
  <c r="M33" i="26" l="1"/>
  <c r="L33" i="26"/>
  <c r="M32" i="26"/>
  <c r="M37" i="26" s="1"/>
  <c r="L32" i="26"/>
  <c r="L37" i="26" s="1"/>
  <c r="P25" i="26" s="1"/>
  <c r="M29" i="26"/>
  <c r="E26" i="26"/>
  <c r="C26" i="26"/>
  <c r="M25" i="26"/>
  <c r="L25" i="26"/>
  <c r="M24" i="26"/>
  <c r="L24" i="26"/>
  <c r="L29" i="26" s="1"/>
  <c r="P24" i="26" s="1"/>
  <c r="P27" i="26" s="1"/>
  <c r="H24" i="26"/>
  <c r="E24" i="26"/>
  <c r="E27" i="26" s="1"/>
  <c r="C24" i="26"/>
  <c r="C27" i="26" s="1"/>
  <c r="C31" i="26" s="1"/>
  <c r="P26" i="26" s="1"/>
  <c r="H23" i="26"/>
  <c r="H22" i="26"/>
  <c r="Q21" i="26"/>
  <c r="M26" i="26" s="1"/>
  <c r="L26" i="26" s="1"/>
  <c r="P21" i="26"/>
  <c r="O21" i="26"/>
  <c r="N21" i="26"/>
  <c r="M21" i="26"/>
  <c r="L21" i="26"/>
  <c r="K21" i="26"/>
  <c r="J21" i="26"/>
  <c r="H21" i="26"/>
  <c r="G21" i="26"/>
  <c r="D21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1" i="26" s="1"/>
  <c r="M107" i="25" l="1"/>
  <c r="L107" i="25" s="1"/>
  <c r="M106" i="25"/>
  <c r="M111" i="25" s="1"/>
  <c r="L106" i="25"/>
  <c r="M99" i="25"/>
  <c r="L99" i="25"/>
  <c r="M98" i="25"/>
  <c r="M103" i="25" s="1"/>
  <c r="L98" i="25"/>
  <c r="M91" i="25"/>
  <c r="M90" i="25"/>
  <c r="M95" i="25" s="1"/>
  <c r="L90" i="25"/>
  <c r="M87" i="25"/>
  <c r="E84" i="25"/>
  <c r="C84" i="25"/>
  <c r="M83" i="25"/>
  <c r="L83" i="25" s="1"/>
  <c r="L87" i="25" s="1"/>
  <c r="P82" i="25" s="1"/>
  <c r="M82" i="25"/>
  <c r="L82" i="25"/>
  <c r="H82" i="25"/>
  <c r="E82" i="25"/>
  <c r="E85" i="25" s="1"/>
  <c r="H81" i="25"/>
  <c r="H80" i="25"/>
  <c r="L91" i="25" s="1"/>
  <c r="L95" i="25" s="1"/>
  <c r="P83" i="25" s="1"/>
  <c r="Q79" i="25"/>
  <c r="P79" i="25"/>
  <c r="O79" i="25"/>
  <c r="N79" i="25"/>
  <c r="M79" i="25"/>
  <c r="L79" i="25"/>
  <c r="K79" i="25"/>
  <c r="J79" i="25"/>
  <c r="H79" i="25"/>
  <c r="G79" i="25"/>
  <c r="D79" i="25"/>
  <c r="I77" i="25"/>
  <c r="I76" i="25"/>
  <c r="I75" i="25"/>
  <c r="I74" i="25"/>
  <c r="I73" i="25"/>
  <c r="I72" i="25"/>
  <c r="I71" i="25"/>
  <c r="I70" i="25"/>
  <c r="I69" i="25"/>
  <c r="I68" i="25"/>
  <c r="I67" i="25"/>
  <c r="I66" i="25"/>
  <c r="I65" i="25"/>
  <c r="I64" i="25"/>
  <c r="I63" i="25"/>
  <c r="I62" i="25"/>
  <c r="I61" i="25"/>
  <c r="I60" i="25"/>
  <c r="I59" i="25"/>
  <c r="I58" i="25"/>
  <c r="I57" i="25"/>
  <c r="I56" i="25"/>
  <c r="I55" i="25"/>
  <c r="I54" i="25"/>
  <c r="I53" i="25"/>
  <c r="I52" i="25"/>
  <c r="I51" i="25"/>
  <c r="I50" i="25"/>
  <c r="I49" i="25"/>
  <c r="I48" i="25"/>
  <c r="I47" i="25"/>
  <c r="I46" i="25"/>
  <c r="I45" i="25"/>
  <c r="I44" i="25"/>
  <c r="I43" i="25"/>
  <c r="I42" i="25"/>
  <c r="I41" i="25"/>
  <c r="I40" i="25"/>
  <c r="I39" i="25"/>
  <c r="I38" i="25"/>
  <c r="I37" i="25"/>
  <c r="I36" i="25"/>
  <c r="I35" i="25"/>
  <c r="I34" i="25"/>
  <c r="I33" i="25"/>
  <c r="I32" i="25"/>
  <c r="I31" i="25"/>
  <c r="I30" i="25"/>
  <c r="I29" i="25"/>
  <c r="I28" i="25"/>
  <c r="I27" i="25"/>
  <c r="I26" i="25"/>
  <c r="I25" i="25"/>
  <c r="I24" i="25"/>
  <c r="I23" i="25"/>
  <c r="I22" i="25"/>
  <c r="I21" i="25"/>
  <c r="I20" i="25"/>
  <c r="I19" i="25"/>
  <c r="I18" i="25"/>
  <c r="I17" i="25"/>
  <c r="I16" i="25"/>
  <c r="I15" i="25"/>
  <c r="I14" i="25"/>
  <c r="I13" i="25"/>
  <c r="I12" i="25"/>
  <c r="I11" i="25"/>
  <c r="I10" i="25"/>
  <c r="I9" i="25"/>
  <c r="I8" i="25"/>
  <c r="I7" i="25"/>
  <c r="I6" i="25"/>
  <c r="I5" i="25"/>
  <c r="I4" i="25"/>
  <c r="C82" i="25" s="1"/>
  <c r="C85" i="25" s="1"/>
  <c r="C89" i="25" s="1"/>
  <c r="P86" i="25" s="1"/>
  <c r="I3" i="25"/>
  <c r="I79" i="25" s="1"/>
  <c r="L111" i="25" l="1"/>
  <c r="P85" i="25" s="1"/>
  <c r="M100" i="25"/>
  <c r="L100" i="25" s="1"/>
  <c r="L103" i="25" s="1"/>
  <c r="P84" i="25" s="1"/>
  <c r="P87" i="25" s="1"/>
  <c r="M61" i="24" l="1"/>
  <c r="M58" i="24"/>
  <c r="L58" i="24" s="1"/>
  <c r="M57" i="24"/>
  <c r="L57" i="24"/>
  <c r="M56" i="24"/>
  <c r="L56" i="24"/>
  <c r="L61" i="24" s="1"/>
  <c r="P42" i="24" s="1"/>
  <c r="M49" i="24"/>
  <c r="M48" i="24"/>
  <c r="M53" i="24" s="1"/>
  <c r="L48" i="24"/>
  <c r="M45" i="24"/>
  <c r="E42" i="24"/>
  <c r="M41" i="24"/>
  <c r="L41" i="24"/>
  <c r="M40" i="24"/>
  <c r="L40" i="24"/>
  <c r="L45" i="24" s="1"/>
  <c r="P40" i="24" s="1"/>
  <c r="H40" i="24"/>
  <c r="L49" i="24" s="1"/>
  <c r="E40" i="24"/>
  <c r="E43" i="24" s="1"/>
  <c r="C40" i="24"/>
  <c r="H39" i="24"/>
  <c r="H38" i="24"/>
  <c r="Q37" i="24"/>
  <c r="P37" i="24"/>
  <c r="O37" i="24"/>
  <c r="N37" i="24"/>
  <c r="M37" i="24"/>
  <c r="L37" i="24"/>
  <c r="K37" i="24"/>
  <c r="J37" i="24"/>
  <c r="H37" i="24"/>
  <c r="G37" i="24"/>
  <c r="D37" i="24"/>
  <c r="I35" i="24"/>
  <c r="C42" i="24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6" i="24"/>
  <c r="I5" i="24"/>
  <c r="I4" i="24"/>
  <c r="I3" i="24"/>
  <c r="I37" i="24" s="1"/>
  <c r="L53" i="24" l="1"/>
  <c r="P41" i="24" s="1"/>
  <c r="C43" i="24"/>
  <c r="C47" i="24" s="1"/>
  <c r="P43" i="24" s="1"/>
  <c r="P44" i="24" s="1"/>
  <c r="M57" i="23" l="1"/>
  <c r="L57" i="23" s="1"/>
  <c r="M56" i="23"/>
  <c r="M61" i="23" s="1"/>
  <c r="L56" i="23"/>
  <c r="M50" i="23"/>
  <c r="L50" i="23" s="1"/>
  <c r="M49" i="23"/>
  <c r="L49" i="23" s="1"/>
  <c r="M48" i="23"/>
  <c r="M53" i="23" s="1"/>
  <c r="L48" i="23"/>
  <c r="L53" i="23" s="1"/>
  <c r="P34" i="23" s="1"/>
  <c r="M45" i="23"/>
  <c r="M41" i="23"/>
  <c r="L41" i="23" s="1"/>
  <c r="L45" i="23" s="1"/>
  <c r="P33" i="23" s="1"/>
  <c r="M40" i="23"/>
  <c r="L40" i="23"/>
  <c r="E34" i="23"/>
  <c r="C34" i="23"/>
  <c r="M33" i="23"/>
  <c r="M32" i="23"/>
  <c r="M37" i="23" s="1"/>
  <c r="L32" i="23"/>
  <c r="H32" i="23"/>
  <c r="E32" i="23"/>
  <c r="E35" i="23" s="1"/>
  <c r="H31" i="23"/>
  <c r="H30" i="23"/>
  <c r="L33" i="23" s="1"/>
  <c r="L37" i="23" s="1"/>
  <c r="P32" i="23" s="1"/>
  <c r="Q29" i="23"/>
  <c r="P29" i="23"/>
  <c r="O29" i="23"/>
  <c r="N29" i="23"/>
  <c r="M29" i="23"/>
  <c r="L29" i="23"/>
  <c r="K29" i="23"/>
  <c r="J29" i="23"/>
  <c r="H29" i="23"/>
  <c r="G29" i="23"/>
  <c r="D29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I4" i="23"/>
  <c r="I3" i="23"/>
  <c r="I29" i="23" s="1"/>
  <c r="L61" i="23" l="1"/>
  <c r="P35" i="23" s="1"/>
  <c r="C32" i="23"/>
  <c r="C35" i="23" s="1"/>
  <c r="C39" i="23" s="1"/>
  <c r="P36" i="23" s="1"/>
  <c r="P37" i="23" s="1"/>
  <c r="M67" i="22" l="1"/>
  <c r="L67" i="22"/>
  <c r="M66" i="22"/>
  <c r="M71" i="22" s="1"/>
  <c r="L66" i="22"/>
  <c r="L71" i="22" s="1"/>
  <c r="P45" i="22" s="1"/>
  <c r="M59" i="22"/>
  <c r="L59" i="22"/>
  <c r="M58" i="22"/>
  <c r="M63" i="22" s="1"/>
  <c r="L58" i="22"/>
  <c r="L63" i="22" s="1"/>
  <c r="P44" i="22" s="1"/>
  <c r="M55" i="22"/>
  <c r="M51" i="22"/>
  <c r="L51" i="22"/>
  <c r="L55" i="22" s="1"/>
  <c r="P43" i="22" s="1"/>
  <c r="M50" i="22"/>
  <c r="L50" i="22"/>
  <c r="M47" i="22"/>
  <c r="E45" i="22"/>
  <c r="L44" i="22"/>
  <c r="E44" i="22"/>
  <c r="C44" i="22"/>
  <c r="M43" i="22"/>
  <c r="L43" i="22" s="1"/>
  <c r="L47" i="22" s="1"/>
  <c r="P42" i="22" s="1"/>
  <c r="M42" i="22"/>
  <c r="L42" i="22"/>
  <c r="E42" i="22"/>
  <c r="H39" i="22"/>
  <c r="H38" i="22"/>
  <c r="H37" i="22"/>
  <c r="Q36" i="22"/>
  <c r="P36" i="22"/>
  <c r="O36" i="22"/>
  <c r="N36" i="22"/>
  <c r="M36" i="22"/>
  <c r="L36" i="22"/>
  <c r="K36" i="22"/>
  <c r="J36" i="22"/>
  <c r="H36" i="22"/>
  <c r="G36" i="22"/>
  <c r="D36" i="22"/>
  <c r="I34" i="22"/>
  <c r="I33" i="22"/>
  <c r="I32" i="22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C42" i="22" s="1"/>
  <c r="C45" i="22" s="1"/>
  <c r="C49" i="22" s="1"/>
  <c r="P46" i="22" s="1"/>
  <c r="I7" i="22"/>
  <c r="I6" i="22"/>
  <c r="I5" i="22"/>
  <c r="I4" i="22"/>
  <c r="I3" i="22"/>
  <c r="I36" i="22" s="1"/>
  <c r="P47" i="22" l="1"/>
  <c r="M45" i="21" l="1"/>
  <c r="M44" i="21"/>
  <c r="M49" i="21" s="1"/>
  <c r="L44" i="21"/>
  <c r="M37" i="21"/>
  <c r="M36" i="21"/>
  <c r="M41" i="21" s="1"/>
  <c r="L36" i="21"/>
  <c r="L41" i="21" s="1"/>
  <c r="P29" i="21" s="1"/>
  <c r="E30" i="21"/>
  <c r="M29" i="21"/>
  <c r="M28" i="21"/>
  <c r="M33" i="21" s="1"/>
  <c r="L28" i="21"/>
  <c r="E28" i="21"/>
  <c r="E31" i="21" s="1"/>
  <c r="C28" i="21"/>
  <c r="H25" i="21"/>
  <c r="H24" i="21"/>
  <c r="Q23" i="21"/>
  <c r="P23" i="21"/>
  <c r="O23" i="21"/>
  <c r="N23" i="21"/>
  <c r="M23" i="21"/>
  <c r="L23" i="21"/>
  <c r="K23" i="21"/>
  <c r="J23" i="21"/>
  <c r="H23" i="21"/>
  <c r="G23" i="21"/>
  <c r="D23" i="21"/>
  <c r="I22" i="21"/>
  <c r="C30" i="21" s="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I4" i="21"/>
  <c r="I3" i="21"/>
  <c r="I23" i="21" s="1"/>
  <c r="L29" i="21" l="1"/>
  <c r="C31" i="21"/>
  <c r="C35" i="21" s="1"/>
  <c r="P31" i="21" s="1"/>
  <c r="L33" i="21"/>
  <c r="P28" i="21" s="1"/>
  <c r="L46" i="21"/>
  <c r="L49" i="21" s="1"/>
  <c r="P30" i="21" s="1"/>
  <c r="P32" i="21" l="1"/>
  <c r="M55" i="20" l="1"/>
  <c r="L55" i="20" s="1"/>
  <c r="M54" i="20"/>
  <c r="M59" i="20" s="1"/>
  <c r="L54" i="20"/>
  <c r="M47" i="20"/>
  <c r="M46" i="20"/>
  <c r="M51" i="20" s="1"/>
  <c r="L46" i="20"/>
  <c r="L51" i="20" s="1"/>
  <c r="P32" i="20" s="1"/>
  <c r="M39" i="20"/>
  <c r="L39" i="20" s="1"/>
  <c r="M38" i="20"/>
  <c r="M43" i="20" s="1"/>
  <c r="L38" i="20"/>
  <c r="L43" i="20" s="1"/>
  <c r="P31" i="20" s="1"/>
  <c r="M35" i="20"/>
  <c r="E32" i="20"/>
  <c r="C32" i="20"/>
  <c r="M31" i="20"/>
  <c r="L31" i="20" s="1"/>
  <c r="L35" i="20" s="1"/>
  <c r="P30" i="20" s="1"/>
  <c r="E31" i="20"/>
  <c r="C31" i="20"/>
  <c r="M30" i="20"/>
  <c r="L30" i="20"/>
  <c r="E30" i="20"/>
  <c r="E33" i="20" s="1"/>
  <c r="C30" i="20"/>
  <c r="C33" i="20" s="1"/>
  <c r="C37" i="20" s="1"/>
  <c r="P34" i="20" s="1"/>
  <c r="H28" i="20"/>
  <c r="H27" i="20"/>
  <c r="L47" i="20" s="1"/>
  <c r="Q26" i="20"/>
  <c r="P26" i="20"/>
  <c r="O26" i="20"/>
  <c r="N26" i="20"/>
  <c r="M26" i="20"/>
  <c r="L26" i="20"/>
  <c r="K26" i="20"/>
  <c r="J26" i="20"/>
  <c r="H26" i="20"/>
  <c r="G26" i="20"/>
  <c r="D26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26" i="20" s="1"/>
  <c r="I10" i="20"/>
  <c r="I9" i="20"/>
  <c r="I8" i="20"/>
  <c r="I7" i="20"/>
  <c r="I6" i="20"/>
  <c r="I5" i="20"/>
  <c r="I4" i="20"/>
  <c r="I3" i="20"/>
  <c r="L59" i="20" l="1"/>
  <c r="P33" i="20" s="1"/>
  <c r="P35" i="20" s="1"/>
</calcChain>
</file>

<file path=xl/sharedStrings.xml><?xml version="1.0" encoding="utf-8"?>
<sst xmlns="http://schemas.openxmlformats.org/spreadsheetml/2006/main" count="3825" uniqueCount="1186">
  <si>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</si>
  <si>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</si>
  <si>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</si>
  <si>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</si>
  <si>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</si>
  <si>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</si>
  <si>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</si>
  <si>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</si>
  <si>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</si>
  <si>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</si>
  <si>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</si>
  <si>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</si>
  <si>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</si>
  <si>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</si>
  <si>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</si>
  <si>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</si>
  <si>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</si>
  <si>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</si>
  <si>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c.cuong</t>
  </si>
  <si>
    <t>c.hieu</t>
  </si>
  <si>
    <t>thu duc</t>
  </si>
  <si>
    <t>binh chanh</t>
  </si>
  <si>
    <t>binh tan</t>
  </si>
  <si>
    <t>binh thanh</t>
  </si>
  <si>
    <t>tan phu</t>
  </si>
  <si>
    <t>đơn trả</t>
  </si>
  <si>
    <t>phu nhuan</t>
  </si>
  <si>
    <t>33/9 Quách Văn Tuấn phuong 12</t>
  </si>
  <si>
    <t>tan binh</t>
  </si>
  <si>
    <t>Quỳnh Như</t>
  </si>
  <si>
    <t>go vap</t>
  </si>
  <si>
    <t>Ín Nile</t>
  </si>
  <si>
    <t>429/1 nguyễn kiệm p9</t>
  </si>
  <si>
    <t>hoc mon</t>
  </si>
  <si>
    <t>Anh Nhi Phương hoa (ah ni )</t>
  </si>
  <si>
    <t>Nguyễn Huyền Trang</t>
  </si>
  <si>
    <t>67 duong 14 khu lovera khang điền phong phú 4</t>
  </si>
  <si>
    <t>a.quyen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</si>
  <si>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</si>
  <si>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</si>
  <si>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</si>
  <si>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</si>
  <si>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</si>
  <si>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</si>
  <si>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</si>
  <si>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170F Tân Hòa Đông f14</t>
  </si>
  <si>
    <t>Tiền</t>
  </si>
  <si>
    <t>Số đơn</t>
  </si>
  <si>
    <t>Tiền Thu</t>
  </si>
  <si>
    <t>cod</t>
  </si>
  <si>
    <t>TỔNG ĐƠN NHẬN</t>
  </si>
  <si>
    <t>tiền ship</t>
  </si>
  <si>
    <t>Đơn trả &amp; c.khoản</t>
  </si>
  <si>
    <t>Tiền Hàng Hcm</t>
  </si>
  <si>
    <t>đơn cũ ck</t>
  </si>
  <si>
    <t>nợ cũ</t>
  </si>
  <si>
    <t>THANH TOÁN</t>
  </si>
  <si>
    <t>CK Đủ 100%</t>
  </si>
  <si>
    <t>Bích Huyền</t>
  </si>
  <si>
    <t>duyen my</t>
  </si>
  <si>
    <t>HD136089</t>
  </si>
  <si>
    <t>268/18a le van viet</t>
  </si>
  <si>
    <t>07-03-2026</t>
  </si>
  <si>
    <t>x</t>
  </si>
  <si>
    <t>Giáng Hương</t>
  </si>
  <si>
    <t>111 đường số 10 phường 13</t>
  </si>
  <si>
    <t>đổi hàng</t>
  </si>
  <si>
    <t>gộp</t>
  </si>
  <si>
    <t>luu tra</t>
  </si>
  <si>
    <t>hàng tỉnh</t>
  </si>
  <si>
    <t>xx</t>
  </si>
  <si>
    <t>163 Đường Trương Thị Hoa, phường Tân Thới Hiệp</t>
  </si>
  <si>
    <t>lợi nhuận</t>
  </si>
  <si>
    <t>Sài Gòn</t>
  </si>
  <si>
    <t>tiền lấy</t>
  </si>
  <si>
    <t>đền đơn</t>
  </si>
  <si>
    <t>shop</t>
  </si>
  <si>
    <t>tổng</t>
  </si>
  <si>
    <t>Column1</t>
  </si>
  <si>
    <t>MC Sanita Mao (MV01908)</t>
  </si>
  <si>
    <t>315/18/6 Nguyễn Thị Tú</t>
  </si>
  <si>
    <t>NGÂN KIM</t>
  </si>
  <si>
    <t>NGUYÊN NGUYÊN</t>
  </si>
  <si>
    <t>jenny bouti</t>
  </si>
  <si>
    <t>THU 4</t>
  </si>
  <si>
    <t>_col17</t>
  </si>
  <si>
    <t>Heng Roza (EV38382)</t>
  </si>
  <si>
    <t>315/18/6 Nhuyễn Thị Tú, Phường Bình Hưng Hòa B</t>
  </si>
  <si>
    <t>Thảo Nguyên</t>
  </si>
  <si>
    <t>chung cư Garden Court 2, đ.Tôn Dật Tiên</t>
  </si>
  <si>
    <t>Dung Nguyễn</t>
  </si>
  <si>
    <t>Trâm Nguyễn</t>
  </si>
  <si>
    <t>462/ A 17 Đường 3/2 P12</t>
  </si>
  <si>
    <t>Xe Phy Phy</t>
  </si>
  <si>
    <t>41/8 Mai Lão Bạng, Phường 13</t>
  </si>
  <si>
    <t>Mai Nhung</t>
  </si>
  <si>
    <t>Sun Na</t>
  </si>
  <si>
    <t>Chung cư cardinal court toà B</t>
  </si>
  <si>
    <t>shop chịu ship</t>
  </si>
  <si>
    <t>Hoàng Kim</t>
  </si>
  <si>
    <t>Dream Home Palace (1436 Trịnh Quang Nghị, P7)</t>
  </si>
  <si>
    <t>Thụy An Dao</t>
  </si>
  <si>
    <t>tinh</t>
  </si>
  <si>
    <t>g nghi</t>
  </si>
  <si>
    <t>12 TÔN ĐẢN P13</t>
  </si>
  <si>
    <t>170F Tân Hoà Đông f14</t>
  </si>
  <si>
    <t>Nhung Xuxy</t>
  </si>
  <si>
    <t>2/11 thiên phước phường 9</t>
  </si>
  <si>
    <t>Trừ Ship</t>
  </si>
  <si>
    <t>Nguyễn Kim Ngân</t>
  </si>
  <si>
    <t>HD002716</t>
  </si>
  <si>
    <t>Lavida Plus, Nguyễn Văn Linh, Tân Phong</t>
  </si>
  <si>
    <t>AT 18-03</t>
  </si>
  <si>
    <t>18-03-2026</t>
  </si>
  <si>
    <t>Phương Đào</t>
  </si>
  <si>
    <t>HD002836</t>
  </si>
  <si>
    <t>100/1 B khu phố1, đường Tân thới nhất 11,phường Tân thới nhất</t>
  </si>
  <si>
    <t>Jenny Tran</t>
  </si>
  <si>
    <t>HD002603</t>
  </si>
  <si>
    <t>737/1C Lạc Long Quân F10</t>
  </si>
  <si>
    <t>Pé Py</t>
  </si>
  <si>
    <t>HD002724</t>
  </si>
  <si>
    <t>47 bùi đình tuý, P14</t>
  </si>
  <si>
    <t>HD002625</t>
  </si>
  <si>
    <t>Ngọc Trương</t>
  </si>
  <si>
    <t>HD002835</t>
  </si>
  <si>
    <t>462 phan xích long p2</t>
  </si>
  <si>
    <t>Ngọc Lan</t>
  </si>
  <si>
    <t>HD002643</t>
  </si>
  <si>
    <t>13 mai xuân thưởng, p11</t>
  </si>
  <si>
    <t>W3235</t>
  </si>
  <si>
    <t>HD002687</t>
  </si>
  <si>
    <t>Địa chỉ: 375 tân thới hiệp 21, Tổ 3,Kp3 ( nhớ gỗ đủ)</t>
  </si>
  <si>
    <t>Võ Thu Hà</t>
  </si>
  <si>
    <t>HD002809</t>
  </si>
  <si>
    <t>262/15 lũy bán bích, hòa thạch</t>
  </si>
  <si>
    <t>Chocopie Nguyen</t>
  </si>
  <si>
    <t>HD002660</t>
  </si>
  <si>
    <t>2 đường 22 phường long bình</t>
  </si>
  <si>
    <t>Thanh Tiên</t>
  </si>
  <si>
    <t>HD002513</t>
  </si>
  <si>
    <t>54/17b tô ngọc vân, Thạnh xuân</t>
  </si>
  <si>
    <t>Cherry Nguyễn</t>
  </si>
  <si>
    <t>HD002837</t>
  </si>
  <si>
    <t>66 hùng vương p1</t>
  </si>
  <si>
    <t>HD002700</t>
  </si>
  <si>
    <t>Ly Na</t>
  </si>
  <si>
    <t>HD002697</t>
  </si>
  <si>
    <t>98 vũ tông phan, p bình trưng</t>
  </si>
  <si>
    <t>lindsiepham</t>
  </si>
  <si>
    <t>HD002689</t>
  </si>
  <si>
    <t>landmark 5b vinhomes central park</t>
  </si>
  <si>
    <t>VICKY TRAN</t>
  </si>
  <si>
    <t>127/17 bình lợi p13</t>
  </si>
  <si>
    <t>May Oo (Isabella)</t>
  </si>
  <si>
    <t>494/1/12 le quang dinh,P1</t>
  </si>
  <si>
    <t>at 18-03</t>
  </si>
  <si>
    <t>NGAY 18-3</t>
  </si>
  <si>
    <t>PUNLORK</t>
  </si>
  <si>
    <t>Hồng Vân</t>
  </si>
  <si>
    <t>HD002584</t>
  </si>
  <si>
    <t>76 đặng nghiêm phường long thạnh mỹ</t>
  </si>
  <si>
    <t>17-03-2026</t>
  </si>
  <si>
    <t>T8-20 mahattan vinhomes Grand park</t>
  </si>
  <si>
    <t>HD002461</t>
  </si>
  <si>
    <t>AT 17-03</t>
  </si>
  <si>
    <t>MIE</t>
  </si>
  <si>
    <t>TUYẾT NHI ZL2</t>
  </si>
  <si>
    <t>HD002443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</si>
  <si>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</si>
  <si>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</si>
  <si>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</si>
  <si>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</si>
  <si>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</si>
  <si>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</si>
  <si>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</si>
  <si>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</si>
  <si>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</si>
  <si>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</si>
  <si>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</si>
  <si>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</si>
  <si>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Ngọc Thao Vu</t>
  </si>
  <si>
    <t>HD002439</t>
  </si>
  <si>
    <t>Riviera Points ( The View- Tháp 6) 02 Nguyễn văn tưởng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</si>
  <si>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</si>
  <si>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</si>
  <si>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</si>
  <si>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</si>
  <si>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</si>
  <si>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</si>
  <si>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Nguyễn Trương Phương Oanh</t>
  </si>
  <si>
    <t>HD002339</t>
  </si>
  <si>
    <t>125/42/2 Bùi Đình Tuý, phường 14</t>
  </si>
  <si>
    <t>An An</t>
  </si>
  <si>
    <t>HD002510</t>
  </si>
  <si>
    <t>115 Trần Thị Nghỉ, Hạnh Thông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</si>
  <si>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</si>
  <si>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</si>
  <si>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</si>
  <si>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</si>
  <si>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</si>
  <si>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</si>
  <si>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</si>
  <si>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</si>
  <si>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</si>
  <si>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</si>
  <si>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</si>
  <si>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</si>
  <si>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</si>
  <si>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</si>
  <si>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</si>
  <si>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at 17-03</t>
  </si>
  <si>
    <t>thu hộ shop</t>
  </si>
  <si>
    <t>sha sha</t>
  </si>
  <si>
    <t>HD002320</t>
  </si>
  <si>
    <t>532/3/6 kinh duong vuong</t>
  </si>
  <si>
    <t>16-03-2026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</si>
  <si>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</si>
  <si>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</si>
  <si>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</si>
  <si>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</si>
  <si>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</si>
  <si>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</si>
  <si>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Lâm Tiên</t>
  </si>
  <si>
    <t>HD003140</t>
  </si>
  <si>
    <t>961 Hậu Giang, Lô D, Chung Cư An Phú</t>
  </si>
  <si>
    <t>Trinh</t>
  </si>
  <si>
    <t>HD003016</t>
  </si>
  <si>
    <t>105 lý phục man bình thuận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</si>
  <si>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</si>
  <si>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</si>
  <si>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</si>
  <si>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</si>
  <si>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</si>
  <si>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</si>
  <si>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</si>
  <si>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</si>
  <si>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</si>
  <si>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</si>
  <si>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</si>
  <si>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</si>
  <si>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</si>
  <si>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</si>
  <si>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</si>
  <si>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</si>
  <si>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</si>
  <si>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</si>
  <si>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</si>
  <si>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</si>
  <si>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</si>
  <si>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</si>
  <si>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</si>
  <si>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HD003018</t>
  </si>
  <si>
    <t>HD003092</t>
  </si>
  <si>
    <t>007 LÔ B, Đường Cô, C/C Tây Thanh, P. Tây Thạnh</t>
  </si>
  <si>
    <t>Kim Liên</t>
  </si>
  <si>
    <t>HD003047</t>
  </si>
  <si>
    <t>hẻm 10/4 tên quý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</si>
  <si>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</si>
  <si>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</si>
  <si>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</si>
  <si>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</si>
  <si>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</si>
  <si>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</si>
  <si>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</si>
  <si>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</si>
  <si>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</si>
  <si>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</si>
  <si>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</si>
  <si>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</si>
  <si>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</si>
  <si>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</si>
  <si>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</si>
  <si>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</si>
  <si>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</si>
  <si>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</si>
  <si>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</si>
  <si>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</si>
  <si>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</si>
  <si>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</si>
  <si>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</si>
  <si>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</si>
  <si>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</si>
  <si>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</si>
  <si>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</si>
  <si>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</si>
  <si>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</si>
  <si>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</si>
  <si>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</si>
  <si>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</si>
  <si>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</si>
  <si>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kim ngân</t>
  </si>
  <si>
    <t>HD002974</t>
  </si>
  <si>
    <t>162 đường số 3 xã bình hưng</t>
  </si>
  <si>
    <t>HD002898</t>
  </si>
  <si>
    <t>162 đường số 3, Trung Sơn, Bình Hưng</t>
  </si>
  <si>
    <t>Linh</t>
  </si>
  <si>
    <t>B12-03 Block B, botanica premier, 112 hồng hà p2</t>
  </si>
  <si>
    <t>at 19-03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</si>
  <si>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</si>
  <si>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</si>
  <si>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</si>
  <si>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</si>
  <si>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</si>
  <si>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</si>
  <si>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</si>
  <si>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</si>
  <si>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</si>
  <si>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</si>
  <si>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</si>
  <si>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</si>
  <si>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</si>
  <si>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</si>
  <si>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</si>
  <si>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</si>
  <si>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</si>
  <si>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HD003296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</si>
  <si>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</si>
  <si>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</si>
  <si>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</si>
  <si>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</si>
  <si>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</si>
  <si>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</si>
  <si>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nha be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</si>
  <si>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</si>
  <si>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</si>
  <si>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</si>
  <si>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</si>
  <si>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</si>
  <si>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</si>
  <si>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</si>
  <si>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</si>
  <si>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</si>
  <si>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</si>
  <si>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</si>
  <si>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</si>
  <si>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</si>
  <si>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</si>
  <si>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</si>
  <si>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</si>
  <si>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</si>
  <si>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</si>
  <si>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</si>
  <si>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</si>
  <si>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</si>
  <si>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</si>
  <si>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</si>
  <si>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</si>
  <si>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</si>
  <si>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</si>
  <si>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</si>
  <si>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</si>
  <si>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</si>
  <si>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</si>
  <si>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</si>
  <si>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</si>
  <si>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</si>
  <si>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</si>
  <si>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</si>
  <si>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</si>
  <si>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</si>
  <si>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</si>
  <si>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</si>
  <si>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at 20-03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</si>
  <si>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</si>
  <si>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</si>
  <si>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</si>
  <si>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</si>
  <si>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</si>
  <si>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</si>
  <si>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</si>
  <si>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</si>
  <si>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</si>
  <si>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</si>
  <si>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</si>
  <si>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</si>
  <si>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</si>
  <si>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</si>
  <si>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</si>
  <si>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</si>
  <si>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</si>
  <si>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</si>
  <si>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</si>
  <si>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</si>
  <si>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</si>
  <si>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</si>
  <si>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</si>
  <si>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</si>
  <si>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</si>
  <si>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</si>
  <si>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</si>
  <si>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</si>
  <si>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</si>
  <si>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</si>
  <si>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</si>
  <si>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</si>
  <si>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</si>
  <si>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</si>
  <si>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</si>
  <si>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</si>
  <si>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</si>
  <si>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</si>
  <si>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</si>
  <si>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</si>
  <si>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</si>
  <si>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</si>
  <si>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</si>
  <si>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</si>
  <si>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</si>
  <si>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</si>
  <si>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</si>
  <si>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</si>
  <si>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</si>
  <si>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</si>
  <si>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</si>
  <si>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</si>
  <si>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</si>
  <si>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</si>
  <si>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</si>
  <si>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</si>
  <si>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</si>
  <si>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</si>
  <si>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</si>
  <si>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</si>
  <si>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</si>
  <si>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</si>
  <si>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</si>
  <si>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</si>
  <si>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</si>
  <si>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</si>
  <si>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</si>
  <si>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</si>
  <si>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</si>
  <si>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</si>
  <si>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</si>
  <si>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</si>
  <si>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</si>
  <si>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</si>
  <si>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</si>
  <si>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</si>
  <si>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</si>
  <si>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</si>
  <si>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</si>
  <si>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</si>
  <si>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</si>
  <si>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</si>
  <si>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</si>
  <si>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</si>
  <si>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</si>
  <si>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</si>
  <si>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</si>
  <si>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at 21-03</t>
  </si>
  <si>
    <t>Ruby Thao Tran</t>
  </si>
  <si>
    <t>HD004126</t>
  </si>
  <si>
    <t>86/2 đình phong Phu Tang Nhơn Phú</t>
  </si>
  <si>
    <t>23-03-2026</t>
  </si>
  <si>
    <t>Mai Thị Thu Phương</t>
  </si>
  <si>
    <t>HD003912</t>
  </si>
  <si>
    <t>Đường Số 297 Hẻm 5 Số Nhà 35/31D, Phường Phước Long B</t>
  </si>
  <si>
    <t>HD004240</t>
  </si>
  <si>
    <t>AT 23-03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</si>
  <si>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</si>
  <si>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</si>
  <si>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</si>
  <si>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</si>
  <si>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</si>
  <si>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</si>
  <si>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</si>
  <si>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</si>
  <si>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</si>
  <si>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</si>
  <si>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</si>
  <si>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</si>
  <si>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</si>
  <si>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</si>
  <si>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</si>
  <si>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</si>
  <si>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</si>
  <si>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</si>
  <si>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</si>
  <si>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</si>
  <si>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</si>
  <si>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</si>
  <si>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</si>
  <si>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</si>
  <si>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</si>
  <si>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</si>
  <si>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</si>
  <si>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</si>
  <si>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</si>
  <si>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</si>
  <si>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</si>
  <si>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</si>
  <si>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</si>
  <si>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</si>
  <si>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</si>
  <si>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</si>
  <si>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</si>
  <si>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</si>
  <si>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</si>
  <si>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</si>
  <si>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</si>
  <si>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</si>
  <si>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</si>
  <si>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</si>
  <si>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</si>
  <si>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</si>
  <si>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HD004125</t>
  </si>
  <si>
    <t>Nguyễn Phương Thảo</t>
  </si>
  <si>
    <t>HD004071</t>
  </si>
  <si>
    <t>Địa chỉ 97 Thành Công Tân Thành</t>
  </si>
  <si>
    <t>HD003772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</si>
  <si>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</si>
  <si>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</si>
  <si>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</si>
  <si>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</si>
  <si>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</si>
  <si>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</si>
  <si>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</si>
  <si>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</si>
  <si>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</si>
  <si>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</si>
  <si>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</si>
  <si>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</si>
  <si>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Chung cư Sunshine, 23 Phú Thuận Tân Phú</t>
  </si>
  <si>
    <t>Tuyết Nhi ZL2</t>
  </si>
  <si>
    <t>My Yến</t>
  </si>
  <si>
    <t>HD004141</t>
  </si>
  <si>
    <t>334/33/1C Chu văn an, phường 12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</si>
  <si>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</si>
  <si>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</si>
  <si>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</si>
  <si>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</si>
  <si>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</si>
  <si>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</si>
  <si>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</si>
  <si>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</si>
  <si>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</si>
  <si>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</si>
  <si>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</si>
  <si>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</si>
  <si>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</si>
  <si>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</si>
  <si>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</si>
  <si>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</si>
  <si>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</si>
  <si>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</si>
  <si>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</si>
  <si>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</si>
  <si>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</si>
  <si>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</si>
  <si>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</si>
  <si>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</si>
  <si>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</si>
  <si>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</si>
  <si>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</si>
  <si>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</si>
  <si>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</si>
  <si>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</si>
  <si>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</si>
  <si>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</si>
  <si>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</si>
  <si>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</si>
  <si>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</si>
  <si>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</si>
  <si>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</si>
  <si>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</si>
  <si>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</si>
  <si>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</si>
  <si>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</si>
  <si>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</si>
  <si>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</si>
  <si>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</si>
  <si>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</si>
  <si>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</si>
  <si>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</si>
  <si>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</si>
  <si>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</si>
  <si>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</si>
  <si>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</si>
  <si>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</si>
  <si>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</si>
  <si>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</si>
  <si>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</si>
  <si>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</si>
  <si>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</si>
  <si>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</si>
  <si>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</si>
  <si>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</si>
  <si>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</si>
  <si>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</si>
  <si>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HD003937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</si>
  <si>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</si>
  <si>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</si>
  <si>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</si>
  <si>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</si>
  <si>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</si>
  <si>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</si>
  <si>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</si>
  <si>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</si>
  <si>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</si>
  <si>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</si>
  <si>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</si>
  <si>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</si>
  <si>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</si>
  <si>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</si>
  <si>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</si>
  <si>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</si>
  <si>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</si>
  <si>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</si>
  <si>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</si>
  <si>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</si>
  <si>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</si>
  <si>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</si>
  <si>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</si>
  <si>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</si>
  <si>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</si>
  <si>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</si>
  <si>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</si>
  <si>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</si>
  <si>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</si>
  <si>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</si>
  <si>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</si>
  <si>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</si>
  <si>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</si>
  <si>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</si>
  <si>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</si>
  <si>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</si>
  <si>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</si>
  <si>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</si>
  <si>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</si>
  <si>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</si>
  <si>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Mai Thuy Lin</t>
  </si>
  <si>
    <t>HD003835</t>
  </si>
  <si>
    <t>Số 10A đại lộ hữu nghị</t>
  </si>
  <si>
    <t>at 23-03</t>
  </si>
  <si>
    <t>HD004392</t>
  </si>
  <si>
    <t>AT 24-03</t>
  </si>
  <si>
    <t>24-03-2026</t>
  </si>
  <si>
    <t>Thanh Hiền</t>
  </si>
  <si>
    <t>HD004324</t>
  </si>
  <si>
    <t>Block D1, Chung cư Hoàng Anh Gia Lai 3, Đường Nguyễn Hữu Thọ, xã Phước Kiến</t>
  </si>
  <si>
    <t>chuột ( fb Pon Nis)</t>
  </si>
  <si>
    <t>HD004468</t>
  </si>
  <si>
    <t>68 Tây Lân,P.Bình Trị Đông A</t>
  </si>
  <si>
    <t>HD004388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</si>
  <si>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</si>
  <si>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</si>
  <si>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</si>
  <si>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</si>
  <si>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</si>
  <si>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</si>
  <si>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</si>
  <si>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</si>
  <si>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</si>
  <si>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</si>
  <si>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</si>
  <si>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</si>
  <si>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Đinh Thị Băng Tâm</t>
  </si>
  <si>
    <t>HD004375</t>
  </si>
  <si>
    <t>138/7 bùi thị xuân bến thành</t>
  </si>
  <si>
    <t>Mien Tran</t>
  </si>
  <si>
    <t>14 Lam Thi Ho, Tan Chanh Hiep Ward</t>
  </si>
  <si>
    <t>SUSI</t>
  </si>
  <si>
    <t>22,TÂN THỚI NHẤT 1B, Phường Tân Thới Nhất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</si>
  <si>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</si>
  <si>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</si>
  <si>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</si>
  <si>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</si>
  <si>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</si>
  <si>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</si>
  <si>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Qiun</t>
  </si>
  <si>
    <t>HD004338</t>
  </si>
  <si>
    <t>92/10e đường số 2 P Trường Thọ</t>
  </si>
  <si>
    <t>( Cô Trang Giáo Viên )</t>
  </si>
  <si>
    <t>HD004334</t>
  </si>
  <si>
    <t>Địa chỉ: Trường tiểu học Lê Văn Thọ, ở 1115 Lê Đức Thọ, phường An Hội Đông (phường 13 cũ)</t>
  </si>
  <si>
    <t>BN2422 somsom(inst -som_sompimvipa)</t>
  </si>
  <si>
    <t>HD004367</t>
  </si>
  <si>
    <t>163 Đường Trương Thị Hoa, phường Hiệp Thành</t>
  </si>
  <si>
    <t>Thảo Li</t>
  </si>
  <si>
    <t>HD004411</t>
  </si>
  <si>
    <t>1264/57/45D Lê Đức Thọ P13</t>
  </si>
  <si>
    <t>at 24-03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</si>
  <si>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</si>
  <si>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</si>
  <si>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</si>
  <si>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</si>
  <si>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</si>
  <si>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</si>
  <si>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</si>
  <si>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</si>
  <si>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</si>
  <si>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</si>
  <si>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</si>
  <si>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</si>
  <si>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</si>
  <si>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</si>
  <si>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</si>
  <si>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</si>
  <si>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</si>
  <si>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</si>
  <si>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</si>
  <si>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</si>
  <si>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</si>
  <si>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</si>
  <si>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</si>
  <si>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</si>
  <si>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</si>
  <si>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</si>
  <si>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</si>
  <si>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</si>
  <si>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</si>
  <si>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</si>
  <si>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</si>
  <si>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</si>
  <si>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</si>
  <si>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</si>
  <si>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</si>
  <si>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</si>
  <si>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</si>
  <si>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</si>
  <si>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</si>
  <si>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</si>
  <si>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</si>
  <si>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</si>
  <si>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</si>
  <si>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</si>
  <si>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</si>
  <si>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</si>
  <si>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</si>
  <si>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</si>
  <si>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</si>
  <si>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</si>
  <si>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</si>
  <si>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</si>
  <si>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at 25-03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</si>
  <si>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</si>
  <si>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</si>
  <si>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</si>
  <si>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</si>
  <si>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</si>
  <si>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</si>
  <si>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</si>
  <si>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</si>
  <si>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</si>
  <si>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</si>
  <si>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</si>
  <si>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</si>
  <si>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</si>
  <si>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</si>
  <si>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</si>
  <si>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</si>
  <si>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</si>
  <si>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</si>
  <si>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</si>
  <si>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</si>
  <si>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</si>
  <si>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</si>
  <si>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</si>
  <si>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</si>
  <si>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</si>
  <si>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</si>
  <si>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</si>
  <si>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</si>
  <si>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</si>
  <si>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</si>
  <si>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</si>
  <si>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</si>
  <si>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</si>
  <si>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</si>
  <si>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</si>
  <si>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</si>
  <si>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</si>
  <si>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</si>
  <si>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</si>
  <si>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</si>
  <si>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</si>
  <si>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</si>
  <si>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</si>
  <si>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</si>
  <si>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</si>
  <si>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</si>
  <si>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</si>
  <si>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</si>
  <si>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</si>
  <si>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</si>
  <si>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</si>
  <si>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</si>
  <si>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</si>
  <si>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</si>
  <si>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</si>
  <si>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</si>
  <si>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</si>
  <si>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</si>
  <si>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</si>
  <si>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</si>
  <si>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</si>
  <si>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</si>
  <si>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</si>
  <si>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</si>
  <si>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</si>
  <si>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</si>
  <si>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</si>
  <si>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</si>
  <si>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</si>
  <si>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</si>
  <si>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</si>
  <si>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</si>
  <si>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</si>
  <si>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</si>
  <si>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</si>
  <si>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</si>
  <si>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</si>
  <si>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</si>
  <si>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</si>
  <si>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</si>
  <si>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</si>
  <si>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</si>
  <si>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</si>
  <si>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</si>
  <si>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</si>
  <si>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</si>
  <si>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</si>
  <si>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</si>
  <si>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</si>
  <si>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</si>
  <si>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</si>
  <si>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</si>
  <si>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at 26-03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</si>
  <si>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</si>
  <si>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</si>
  <si>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</si>
  <si>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</si>
  <si>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</si>
  <si>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</si>
  <si>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</si>
  <si>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</si>
  <si>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</si>
  <si>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</si>
  <si>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</si>
  <si>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</si>
  <si>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</si>
  <si>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</si>
  <si>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</si>
  <si>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</si>
  <si>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</si>
  <si>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</si>
  <si>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</si>
  <si>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</si>
  <si>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</si>
  <si>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</si>
  <si>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</si>
  <si>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</si>
  <si>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</si>
  <si>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</si>
  <si>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</si>
  <si>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</si>
  <si>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</si>
  <si>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</si>
  <si>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</si>
  <si>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</si>
  <si>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</si>
  <si>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</si>
  <si>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</si>
  <si>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</si>
  <si>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</si>
  <si>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</si>
  <si>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</si>
  <si>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</si>
  <si>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</si>
  <si>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</si>
  <si>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</si>
  <si>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</si>
  <si>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</si>
  <si>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</si>
  <si>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</si>
  <si>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</si>
  <si>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</si>
  <si>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</si>
  <si>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</si>
  <si>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</si>
  <si>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</si>
  <si>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</si>
  <si>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</si>
  <si>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</si>
  <si>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</si>
  <si>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</si>
  <si>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</si>
  <si>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</si>
  <si>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</si>
  <si>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</si>
  <si>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</si>
  <si>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</si>
  <si>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</si>
  <si>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</si>
  <si>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</si>
  <si>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</si>
  <si>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</si>
  <si>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</si>
  <si>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</si>
  <si>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</si>
  <si>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</si>
  <si>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</si>
  <si>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</si>
  <si>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</si>
  <si>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</si>
  <si>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</si>
  <si>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</si>
  <si>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</si>
  <si>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</si>
  <si>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</si>
  <si>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</si>
  <si>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</si>
  <si>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</si>
  <si>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</si>
  <si>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</si>
  <si>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</si>
  <si>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</si>
  <si>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</si>
  <si>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</si>
  <si>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</si>
  <si>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</si>
  <si>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</si>
  <si>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</si>
  <si>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</si>
  <si>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at 27-03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</si>
  <si>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</si>
  <si>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</si>
  <si>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</si>
  <si>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</si>
  <si>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</si>
  <si>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</si>
  <si>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</si>
  <si>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</si>
  <si>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</si>
  <si>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</si>
  <si>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</si>
  <si>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</si>
  <si>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</si>
  <si>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</si>
  <si>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</si>
  <si>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</si>
  <si>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</si>
  <si>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</si>
  <si>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</si>
  <si>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</si>
  <si>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</si>
  <si>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</si>
  <si>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</si>
  <si>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</si>
  <si>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</si>
  <si>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</si>
  <si>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</si>
  <si>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</si>
  <si>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</si>
  <si>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</si>
  <si>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</si>
  <si>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</si>
  <si>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</si>
  <si>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</si>
  <si>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</si>
  <si>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</si>
  <si>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</si>
  <si>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</si>
  <si>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</si>
  <si>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</si>
  <si>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</si>
  <si>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</si>
  <si>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</si>
  <si>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</si>
  <si>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</si>
  <si>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</si>
  <si>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</si>
  <si>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</si>
  <si>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</si>
  <si>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</si>
  <si>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</si>
  <si>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</si>
  <si>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</si>
  <si>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</si>
  <si>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</si>
  <si>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</si>
  <si>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</si>
  <si>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</si>
  <si>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</si>
  <si>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</si>
  <si>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</si>
  <si>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</si>
  <si>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</si>
  <si>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</si>
  <si>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</si>
  <si>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</si>
  <si>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</si>
  <si>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</si>
  <si>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</si>
  <si>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</si>
  <si>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</si>
  <si>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</si>
  <si>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</si>
  <si>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</si>
  <si>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</si>
  <si>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at 28-03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</si>
  <si>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</si>
  <si>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</si>
  <si>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</si>
  <si>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</si>
  <si>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</si>
  <si>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</si>
  <si>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</si>
  <si>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</si>
  <si>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</si>
  <si>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</si>
  <si>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</si>
  <si>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</si>
  <si>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</si>
  <si>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</si>
  <si>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</si>
  <si>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</si>
  <si>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</si>
  <si>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</si>
  <si>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</si>
  <si>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</si>
  <si>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</si>
  <si>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</si>
  <si>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</si>
  <si>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</si>
  <si>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</si>
  <si>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</si>
  <si>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</si>
  <si>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</si>
  <si>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</si>
  <si>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</si>
  <si>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</si>
  <si>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</si>
  <si>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</si>
  <si>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</si>
  <si>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</si>
  <si>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</si>
  <si>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</si>
  <si>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</si>
  <si>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</si>
  <si>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</si>
  <si>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</si>
  <si>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</si>
  <si>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</si>
  <si>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</si>
  <si>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</si>
  <si>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</si>
  <si>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</si>
  <si>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</si>
  <si>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</si>
  <si>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</si>
  <si>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</si>
  <si>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</si>
  <si>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</si>
  <si>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</si>
  <si>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</si>
  <si>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</si>
  <si>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</si>
  <si>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</si>
  <si>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</si>
  <si>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</si>
  <si>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</si>
  <si>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</si>
  <si>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</si>
  <si>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</si>
  <si>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</si>
  <si>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</si>
  <si>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</si>
  <si>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</si>
  <si>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</si>
  <si>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</si>
  <si>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</si>
  <si>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</si>
  <si>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</si>
  <si>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</si>
  <si>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</si>
  <si>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</si>
  <si>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</si>
  <si>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</si>
  <si>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</si>
  <si>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</si>
  <si>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</si>
  <si>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</si>
  <si>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</si>
  <si>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</si>
  <si>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</si>
  <si>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</si>
  <si>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</si>
  <si>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</si>
  <si>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</si>
  <si>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</si>
  <si>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</si>
  <si>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</si>
  <si>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</si>
  <si>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</si>
  <si>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</si>
  <si>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</si>
  <si>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</si>
  <si>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</si>
  <si>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</si>
  <si>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</si>
  <si>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</si>
  <si>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</si>
  <si>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</si>
  <si>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</si>
  <si>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</si>
  <si>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</si>
  <si>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</si>
  <si>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</si>
  <si>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</si>
  <si>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</si>
  <si>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</si>
  <si>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</si>
  <si>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</si>
  <si>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</si>
  <si>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</si>
  <si>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</si>
  <si>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</si>
  <si>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</si>
  <si>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</si>
  <si>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</si>
  <si>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</si>
  <si>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</si>
  <si>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</si>
  <si>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</si>
  <si>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</si>
  <si>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</si>
  <si>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</si>
  <si>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</si>
  <si>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</si>
  <si>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</si>
  <si>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</si>
  <si>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</si>
  <si>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</si>
  <si>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</si>
  <si>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</si>
  <si>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</si>
  <si>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</si>
  <si>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</si>
  <si>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</si>
  <si>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</si>
  <si>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</si>
  <si>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</si>
  <si>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</si>
  <si>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</si>
  <si>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</si>
  <si>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</si>
  <si>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</si>
  <si>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</si>
  <si>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</si>
  <si>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</si>
  <si>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</si>
  <si>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</si>
  <si>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</si>
  <si>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</si>
  <si>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</si>
  <si>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</si>
  <si>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</si>
  <si>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</si>
  <si>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</si>
  <si>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</si>
  <si>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</si>
  <si>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</si>
  <si>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</si>
  <si>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</si>
  <si>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</si>
  <si>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</si>
  <si>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</si>
  <si>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</si>
  <si>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</si>
  <si>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</si>
  <si>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</si>
  <si>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</si>
  <si>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at 30-03</t>
  </si>
  <si>
    <t>THÁNG 3</t>
  </si>
  <si>
    <t>NGÀY</t>
  </si>
  <si>
    <t>ĐƠN NHẬN</t>
  </si>
  <si>
    <t>ĐƠN GỘP</t>
  </si>
  <si>
    <t>ĐƠN TRẢ</t>
  </si>
  <si>
    <t>ĐƠN GIAO ĐƯỢC</t>
  </si>
  <si>
    <t>Doanh thu</t>
  </si>
  <si>
    <t>Số đơn thành công</t>
  </si>
  <si>
    <t>Lương</t>
  </si>
  <si>
    <t>Lợi nhuận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</si>
</sst>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d\-m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Calibri"/>
      <family val="2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63"/>
      <scheme val="minor"/>
    </font>
    <font>
      <sz val="11"/>
      <color rgb="FFFF0000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8" fillId="0" borderId="0" applyBorder="0"/>
  </cellStyleXfs>
  <cellXfs count="61">
    <xf numFmtId="0" fontId="0" fillId="0" borderId="0" xfId="0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3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8" borderId="0" xfId="0" applyFill="1"/>
    <xf numFmtId="0" fontId="1" fillId="2" borderId="0" xfId="1" applyFont="1" applyFill="1"/>
    <xf numFmtId="0" fontId="5" fillId="0" borderId="0" xfId="1"/>
    <xf numFmtId="3" fontId="5" fillId="0" borderId="0" xfId="1" applyNumberFormat="1"/>
    <xf numFmtId="0" fontId="1" fillId="3" borderId="0" xfId="1" applyFont="1" applyFill="1"/>
    <xf numFmtId="0" fontId="1" fillId="0" borderId="0" xfId="1" applyFont="1"/>
    <xf numFmtId="0" fontId="1" fillId="4" borderId="0" xfId="1" applyFont="1" applyFill="1"/>
    <xf numFmtId="0" fontId="5" fillId="3" borderId="0" xfId="1" applyFill="1"/>
    <xf numFmtId="0" fontId="2" fillId="0" borderId="0" xfId="1" applyFont="1"/>
    <xf numFmtId="0" fontId="5" fillId="8" borderId="0" xfId="1" applyFill="1"/>
    <xf numFmtId="0" fontId="1" fillId="5" borderId="0" xfId="1" applyFont="1" applyFill="1"/>
    <xf numFmtId="0" fontId="5" fillId="6" borderId="0" xfId="1" applyFill="1"/>
    <xf numFmtId="0" fontId="6" fillId="0" borderId="0" xfId="1" applyFont="1"/>
    <xf numFmtId="3" fontId="6" fillId="0" borderId="0" xfId="1" applyNumberFormat="1" applyFont="1"/>
    <xf numFmtId="0" fontId="1" fillId="6" borderId="0" xfId="0" applyFont="1" applyFill="1"/>
    <xf numFmtId="0" fontId="7" fillId="0" borderId="0" xfId="0" applyFont="1"/>
    <xf numFmtId="3" fontId="7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9" fillId="2" borderId="0" xfId="2" applyFont="1" applyFill="1"/>
    <xf numFmtId="0" fontId="8" fillId="0" borderId="0" xfId="2"/>
    <xf numFmtId="3" fontId="8" fillId="0" borderId="0" xfId="2" applyNumberFormat="1"/>
    <xf numFmtId="0" fontId="4" fillId="7" borderId="0" xfId="2" applyFont="1" applyFill="1"/>
    <xf numFmtId="0" fontId="9" fillId="3" borderId="0" xfId="2" applyFont="1" applyFill="1"/>
    <xf numFmtId="0" fontId="9" fillId="0" borderId="0" xfId="2" applyFont="1"/>
    <xf numFmtId="0" fontId="9" fillId="4" borderId="0" xfId="2" applyFont="1" applyFill="1"/>
    <xf numFmtId="0" fontId="8" fillId="3" borderId="0" xfId="2" applyFill="1"/>
    <xf numFmtId="0" fontId="3" fillId="0" borderId="0" xfId="2" applyFont="1"/>
    <xf numFmtId="0" fontId="8" fillId="8" borderId="0" xfId="2" applyFill="1"/>
    <xf numFmtId="0" fontId="9" fillId="5" borderId="0" xfId="2" applyFont="1" applyFill="1"/>
    <xf numFmtId="3" fontId="3" fillId="0" borderId="0" xfId="2" applyNumberFormat="1" applyFont="1"/>
    <xf numFmtId="0" fontId="8" fillId="0" borderId="0" xfId="2"/>
    <xf numFmtId="0" fontId="9" fillId="3" borderId="0" xfId="2" applyFont="1" applyFill="1"/>
    <xf numFmtId="0" fontId="9" fillId="0" borderId="0" xfId="2" applyFont="1"/>
    <xf numFmtId="0" fontId="8" fillId="3" borderId="0" xfId="2" applyFill="1"/>
    <xf numFmtId="0" fontId="3" fillId="0" borderId="0" xfId="2" applyFont="1"/>
    <xf numFmtId="0" fontId="5" fillId="0" borderId="0" xfId="1"/>
    <xf numFmtId="0" fontId="1" fillId="3" borderId="0" xfId="1" applyFont="1" applyFill="1"/>
    <xf numFmtId="0" fontId="1" fillId="0" borderId="0" xfId="1" applyFont="1"/>
    <xf numFmtId="0" fontId="5" fillId="3" borderId="0" xfId="1" applyFill="1"/>
    <xf numFmtId="0" fontId="2" fillId="0" borderId="0" xfId="1" applyFont="1"/>
    <xf numFmtId="3" fontId="5" fillId="3" borderId="0" xfId="1" applyNumberFormat="1" applyFill="1"/>
    <xf numFmtId="0" fontId="6" fillId="0" borderId="0" xfId="1" applyFont="1"/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  <xf numFmtId="0" fontId="0" fillId="6" borderId="1" xfId="0" applyFill="1" applyBorder="1"/>
    <xf numFmtId="166" fontId="0" fillId="0" borderId="1" xfId="0" applyNumberFormat="1" applyBorder="1"/>
    <xf numFmtId="0" fontId="0" fillId="0" borderId="1" xfId="0" applyBorder="1"/>
    <xf numFmtId="0" fontId="0" fillId="9" borderId="0" xfId="0" applyFill="1"/>
  </cellXfs>
  <cellStyles count="3">
    <cellStyle name="Normal" xfId="0" builtinId="0"/>
    <cellStyle name="Normal 2" xfId="1" xr:uid="{CBED1F9F-BA16-4586-AD1D-87DE4A3E1C2B}"/>
    <cellStyle name="Normal 3" xfId="2" xr:uid="{8D026F04-2ADF-4F87-822D-6938B6678676}"/>
  </cellStyles>
  <dxfs count="4">
    <dxf>
      <numFmt numFmtId="3" formatCode="#,##0"/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rgb="FFD3D3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9102C5-8FF0-4D62-A3A9-9D71DDA239E5}" name="Table2" displayName="Table2" ref="A2:Q22" totalsRowShown="0" headerRowDxfId="3">
  <autoFilter ref="A2:Q22" xr:uid="{21EF95A6-1E82-4AC8-A681-DBF8AEA4F795}"/>
  <sortState xmlns:xlrd2="http://schemas.microsoft.com/office/spreadsheetml/2017/richdata2" ref="A3:Q21">
    <sortCondition ref="J2:J21"/>
  </sortState>
  <tableColumns count="17">
    <tableColumn id="1" xr3:uid="{A082764F-E7D9-4822-BC0B-D64D1096F142}" name="Tình trạng TT"/>
    <tableColumn id="2" xr3:uid="{2B619598-E9FD-4C26-A7C3-342D1CA60601}" name="SHOP"/>
    <tableColumn id="3" xr3:uid="{9568EDBE-9954-49B0-BD69-64FF72D6B12E}" name="TÊN KH"/>
    <tableColumn id="4" xr3:uid="{B2277030-4EF9-44D9-B4DE-41CFCDCF6575}" name="MÃ"/>
    <tableColumn id="5" xr3:uid="{67670943-F533-4540-8BD0-2A9133D1A544}" name="ĐỊA CHỈ"/>
    <tableColumn id="6" xr3:uid="{33251A37-040B-471E-A776-86C82A9C3974}" name="QUẬN"/>
    <tableColumn id="7" xr3:uid="{A6C9E45D-22DC-4D83-A5F3-763AC7F8DC9E}" name="TIỀN THU" dataDxfId="2"/>
    <tableColumn id="8" xr3:uid="{0FC281F2-ABAA-4528-B0E8-BDA7892FF56B}" name="TIỀN SHIP" dataDxfId="1"/>
    <tableColumn id="9" xr3:uid="{BE04E7BC-B05E-47C6-AEF2-86F2C74EBFBD}" name="TIỀN HÀNG" dataDxfId="0">
      <calculatedColumnFormula>G3-H3</calculatedColumnFormula>
    </tableColumn>
    <tableColumn id="10" xr3:uid="{83B6DE44-D4A4-49DC-B8BC-8FB2772247B1}" name="NGƯỜI ĐI"/>
    <tableColumn id="11" xr3:uid="{7C87D643-8483-4050-8575-AB94B9DE57B1}" name="NGƯỜI LẤY"/>
    <tableColumn id="12" xr3:uid="{ED0DB94D-E0D8-4894-AB66-4D0DAD1C9C52}" name="NGÀY LẤY"/>
    <tableColumn id="13" xr3:uid="{C40DF093-FC17-4ADC-B05B-5739061FA160}" name="GHI CHÚ"/>
    <tableColumn id="14" xr3:uid="{FD4E1FD7-F800-4CA7-82D1-32A1132C8448}" name="ỨNG TIỀN"/>
    <tableColumn id="15" xr3:uid="{EB470622-996C-461D-BE11-1B962F49AA47}" name="HÀNG TỒN"/>
    <tableColumn id="16" xr3:uid="{DCDB5215-D54D-4D22-B477-E34D8040945D}" name="FAIL"/>
    <tableColumn id="17" xr3:uid="{ABF7E8B1-6F7D-4410-AD47-5D885C46CCC6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8E1C-726F-4263-AEA3-2BEB923DF92E}">
  <dimension ref="A2:Q59"/>
  <sheetViews>
    <sheetView topLeftCell="A22" workbookViewId="0">
      <selection activeCell="P35" sqref="P35"/>
    </sheetView>
  </sheetViews>
  <sheetFormatPr defaultRowHeight="15" x14ac:dyDescent="0.25"/>
  <cols>
    <col min="1" max="1" width="12.28515625" style="11" customWidth="1"/>
    <col min="2" max="2" width="19.140625" style="11" customWidth="1"/>
    <col min="3" max="3" width="26.28515625" style="11" customWidth="1"/>
    <col min="4" max="4" width="10.140625" style="11" customWidth="1"/>
    <col min="5" max="5" width="52.42578125" style="11" customWidth="1"/>
    <col min="6" max="6" width="9.85546875" style="11" customWidth="1"/>
    <col min="7" max="7" width="10.140625" style="11" customWidth="1"/>
    <col min="8" max="8" width="10.5703125" style="11" customWidth="1"/>
    <col min="9" max="9" width="11.5703125" style="11" customWidth="1"/>
    <col min="10" max="10" width="9.85546875" style="11" customWidth="1"/>
    <col min="11" max="11" width="11.42578125" style="11" customWidth="1"/>
    <col min="12" max="12" width="10.7109375" style="11" customWidth="1"/>
    <col min="13" max="13" width="9.140625" style="11"/>
    <col min="14" max="14" width="10.28515625" style="11" customWidth="1"/>
    <col min="15" max="15" width="11.140625" style="11" customWidth="1"/>
    <col min="16" max="16" width="7" style="11" bestFit="1" customWidth="1"/>
    <col min="17" max="17" width="6.42578125" style="11" customWidth="1"/>
    <col min="18" max="16384" width="9.140625" style="1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85</v>
      </c>
    </row>
    <row r="3" spans="1:17" x14ac:dyDescent="0.25">
      <c r="B3" s="11" t="s">
        <v>16</v>
      </c>
      <c r="C3" s="11" t="s">
        <v>159</v>
      </c>
      <c r="D3" s="11" t="s">
        <v>160</v>
      </c>
      <c r="E3" s="11" t="s">
        <v>161</v>
      </c>
      <c r="F3" s="12">
        <v>9</v>
      </c>
      <c r="G3" s="12">
        <v>820</v>
      </c>
      <c r="H3" s="12">
        <v>30</v>
      </c>
      <c r="I3" s="12">
        <f>G3-H3</f>
        <v>790</v>
      </c>
      <c r="J3" s="11" t="s">
        <v>37</v>
      </c>
      <c r="K3" s="11" t="s">
        <v>18</v>
      </c>
      <c r="L3" s="11" t="s">
        <v>162</v>
      </c>
      <c r="Q3" s="12">
        <v>1</v>
      </c>
    </row>
    <row r="4" spans="1:17" x14ac:dyDescent="0.25">
      <c r="A4" s="11" t="s">
        <v>38</v>
      </c>
      <c r="B4" s="11" t="s">
        <v>16</v>
      </c>
      <c r="C4" s="11" t="s">
        <v>81</v>
      </c>
      <c r="E4" s="11" t="s">
        <v>163</v>
      </c>
      <c r="F4" s="12">
        <v>9</v>
      </c>
      <c r="G4" s="12">
        <v>805</v>
      </c>
      <c r="H4" s="12">
        <v>35</v>
      </c>
      <c r="I4" s="12">
        <f>G4-H4</f>
        <v>770</v>
      </c>
      <c r="J4" s="11" t="s">
        <v>37</v>
      </c>
      <c r="K4" s="11" t="s">
        <v>18</v>
      </c>
      <c r="L4" s="11" t="s">
        <v>162</v>
      </c>
      <c r="Q4" s="12">
        <v>1</v>
      </c>
    </row>
    <row r="5" spans="1:17" x14ac:dyDescent="0.25">
      <c r="B5" s="11" t="s">
        <v>16</v>
      </c>
      <c r="C5" s="11" t="s">
        <v>64</v>
      </c>
      <c r="D5" s="11" t="s">
        <v>164</v>
      </c>
      <c r="E5" s="11" t="s">
        <v>65</v>
      </c>
      <c r="F5" s="12">
        <v>6</v>
      </c>
      <c r="G5" s="12">
        <v>745</v>
      </c>
      <c r="H5" s="12">
        <v>25</v>
      </c>
      <c r="I5" s="12">
        <f>G5-H5</f>
        <v>720</v>
      </c>
      <c r="J5" s="11" t="s">
        <v>165</v>
      </c>
      <c r="K5" s="11" t="s">
        <v>18</v>
      </c>
      <c r="L5" s="11" t="s">
        <v>162</v>
      </c>
      <c r="Q5" s="12">
        <v>1</v>
      </c>
    </row>
    <row r="6" spans="1:17" x14ac:dyDescent="0.25">
      <c r="A6" s="11" t="s">
        <v>38</v>
      </c>
      <c r="B6" s="11" t="s">
        <v>16</v>
      </c>
      <c r="C6" s="11" t="s">
        <v>166</v>
      </c>
      <c r="E6" s="11" t="s">
        <v>40</v>
      </c>
      <c r="F6" s="12">
        <v>6</v>
      </c>
      <c r="G6" s="12">
        <v>0</v>
      </c>
      <c r="H6" s="12">
        <v>30</v>
      </c>
      <c r="I6" s="12">
        <f>-H6</f>
        <v>-30</v>
      </c>
      <c r="J6" s="11" t="s">
        <v>165</v>
      </c>
      <c r="K6" s="11" t="s">
        <v>18</v>
      </c>
      <c r="L6" s="11" t="s">
        <v>162</v>
      </c>
      <c r="Q6" s="12">
        <v>1</v>
      </c>
    </row>
    <row r="7" spans="1:17" x14ac:dyDescent="0.25">
      <c r="A7" s="11" t="s">
        <v>38</v>
      </c>
      <c r="B7" s="11" t="s">
        <v>16</v>
      </c>
      <c r="C7" s="11" t="s">
        <v>167</v>
      </c>
      <c r="E7" s="11" t="s">
        <v>105</v>
      </c>
      <c r="F7" s="12">
        <v>6</v>
      </c>
      <c r="G7" s="12">
        <v>650</v>
      </c>
      <c r="H7" s="12">
        <v>30</v>
      </c>
      <c r="I7" s="12">
        <f t="shared" ref="I7:I13" si="0">G7-H7</f>
        <v>620</v>
      </c>
      <c r="J7" s="11" t="s">
        <v>165</v>
      </c>
      <c r="K7" s="11" t="s">
        <v>18</v>
      </c>
      <c r="L7" s="11" t="s">
        <v>162</v>
      </c>
      <c r="Q7" s="12">
        <v>1</v>
      </c>
    </row>
    <row r="8" spans="1:17" x14ac:dyDescent="0.25">
      <c r="B8" s="11" t="s">
        <v>16</v>
      </c>
      <c r="C8" s="11" t="s">
        <v>96</v>
      </c>
      <c r="D8" s="11" t="s">
        <v>168</v>
      </c>
      <c r="E8" s="11" t="s">
        <v>97</v>
      </c>
      <c r="F8" s="12">
        <v>7</v>
      </c>
      <c r="G8" s="12">
        <v>610</v>
      </c>
      <c r="H8" s="12">
        <v>30</v>
      </c>
      <c r="I8" s="12">
        <f t="shared" si="0"/>
        <v>580</v>
      </c>
      <c r="J8" s="11" t="s">
        <v>165</v>
      </c>
      <c r="K8" s="11" t="s">
        <v>18</v>
      </c>
      <c r="L8" s="11" t="s">
        <v>162</v>
      </c>
      <c r="Q8" s="12">
        <v>1</v>
      </c>
    </row>
    <row r="9" spans="1:17" x14ac:dyDescent="0.25">
      <c r="B9" s="11" t="s">
        <v>16</v>
      </c>
      <c r="C9" s="11" t="s">
        <v>169</v>
      </c>
      <c r="D9" s="11" t="s">
        <v>170</v>
      </c>
      <c r="E9" s="11" t="s">
        <v>171</v>
      </c>
      <c r="F9" s="12">
        <v>7</v>
      </c>
      <c r="G9" s="12">
        <v>820</v>
      </c>
      <c r="H9" s="12">
        <v>30</v>
      </c>
      <c r="I9" s="12">
        <f t="shared" si="0"/>
        <v>790</v>
      </c>
      <c r="J9" s="11" t="s">
        <v>165</v>
      </c>
      <c r="K9" s="11" t="s">
        <v>18</v>
      </c>
      <c r="L9" s="11" t="s">
        <v>162</v>
      </c>
      <c r="Q9" s="12">
        <v>1</v>
      </c>
    </row>
    <row r="10" spans="1:17" x14ac:dyDescent="0.25">
      <c r="B10" s="11" t="s">
        <v>16</v>
      </c>
      <c r="C10" s="11" t="s">
        <v>172</v>
      </c>
      <c r="D10" s="11" t="s">
        <v>173</v>
      </c>
      <c r="E10" s="11" t="s">
        <v>174</v>
      </c>
      <c r="F10" s="11" t="s">
        <v>22</v>
      </c>
      <c r="G10" s="12">
        <v>770</v>
      </c>
      <c r="H10" s="12">
        <v>30</v>
      </c>
      <c r="I10" s="12">
        <f t="shared" si="0"/>
        <v>740</v>
      </c>
      <c r="J10" s="11" t="s">
        <v>165</v>
      </c>
      <c r="K10" s="11" t="s">
        <v>18</v>
      </c>
      <c r="L10" s="11" t="s">
        <v>162</v>
      </c>
      <c r="Q10" s="12">
        <v>1</v>
      </c>
    </row>
    <row r="11" spans="1:17" x14ac:dyDescent="0.25">
      <c r="B11" s="11" t="s">
        <v>16</v>
      </c>
      <c r="C11" s="11" t="s">
        <v>175</v>
      </c>
      <c r="D11" s="11" t="s">
        <v>176</v>
      </c>
      <c r="E11" s="11" t="s">
        <v>177</v>
      </c>
      <c r="F11" s="11" t="s">
        <v>22</v>
      </c>
      <c r="G11" s="12">
        <v>820</v>
      </c>
      <c r="H11" s="12">
        <v>30</v>
      </c>
      <c r="I11" s="12">
        <f t="shared" si="0"/>
        <v>790</v>
      </c>
      <c r="J11" s="11" t="s">
        <v>165</v>
      </c>
      <c r="K11" s="11" t="s">
        <v>18</v>
      </c>
      <c r="L11" s="11" t="s">
        <v>162</v>
      </c>
      <c r="Q11" s="12">
        <v>1</v>
      </c>
    </row>
    <row r="12" spans="1:17" x14ac:dyDescent="0.25">
      <c r="B12" s="11" t="s">
        <v>16</v>
      </c>
      <c r="C12" s="11" t="s">
        <v>178</v>
      </c>
      <c r="D12" s="11" t="s">
        <v>179</v>
      </c>
      <c r="E12" s="11" t="s">
        <v>180</v>
      </c>
      <c r="F12" s="11" t="s">
        <v>28</v>
      </c>
      <c r="G12" s="12">
        <v>945</v>
      </c>
      <c r="H12" s="12">
        <v>25</v>
      </c>
      <c r="I12" s="12">
        <f t="shared" si="0"/>
        <v>920</v>
      </c>
      <c r="J12" s="11" t="s">
        <v>165</v>
      </c>
      <c r="K12" s="11" t="s">
        <v>18</v>
      </c>
      <c r="L12" s="11" t="s">
        <v>162</v>
      </c>
      <c r="Q12" s="12">
        <v>1</v>
      </c>
    </row>
    <row r="13" spans="1:17" x14ac:dyDescent="0.25">
      <c r="B13" s="11" t="s">
        <v>16</v>
      </c>
      <c r="C13" s="11" t="s">
        <v>181</v>
      </c>
      <c r="D13" s="11" t="s">
        <v>182</v>
      </c>
      <c r="E13" s="11" t="s">
        <v>183</v>
      </c>
      <c r="F13" s="11" t="s">
        <v>24</v>
      </c>
      <c r="G13" s="12">
        <v>730</v>
      </c>
      <c r="H13" s="12">
        <v>30</v>
      </c>
      <c r="I13" s="12">
        <f t="shared" si="0"/>
        <v>700</v>
      </c>
      <c r="J13" s="11" t="s">
        <v>165</v>
      </c>
      <c r="K13" s="11" t="s">
        <v>18</v>
      </c>
      <c r="L13" s="11" t="s">
        <v>162</v>
      </c>
      <c r="Q13" s="12">
        <v>1</v>
      </c>
    </row>
    <row r="14" spans="1:17" x14ac:dyDescent="0.25">
      <c r="B14" s="11" t="s">
        <v>16</v>
      </c>
      <c r="C14" s="11" t="s">
        <v>184</v>
      </c>
      <c r="D14" s="11" t="s">
        <v>185</v>
      </c>
      <c r="E14" s="11" t="s">
        <v>186</v>
      </c>
      <c r="F14" s="11" t="s">
        <v>24</v>
      </c>
      <c r="G14" s="12">
        <v>0</v>
      </c>
      <c r="H14" s="12">
        <v>25</v>
      </c>
      <c r="I14" s="12">
        <f>-H14</f>
        <v>-25</v>
      </c>
      <c r="J14" s="11" t="s">
        <v>165</v>
      </c>
      <c r="K14" s="11" t="s">
        <v>18</v>
      </c>
      <c r="L14" s="11" t="s">
        <v>162</v>
      </c>
      <c r="Q14" s="12">
        <v>1</v>
      </c>
    </row>
    <row r="15" spans="1:17" x14ac:dyDescent="0.25">
      <c r="B15" s="11" t="s">
        <v>16</v>
      </c>
      <c r="C15" s="11" t="s">
        <v>187</v>
      </c>
      <c r="D15" s="11" t="s">
        <v>188</v>
      </c>
      <c r="E15" s="11" t="s">
        <v>189</v>
      </c>
      <c r="F15" s="11" t="s">
        <v>30</v>
      </c>
      <c r="G15" s="12">
        <v>745</v>
      </c>
      <c r="H15" s="12">
        <v>25</v>
      </c>
      <c r="I15" s="12">
        <f>G15-H15</f>
        <v>720</v>
      </c>
      <c r="J15" s="11" t="s">
        <v>18</v>
      </c>
      <c r="K15" s="11" t="s">
        <v>18</v>
      </c>
      <c r="L15" s="11" t="s">
        <v>162</v>
      </c>
      <c r="Q15" s="12">
        <v>1</v>
      </c>
    </row>
    <row r="16" spans="1:17" x14ac:dyDescent="0.25">
      <c r="B16" s="11" t="s">
        <v>16</v>
      </c>
      <c r="C16" s="11" t="s">
        <v>190</v>
      </c>
      <c r="D16" s="11" t="s">
        <v>191</v>
      </c>
      <c r="E16" s="11" t="s">
        <v>192</v>
      </c>
      <c r="F16" s="11" t="s">
        <v>23</v>
      </c>
      <c r="G16" s="12">
        <v>0</v>
      </c>
      <c r="H16" s="12">
        <v>20</v>
      </c>
      <c r="I16" s="12">
        <f>-H16</f>
        <v>-20</v>
      </c>
      <c r="J16" s="11" t="s">
        <v>18</v>
      </c>
      <c r="K16" s="11" t="s">
        <v>18</v>
      </c>
      <c r="L16" s="11" t="s">
        <v>162</v>
      </c>
      <c r="Q16" s="12">
        <v>1</v>
      </c>
    </row>
    <row r="17" spans="1:17" x14ac:dyDescent="0.25">
      <c r="B17" s="11" t="s">
        <v>16</v>
      </c>
      <c r="C17" s="11" t="s">
        <v>193</v>
      </c>
      <c r="D17" s="11" t="s">
        <v>194</v>
      </c>
      <c r="E17" s="11" t="s">
        <v>195</v>
      </c>
      <c r="F17" s="11" t="s">
        <v>30</v>
      </c>
      <c r="G17" s="12">
        <v>915</v>
      </c>
      <c r="H17" s="12">
        <v>25</v>
      </c>
      <c r="I17" s="12">
        <f>G17-H17</f>
        <v>890</v>
      </c>
      <c r="J17" s="11" t="s">
        <v>18</v>
      </c>
      <c r="K17" s="11" t="s">
        <v>18</v>
      </c>
      <c r="L17" s="11" t="s">
        <v>162</v>
      </c>
      <c r="Q17" s="12">
        <v>1</v>
      </c>
    </row>
    <row r="18" spans="1:17" x14ac:dyDescent="0.25">
      <c r="A18" s="11" t="s">
        <v>38</v>
      </c>
      <c r="B18" s="11" t="s">
        <v>16</v>
      </c>
      <c r="C18" s="11" t="s">
        <v>83</v>
      </c>
      <c r="E18" s="11" t="s">
        <v>196</v>
      </c>
      <c r="F18" s="11" t="s">
        <v>30</v>
      </c>
      <c r="G18" s="12">
        <v>1920</v>
      </c>
      <c r="H18" s="12">
        <v>30</v>
      </c>
      <c r="I18" s="12">
        <f>G18-H18</f>
        <v>1890</v>
      </c>
      <c r="J18" s="11" t="s">
        <v>18</v>
      </c>
      <c r="K18" s="11" t="s">
        <v>18</v>
      </c>
      <c r="L18" s="11" t="s">
        <v>162</v>
      </c>
      <c r="Q18" s="12">
        <v>1</v>
      </c>
    </row>
    <row r="19" spans="1:17" x14ac:dyDescent="0.25">
      <c r="A19" s="11" t="s">
        <v>38</v>
      </c>
      <c r="B19" s="11" t="s">
        <v>16</v>
      </c>
      <c r="C19" s="11" t="s">
        <v>197</v>
      </c>
      <c r="E19" s="11" t="s">
        <v>198</v>
      </c>
      <c r="F19" s="11" t="s">
        <v>30</v>
      </c>
      <c r="G19" s="12">
        <v>30</v>
      </c>
      <c r="H19" s="12">
        <v>30</v>
      </c>
      <c r="I19" s="12">
        <f>G19-H19</f>
        <v>0</v>
      </c>
      <c r="J19" s="11" t="s">
        <v>18</v>
      </c>
      <c r="K19" s="11" t="s">
        <v>18</v>
      </c>
      <c r="L19" s="11" t="s">
        <v>162</v>
      </c>
      <c r="Q19" s="12">
        <v>1</v>
      </c>
    </row>
    <row r="20" spans="1:17" x14ac:dyDescent="0.25">
      <c r="A20" s="11" t="s">
        <v>38</v>
      </c>
      <c r="B20" s="11" t="s">
        <v>16</v>
      </c>
      <c r="C20" s="11" t="s">
        <v>199</v>
      </c>
      <c r="E20" s="11" t="s">
        <v>200</v>
      </c>
      <c r="F20" s="11" t="s">
        <v>28</v>
      </c>
      <c r="G20" s="12">
        <v>35</v>
      </c>
      <c r="H20" s="12">
        <v>35</v>
      </c>
      <c r="I20" s="12">
        <f>G20-H20</f>
        <v>0</v>
      </c>
      <c r="J20" s="11" t="s">
        <v>18</v>
      </c>
      <c r="K20" s="11" t="s">
        <v>18</v>
      </c>
      <c r="L20" s="11" t="s">
        <v>162</v>
      </c>
      <c r="Q20" s="12">
        <v>1</v>
      </c>
    </row>
    <row r="21" spans="1:17" x14ac:dyDescent="0.25">
      <c r="B21" s="11" t="s">
        <v>16</v>
      </c>
      <c r="C21" s="11" t="s">
        <v>201</v>
      </c>
      <c r="D21" s="11" t="s">
        <v>202</v>
      </c>
      <c r="E21" s="11" t="s">
        <v>203</v>
      </c>
      <c r="F21" s="11" t="s">
        <v>28</v>
      </c>
      <c r="G21" s="12">
        <v>0</v>
      </c>
      <c r="H21" s="12">
        <v>25</v>
      </c>
      <c r="I21" s="12">
        <f>-H21</f>
        <v>-25</v>
      </c>
      <c r="J21" s="11" t="s">
        <v>19</v>
      </c>
      <c r="K21" s="11" t="s">
        <v>18</v>
      </c>
      <c r="L21" s="11" t="s">
        <v>162</v>
      </c>
      <c r="Q21" s="12">
        <v>1</v>
      </c>
    </row>
    <row r="22" spans="1:17" x14ac:dyDescent="0.25">
      <c r="B22" s="11" t="s">
        <v>16</v>
      </c>
      <c r="C22" s="11" t="s">
        <v>204</v>
      </c>
      <c r="D22" s="11" t="s">
        <v>205</v>
      </c>
      <c r="E22" s="11" t="s">
        <v>206</v>
      </c>
      <c r="F22" s="12">
        <v>1</v>
      </c>
      <c r="G22" s="12">
        <v>755</v>
      </c>
      <c r="H22" s="12">
        <v>25</v>
      </c>
      <c r="I22" s="12">
        <f>G22-H22</f>
        <v>730</v>
      </c>
      <c r="J22" s="11" t="s">
        <v>19</v>
      </c>
      <c r="K22" s="11" t="s">
        <v>18</v>
      </c>
      <c r="L22" s="11" t="s">
        <v>162</v>
      </c>
      <c r="Q22" s="12">
        <v>1</v>
      </c>
    </row>
    <row r="23" spans="1:17" x14ac:dyDescent="0.25">
      <c r="B23" s="11" t="s">
        <v>16</v>
      </c>
      <c r="C23" s="11" t="s">
        <v>207</v>
      </c>
      <c r="D23" s="11" t="s">
        <v>208</v>
      </c>
      <c r="E23" s="11" t="s">
        <v>209</v>
      </c>
      <c r="F23" s="12">
        <v>4</v>
      </c>
      <c r="G23" s="12">
        <v>815</v>
      </c>
      <c r="H23" s="12">
        <v>25</v>
      </c>
      <c r="I23" s="12">
        <f>G23-H23</f>
        <v>790</v>
      </c>
      <c r="J23" s="11" t="s">
        <v>19</v>
      </c>
      <c r="K23" s="11" t="s">
        <v>18</v>
      </c>
      <c r="L23" s="11" t="s">
        <v>162</v>
      </c>
      <c r="Q23" s="12">
        <v>1</v>
      </c>
    </row>
    <row r="24" spans="1:17" x14ac:dyDescent="0.25">
      <c r="A24" s="11" t="s">
        <v>38</v>
      </c>
      <c r="B24" s="11" t="s">
        <v>16</v>
      </c>
      <c r="C24" s="11" t="s">
        <v>210</v>
      </c>
      <c r="E24" s="11" t="s">
        <v>71</v>
      </c>
      <c r="F24" s="12">
        <v>12</v>
      </c>
      <c r="G24" s="12">
        <v>0</v>
      </c>
      <c r="H24" s="12">
        <v>45</v>
      </c>
      <c r="I24" s="12">
        <f>G24-H24</f>
        <v>-45</v>
      </c>
      <c r="J24" s="11" t="s">
        <v>19</v>
      </c>
      <c r="K24" s="11" t="s">
        <v>18</v>
      </c>
      <c r="L24" s="11" t="s">
        <v>162</v>
      </c>
      <c r="Q24" s="12">
        <v>1</v>
      </c>
    </row>
    <row r="26" spans="1:17" x14ac:dyDescent="0.25">
      <c r="D26" s="13">
        <f>COUNTA(D3:D24)</f>
        <v>15</v>
      </c>
      <c r="G26" s="13">
        <f t="shared" ref="G26:Q26" si="1">SUBTOTAL(9,G3:G24)</f>
        <v>12930</v>
      </c>
      <c r="H26" s="13">
        <f t="shared" si="1"/>
        <v>635</v>
      </c>
      <c r="I26" s="13">
        <f>SUBTOTAL(9,I3:I24)</f>
        <v>12295</v>
      </c>
      <c r="J26" s="13">
        <f t="shared" si="1"/>
        <v>0</v>
      </c>
      <c r="K26" s="13">
        <f t="shared" si="1"/>
        <v>0</v>
      </c>
      <c r="L26" s="13">
        <f t="shared" si="1"/>
        <v>0</v>
      </c>
      <c r="M26" s="13">
        <f t="shared" si="1"/>
        <v>0</v>
      </c>
      <c r="N26" s="13">
        <f t="shared" si="1"/>
        <v>0</v>
      </c>
      <c r="O26" s="13">
        <f t="shared" si="1"/>
        <v>0</v>
      </c>
      <c r="P26" s="13">
        <f t="shared" si="1"/>
        <v>0</v>
      </c>
      <c r="Q26" s="13">
        <f t="shared" si="1"/>
        <v>22</v>
      </c>
    </row>
    <row r="27" spans="1:17" x14ac:dyDescent="0.25">
      <c r="H27" s="11">
        <f>-8*17</f>
        <v>-136</v>
      </c>
    </row>
    <row r="28" spans="1:17" x14ac:dyDescent="0.25">
      <c r="H28" s="11">
        <f>-2*25</f>
        <v>-50</v>
      </c>
    </row>
    <row r="29" spans="1:17" x14ac:dyDescent="0.25">
      <c r="A29" s="13" t="s">
        <v>16</v>
      </c>
      <c r="C29" s="47" t="s">
        <v>46</v>
      </c>
      <c r="D29" s="47"/>
      <c r="E29" s="14" t="s">
        <v>47</v>
      </c>
      <c r="K29" s="15" t="s">
        <v>18</v>
      </c>
      <c r="L29" s="15" t="s">
        <v>48</v>
      </c>
      <c r="M29" s="15" t="s">
        <v>47</v>
      </c>
      <c r="O29" s="14" t="s">
        <v>72</v>
      </c>
    </row>
    <row r="30" spans="1:17" x14ac:dyDescent="0.25">
      <c r="A30" s="11" t="s">
        <v>162</v>
      </c>
      <c r="B30" s="16" t="s">
        <v>49</v>
      </c>
      <c r="C30" s="48">
        <f>SUMIFS(G$3:G$24,B$3:B$24,A$29,L$3:L$24,A$30)</f>
        <v>12930</v>
      </c>
      <c r="D30" s="48"/>
      <c r="E30" s="16">
        <f>SUMIFS(Q$3:Q$24,B$3:B$24,A$29,L$3:L$24,A$30)</f>
        <v>22</v>
      </c>
      <c r="F30" s="11" t="s">
        <v>73</v>
      </c>
      <c r="K30" s="11" t="s">
        <v>50</v>
      </c>
      <c r="L30" s="11">
        <f>SUMIFS(G$3:G$24,J$3:J$24,K$29)</f>
        <v>3645</v>
      </c>
      <c r="M30" s="11">
        <f>SUMIFS(Q$3:Q$24,J$3:J$24,K$29)</f>
        <v>6</v>
      </c>
      <c r="O30" s="11" t="s">
        <v>18</v>
      </c>
      <c r="P30" s="11">
        <f>L35</f>
        <v>3466</v>
      </c>
    </row>
    <row r="31" spans="1:17" x14ac:dyDescent="0.25">
      <c r="B31" s="17" t="s">
        <v>108</v>
      </c>
      <c r="C31" s="49">
        <f>-SUMIFS(H$3:H$111,$B$3:$B$111,$A29,$L$3:$L$111,$A30)</f>
        <v>-635</v>
      </c>
      <c r="D31" s="49"/>
      <c r="E31" s="11">
        <f>SUMIFS(Q$3:Q$111,$B$3:$B$111,$A29,$L$3:$L$111,$A30)</f>
        <v>22</v>
      </c>
      <c r="K31" s="11" t="s">
        <v>51</v>
      </c>
      <c r="L31" s="11">
        <f>-SUMIFS(H$3:H$24,J$3:J$24,K$29)+M31*5</f>
        <v>-135</v>
      </c>
      <c r="M31" s="11">
        <f>SUMIFS(Q$3:Q$24,J$3:J$24,K$29)-COUNTIFS(J$3:J$24,K$29,M$3:M$24,"*gộp*")</f>
        <v>6</v>
      </c>
      <c r="O31" s="11" t="s">
        <v>19</v>
      </c>
      <c r="P31" s="11">
        <f>L43</f>
        <v>1470</v>
      </c>
    </row>
    <row r="32" spans="1:17" x14ac:dyDescent="0.25">
      <c r="B32" s="17" t="s">
        <v>52</v>
      </c>
      <c r="C32" s="49">
        <f>-SUMIFS(I$3:I$24,B$3:B$24,A$29,P$3:P$24,"xx",N$3:N$24,"x")</f>
        <v>0</v>
      </c>
      <c r="D32" s="49"/>
      <c r="E32" s="17">
        <f>SUMIFS(Q$3:Q$24,B$3:B$24,A$29,P$3:P$24,"xx",N$3:N$24,"x")</f>
        <v>0</v>
      </c>
      <c r="K32" s="11" t="s">
        <v>74</v>
      </c>
      <c r="L32" s="11">
        <v>-44</v>
      </c>
      <c r="O32" s="11" t="s">
        <v>211</v>
      </c>
      <c r="P32" s="11">
        <f>L51</f>
        <v>5904</v>
      </c>
    </row>
    <row r="33" spans="2:16" x14ac:dyDescent="0.25">
      <c r="B33" s="14" t="s">
        <v>53</v>
      </c>
      <c r="C33" s="47">
        <f>SUBTOTAL(9,C30:C32)</f>
        <v>12295</v>
      </c>
      <c r="D33" s="47"/>
      <c r="E33" s="11">
        <f>E30</f>
        <v>22</v>
      </c>
      <c r="K33" s="17" t="s">
        <v>25</v>
      </c>
      <c r="O33" s="11" t="s">
        <v>37</v>
      </c>
      <c r="P33" s="11">
        <f>L59</f>
        <v>1570</v>
      </c>
    </row>
    <row r="34" spans="2:16" x14ac:dyDescent="0.25">
      <c r="B34" s="17" t="s">
        <v>75</v>
      </c>
      <c r="C34" s="45"/>
      <c r="D34" s="45"/>
      <c r="K34" s="17" t="s">
        <v>54</v>
      </c>
      <c r="O34" s="11" t="s">
        <v>76</v>
      </c>
      <c r="P34" s="11">
        <f>-C37</f>
        <v>-12295</v>
      </c>
    </row>
    <row r="35" spans="2:16" x14ac:dyDescent="0.25">
      <c r="B35" s="18" t="s">
        <v>55</v>
      </c>
      <c r="C35" s="45"/>
      <c r="D35" s="45"/>
      <c r="L35" s="19">
        <f>SUBTOTAL(9,L30:L34)</f>
        <v>3466</v>
      </c>
      <c r="M35" s="19">
        <f>M30</f>
        <v>6</v>
      </c>
      <c r="O35" s="14" t="s">
        <v>77</v>
      </c>
      <c r="P35" s="14">
        <f>SUBTOTAL(9,P30:P34)</f>
        <v>115</v>
      </c>
    </row>
    <row r="37" spans="2:16" x14ac:dyDescent="0.25">
      <c r="B37" s="13" t="s">
        <v>56</v>
      </c>
      <c r="C37" s="46">
        <f>C33+C34+C35</f>
        <v>12295</v>
      </c>
      <c r="D37" s="46"/>
      <c r="E37" s="13" t="s">
        <v>57</v>
      </c>
      <c r="K37" s="15" t="s">
        <v>19</v>
      </c>
      <c r="L37" s="15" t="s">
        <v>48</v>
      </c>
      <c r="M37" s="15" t="s">
        <v>47</v>
      </c>
    </row>
    <row r="38" spans="2:16" x14ac:dyDescent="0.25">
      <c r="K38" s="11" t="s">
        <v>50</v>
      </c>
      <c r="L38" s="11">
        <f>SUMIFS(G$3:G$24,J$3:J$24,K$37)</f>
        <v>1570</v>
      </c>
      <c r="M38" s="11">
        <f>SUMIFS(Q$3:Q$24,J$3:J$24,K$37)</f>
        <v>4</v>
      </c>
    </row>
    <row r="39" spans="2:16" x14ac:dyDescent="0.25">
      <c r="K39" s="11" t="s">
        <v>51</v>
      </c>
      <c r="L39" s="11">
        <f>-SUMIFS(H$3:H$24,J$3:J$24,K$37)+M39*5</f>
        <v>-100</v>
      </c>
      <c r="M39" s="11">
        <f>SUMIFS(Q$3:Q$24,J$3:J$24,K$37)-COUNTIFS(J$3:J$24,K$37,M$3:M$24,"*gộp*")</f>
        <v>4</v>
      </c>
    </row>
    <row r="40" spans="2:16" x14ac:dyDescent="0.25">
      <c r="K40" s="11" t="s">
        <v>74</v>
      </c>
    </row>
    <row r="41" spans="2:16" x14ac:dyDescent="0.25">
      <c r="K41" s="17" t="s">
        <v>25</v>
      </c>
    </row>
    <row r="42" spans="2:16" x14ac:dyDescent="0.25">
      <c r="K42" s="17" t="s">
        <v>54</v>
      </c>
    </row>
    <row r="43" spans="2:16" x14ac:dyDescent="0.25">
      <c r="L43" s="19">
        <f>SUBTOTAL(9,L38:L42)</f>
        <v>1470</v>
      </c>
      <c r="M43" s="19">
        <f>M38</f>
        <v>4</v>
      </c>
    </row>
    <row r="45" spans="2:16" x14ac:dyDescent="0.25">
      <c r="K45" s="15" t="s">
        <v>165</v>
      </c>
      <c r="L45" s="15" t="s">
        <v>48</v>
      </c>
      <c r="M45" s="15" t="s">
        <v>47</v>
      </c>
    </row>
    <row r="46" spans="2:16" x14ac:dyDescent="0.25">
      <c r="K46" s="11" t="s">
        <v>50</v>
      </c>
      <c r="L46" s="11">
        <f>SUMIFS(G$3:G$24,J$3:J$24,K$45)</f>
        <v>6090</v>
      </c>
      <c r="M46" s="11">
        <f>SUMIFS(Q$3:Q$24,J$3:J$24,K$45)</f>
        <v>10</v>
      </c>
    </row>
    <row r="47" spans="2:16" x14ac:dyDescent="0.25">
      <c r="K47" s="11" t="s">
        <v>51</v>
      </c>
      <c r="L47" s="11">
        <f>SUM(H27:H28)</f>
        <v>-186</v>
      </c>
      <c r="M47" s="11">
        <f>SUMIFS(Q$3:Q$24,J$3:J$24,K$45)-COUNTIFS(J$3:J$24,K$45,M$3:M$24,"*gộp*")</f>
        <v>10</v>
      </c>
    </row>
    <row r="48" spans="2:16" x14ac:dyDescent="0.25">
      <c r="K48" s="11" t="s">
        <v>74</v>
      </c>
    </row>
    <row r="49" spans="11:13" x14ac:dyDescent="0.25">
      <c r="K49" s="17" t="s">
        <v>25</v>
      </c>
    </row>
    <row r="50" spans="11:13" x14ac:dyDescent="0.25">
      <c r="K50" s="17" t="s">
        <v>54</v>
      </c>
    </row>
    <row r="51" spans="11:13" x14ac:dyDescent="0.25">
      <c r="L51" s="19">
        <f>SUBTOTAL(9,L46:L50)</f>
        <v>5904</v>
      </c>
      <c r="M51" s="19">
        <f>M46</f>
        <v>10</v>
      </c>
    </row>
    <row r="53" spans="11:13" x14ac:dyDescent="0.25">
      <c r="K53" s="15" t="s">
        <v>37</v>
      </c>
      <c r="L53" s="15" t="s">
        <v>48</v>
      </c>
      <c r="M53" s="15" t="s">
        <v>47</v>
      </c>
    </row>
    <row r="54" spans="11:13" x14ac:dyDescent="0.25">
      <c r="K54" s="11" t="s">
        <v>50</v>
      </c>
      <c r="L54" s="11">
        <f>SUMIFS(G$3:G$24,J$3:J$24,K$53)</f>
        <v>1625</v>
      </c>
      <c r="M54" s="11">
        <f>SUMIFS(Q$3:Q$24,J$3:J$24,K$53)</f>
        <v>2</v>
      </c>
    </row>
    <row r="55" spans="11:13" x14ac:dyDescent="0.25">
      <c r="K55" s="11" t="s">
        <v>51</v>
      </c>
      <c r="L55" s="11">
        <f>-SUMIFS(H$3:H$24,J$3:J$24,K$53)+M55*5</f>
        <v>-55</v>
      </c>
      <c r="M55" s="11">
        <f>SUMIFS(Q$3:Q$24,J$3:J$24,K$53)-COUNTIFS(J$3:J$24,K$53,M$3:M$24,"*gộp*")</f>
        <v>2</v>
      </c>
    </row>
    <row r="56" spans="11:13" x14ac:dyDescent="0.25">
      <c r="K56" s="11" t="s">
        <v>74</v>
      </c>
    </row>
    <row r="57" spans="11:13" x14ac:dyDescent="0.25">
      <c r="K57" s="17" t="s">
        <v>25</v>
      </c>
    </row>
    <row r="58" spans="11:13" x14ac:dyDescent="0.25">
      <c r="K58" s="17" t="s">
        <v>54</v>
      </c>
    </row>
    <row r="59" spans="11:13" x14ac:dyDescent="0.25">
      <c r="L59" s="19">
        <f>SUBTOTAL(9,L54:L58)</f>
        <v>1570</v>
      </c>
      <c r="M59" s="19">
        <f>M54</f>
        <v>2</v>
      </c>
    </row>
  </sheetData>
  <autoFilter ref="A2:Q2" xr:uid="{21EF95A6-1E82-4AC8-A681-DBF8AEA4F795}">
    <sortState xmlns:xlrd2="http://schemas.microsoft.com/office/spreadsheetml/2017/richdata2" ref="A3:Q24">
      <sortCondition ref="J2"/>
    </sortState>
  </autoFilter>
  <mergeCells count="8">
    <mergeCell ref="C35:D35"/>
    <mergeCell ref="C37:D37"/>
    <mergeCell ref="C29:D29"/>
    <mergeCell ref="C30:D30"/>
    <mergeCell ref="C31:D31"/>
    <mergeCell ref="C32:D32"/>
    <mergeCell ref="C33:D33"/>
    <mergeCell ref="C34:D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AD0-3888-417E-AED0-7E9D32960B8F}">
  <dimension ref="A1:Q49"/>
  <sheetViews>
    <sheetView topLeftCell="A10" zoomScale="85" zoomScaleNormal="85" workbookViewId="0">
      <selection activeCell="M46" sqref="M46"/>
    </sheetView>
  </sheetViews>
  <sheetFormatPr defaultRowHeight="15" x14ac:dyDescent="0.25"/>
  <cols>
    <col min="1" max="1" width="14.42578125" style="11" customWidth="1"/>
    <col min="2" max="2" width="19.140625" style="11" customWidth="1"/>
    <col min="3" max="3" width="16.85546875" style="11" bestFit="1" customWidth="1"/>
    <col min="4" max="4" width="10.140625" style="11" customWidth="1"/>
    <col min="5" max="5" width="55.140625" style="11" customWidth="1"/>
    <col min="6" max="6" width="10" style="11" customWidth="1"/>
    <col min="7" max="7" width="11.42578125" style="11" customWidth="1"/>
    <col min="8" max="8" width="12" style="11" customWidth="1"/>
    <col min="9" max="9" width="13.140625" style="11" customWidth="1"/>
    <col min="10" max="10" width="12.140625" style="11" customWidth="1"/>
    <col min="11" max="11" width="13.42578125" style="11" customWidth="1"/>
    <col min="12" max="12" width="12" style="11" customWidth="1"/>
    <col min="13" max="13" width="11.140625" style="11" customWidth="1"/>
    <col min="14" max="14" width="12.140625" style="11" customWidth="1"/>
    <col min="15" max="15" width="12.85546875" style="11" customWidth="1"/>
    <col min="16" max="16" width="7" style="11" bestFit="1" customWidth="1"/>
    <col min="17" max="17" width="11" style="11" customWidth="1"/>
    <col min="18" max="16384" width="9.140625" style="11"/>
  </cols>
  <sheetData>
    <row r="1" spans="1:17" x14ac:dyDescent="0.25">
      <c r="B1" s="11" t="s">
        <v>84</v>
      </c>
      <c r="C1" s="11" t="s">
        <v>157</v>
      </c>
    </row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1" t="s">
        <v>78</v>
      </c>
    </row>
    <row r="3" spans="1:17" x14ac:dyDescent="0.25">
      <c r="B3" s="11" t="s">
        <v>16</v>
      </c>
      <c r="C3" s="11" t="s">
        <v>109</v>
      </c>
      <c r="D3" s="11" t="s">
        <v>110</v>
      </c>
      <c r="E3" s="11" t="s">
        <v>111</v>
      </c>
      <c r="F3" s="12">
        <v>7</v>
      </c>
      <c r="G3" s="12">
        <v>670</v>
      </c>
      <c r="H3" s="12">
        <v>30</v>
      </c>
      <c r="I3" s="12">
        <f>G3-H3</f>
        <v>640</v>
      </c>
      <c r="J3" s="11" t="s">
        <v>112</v>
      </c>
      <c r="K3" s="11" t="s">
        <v>18</v>
      </c>
      <c r="L3" s="11" t="s">
        <v>113</v>
      </c>
      <c r="M3" s="20" t="s">
        <v>67</v>
      </c>
      <c r="Q3" s="11">
        <v>1</v>
      </c>
    </row>
    <row r="4" spans="1:17" x14ac:dyDescent="0.25">
      <c r="B4" s="11" t="s">
        <v>16</v>
      </c>
      <c r="C4" s="11" t="s">
        <v>109</v>
      </c>
      <c r="D4" s="11" t="s">
        <v>123</v>
      </c>
      <c r="E4" s="11" t="s">
        <v>111</v>
      </c>
      <c r="F4" s="12">
        <v>7</v>
      </c>
      <c r="G4" s="12">
        <v>350</v>
      </c>
      <c r="H4" s="12">
        <v>0</v>
      </c>
      <c r="I4" s="12">
        <f>G4-H4</f>
        <v>350</v>
      </c>
      <c r="J4" s="11" t="s">
        <v>112</v>
      </c>
      <c r="K4" s="11" t="s">
        <v>18</v>
      </c>
      <c r="L4" s="11" t="s">
        <v>113</v>
      </c>
      <c r="M4" s="20" t="s">
        <v>67</v>
      </c>
      <c r="Q4" s="11">
        <v>1</v>
      </c>
    </row>
    <row r="5" spans="1:17" x14ac:dyDescent="0.25">
      <c r="B5" s="11" t="s">
        <v>16</v>
      </c>
      <c r="C5" s="11" t="s">
        <v>136</v>
      </c>
      <c r="D5" s="11" t="s">
        <v>137</v>
      </c>
      <c r="E5" s="11" t="s">
        <v>138</v>
      </c>
      <c r="F5" s="12">
        <v>9</v>
      </c>
      <c r="G5" s="12">
        <v>670</v>
      </c>
      <c r="H5" s="12">
        <v>30</v>
      </c>
      <c r="I5" s="12">
        <f>G5-H5</f>
        <v>640</v>
      </c>
      <c r="J5" s="11" t="s">
        <v>112</v>
      </c>
      <c r="K5" s="11" t="s">
        <v>18</v>
      </c>
      <c r="L5" s="11" t="s">
        <v>113</v>
      </c>
      <c r="Q5" s="11">
        <v>1</v>
      </c>
    </row>
    <row r="6" spans="1:17" x14ac:dyDescent="0.25">
      <c r="B6" s="11" t="s">
        <v>16</v>
      </c>
      <c r="C6" s="11" t="s">
        <v>114</v>
      </c>
      <c r="D6" s="11" t="s">
        <v>115</v>
      </c>
      <c r="E6" s="11" t="s">
        <v>116</v>
      </c>
      <c r="F6" s="12">
        <v>12</v>
      </c>
      <c r="G6" s="12">
        <v>730</v>
      </c>
      <c r="H6" s="12">
        <v>30</v>
      </c>
      <c r="I6" s="12">
        <f>G6-H6</f>
        <v>700</v>
      </c>
      <c r="J6" s="11" t="s">
        <v>112</v>
      </c>
      <c r="K6" s="11" t="s">
        <v>18</v>
      </c>
      <c r="L6" s="11" t="s">
        <v>113</v>
      </c>
      <c r="Q6" s="11">
        <v>1</v>
      </c>
    </row>
    <row r="7" spans="1:17" x14ac:dyDescent="0.25">
      <c r="B7" s="11" t="s">
        <v>16</v>
      </c>
      <c r="C7" s="11" t="s">
        <v>130</v>
      </c>
      <c r="D7" s="11" t="s">
        <v>131</v>
      </c>
      <c r="E7" s="11" t="s">
        <v>132</v>
      </c>
      <c r="F7" s="12">
        <v>12</v>
      </c>
      <c r="G7" s="12">
        <v>0</v>
      </c>
      <c r="H7" s="12">
        <v>30</v>
      </c>
      <c r="I7" s="12">
        <f>-H7</f>
        <v>-30</v>
      </c>
      <c r="J7" s="11" t="s">
        <v>112</v>
      </c>
      <c r="K7" s="11" t="s">
        <v>18</v>
      </c>
      <c r="L7" s="11" t="s">
        <v>113</v>
      </c>
      <c r="Q7" s="11">
        <v>1</v>
      </c>
    </row>
    <row r="8" spans="1:17" x14ac:dyDescent="0.25">
      <c r="B8" s="11" t="s">
        <v>16</v>
      </c>
      <c r="C8" s="11" t="s">
        <v>139</v>
      </c>
      <c r="D8" s="11" t="s">
        <v>140</v>
      </c>
      <c r="E8" s="11" t="s">
        <v>141</v>
      </c>
      <c r="F8" s="12">
        <v>12</v>
      </c>
      <c r="G8" s="12">
        <v>0</v>
      </c>
      <c r="H8" s="12">
        <v>30</v>
      </c>
      <c r="I8" s="12">
        <f>-H8</f>
        <v>-30</v>
      </c>
      <c r="J8" s="11" t="s">
        <v>112</v>
      </c>
      <c r="K8" s="11" t="s">
        <v>18</v>
      </c>
      <c r="L8" s="11" t="s">
        <v>113</v>
      </c>
      <c r="M8" s="11" t="s">
        <v>66</v>
      </c>
      <c r="Q8" s="11">
        <v>1</v>
      </c>
    </row>
    <row r="9" spans="1:17" x14ac:dyDescent="0.25">
      <c r="B9" s="11" t="s">
        <v>16</v>
      </c>
      <c r="C9" s="11" t="s">
        <v>133</v>
      </c>
      <c r="D9" s="11" t="s">
        <v>134</v>
      </c>
      <c r="E9" s="11" t="s">
        <v>135</v>
      </c>
      <c r="F9" s="11" t="s">
        <v>24</v>
      </c>
      <c r="G9" s="12">
        <v>755</v>
      </c>
      <c r="H9" s="12">
        <v>25</v>
      </c>
      <c r="I9" s="12">
        <f>G9-H9</f>
        <v>730</v>
      </c>
      <c r="J9" s="11" t="s">
        <v>112</v>
      </c>
      <c r="K9" s="11" t="s">
        <v>18</v>
      </c>
      <c r="L9" s="11" t="s">
        <v>113</v>
      </c>
      <c r="Q9" s="11">
        <v>1</v>
      </c>
    </row>
    <row r="10" spans="1:17" x14ac:dyDescent="0.25">
      <c r="A10" s="11" t="s">
        <v>38</v>
      </c>
      <c r="B10" s="11" t="s">
        <v>16</v>
      </c>
      <c r="C10" s="11" t="s">
        <v>158</v>
      </c>
      <c r="E10" s="11" t="s">
        <v>93</v>
      </c>
      <c r="F10" s="11" t="s">
        <v>28</v>
      </c>
      <c r="G10" s="12">
        <v>1860</v>
      </c>
      <c r="H10" s="12">
        <v>30</v>
      </c>
      <c r="I10" s="12">
        <f>G10-H10</f>
        <v>1830</v>
      </c>
      <c r="J10" s="11" t="s">
        <v>112</v>
      </c>
      <c r="K10" s="11" t="s">
        <v>18</v>
      </c>
      <c r="L10" s="11" t="s">
        <v>113</v>
      </c>
      <c r="M10" s="11" t="s">
        <v>212</v>
      </c>
      <c r="Q10" s="11">
        <v>1</v>
      </c>
    </row>
    <row r="11" spans="1:17" x14ac:dyDescent="0.25">
      <c r="B11" s="11" t="s">
        <v>16</v>
      </c>
      <c r="C11" s="11" t="s">
        <v>146</v>
      </c>
      <c r="D11" s="11" t="s">
        <v>147</v>
      </c>
      <c r="E11" s="11" t="s">
        <v>148</v>
      </c>
      <c r="F11" s="12">
        <v>2</v>
      </c>
      <c r="G11" s="12">
        <v>870</v>
      </c>
      <c r="H11" s="12">
        <v>30</v>
      </c>
      <c r="I11" s="12">
        <f>G11-H11</f>
        <v>840</v>
      </c>
      <c r="J11" s="11" t="s">
        <v>18</v>
      </c>
      <c r="K11" s="11" t="s">
        <v>18</v>
      </c>
      <c r="L11" s="11" t="s">
        <v>113</v>
      </c>
      <c r="Q11" s="11">
        <v>1</v>
      </c>
    </row>
    <row r="12" spans="1:17" x14ac:dyDescent="0.25">
      <c r="B12" s="11" t="s">
        <v>16</v>
      </c>
      <c r="C12" s="11" t="s">
        <v>120</v>
      </c>
      <c r="D12" s="11" t="s">
        <v>121</v>
      </c>
      <c r="E12" s="11" t="s">
        <v>122</v>
      </c>
      <c r="F12" s="11" t="s">
        <v>23</v>
      </c>
      <c r="G12" s="12">
        <v>1630</v>
      </c>
      <c r="H12" s="12">
        <v>20</v>
      </c>
      <c r="I12" s="12">
        <f>G12-H12</f>
        <v>1610</v>
      </c>
      <c r="J12" s="11" t="s">
        <v>18</v>
      </c>
      <c r="K12" s="11" t="s">
        <v>18</v>
      </c>
      <c r="L12" s="11" t="s">
        <v>113</v>
      </c>
      <c r="Q12" s="11">
        <v>1</v>
      </c>
    </row>
    <row r="13" spans="1:17" x14ac:dyDescent="0.25">
      <c r="B13" s="11" t="s">
        <v>16</v>
      </c>
      <c r="C13" s="11" t="s">
        <v>127</v>
      </c>
      <c r="D13" s="11" t="s">
        <v>128</v>
      </c>
      <c r="E13" s="11" t="s">
        <v>129</v>
      </c>
      <c r="F13" s="11" t="s">
        <v>23</v>
      </c>
      <c r="G13" s="12">
        <v>0</v>
      </c>
      <c r="H13" s="12">
        <v>20</v>
      </c>
      <c r="I13" s="12">
        <f>-H13</f>
        <v>-20</v>
      </c>
      <c r="J13" s="11" t="s">
        <v>18</v>
      </c>
      <c r="K13" s="11" t="s">
        <v>18</v>
      </c>
      <c r="L13" s="11" t="s">
        <v>113</v>
      </c>
      <c r="Q13" s="11">
        <v>1</v>
      </c>
    </row>
    <row r="14" spans="1:17" x14ac:dyDescent="0.25">
      <c r="B14" s="11" t="s">
        <v>16</v>
      </c>
      <c r="C14" s="11" t="s">
        <v>149</v>
      </c>
      <c r="D14" s="11" t="s">
        <v>150</v>
      </c>
      <c r="E14" s="11" t="s">
        <v>151</v>
      </c>
      <c r="F14" s="11" t="s">
        <v>23</v>
      </c>
      <c r="G14" s="12">
        <v>810</v>
      </c>
      <c r="H14" s="12">
        <v>20</v>
      </c>
      <c r="I14" s="12">
        <f>G14-H14</f>
        <v>790</v>
      </c>
      <c r="J14" s="11" t="s">
        <v>18</v>
      </c>
      <c r="K14" s="11" t="s">
        <v>18</v>
      </c>
      <c r="L14" s="11" t="s">
        <v>113</v>
      </c>
      <c r="Q14" s="11">
        <v>1</v>
      </c>
    </row>
    <row r="15" spans="1:17" x14ac:dyDescent="0.25">
      <c r="A15" s="11" t="s">
        <v>38</v>
      </c>
      <c r="B15" s="11" t="s">
        <v>16</v>
      </c>
      <c r="C15" s="11" t="s">
        <v>152</v>
      </c>
      <c r="E15" s="11" t="s">
        <v>153</v>
      </c>
      <c r="F15" s="11" t="s">
        <v>23</v>
      </c>
      <c r="G15" s="12">
        <v>30</v>
      </c>
      <c r="H15" s="12">
        <v>30</v>
      </c>
      <c r="I15" s="12">
        <f>G15-H15</f>
        <v>0</v>
      </c>
      <c r="J15" s="11" t="s">
        <v>18</v>
      </c>
      <c r="K15" s="11" t="s">
        <v>18</v>
      </c>
      <c r="L15" s="11" t="s">
        <v>113</v>
      </c>
      <c r="Q15" s="11">
        <v>1</v>
      </c>
    </row>
    <row r="16" spans="1:17" x14ac:dyDescent="0.25">
      <c r="A16" s="11" t="s">
        <v>38</v>
      </c>
      <c r="B16" s="11" t="s">
        <v>16</v>
      </c>
      <c r="C16" s="11" t="s">
        <v>41</v>
      </c>
      <c r="E16" s="11" t="s">
        <v>42</v>
      </c>
      <c r="F16" s="11" t="s">
        <v>30</v>
      </c>
      <c r="G16" s="12">
        <v>30</v>
      </c>
      <c r="H16" s="12">
        <v>30</v>
      </c>
      <c r="I16" s="12">
        <f>G16-H16</f>
        <v>0</v>
      </c>
      <c r="J16" s="11" t="s">
        <v>18</v>
      </c>
      <c r="K16" s="11" t="s">
        <v>18</v>
      </c>
      <c r="L16" s="11" t="s">
        <v>113</v>
      </c>
      <c r="Q16" s="11">
        <v>1</v>
      </c>
    </row>
    <row r="17" spans="1:17" x14ac:dyDescent="0.25">
      <c r="A17" s="11" t="s">
        <v>38</v>
      </c>
      <c r="B17" s="11" t="s">
        <v>16</v>
      </c>
      <c r="C17" s="11" t="s">
        <v>154</v>
      </c>
      <c r="E17" s="11" t="s">
        <v>155</v>
      </c>
      <c r="F17" s="11" t="s">
        <v>30</v>
      </c>
      <c r="G17" s="12">
        <v>0</v>
      </c>
      <c r="H17" s="12">
        <v>30</v>
      </c>
      <c r="I17" s="12">
        <f>-H17</f>
        <v>-30</v>
      </c>
      <c r="J17" s="11" t="s">
        <v>18</v>
      </c>
      <c r="K17" s="11" t="s">
        <v>18</v>
      </c>
      <c r="L17" s="11" t="s">
        <v>113</v>
      </c>
      <c r="Q17" s="11">
        <v>1</v>
      </c>
    </row>
    <row r="18" spans="1:17" x14ac:dyDescent="0.25">
      <c r="B18" s="11" t="s">
        <v>16</v>
      </c>
      <c r="C18" s="11" t="s">
        <v>142</v>
      </c>
      <c r="D18" s="11" t="s">
        <v>143</v>
      </c>
      <c r="E18" s="11" t="s">
        <v>144</v>
      </c>
      <c r="F18" s="12">
        <v>10</v>
      </c>
      <c r="G18" s="12">
        <v>1455</v>
      </c>
      <c r="H18" s="12">
        <v>25</v>
      </c>
      <c r="I18" s="12">
        <f>G18-H18</f>
        <v>1430</v>
      </c>
      <c r="J18" s="11" t="s">
        <v>19</v>
      </c>
      <c r="K18" s="11" t="s">
        <v>18</v>
      </c>
      <c r="L18" s="11" t="s">
        <v>113</v>
      </c>
      <c r="Q18" s="11">
        <v>1</v>
      </c>
    </row>
    <row r="19" spans="1:17" x14ac:dyDescent="0.25">
      <c r="B19" s="11" t="s">
        <v>16</v>
      </c>
      <c r="C19" s="11" t="s">
        <v>124</v>
      </c>
      <c r="D19" s="11" t="s">
        <v>125</v>
      </c>
      <c r="E19" s="11" t="s">
        <v>126</v>
      </c>
      <c r="F19" s="11" t="s">
        <v>26</v>
      </c>
      <c r="G19" s="12">
        <v>660</v>
      </c>
      <c r="H19" s="12">
        <v>20</v>
      </c>
      <c r="I19" s="12">
        <f>G19-H19</f>
        <v>640</v>
      </c>
      <c r="J19" s="11" t="s">
        <v>19</v>
      </c>
      <c r="K19" s="11" t="s">
        <v>18</v>
      </c>
      <c r="L19" s="11" t="s">
        <v>113</v>
      </c>
      <c r="Q19" s="11">
        <v>1</v>
      </c>
    </row>
    <row r="20" spans="1:17" x14ac:dyDescent="0.25">
      <c r="B20" s="11" t="s">
        <v>16</v>
      </c>
      <c r="C20" s="11" t="s">
        <v>31</v>
      </c>
      <c r="D20" s="11" t="s">
        <v>145</v>
      </c>
      <c r="E20" s="11" t="s">
        <v>32</v>
      </c>
      <c r="F20" s="11" t="s">
        <v>26</v>
      </c>
      <c r="G20" s="12">
        <v>600</v>
      </c>
      <c r="H20" s="12">
        <v>20</v>
      </c>
      <c r="I20" s="12">
        <f>G20-H20</f>
        <v>580</v>
      </c>
      <c r="J20" s="11" t="s">
        <v>19</v>
      </c>
      <c r="K20" s="11" t="s">
        <v>18</v>
      </c>
      <c r="L20" s="11" t="s">
        <v>113</v>
      </c>
      <c r="Q20" s="11">
        <v>1</v>
      </c>
    </row>
    <row r="21" spans="1:17" x14ac:dyDescent="0.25">
      <c r="B21" s="11" t="s">
        <v>16</v>
      </c>
      <c r="C21" s="11" t="s">
        <v>117</v>
      </c>
      <c r="D21" s="11" t="s">
        <v>118</v>
      </c>
      <c r="E21" s="11" t="s">
        <v>119</v>
      </c>
      <c r="F21" s="11" t="s">
        <v>28</v>
      </c>
      <c r="G21" s="12">
        <v>875</v>
      </c>
      <c r="H21" s="12">
        <v>25</v>
      </c>
      <c r="I21" s="12">
        <f>G21-H21</f>
        <v>850</v>
      </c>
      <c r="J21" s="11" t="s">
        <v>19</v>
      </c>
      <c r="K21" s="11" t="s">
        <v>18</v>
      </c>
      <c r="L21" s="11" t="s">
        <v>113</v>
      </c>
      <c r="Q21" s="11">
        <v>1</v>
      </c>
    </row>
    <row r="22" spans="1:17" s="21" customFormat="1" x14ac:dyDescent="0.25">
      <c r="B22" s="21" t="s">
        <v>16</v>
      </c>
      <c r="C22" s="21" t="s">
        <v>213</v>
      </c>
      <c r="D22" s="21" t="s">
        <v>214</v>
      </c>
      <c r="E22" s="21" t="s">
        <v>215</v>
      </c>
      <c r="F22" s="21" t="s">
        <v>22</v>
      </c>
      <c r="G22" s="22">
        <v>750</v>
      </c>
      <c r="H22" s="22">
        <v>0</v>
      </c>
      <c r="I22" s="22">
        <f>G22-H22</f>
        <v>750</v>
      </c>
      <c r="J22" s="21" t="s">
        <v>68</v>
      </c>
      <c r="K22" s="21" t="s">
        <v>18</v>
      </c>
      <c r="L22" s="21" t="s">
        <v>216</v>
      </c>
      <c r="N22" s="21" t="s">
        <v>63</v>
      </c>
      <c r="O22" s="21" t="s">
        <v>63</v>
      </c>
      <c r="P22" s="21" t="s">
        <v>70</v>
      </c>
      <c r="Q22" s="21">
        <v>1</v>
      </c>
    </row>
    <row r="23" spans="1:17" x14ac:dyDescent="0.25">
      <c r="D23" s="13">
        <f>COUNTA(D3:D20)</f>
        <v>14</v>
      </c>
      <c r="G23" s="16">
        <f>SUBTOTAL(9,G3:G22)</f>
        <v>12745</v>
      </c>
      <c r="H23" s="16">
        <f>SUBTOTAL(9,H3:H22)</f>
        <v>475</v>
      </c>
      <c r="I23" s="16">
        <f>SUBTOTAL(9,I3:I22)</f>
        <v>12270</v>
      </c>
      <c r="J23" s="13">
        <f t="shared" ref="J23:P23" si="0">SUBTOTAL(9,J3:J20)</f>
        <v>0</v>
      </c>
      <c r="K23" s="13">
        <f t="shared" si="0"/>
        <v>0</v>
      </c>
      <c r="L23" s="13">
        <f t="shared" si="0"/>
        <v>0</v>
      </c>
      <c r="M23" s="13">
        <f t="shared" si="0"/>
        <v>0</v>
      </c>
      <c r="N23" s="13">
        <f t="shared" si="0"/>
        <v>0</v>
      </c>
      <c r="O23" s="13">
        <f t="shared" si="0"/>
        <v>0</v>
      </c>
      <c r="P23" s="13">
        <f t="shared" si="0"/>
        <v>0</v>
      </c>
      <c r="Q23" s="16">
        <f>SUBTOTAL(9,Q3:Q22)</f>
        <v>20</v>
      </c>
    </row>
    <row r="24" spans="1:17" x14ac:dyDescent="0.25">
      <c r="H24" s="11">
        <f>-3*17</f>
        <v>-51</v>
      </c>
    </row>
    <row r="25" spans="1:17" x14ac:dyDescent="0.25">
      <c r="H25" s="11">
        <f>-4*25</f>
        <v>-100</v>
      </c>
    </row>
    <row r="27" spans="1:17" x14ac:dyDescent="0.25">
      <c r="A27" s="13" t="s">
        <v>16</v>
      </c>
      <c r="C27" s="47" t="s">
        <v>46</v>
      </c>
      <c r="D27" s="47"/>
      <c r="E27" s="14" t="s">
        <v>47</v>
      </c>
      <c r="K27" s="15" t="s">
        <v>112</v>
      </c>
      <c r="L27" s="15" t="s">
        <v>48</v>
      </c>
      <c r="M27" s="15" t="s">
        <v>47</v>
      </c>
      <c r="O27" s="14" t="s">
        <v>72</v>
      </c>
    </row>
    <row r="28" spans="1:17" x14ac:dyDescent="0.25">
      <c r="A28" s="11" t="s">
        <v>113</v>
      </c>
      <c r="B28" s="16" t="s">
        <v>49</v>
      </c>
      <c r="C28" s="50">
        <f>SUMIFS(I$3:I$22,B$3:B$22,A$27,L$3:L$22,A$28)</f>
        <v>11520</v>
      </c>
      <c r="D28" s="48"/>
      <c r="E28" s="16">
        <f>SUMIFS(Q$3:Q$22,B$3:B$22,A$27,L$3:L$22,A$28)</f>
        <v>19</v>
      </c>
      <c r="F28" s="11" t="s">
        <v>73</v>
      </c>
      <c r="K28" s="11" t="s">
        <v>50</v>
      </c>
      <c r="L28" s="11">
        <f>SUMIFS(G$3:G$22,J$3:J$22,K$27)</f>
        <v>5035</v>
      </c>
      <c r="M28" s="11">
        <f>SUMIFS(Q$3:Q$22,J$3:J$22,K$27)</f>
        <v>8</v>
      </c>
      <c r="O28" s="11" t="s">
        <v>156</v>
      </c>
      <c r="P28" s="11">
        <f>L33</f>
        <v>4134</v>
      </c>
    </row>
    <row r="29" spans="1:17" x14ac:dyDescent="0.25">
      <c r="B29" s="17" t="s">
        <v>108</v>
      </c>
      <c r="C29" s="49">
        <v>0</v>
      </c>
      <c r="D29" s="49"/>
      <c r="K29" s="11" t="s">
        <v>51</v>
      </c>
      <c r="L29" s="11">
        <f>SUM(H24:H25)</f>
        <v>-151</v>
      </c>
      <c r="M29" s="11">
        <f>SUMIFS(Q$3:Q$22,J$3:J$22,K$27)</f>
        <v>8</v>
      </c>
      <c r="O29" s="11" t="s">
        <v>19</v>
      </c>
      <c r="P29" s="11">
        <f>L41</f>
        <v>3520</v>
      </c>
    </row>
    <row r="30" spans="1:17" x14ac:dyDescent="0.25">
      <c r="B30" s="17" t="s">
        <v>52</v>
      </c>
      <c r="C30" s="51">
        <f>-SUMIFS(I$3:I$22,B$3:B$22,A$27,P$3:P$22,"xx",N$3:N$22,"x")</f>
        <v>-750</v>
      </c>
      <c r="D30" s="49"/>
      <c r="E30" s="21">
        <f>SUMIFS(Q$3:Q$22,B$3:B$22,A$27,P$3:P$22,"xx",N$3:N$22,"x")</f>
        <v>1</v>
      </c>
      <c r="K30" s="11" t="s">
        <v>74</v>
      </c>
      <c r="O30" s="11" t="s">
        <v>18</v>
      </c>
      <c r="P30" s="11">
        <f>L49</f>
        <v>3189</v>
      </c>
    </row>
    <row r="31" spans="1:17" x14ac:dyDescent="0.25">
      <c r="B31" s="14" t="s">
        <v>53</v>
      </c>
      <c r="C31" s="47">
        <f>SUBTOTAL(9,C28:C30)</f>
        <v>10770</v>
      </c>
      <c r="D31" s="47"/>
      <c r="E31" s="11">
        <f>E28</f>
        <v>19</v>
      </c>
      <c r="K31" s="17" t="s">
        <v>25</v>
      </c>
      <c r="O31" s="11" t="s">
        <v>76</v>
      </c>
      <c r="P31" s="11">
        <f>-C35</f>
        <v>-10770</v>
      </c>
    </row>
    <row r="32" spans="1:17" x14ac:dyDescent="0.25">
      <c r="B32" s="17" t="s">
        <v>75</v>
      </c>
      <c r="C32" s="45"/>
      <c r="D32" s="45"/>
      <c r="K32" s="17" t="s">
        <v>54</v>
      </c>
      <c r="L32" s="11">
        <v>-750</v>
      </c>
      <c r="O32" s="14" t="s">
        <v>77</v>
      </c>
      <c r="P32" s="14">
        <f>SUBTOTAL(9,P28:P31)</f>
        <v>73</v>
      </c>
    </row>
    <row r="33" spans="2:13" x14ac:dyDescent="0.25">
      <c r="B33" s="18" t="s">
        <v>55</v>
      </c>
      <c r="C33" s="45"/>
      <c r="D33" s="45"/>
      <c r="L33" s="19">
        <f>SUBTOTAL(9,L28:L32)</f>
        <v>4134</v>
      </c>
      <c r="M33" s="19">
        <f>M28</f>
        <v>8</v>
      </c>
    </row>
    <row r="35" spans="2:13" x14ac:dyDescent="0.25">
      <c r="B35" s="13" t="s">
        <v>56</v>
      </c>
      <c r="C35" s="46">
        <f>C31+C32+C33</f>
        <v>10770</v>
      </c>
      <c r="D35" s="46"/>
      <c r="E35" s="13" t="s">
        <v>57</v>
      </c>
      <c r="K35" s="15" t="s">
        <v>19</v>
      </c>
      <c r="L35" s="15" t="s">
        <v>48</v>
      </c>
      <c r="M35" s="15" t="s">
        <v>47</v>
      </c>
    </row>
    <row r="36" spans="2:13" x14ac:dyDescent="0.25">
      <c r="K36" s="11" t="s">
        <v>50</v>
      </c>
      <c r="L36" s="11">
        <f>SUMIFS(G$3:G$22,J$3:J$22,K$35)</f>
        <v>3590</v>
      </c>
      <c r="M36" s="11">
        <f>SUMIFS(Q$3:Q$22,J$3:J$22,K$35)</f>
        <v>4</v>
      </c>
    </row>
    <row r="37" spans="2:13" x14ac:dyDescent="0.25">
      <c r="K37" s="11" t="s">
        <v>51</v>
      </c>
      <c r="L37" s="11">
        <v>-70</v>
      </c>
      <c r="M37" s="11">
        <f>SUMIFS(Q$3:Q$22,J$3:J$22,K$35)-COUNT(J$3:J$20,K$35,M$3:M$22)</f>
        <v>4</v>
      </c>
    </row>
    <row r="38" spans="2:13" x14ac:dyDescent="0.25">
      <c r="K38" s="11" t="s">
        <v>74</v>
      </c>
    </row>
    <row r="39" spans="2:13" x14ac:dyDescent="0.25">
      <c r="K39" s="17" t="s">
        <v>25</v>
      </c>
    </row>
    <row r="40" spans="2:13" x14ac:dyDescent="0.25">
      <c r="K40" s="17" t="s">
        <v>54</v>
      </c>
    </row>
    <row r="41" spans="2:13" x14ac:dyDescent="0.25">
      <c r="L41" s="19">
        <f>SUBTOTAL(9,L36:L40)</f>
        <v>3520</v>
      </c>
      <c r="M41" s="19">
        <f>M36</f>
        <v>4</v>
      </c>
    </row>
    <row r="43" spans="2:13" x14ac:dyDescent="0.25">
      <c r="K43" s="15" t="s">
        <v>18</v>
      </c>
      <c r="L43" s="15" t="s">
        <v>48</v>
      </c>
      <c r="M43" s="15" t="s">
        <v>47</v>
      </c>
    </row>
    <row r="44" spans="2:13" x14ac:dyDescent="0.25">
      <c r="K44" s="11" t="s">
        <v>50</v>
      </c>
      <c r="L44" s="11">
        <f>SUMIFS(G$3:G$22,J$3:J$22,K$43)</f>
        <v>3370</v>
      </c>
      <c r="M44" s="11">
        <f>SUMIFS(Q$3:Q$22,J$3:J$22,K$43)</f>
        <v>7</v>
      </c>
    </row>
    <row r="45" spans="2:13" x14ac:dyDescent="0.25">
      <c r="K45" s="11" t="s">
        <v>51</v>
      </c>
      <c r="L45" s="11">
        <v>-145</v>
      </c>
      <c r="M45" s="11">
        <f>SUMIFS(Q$3:Q$22,J$3:J$22,K$43)-COUNT(J$3:J$20,K$43,M$3:M$22)</f>
        <v>7</v>
      </c>
    </row>
    <row r="46" spans="2:13" x14ac:dyDescent="0.25">
      <c r="K46" s="11" t="s">
        <v>74</v>
      </c>
      <c r="L46" s="11">
        <f>-M46*2</f>
        <v>-36</v>
      </c>
      <c r="M46" s="11">
        <v>18</v>
      </c>
    </row>
    <row r="47" spans="2:13" x14ac:dyDescent="0.25">
      <c r="K47" s="17" t="s">
        <v>25</v>
      </c>
    </row>
    <row r="48" spans="2:13" x14ac:dyDescent="0.25">
      <c r="K48" s="17" t="s">
        <v>54</v>
      </c>
    </row>
    <row r="49" spans="12:13" x14ac:dyDescent="0.25">
      <c r="L49" s="19">
        <f>SUBTOTAL(9,L44:L48)</f>
        <v>3189</v>
      </c>
      <c r="M49" s="19">
        <f>M44</f>
        <v>7</v>
      </c>
    </row>
  </sheetData>
  <mergeCells count="8">
    <mergeCell ref="C33:D33"/>
    <mergeCell ref="C35:D35"/>
    <mergeCell ref="C27:D27"/>
    <mergeCell ref="C28:D28"/>
    <mergeCell ref="C29:D29"/>
    <mergeCell ref="C30:D30"/>
    <mergeCell ref="C31:D31"/>
    <mergeCell ref="C32:D3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9B6C5-3566-4A45-B6A2-E8CF8552519D}">
  <dimension ref="A2:Q71"/>
  <sheetViews>
    <sheetView topLeftCell="B13" zoomScale="85" zoomScaleNormal="85" workbookViewId="0">
      <selection activeCell="L45" sqref="L45"/>
    </sheetView>
  </sheetViews>
  <sheetFormatPr defaultRowHeight="15" x14ac:dyDescent="0.25"/>
  <cols>
    <col min="1" max="1" width="12.28515625" customWidth="1"/>
    <col min="2" max="2" width="19.140625" customWidth="1"/>
    <col min="3" max="3" width="25.140625" customWidth="1"/>
    <col min="4" max="4" width="11.5703125" bestFit="1" customWidth="1"/>
    <col min="5" max="5" width="48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8.5703125" bestFit="1" customWidth="1"/>
    <col min="17" max="17" width="6.42578125" customWidth="1"/>
  </cols>
  <sheetData>
    <row r="2" spans="1:17" x14ac:dyDescent="0.2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85</v>
      </c>
    </row>
    <row r="3" spans="1:17" x14ac:dyDescent="0.25">
      <c r="B3" t="s">
        <v>16</v>
      </c>
      <c r="C3" t="s">
        <v>217</v>
      </c>
      <c r="D3" t="s">
        <v>218</v>
      </c>
      <c r="E3" t="s">
        <v>219</v>
      </c>
      <c r="F3" s="5">
        <v>9</v>
      </c>
      <c r="G3" s="5">
        <v>870</v>
      </c>
      <c r="H3" s="5">
        <v>30</v>
      </c>
      <c r="I3" s="5">
        <f>G3-H3</f>
        <v>840</v>
      </c>
      <c r="J3" t="s">
        <v>37</v>
      </c>
      <c r="K3" t="s">
        <v>18</v>
      </c>
      <c r="L3" t="s">
        <v>220</v>
      </c>
      <c r="Q3" s="5">
        <v>1</v>
      </c>
    </row>
    <row r="4" spans="1:17" x14ac:dyDescent="0.25">
      <c r="A4" t="s">
        <v>38</v>
      </c>
      <c r="B4" t="s">
        <v>16</v>
      </c>
      <c r="C4" t="s">
        <v>81</v>
      </c>
      <c r="E4" t="s">
        <v>221</v>
      </c>
      <c r="F4" s="5">
        <v>9</v>
      </c>
      <c r="G4" s="5">
        <v>1625</v>
      </c>
      <c r="H4" s="5">
        <v>35</v>
      </c>
      <c r="I4" s="5">
        <f>G4-H4</f>
        <v>1590</v>
      </c>
      <c r="J4" t="s">
        <v>37</v>
      </c>
      <c r="K4" t="s">
        <v>18</v>
      </c>
      <c r="L4" t="s">
        <v>220</v>
      </c>
      <c r="Q4" s="5">
        <v>1</v>
      </c>
    </row>
    <row r="5" spans="1:17" x14ac:dyDescent="0.25">
      <c r="A5" t="s">
        <v>38</v>
      </c>
      <c r="B5" t="s">
        <v>16</v>
      </c>
      <c r="C5" t="s">
        <v>166</v>
      </c>
      <c r="E5" t="s">
        <v>40</v>
      </c>
      <c r="F5" s="5">
        <v>6</v>
      </c>
      <c r="G5" s="5">
        <v>0</v>
      </c>
      <c r="H5" s="5">
        <v>25</v>
      </c>
      <c r="I5" s="5">
        <f>-H5</f>
        <v>-25</v>
      </c>
      <c r="J5" t="s">
        <v>222</v>
      </c>
      <c r="K5" t="s">
        <v>18</v>
      </c>
      <c r="L5" t="s">
        <v>220</v>
      </c>
      <c r="Q5" s="5">
        <v>1</v>
      </c>
    </row>
    <row r="6" spans="1:17" x14ac:dyDescent="0.25">
      <c r="B6" t="s">
        <v>16</v>
      </c>
      <c r="C6" t="s">
        <v>223</v>
      </c>
      <c r="D6" t="s">
        <v>224</v>
      </c>
      <c r="E6" t="s">
        <v>225</v>
      </c>
      <c r="F6" s="5">
        <v>6</v>
      </c>
      <c r="G6" s="5">
        <v>735</v>
      </c>
      <c r="H6" s="5">
        <v>25</v>
      </c>
      <c r="I6" s="5">
        <f t="shared" ref="I6:I15" si="0">G6-H6</f>
        <v>710</v>
      </c>
      <c r="J6" t="s">
        <v>222</v>
      </c>
      <c r="K6" t="s">
        <v>18</v>
      </c>
      <c r="L6" t="s">
        <v>220</v>
      </c>
      <c r="Q6" s="5">
        <v>1</v>
      </c>
    </row>
    <row r="7" spans="1:17" x14ac:dyDescent="0.25">
      <c r="B7" t="s">
        <v>16</v>
      </c>
      <c r="C7" t="s">
        <v>226</v>
      </c>
      <c r="D7" t="s">
        <v>227</v>
      </c>
      <c r="E7" t="s">
        <v>228</v>
      </c>
      <c r="F7" s="5">
        <v>7</v>
      </c>
      <c r="G7" s="5">
        <v>510</v>
      </c>
      <c r="H7" s="5">
        <v>30</v>
      </c>
      <c r="I7" s="5">
        <f t="shared" si="0"/>
        <v>480</v>
      </c>
      <c r="J7" t="s">
        <v>222</v>
      </c>
      <c r="K7" t="s">
        <v>18</v>
      </c>
      <c r="L7" t="s">
        <v>220</v>
      </c>
      <c r="Q7" s="5">
        <v>1</v>
      </c>
    </row>
    <row r="8" spans="1:17" x14ac:dyDescent="0.25">
      <c r="B8" t="s">
        <v>16</v>
      </c>
      <c r="C8" t="s">
        <v>229</v>
      </c>
      <c r="D8" t="s">
        <v>230</v>
      </c>
      <c r="E8" t="s">
        <v>231</v>
      </c>
      <c r="F8" s="5">
        <v>7</v>
      </c>
      <c r="G8" s="5">
        <v>1610</v>
      </c>
      <c r="H8" s="5">
        <v>30</v>
      </c>
      <c r="I8" s="5">
        <f t="shared" si="0"/>
        <v>1580</v>
      </c>
      <c r="J8" t="s">
        <v>222</v>
      </c>
      <c r="K8" t="s">
        <v>18</v>
      </c>
      <c r="L8" t="s">
        <v>220</v>
      </c>
      <c r="Q8" s="5">
        <v>1</v>
      </c>
    </row>
    <row r="9" spans="1:17" x14ac:dyDescent="0.25">
      <c r="B9" t="s">
        <v>16</v>
      </c>
      <c r="C9" t="s">
        <v>232</v>
      </c>
      <c r="D9" t="s">
        <v>233</v>
      </c>
      <c r="E9" t="s">
        <v>234</v>
      </c>
      <c r="F9" s="5">
        <v>8</v>
      </c>
      <c r="G9" s="5">
        <v>850</v>
      </c>
      <c r="H9" s="5">
        <v>30</v>
      </c>
      <c r="I9" s="5">
        <f t="shared" si="0"/>
        <v>820</v>
      </c>
      <c r="J9" t="s">
        <v>222</v>
      </c>
      <c r="K9" t="s">
        <v>18</v>
      </c>
      <c r="L9" t="s">
        <v>220</v>
      </c>
      <c r="Q9" s="5">
        <v>1</v>
      </c>
    </row>
    <row r="10" spans="1:17" x14ac:dyDescent="0.25">
      <c r="B10" t="s">
        <v>16</v>
      </c>
      <c r="C10" t="s">
        <v>235</v>
      </c>
      <c r="D10" t="s">
        <v>236</v>
      </c>
      <c r="E10" t="s">
        <v>237</v>
      </c>
      <c r="F10" s="5">
        <v>12</v>
      </c>
      <c r="G10" s="5">
        <v>820</v>
      </c>
      <c r="H10" s="5">
        <v>30</v>
      </c>
      <c r="I10" s="5">
        <f t="shared" si="0"/>
        <v>790</v>
      </c>
      <c r="J10" t="s">
        <v>222</v>
      </c>
      <c r="K10" t="s">
        <v>18</v>
      </c>
      <c r="L10" t="s">
        <v>220</v>
      </c>
      <c r="Q10" s="5">
        <v>1</v>
      </c>
    </row>
    <row r="11" spans="1:17" x14ac:dyDescent="0.25">
      <c r="B11" t="s">
        <v>16</v>
      </c>
      <c r="C11" t="s">
        <v>238</v>
      </c>
      <c r="D11" t="s">
        <v>239</v>
      </c>
      <c r="E11" t="s">
        <v>240</v>
      </c>
      <c r="F11" t="s">
        <v>21</v>
      </c>
      <c r="G11" s="5">
        <v>745</v>
      </c>
      <c r="H11" s="5">
        <v>35</v>
      </c>
      <c r="I11" s="5">
        <f t="shared" si="0"/>
        <v>710</v>
      </c>
      <c r="J11" t="s">
        <v>222</v>
      </c>
      <c r="K11" t="s">
        <v>18</v>
      </c>
      <c r="L11" t="s">
        <v>220</v>
      </c>
      <c r="Q11" s="5">
        <v>1</v>
      </c>
    </row>
    <row r="12" spans="1:17" x14ac:dyDescent="0.25">
      <c r="B12" t="s">
        <v>16</v>
      </c>
      <c r="C12" t="s">
        <v>58</v>
      </c>
      <c r="D12" t="s">
        <v>241</v>
      </c>
      <c r="E12" t="s">
        <v>242</v>
      </c>
      <c r="F12" t="s">
        <v>21</v>
      </c>
      <c r="G12" s="5">
        <v>35</v>
      </c>
      <c r="H12" s="5">
        <v>35</v>
      </c>
      <c r="I12" s="5">
        <f t="shared" si="0"/>
        <v>0</v>
      </c>
      <c r="J12" t="s">
        <v>222</v>
      </c>
      <c r="K12" t="s">
        <v>18</v>
      </c>
      <c r="L12" t="s">
        <v>220</v>
      </c>
      <c r="Q12" s="5">
        <v>1</v>
      </c>
    </row>
    <row r="13" spans="1:17" x14ac:dyDescent="0.25">
      <c r="B13" t="s">
        <v>16</v>
      </c>
      <c r="C13" t="s">
        <v>243</v>
      </c>
      <c r="D13" t="s">
        <v>244</v>
      </c>
      <c r="E13" t="s">
        <v>245</v>
      </c>
      <c r="F13" t="s">
        <v>22</v>
      </c>
      <c r="G13" s="5">
        <v>1760</v>
      </c>
      <c r="H13" s="5">
        <v>30</v>
      </c>
      <c r="I13" s="5">
        <f t="shared" si="0"/>
        <v>1730</v>
      </c>
      <c r="J13" t="s">
        <v>222</v>
      </c>
      <c r="K13" t="s">
        <v>18</v>
      </c>
      <c r="L13" t="s">
        <v>220</v>
      </c>
      <c r="Q13" s="5">
        <v>1</v>
      </c>
    </row>
    <row r="14" spans="1:17" x14ac:dyDescent="0.25">
      <c r="B14" t="s">
        <v>16</v>
      </c>
      <c r="C14" t="s">
        <v>246</v>
      </c>
      <c r="D14" t="s">
        <v>247</v>
      </c>
      <c r="E14" t="s">
        <v>248</v>
      </c>
      <c r="F14" t="s">
        <v>22</v>
      </c>
      <c r="G14" s="5">
        <v>670</v>
      </c>
      <c r="H14" s="5">
        <v>30</v>
      </c>
      <c r="I14" s="5">
        <f t="shared" si="0"/>
        <v>640</v>
      </c>
      <c r="J14" t="s">
        <v>222</v>
      </c>
      <c r="K14" t="s">
        <v>18</v>
      </c>
      <c r="L14" t="s">
        <v>220</v>
      </c>
      <c r="Q14" s="5">
        <v>1</v>
      </c>
    </row>
    <row r="15" spans="1:17" x14ac:dyDescent="0.25">
      <c r="B15" t="s">
        <v>16</v>
      </c>
      <c r="C15" t="s">
        <v>249</v>
      </c>
      <c r="D15" t="s">
        <v>250</v>
      </c>
      <c r="E15" t="s">
        <v>251</v>
      </c>
      <c r="F15" t="s">
        <v>33</v>
      </c>
      <c r="G15" s="5">
        <v>115</v>
      </c>
      <c r="H15" s="5">
        <v>35</v>
      </c>
      <c r="I15" s="5">
        <f t="shared" si="0"/>
        <v>80</v>
      </c>
      <c r="J15" t="s">
        <v>222</v>
      </c>
      <c r="K15" t="s">
        <v>18</v>
      </c>
      <c r="L15" t="s">
        <v>220</v>
      </c>
      <c r="Q15" s="5">
        <v>1</v>
      </c>
    </row>
    <row r="16" spans="1:17" x14ac:dyDescent="0.25">
      <c r="B16" t="s">
        <v>16</v>
      </c>
      <c r="C16" t="s">
        <v>106</v>
      </c>
      <c r="D16" t="s">
        <v>252</v>
      </c>
      <c r="E16" t="s">
        <v>107</v>
      </c>
      <c r="F16" t="s">
        <v>28</v>
      </c>
      <c r="G16" s="5">
        <v>0</v>
      </c>
      <c r="H16" s="5">
        <v>25</v>
      </c>
      <c r="I16" s="5">
        <f>-H16</f>
        <v>-25</v>
      </c>
      <c r="J16" t="s">
        <v>222</v>
      </c>
      <c r="K16" t="s">
        <v>18</v>
      </c>
      <c r="L16" t="s">
        <v>220</v>
      </c>
      <c r="Q16" s="5">
        <v>1</v>
      </c>
    </row>
    <row r="17" spans="1:17" x14ac:dyDescent="0.25">
      <c r="B17" t="s">
        <v>16</v>
      </c>
      <c r="C17" t="s">
        <v>34</v>
      </c>
      <c r="D17" t="s">
        <v>253</v>
      </c>
      <c r="E17" t="s">
        <v>254</v>
      </c>
      <c r="F17" t="s">
        <v>24</v>
      </c>
      <c r="G17" s="5">
        <v>885</v>
      </c>
      <c r="H17" s="5">
        <v>25</v>
      </c>
      <c r="I17" s="5">
        <f>G17-H17</f>
        <v>860</v>
      </c>
      <c r="J17" t="s">
        <v>222</v>
      </c>
      <c r="K17" t="s">
        <v>18</v>
      </c>
      <c r="L17" t="s">
        <v>220</v>
      </c>
      <c r="Q17" s="5">
        <v>1</v>
      </c>
    </row>
    <row r="18" spans="1:17" x14ac:dyDescent="0.25">
      <c r="B18" t="s">
        <v>16</v>
      </c>
      <c r="C18" t="s">
        <v>255</v>
      </c>
      <c r="D18" t="s">
        <v>256</v>
      </c>
      <c r="E18" t="s">
        <v>257</v>
      </c>
      <c r="F18" t="s">
        <v>24</v>
      </c>
      <c r="G18" s="5">
        <v>745</v>
      </c>
      <c r="H18" s="5">
        <v>25</v>
      </c>
      <c r="I18" s="5">
        <f>G18-H18</f>
        <v>720</v>
      </c>
      <c r="J18" t="s">
        <v>222</v>
      </c>
      <c r="K18" t="s">
        <v>18</v>
      </c>
      <c r="L18" t="s">
        <v>220</v>
      </c>
      <c r="Q18" s="5">
        <v>1</v>
      </c>
    </row>
    <row r="19" spans="1:17" x14ac:dyDescent="0.25">
      <c r="B19" t="s">
        <v>16</v>
      </c>
      <c r="C19" t="s">
        <v>258</v>
      </c>
      <c r="D19" t="s">
        <v>259</v>
      </c>
      <c r="E19" t="s">
        <v>260</v>
      </c>
      <c r="F19" s="5">
        <v>2</v>
      </c>
      <c r="G19" s="5">
        <v>890</v>
      </c>
      <c r="H19" s="5">
        <v>30</v>
      </c>
      <c r="I19" s="5">
        <f t="shared" ref="I19:I33" si="1">G19-H19</f>
        <v>860</v>
      </c>
      <c r="J19" t="s">
        <v>18</v>
      </c>
      <c r="K19" t="s">
        <v>18</v>
      </c>
      <c r="L19" t="s">
        <v>220</v>
      </c>
      <c r="Q19" s="5">
        <v>1</v>
      </c>
    </row>
    <row r="20" spans="1:17" x14ac:dyDescent="0.25">
      <c r="B20" t="s">
        <v>16</v>
      </c>
      <c r="C20" t="s">
        <v>261</v>
      </c>
      <c r="D20" t="s">
        <v>262</v>
      </c>
      <c r="E20" t="s">
        <v>263</v>
      </c>
      <c r="F20" t="s">
        <v>23</v>
      </c>
      <c r="G20" s="5">
        <v>1450</v>
      </c>
      <c r="H20" s="5">
        <v>20</v>
      </c>
      <c r="I20" s="5">
        <f t="shared" si="1"/>
        <v>1430</v>
      </c>
      <c r="J20" t="s">
        <v>18</v>
      </c>
      <c r="K20" t="s">
        <v>18</v>
      </c>
      <c r="L20" t="s">
        <v>220</v>
      </c>
      <c r="Q20" s="5">
        <v>1</v>
      </c>
    </row>
    <row r="21" spans="1:17" x14ac:dyDescent="0.25">
      <c r="B21" t="s">
        <v>16</v>
      </c>
      <c r="C21" t="s">
        <v>264</v>
      </c>
      <c r="D21" t="s">
        <v>265</v>
      </c>
      <c r="E21" t="s">
        <v>266</v>
      </c>
      <c r="F21" t="s">
        <v>23</v>
      </c>
      <c r="G21" s="5">
        <v>20</v>
      </c>
      <c r="H21" s="5">
        <v>20</v>
      </c>
      <c r="I21" s="5">
        <f t="shared" si="1"/>
        <v>0</v>
      </c>
      <c r="J21" t="s">
        <v>18</v>
      </c>
      <c r="K21" t="s">
        <v>18</v>
      </c>
      <c r="L21" t="s">
        <v>220</v>
      </c>
      <c r="M21" t="s">
        <v>66</v>
      </c>
      <c r="Q21" s="5">
        <v>1</v>
      </c>
    </row>
    <row r="22" spans="1:17" x14ac:dyDescent="0.25">
      <c r="A22" t="s">
        <v>38</v>
      </c>
      <c r="B22" t="s">
        <v>16</v>
      </c>
      <c r="C22" t="s">
        <v>83</v>
      </c>
      <c r="E22" t="s">
        <v>267</v>
      </c>
      <c r="F22" t="s">
        <v>30</v>
      </c>
      <c r="G22" s="5">
        <v>1530</v>
      </c>
      <c r="H22" s="5">
        <v>30</v>
      </c>
      <c r="I22" s="5">
        <f t="shared" si="1"/>
        <v>1500</v>
      </c>
      <c r="J22" t="s">
        <v>18</v>
      </c>
      <c r="K22" t="s">
        <v>18</v>
      </c>
      <c r="L22" t="s">
        <v>220</v>
      </c>
      <c r="Q22" s="5">
        <v>1</v>
      </c>
    </row>
    <row r="23" spans="1:17" x14ac:dyDescent="0.25">
      <c r="B23" t="s">
        <v>16</v>
      </c>
      <c r="C23" t="s">
        <v>268</v>
      </c>
      <c r="D23" t="s">
        <v>269</v>
      </c>
      <c r="E23" t="s">
        <v>270</v>
      </c>
      <c r="F23" t="s">
        <v>28</v>
      </c>
      <c r="G23" s="5">
        <v>765</v>
      </c>
      <c r="H23" s="5">
        <v>25</v>
      </c>
      <c r="I23" s="5">
        <f t="shared" si="1"/>
        <v>740</v>
      </c>
      <c r="J23" t="s">
        <v>18</v>
      </c>
      <c r="K23" t="s">
        <v>18</v>
      </c>
      <c r="L23" t="s">
        <v>220</v>
      </c>
      <c r="Q23" s="5">
        <v>1</v>
      </c>
    </row>
    <row r="24" spans="1:17" x14ac:dyDescent="0.25">
      <c r="A24" t="s">
        <v>38</v>
      </c>
      <c r="B24" t="s">
        <v>16</v>
      </c>
      <c r="C24" t="s">
        <v>271</v>
      </c>
      <c r="E24" t="s">
        <v>272</v>
      </c>
      <c r="F24" t="s">
        <v>28</v>
      </c>
      <c r="G24" s="5">
        <v>30</v>
      </c>
      <c r="H24" s="5">
        <v>30</v>
      </c>
      <c r="I24" s="5">
        <f t="shared" si="1"/>
        <v>0</v>
      </c>
      <c r="J24" t="s">
        <v>18</v>
      </c>
      <c r="K24" t="s">
        <v>18</v>
      </c>
      <c r="L24" t="s">
        <v>220</v>
      </c>
      <c r="Q24" s="5">
        <v>1</v>
      </c>
    </row>
    <row r="25" spans="1:17" x14ac:dyDescent="0.25">
      <c r="B25" t="s">
        <v>16</v>
      </c>
      <c r="C25" t="s">
        <v>273</v>
      </c>
      <c r="D25" t="s">
        <v>274</v>
      </c>
      <c r="E25" t="s">
        <v>275</v>
      </c>
      <c r="F25" s="5">
        <v>1</v>
      </c>
      <c r="G25" s="5">
        <v>945</v>
      </c>
      <c r="H25" s="5">
        <v>25</v>
      </c>
      <c r="I25" s="5">
        <f t="shared" si="1"/>
        <v>920</v>
      </c>
      <c r="J25" t="s">
        <v>19</v>
      </c>
      <c r="K25" t="s">
        <v>18</v>
      </c>
      <c r="L25" t="s">
        <v>220</v>
      </c>
      <c r="Q25" s="5">
        <v>1</v>
      </c>
    </row>
    <row r="26" spans="1:17" x14ac:dyDescent="0.25">
      <c r="B26" t="s">
        <v>16</v>
      </c>
      <c r="C26" t="s">
        <v>276</v>
      </c>
      <c r="D26" t="s">
        <v>277</v>
      </c>
      <c r="E26" t="s">
        <v>278</v>
      </c>
      <c r="F26" s="5">
        <v>1</v>
      </c>
      <c r="G26" s="5">
        <v>1015</v>
      </c>
      <c r="H26" s="5">
        <v>25</v>
      </c>
      <c r="I26" s="5">
        <f t="shared" si="1"/>
        <v>990</v>
      </c>
      <c r="J26" t="s">
        <v>19</v>
      </c>
      <c r="K26" t="s">
        <v>18</v>
      </c>
      <c r="L26" t="s">
        <v>220</v>
      </c>
      <c r="Q26" s="5">
        <v>1</v>
      </c>
    </row>
    <row r="27" spans="1:17" x14ac:dyDescent="0.25">
      <c r="B27" t="s">
        <v>16</v>
      </c>
      <c r="C27" t="s">
        <v>279</v>
      </c>
      <c r="D27" t="s">
        <v>280</v>
      </c>
      <c r="E27" t="s">
        <v>281</v>
      </c>
      <c r="F27" s="5">
        <v>1</v>
      </c>
      <c r="G27" s="5">
        <v>1155</v>
      </c>
      <c r="H27" s="5">
        <v>25</v>
      </c>
      <c r="I27" s="5">
        <f t="shared" si="1"/>
        <v>1130</v>
      </c>
      <c r="J27" t="s">
        <v>19</v>
      </c>
      <c r="K27" t="s">
        <v>18</v>
      </c>
      <c r="L27" t="s">
        <v>220</v>
      </c>
      <c r="Q27" s="5">
        <v>1</v>
      </c>
    </row>
    <row r="28" spans="1:17" x14ac:dyDescent="0.25">
      <c r="B28" t="s">
        <v>16</v>
      </c>
      <c r="C28" t="s">
        <v>282</v>
      </c>
      <c r="D28" t="s">
        <v>283</v>
      </c>
      <c r="E28" t="s">
        <v>284</v>
      </c>
      <c r="F28" s="5">
        <v>3</v>
      </c>
      <c r="G28" s="5">
        <v>1455</v>
      </c>
      <c r="H28" s="5">
        <v>25</v>
      </c>
      <c r="I28" s="5">
        <f t="shared" si="1"/>
        <v>1430</v>
      </c>
      <c r="J28" t="s">
        <v>19</v>
      </c>
      <c r="K28" t="s">
        <v>18</v>
      </c>
      <c r="L28" t="s">
        <v>220</v>
      </c>
      <c r="Q28" s="5">
        <v>1</v>
      </c>
    </row>
    <row r="29" spans="1:17" x14ac:dyDescent="0.25">
      <c r="B29" t="s">
        <v>16</v>
      </c>
      <c r="C29" t="s">
        <v>285</v>
      </c>
      <c r="D29" t="s">
        <v>286</v>
      </c>
      <c r="E29" t="s">
        <v>287</v>
      </c>
      <c r="F29" s="5">
        <v>4</v>
      </c>
      <c r="G29" s="5">
        <v>885</v>
      </c>
      <c r="H29" s="5">
        <v>25</v>
      </c>
      <c r="I29" s="5">
        <f t="shared" si="1"/>
        <v>860</v>
      </c>
      <c r="J29" t="s">
        <v>19</v>
      </c>
      <c r="K29" t="s">
        <v>18</v>
      </c>
      <c r="L29" t="s">
        <v>220</v>
      </c>
      <c r="Q29" s="5">
        <v>1</v>
      </c>
    </row>
    <row r="30" spans="1:17" x14ac:dyDescent="0.25">
      <c r="B30" t="s">
        <v>16</v>
      </c>
      <c r="C30" t="s">
        <v>288</v>
      </c>
      <c r="D30" t="s">
        <v>289</v>
      </c>
      <c r="E30" t="s">
        <v>290</v>
      </c>
      <c r="F30" s="5">
        <v>4</v>
      </c>
      <c r="G30" s="5">
        <v>1525</v>
      </c>
      <c r="H30" s="5">
        <v>25</v>
      </c>
      <c r="I30" s="5">
        <f t="shared" si="1"/>
        <v>1500</v>
      </c>
      <c r="J30" t="s">
        <v>19</v>
      </c>
      <c r="K30" t="s">
        <v>18</v>
      </c>
      <c r="L30" t="s">
        <v>220</v>
      </c>
      <c r="Q30" s="5">
        <v>1</v>
      </c>
    </row>
    <row r="31" spans="1:17" x14ac:dyDescent="0.25">
      <c r="A31" t="s">
        <v>38</v>
      </c>
      <c r="B31" t="s">
        <v>16</v>
      </c>
      <c r="C31" t="s">
        <v>82</v>
      </c>
      <c r="E31" t="s">
        <v>104</v>
      </c>
      <c r="F31" s="5">
        <v>4</v>
      </c>
      <c r="G31" s="5">
        <v>30</v>
      </c>
      <c r="H31" s="5">
        <v>30</v>
      </c>
      <c r="I31" s="5">
        <f t="shared" si="1"/>
        <v>0</v>
      </c>
      <c r="J31" t="s">
        <v>19</v>
      </c>
      <c r="K31" t="s">
        <v>18</v>
      </c>
      <c r="L31" t="s">
        <v>220</v>
      </c>
      <c r="Q31" s="5">
        <v>1</v>
      </c>
    </row>
    <row r="32" spans="1:17" x14ac:dyDescent="0.25">
      <c r="B32" t="s">
        <v>16</v>
      </c>
      <c r="C32" t="s">
        <v>291</v>
      </c>
      <c r="D32" t="s">
        <v>292</v>
      </c>
      <c r="E32" t="s">
        <v>293</v>
      </c>
      <c r="F32" t="s">
        <v>21</v>
      </c>
      <c r="G32" s="5">
        <v>765</v>
      </c>
      <c r="H32" s="5">
        <v>35</v>
      </c>
      <c r="I32" s="5">
        <f t="shared" si="1"/>
        <v>730</v>
      </c>
      <c r="J32" t="s">
        <v>19</v>
      </c>
      <c r="K32" t="s">
        <v>18</v>
      </c>
      <c r="L32" t="s">
        <v>220</v>
      </c>
      <c r="Q32" s="5">
        <v>1</v>
      </c>
    </row>
    <row r="33" spans="1:17" x14ac:dyDescent="0.25">
      <c r="B33" t="s">
        <v>16</v>
      </c>
      <c r="C33" t="s">
        <v>99</v>
      </c>
      <c r="D33" t="s">
        <v>294</v>
      </c>
      <c r="E33" t="s">
        <v>295</v>
      </c>
      <c r="F33" t="s">
        <v>21</v>
      </c>
      <c r="G33" s="5">
        <v>415</v>
      </c>
      <c r="H33" s="5">
        <v>35</v>
      </c>
      <c r="I33" s="5">
        <f t="shared" si="1"/>
        <v>380</v>
      </c>
      <c r="J33" t="s">
        <v>19</v>
      </c>
      <c r="K33" t="s">
        <v>18</v>
      </c>
      <c r="L33" t="s">
        <v>220</v>
      </c>
      <c r="Q33" s="5">
        <v>1</v>
      </c>
    </row>
    <row r="34" spans="1:17" x14ac:dyDescent="0.25">
      <c r="A34" t="s">
        <v>38</v>
      </c>
      <c r="B34" t="s">
        <v>16</v>
      </c>
      <c r="C34" t="s">
        <v>296</v>
      </c>
      <c r="E34" t="s">
        <v>297</v>
      </c>
      <c r="F34" t="s">
        <v>28</v>
      </c>
      <c r="G34" s="5">
        <v>0</v>
      </c>
      <c r="H34" s="5">
        <v>30</v>
      </c>
      <c r="I34" s="5">
        <f>-H34</f>
        <v>-30</v>
      </c>
      <c r="J34" t="s">
        <v>19</v>
      </c>
      <c r="K34" t="s">
        <v>18</v>
      </c>
      <c r="L34" t="s">
        <v>220</v>
      </c>
      <c r="Q34" s="5">
        <v>1</v>
      </c>
    </row>
    <row r="36" spans="1:17" x14ac:dyDescent="0.25">
      <c r="D36" s="1">
        <f>COUNTA(D3:D34)</f>
        <v>26</v>
      </c>
      <c r="G36" s="1">
        <f t="shared" ref="G36:Q36" si="2">SUBTOTAL(9,G3:G34)</f>
        <v>24850</v>
      </c>
      <c r="H36" s="1">
        <f t="shared" si="2"/>
        <v>910</v>
      </c>
      <c r="I36" s="1">
        <f t="shared" si="2"/>
        <v>23940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</row>
    <row r="37" spans="1:17" x14ac:dyDescent="0.25">
      <c r="H37">
        <f>-8*17</f>
        <v>-136</v>
      </c>
    </row>
    <row r="38" spans="1:17" x14ac:dyDescent="0.25">
      <c r="H38">
        <f>-3*25</f>
        <v>-75</v>
      </c>
    </row>
    <row r="39" spans="1:17" x14ac:dyDescent="0.25">
      <c r="H39">
        <f>-3*30</f>
        <v>-90</v>
      </c>
    </row>
    <row r="41" spans="1:17" x14ac:dyDescent="0.25">
      <c r="A41" s="1" t="s">
        <v>16</v>
      </c>
      <c r="C41" s="54" t="s">
        <v>46</v>
      </c>
      <c r="D41" s="54"/>
      <c r="E41" s="4" t="s">
        <v>47</v>
      </c>
      <c r="K41" s="7" t="s">
        <v>18</v>
      </c>
      <c r="L41" s="7" t="s">
        <v>48</v>
      </c>
      <c r="M41" s="7" t="s">
        <v>47</v>
      </c>
      <c r="O41" s="4" t="s">
        <v>72</v>
      </c>
    </row>
    <row r="42" spans="1:17" x14ac:dyDescent="0.25">
      <c r="A42" t="s">
        <v>220</v>
      </c>
      <c r="B42" s="3" t="s">
        <v>49</v>
      </c>
      <c r="C42" s="55">
        <f>SUMIFS(I$3:I$34,B$3:B$34,A$41,L$3:L$34,A$42)</f>
        <v>23940</v>
      </c>
      <c r="D42" s="55"/>
      <c r="E42" s="3">
        <f>SUMIFS(Q$3:Q$34,B$3:B$34,A$41,L$3:L$34,A$42)</f>
        <v>32</v>
      </c>
      <c r="F42" t="s">
        <v>73</v>
      </c>
      <c r="K42" t="s">
        <v>50</v>
      </c>
      <c r="L42">
        <f>SUMIFS(G$3:G$34,J$3:J$34,K$41)</f>
        <v>4685</v>
      </c>
      <c r="M42">
        <f>SUMIFS(Q$3:Q$34,J$3:J$34,K$41)</f>
        <v>6</v>
      </c>
      <c r="O42" t="s">
        <v>18</v>
      </c>
      <c r="P42">
        <f>L47</f>
        <v>4496</v>
      </c>
    </row>
    <row r="43" spans="1:17" x14ac:dyDescent="0.25">
      <c r="B43" s="2" t="s">
        <v>108</v>
      </c>
      <c r="C43" s="56">
        <v>0</v>
      </c>
      <c r="D43" s="56"/>
      <c r="K43" t="s">
        <v>51</v>
      </c>
      <c r="L43">
        <f>-SUMIFS(H$3:H$34,J$3:J$34,K$41)+M43*5</f>
        <v>-125</v>
      </c>
      <c r="M43">
        <f>SUMIFS(Q$3:Q$34,J$3:J$34,K$41)-COUNTIFS(J$3:J$34,K$41,M$3:M$34,"*gộp*")</f>
        <v>6</v>
      </c>
      <c r="O43" t="s">
        <v>19</v>
      </c>
      <c r="P43">
        <f>L55</f>
        <v>7960</v>
      </c>
    </row>
    <row r="44" spans="1:17" x14ac:dyDescent="0.25">
      <c r="B44" s="2" t="s">
        <v>52</v>
      </c>
      <c r="C44" s="56">
        <f>-SUMIFS(I$3:I$34,B$3:B$34,A$41,P$3:P$34,"xx",N$3:N$34,"x")</f>
        <v>0</v>
      </c>
      <c r="D44" s="56"/>
      <c r="E44" s="2">
        <f>SUMIFS(Q$3:Q$34,B$3:B$34,A$41,P$3:P$34,"xx",N$3:N$34,"x")</f>
        <v>0</v>
      </c>
      <c r="K44" t="s">
        <v>74</v>
      </c>
      <c r="L44">
        <f>-32*2</f>
        <v>-64</v>
      </c>
      <c r="O44" t="s">
        <v>298</v>
      </c>
      <c r="P44">
        <f>L63</f>
        <v>9179</v>
      </c>
    </row>
    <row r="45" spans="1:17" x14ac:dyDescent="0.25">
      <c r="B45" s="4" t="s">
        <v>53</v>
      </c>
      <c r="C45" s="54">
        <f>SUBTOTAL(9,C42:C44)</f>
        <v>23940</v>
      </c>
      <c r="D45" s="54"/>
      <c r="E45">
        <f>E42</f>
        <v>32</v>
      </c>
      <c r="K45" s="2" t="s">
        <v>25</v>
      </c>
      <c r="O45" t="s">
        <v>37</v>
      </c>
      <c r="P45">
        <f>L71</f>
        <v>2440</v>
      </c>
    </row>
    <row r="46" spans="1:17" x14ac:dyDescent="0.25">
      <c r="B46" s="2" t="s">
        <v>75</v>
      </c>
      <c r="C46" s="52"/>
      <c r="D46" s="52"/>
      <c r="K46" s="2" t="s">
        <v>54</v>
      </c>
      <c r="O46" t="s">
        <v>76</v>
      </c>
      <c r="P46">
        <f>-C49</f>
        <v>-23940</v>
      </c>
    </row>
    <row r="47" spans="1:17" x14ac:dyDescent="0.25">
      <c r="B47" s="9" t="s">
        <v>55</v>
      </c>
      <c r="C47" s="52"/>
      <c r="D47" s="52"/>
      <c r="L47" s="23">
        <f>SUBTOTAL(9,L42:L46)</f>
        <v>4496</v>
      </c>
      <c r="M47" s="23">
        <f>M42</f>
        <v>6</v>
      </c>
      <c r="O47" s="4" t="s">
        <v>77</v>
      </c>
      <c r="P47" s="4">
        <f>SUBTOTAL(9,P42:P46)</f>
        <v>135</v>
      </c>
    </row>
    <row r="49" spans="2:13" x14ac:dyDescent="0.25">
      <c r="B49" s="1" t="s">
        <v>56</v>
      </c>
      <c r="C49" s="53">
        <f>C45+C46+C47</f>
        <v>23940</v>
      </c>
      <c r="D49" s="53"/>
      <c r="E49" s="1" t="s">
        <v>57</v>
      </c>
      <c r="K49" s="7" t="s">
        <v>19</v>
      </c>
      <c r="L49" s="7" t="s">
        <v>48</v>
      </c>
      <c r="M49" s="7" t="s">
        <v>47</v>
      </c>
    </row>
    <row r="50" spans="2:13" x14ac:dyDescent="0.25">
      <c r="K50" t="s">
        <v>50</v>
      </c>
      <c r="L50">
        <f>SUMIFS(G$3:G$34,J$3:J$34,K$49)</f>
        <v>8190</v>
      </c>
      <c r="M50">
        <f>SUMIFS(Q$3:Q$34,J$3:J$34,K$49)</f>
        <v>10</v>
      </c>
    </row>
    <row r="51" spans="2:13" x14ac:dyDescent="0.25">
      <c r="K51" t="s">
        <v>51</v>
      </c>
      <c r="L51">
        <f>-SUMIFS(H$3:H$34,J$3:J$34,K$49)+M51*5</f>
        <v>-230</v>
      </c>
      <c r="M51">
        <f>SUMIFS(Q$3:Q$34,J$3:J$34,K$49)-COUNTIFS(J$3:J$34,K$49,M$3:M$34,"*gộp*")</f>
        <v>10</v>
      </c>
    </row>
    <row r="52" spans="2:13" x14ac:dyDescent="0.25">
      <c r="K52" t="s">
        <v>74</v>
      </c>
    </row>
    <row r="53" spans="2:13" x14ac:dyDescent="0.25">
      <c r="K53" s="2" t="s">
        <v>25</v>
      </c>
    </row>
    <row r="54" spans="2:13" x14ac:dyDescent="0.25">
      <c r="K54" s="2" t="s">
        <v>54</v>
      </c>
    </row>
    <row r="55" spans="2:13" x14ac:dyDescent="0.25">
      <c r="L55" s="23">
        <f>SUBTOTAL(9,L50:L54)</f>
        <v>7960</v>
      </c>
      <c r="M55" s="23">
        <f>M50</f>
        <v>10</v>
      </c>
    </row>
    <row r="57" spans="2:13" x14ac:dyDescent="0.25">
      <c r="K57" s="7" t="s">
        <v>222</v>
      </c>
      <c r="L57" s="7" t="s">
        <v>48</v>
      </c>
      <c r="M57" s="7" t="s">
        <v>47</v>
      </c>
    </row>
    <row r="58" spans="2:13" x14ac:dyDescent="0.25">
      <c r="K58" t="s">
        <v>50</v>
      </c>
      <c r="L58">
        <f>SUMIFS(G$3:G$34,J$3:J$34,K$57)</f>
        <v>9480</v>
      </c>
      <c r="M58">
        <f>SUMIFS(Q$3:Q$34,J$3:J$34,K$57)</f>
        <v>14</v>
      </c>
    </row>
    <row r="59" spans="2:13" x14ac:dyDescent="0.25">
      <c r="K59" t="s">
        <v>51</v>
      </c>
      <c r="L59">
        <f>SUM(H37:H39)</f>
        <v>-301</v>
      </c>
      <c r="M59">
        <f>SUMIFS(Q$3:Q$34,J$3:J$34,K$57)-COUNTIFS(J$3:J$34,K$57,M$3:M$34,"*gộp*")</f>
        <v>14</v>
      </c>
    </row>
    <row r="60" spans="2:13" x14ac:dyDescent="0.25">
      <c r="K60" t="s">
        <v>74</v>
      </c>
    </row>
    <row r="61" spans="2:13" x14ac:dyDescent="0.25">
      <c r="K61" s="2" t="s">
        <v>25</v>
      </c>
    </row>
    <row r="62" spans="2:13" x14ac:dyDescent="0.25">
      <c r="K62" s="2" t="s">
        <v>54</v>
      </c>
    </row>
    <row r="63" spans="2:13" x14ac:dyDescent="0.25">
      <c r="L63" s="8">
        <f>SUBTOTAL(9,L58:L62)</f>
        <v>9179</v>
      </c>
      <c r="M63" s="8">
        <f>M58</f>
        <v>14</v>
      </c>
    </row>
    <row r="65" spans="11:13" x14ac:dyDescent="0.25">
      <c r="K65" s="7" t="s">
        <v>37</v>
      </c>
      <c r="L65" s="7" t="s">
        <v>48</v>
      </c>
      <c r="M65" s="7" t="s">
        <v>47</v>
      </c>
    </row>
    <row r="66" spans="11:13" x14ac:dyDescent="0.25">
      <c r="K66" t="s">
        <v>50</v>
      </c>
      <c r="L66">
        <f>SUMIFS(G$3:G$34,J$3:J$34,K$65)</f>
        <v>2495</v>
      </c>
      <c r="M66">
        <f>SUMIFS(Q$3:Q$34,J$3:J$34,K$65)</f>
        <v>2</v>
      </c>
    </row>
    <row r="67" spans="11:13" x14ac:dyDescent="0.25">
      <c r="K67" t="s">
        <v>51</v>
      </c>
      <c r="L67">
        <f>-SUMIFS(H$3:H$34,J$3:J$34,K$65)+M67*5</f>
        <v>-55</v>
      </c>
      <c r="M67">
        <f>SUMIFS(Q$3:Q$34,J$3:J$34,K$65)-COUNTIFS(J$3:J$34,K$65,M$3:M$34,"*gộp*")</f>
        <v>2</v>
      </c>
    </row>
    <row r="68" spans="11:13" x14ac:dyDescent="0.25">
      <c r="K68" t="s">
        <v>74</v>
      </c>
    </row>
    <row r="69" spans="11:13" x14ac:dyDescent="0.25">
      <c r="K69" s="2" t="s">
        <v>25</v>
      </c>
    </row>
    <row r="70" spans="11:13" x14ac:dyDescent="0.25">
      <c r="K70" s="2" t="s">
        <v>54</v>
      </c>
    </row>
    <row r="71" spans="11:13" x14ac:dyDescent="0.25">
      <c r="L71" s="8">
        <f>SUBTOTAL(9,L66:L70)</f>
        <v>2440</v>
      </c>
      <c r="M71" s="8">
        <f>M66</f>
        <v>2</v>
      </c>
    </row>
  </sheetData>
  <autoFilter ref="A2:Q34" xr:uid="{2B630B7E-F45D-4050-BF8D-6CB3F460A815}">
    <sortState xmlns:xlrd2="http://schemas.microsoft.com/office/spreadsheetml/2017/richdata2" ref="A5:Q18">
      <sortCondition ref="F2:F34"/>
    </sortState>
  </autoFilter>
  <mergeCells count="8">
    <mergeCell ref="C47:D47"/>
    <mergeCell ref="C49:D49"/>
    <mergeCell ref="C41:D41"/>
    <mergeCell ref="C42:D42"/>
    <mergeCell ref="C43:D43"/>
    <mergeCell ref="C44:D44"/>
    <mergeCell ref="C45:D45"/>
    <mergeCell ref="C46:D4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D879-B4A9-4B7C-895A-78957A536CB9}">
  <dimension ref="A2:Q61"/>
  <sheetViews>
    <sheetView topLeftCell="B13" workbookViewId="0">
      <selection activeCell="M51" sqref="M51"/>
    </sheetView>
  </sheetViews>
  <sheetFormatPr defaultRowHeight="15" x14ac:dyDescent="0.25"/>
  <cols>
    <col min="1" max="1" width="12.28515625" customWidth="1"/>
    <col min="2" max="2" width="19.140625" customWidth="1"/>
    <col min="3" max="3" width="28.42578125" customWidth="1"/>
    <col min="4" max="4" width="10.140625" customWidth="1"/>
    <col min="5" max="5" width="8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1.28515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85</v>
      </c>
    </row>
    <row r="3" spans="1:17" x14ac:dyDescent="0.25">
      <c r="B3" t="s">
        <v>16</v>
      </c>
      <c r="C3" t="s">
        <v>299</v>
      </c>
      <c r="D3" t="s">
        <v>300</v>
      </c>
      <c r="E3" t="s">
        <v>301</v>
      </c>
      <c r="F3" s="5">
        <v>9</v>
      </c>
      <c r="G3" s="5">
        <v>470</v>
      </c>
      <c r="H3" s="5">
        <v>30</v>
      </c>
      <c r="I3" s="5">
        <f>G3-H3</f>
        <v>440</v>
      </c>
      <c r="J3" t="s">
        <v>37</v>
      </c>
      <c r="K3" t="s">
        <v>18</v>
      </c>
      <c r="L3" t="s">
        <v>302</v>
      </c>
      <c r="Q3" s="5">
        <v>1</v>
      </c>
    </row>
    <row r="4" spans="1:17" x14ac:dyDescent="0.25">
      <c r="A4" t="s">
        <v>38</v>
      </c>
      <c r="B4" t="s">
        <v>16</v>
      </c>
      <c r="C4" t="s">
        <v>303</v>
      </c>
      <c r="E4" t="s">
        <v>304</v>
      </c>
      <c r="F4" s="5">
        <v>9</v>
      </c>
      <c r="G4" s="5">
        <v>35</v>
      </c>
      <c r="H4" s="5">
        <v>35</v>
      </c>
      <c r="I4" s="5">
        <f>G4-H4</f>
        <v>0</v>
      </c>
      <c r="J4" t="s">
        <v>37</v>
      </c>
      <c r="K4" t="s">
        <v>18</v>
      </c>
      <c r="L4" t="s">
        <v>302</v>
      </c>
      <c r="Q4" s="5">
        <v>1</v>
      </c>
    </row>
    <row r="5" spans="1:17" s="24" customFormat="1" x14ac:dyDescent="0.25">
      <c r="B5" s="24" t="s">
        <v>16</v>
      </c>
      <c r="C5" s="24" t="s">
        <v>305</v>
      </c>
      <c r="D5" s="24" t="s">
        <v>306</v>
      </c>
      <c r="E5" s="24" t="s">
        <v>307</v>
      </c>
      <c r="F5" s="25">
        <v>7</v>
      </c>
      <c r="G5" s="25">
        <v>0</v>
      </c>
      <c r="H5" s="25">
        <v>30</v>
      </c>
      <c r="I5" s="25">
        <f>G5-H5</f>
        <v>-30</v>
      </c>
      <c r="J5" t="s">
        <v>308</v>
      </c>
      <c r="K5" s="24" t="s">
        <v>18</v>
      </c>
      <c r="L5" s="24" t="s">
        <v>302</v>
      </c>
      <c r="M5" s="24" t="s">
        <v>309</v>
      </c>
      <c r="Q5" s="25">
        <v>1</v>
      </c>
    </row>
    <row r="6" spans="1:17" x14ac:dyDescent="0.25">
      <c r="B6" t="s">
        <v>16</v>
      </c>
      <c r="C6" t="s">
        <v>310</v>
      </c>
      <c r="D6" t="s">
        <v>311</v>
      </c>
      <c r="E6" t="s">
        <v>312</v>
      </c>
      <c r="F6" s="5">
        <v>11</v>
      </c>
      <c r="G6" s="5">
        <v>0</v>
      </c>
      <c r="H6" s="5">
        <v>25</v>
      </c>
      <c r="I6" s="5">
        <f>-H6</f>
        <v>-25</v>
      </c>
      <c r="J6" t="s">
        <v>308</v>
      </c>
      <c r="K6" t="s">
        <v>18</v>
      </c>
      <c r="L6" t="s">
        <v>302</v>
      </c>
      <c r="Q6" s="5">
        <v>1</v>
      </c>
    </row>
    <row r="7" spans="1:17" x14ac:dyDescent="0.25">
      <c r="B7" t="s">
        <v>16</v>
      </c>
      <c r="C7" t="s">
        <v>313</v>
      </c>
      <c r="D7" t="s">
        <v>314</v>
      </c>
      <c r="E7" t="s">
        <v>315</v>
      </c>
      <c r="F7" s="5">
        <v>12</v>
      </c>
      <c r="G7" s="5">
        <v>820</v>
      </c>
      <c r="H7" s="5">
        <v>30</v>
      </c>
      <c r="I7" s="5">
        <f>G7-H7</f>
        <v>790</v>
      </c>
      <c r="J7" t="s">
        <v>308</v>
      </c>
      <c r="K7" t="s">
        <v>18</v>
      </c>
      <c r="L7" t="s">
        <v>302</v>
      </c>
      <c r="Q7" s="5">
        <v>1</v>
      </c>
    </row>
    <row r="8" spans="1:17" x14ac:dyDescent="0.25">
      <c r="B8" t="s">
        <v>16</v>
      </c>
      <c r="C8" t="s">
        <v>35</v>
      </c>
      <c r="D8" t="s">
        <v>316</v>
      </c>
      <c r="E8" t="s">
        <v>36</v>
      </c>
      <c r="F8" t="s">
        <v>21</v>
      </c>
      <c r="G8" s="5">
        <v>155</v>
      </c>
      <c r="H8" s="5">
        <v>35</v>
      </c>
      <c r="I8" s="5">
        <f>G8-H8</f>
        <v>120</v>
      </c>
      <c r="J8" t="s">
        <v>308</v>
      </c>
      <c r="K8" t="s">
        <v>18</v>
      </c>
      <c r="L8" t="s">
        <v>302</v>
      </c>
      <c r="M8" t="s">
        <v>66</v>
      </c>
      <c r="Q8" s="5">
        <v>1</v>
      </c>
    </row>
    <row r="9" spans="1:17" x14ac:dyDescent="0.25">
      <c r="B9" t="s">
        <v>16</v>
      </c>
      <c r="C9" t="s">
        <v>317</v>
      </c>
      <c r="D9" t="s">
        <v>318</v>
      </c>
      <c r="E9" t="s">
        <v>319</v>
      </c>
      <c r="F9" t="s">
        <v>22</v>
      </c>
      <c r="G9" s="5">
        <v>410</v>
      </c>
      <c r="H9" s="5">
        <v>30</v>
      </c>
      <c r="I9" s="5">
        <f>G9-H9</f>
        <v>380</v>
      </c>
      <c r="J9" t="s">
        <v>308</v>
      </c>
      <c r="K9" t="s">
        <v>18</v>
      </c>
      <c r="L9" t="s">
        <v>302</v>
      </c>
      <c r="Q9" s="5">
        <v>1</v>
      </c>
    </row>
    <row r="10" spans="1:17" x14ac:dyDescent="0.25">
      <c r="B10" t="s">
        <v>16</v>
      </c>
      <c r="C10" t="s">
        <v>320</v>
      </c>
      <c r="D10" t="s">
        <v>321</v>
      </c>
      <c r="E10" t="s">
        <v>322</v>
      </c>
      <c r="F10" t="s">
        <v>323</v>
      </c>
      <c r="G10" s="5">
        <v>415</v>
      </c>
      <c r="H10" s="5">
        <v>35</v>
      </c>
      <c r="I10" s="5">
        <f>G10-H10</f>
        <v>380</v>
      </c>
      <c r="J10" t="s">
        <v>308</v>
      </c>
      <c r="K10" t="s">
        <v>18</v>
      </c>
      <c r="L10" t="s">
        <v>302</v>
      </c>
      <c r="Q10" s="5">
        <v>1</v>
      </c>
    </row>
    <row r="11" spans="1:17" x14ac:dyDescent="0.25">
      <c r="B11" t="s">
        <v>16</v>
      </c>
      <c r="C11" t="s">
        <v>127</v>
      </c>
      <c r="D11" t="s">
        <v>324</v>
      </c>
      <c r="E11" t="s">
        <v>325</v>
      </c>
      <c r="F11" t="s">
        <v>24</v>
      </c>
      <c r="G11" s="5">
        <v>815</v>
      </c>
      <c r="H11" s="5">
        <v>25</v>
      </c>
      <c r="I11" s="5">
        <f>G11-H11</f>
        <v>790</v>
      </c>
      <c r="J11" t="s">
        <v>308</v>
      </c>
      <c r="K11" t="s">
        <v>18</v>
      </c>
      <c r="L11" t="s">
        <v>302</v>
      </c>
      <c r="Q11" s="5">
        <v>1</v>
      </c>
    </row>
    <row r="12" spans="1:17" x14ac:dyDescent="0.25">
      <c r="B12" t="s">
        <v>16</v>
      </c>
      <c r="C12" t="s">
        <v>190</v>
      </c>
      <c r="D12" t="s">
        <v>326</v>
      </c>
      <c r="E12" t="s">
        <v>192</v>
      </c>
      <c r="F12" t="s">
        <v>23</v>
      </c>
      <c r="G12" s="5">
        <v>0</v>
      </c>
      <c r="H12" s="5">
        <v>20</v>
      </c>
      <c r="I12" s="5">
        <f>-H12</f>
        <v>-20</v>
      </c>
      <c r="J12" t="s">
        <v>18</v>
      </c>
      <c r="K12" t="s">
        <v>18</v>
      </c>
      <c r="L12" t="s">
        <v>302</v>
      </c>
      <c r="Q12" s="5">
        <v>1</v>
      </c>
    </row>
    <row r="13" spans="1:17" x14ac:dyDescent="0.25">
      <c r="B13" t="s">
        <v>16</v>
      </c>
      <c r="C13" t="s">
        <v>327</v>
      </c>
      <c r="D13" t="s">
        <v>328</v>
      </c>
      <c r="E13" t="s">
        <v>329</v>
      </c>
      <c r="F13" t="s">
        <v>23</v>
      </c>
      <c r="G13" s="5">
        <v>720</v>
      </c>
      <c r="H13" s="5">
        <v>20</v>
      </c>
      <c r="I13" s="5">
        <f>G13-H13</f>
        <v>700</v>
      </c>
      <c r="J13" t="s">
        <v>18</v>
      </c>
      <c r="K13" t="s">
        <v>18</v>
      </c>
      <c r="L13" t="s">
        <v>302</v>
      </c>
      <c r="Q13" s="5">
        <v>1</v>
      </c>
    </row>
    <row r="14" spans="1:17" x14ac:dyDescent="0.25">
      <c r="A14" t="s">
        <v>38</v>
      </c>
      <c r="B14" t="s">
        <v>16</v>
      </c>
      <c r="C14" t="s">
        <v>330</v>
      </c>
      <c r="E14" t="s">
        <v>331</v>
      </c>
      <c r="F14" t="s">
        <v>23</v>
      </c>
      <c r="G14" s="5">
        <v>305</v>
      </c>
      <c r="H14" s="5">
        <v>25</v>
      </c>
      <c r="I14" s="5">
        <f>G14-H14</f>
        <v>280</v>
      </c>
      <c r="J14" t="s">
        <v>18</v>
      </c>
      <c r="K14" t="s">
        <v>18</v>
      </c>
      <c r="L14" t="s">
        <v>302</v>
      </c>
      <c r="Q14" s="5">
        <v>1</v>
      </c>
    </row>
    <row r="15" spans="1:17" x14ac:dyDescent="0.25">
      <c r="A15" t="s">
        <v>38</v>
      </c>
      <c r="B15" t="s">
        <v>16</v>
      </c>
      <c r="C15" t="s">
        <v>332</v>
      </c>
      <c r="E15" t="s">
        <v>198</v>
      </c>
      <c r="F15" t="s">
        <v>30</v>
      </c>
      <c r="G15" s="5">
        <v>30</v>
      </c>
      <c r="H15" s="5">
        <v>30</v>
      </c>
      <c r="I15" s="5">
        <f>G15-H15</f>
        <v>0</v>
      </c>
      <c r="J15" t="s">
        <v>18</v>
      </c>
      <c r="K15" t="s">
        <v>18</v>
      </c>
      <c r="L15" t="s">
        <v>302</v>
      </c>
      <c r="Q15" s="5">
        <v>1</v>
      </c>
    </row>
    <row r="16" spans="1:17" x14ac:dyDescent="0.25">
      <c r="B16" t="s">
        <v>16</v>
      </c>
      <c r="C16" t="s">
        <v>333</v>
      </c>
      <c r="D16" t="s">
        <v>334</v>
      </c>
      <c r="E16" t="s">
        <v>27</v>
      </c>
      <c r="F16" t="s">
        <v>28</v>
      </c>
      <c r="G16" s="5">
        <v>0</v>
      </c>
      <c r="H16" s="5">
        <v>25</v>
      </c>
      <c r="I16" s="5">
        <f>-H16</f>
        <v>-25</v>
      </c>
      <c r="J16" t="s">
        <v>18</v>
      </c>
      <c r="K16" t="s">
        <v>18</v>
      </c>
      <c r="L16" t="s">
        <v>302</v>
      </c>
      <c r="Q16" s="5">
        <v>1</v>
      </c>
    </row>
    <row r="17" spans="1:17" x14ac:dyDescent="0.25">
      <c r="B17" t="s">
        <v>16</v>
      </c>
      <c r="C17" t="s">
        <v>335</v>
      </c>
      <c r="D17" t="s">
        <v>336</v>
      </c>
      <c r="E17" t="s">
        <v>337</v>
      </c>
      <c r="F17" t="s">
        <v>20</v>
      </c>
      <c r="G17" s="5">
        <v>1100</v>
      </c>
      <c r="H17" s="5">
        <v>30</v>
      </c>
      <c r="I17" s="5">
        <f t="shared" ref="I17:I23" si="0">G17-H17</f>
        <v>1070</v>
      </c>
      <c r="J17" t="s">
        <v>18</v>
      </c>
      <c r="K17" t="s">
        <v>18</v>
      </c>
      <c r="L17" t="s">
        <v>302</v>
      </c>
      <c r="Q17" s="5">
        <v>1</v>
      </c>
    </row>
    <row r="18" spans="1:17" x14ac:dyDescent="0.25">
      <c r="B18" t="s">
        <v>16</v>
      </c>
      <c r="C18" t="s">
        <v>338</v>
      </c>
      <c r="D18" t="s">
        <v>339</v>
      </c>
      <c r="E18" t="s">
        <v>340</v>
      </c>
      <c r="F18" t="s">
        <v>341</v>
      </c>
      <c r="G18" s="5">
        <v>760</v>
      </c>
      <c r="H18" s="5">
        <v>30</v>
      </c>
      <c r="I18" s="5">
        <f t="shared" si="0"/>
        <v>730</v>
      </c>
      <c r="J18" t="s">
        <v>18</v>
      </c>
      <c r="K18" t="s">
        <v>18</v>
      </c>
      <c r="L18" t="s">
        <v>302</v>
      </c>
      <c r="Q18" s="5">
        <v>1</v>
      </c>
    </row>
    <row r="19" spans="1:17" x14ac:dyDescent="0.25">
      <c r="B19" t="s">
        <v>16</v>
      </c>
      <c r="C19" t="s">
        <v>342</v>
      </c>
      <c r="D19" t="s">
        <v>343</v>
      </c>
      <c r="E19" t="s">
        <v>344</v>
      </c>
      <c r="F19" s="5">
        <v>1</v>
      </c>
      <c r="G19" s="5">
        <v>875</v>
      </c>
      <c r="H19" s="5">
        <v>25</v>
      </c>
      <c r="I19" s="5">
        <f t="shared" si="0"/>
        <v>850</v>
      </c>
      <c r="J19" t="s">
        <v>19</v>
      </c>
      <c r="K19" t="s">
        <v>18</v>
      </c>
      <c r="L19" t="s">
        <v>302</v>
      </c>
      <c r="Q19" s="5">
        <v>1</v>
      </c>
    </row>
    <row r="20" spans="1:17" x14ac:dyDescent="0.25">
      <c r="B20" t="s">
        <v>16</v>
      </c>
      <c r="C20" t="s">
        <v>276</v>
      </c>
      <c r="D20" t="s">
        <v>345</v>
      </c>
      <c r="E20" t="s">
        <v>278</v>
      </c>
      <c r="F20" s="5">
        <v>1</v>
      </c>
      <c r="G20" s="5">
        <v>375</v>
      </c>
      <c r="H20" s="5">
        <v>25</v>
      </c>
      <c r="I20" s="5">
        <f t="shared" si="0"/>
        <v>350</v>
      </c>
      <c r="J20" t="s">
        <v>19</v>
      </c>
      <c r="K20" t="s">
        <v>18</v>
      </c>
      <c r="L20" t="s">
        <v>302</v>
      </c>
      <c r="Q20" s="5">
        <v>1</v>
      </c>
    </row>
    <row r="21" spans="1:17" x14ac:dyDescent="0.25">
      <c r="B21" t="s">
        <v>16</v>
      </c>
      <c r="C21" t="s">
        <v>346</v>
      </c>
      <c r="D21" t="s">
        <v>347</v>
      </c>
      <c r="E21" t="s">
        <v>348</v>
      </c>
      <c r="F21" s="5">
        <v>1</v>
      </c>
      <c r="G21" s="5">
        <v>405</v>
      </c>
      <c r="H21" s="5">
        <v>25</v>
      </c>
      <c r="I21" s="5">
        <f t="shared" si="0"/>
        <v>380</v>
      </c>
      <c r="J21" t="s">
        <v>19</v>
      </c>
      <c r="K21" t="s">
        <v>18</v>
      </c>
      <c r="L21" t="s">
        <v>302</v>
      </c>
      <c r="Q21" s="5">
        <v>1</v>
      </c>
    </row>
    <row r="22" spans="1:17" x14ac:dyDescent="0.25">
      <c r="B22" t="s">
        <v>16</v>
      </c>
      <c r="C22" t="s">
        <v>349</v>
      </c>
      <c r="D22" t="s">
        <v>350</v>
      </c>
      <c r="E22" t="s">
        <v>351</v>
      </c>
      <c r="F22" s="5">
        <v>1</v>
      </c>
      <c r="G22" s="5">
        <v>885</v>
      </c>
      <c r="H22" s="5">
        <v>25</v>
      </c>
      <c r="I22" s="5">
        <f t="shared" si="0"/>
        <v>860</v>
      </c>
      <c r="J22" t="s">
        <v>19</v>
      </c>
      <c r="K22" t="s">
        <v>18</v>
      </c>
      <c r="L22" t="s">
        <v>302</v>
      </c>
      <c r="Q22" s="5">
        <v>1</v>
      </c>
    </row>
    <row r="23" spans="1:17" x14ac:dyDescent="0.25">
      <c r="B23" t="s">
        <v>16</v>
      </c>
      <c r="C23" t="s">
        <v>95</v>
      </c>
      <c r="D23" t="s">
        <v>352</v>
      </c>
      <c r="E23" t="s">
        <v>353</v>
      </c>
      <c r="F23" s="5">
        <v>4</v>
      </c>
      <c r="G23" s="5">
        <v>405</v>
      </c>
      <c r="H23" s="5">
        <v>25</v>
      </c>
      <c r="I23" s="5">
        <f t="shared" si="0"/>
        <v>380</v>
      </c>
      <c r="J23" t="s">
        <v>19</v>
      </c>
      <c r="K23" t="s">
        <v>18</v>
      </c>
      <c r="L23" t="s">
        <v>302</v>
      </c>
      <c r="Q23" s="5">
        <v>1</v>
      </c>
    </row>
    <row r="24" spans="1:17" x14ac:dyDescent="0.25">
      <c r="B24" t="s">
        <v>16</v>
      </c>
      <c r="C24" t="s">
        <v>354</v>
      </c>
      <c r="D24" t="s">
        <v>355</v>
      </c>
      <c r="E24" t="s">
        <v>356</v>
      </c>
      <c r="F24" s="5">
        <v>5</v>
      </c>
      <c r="G24" s="5">
        <v>0</v>
      </c>
      <c r="H24" s="5">
        <v>25</v>
      </c>
      <c r="I24" s="5">
        <f>-H24</f>
        <v>-25</v>
      </c>
      <c r="J24" t="s">
        <v>19</v>
      </c>
      <c r="K24" t="s">
        <v>18</v>
      </c>
      <c r="L24" t="s">
        <v>302</v>
      </c>
      <c r="Q24" s="5">
        <v>1</v>
      </c>
    </row>
    <row r="25" spans="1:17" x14ac:dyDescent="0.25">
      <c r="B25" t="s">
        <v>16</v>
      </c>
      <c r="C25" t="s">
        <v>357</v>
      </c>
      <c r="D25" t="s">
        <v>358</v>
      </c>
      <c r="E25" t="s">
        <v>359</v>
      </c>
      <c r="F25" s="5">
        <v>10</v>
      </c>
      <c r="G25" s="5">
        <v>405</v>
      </c>
      <c r="H25" s="5">
        <v>25</v>
      </c>
      <c r="I25" s="5">
        <f>G25-H25</f>
        <v>380</v>
      </c>
      <c r="J25" t="s">
        <v>19</v>
      </c>
      <c r="K25" t="s">
        <v>18</v>
      </c>
      <c r="L25" t="s">
        <v>302</v>
      </c>
      <c r="Q25" s="5">
        <v>1</v>
      </c>
    </row>
    <row r="26" spans="1:17" x14ac:dyDescent="0.25">
      <c r="B26" t="s">
        <v>16</v>
      </c>
      <c r="C26" t="s">
        <v>360</v>
      </c>
      <c r="D26" t="s">
        <v>361</v>
      </c>
      <c r="E26" t="s">
        <v>362</v>
      </c>
      <c r="F26" t="s">
        <v>28</v>
      </c>
      <c r="G26" s="5">
        <v>0</v>
      </c>
      <c r="H26" s="5">
        <v>25</v>
      </c>
      <c r="I26" s="5">
        <f>-H26</f>
        <v>-25</v>
      </c>
      <c r="J26" t="s">
        <v>19</v>
      </c>
      <c r="K26" t="s">
        <v>18</v>
      </c>
      <c r="L26" t="s">
        <v>302</v>
      </c>
      <c r="Q26" s="5">
        <v>1</v>
      </c>
    </row>
    <row r="27" spans="1:17" s="26" customFormat="1" x14ac:dyDescent="0.25">
      <c r="B27" s="26" t="s">
        <v>16</v>
      </c>
      <c r="C27" s="26" t="s">
        <v>261</v>
      </c>
      <c r="D27" s="26" t="s">
        <v>262</v>
      </c>
      <c r="E27" s="26" t="s">
        <v>263</v>
      </c>
      <c r="F27" s="26" t="s">
        <v>23</v>
      </c>
      <c r="G27" s="27">
        <v>1450</v>
      </c>
      <c r="H27" s="27">
        <v>0</v>
      </c>
      <c r="I27" s="27">
        <v>1450</v>
      </c>
      <c r="J27" s="26" t="s">
        <v>68</v>
      </c>
      <c r="K27" s="26" t="s">
        <v>18</v>
      </c>
      <c r="L27" s="26" t="s">
        <v>220</v>
      </c>
      <c r="N27" s="26" t="s">
        <v>63</v>
      </c>
      <c r="O27" s="26" t="s">
        <v>63</v>
      </c>
      <c r="P27" s="26" t="s">
        <v>70</v>
      </c>
      <c r="Q27" s="27">
        <v>1</v>
      </c>
    </row>
    <row r="29" spans="1:17" x14ac:dyDescent="0.25">
      <c r="D29" s="1">
        <f>COUNTA(D3:D27)</f>
        <v>22</v>
      </c>
      <c r="G29" s="1">
        <f t="shared" ref="G29:Q29" si="1">SUBTOTAL(9,G3:G27)</f>
        <v>10835</v>
      </c>
      <c r="H29" s="1">
        <f t="shared" si="1"/>
        <v>655</v>
      </c>
      <c r="I29" s="1">
        <f t="shared" si="1"/>
        <v>10180</v>
      </c>
      <c r="J29" s="1">
        <f t="shared" si="1"/>
        <v>0</v>
      </c>
      <c r="K29" s="1">
        <f t="shared" si="1"/>
        <v>0</v>
      </c>
      <c r="L29" s="1">
        <f t="shared" si="1"/>
        <v>0</v>
      </c>
      <c r="M29" s="1">
        <f t="shared" si="1"/>
        <v>0</v>
      </c>
      <c r="N29" s="1">
        <f t="shared" si="1"/>
        <v>0</v>
      </c>
      <c r="O29" s="1">
        <f t="shared" si="1"/>
        <v>0</v>
      </c>
      <c r="P29" s="1">
        <f t="shared" si="1"/>
        <v>0</v>
      </c>
      <c r="Q29" s="1">
        <f t="shared" si="1"/>
        <v>25</v>
      </c>
    </row>
    <row r="30" spans="1:17" x14ac:dyDescent="0.25">
      <c r="H30">
        <f>-3*17</f>
        <v>-51</v>
      </c>
    </row>
    <row r="31" spans="1:17" x14ac:dyDescent="0.25">
      <c r="A31" s="1" t="s">
        <v>16</v>
      </c>
      <c r="C31" s="54" t="s">
        <v>46</v>
      </c>
      <c r="D31" s="54"/>
      <c r="E31" s="4" t="s">
        <v>47</v>
      </c>
      <c r="H31">
        <f>-2*25</f>
        <v>-50</v>
      </c>
      <c r="K31" s="7" t="s">
        <v>308</v>
      </c>
      <c r="L31" s="7" t="s">
        <v>48</v>
      </c>
      <c r="M31" s="7" t="s">
        <v>47</v>
      </c>
      <c r="O31" s="4" t="s">
        <v>72</v>
      </c>
    </row>
    <row r="32" spans="1:17" x14ac:dyDescent="0.25">
      <c r="A32" t="s">
        <v>302</v>
      </c>
      <c r="B32" s="3" t="s">
        <v>49</v>
      </c>
      <c r="C32" s="55">
        <f>SUMIFS(I$3:I$27,B$3:B$27,A$31,L$3:L$27,A$32)</f>
        <v>8730</v>
      </c>
      <c r="D32" s="55"/>
      <c r="E32" s="3">
        <f>SUMIFS(Q$3:Q$27,B$3:B$27,A$31,L$3:L$27,A$32)</f>
        <v>24</v>
      </c>
      <c r="F32" t="s">
        <v>73</v>
      </c>
      <c r="H32">
        <f>-2*30</f>
        <v>-60</v>
      </c>
      <c r="K32" t="s">
        <v>50</v>
      </c>
      <c r="L32">
        <f>SUMIFS(G$3:G$27,J$3:J$27,K$31)</f>
        <v>2615</v>
      </c>
      <c r="M32">
        <f>SUMIFS(Q$3:Q$27,J$3:J$27,K$31)</f>
        <v>7</v>
      </c>
      <c r="O32" t="s">
        <v>363</v>
      </c>
      <c r="P32">
        <f>L37</f>
        <v>2454</v>
      </c>
    </row>
    <row r="33" spans="2:16" x14ac:dyDescent="0.25">
      <c r="B33" s="2" t="s">
        <v>108</v>
      </c>
      <c r="C33" s="56">
        <v>0</v>
      </c>
      <c r="D33" s="56"/>
      <c r="K33" t="s">
        <v>51</v>
      </c>
      <c r="L33">
        <f>SUM(H30:H32)</f>
        <v>-161</v>
      </c>
      <c r="M33">
        <f>SUMIFS(Q$3:Q$27,J$3:J$27,K$31)</f>
        <v>7</v>
      </c>
      <c r="O33" t="s">
        <v>19</v>
      </c>
      <c r="P33">
        <f>L45</f>
        <v>3190</v>
      </c>
    </row>
    <row r="34" spans="2:16" x14ac:dyDescent="0.25">
      <c r="B34" s="2" t="s">
        <v>52</v>
      </c>
      <c r="C34" s="56">
        <f>-SUMIFS(I$3:I$27,B$3:B$27,A$31,P$3:P$27,"xx",N$3:N$27,"x")</f>
        <v>-1450</v>
      </c>
      <c r="D34" s="56"/>
      <c r="E34" s="2">
        <f>SUMIFS(Q$3:Q$27,B$3:B$27,A$31,P$3:P$27,"xx",N$3:N$27,"x")</f>
        <v>1</v>
      </c>
      <c r="K34" t="s">
        <v>74</v>
      </c>
      <c r="O34" t="s">
        <v>18</v>
      </c>
      <c r="P34">
        <f>L53</f>
        <v>1272</v>
      </c>
    </row>
    <row r="35" spans="2:16" x14ac:dyDescent="0.25">
      <c r="B35" s="4" t="s">
        <v>53</v>
      </c>
      <c r="C35" s="54">
        <f>SUBTOTAL(9,C32:C34)</f>
        <v>7280</v>
      </c>
      <c r="D35" s="54"/>
      <c r="E35">
        <f>E32</f>
        <v>24</v>
      </c>
      <c r="K35" s="2" t="s">
        <v>25</v>
      </c>
      <c r="O35" t="s">
        <v>37</v>
      </c>
      <c r="P35">
        <f>L61</f>
        <v>450</v>
      </c>
    </row>
    <row r="36" spans="2:16" x14ac:dyDescent="0.25">
      <c r="B36" s="2" t="s">
        <v>75</v>
      </c>
      <c r="C36" s="52"/>
      <c r="D36" s="52"/>
      <c r="K36" s="2" t="s">
        <v>54</v>
      </c>
      <c r="O36" t="s">
        <v>76</v>
      </c>
      <c r="P36">
        <f>-C39</f>
        <v>-7280</v>
      </c>
    </row>
    <row r="37" spans="2:16" x14ac:dyDescent="0.25">
      <c r="B37" s="9" t="s">
        <v>55</v>
      </c>
      <c r="C37" s="52"/>
      <c r="D37" s="52"/>
      <c r="L37" s="8">
        <f>SUBTOTAL(9,L32:L36)</f>
        <v>2454</v>
      </c>
      <c r="M37" s="8">
        <f>M32</f>
        <v>7</v>
      </c>
      <c r="O37" s="4" t="s">
        <v>77</v>
      </c>
      <c r="P37" s="4">
        <f>SUBTOTAL(9,P32:P36)</f>
        <v>86</v>
      </c>
    </row>
    <row r="39" spans="2:16" x14ac:dyDescent="0.25">
      <c r="B39" s="1" t="s">
        <v>56</v>
      </c>
      <c r="C39" s="53">
        <f>C35+C36+C37</f>
        <v>7280</v>
      </c>
      <c r="D39" s="53"/>
      <c r="E39" s="1" t="s">
        <v>57</v>
      </c>
      <c r="K39" s="7" t="s">
        <v>19</v>
      </c>
      <c r="L39" s="7" t="s">
        <v>48</v>
      </c>
      <c r="M39" s="7" t="s">
        <v>47</v>
      </c>
    </row>
    <row r="40" spans="2:16" x14ac:dyDescent="0.25">
      <c r="K40" t="s">
        <v>50</v>
      </c>
      <c r="L40">
        <f>SUMIFS(G$3:G$27,J$3:J$27,K$39)</f>
        <v>3350</v>
      </c>
      <c r="M40">
        <f>SUMIFS(Q$3:Q$27,J$3:J$27,K$39)</f>
        <v>8</v>
      </c>
    </row>
    <row r="41" spans="2:16" x14ac:dyDescent="0.25">
      <c r="K41" t="s">
        <v>51</v>
      </c>
      <c r="L41">
        <f>-SUMIFS(H$3:H$27,J$3:J$27,K$39)+M41*5</f>
        <v>-160</v>
      </c>
      <c r="M41">
        <f>SUMIFS(Q$3:Q$27,J$3:J$27,K$39)-COUNTIFS(J$3:J$27,K$39,M$3:M$27,"*gộp*")</f>
        <v>8</v>
      </c>
    </row>
    <row r="42" spans="2:16" x14ac:dyDescent="0.25">
      <c r="K42" t="s">
        <v>74</v>
      </c>
    </row>
    <row r="43" spans="2:16" x14ac:dyDescent="0.25">
      <c r="K43" s="2" t="s">
        <v>25</v>
      </c>
    </row>
    <row r="44" spans="2:16" x14ac:dyDescent="0.25">
      <c r="K44" s="2" t="s">
        <v>54</v>
      </c>
    </row>
    <row r="45" spans="2:16" x14ac:dyDescent="0.25">
      <c r="L45" s="8">
        <f>SUBTOTAL(9,L40:L44)</f>
        <v>3190</v>
      </c>
      <c r="M45" s="8">
        <f>M40</f>
        <v>8</v>
      </c>
    </row>
    <row r="47" spans="2:16" x14ac:dyDescent="0.25">
      <c r="K47" s="7" t="s">
        <v>18</v>
      </c>
      <c r="L47" s="7" t="s">
        <v>48</v>
      </c>
      <c r="M47" s="7" t="s">
        <v>47</v>
      </c>
    </row>
    <row r="48" spans="2:16" x14ac:dyDescent="0.25">
      <c r="K48" t="s">
        <v>50</v>
      </c>
      <c r="L48">
        <f>SUMIFS(G$3:G$27,J$3:J$27,K$47)</f>
        <v>2915</v>
      </c>
      <c r="M48">
        <f>SUMIFS(Q$3:Q$27,J$3:J$27,K$47)</f>
        <v>7</v>
      </c>
    </row>
    <row r="49" spans="11:13" x14ac:dyDescent="0.25">
      <c r="K49" t="s">
        <v>51</v>
      </c>
      <c r="L49">
        <f>-SUMIFS(H$3:H$27,J$3:J$27,K$47)+M49*5</f>
        <v>-145</v>
      </c>
      <c r="M49">
        <f>SUMIFS(Q$3:Q$27,J$3:J$27,K$47)-COUNTIFS(J$3:J$27,K$47,M$3:M$27,"*gộp*")</f>
        <v>7</v>
      </c>
    </row>
    <row r="50" spans="11:13" x14ac:dyDescent="0.25">
      <c r="K50" t="s">
        <v>74</v>
      </c>
      <c r="L50">
        <f>-M50*2</f>
        <v>-48</v>
      </c>
      <c r="M50">
        <f>COUNTIF(L3:L27,A$32)-(COUNTIFS(M$3:M$27,"*gộp*")/2)</f>
        <v>24</v>
      </c>
    </row>
    <row r="51" spans="11:13" x14ac:dyDescent="0.25">
      <c r="K51" s="2" t="s">
        <v>25</v>
      </c>
    </row>
    <row r="52" spans="11:13" x14ac:dyDescent="0.25">
      <c r="K52" s="2" t="s">
        <v>54</v>
      </c>
      <c r="L52">
        <v>-1450</v>
      </c>
    </row>
    <row r="53" spans="11:13" x14ac:dyDescent="0.25">
      <c r="L53" s="8">
        <f>SUBTOTAL(9,L48:L52)</f>
        <v>1272</v>
      </c>
      <c r="M53" s="8">
        <f>M48</f>
        <v>7</v>
      </c>
    </row>
    <row r="55" spans="11:13" x14ac:dyDescent="0.25">
      <c r="K55" s="7" t="s">
        <v>37</v>
      </c>
      <c r="L55" s="7" t="s">
        <v>48</v>
      </c>
      <c r="M55" s="7" t="s">
        <v>47</v>
      </c>
    </row>
    <row r="56" spans="11:13" x14ac:dyDescent="0.25">
      <c r="K56" t="s">
        <v>50</v>
      </c>
      <c r="L56">
        <f>SUMIFS(G$3:G$27,J$3:J$27,K$55)</f>
        <v>505</v>
      </c>
      <c r="M56">
        <f>SUMIFS(Q$3:Q$27,J$3:J$27,K$55)</f>
        <v>2</v>
      </c>
    </row>
    <row r="57" spans="11:13" x14ac:dyDescent="0.25">
      <c r="K57" t="s">
        <v>51</v>
      </c>
      <c r="L57">
        <f>-SUMIFS(H$3:H$27,J$3:J$27,K$55)+M57*5</f>
        <v>-55</v>
      </c>
      <c r="M57">
        <f>SUMIFS(Q$3:Q$27,J$3:J$27,K$55)-COUNTIFS(J$3:J$27,K$55,M$3:M$27,"*gộp*")</f>
        <v>2</v>
      </c>
    </row>
    <row r="58" spans="11:13" x14ac:dyDescent="0.25">
      <c r="K58" t="s">
        <v>74</v>
      </c>
    </row>
    <row r="59" spans="11:13" x14ac:dyDescent="0.25">
      <c r="K59" s="2" t="s">
        <v>25</v>
      </c>
    </row>
    <row r="60" spans="11:13" x14ac:dyDescent="0.25">
      <c r="K60" s="2" t="s">
        <v>54</v>
      </c>
    </row>
    <row r="61" spans="11:13" x14ac:dyDescent="0.25">
      <c r="L61" s="8">
        <f>SUBTOTAL(9,L56:L60)</f>
        <v>450</v>
      </c>
      <c r="M61" s="8">
        <f>M56</f>
        <v>2</v>
      </c>
    </row>
  </sheetData>
  <autoFilter ref="A2:P27" xr:uid="{00000000-0009-0000-0000-000001000000}">
    <sortState xmlns:xlrd2="http://schemas.microsoft.com/office/spreadsheetml/2017/richdata2" ref="A3:P27">
      <sortCondition ref="J2:J27"/>
    </sortState>
  </autoFilter>
  <mergeCells count="8">
    <mergeCell ref="C37:D37"/>
    <mergeCell ref="C39:D39"/>
    <mergeCell ref="C31:D31"/>
    <mergeCell ref="C32:D32"/>
    <mergeCell ref="C33:D33"/>
    <mergeCell ref="C34:D34"/>
    <mergeCell ref="C35:D35"/>
    <mergeCell ref="C36:D36"/>
  </mergeCells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B95DE-B6A2-48BA-8E2F-4C2148BC1688}">
  <dimension ref="A2:Q61"/>
  <sheetViews>
    <sheetView topLeftCell="A17" zoomScale="70" zoomScaleNormal="70" workbookViewId="0">
      <selection activeCell="M58" sqref="M58"/>
    </sheetView>
  </sheetViews>
  <sheetFormatPr defaultRowHeight="15" x14ac:dyDescent="0.25"/>
  <cols>
    <col min="1" max="1" width="12.7109375" style="29" customWidth="1"/>
    <col min="2" max="2" width="17.7109375" style="29" customWidth="1"/>
    <col min="3" max="3" width="56.42578125" style="29" customWidth="1"/>
    <col min="4" max="4" width="9.85546875" style="29" customWidth="1"/>
    <col min="5" max="5" width="111.7109375" style="29" customWidth="1"/>
    <col min="6" max="6" width="10.85546875" style="29" customWidth="1"/>
    <col min="7" max="7" width="9.140625" style="29" customWidth="1"/>
    <col min="8" max="8" width="9.5703125" style="29" customWidth="1"/>
    <col min="9" max="9" width="10.5703125" style="29" customWidth="1"/>
    <col min="10" max="10" width="9.7109375" style="29" customWidth="1"/>
    <col min="11" max="11" width="10.85546875" style="29" customWidth="1"/>
    <col min="12" max="12" width="16.42578125" style="29" bestFit="1" customWidth="1"/>
    <col min="13" max="13" width="8.7109375" style="29" customWidth="1"/>
    <col min="14" max="14" width="9.7109375" style="29" customWidth="1"/>
    <col min="15" max="15" width="10.42578125" style="29" customWidth="1"/>
    <col min="16" max="16" width="10.140625" style="29" bestFit="1" customWidth="1"/>
    <col min="17" max="17" width="6.42578125" style="29" customWidth="1"/>
    <col min="18" max="16384" width="9.140625" style="29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85</v>
      </c>
    </row>
    <row r="3" spans="1:17" x14ac:dyDescent="0.25">
      <c r="B3" s="29" t="s">
        <v>16</v>
      </c>
      <c r="C3" s="29" t="s">
        <v>364</v>
      </c>
      <c r="D3" s="29" t="s">
        <v>365</v>
      </c>
      <c r="E3" s="29" t="s">
        <v>366</v>
      </c>
      <c r="F3" s="30">
        <v>7</v>
      </c>
      <c r="G3" s="30">
        <v>890</v>
      </c>
      <c r="H3" s="30">
        <v>30</v>
      </c>
      <c r="I3" s="30">
        <f>G3-H3</f>
        <v>860</v>
      </c>
      <c r="J3" s="29" t="s">
        <v>367</v>
      </c>
      <c r="K3" s="29" t="s">
        <v>18</v>
      </c>
      <c r="L3" s="29" t="s">
        <v>368</v>
      </c>
      <c r="Q3" s="30">
        <v>1</v>
      </c>
    </row>
    <row r="4" spans="1:17" x14ac:dyDescent="0.25">
      <c r="B4" s="29" t="s">
        <v>16</v>
      </c>
      <c r="C4" s="29" t="s">
        <v>369</v>
      </c>
      <c r="D4" s="29" t="s">
        <v>370</v>
      </c>
      <c r="E4" s="29" t="s">
        <v>371</v>
      </c>
      <c r="F4" s="29" t="s">
        <v>24</v>
      </c>
      <c r="G4" s="30">
        <v>1325</v>
      </c>
      <c r="H4" s="30">
        <v>25</v>
      </c>
      <c r="I4" s="30">
        <f>G4-H4</f>
        <v>1300</v>
      </c>
      <c r="J4" s="29" t="s">
        <v>367</v>
      </c>
      <c r="K4" s="29" t="s">
        <v>18</v>
      </c>
      <c r="L4" s="29" t="s">
        <v>368</v>
      </c>
      <c r="Q4" s="30">
        <v>1</v>
      </c>
    </row>
    <row r="5" spans="1:17" x14ac:dyDescent="0.25">
      <c r="B5" s="29" t="s">
        <v>16</v>
      </c>
      <c r="C5" s="29" t="s">
        <v>372</v>
      </c>
      <c r="D5" s="29" t="s">
        <v>373</v>
      </c>
      <c r="E5" s="29" t="s">
        <v>374</v>
      </c>
      <c r="F5" s="29" t="s">
        <v>24</v>
      </c>
      <c r="G5" s="30">
        <v>765</v>
      </c>
      <c r="H5" s="30">
        <v>25</v>
      </c>
      <c r="I5" s="30">
        <f>G5-H5</f>
        <v>740</v>
      </c>
      <c r="J5" s="29" t="s">
        <v>367</v>
      </c>
      <c r="K5" s="29" t="s">
        <v>18</v>
      </c>
      <c r="L5" s="29" t="s">
        <v>368</v>
      </c>
      <c r="Q5" s="30">
        <v>1</v>
      </c>
    </row>
    <row r="6" spans="1:17" x14ac:dyDescent="0.25">
      <c r="B6" s="29" t="s">
        <v>16</v>
      </c>
      <c r="C6" s="29" t="s">
        <v>375</v>
      </c>
      <c r="D6" s="29" t="s">
        <v>376</v>
      </c>
      <c r="E6" s="29" t="s">
        <v>377</v>
      </c>
      <c r="F6" s="30">
        <v>8</v>
      </c>
      <c r="G6" s="30">
        <v>0</v>
      </c>
      <c r="H6" s="30">
        <v>25</v>
      </c>
      <c r="I6" s="30">
        <f>-H6</f>
        <v>-25</v>
      </c>
      <c r="J6" s="29" t="s">
        <v>367</v>
      </c>
      <c r="K6" s="29" t="s">
        <v>18</v>
      </c>
      <c r="L6" s="29" t="s">
        <v>368</v>
      </c>
      <c r="Q6" s="30">
        <v>1</v>
      </c>
    </row>
    <row r="7" spans="1:17" x14ac:dyDescent="0.25">
      <c r="B7" s="29" t="s">
        <v>16</v>
      </c>
      <c r="C7" s="29" t="s">
        <v>378</v>
      </c>
      <c r="D7" s="29" t="s">
        <v>379</v>
      </c>
      <c r="E7" s="29" t="s">
        <v>380</v>
      </c>
      <c r="F7" s="30">
        <v>7</v>
      </c>
      <c r="G7" s="30">
        <v>670</v>
      </c>
      <c r="H7" s="30">
        <v>30</v>
      </c>
      <c r="I7" s="30">
        <f>G7-H7</f>
        <v>640</v>
      </c>
      <c r="J7" s="29" t="s">
        <v>367</v>
      </c>
      <c r="K7" s="29" t="s">
        <v>18</v>
      </c>
      <c r="L7" s="29" t="s">
        <v>368</v>
      </c>
      <c r="Q7" s="30">
        <v>1</v>
      </c>
    </row>
    <row r="8" spans="1:17" x14ac:dyDescent="0.25">
      <c r="B8" s="29" t="s">
        <v>16</v>
      </c>
      <c r="C8" s="29" t="s">
        <v>381</v>
      </c>
      <c r="D8" s="29" t="s">
        <v>382</v>
      </c>
      <c r="E8" s="29" t="s">
        <v>383</v>
      </c>
      <c r="F8" s="29" t="s">
        <v>22</v>
      </c>
      <c r="G8" s="30">
        <v>890</v>
      </c>
      <c r="H8" s="30">
        <v>30</v>
      </c>
      <c r="I8" s="30">
        <f>G8-H8</f>
        <v>860</v>
      </c>
      <c r="J8" s="29" t="s">
        <v>367</v>
      </c>
      <c r="K8" s="29" t="s">
        <v>18</v>
      </c>
      <c r="L8" s="29" t="s">
        <v>368</v>
      </c>
      <c r="Q8" s="30">
        <v>1</v>
      </c>
    </row>
    <row r="9" spans="1:17" x14ac:dyDescent="0.25">
      <c r="B9" s="29" t="s">
        <v>16</v>
      </c>
      <c r="C9" s="29" t="s">
        <v>90</v>
      </c>
      <c r="D9" s="29" t="s">
        <v>384</v>
      </c>
      <c r="E9" s="29" t="s">
        <v>385</v>
      </c>
      <c r="F9" s="29" t="s">
        <v>22</v>
      </c>
      <c r="G9" s="30">
        <v>2010</v>
      </c>
      <c r="H9" s="30">
        <v>30</v>
      </c>
      <c r="I9" s="30">
        <f>G9-H9</f>
        <v>1980</v>
      </c>
      <c r="J9" s="29" t="s">
        <v>367</v>
      </c>
      <c r="K9" s="29" t="s">
        <v>18</v>
      </c>
      <c r="L9" s="29" t="s">
        <v>368</v>
      </c>
      <c r="Q9" s="30">
        <v>1</v>
      </c>
    </row>
    <row r="10" spans="1:17" x14ac:dyDescent="0.25">
      <c r="B10" s="29" t="s">
        <v>16</v>
      </c>
      <c r="C10" s="29" t="s">
        <v>386</v>
      </c>
      <c r="D10" s="29" t="s">
        <v>387</v>
      </c>
      <c r="E10" s="29" t="s">
        <v>388</v>
      </c>
      <c r="F10" s="29" t="s">
        <v>24</v>
      </c>
      <c r="G10" s="30">
        <v>405</v>
      </c>
      <c r="H10" s="30">
        <v>25</v>
      </c>
      <c r="I10" s="30">
        <f>G10-H10</f>
        <v>380</v>
      </c>
      <c r="J10" s="29" t="s">
        <v>367</v>
      </c>
      <c r="K10" s="29" t="s">
        <v>18</v>
      </c>
      <c r="L10" s="29" t="s">
        <v>368</v>
      </c>
      <c r="Q10" s="30">
        <v>1</v>
      </c>
    </row>
    <row r="11" spans="1:17" x14ac:dyDescent="0.25">
      <c r="B11" s="29" t="s">
        <v>16</v>
      </c>
      <c r="C11" s="29" t="s">
        <v>389</v>
      </c>
      <c r="D11" s="29" t="s">
        <v>390</v>
      </c>
      <c r="E11" s="29" t="s">
        <v>391</v>
      </c>
      <c r="F11" s="29" t="s">
        <v>22</v>
      </c>
      <c r="G11" s="30">
        <v>0</v>
      </c>
      <c r="H11" s="30">
        <v>25</v>
      </c>
      <c r="I11" s="30">
        <f>-H11</f>
        <v>-25</v>
      </c>
      <c r="J11" s="29" t="s">
        <v>367</v>
      </c>
      <c r="K11" s="29" t="s">
        <v>18</v>
      </c>
      <c r="L11" s="29" t="s">
        <v>368</v>
      </c>
      <c r="Q11" s="30">
        <v>1</v>
      </c>
    </row>
    <row r="12" spans="1:17" x14ac:dyDescent="0.25">
      <c r="B12" s="29" t="s">
        <v>16</v>
      </c>
      <c r="C12" s="29" t="s">
        <v>392</v>
      </c>
      <c r="D12" s="29" t="s">
        <v>393</v>
      </c>
      <c r="E12" s="29" t="s">
        <v>394</v>
      </c>
      <c r="F12" s="29" t="s">
        <v>22</v>
      </c>
      <c r="G12" s="30">
        <v>610</v>
      </c>
      <c r="H12" s="30">
        <v>30</v>
      </c>
      <c r="I12" s="30">
        <f>G12-H12</f>
        <v>580</v>
      </c>
      <c r="J12" s="29" t="s">
        <v>367</v>
      </c>
      <c r="K12" s="29" t="s">
        <v>18</v>
      </c>
      <c r="L12" s="29" t="s">
        <v>368</v>
      </c>
      <c r="Q12" s="30">
        <v>1</v>
      </c>
    </row>
    <row r="13" spans="1:17" x14ac:dyDescent="0.25">
      <c r="B13" s="29" t="s">
        <v>16</v>
      </c>
      <c r="C13" s="29" t="s">
        <v>99</v>
      </c>
      <c r="D13" s="29" t="s">
        <v>395</v>
      </c>
      <c r="E13" s="29" t="s">
        <v>100</v>
      </c>
      <c r="F13" s="29" t="s">
        <v>103</v>
      </c>
      <c r="G13" s="30">
        <v>380</v>
      </c>
      <c r="H13" s="30">
        <v>30</v>
      </c>
      <c r="I13" s="30">
        <f>G13-H13</f>
        <v>350</v>
      </c>
      <c r="J13" s="29" t="s">
        <v>367</v>
      </c>
      <c r="K13" s="29" t="s">
        <v>18</v>
      </c>
      <c r="L13" s="29" t="s">
        <v>368</v>
      </c>
      <c r="Q13" s="30">
        <v>1</v>
      </c>
    </row>
    <row r="14" spans="1:17" x14ac:dyDescent="0.25">
      <c r="B14" s="29" t="s">
        <v>16</v>
      </c>
      <c r="C14" s="29" t="s">
        <v>396</v>
      </c>
      <c r="D14" s="29" t="s">
        <v>397</v>
      </c>
      <c r="E14" s="29" t="s">
        <v>398</v>
      </c>
      <c r="F14" s="29" t="s">
        <v>323</v>
      </c>
      <c r="G14" s="30">
        <v>625</v>
      </c>
      <c r="H14" s="30">
        <v>35</v>
      </c>
      <c r="I14" s="30">
        <f>G14-H14</f>
        <v>590</v>
      </c>
      <c r="J14" s="29" t="s">
        <v>367</v>
      </c>
      <c r="K14" s="29" t="s">
        <v>18</v>
      </c>
      <c r="L14" s="29" t="s">
        <v>368</v>
      </c>
      <c r="Q14" s="30">
        <v>1</v>
      </c>
    </row>
    <row r="15" spans="1:17" x14ac:dyDescent="0.25">
      <c r="B15" s="29" t="s">
        <v>16</v>
      </c>
      <c r="C15" s="29" t="s">
        <v>399</v>
      </c>
      <c r="D15" s="29" t="s">
        <v>400</v>
      </c>
      <c r="E15" s="29" t="s">
        <v>401</v>
      </c>
      <c r="F15" s="30">
        <v>8</v>
      </c>
      <c r="G15" s="30">
        <v>405</v>
      </c>
      <c r="H15" s="30">
        <v>25</v>
      </c>
      <c r="I15" s="30">
        <f>G15-H15</f>
        <v>380</v>
      </c>
      <c r="J15" s="29" t="s">
        <v>367</v>
      </c>
      <c r="K15" s="29" t="s">
        <v>18</v>
      </c>
      <c r="L15" s="29" t="s">
        <v>368</v>
      </c>
      <c r="Q15" s="30">
        <v>1</v>
      </c>
    </row>
    <row r="16" spans="1:17" x14ac:dyDescent="0.25">
      <c r="B16" s="29" t="s">
        <v>16</v>
      </c>
      <c r="C16" s="29" t="s">
        <v>402</v>
      </c>
      <c r="D16" s="29" t="s">
        <v>403</v>
      </c>
      <c r="E16" s="29" t="s">
        <v>404</v>
      </c>
      <c r="F16" s="29" t="s">
        <v>21</v>
      </c>
      <c r="G16" s="30">
        <v>995</v>
      </c>
      <c r="H16" s="30">
        <v>35</v>
      </c>
      <c r="I16" s="30">
        <f>G16-H16</f>
        <v>960</v>
      </c>
      <c r="J16" s="29" t="s">
        <v>367</v>
      </c>
      <c r="K16" s="29" t="s">
        <v>18</v>
      </c>
      <c r="L16" s="29" t="s">
        <v>368</v>
      </c>
      <c r="Q16" s="30">
        <v>1</v>
      </c>
    </row>
    <row r="17" spans="1:17" x14ac:dyDescent="0.25">
      <c r="B17" s="29" t="s">
        <v>16</v>
      </c>
      <c r="C17" s="29" t="s">
        <v>305</v>
      </c>
      <c r="D17" s="29" t="s">
        <v>405</v>
      </c>
      <c r="E17" s="29" t="s">
        <v>307</v>
      </c>
      <c r="F17" s="30">
        <v>7</v>
      </c>
      <c r="G17" s="30">
        <v>0</v>
      </c>
      <c r="H17" s="30">
        <v>30</v>
      </c>
      <c r="I17" s="30">
        <f>-H17</f>
        <v>-30</v>
      </c>
      <c r="J17" s="29" t="s">
        <v>367</v>
      </c>
      <c r="K17" s="29" t="s">
        <v>18</v>
      </c>
      <c r="L17" s="29" t="s">
        <v>368</v>
      </c>
      <c r="M17" s="29" t="s">
        <v>66</v>
      </c>
      <c r="Q17" s="30">
        <v>1</v>
      </c>
    </row>
    <row r="18" spans="1:17" x14ac:dyDescent="0.25">
      <c r="B18" s="29" t="s">
        <v>16</v>
      </c>
      <c r="C18" s="29" t="s">
        <v>406</v>
      </c>
      <c r="D18" s="29" t="s">
        <v>407</v>
      </c>
      <c r="E18" s="29" t="s">
        <v>408</v>
      </c>
      <c r="F18" s="29" t="s">
        <v>30</v>
      </c>
      <c r="G18" s="30">
        <v>975</v>
      </c>
      <c r="H18" s="30">
        <v>25</v>
      </c>
      <c r="I18" s="30">
        <f>G18-H18</f>
        <v>950</v>
      </c>
      <c r="J18" s="29" t="s">
        <v>18</v>
      </c>
      <c r="K18" s="29" t="s">
        <v>18</v>
      </c>
      <c r="L18" s="29" t="s">
        <v>368</v>
      </c>
      <c r="Q18" s="30">
        <v>1</v>
      </c>
    </row>
    <row r="19" spans="1:17" x14ac:dyDescent="0.25">
      <c r="B19" s="29" t="s">
        <v>16</v>
      </c>
      <c r="C19" s="29" t="s">
        <v>409</v>
      </c>
      <c r="D19" s="29" t="s">
        <v>410</v>
      </c>
      <c r="E19" s="29" t="s">
        <v>411</v>
      </c>
      <c r="F19" s="29" t="s">
        <v>23</v>
      </c>
      <c r="G19" s="30">
        <v>600</v>
      </c>
      <c r="H19" s="30">
        <v>20</v>
      </c>
      <c r="I19" s="30">
        <f>G19-H19</f>
        <v>580</v>
      </c>
      <c r="J19" s="29" t="s">
        <v>18</v>
      </c>
      <c r="K19" s="29" t="s">
        <v>18</v>
      </c>
      <c r="L19" s="29" t="s">
        <v>368</v>
      </c>
      <c r="Q19" s="30">
        <v>1</v>
      </c>
    </row>
    <row r="20" spans="1:17" x14ac:dyDescent="0.25">
      <c r="B20" s="29" t="s">
        <v>16</v>
      </c>
      <c r="C20" s="29" t="s">
        <v>412</v>
      </c>
      <c r="D20" s="29" t="s">
        <v>413</v>
      </c>
      <c r="E20" s="29" t="s">
        <v>414</v>
      </c>
      <c r="F20" s="29" t="s">
        <v>23</v>
      </c>
      <c r="G20" s="30">
        <v>660</v>
      </c>
      <c r="H20" s="30">
        <v>20</v>
      </c>
      <c r="I20" s="30">
        <f>G20-H20</f>
        <v>640</v>
      </c>
      <c r="J20" s="29" t="s">
        <v>18</v>
      </c>
      <c r="K20" s="29" t="s">
        <v>18</v>
      </c>
      <c r="L20" s="29" t="s">
        <v>368</v>
      </c>
      <c r="Q20" s="30">
        <v>1</v>
      </c>
    </row>
    <row r="21" spans="1:17" x14ac:dyDescent="0.25">
      <c r="B21" s="29" t="s">
        <v>16</v>
      </c>
      <c r="C21" s="29" t="s">
        <v>415</v>
      </c>
      <c r="D21" s="29" t="s">
        <v>416</v>
      </c>
      <c r="E21" s="29" t="s">
        <v>417</v>
      </c>
      <c r="F21" s="30">
        <v>2</v>
      </c>
      <c r="G21" s="30">
        <v>750</v>
      </c>
      <c r="H21" s="30">
        <v>30</v>
      </c>
      <c r="I21" s="30">
        <f>G21-H21</f>
        <v>720</v>
      </c>
      <c r="J21" s="29" t="s">
        <v>18</v>
      </c>
      <c r="K21" s="29" t="s">
        <v>18</v>
      </c>
      <c r="L21" s="29" t="s">
        <v>368</v>
      </c>
      <c r="Q21" s="30">
        <v>1</v>
      </c>
    </row>
    <row r="22" spans="1:17" x14ac:dyDescent="0.25">
      <c r="B22" s="29" t="s">
        <v>16</v>
      </c>
      <c r="C22" s="29" t="s">
        <v>418</v>
      </c>
      <c r="D22" s="29" t="s">
        <v>419</v>
      </c>
      <c r="E22" s="29" t="s">
        <v>420</v>
      </c>
      <c r="F22" s="30">
        <v>2</v>
      </c>
      <c r="G22" s="30">
        <v>0</v>
      </c>
      <c r="H22" s="30">
        <v>30</v>
      </c>
      <c r="I22" s="30">
        <f>-H22</f>
        <v>-30</v>
      </c>
      <c r="J22" s="29" t="s">
        <v>18</v>
      </c>
      <c r="K22" s="29" t="s">
        <v>18</v>
      </c>
      <c r="L22" s="29" t="s">
        <v>368</v>
      </c>
      <c r="Q22" s="30">
        <v>1</v>
      </c>
    </row>
    <row r="23" spans="1:17" x14ac:dyDescent="0.25">
      <c r="B23" s="29" t="s">
        <v>16</v>
      </c>
      <c r="C23" s="29" t="s">
        <v>421</v>
      </c>
      <c r="D23" s="29" t="s">
        <v>422</v>
      </c>
      <c r="E23" s="29" t="s">
        <v>423</v>
      </c>
      <c r="F23" s="29" t="s">
        <v>30</v>
      </c>
      <c r="G23" s="30">
        <v>745</v>
      </c>
      <c r="H23" s="30">
        <v>25</v>
      </c>
      <c r="I23" s="30">
        <f>G23-H23</f>
        <v>720</v>
      </c>
      <c r="J23" s="29" t="s">
        <v>18</v>
      </c>
      <c r="K23" s="29" t="s">
        <v>18</v>
      </c>
      <c r="L23" s="29" t="s">
        <v>368</v>
      </c>
      <c r="Q23" s="30">
        <v>1</v>
      </c>
    </row>
    <row r="24" spans="1:17" x14ac:dyDescent="0.25">
      <c r="B24" s="29" t="s">
        <v>16</v>
      </c>
      <c r="C24" s="29" t="s">
        <v>424</v>
      </c>
      <c r="D24" s="29" t="s">
        <v>425</v>
      </c>
      <c r="E24" s="29" t="s">
        <v>426</v>
      </c>
      <c r="F24" s="29" t="s">
        <v>30</v>
      </c>
      <c r="G24" s="30">
        <v>755</v>
      </c>
      <c r="H24" s="30">
        <v>25</v>
      </c>
      <c r="I24" s="30">
        <f>G24-H24</f>
        <v>730</v>
      </c>
      <c r="J24" s="29" t="s">
        <v>18</v>
      </c>
      <c r="K24" s="29" t="s">
        <v>18</v>
      </c>
      <c r="L24" s="29" t="s">
        <v>368</v>
      </c>
      <c r="Q24" s="30">
        <v>1</v>
      </c>
    </row>
    <row r="25" spans="1:17" x14ac:dyDescent="0.25">
      <c r="B25" s="29" t="s">
        <v>16</v>
      </c>
      <c r="C25" s="29" t="s">
        <v>29</v>
      </c>
      <c r="D25" s="29" t="s">
        <v>427</v>
      </c>
      <c r="E25" s="29" t="s">
        <v>428</v>
      </c>
      <c r="F25" s="29" t="s">
        <v>20</v>
      </c>
      <c r="G25" s="30">
        <v>520</v>
      </c>
      <c r="H25" s="30">
        <v>30</v>
      </c>
      <c r="I25" s="30">
        <f>G25-H25</f>
        <v>490</v>
      </c>
      <c r="J25" s="29" t="s">
        <v>18</v>
      </c>
      <c r="K25" s="29" t="s">
        <v>18</v>
      </c>
      <c r="L25" s="29" t="s">
        <v>368</v>
      </c>
      <c r="Q25" s="30">
        <v>1</v>
      </c>
    </row>
    <row r="26" spans="1:17" x14ac:dyDescent="0.25">
      <c r="B26" s="29" t="s">
        <v>16</v>
      </c>
      <c r="C26" s="29" t="s">
        <v>429</v>
      </c>
      <c r="D26" s="29" t="s">
        <v>430</v>
      </c>
      <c r="E26" s="29" t="s">
        <v>431</v>
      </c>
      <c r="F26" s="30">
        <v>1</v>
      </c>
      <c r="G26" s="30">
        <v>365</v>
      </c>
      <c r="H26" s="30">
        <v>25</v>
      </c>
      <c r="I26" s="30">
        <f>G26-H26</f>
        <v>340</v>
      </c>
      <c r="J26" s="29" t="s">
        <v>19</v>
      </c>
      <c r="K26" s="29" t="s">
        <v>18</v>
      </c>
      <c r="L26" s="29" t="s">
        <v>368</v>
      </c>
      <c r="Q26" s="30">
        <v>1</v>
      </c>
    </row>
    <row r="27" spans="1:17" x14ac:dyDescent="0.25">
      <c r="B27" s="29" t="s">
        <v>16</v>
      </c>
      <c r="C27" s="29" t="s">
        <v>432</v>
      </c>
      <c r="D27" s="29" t="s">
        <v>433</v>
      </c>
      <c r="E27" s="29" t="s">
        <v>434</v>
      </c>
      <c r="F27" s="30">
        <v>10</v>
      </c>
      <c r="G27" s="30">
        <v>785</v>
      </c>
      <c r="H27" s="30">
        <v>25</v>
      </c>
      <c r="I27" s="30">
        <f>G27-H27</f>
        <v>760</v>
      </c>
      <c r="J27" s="29" t="s">
        <v>19</v>
      </c>
      <c r="K27" s="29" t="s">
        <v>18</v>
      </c>
      <c r="L27" s="29" t="s">
        <v>368</v>
      </c>
      <c r="Q27" s="30">
        <v>1</v>
      </c>
    </row>
    <row r="28" spans="1:17" x14ac:dyDescent="0.25">
      <c r="B28" s="29" t="s">
        <v>16</v>
      </c>
      <c r="C28" s="29" t="s">
        <v>435</v>
      </c>
      <c r="D28" s="29" t="s">
        <v>436</v>
      </c>
      <c r="E28" s="29" t="s">
        <v>437</v>
      </c>
      <c r="F28" s="29" t="s">
        <v>28</v>
      </c>
      <c r="G28" s="30">
        <v>0</v>
      </c>
      <c r="H28" s="30">
        <v>25</v>
      </c>
      <c r="I28" s="30">
        <f>-H28</f>
        <v>-25</v>
      </c>
      <c r="J28" s="29" t="s">
        <v>19</v>
      </c>
      <c r="K28" s="29" t="s">
        <v>18</v>
      </c>
      <c r="L28" s="29" t="s">
        <v>368</v>
      </c>
      <c r="Q28" s="30">
        <v>1</v>
      </c>
    </row>
    <row r="29" spans="1:17" x14ac:dyDescent="0.25">
      <c r="B29" s="29" t="s">
        <v>16</v>
      </c>
      <c r="C29" s="29" t="s">
        <v>438</v>
      </c>
      <c r="D29" s="29" t="s">
        <v>439</v>
      </c>
      <c r="E29" s="29" t="s">
        <v>440</v>
      </c>
      <c r="F29" s="29" t="s">
        <v>26</v>
      </c>
      <c r="G29" s="30">
        <v>0</v>
      </c>
      <c r="H29" s="30">
        <v>20</v>
      </c>
      <c r="I29" s="30">
        <f>-H29</f>
        <v>-20</v>
      </c>
      <c r="J29" s="29" t="s">
        <v>19</v>
      </c>
      <c r="K29" s="29" t="s">
        <v>18</v>
      </c>
      <c r="L29" s="29" t="s">
        <v>368</v>
      </c>
      <c r="Q29" s="30">
        <v>1</v>
      </c>
    </row>
    <row r="30" spans="1:17" x14ac:dyDescent="0.25">
      <c r="B30" s="29" t="s">
        <v>16</v>
      </c>
      <c r="C30" s="29" t="s">
        <v>441</v>
      </c>
      <c r="D30" s="29" t="s">
        <v>442</v>
      </c>
      <c r="E30" s="29" t="s">
        <v>443</v>
      </c>
      <c r="F30" s="29" t="s">
        <v>26</v>
      </c>
      <c r="G30" s="30">
        <v>610</v>
      </c>
      <c r="H30" s="30">
        <v>20</v>
      </c>
      <c r="I30" s="30">
        <f>G30-H30</f>
        <v>590</v>
      </c>
      <c r="J30" s="29" t="s">
        <v>19</v>
      </c>
      <c r="K30" s="29" t="s">
        <v>18</v>
      </c>
      <c r="L30" s="29" t="s">
        <v>368</v>
      </c>
      <c r="Q30" s="30">
        <v>1</v>
      </c>
    </row>
    <row r="31" spans="1:17" x14ac:dyDescent="0.25">
      <c r="B31" s="29" t="s">
        <v>16</v>
      </c>
      <c r="C31" s="29" t="s">
        <v>444</v>
      </c>
      <c r="D31" s="29" t="s">
        <v>445</v>
      </c>
      <c r="E31" s="29" t="s">
        <v>446</v>
      </c>
      <c r="F31" s="29" t="s">
        <v>28</v>
      </c>
      <c r="G31" s="30">
        <v>0</v>
      </c>
      <c r="H31" s="30">
        <v>25</v>
      </c>
      <c r="I31" s="30">
        <f>-H31</f>
        <v>-25</v>
      </c>
      <c r="J31" s="29" t="s">
        <v>19</v>
      </c>
      <c r="K31" s="29" t="s">
        <v>18</v>
      </c>
      <c r="L31" s="29" t="s">
        <v>368</v>
      </c>
      <c r="Q31" s="30">
        <v>1</v>
      </c>
    </row>
    <row r="32" spans="1:17" x14ac:dyDescent="0.25">
      <c r="A32" s="29" t="s">
        <v>38</v>
      </c>
      <c r="B32" s="29" t="s">
        <v>16</v>
      </c>
      <c r="C32" s="29" t="s">
        <v>447</v>
      </c>
      <c r="E32" s="29" t="s">
        <v>448</v>
      </c>
      <c r="F32" s="30">
        <v>5</v>
      </c>
      <c r="G32" s="30">
        <v>0</v>
      </c>
      <c r="H32" s="30">
        <v>30</v>
      </c>
      <c r="I32" s="30">
        <f>-H32</f>
        <v>-30</v>
      </c>
      <c r="J32" s="29" t="s">
        <v>19</v>
      </c>
      <c r="K32" s="29" t="s">
        <v>18</v>
      </c>
      <c r="L32" s="29" t="s">
        <v>368</v>
      </c>
      <c r="Q32" s="30">
        <v>1</v>
      </c>
    </row>
    <row r="33" spans="1:17" x14ac:dyDescent="0.25">
      <c r="A33" s="29" t="s">
        <v>38</v>
      </c>
      <c r="B33" s="29" t="s">
        <v>16</v>
      </c>
      <c r="C33" s="29" t="s">
        <v>82</v>
      </c>
      <c r="E33" s="29" t="s">
        <v>104</v>
      </c>
      <c r="F33" s="30">
        <v>4</v>
      </c>
      <c r="G33" s="30">
        <v>30</v>
      </c>
      <c r="H33" s="30">
        <v>30</v>
      </c>
      <c r="I33" s="30">
        <f>G33-H33</f>
        <v>0</v>
      </c>
      <c r="J33" s="29" t="s">
        <v>19</v>
      </c>
      <c r="K33" s="29" t="s">
        <v>18</v>
      </c>
      <c r="L33" s="29" t="s">
        <v>368</v>
      </c>
      <c r="Q33" s="30">
        <v>1</v>
      </c>
    </row>
    <row r="34" spans="1:17" x14ac:dyDescent="0.25">
      <c r="A34" s="29" t="s">
        <v>38</v>
      </c>
      <c r="B34" s="29" t="s">
        <v>16</v>
      </c>
      <c r="C34" s="29" t="s">
        <v>449</v>
      </c>
      <c r="E34" s="29" t="s">
        <v>450</v>
      </c>
      <c r="F34" s="29" t="s">
        <v>24</v>
      </c>
      <c r="G34" s="30">
        <v>40</v>
      </c>
      <c r="H34" s="30">
        <v>40</v>
      </c>
      <c r="I34" s="30">
        <f>G34-H34</f>
        <v>0</v>
      </c>
      <c r="J34" s="29" t="s">
        <v>19</v>
      </c>
      <c r="K34" s="29" t="s">
        <v>18</v>
      </c>
      <c r="L34" s="29" t="s">
        <v>368</v>
      </c>
      <c r="Q34" s="30">
        <v>1</v>
      </c>
    </row>
    <row r="35" spans="1:17" s="31" customFormat="1" x14ac:dyDescent="0.25">
      <c r="B35" s="31" t="s">
        <v>16</v>
      </c>
      <c r="C35" s="31" t="s">
        <v>313</v>
      </c>
      <c r="D35" s="31" t="s">
        <v>314</v>
      </c>
      <c r="E35" s="31" t="s">
        <v>315</v>
      </c>
      <c r="F35" s="31">
        <v>12</v>
      </c>
      <c r="G35" s="31">
        <v>820</v>
      </c>
      <c r="H35" s="31">
        <v>0</v>
      </c>
      <c r="I35" s="31">
        <f t="shared" ref="I35" si="0">G35-H35</f>
        <v>820</v>
      </c>
      <c r="J35" s="31" t="s">
        <v>68</v>
      </c>
      <c r="K35" s="31" t="s">
        <v>18</v>
      </c>
      <c r="L35" s="31" t="s">
        <v>302</v>
      </c>
      <c r="N35" s="31" t="s">
        <v>63</v>
      </c>
      <c r="O35" s="31" t="s">
        <v>63</v>
      </c>
      <c r="P35" s="31" t="s">
        <v>70</v>
      </c>
      <c r="Q35" s="31">
        <v>1</v>
      </c>
    </row>
    <row r="37" spans="1:17" x14ac:dyDescent="0.25">
      <c r="D37" s="32">
        <f>COUNTA(D3:D34)</f>
        <v>29</v>
      </c>
      <c r="G37" s="32">
        <f>SUBTOTAL(9,G3:G35)</f>
        <v>17625</v>
      </c>
      <c r="H37" s="32">
        <f t="shared" ref="H37:Q37" si="1">SUBTOTAL(9,H3:H35)</f>
        <v>875</v>
      </c>
      <c r="I37" s="32">
        <f t="shared" si="1"/>
        <v>16750</v>
      </c>
      <c r="J37" s="32">
        <f t="shared" si="1"/>
        <v>0</v>
      </c>
      <c r="K37" s="32">
        <f t="shared" si="1"/>
        <v>0</v>
      </c>
      <c r="L37" s="32">
        <f t="shared" si="1"/>
        <v>0</v>
      </c>
      <c r="M37" s="32">
        <f t="shared" si="1"/>
        <v>0</v>
      </c>
      <c r="N37" s="32">
        <f t="shared" si="1"/>
        <v>0</v>
      </c>
      <c r="O37" s="32">
        <f t="shared" si="1"/>
        <v>0</v>
      </c>
      <c r="P37" s="32">
        <f t="shared" si="1"/>
        <v>0</v>
      </c>
      <c r="Q37" s="32">
        <f t="shared" si="1"/>
        <v>33</v>
      </c>
    </row>
    <row r="38" spans="1:17" x14ac:dyDescent="0.25">
      <c r="H38" s="29">
        <f>-8*17</f>
        <v>-136</v>
      </c>
    </row>
    <row r="39" spans="1:17" x14ac:dyDescent="0.25">
      <c r="A39" s="32" t="s">
        <v>16</v>
      </c>
      <c r="C39" s="42" t="s">
        <v>46</v>
      </c>
      <c r="D39" s="42"/>
      <c r="E39" s="33" t="s">
        <v>47</v>
      </c>
      <c r="H39" s="29">
        <f>-4*25</f>
        <v>-100</v>
      </c>
      <c r="K39" s="34" t="s">
        <v>19</v>
      </c>
      <c r="L39" s="34" t="s">
        <v>48</v>
      </c>
      <c r="M39" s="34" t="s">
        <v>47</v>
      </c>
      <c r="O39" s="33" t="s">
        <v>72</v>
      </c>
    </row>
    <row r="40" spans="1:17" x14ac:dyDescent="0.25">
      <c r="A40" s="29" t="s">
        <v>368</v>
      </c>
      <c r="B40" s="35" t="s">
        <v>49</v>
      </c>
      <c r="C40" s="43">
        <f>SUMIFS(I$3:I$35,B$3:B$35,A$39,L$3:L$35,A$40)</f>
        <v>15930</v>
      </c>
      <c r="D40" s="43"/>
      <c r="E40" s="35">
        <f>SUMIFS(Q$3:Q$35,B$3:B$35,A$39,L$3:L$35,A$40)</f>
        <v>32</v>
      </c>
      <c r="F40" s="29" t="s">
        <v>73</v>
      </c>
      <c r="H40" s="29">
        <f>-2*30</f>
        <v>-60</v>
      </c>
      <c r="K40" s="29" t="s">
        <v>50</v>
      </c>
      <c r="L40" s="29">
        <f>SUMIFS(G$3:G$35,J$3:J$35,K$39)</f>
        <v>1830</v>
      </c>
      <c r="M40" s="29">
        <f>SUMIFS(Q$3:Q$35,J$3:J$35,K$39)</f>
        <v>9</v>
      </c>
      <c r="O40" s="29" t="s">
        <v>19</v>
      </c>
      <c r="P40" s="29">
        <f>L45</f>
        <v>1635</v>
      </c>
    </row>
    <row r="41" spans="1:17" x14ac:dyDescent="0.25">
      <c r="B41" s="36" t="s">
        <v>108</v>
      </c>
      <c r="C41" s="44">
        <v>0</v>
      </c>
      <c r="D41" s="44"/>
      <c r="K41" s="29" t="s">
        <v>51</v>
      </c>
      <c r="L41" s="29">
        <f>-SUMIFS(H$3:H$35,J$3:J$35,K$39)+M41*5</f>
        <v>-195</v>
      </c>
      <c r="M41" s="30">
        <f>SUMIFS(Q$3:Q$35,J$3:J$35,K$39)-COUNTIFS(J$3:J$35,K$39,M$3:M$35,"*gộp*")</f>
        <v>9</v>
      </c>
      <c r="O41" s="29" t="s">
        <v>451</v>
      </c>
      <c r="P41" s="29">
        <f>L53</f>
        <v>8854</v>
      </c>
    </row>
    <row r="42" spans="1:17" x14ac:dyDescent="0.25">
      <c r="B42" s="36" t="s">
        <v>52</v>
      </c>
      <c r="C42" s="44">
        <f>-SUMIFS(I$3:I$35,B$3:B$35,A$39,P$3:P$35,"xx",N$3:N$35,"x")</f>
        <v>-820</v>
      </c>
      <c r="D42" s="44"/>
      <c r="E42" s="36">
        <f>SUMIFS(Q$3:Q$35,B$3:B$35,A$39,P$3:P$35,"xx",N$3:N$35,"x")</f>
        <v>1</v>
      </c>
      <c r="K42" s="29" t="s">
        <v>74</v>
      </c>
      <c r="O42" s="29" t="s">
        <v>18</v>
      </c>
      <c r="P42" s="29">
        <f>L61</f>
        <v>4776</v>
      </c>
    </row>
    <row r="43" spans="1:17" x14ac:dyDescent="0.25">
      <c r="B43" s="33" t="s">
        <v>53</v>
      </c>
      <c r="C43" s="42">
        <f>SUBTOTAL(9,C40:C42)</f>
        <v>15110</v>
      </c>
      <c r="D43" s="42"/>
      <c r="E43" s="29">
        <f>E40</f>
        <v>32</v>
      </c>
      <c r="K43" s="36" t="s">
        <v>25</v>
      </c>
      <c r="O43" s="29" t="s">
        <v>76</v>
      </c>
      <c r="P43" s="29">
        <f>-C47</f>
        <v>-15110</v>
      </c>
    </row>
    <row r="44" spans="1:17" x14ac:dyDescent="0.25">
      <c r="B44" s="36" t="s">
        <v>75</v>
      </c>
      <c r="C44" s="40"/>
      <c r="D44" s="40"/>
      <c r="K44" s="36" t="s">
        <v>54</v>
      </c>
      <c r="O44" s="33" t="s">
        <v>77</v>
      </c>
      <c r="P44" s="33">
        <f>SUBTOTAL(9,P40:P43)</f>
        <v>155</v>
      </c>
    </row>
    <row r="45" spans="1:17" x14ac:dyDescent="0.25">
      <c r="B45" s="37" t="s">
        <v>55</v>
      </c>
      <c r="C45" s="40"/>
      <c r="D45" s="40"/>
      <c r="L45" s="38">
        <f>SUBTOTAL(9,L40:L44)</f>
        <v>1635</v>
      </c>
      <c r="M45" s="38">
        <f>M40</f>
        <v>9</v>
      </c>
    </row>
    <row r="47" spans="1:17" x14ac:dyDescent="0.25">
      <c r="B47" s="32" t="s">
        <v>56</v>
      </c>
      <c r="C47" s="41">
        <f>C43+C44+C45</f>
        <v>15110</v>
      </c>
      <c r="D47" s="41"/>
      <c r="E47" s="32" t="s">
        <v>57</v>
      </c>
      <c r="K47" s="34" t="s">
        <v>367</v>
      </c>
      <c r="L47" s="34" t="s">
        <v>48</v>
      </c>
      <c r="M47" s="34" t="s">
        <v>47</v>
      </c>
    </row>
    <row r="48" spans="1:17" x14ac:dyDescent="0.25">
      <c r="K48" s="29" t="s">
        <v>50</v>
      </c>
      <c r="L48" s="29">
        <f>SUMIFS(G$3:G$35,J$3:J$35,K$47)</f>
        <v>9970</v>
      </c>
      <c r="M48" s="29">
        <f>SUMIFS(Q$3:Q$35,J$3:J$35,K$47)</f>
        <v>15</v>
      </c>
    </row>
    <row r="49" spans="11:13" x14ac:dyDescent="0.25">
      <c r="K49" s="29" t="s">
        <v>51</v>
      </c>
      <c r="L49" s="29">
        <f>SUM(H38:H40)</f>
        <v>-296</v>
      </c>
      <c r="M49" s="29">
        <f>SUMIFS(Q$3:Q$35,J$3:J$35,K$47)</f>
        <v>15</v>
      </c>
    </row>
    <row r="50" spans="11:13" x14ac:dyDescent="0.25">
      <c r="K50" s="29" t="s">
        <v>74</v>
      </c>
    </row>
    <row r="51" spans="11:13" x14ac:dyDescent="0.25">
      <c r="K51" s="36" t="s">
        <v>25</v>
      </c>
    </row>
    <row r="52" spans="11:13" x14ac:dyDescent="0.25">
      <c r="K52" s="36" t="s">
        <v>54</v>
      </c>
      <c r="L52" s="29">
        <v>-820</v>
      </c>
    </row>
    <row r="53" spans="11:13" x14ac:dyDescent="0.25">
      <c r="L53" s="38">
        <f>SUBTOTAL(9,L48:L52)</f>
        <v>8854</v>
      </c>
      <c r="M53" s="38">
        <f>M48</f>
        <v>15</v>
      </c>
    </row>
    <row r="55" spans="11:13" x14ac:dyDescent="0.25">
      <c r="K55" s="34" t="s">
        <v>18</v>
      </c>
      <c r="L55" s="34" t="s">
        <v>48</v>
      </c>
      <c r="M55" s="34" t="s">
        <v>47</v>
      </c>
    </row>
    <row r="56" spans="11:13" x14ac:dyDescent="0.25">
      <c r="K56" s="29" t="s">
        <v>50</v>
      </c>
      <c r="L56" s="29">
        <f>SUMIFS(G$3:G$35,J$3:J$35,K$55)</f>
        <v>5005</v>
      </c>
      <c r="M56" s="29">
        <f>SUMIFS(Q$3:Q$35,J$3:J$35,K$55)</f>
        <v>8</v>
      </c>
    </row>
    <row r="57" spans="11:13" x14ac:dyDescent="0.25">
      <c r="K57" s="29" t="s">
        <v>51</v>
      </c>
      <c r="L57" s="29">
        <f>-SUMIFS(H$3:H$35,J$3:J$35,K$55)+M57*5</f>
        <v>-165</v>
      </c>
      <c r="M57" s="30">
        <f>SUMIFS(Q$3:Q$35,J$3:J$35,K$55)-COUNTIFS(J$3:J$35,K$55,M$3:M$35,"*gộp*")</f>
        <v>8</v>
      </c>
    </row>
    <row r="58" spans="11:13" x14ac:dyDescent="0.25">
      <c r="K58" s="29" t="s">
        <v>74</v>
      </c>
      <c r="L58" s="29">
        <f>-M58*2</f>
        <v>-64</v>
      </c>
      <c r="M58" s="29">
        <f>COUNTIF(L3:L35,A$40)-(COUNTIFS(M$3:M$35,"*gộp*")/2)</f>
        <v>32</v>
      </c>
    </row>
    <row r="59" spans="11:13" x14ac:dyDescent="0.25">
      <c r="K59" s="36" t="s">
        <v>25</v>
      </c>
    </row>
    <row r="60" spans="11:13" x14ac:dyDescent="0.25">
      <c r="K60" s="36" t="s">
        <v>54</v>
      </c>
    </row>
    <row r="61" spans="11:13" x14ac:dyDescent="0.25">
      <c r="L61" s="38">
        <f>SUBTOTAL(9,L56:L60)</f>
        <v>4776</v>
      </c>
      <c r="M61" s="38">
        <f>M56</f>
        <v>8</v>
      </c>
    </row>
  </sheetData>
  <autoFilter ref="A2:P34" xr:uid="{00000000-0009-0000-0000-000000000000}">
    <sortState xmlns:xlrd2="http://schemas.microsoft.com/office/spreadsheetml/2017/richdata2" ref="A3:P34">
      <sortCondition ref="J2:J34"/>
    </sortState>
  </autoFilter>
  <mergeCells count="8">
    <mergeCell ref="C45:D45"/>
    <mergeCell ref="C47:D47"/>
    <mergeCell ref="C39:D39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4CBDD-EEFF-47C4-BEAE-9713391EFAA9}">
  <dimension ref="A2:Q111"/>
  <sheetViews>
    <sheetView topLeftCell="C79" workbookViewId="0">
      <selection activeCell="G25" sqref="G25"/>
    </sheetView>
  </sheetViews>
  <sheetFormatPr defaultRowHeight="15" x14ac:dyDescent="0.25"/>
  <cols>
    <col min="1" max="1" width="12.7109375" style="29" customWidth="1"/>
    <col min="2" max="2" width="17.7109375" style="29" customWidth="1"/>
    <col min="3" max="3" width="38" style="29" customWidth="1"/>
    <col min="4" max="4" width="9.85546875" style="29" customWidth="1"/>
    <col min="5" max="5" width="103.85546875" style="29" customWidth="1"/>
    <col min="6" max="6" width="10.7109375" style="29" customWidth="1"/>
    <col min="7" max="7" width="9.140625" style="29" customWidth="1"/>
    <col min="8" max="8" width="9.5703125" style="29" customWidth="1"/>
    <col min="9" max="9" width="10.5703125" style="29" customWidth="1"/>
    <col min="10" max="10" width="9.7109375" style="29" customWidth="1"/>
    <col min="11" max="11" width="10.85546875" style="29" customWidth="1"/>
    <col min="12" max="12" width="10.42578125" style="29" customWidth="1"/>
    <col min="13" max="13" width="13.85546875" style="29" customWidth="1"/>
    <col min="14" max="14" width="9.7109375" style="29" customWidth="1"/>
    <col min="15" max="15" width="10.42578125" style="29" customWidth="1"/>
    <col min="16" max="16" width="7" style="29" bestFit="1" customWidth="1"/>
    <col min="17" max="17" width="6.42578125" style="29" customWidth="1"/>
    <col min="18" max="16384" width="9.140625" style="29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85</v>
      </c>
    </row>
    <row r="3" spans="1:17" x14ac:dyDescent="0.25">
      <c r="B3" s="29" t="s">
        <v>16</v>
      </c>
      <c r="C3" s="29" t="s">
        <v>452</v>
      </c>
      <c r="D3" s="29" t="s">
        <v>453</v>
      </c>
      <c r="E3" s="29" t="s">
        <v>454</v>
      </c>
      <c r="F3" s="30">
        <v>9</v>
      </c>
      <c r="G3" s="30">
        <v>850</v>
      </c>
      <c r="H3" s="30">
        <v>30</v>
      </c>
      <c r="I3" s="30">
        <f>G3-H3</f>
        <v>820</v>
      </c>
      <c r="J3" s="29" t="s">
        <v>37</v>
      </c>
      <c r="K3" s="29" t="s">
        <v>18</v>
      </c>
      <c r="L3" s="29" t="s">
        <v>455</v>
      </c>
      <c r="Q3" s="30">
        <v>1</v>
      </c>
    </row>
    <row r="4" spans="1:17" x14ac:dyDescent="0.25">
      <c r="B4" s="29" t="s">
        <v>16</v>
      </c>
      <c r="C4" s="29" t="s">
        <v>456</v>
      </c>
      <c r="D4" s="29" t="s">
        <v>457</v>
      </c>
      <c r="E4" s="29" t="s">
        <v>458</v>
      </c>
      <c r="F4" s="30">
        <v>9</v>
      </c>
      <c r="G4" s="30">
        <v>850</v>
      </c>
      <c r="H4" s="30">
        <v>30</v>
      </c>
      <c r="I4" s="30">
        <f>G4-H4</f>
        <v>820</v>
      </c>
      <c r="J4" s="29" t="s">
        <v>37</v>
      </c>
      <c r="K4" s="29" t="s">
        <v>18</v>
      </c>
      <c r="L4" s="29" t="s">
        <v>455</v>
      </c>
      <c r="Q4" s="30">
        <v>1</v>
      </c>
    </row>
    <row r="5" spans="1:17" x14ac:dyDescent="0.25">
      <c r="B5" s="29" t="s">
        <v>16</v>
      </c>
      <c r="C5" s="29" t="s">
        <v>88</v>
      </c>
      <c r="D5" s="29" t="s">
        <v>459</v>
      </c>
      <c r="E5" s="29" t="s">
        <v>89</v>
      </c>
      <c r="F5" s="30">
        <v>7</v>
      </c>
      <c r="G5" s="30">
        <v>0</v>
      </c>
      <c r="H5" s="30">
        <v>30</v>
      </c>
      <c r="I5" s="30">
        <f>-H5</f>
        <v>-30</v>
      </c>
      <c r="J5" s="29" t="s">
        <v>460</v>
      </c>
      <c r="K5" s="29" t="s">
        <v>18</v>
      </c>
      <c r="L5" s="29" t="s">
        <v>455</v>
      </c>
      <c r="Q5" s="30">
        <v>1</v>
      </c>
    </row>
    <row r="6" spans="1:17" x14ac:dyDescent="0.25">
      <c r="B6" s="29" t="s">
        <v>16</v>
      </c>
      <c r="C6" s="29" t="s">
        <v>101</v>
      </c>
      <c r="D6" s="29" t="s">
        <v>461</v>
      </c>
      <c r="E6" s="29" t="s">
        <v>462</v>
      </c>
      <c r="F6" s="29" t="s">
        <v>24</v>
      </c>
      <c r="G6" s="30">
        <v>1315</v>
      </c>
      <c r="H6" s="30">
        <v>25</v>
      </c>
      <c r="I6" s="30">
        <f>G6-H6</f>
        <v>1290</v>
      </c>
      <c r="J6" s="29" t="s">
        <v>460</v>
      </c>
      <c r="K6" s="29" t="s">
        <v>18</v>
      </c>
      <c r="L6" s="29" t="s">
        <v>455</v>
      </c>
      <c r="Q6" s="30">
        <v>1</v>
      </c>
    </row>
    <row r="7" spans="1:17" x14ac:dyDescent="0.25">
      <c r="B7" s="29" t="s">
        <v>16</v>
      </c>
      <c r="C7" s="29" t="s">
        <v>463</v>
      </c>
      <c r="D7" s="29" t="s">
        <v>464</v>
      </c>
      <c r="E7" s="29" t="s">
        <v>465</v>
      </c>
      <c r="F7" s="29" t="s">
        <v>22</v>
      </c>
      <c r="G7" s="30">
        <v>510</v>
      </c>
      <c r="H7" s="30">
        <v>30</v>
      </c>
      <c r="I7" s="30">
        <f>G7-H7</f>
        <v>480</v>
      </c>
      <c r="J7" s="29" t="s">
        <v>460</v>
      </c>
      <c r="K7" s="29" t="s">
        <v>18</v>
      </c>
      <c r="L7" s="29" t="s">
        <v>455</v>
      </c>
      <c r="Q7" s="30">
        <v>1</v>
      </c>
    </row>
    <row r="8" spans="1:17" x14ac:dyDescent="0.25">
      <c r="B8" s="29" t="s">
        <v>16</v>
      </c>
      <c r="C8" s="29" t="s">
        <v>466</v>
      </c>
      <c r="D8" s="29" t="s">
        <v>467</v>
      </c>
      <c r="E8" s="29" t="s">
        <v>468</v>
      </c>
      <c r="F8" s="30">
        <v>8</v>
      </c>
      <c r="G8" s="30">
        <v>935</v>
      </c>
      <c r="H8" s="30">
        <v>25</v>
      </c>
      <c r="I8" s="30">
        <f>G8-H8</f>
        <v>910</v>
      </c>
      <c r="J8" s="29" t="s">
        <v>460</v>
      </c>
      <c r="K8" s="29" t="s">
        <v>18</v>
      </c>
      <c r="L8" s="29" t="s">
        <v>455</v>
      </c>
      <c r="Q8" s="30">
        <v>1</v>
      </c>
    </row>
    <row r="9" spans="1:17" x14ac:dyDescent="0.25">
      <c r="B9" s="29" t="s">
        <v>16</v>
      </c>
      <c r="C9" s="29" t="s">
        <v>469</v>
      </c>
      <c r="D9" s="29" t="s">
        <v>470</v>
      </c>
      <c r="E9" s="29" t="s">
        <v>471</v>
      </c>
      <c r="F9" s="29" t="s">
        <v>323</v>
      </c>
      <c r="G9" s="30">
        <v>675</v>
      </c>
      <c r="H9" s="30">
        <v>35</v>
      </c>
      <c r="I9" s="30">
        <f>G9-H9</f>
        <v>640</v>
      </c>
      <c r="J9" s="29" t="s">
        <v>460</v>
      </c>
      <c r="K9" s="29" t="s">
        <v>18</v>
      </c>
      <c r="L9" s="29" t="s">
        <v>455</v>
      </c>
      <c r="Q9" s="30">
        <v>1</v>
      </c>
    </row>
    <row r="10" spans="1:17" x14ac:dyDescent="0.25">
      <c r="B10" s="29" t="s">
        <v>16</v>
      </c>
      <c r="C10" s="29" t="s">
        <v>472</v>
      </c>
      <c r="D10" s="29" t="s">
        <v>473</v>
      </c>
      <c r="E10" s="29" t="s">
        <v>474</v>
      </c>
      <c r="F10" s="29" t="s">
        <v>22</v>
      </c>
      <c r="G10" s="30">
        <v>670</v>
      </c>
      <c r="H10" s="30">
        <v>30</v>
      </c>
      <c r="I10" s="30">
        <f>G10-H10</f>
        <v>640</v>
      </c>
      <c r="J10" s="29" t="s">
        <v>460</v>
      </c>
      <c r="K10" s="29" t="s">
        <v>18</v>
      </c>
      <c r="L10" s="29" t="s">
        <v>455</v>
      </c>
      <c r="Q10" s="30">
        <v>1</v>
      </c>
    </row>
    <row r="11" spans="1:17" x14ac:dyDescent="0.25">
      <c r="B11" s="29" t="s">
        <v>16</v>
      </c>
      <c r="C11" s="29" t="s">
        <v>475</v>
      </c>
      <c r="D11" s="29" t="s">
        <v>476</v>
      </c>
      <c r="E11" s="29" t="s">
        <v>477</v>
      </c>
      <c r="F11" s="30">
        <v>8</v>
      </c>
      <c r="G11" s="30">
        <v>0</v>
      </c>
      <c r="H11" s="30">
        <v>25</v>
      </c>
      <c r="I11" s="30">
        <f>-H11</f>
        <v>-25</v>
      </c>
      <c r="J11" s="29" t="s">
        <v>460</v>
      </c>
      <c r="K11" s="29" t="s">
        <v>18</v>
      </c>
      <c r="L11" s="29" t="s">
        <v>455</v>
      </c>
      <c r="Q11" s="30">
        <v>1</v>
      </c>
    </row>
    <row r="12" spans="1:17" x14ac:dyDescent="0.25">
      <c r="B12" s="29" t="s">
        <v>16</v>
      </c>
      <c r="C12" s="29" t="s">
        <v>478</v>
      </c>
      <c r="D12" s="29" t="s">
        <v>479</v>
      </c>
      <c r="E12" s="29" t="s">
        <v>480</v>
      </c>
      <c r="F12" s="30">
        <v>12</v>
      </c>
      <c r="G12" s="30">
        <v>410</v>
      </c>
      <c r="H12" s="30">
        <v>30</v>
      </c>
      <c r="I12" s="30">
        <f>G12-H12</f>
        <v>380</v>
      </c>
      <c r="J12" s="29" t="s">
        <v>460</v>
      </c>
      <c r="K12" s="29" t="s">
        <v>18</v>
      </c>
      <c r="L12" s="29" t="s">
        <v>455</v>
      </c>
      <c r="Q12" s="30">
        <v>1</v>
      </c>
    </row>
    <row r="13" spans="1:17" x14ac:dyDescent="0.25">
      <c r="B13" s="29" t="s">
        <v>16</v>
      </c>
      <c r="C13" s="29" t="s">
        <v>481</v>
      </c>
      <c r="D13" s="29" t="s">
        <v>482</v>
      </c>
      <c r="E13" s="29" t="s">
        <v>483</v>
      </c>
      <c r="F13" s="30">
        <v>7</v>
      </c>
      <c r="G13" s="30">
        <v>370</v>
      </c>
      <c r="H13" s="30">
        <v>30</v>
      </c>
      <c r="I13" s="30">
        <f>G13-H13</f>
        <v>340</v>
      </c>
      <c r="J13" s="29" t="s">
        <v>460</v>
      </c>
      <c r="K13" s="29" t="s">
        <v>18</v>
      </c>
      <c r="L13" s="29" t="s">
        <v>455</v>
      </c>
      <c r="Q13" s="30">
        <v>1</v>
      </c>
    </row>
    <row r="14" spans="1:17" x14ac:dyDescent="0.25">
      <c r="B14" s="29" t="s">
        <v>16</v>
      </c>
      <c r="C14" s="29" t="s">
        <v>17</v>
      </c>
      <c r="D14" s="29" t="s">
        <v>484</v>
      </c>
      <c r="E14" s="29" t="s">
        <v>485</v>
      </c>
      <c r="F14" s="30">
        <v>8</v>
      </c>
      <c r="G14" s="30">
        <v>1065</v>
      </c>
      <c r="H14" s="30">
        <v>25</v>
      </c>
      <c r="I14" s="30">
        <f>G14-H14</f>
        <v>1040</v>
      </c>
      <c r="J14" s="29" t="s">
        <v>460</v>
      </c>
      <c r="K14" s="29" t="s">
        <v>18</v>
      </c>
      <c r="L14" s="29" t="s">
        <v>455</v>
      </c>
      <c r="Q14" s="30">
        <v>1</v>
      </c>
    </row>
    <row r="15" spans="1:17" x14ac:dyDescent="0.25">
      <c r="B15" s="29" t="s">
        <v>16</v>
      </c>
      <c r="C15" s="29" t="s">
        <v>486</v>
      </c>
      <c r="D15" s="29" t="s">
        <v>487</v>
      </c>
      <c r="E15" s="29" t="s">
        <v>488</v>
      </c>
      <c r="F15" s="30">
        <v>11</v>
      </c>
      <c r="G15" s="30">
        <v>1695</v>
      </c>
      <c r="H15" s="30">
        <v>25</v>
      </c>
      <c r="I15" s="30">
        <f>G15-H15</f>
        <v>1670</v>
      </c>
      <c r="J15" s="29" t="s">
        <v>460</v>
      </c>
      <c r="K15" s="29" t="s">
        <v>18</v>
      </c>
      <c r="L15" s="29" t="s">
        <v>455</v>
      </c>
      <c r="Q15" s="30">
        <v>1</v>
      </c>
    </row>
    <row r="16" spans="1:17" x14ac:dyDescent="0.25">
      <c r="B16" s="29" t="s">
        <v>16</v>
      </c>
      <c r="C16" s="29" t="s">
        <v>489</v>
      </c>
      <c r="D16" s="29" t="s">
        <v>490</v>
      </c>
      <c r="E16" s="29" t="s">
        <v>491</v>
      </c>
      <c r="F16" s="30">
        <v>8</v>
      </c>
      <c r="G16" s="30">
        <v>605</v>
      </c>
      <c r="H16" s="30">
        <v>25</v>
      </c>
      <c r="I16" s="30">
        <f>G16-H16</f>
        <v>580</v>
      </c>
      <c r="J16" s="29" t="s">
        <v>460</v>
      </c>
      <c r="K16" s="29" t="s">
        <v>18</v>
      </c>
      <c r="L16" s="29" t="s">
        <v>455</v>
      </c>
      <c r="Q16" s="30">
        <v>1</v>
      </c>
    </row>
    <row r="17" spans="1:17" x14ac:dyDescent="0.25">
      <c r="B17" s="29" t="s">
        <v>16</v>
      </c>
      <c r="C17" s="29" t="s">
        <v>389</v>
      </c>
      <c r="D17" s="29" t="s">
        <v>492</v>
      </c>
      <c r="E17" s="29" t="s">
        <v>493</v>
      </c>
      <c r="F17" s="29" t="s">
        <v>22</v>
      </c>
      <c r="G17" s="30">
        <v>0</v>
      </c>
      <c r="H17" s="30">
        <v>30</v>
      </c>
      <c r="I17" s="30">
        <f>-H17</f>
        <v>-30</v>
      </c>
      <c r="J17" s="29" t="s">
        <v>460</v>
      </c>
      <c r="K17" s="29" t="s">
        <v>18</v>
      </c>
      <c r="L17" s="29" t="s">
        <v>455</v>
      </c>
      <c r="Q17" s="30">
        <v>1</v>
      </c>
    </row>
    <row r="18" spans="1:17" x14ac:dyDescent="0.25">
      <c r="B18" s="29" t="s">
        <v>16</v>
      </c>
      <c r="C18" s="29" t="s">
        <v>494</v>
      </c>
      <c r="D18" s="29" t="s">
        <v>495</v>
      </c>
      <c r="E18" s="29" t="s">
        <v>496</v>
      </c>
      <c r="F18" s="30" t="s">
        <v>21</v>
      </c>
      <c r="G18" s="30">
        <v>855</v>
      </c>
      <c r="H18" s="30">
        <v>35</v>
      </c>
      <c r="I18" s="30">
        <f>G18-H18</f>
        <v>820</v>
      </c>
      <c r="J18" s="29" t="s">
        <v>460</v>
      </c>
      <c r="K18" s="29" t="s">
        <v>18</v>
      </c>
      <c r="L18" s="29" t="s">
        <v>455</v>
      </c>
      <c r="Q18" s="30">
        <v>1</v>
      </c>
    </row>
    <row r="19" spans="1:17" x14ac:dyDescent="0.25">
      <c r="A19" s="29" t="s">
        <v>38</v>
      </c>
      <c r="B19" s="29" t="s">
        <v>16</v>
      </c>
      <c r="C19" s="29" t="s">
        <v>449</v>
      </c>
      <c r="E19" s="29" t="s">
        <v>497</v>
      </c>
      <c r="F19" s="29" t="s">
        <v>24</v>
      </c>
      <c r="G19" s="30">
        <v>30</v>
      </c>
      <c r="H19" s="30">
        <v>30</v>
      </c>
      <c r="I19" s="30">
        <f>G19-H19</f>
        <v>0</v>
      </c>
      <c r="J19" s="29" t="s">
        <v>460</v>
      </c>
      <c r="K19" s="29" t="s">
        <v>18</v>
      </c>
      <c r="L19" s="29" t="s">
        <v>455</v>
      </c>
      <c r="Q19" s="30">
        <v>1</v>
      </c>
    </row>
    <row r="20" spans="1:17" x14ac:dyDescent="0.25">
      <c r="B20" s="29" t="s">
        <v>16</v>
      </c>
      <c r="C20" s="29" t="s">
        <v>498</v>
      </c>
      <c r="D20" s="29" t="s">
        <v>499</v>
      </c>
      <c r="E20" s="29" t="s">
        <v>500</v>
      </c>
      <c r="F20" s="30">
        <v>12</v>
      </c>
      <c r="G20" s="30">
        <v>730</v>
      </c>
      <c r="H20" s="30">
        <v>30</v>
      </c>
      <c r="I20" s="30">
        <f>G20-H20</f>
        <v>700</v>
      </c>
      <c r="J20" s="29" t="s">
        <v>460</v>
      </c>
      <c r="K20" s="29" t="s">
        <v>18</v>
      </c>
      <c r="L20" s="29" t="s">
        <v>455</v>
      </c>
      <c r="Q20" s="30">
        <v>1</v>
      </c>
    </row>
    <row r="21" spans="1:17" x14ac:dyDescent="0.25">
      <c r="B21" s="29" t="s">
        <v>16</v>
      </c>
      <c r="C21" s="29" t="s">
        <v>501</v>
      </c>
      <c r="D21" s="29" t="s">
        <v>502</v>
      </c>
      <c r="E21" s="29" t="s">
        <v>503</v>
      </c>
      <c r="F21" s="30">
        <v>7</v>
      </c>
      <c r="G21" s="30">
        <v>850</v>
      </c>
      <c r="H21" s="30">
        <v>30</v>
      </c>
      <c r="I21" s="30">
        <f>G21-H21</f>
        <v>820</v>
      </c>
      <c r="J21" s="29" t="s">
        <v>460</v>
      </c>
      <c r="K21" s="29" t="s">
        <v>18</v>
      </c>
      <c r="L21" s="29" t="s">
        <v>455</v>
      </c>
      <c r="Q21" s="30">
        <v>1</v>
      </c>
    </row>
    <row r="22" spans="1:17" x14ac:dyDescent="0.25">
      <c r="B22" s="29" t="s">
        <v>16</v>
      </c>
      <c r="C22" s="29" t="s">
        <v>504</v>
      </c>
      <c r="D22" s="29" t="s">
        <v>505</v>
      </c>
      <c r="E22" s="29" t="s">
        <v>506</v>
      </c>
      <c r="F22" s="30">
        <v>7</v>
      </c>
      <c r="G22" s="30">
        <v>0</v>
      </c>
      <c r="H22" s="30">
        <v>30</v>
      </c>
      <c r="I22" s="30">
        <f>-H22</f>
        <v>-30</v>
      </c>
      <c r="J22" s="29" t="s">
        <v>460</v>
      </c>
      <c r="K22" s="29" t="s">
        <v>18</v>
      </c>
      <c r="L22" s="29" t="s">
        <v>455</v>
      </c>
      <c r="Q22" s="30">
        <v>1</v>
      </c>
    </row>
    <row r="23" spans="1:17" x14ac:dyDescent="0.25">
      <c r="B23" s="29" t="s">
        <v>16</v>
      </c>
      <c r="C23" s="29" t="s">
        <v>79</v>
      </c>
      <c r="D23" s="29" t="s">
        <v>507</v>
      </c>
      <c r="E23" s="29" t="s">
        <v>80</v>
      </c>
      <c r="F23" s="29" t="s">
        <v>22</v>
      </c>
      <c r="G23" s="30">
        <v>0</v>
      </c>
      <c r="H23" s="30">
        <v>30</v>
      </c>
      <c r="I23" s="30">
        <f>-H23</f>
        <v>-30</v>
      </c>
      <c r="J23" s="29" t="s">
        <v>460</v>
      </c>
      <c r="K23" s="29" t="s">
        <v>18</v>
      </c>
      <c r="L23" s="29" t="s">
        <v>455</v>
      </c>
      <c r="Q23" s="30">
        <v>1</v>
      </c>
    </row>
    <row r="24" spans="1:17" x14ac:dyDescent="0.25">
      <c r="B24" s="29" t="s">
        <v>16</v>
      </c>
      <c r="C24" s="29" t="s">
        <v>508</v>
      </c>
      <c r="D24" s="29" t="s">
        <v>509</v>
      </c>
      <c r="E24" s="29" t="s">
        <v>510</v>
      </c>
      <c r="F24" s="29" t="s">
        <v>24</v>
      </c>
      <c r="G24" s="30">
        <v>695</v>
      </c>
      <c r="H24" s="30">
        <v>25</v>
      </c>
      <c r="I24" s="30">
        <f>G24-H24</f>
        <v>670</v>
      </c>
      <c r="J24" s="29" t="s">
        <v>460</v>
      </c>
      <c r="K24" s="29" t="s">
        <v>18</v>
      </c>
      <c r="L24" s="29" t="s">
        <v>455</v>
      </c>
      <c r="Q24" s="30">
        <v>1</v>
      </c>
    </row>
    <row r="25" spans="1:17" x14ac:dyDescent="0.25">
      <c r="B25" s="29" t="s">
        <v>16</v>
      </c>
      <c r="C25" s="29" t="s">
        <v>86</v>
      </c>
      <c r="D25" s="29" t="s">
        <v>511</v>
      </c>
      <c r="E25" s="29" t="s">
        <v>87</v>
      </c>
      <c r="F25" s="29" t="s">
        <v>22</v>
      </c>
      <c r="G25" s="30">
        <v>50</v>
      </c>
      <c r="H25" s="30">
        <v>50</v>
      </c>
      <c r="I25" s="30">
        <f>G25-H25</f>
        <v>0</v>
      </c>
      <c r="J25" s="29" t="s">
        <v>460</v>
      </c>
      <c r="K25" s="29" t="s">
        <v>18</v>
      </c>
      <c r="L25" s="29" t="s">
        <v>455</v>
      </c>
      <c r="Q25" s="30">
        <v>1</v>
      </c>
    </row>
    <row r="26" spans="1:17" x14ac:dyDescent="0.25">
      <c r="B26" s="29" t="s">
        <v>16</v>
      </c>
      <c r="C26" s="29" t="s">
        <v>512</v>
      </c>
      <c r="D26" s="29" t="s">
        <v>513</v>
      </c>
      <c r="E26" s="29" t="s">
        <v>514</v>
      </c>
      <c r="F26" s="29" t="s">
        <v>22</v>
      </c>
      <c r="G26" s="30">
        <v>750</v>
      </c>
      <c r="H26" s="30">
        <v>30</v>
      </c>
      <c r="I26" s="30">
        <f>G26-H26</f>
        <v>720</v>
      </c>
      <c r="J26" s="29" t="s">
        <v>460</v>
      </c>
      <c r="K26" s="29" t="s">
        <v>18</v>
      </c>
      <c r="L26" s="29" t="s">
        <v>455</v>
      </c>
      <c r="Q26" s="30">
        <v>1</v>
      </c>
    </row>
    <row r="27" spans="1:17" x14ac:dyDescent="0.25">
      <c r="B27" s="29" t="s">
        <v>16</v>
      </c>
      <c r="C27" s="29" t="s">
        <v>515</v>
      </c>
      <c r="D27" s="29" t="s">
        <v>516</v>
      </c>
      <c r="E27" s="29" t="s">
        <v>517</v>
      </c>
      <c r="F27" s="30">
        <v>11</v>
      </c>
      <c r="G27" s="30">
        <v>0</v>
      </c>
      <c r="H27" s="30">
        <v>25</v>
      </c>
      <c r="I27" s="30">
        <f>-H27</f>
        <v>-25</v>
      </c>
      <c r="J27" s="29" t="s">
        <v>460</v>
      </c>
      <c r="K27" s="29" t="s">
        <v>18</v>
      </c>
      <c r="L27" s="29" t="s">
        <v>455</v>
      </c>
      <c r="Q27" s="30">
        <v>1</v>
      </c>
    </row>
    <row r="28" spans="1:17" x14ac:dyDescent="0.25">
      <c r="B28" s="29" t="s">
        <v>16</v>
      </c>
      <c r="C28" s="29" t="s">
        <v>518</v>
      </c>
      <c r="D28" s="29" t="s">
        <v>519</v>
      </c>
      <c r="E28" s="29" t="s">
        <v>520</v>
      </c>
      <c r="F28" s="30">
        <v>7</v>
      </c>
      <c r="G28" s="30">
        <v>0</v>
      </c>
      <c r="H28" s="30">
        <v>30</v>
      </c>
      <c r="I28" s="30">
        <f>-H28</f>
        <v>-30</v>
      </c>
      <c r="J28" s="29" t="s">
        <v>460</v>
      </c>
      <c r="K28" s="29" t="s">
        <v>18</v>
      </c>
      <c r="L28" s="29" t="s">
        <v>455</v>
      </c>
      <c r="Q28" s="30">
        <v>1</v>
      </c>
    </row>
    <row r="29" spans="1:17" x14ac:dyDescent="0.25">
      <c r="A29" s="29" t="s">
        <v>38</v>
      </c>
      <c r="B29" s="29" t="s">
        <v>16</v>
      </c>
      <c r="C29" s="29" t="s">
        <v>521</v>
      </c>
      <c r="E29" s="29" t="s">
        <v>40</v>
      </c>
      <c r="F29" s="30">
        <v>6</v>
      </c>
      <c r="G29" s="30">
        <v>0</v>
      </c>
      <c r="H29" s="30">
        <v>30</v>
      </c>
      <c r="I29" s="30">
        <f>-H29</f>
        <v>-30</v>
      </c>
      <c r="J29" s="29" t="s">
        <v>460</v>
      </c>
      <c r="K29" s="29" t="s">
        <v>18</v>
      </c>
      <c r="L29" s="29" t="s">
        <v>455</v>
      </c>
      <c r="Q29" s="30">
        <v>1</v>
      </c>
    </row>
    <row r="30" spans="1:17" x14ac:dyDescent="0.25">
      <c r="A30" s="29" t="s">
        <v>38</v>
      </c>
      <c r="B30" s="29" t="s">
        <v>16</v>
      </c>
      <c r="C30" s="29" t="s">
        <v>522</v>
      </c>
      <c r="E30" s="29" t="s">
        <v>523</v>
      </c>
      <c r="F30" s="30">
        <v>12</v>
      </c>
      <c r="G30" s="30">
        <v>645</v>
      </c>
      <c r="H30" s="30">
        <v>35</v>
      </c>
      <c r="I30" s="30">
        <f t="shared" ref="I30:I36" si="0">G30-H30</f>
        <v>610</v>
      </c>
      <c r="J30" s="29" t="s">
        <v>460</v>
      </c>
      <c r="K30" s="29" t="s">
        <v>18</v>
      </c>
      <c r="L30" s="29" t="s">
        <v>455</v>
      </c>
      <c r="Q30" s="30">
        <v>1</v>
      </c>
    </row>
    <row r="31" spans="1:17" x14ac:dyDescent="0.25">
      <c r="A31" s="29" t="s">
        <v>38</v>
      </c>
      <c r="B31" s="29" t="s">
        <v>16</v>
      </c>
      <c r="C31" s="29" t="s">
        <v>39</v>
      </c>
      <c r="E31" s="29" t="s">
        <v>524</v>
      </c>
      <c r="F31" s="30">
        <v>6</v>
      </c>
      <c r="G31" s="30">
        <v>850</v>
      </c>
      <c r="H31" s="30">
        <v>30</v>
      </c>
      <c r="I31" s="30">
        <f t="shared" si="0"/>
        <v>820</v>
      </c>
      <c r="J31" s="29" t="s">
        <v>460</v>
      </c>
      <c r="K31" s="29" t="s">
        <v>18</v>
      </c>
      <c r="L31" s="29" t="s">
        <v>455</v>
      </c>
      <c r="Q31" s="30">
        <v>1</v>
      </c>
    </row>
    <row r="32" spans="1:17" x14ac:dyDescent="0.25">
      <c r="A32" s="29" t="s">
        <v>38</v>
      </c>
      <c r="B32" s="29" t="s">
        <v>16</v>
      </c>
      <c r="C32" s="29" t="s">
        <v>525</v>
      </c>
      <c r="E32" s="29" t="s">
        <v>45</v>
      </c>
      <c r="F32" s="30">
        <v>6</v>
      </c>
      <c r="G32" s="30">
        <v>2425</v>
      </c>
      <c r="H32" s="30">
        <v>35</v>
      </c>
      <c r="I32" s="30">
        <f t="shared" si="0"/>
        <v>2390</v>
      </c>
      <c r="J32" s="29" t="s">
        <v>460</v>
      </c>
      <c r="K32" s="29" t="s">
        <v>18</v>
      </c>
      <c r="L32" s="29" t="s">
        <v>455</v>
      </c>
      <c r="Q32" s="30">
        <v>1</v>
      </c>
    </row>
    <row r="33" spans="2:17" x14ac:dyDescent="0.25">
      <c r="B33" s="29" t="s">
        <v>16</v>
      </c>
      <c r="C33" s="29" t="s">
        <v>526</v>
      </c>
      <c r="D33" s="29" t="s">
        <v>527</v>
      </c>
      <c r="E33" s="29" t="s">
        <v>528</v>
      </c>
      <c r="F33" s="29" t="s">
        <v>23</v>
      </c>
      <c r="G33" s="30">
        <v>40</v>
      </c>
      <c r="H33" s="30">
        <v>20</v>
      </c>
      <c r="I33" s="30">
        <f t="shared" si="0"/>
        <v>20</v>
      </c>
      <c r="J33" s="29" t="s">
        <v>18</v>
      </c>
      <c r="K33" s="29" t="s">
        <v>18</v>
      </c>
      <c r="L33" s="29" t="s">
        <v>455</v>
      </c>
      <c r="M33" s="29" t="s">
        <v>98</v>
      </c>
      <c r="Q33" s="30">
        <v>1</v>
      </c>
    </row>
    <row r="34" spans="2:17" x14ac:dyDescent="0.25">
      <c r="B34" s="29" t="s">
        <v>16</v>
      </c>
      <c r="C34" s="29" t="s">
        <v>529</v>
      </c>
      <c r="D34" s="29" t="s">
        <v>530</v>
      </c>
      <c r="E34" s="29" t="s">
        <v>531</v>
      </c>
      <c r="F34" s="29" t="s">
        <v>30</v>
      </c>
      <c r="G34" s="30">
        <v>935</v>
      </c>
      <c r="H34" s="30">
        <v>25</v>
      </c>
      <c r="I34" s="30">
        <f t="shared" si="0"/>
        <v>910</v>
      </c>
      <c r="J34" s="29" t="s">
        <v>18</v>
      </c>
      <c r="K34" s="29" t="s">
        <v>18</v>
      </c>
      <c r="L34" s="29" t="s">
        <v>455</v>
      </c>
      <c r="Q34" s="30">
        <v>1</v>
      </c>
    </row>
    <row r="35" spans="2:17" x14ac:dyDescent="0.25">
      <c r="B35" s="29" t="s">
        <v>16</v>
      </c>
      <c r="C35" s="29" t="s">
        <v>532</v>
      </c>
      <c r="D35" s="29" t="s">
        <v>533</v>
      </c>
      <c r="E35" s="29" t="s">
        <v>534</v>
      </c>
      <c r="F35" s="29" t="s">
        <v>23</v>
      </c>
      <c r="G35" s="30">
        <v>690</v>
      </c>
      <c r="H35" s="30">
        <v>20</v>
      </c>
      <c r="I35" s="30">
        <f t="shared" si="0"/>
        <v>670</v>
      </c>
      <c r="J35" s="29" t="s">
        <v>18</v>
      </c>
      <c r="K35" s="29" t="s">
        <v>18</v>
      </c>
      <c r="L35" s="29" t="s">
        <v>455</v>
      </c>
      <c r="Q35" s="30">
        <v>1</v>
      </c>
    </row>
    <row r="36" spans="2:17" x14ac:dyDescent="0.25">
      <c r="B36" s="29" t="s">
        <v>16</v>
      </c>
      <c r="C36" s="29" t="s">
        <v>535</v>
      </c>
      <c r="D36" s="29" t="s">
        <v>536</v>
      </c>
      <c r="E36" s="29" t="s">
        <v>537</v>
      </c>
      <c r="F36" s="29" t="s">
        <v>30</v>
      </c>
      <c r="G36" s="30">
        <v>1325</v>
      </c>
      <c r="H36" s="30">
        <v>25</v>
      </c>
      <c r="I36" s="30">
        <f t="shared" si="0"/>
        <v>1300</v>
      </c>
      <c r="J36" s="29" t="s">
        <v>18</v>
      </c>
      <c r="K36" s="29" t="s">
        <v>18</v>
      </c>
      <c r="L36" s="29" t="s">
        <v>455</v>
      </c>
      <c r="Q36" s="30">
        <v>1</v>
      </c>
    </row>
    <row r="37" spans="2:17" x14ac:dyDescent="0.25">
      <c r="B37" s="29" t="s">
        <v>16</v>
      </c>
      <c r="C37" s="29" t="s">
        <v>538</v>
      </c>
      <c r="D37" s="29" t="s">
        <v>539</v>
      </c>
      <c r="E37" s="29" t="s">
        <v>540</v>
      </c>
      <c r="F37" s="29" t="s">
        <v>30</v>
      </c>
      <c r="G37" s="30">
        <v>0</v>
      </c>
      <c r="H37" s="30">
        <v>25</v>
      </c>
      <c r="I37" s="30">
        <f>-H37</f>
        <v>-25</v>
      </c>
      <c r="J37" s="29" t="s">
        <v>18</v>
      </c>
      <c r="K37" s="29" t="s">
        <v>18</v>
      </c>
      <c r="L37" s="29" t="s">
        <v>455</v>
      </c>
      <c r="Q37" s="30">
        <v>1</v>
      </c>
    </row>
    <row r="38" spans="2:17" x14ac:dyDescent="0.25">
      <c r="B38" s="29" t="s">
        <v>16</v>
      </c>
      <c r="C38" s="29" t="s">
        <v>541</v>
      </c>
      <c r="D38" s="29" t="s">
        <v>542</v>
      </c>
      <c r="E38" s="29" t="s">
        <v>543</v>
      </c>
      <c r="F38" s="29" t="s">
        <v>28</v>
      </c>
      <c r="G38" s="30">
        <v>875</v>
      </c>
      <c r="H38" s="30">
        <v>25</v>
      </c>
      <c r="I38" s="30">
        <f>G38-H38</f>
        <v>850</v>
      </c>
      <c r="J38" s="29" t="s">
        <v>18</v>
      </c>
      <c r="K38" s="29" t="s">
        <v>18</v>
      </c>
      <c r="L38" s="29" t="s">
        <v>455</v>
      </c>
      <c r="Q38" s="30">
        <v>1</v>
      </c>
    </row>
    <row r="39" spans="2:17" x14ac:dyDescent="0.25">
      <c r="B39" s="29" t="s">
        <v>16</v>
      </c>
      <c r="C39" s="29" t="s">
        <v>544</v>
      </c>
      <c r="D39" s="29" t="s">
        <v>545</v>
      </c>
      <c r="E39" s="29" t="s">
        <v>546</v>
      </c>
      <c r="F39" s="29" t="s">
        <v>23</v>
      </c>
      <c r="G39" s="30">
        <v>810</v>
      </c>
      <c r="H39" s="30">
        <v>20</v>
      </c>
      <c r="I39" s="30">
        <f>G39-H39</f>
        <v>790</v>
      </c>
      <c r="J39" s="29" t="s">
        <v>18</v>
      </c>
      <c r="K39" s="29" t="s">
        <v>18</v>
      </c>
      <c r="L39" s="29" t="s">
        <v>455</v>
      </c>
      <c r="Q39" s="30">
        <v>1</v>
      </c>
    </row>
    <row r="40" spans="2:17" x14ac:dyDescent="0.25">
      <c r="B40" s="29" t="s">
        <v>16</v>
      </c>
      <c r="C40" s="29" t="s">
        <v>547</v>
      </c>
      <c r="D40" s="29" t="s">
        <v>548</v>
      </c>
      <c r="E40" s="29" t="s">
        <v>549</v>
      </c>
      <c r="F40" s="29" t="s">
        <v>23</v>
      </c>
      <c r="G40" s="30">
        <v>0</v>
      </c>
      <c r="H40" s="30">
        <v>20</v>
      </c>
      <c r="I40" s="30">
        <f>-H40</f>
        <v>-20</v>
      </c>
      <c r="J40" s="29" t="s">
        <v>18</v>
      </c>
      <c r="K40" s="29" t="s">
        <v>18</v>
      </c>
      <c r="L40" s="29" t="s">
        <v>455</v>
      </c>
      <c r="Q40" s="30">
        <v>1</v>
      </c>
    </row>
    <row r="41" spans="2:17" x14ac:dyDescent="0.25">
      <c r="B41" s="29" t="s">
        <v>16</v>
      </c>
      <c r="C41" s="29" t="s">
        <v>550</v>
      </c>
      <c r="D41" s="29" t="s">
        <v>551</v>
      </c>
      <c r="E41" s="29" t="s">
        <v>552</v>
      </c>
      <c r="F41" s="30">
        <v>2</v>
      </c>
      <c r="G41" s="30">
        <v>870</v>
      </c>
      <c r="H41" s="30">
        <v>30</v>
      </c>
      <c r="I41" s="30">
        <f>G41-H41</f>
        <v>840</v>
      </c>
      <c r="J41" s="29" t="s">
        <v>18</v>
      </c>
      <c r="K41" s="29" t="s">
        <v>18</v>
      </c>
      <c r="L41" s="29" t="s">
        <v>455</v>
      </c>
      <c r="Q41" s="30">
        <v>1</v>
      </c>
    </row>
    <row r="42" spans="2:17" x14ac:dyDescent="0.25">
      <c r="B42" s="29" t="s">
        <v>16</v>
      </c>
      <c r="C42" s="29" t="s">
        <v>90</v>
      </c>
      <c r="D42" s="29" t="s">
        <v>553</v>
      </c>
      <c r="E42" s="29" t="s">
        <v>554</v>
      </c>
      <c r="F42" s="29" t="s">
        <v>30</v>
      </c>
      <c r="G42" s="30">
        <v>605</v>
      </c>
      <c r="H42" s="30">
        <v>25</v>
      </c>
      <c r="I42" s="30">
        <f>G42-H42</f>
        <v>580</v>
      </c>
      <c r="J42" s="29" t="s">
        <v>18</v>
      </c>
      <c r="K42" s="29" t="s">
        <v>18</v>
      </c>
      <c r="L42" s="29" t="s">
        <v>455</v>
      </c>
      <c r="Q42" s="30">
        <v>1</v>
      </c>
    </row>
    <row r="43" spans="2:17" x14ac:dyDescent="0.25">
      <c r="B43" s="29" t="s">
        <v>16</v>
      </c>
      <c r="C43" s="29" t="s">
        <v>555</v>
      </c>
      <c r="D43" s="29" t="s">
        <v>556</v>
      </c>
      <c r="E43" s="29" t="s">
        <v>557</v>
      </c>
      <c r="F43" s="29" t="s">
        <v>23</v>
      </c>
      <c r="G43" s="30">
        <v>1570</v>
      </c>
      <c r="H43" s="30">
        <v>20</v>
      </c>
      <c r="I43" s="30">
        <f>G43-H43</f>
        <v>1550</v>
      </c>
      <c r="J43" s="29" t="s">
        <v>18</v>
      </c>
      <c r="K43" s="29" t="s">
        <v>18</v>
      </c>
      <c r="L43" s="29" t="s">
        <v>455</v>
      </c>
      <c r="Q43" s="30">
        <v>1</v>
      </c>
    </row>
    <row r="44" spans="2:17" x14ac:dyDescent="0.25">
      <c r="B44" s="29" t="s">
        <v>16</v>
      </c>
      <c r="C44" s="29" t="s">
        <v>558</v>
      </c>
      <c r="D44" s="29" t="s">
        <v>559</v>
      </c>
      <c r="E44" s="29" t="s">
        <v>560</v>
      </c>
      <c r="F44" s="29" t="s">
        <v>20</v>
      </c>
      <c r="G44" s="30">
        <v>0</v>
      </c>
      <c r="H44" s="30">
        <v>30</v>
      </c>
      <c r="I44" s="30">
        <f>-H44</f>
        <v>-30</v>
      </c>
      <c r="J44" s="29" t="s">
        <v>18</v>
      </c>
      <c r="K44" s="29" t="s">
        <v>18</v>
      </c>
      <c r="L44" s="29" t="s">
        <v>455</v>
      </c>
      <c r="Q44" s="30">
        <v>1</v>
      </c>
    </row>
    <row r="45" spans="2:17" x14ac:dyDescent="0.25">
      <c r="B45" s="29" t="s">
        <v>16</v>
      </c>
      <c r="C45" s="29" t="s">
        <v>561</v>
      </c>
      <c r="D45" s="29" t="s">
        <v>562</v>
      </c>
      <c r="E45" s="29" t="s">
        <v>563</v>
      </c>
      <c r="F45" s="29" t="s">
        <v>30</v>
      </c>
      <c r="G45" s="30">
        <v>1855</v>
      </c>
      <c r="H45" s="30">
        <v>25</v>
      </c>
      <c r="I45" s="30">
        <f>G45-H45</f>
        <v>1830</v>
      </c>
      <c r="J45" s="29" t="s">
        <v>18</v>
      </c>
      <c r="K45" s="29" t="s">
        <v>18</v>
      </c>
      <c r="L45" s="29" t="s">
        <v>455</v>
      </c>
      <c r="Q45" s="30">
        <v>1</v>
      </c>
    </row>
    <row r="46" spans="2:17" x14ac:dyDescent="0.25">
      <c r="B46" s="29" t="s">
        <v>16</v>
      </c>
      <c r="C46" s="29" t="s">
        <v>564</v>
      </c>
      <c r="D46" s="29" t="s">
        <v>565</v>
      </c>
      <c r="E46" s="29" t="s">
        <v>566</v>
      </c>
      <c r="F46" s="29" t="s">
        <v>28</v>
      </c>
      <c r="G46" s="30">
        <v>605</v>
      </c>
      <c r="H46" s="30">
        <v>25</v>
      </c>
      <c r="I46" s="30">
        <f>G46-H46</f>
        <v>580</v>
      </c>
      <c r="J46" s="29" t="s">
        <v>18</v>
      </c>
      <c r="K46" s="29" t="s">
        <v>18</v>
      </c>
      <c r="L46" s="29" t="s">
        <v>455</v>
      </c>
      <c r="Q46" s="30">
        <v>1</v>
      </c>
    </row>
    <row r="47" spans="2:17" x14ac:dyDescent="0.25">
      <c r="B47" s="29" t="s">
        <v>16</v>
      </c>
      <c r="C47" s="29" t="s">
        <v>190</v>
      </c>
      <c r="D47" s="29" t="s">
        <v>567</v>
      </c>
      <c r="E47" s="29" t="s">
        <v>192</v>
      </c>
      <c r="F47" s="29" t="s">
        <v>23</v>
      </c>
      <c r="G47" s="30">
        <v>0</v>
      </c>
      <c r="H47" s="30">
        <v>20</v>
      </c>
      <c r="I47" s="30">
        <f>-H47</f>
        <v>-20</v>
      </c>
      <c r="J47" s="29" t="s">
        <v>18</v>
      </c>
      <c r="K47" s="29" t="s">
        <v>18</v>
      </c>
      <c r="L47" s="29" t="s">
        <v>455</v>
      </c>
      <c r="Q47" s="30">
        <v>1</v>
      </c>
    </row>
    <row r="48" spans="2:17" x14ac:dyDescent="0.25">
      <c r="B48" s="29" t="s">
        <v>16</v>
      </c>
      <c r="C48" s="29" t="s">
        <v>568</v>
      </c>
      <c r="D48" s="29" t="s">
        <v>569</v>
      </c>
      <c r="E48" s="29" t="s">
        <v>570</v>
      </c>
      <c r="F48" s="29" t="s">
        <v>20</v>
      </c>
      <c r="G48" s="30">
        <v>760</v>
      </c>
      <c r="H48" s="30">
        <v>30</v>
      </c>
      <c r="I48" s="30">
        <f>G48-H48</f>
        <v>730</v>
      </c>
      <c r="J48" s="29" t="s">
        <v>18</v>
      </c>
      <c r="K48" s="29" t="s">
        <v>18</v>
      </c>
      <c r="L48" s="29" t="s">
        <v>455</v>
      </c>
      <c r="Q48" s="30">
        <v>1</v>
      </c>
    </row>
    <row r="49" spans="1:17" x14ac:dyDescent="0.25">
      <c r="A49" s="29" t="s">
        <v>38</v>
      </c>
      <c r="B49" s="29" t="s">
        <v>16</v>
      </c>
      <c r="C49" s="29" t="s">
        <v>571</v>
      </c>
      <c r="E49" s="29" t="s">
        <v>94</v>
      </c>
      <c r="F49" s="29" t="s">
        <v>28</v>
      </c>
      <c r="G49" s="30">
        <v>960</v>
      </c>
      <c r="H49" s="30">
        <v>30</v>
      </c>
      <c r="I49" s="30">
        <f>G49-H49</f>
        <v>930</v>
      </c>
      <c r="J49" s="29" t="s">
        <v>18</v>
      </c>
      <c r="K49" s="29" t="s">
        <v>18</v>
      </c>
      <c r="L49" s="29" t="s">
        <v>455</v>
      </c>
      <c r="Q49" s="30">
        <v>1</v>
      </c>
    </row>
    <row r="50" spans="1:17" x14ac:dyDescent="0.25">
      <c r="A50" s="29" t="s">
        <v>38</v>
      </c>
      <c r="B50" s="29" t="s">
        <v>16</v>
      </c>
      <c r="C50" s="29" t="s">
        <v>41</v>
      </c>
      <c r="E50" s="29" t="s">
        <v>42</v>
      </c>
      <c r="F50" s="29" t="s">
        <v>30</v>
      </c>
      <c r="G50" s="30">
        <v>30</v>
      </c>
      <c r="H50" s="30">
        <v>30</v>
      </c>
      <c r="I50" s="30">
        <f>G50-H50</f>
        <v>0</v>
      </c>
      <c r="J50" s="29" t="s">
        <v>18</v>
      </c>
      <c r="K50" s="29" t="s">
        <v>18</v>
      </c>
      <c r="L50" s="29" t="s">
        <v>455</v>
      </c>
      <c r="Q50" s="30">
        <v>1</v>
      </c>
    </row>
    <row r="51" spans="1:17" x14ac:dyDescent="0.25">
      <c r="A51" s="29" t="s">
        <v>38</v>
      </c>
      <c r="B51" s="29" t="s">
        <v>16</v>
      </c>
      <c r="C51" s="29" t="s">
        <v>83</v>
      </c>
      <c r="E51" s="29" t="s">
        <v>267</v>
      </c>
      <c r="F51" s="29" t="s">
        <v>30</v>
      </c>
      <c r="G51" s="30">
        <v>7090</v>
      </c>
      <c r="H51" s="30">
        <v>30</v>
      </c>
      <c r="I51" s="30">
        <f>G51-H51</f>
        <v>7060</v>
      </c>
      <c r="J51" s="29" t="s">
        <v>18</v>
      </c>
      <c r="K51" s="29" t="s">
        <v>18</v>
      </c>
      <c r="L51" s="29" t="s">
        <v>455</v>
      </c>
      <c r="Q51" s="30">
        <v>1</v>
      </c>
    </row>
    <row r="52" spans="1:17" x14ac:dyDescent="0.25">
      <c r="A52" s="29" t="s">
        <v>38</v>
      </c>
      <c r="B52" s="29" t="s">
        <v>16</v>
      </c>
      <c r="C52" s="29" t="s">
        <v>572</v>
      </c>
      <c r="E52" s="29" t="s">
        <v>573</v>
      </c>
      <c r="F52" s="29" t="s">
        <v>20</v>
      </c>
      <c r="G52" s="30">
        <v>995</v>
      </c>
      <c r="H52" s="30">
        <v>35</v>
      </c>
      <c r="I52" s="30">
        <f>G52-H52</f>
        <v>960</v>
      </c>
      <c r="J52" s="29" t="s">
        <v>18</v>
      </c>
      <c r="K52" s="29" t="s">
        <v>18</v>
      </c>
      <c r="L52" s="29" t="s">
        <v>455</v>
      </c>
      <c r="Q52" s="30">
        <v>1</v>
      </c>
    </row>
    <row r="53" spans="1:17" x14ac:dyDescent="0.25">
      <c r="B53" s="29" t="s">
        <v>16</v>
      </c>
      <c r="C53" s="29" t="s">
        <v>574</v>
      </c>
      <c r="D53" s="29" t="s">
        <v>575</v>
      </c>
      <c r="E53" s="29" t="s">
        <v>576</v>
      </c>
      <c r="F53" s="30">
        <v>3</v>
      </c>
      <c r="G53" s="30">
        <v>0</v>
      </c>
      <c r="H53" s="30">
        <v>25</v>
      </c>
      <c r="I53" s="30">
        <f>-H53</f>
        <v>-25</v>
      </c>
      <c r="J53" s="29" t="s">
        <v>19</v>
      </c>
      <c r="K53" s="29" t="s">
        <v>18</v>
      </c>
      <c r="L53" s="29" t="s">
        <v>455</v>
      </c>
      <c r="Q53" s="30">
        <v>1</v>
      </c>
    </row>
    <row r="54" spans="1:17" x14ac:dyDescent="0.25">
      <c r="B54" s="29" t="s">
        <v>16</v>
      </c>
      <c r="C54" s="29" t="s">
        <v>342</v>
      </c>
      <c r="D54" s="29" t="s">
        <v>577</v>
      </c>
      <c r="E54" s="29" t="s">
        <v>578</v>
      </c>
      <c r="F54" s="30">
        <v>1</v>
      </c>
      <c r="G54" s="30">
        <v>865</v>
      </c>
      <c r="H54" s="30">
        <v>25</v>
      </c>
      <c r="I54" s="30">
        <f t="shared" ref="I54:I65" si="1">G54-H54</f>
        <v>840</v>
      </c>
      <c r="J54" s="29" t="s">
        <v>19</v>
      </c>
      <c r="K54" s="29" t="s">
        <v>18</v>
      </c>
      <c r="L54" s="29" t="s">
        <v>455</v>
      </c>
      <c r="Q54" s="30">
        <v>1</v>
      </c>
    </row>
    <row r="55" spans="1:17" x14ac:dyDescent="0.25">
      <c r="B55" s="29" t="s">
        <v>16</v>
      </c>
      <c r="C55" s="29" t="s">
        <v>579</v>
      </c>
      <c r="D55" s="29" t="s">
        <v>580</v>
      </c>
      <c r="E55" s="29" t="s">
        <v>581</v>
      </c>
      <c r="F55" s="29" t="s">
        <v>28</v>
      </c>
      <c r="G55" s="30">
        <v>1635</v>
      </c>
      <c r="H55" s="30">
        <v>25</v>
      </c>
      <c r="I55" s="30">
        <f t="shared" si="1"/>
        <v>1610</v>
      </c>
      <c r="J55" s="29" t="s">
        <v>19</v>
      </c>
      <c r="K55" s="29" t="s">
        <v>18</v>
      </c>
      <c r="L55" s="29" t="s">
        <v>455</v>
      </c>
      <c r="Q55" s="30">
        <v>1</v>
      </c>
    </row>
    <row r="56" spans="1:17" x14ac:dyDescent="0.25">
      <c r="B56" s="29" t="s">
        <v>16</v>
      </c>
      <c r="C56" s="29" t="s">
        <v>582</v>
      </c>
      <c r="D56" s="29" t="s">
        <v>583</v>
      </c>
      <c r="E56" s="29" t="s">
        <v>584</v>
      </c>
      <c r="F56" s="29" t="s">
        <v>28</v>
      </c>
      <c r="G56" s="30">
        <v>645</v>
      </c>
      <c r="H56" s="30">
        <v>25</v>
      </c>
      <c r="I56" s="30">
        <f t="shared" si="1"/>
        <v>620</v>
      </c>
      <c r="J56" s="29" t="s">
        <v>19</v>
      </c>
      <c r="K56" s="29" t="s">
        <v>18</v>
      </c>
      <c r="L56" s="29" t="s">
        <v>455</v>
      </c>
      <c r="Q56" s="30">
        <v>1</v>
      </c>
    </row>
    <row r="57" spans="1:17" x14ac:dyDescent="0.25">
      <c r="B57" s="29" t="s">
        <v>16</v>
      </c>
      <c r="C57" s="29" t="s">
        <v>585</v>
      </c>
      <c r="D57" s="29" t="s">
        <v>586</v>
      </c>
      <c r="E57" s="29" t="s">
        <v>587</v>
      </c>
      <c r="F57" s="30">
        <v>5</v>
      </c>
      <c r="G57" s="30">
        <v>605</v>
      </c>
      <c r="H57" s="30">
        <v>25</v>
      </c>
      <c r="I57" s="30">
        <f t="shared" si="1"/>
        <v>580</v>
      </c>
      <c r="J57" s="29" t="s">
        <v>19</v>
      </c>
      <c r="K57" s="29" t="s">
        <v>18</v>
      </c>
      <c r="L57" s="29" t="s">
        <v>455</v>
      </c>
      <c r="Q57" s="30">
        <v>1</v>
      </c>
    </row>
    <row r="58" spans="1:17" x14ac:dyDescent="0.25">
      <c r="B58" s="29" t="s">
        <v>16</v>
      </c>
      <c r="C58" s="29" t="s">
        <v>588</v>
      </c>
      <c r="D58" s="29" t="s">
        <v>589</v>
      </c>
      <c r="E58" s="29" t="s">
        <v>590</v>
      </c>
      <c r="F58" s="30">
        <v>4</v>
      </c>
      <c r="G58" s="30">
        <v>735</v>
      </c>
      <c r="H58" s="30">
        <v>25</v>
      </c>
      <c r="I58" s="30">
        <f t="shared" si="1"/>
        <v>710</v>
      </c>
      <c r="J58" s="29" t="s">
        <v>19</v>
      </c>
      <c r="K58" s="29" t="s">
        <v>18</v>
      </c>
      <c r="L58" s="29" t="s">
        <v>455</v>
      </c>
      <c r="Q58" s="30">
        <v>1</v>
      </c>
    </row>
    <row r="59" spans="1:17" x14ac:dyDescent="0.25">
      <c r="B59" s="29" t="s">
        <v>16</v>
      </c>
      <c r="C59" s="29" t="s">
        <v>91</v>
      </c>
      <c r="D59" s="29" t="s">
        <v>591</v>
      </c>
      <c r="E59" s="29" t="s">
        <v>92</v>
      </c>
      <c r="F59" s="30">
        <v>10</v>
      </c>
      <c r="G59" s="30">
        <v>945</v>
      </c>
      <c r="H59" s="30">
        <v>25</v>
      </c>
      <c r="I59" s="30">
        <f t="shared" si="1"/>
        <v>920</v>
      </c>
      <c r="J59" s="29" t="s">
        <v>19</v>
      </c>
      <c r="K59" s="29" t="s">
        <v>18</v>
      </c>
      <c r="L59" s="29" t="s">
        <v>455</v>
      </c>
      <c r="Q59" s="30">
        <v>1</v>
      </c>
    </row>
    <row r="60" spans="1:17" x14ac:dyDescent="0.25">
      <c r="B60" s="29" t="s">
        <v>16</v>
      </c>
      <c r="C60" s="29" t="s">
        <v>592</v>
      </c>
      <c r="D60" s="29" t="s">
        <v>593</v>
      </c>
      <c r="E60" s="29" t="s">
        <v>594</v>
      </c>
      <c r="F60" s="30">
        <v>3</v>
      </c>
      <c r="G60" s="30">
        <v>935</v>
      </c>
      <c r="H60" s="30">
        <v>25</v>
      </c>
      <c r="I60" s="30">
        <f t="shared" si="1"/>
        <v>910</v>
      </c>
      <c r="J60" s="29" t="s">
        <v>19</v>
      </c>
      <c r="K60" s="29" t="s">
        <v>18</v>
      </c>
      <c r="L60" s="29" t="s">
        <v>455</v>
      </c>
      <c r="Q60" s="30">
        <v>1</v>
      </c>
    </row>
    <row r="61" spans="1:17" x14ac:dyDescent="0.25">
      <c r="B61" s="29" t="s">
        <v>16</v>
      </c>
      <c r="C61" s="29" t="s">
        <v>595</v>
      </c>
      <c r="D61" s="29" t="s">
        <v>596</v>
      </c>
      <c r="E61" s="29" t="s">
        <v>597</v>
      </c>
      <c r="F61" s="29" t="s">
        <v>28</v>
      </c>
      <c r="G61" s="30">
        <v>1765</v>
      </c>
      <c r="H61" s="30">
        <v>25</v>
      </c>
      <c r="I61" s="30">
        <f t="shared" si="1"/>
        <v>1740</v>
      </c>
      <c r="J61" s="29" t="s">
        <v>19</v>
      </c>
      <c r="K61" s="29" t="s">
        <v>18</v>
      </c>
      <c r="L61" s="29" t="s">
        <v>455</v>
      </c>
      <c r="Q61" s="30">
        <v>1</v>
      </c>
    </row>
    <row r="62" spans="1:17" x14ac:dyDescent="0.25">
      <c r="B62" s="29" t="s">
        <v>16</v>
      </c>
      <c r="C62" s="29" t="s">
        <v>598</v>
      </c>
      <c r="D62" s="29" t="s">
        <v>599</v>
      </c>
      <c r="E62" s="29" t="s">
        <v>600</v>
      </c>
      <c r="F62" s="30">
        <v>3</v>
      </c>
      <c r="G62" s="30">
        <v>845</v>
      </c>
      <c r="H62" s="30">
        <v>25</v>
      </c>
      <c r="I62" s="30">
        <f t="shared" si="1"/>
        <v>820</v>
      </c>
      <c r="J62" s="29" t="s">
        <v>19</v>
      </c>
      <c r="K62" s="29" t="s">
        <v>18</v>
      </c>
      <c r="L62" s="29" t="s">
        <v>455</v>
      </c>
      <c r="Q62" s="30">
        <v>1</v>
      </c>
    </row>
    <row r="63" spans="1:17" x14ac:dyDescent="0.25">
      <c r="B63" s="29" t="s">
        <v>16</v>
      </c>
      <c r="C63" s="29" t="s">
        <v>601</v>
      </c>
      <c r="D63" s="29" t="s">
        <v>602</v>
      </c>
      <c r="E63" s="29" t="s">
        <v>603</v>
      </c>
      <c r="F63" s="30">
        <v>10</v>
      </c>
      <c r="G63" s="30">
        <v>1535</v>
      </c>
      <c r="H63" s="30">
        <v>25</v>
      </c>
      <c r="I63" s="30">
        <f t="shared" si="1"/>
        <v>1510</v>
      </c>
      <c r="J63" s="29" t="s">
        <v>19</v>
      </c>
      <c r="K63" s="29" t="s">
        <v>18</v>
      </c>
      <c r="L63" s="29" t="s">
        <v>455</v>
      </c>
      <c r="Q63" s="30">
        <v>1</v>
      </c>
    </row>
    <row r="64" spans="1:17" x14ac:dyDescent="0.25">
      <c r="B64" s="29" t="s">
        <v>16</v>
      </c>
      <c r="C64" s="29" t="s">
        <v>604</v>
      </c>
      <c r="D64" s="29" t="s">
        <v>605</v>
      </c>
      <c r="E64" s="29" t="s">
        <v>606</v>
      </c>
      <c r="F64" s="29" t="s">
        <v>28</v>
      </c>
      <c r="G64" s="30">
        <v>605</v>
      </c>
      <c r="H64" s="30">
        <v>25</v>
      </c>
      <c r="I64" s="30">
        <f t="shared" si="1"/>
        <v>580</v>
      </c>
      <c r="J64" s="29" t="s">
        <v>19</v>
      </c>
      <c r="K64" s="29" t="s">
        <v>18</v>
      </c>
      <c r="L64" s="29" t="s">
        <v>455</v>
      </c>
      <c r="Q64" s="30">
        <v>1</v>
      </c>
    </row>
    <row r="65" spans="1:17" x14ac:dyDescent="0.25">
      <c r="B65" s="29" t="s">
        <v>16</v>
      </c>
      <c r="C65" s="29" t="s">
        <v>607</v>
      </c>
      <c r="D65" s="29" t="s">
        <v>608</v>
      </c>
      <c r="E65" s="29" t="s">
        <v>609</v>
      </c>
      <c r="F65" s="30">
        <v>1</v>
      </c>
      <c r="G65" s="30">
        <v>605</v>
      </c>
      <c r="H65" s="30">
        <v>25</v>
      </c>
      <c r="I65" s="30">
        <f t="shared" si="1"/>
        <v>580</v>
      </c>
      <c r="J65" s="29" t="s">
        <v>19</v>
      </c>
      <c r="K65" s="29" t="s">
        <v>18</v>
      </c>
      <c r="L65" s="29" t="s">
        <v>455</v>
      </c>
      <c r="Q65" s="30">
        <v>1</v>
      </c>
    </row>
    <row r="66" spans="1:17" x14ac:dyDescent="0.25">
      <c r="B66" s="29" t="s">
        <v>16</v>
      </c>
      <c r="C66" s="29" t="s">
        <v>610</v>
      </c>
      <c r="D66" s="29" t="s">
        <v>611</v>
      </c>
      <c r="E66" s="29" t="s">
        <v>612</v>
      </c>
      <c r="F66" s="29" t="s">
        <v>28</v>
      </c>
      <c r="G66" s="30">
        <v>0</v>
      </c>
      <c r="H66" s="30">
        <v>25</v>
      </c>
      <c r="I66" s="30">
        <f>-H66</f>
        <v>-25</v>
      </c>
      <c r="J66" s="29" t="s">
        <v>19</v>
      </c>
      <c r="K66" s="29" t="s">
        <v>18</v>
      </c>
      <c r="L66" s="29" t="s">
        <v>455</v>
      </c>
      <c r="Q66" s="30">
        <v>1</v>
      </c>
    </row>
    <row r="67" spans="1:17" x14ac:dyDescent="0.25">
      <c r="B67" s="29" t="s">
        <v>16</v>
      </c>
      <c r="C67" s="29" t="s">
        <v>17</v>
      </c>
      <c r="D67" s="29" t="s">
        <v>613</v>
      </c>
      <c r="E67" s="29" t="s">
        <v>614</v>
      </c>
      <c r="F67" s="30">
        <v>5</v>
      </c>
      <c r="G67" s="30">
        <v>845</v>
      </c>
      <c r="H67" s="30">
        <v>25</v>
      </c>
      <c r="I67" s="30">
        <f>G67-H67</f>
        <v>820</v>
      </c>
      <c r="J67" s="29" t="s">
        <v>19</v>
      </c>
      <c r="K67" s="29" t="s">
        <v>18</v>
      </c>
      <c r="L67" s="29" t="s">
        <v>455</v>
      </c>
      <c r="Q67" s="30">
        <v>1</v>
      </c>
    </row>
    <row r="68" spans="1:17" x14ac:dyDescent="0.25">
      <c r="B68" s="29" t="s">
        <v>16</v>
      </c>
      <c r="C68" s="29" t="s">
        <v>615</v>
      </c>
      <c r="D68" s="29" t="s">
        <v>616</v>
      </c>
      <c r="E68" s="29" t="s">
        <v>617</v>
      </c>
      <c r="F68" s="30">
        <v>4</v>
      </c>
      <c r="G68" s="30">
        <v>0</v>
      </c>
      <c r="H68" s="30">
        <v>25</v>
      </c>
      <c r="I68" s="30">
        <f>-H68</f>
        <v>-25</v>
      </c>
      <c r="J68" s="29" t="s">
        <v>19</v>
      </c>
      <c r="K68" s="29" t="s">
        <v>18</v>
      </c>
      <c r="L68" s="29" t="s">
        <v>455</v>
      </c>
      <c r="Q68" s="30">
        <v>1</v>
      </c>
    </row>
    <row r="69" spans="1:17" x14ac:dyDescent="0.25">
      <c r="B69" s="29" t="s">
        <v>16</v>
      </c>
      <c r="C69" s="29" t="s">
        <v>618</v>
      </c>
      <c r="D69" s="29" t="s">
        <v>619</v>
      </c>
      <c r="E69" s="29" t="s">
        <v>620</v>
      </c>
      <c r="F69" s="30">
        <v>1</v>
      </c>
      <c r="G69" s="30">
        <v>785</v>
      </c>
      <c r="H69" s="30">
        <v>25</v>
      </c>
      <c r="I69" s="30">
        <f>G69-H69</f>
        <v>760</v>
      </c>
      <c r="J69" s="29" t="s">
        <v>19</v>
      </c>
      <c r="K69" s="29" t="s">
        <v>18</v>
      </c>
      <c r="L69" s="29" t="s">
        <v>455</v>
      </c>
      <c r="Q69" s="30">
        <v>1</v>
      </c>
    </row>
    <row r="70" spans="1:17" x14ac:dyDescent="0.25">
      <c r="B70" s="29" t="s">
        <v>16</v>
      </c>
      <c r="C70" s="29" t="s">
        <v>621</v>
      </c>
      <c r="D70" s="29" t="s">
        <v>622</v>
      </c>
      <c r="E70" s="29" t="s">
        <v>623</v>
      </c>
      <c r="F70" s="30">
        <v>4</v>
      </c>
      <c r="G70" s="30">
        <v>785</v>
      </c>
      <c r="H70" s="30">
        <v>25</v>
      </c>
      <c r="I70" s="30">
        <f>G70-H70</f>
        <v>760</v>
      </c>
      <c r="J70" s="29" t="s">
        <v>19</v>
      </c>
      <c r="K70" s="29" t="s">
        <v>18</v>
      </c>
      <c r="L70" s="29" t="s">
        <v>455</v>
      </c>
      <c r="Q70" s="30">
        <v>1</v>
      </c>
    </row>
    <row r="71" spans="1:17" x14ac:dyDescent="0.25">
      <c r="B71" s="29" t="s">
        <v>16</v>
      </c>
      <c r="C71" s="29" t="s">
        <v>624</v>
      </c>
      <c r="D71" s="29" t="s">
        <v>625</v>
      </c>
      <c r="E71" s="29" t="s">
        <v>626</v>
      </c>
      <c r="F71" s="30">
        <v>3</v>
      </c>
      <c r="G71" s="30">
        <v>2340</v>
      </c>
      <c r="H71" s="30">
        <v>30</v>
      </c>
      <c r="I71" s="30">
        <f>G71-H71</f>
        <v>2310</v>
      </c>
      <c r="J71" s="29" t="s">
        <v>19</v>
      </c>
      <c r="K71" s="29" t="s">
        <v>18</v>
      </c>
      <c r="L71" s="29" t="s">
        <v>455</v>
      </c>
      <c r="M71" s="29" t="s">
        <v>98</v>
      </c>
      <c r="Q71" s="30">
        <v>1</v>
      </c>
    </row>
    <row r="72" spans="1:17" x14ac:dyDescent="0.25">
      <c r="B72" s="29" t="s">
        <v>16</v>
      </c>
      <c r="C72" s="29" t="s">
        <v>264</v>
      </c>
      <c r="D72" s="29" t="s">
        <v>627</v>
      </c>
      <c r="E72" s="29" t="s">
        <v>628</v>
      </c>
      <c r="F72" s="30">
        <v>4</v>
      </c>
      <c r="G72" s="30">
        <v>765</v>
      </c>
      <c r="H72" s="30">
        <v>25</v>
      </c>
      <c r="I72" s="30">
        <f>G72-H72</f>
        <v>740</v>
      </c>
      <c r="J72" s="29" t="s">
        <v>19</v>
      </c>
      <c r="K72" s="29" t="s">
        <v>18</v>
      </c>
      <c r="L72" s="29" t="s">
        <v>455</v>
      </c>
      <c r="Q72" s="30">
        <v>1</v>
      </c>
    </row>
    <row r="73" spans="1:17" x14ac:dyDescent="0.25">
      <c r="B73" s="29" t="s">
        <v>16</v>
      </c>
      <c r="C73" s="29" t="s">
        <v>629</v>
      </c>
      <c r="D73" s="29" t="s">
        <v>630</v>
      </c>
      <c r="E73" s="29" t="s">
        <v>631</v>
      </c>
      <c r="F73" s="29" t="s">
        <v>28</v>
      </c>
      <c r="G73" s="30">
        <v>0</v>
      </c>
      <c r="H73" s="30">
        <v>25</v>
      </c>
      <c r="I73" s="30">
        <f>-H73</f>
        <v>-25</v>
      </c>
      <c r="J73" s="29" t="s">
        <v>19</v>
      </c>
      <c r="K73" s="29" t="s">
        <v>18</v>
      </c>
      <c r="L73" s="29" t="s">
        <v>455</v>
      </c>
      <c r="Q73" s="30">
        <v>1</v>
      </c>
    </row>
    <row r="74" spans="1:17" x14ac:dyDescent="0.25">
      <c r="A74" s="29" t="s">
        <v>38</v>
      </c>
      <c r="B74" s="29" t="s">
        <v>16</v>
      </c>
      <c r="C74" s="29" t="s">
        <v>43</v>
      </c>
      <c r="E74" s="29" t="s">
        <v>44</v>
      </c>
      <c r="F74" s="29" t="s">
        <v>28</v>
      </c>
      <c r="G74" s="30">
        <v>0</v>
      </c>
      <c r="H74" s="30">
        <v>30</v>
      </c>
      <c r="I74" s="30">
        <f>-H74</f>
        <v>-30</v>
      </c>
      <c r="J74" s="29" t="s">
        <v>19</v>
      </c>
      <c r="K74" s="29" t="s">
        <v>18</v>
      </c>
      <c r="L74" s="29" t="s">
        <v>455</v>
      </c>
      <c r="Q74" s="30">
        <v>1</v>
      </c>
    </row>
    <row r="75" spans="1:17" s="36" customFormat="1" x14ac:dyDescent="0.25">
      <c r="B75" s="36" t="s">
        <v>16</v>
      </c>
      <c r="C75" s="36" t="s">
        <v>235</v>
      </c>
      <c r="D75" s="36" t="s">
        <v>236</v>
      </c>
      <c r="E75" s="36" t="s">
        <v>237</v>
      </c>
      <c r="F75" s="39">
        <v>12</v>
      </c>
      <c r="G75" s="39">
        <v>790</v>
      </c>
      <c r="H75" s="39">
        <v>0</v>
      </c>
      <c r="I75" s="39">
        <f>G75-H75</f>
        <v>790</v>
      </c>
      <c r="J75" s="36" t="s">
        <v>68</v>
      </c>
      <c r="K75" s="36" t="s">
        <v>18</v>
      </c>
      <c r="L75" s="36" t="s">
        <v>220</v>
      </c>
      <c r="M75" s="36" t="s">
        <v>25</v>
      </c>
      <c r="N75" s="36" t="s">
        <v>63</v>
      </c>
      <c r="O75" s="36" t="s">
        <v>63</v>
      </c>
      <c r="P75" s="36" t="s">
        <v>70</v>
      </c>
      <c r="Q75" s="39">
        <v>1</v>
      </c>
    </row>
    <row r="76" spans="1:17" s="36" customFormat="1" x14ac:dyDescent="0.25">
      <c r="B76" s="36" t="s">
        <v>16</v>
      </c>
      <c r="C76" s="36" t="s">
        <v>632</v>
      </c>
      <c r="D76" s="36" t="s">
        <v>633</v>
      </c>
      <c r="E76" s="36" t="s">
        <v>634</v>
      </c>
      <c r="F76" s="36" t="s">
        <v>102</v>
      </c>
      <c r="G76" s="39">
        <v>820</v>
      </c>
      <c r="H76" s="39">
        <v>0</v>
      </c>
      <c r="I76" s="39">
        <f>G76-H76</f>
        <v>820</v>
      </c>
      <c r="J76" s="36" t="s">
        <v>68</v>
      </c>
      <c r="K76" s="36" t="s">
        <v>18</v>
      </c>
      <c r="L76" s="36" t="s">
        <v>455</v>
      </c>
      <c r="M76" s="36" t="s">
        <v>69</v>
      </c>
      <c r="N76" s="36" t="s">
        <v>63</v>
      </c>
      <c r="P76" s="36" t="s">
        <v>70</v>
      </c>
      <c r="Q76" s="39">
        <v>1</v>
      </c>
    </row>
    <row r="77" spans="1:17" s="36" customFormat="1" x14ac:dyDescent="0.25">
      <c r="B77" s="36" t="s">
        <v>16</v>
      </c>
      <c r="C77" s="36" t="s">
        <v>59</v>
      </c>
      <c r="D77" s="36" t="s">
        <v>60</v>
      </c>
      <c r="E77" s="36" t="s">
        <v>61</v>
      </c>
      <c r="F77" s="39">
        <v>9</v>
      </c>
      <c r="G77" s="39">
        <v>820</v>
      </c>
      <c r="H77" s="39">
        <v>0</v>
      </c>
      <c r="I77" s="39">
        <f>G77-H77</f>
        <v>820</v>
      </c>
      <c r="J77" s="36" t="s">
        <v>68</v>
      </c>
      <c r="K77" s="36" t="s">
        <v>18</v>
      </c>
      <c r="L77" s="36" t="s">
        <v>62</v>
      </c>
      <c r="M77" s="36" t="s">
        <v>25</v>
      </c>
      <c r="N77" s="36" t="s">
        <v>63</v>
      </c>
      <c r="O77" s="36" t="s">
        <v>63</v>
      </c>
      <c r="P77" s="36" t="s">
        <v>70</v>
      </c>
      <c r="Q77" s="39">
        <v>1</v>
      </c>
    </row>
    <row r="79" spans="1:17" x14ac:dyDescent="0.25">
      <c r="D79" s="32">
        <f>COUNTA(D3:D77)</f>
        <v>65</v>
      </c>
      <c r="G79" s="32">
        <f t="shared" ref="G79:Q79" si="2">SUBTOTAL(9,G3:G77)</f>
        <v>57515</v>
      </c>
      <c r="H79" s="32">
        <f t="shared" si="2"/>
        <v>1970</v>
      </c>
      <c r="I79" s="32">
        <f>SUBTOTAL(9,I3:I77)</f>
        <v>55545</v>
      </c>
      <c r="J79" s="32">
        <f t="shared" si="2"/>
        <v>0</v>
      </c>
      <c r="K79" s="32">
        <f t="shared" si="2"/>
        <v>0</v>
      </c>
      <c r="L79" s="32">
        <f t="shared" si="2"/>
        <v>0</v>
      </c>
      <c r="M79" s="32">
        <f t="shared" si="2"/>
        <v>0</v>
      </c>
      <c r="N79" s="32">
        <f t="shared" si="2"/>
        <v>0</v>
      </c>
      <c r="O79" s="32">
        <f t="shared" si="2"/>
        <v>0</v>
      </c>
      <c r="P79" s="32">
        <f t="shared" si="2"/>
        <v>0</v>
      </c>
      <c r="Q79" s="32">
        <f t="shared" si="2"/>
        <v>75</v>
      </c>
    </row>
    <row r="80" spans="1:17" x14ac:dyDescent="0.25">
      <c r="H80" s="29">
        <f>-17*17</f>
        <v>-289</v>
      </c>
    </row>
    <row r="81" spans="1:16" x14ac:dyDescent="0.25">
      <c r="A81" s="32" t="s">
        <v>16</v>
      </c>
      <c r="C81" s="42" t="s">
        <v>46</v>
      </c>
      <c r="D81" s="42"/>
      <c r="E81" s="33" t="s">
        <v>47</v>
      </c>
      <c r="H81" s="29">
        <f>-9*25</f>
        <v>-225</v>
      </c>
      <c r="K81" s="34" t="s">
        <v>19</v>
      </c>
      <c r="L81" s="34" t="s">
        <v>48</v>
      </c>
      <c r="M81" s="34" t="s">
        <v>47</v>
      </c>
      <c r="O81" s="33" t="s">
        <v>72</v>
      </c>
    </row>
    <row r="82" spans="1:16" x14ac:dyDescent="0.25">
      <c r="A82" s="29" t="s">
        <v>455</v>
      </c>
      <c r="B82" s="35" t="s">
        <v>49</v>
      </c>
      <c r="C82" s="43">
        <f>SUMIFS(I$3:I$77,B$3:B$77,A$81,L$3:L$77,A$82)</f>
        <v>53935</v>
      </c>
      <c r="D82" s="43"/>
      <c r="E82" s="35">
        <f>SUMIFS(Q$3:Q$77,B$3:B$77,A$81,L$3:L$77,A$82)</f>
        <v>73</v>
      </c>
      <c r="F82" s="29" t="s">
        <v>73</v>
      </c>
      <c r="H82" s="29">
        <f>-2*30</f>
        <v>-60</v>
      </c>
      <c r="K82" s="29" t="s">
        <v>50</v>
      </c>
      <c r="L82" s="29">
        <f>SUMIFS(G$3:G$77,J$3:J$77,K$81)</f>
        <v>17240</v>
      </c>
      <c r="M82" s="29">
        <f>SUMIFS(Q$3:Q$77,J$3:J$77,K$81)</f>
        <v>22</v>
      </c>
      <c r="O82" s="29" t="s">
        <v>19</v>
      </c>
      <c r="P82" s="29">
        <f>L87</f>
        <v>16790</v>
      </c>
    </row>
    <row r="83" spans="1:16" x14ac:dyDescent="0.25">
      <c r="B83" s="36" t="s">
        <v>108</v>
      </c>
      <c r="C83" s="44">
        <v>0</v>
      </c>
      <c r="D83" s="44"/>
      <c r="K83" s="29" t="s">
        <v>51</v>
      </c>
      <c r="L83" s="29">
        <f>-SUMIFS(H$3:H$77,J$3:J$77,K$81)+M83*5</f>
        <v>-450</v>
      </c>
      <c r="M83" s="29">
        <f>SUMIFS(Q$3:Q$77,J$3:J$77,K$81)-COUNTIFS(J$3:J$77,K$81,M$3:M$77,"*gộp*")</f>
        <v>22</v>
      </c>
      <c r="O83" s="29" t="s">
        <v>635</v>
      </c>
      <c r="P83" s="29">
        <f>L95</f>
        <v>13936</v>
      </c>
    </row>
    <row r="84" spans="1:16" x14ac:dyDescent="0.25">
      <c r="B84" s="36" t="s">
        <v>52</v>
      </c>
      <c r="C84" s="44">
        <f>-SUMIFS(I$3:I$77,B$3:B$77,A$81,P$3:P$77,"xx",N$3:N$77,"x")</f>
        <v>-2430</v>
      </c>
      <c r="D84" s="44"/>
      <c r="E84" s="36">
        <f>SUMIFS(Q$3:Q$77,B$3:B$77,A$81,P$3:P$77,"xx",N$3:N$77,"x")</f>
        <v>3</v>
      </c>
      <c r="K84" s="29" t="s">
        <v>74</v>
      </c>
      <c r="O84" s="29" t="s">
        <v>18</v>
      </c>
      <c r="P84" s="29">
        <f>L103</f>
        <v>19465</v>
      </c>
    </row>
    <row r="85" spans="1:16" x14ac:dyDescent="0.25">
      <c r="B85" s="33" t="s">
        <v>53</v>
      </c>
      <c r="C85" s="42">
        <f>SUBTOTAL(9,C82:C84)</f>
        <v>51505</v>
      </c>
      <c r="D85" s="42"/>
      <c r="E85" s="29">
        <f>E82</f>
        <v>73</v>
      </c>
      <c r="K85" s="36" t="s">
        <v>25</v>
      </c>
      <c r="O85" s="29" t="s">
        <v>37</v>
      </c>
      <c r="P85" s="29">
        <f>L111</f>
        <v>1650</v>
      </c>
    </row>
    <row r="86" spans="1:16" x14ac:dyDescent="0.25">
      <c r="B86" s="36" t="s">
        <v>75</v>
      </c>
      <c r="C86" s="40"/>
      <c r="D86" s="40"/>
      <c r="K86" s="36" t="s">
        <v>54</v>
      </c>
      <c r="O86" s="29" t="s">
        <v>76</v>
      </c>
      <c r="P86" s="29">
        <f>-C89</f>
        <v>-51505</v>
      </c>
    </row>
    <row r="87" spans="1:16" x14ac:dyDescent="0.25">
      <c r="B87" s="37" t="s">
        <v>55</v>
      </c>
      <c r="C87" s="40"/>
      <c r="D87" s="40"/>
      <c r="L87" s="38">
        <f>SUBTOTAL(9,L82:L86)</f>
        <v>16790</v>
      </c>
      <c r="M87" s="38">
        <f>M82</f>
        <v>22</v>
      </c>
      <c r="O87" s="33" t="s">
        <v>77</v>
      </c>
      <c r="P87" s="33">
        <f>SUBTOTAL(9,P82:P86)</f>
        <v>336</v>
      </c>
    </row>
    <row r="89" spans="1:16" x14ac:dyDescent="0.25">
      <c r="B89" s="32" t="s">
        <v>56</v>
      </c>
      <c r="C89" s="41">
        <f>C85+C86+C87</f>
        <v>51505</v>
      </c>
      <c r="D89" s="41"/>
      <c r="E89" s="32" t="s">
        <v>57</v>
      </c>
      <c r="K89" s="34" t="s">
        <v>460</v>
      </c>
      <c r="L89" s="34" t="s">
        <v>48</v>
      </c>
      <c r="M89" s="34" t="s">
        <v>47</v>
      </c>
    </row>
    <row r="90" spans="1:16" x14ac:dyDescent="0.25">
      <c r="K90" s="29" t="s">
        <v>50</v>
      </c>
      <c r="L90" s="29">
        <f>SUMIFS(G$3:G$77,J$3:J$77,K$89)</f>
        <v>16130</v>
      </c>
      <c r="M90" s="29">
        <f>SUMIFS(Q$3:Q$77,J$3:J$77,K$89)</f>
        <v>28</v>
      </c>
    </row>
    <row r="91" spans="1:16" x14ac:dyDescent="0.25">
      <c r="K91" s="29" t="s">
        <v>51</v>
      </c>
      <c r="L91" s="29">
        <f>SUM(H80:H82)</f>
        <v>-574</v>
      </c>
      <c r="M91" s="29">
        <f>SUMIFS(Q$3:Q$77,J$3:J$77,K$89)</f>
        <v>28</v>
      </c>
    </row>
    <row r="92" spans="1:16" x14ac:dyDescent="0.25">
      <c r="K92" s="29" t="s">
        <v>74</v>
      </c>
    </row>
    <row r="93" spans="1:16" x14ac:dyDescent="0.25">
      <c r="K93" s="36" t="s">
        <v>25</v>
      </c>
      <c r="L93" s="29">
        <v>-1620</v>
      </c>
    </row>
    <row r="94" spans="1:16" x14ac:dyDescent="0.25">
      <c r="K94" s="36" t="s">
        <v>54</v>
      </c>
    </row>
    <row r="95" spans="1:16" x14ac:dyDescent="0.25">
      <c r="L95" s="38">
        <f>SUBTOTAL(9,L90:L94)</f>
        <v>13936</v>
      </c>
      <c r="M95" s="38">
        <f>M90</f>
        <v>28</v>
      </c>
    </row>
    <row r="97" spans="11:13" x14ac:dyDescent="0.25">
      <c r="K97" s="34" t="s">
        <v>18</v>
      </c>
      <c r="L97" s="34" t="s">
        <v>48</v>
      </c>
      <c r="M97" s="34" t="s">
        <v>47</v>
      </c>
    </row>
    <row r="98" spans="11:13" x14ac:dyDescent="0.25">
      <c r="K98" s="29" t="s">
        <v>50</v>
      </c>
      <c r="L98" s="29">
        <f>SUMIFS(G$3:G$77,J$3:J$77,K$97)</f>
        <v>20015</v>
      </c>
      <c r="M98" s="29">
        <f>SUMIFS(Q$3:Q$77,J$3:J$77,K$97)</f>
        <v>20</v>
      </c>
    </row>
    <row r="99" spans="11:13" x14ac:dyDescent="0.25">
      <c r="K99" s="29" t="s">
        <v>51</v>
      </c>
      <c r="L99" s="29">
        <f>-SUMIFS(H$3:H$77,J$3:J$77,K$97)+M99*5</f>
        <v>-410</v>
      </c>
      <c r="M99" s="29">
        <f>SUMIFS(Q$3:Q$77,J$3:J$77,K$97)-COUNTIFS(J$3:J$77,K$97,M$3:M$77,"*gộp*")</f>
        <v>20</v>
      </c>
    </row>
    <row r="100" spans="11:13" x14ac:dyDescent="0.25">
      <c r="K100" s="29" t="s">
        <v>74</v>
      </c>
      <c r="L100" s="29">
        <f>-M100*2</f>
        <v>-140</v>
      </c>
      <c r="M100" s="29">
        <f>E82-E84</f>
        <v>70</v>
      </c>
    </row>
    <row r="101" spans="11:13" x14ac:dyDescent="0.25">
      <c r="K101" s="36" t="s">
        <v>25</v>
      </c>
    </row>
    <row r="102" spans="11:13" x14ac:dyDescent="0.25">
      <c r="K102" s="36" t="s">
        <v>54</v>
      </c>
    </row>
    <row r="103" spans="11:13" x14ac:dyDescent="0.25">
      <c r="L103" s="38">
        <f>SUBTOTAL(9,L98:L102)</f>
        <v>19465</v>
      </c>
      <c r="M103" s="38">
        <f>M98</f>
        <v>20</v>
      </c>
    </row>
    <row r="105" spans="11:13" x14ac:dyDescent="0.25">
      <c r="K105" s="34" t="s">
        <v>37</v>
      </c>
      <c r="L105" s="34" t="s">
        <v>48</v>
      </c>
      <c r="M105" s="34" t="s">
        <v>47</v>
      </c>
    </row>
    <row r="106" spans="11:13" x14ac:dyDescent="0.25">
      <c r="K106" s="29" t="s">
        <v>50</v>
      </c>
      <c r="L106" s="29">
        <f>SUMIFS(G$3:G$77,J$3:J$77,K$105)</f>
        <v>1700</v>
      </c>
      <c r="M106" s="29">
        <f>SUMIFS(Q$3:Q$77,J$3:J$77,K$105)</f>
        <v>2</v>
      </c>
    </row>
    <row r="107" spans="11:13" x14ac:dyDescent="0.25">
      <c r="K107" s="29" t="s">
        <v>51</v>
      </c>
      <c r="L107" s="29">
        <f>-SUMIFS(H$3:H$77,J$3:J$77,K$105)+M107*5</f>
        <v>-50</v>
      </c>
      <c r="M107" s="29">
        <f>SUMIFS(Q$3:Q$77,J$3:J$77,K$105)-COUNTIFS(J$3:J$77,K$105,M$3:M$77,"*gộp*")</f>
        <v>2</v>
      </c>
    </row>
    <row r="108" spans="11:13" x14ac:dyDescent="0.25">
      <c r="K108" s="29" t="s">
        <v>74</v>
      </c>
    </row>
    <row r="109" spans="11:13" x14ac:dyDescent="0.25">
      <c r="K109" s="36" t="s">
        <v>25</v>
      </c>
    </row>
    <row r="110" spans="11:13" x14ac:dyDescent="0.25">
      <c r="K110" s="36" t="s">
        <v>54</v>
      </c>
    </row>
    <row r="111" spans="11:13" x14ac:dyDescent="0.25">
      <c r="L111" s="38">
        <f>SUBTOTAL(9,L106:L110)</f>
        <v>1650</v>
      </c>
      <c r="M111" s="38">
        <f>M106</f>
        <v>2</v>
      </c>
    </row>
  </sheetData>
  <autoFilter ref="A2:P77" xr:uid="{00000000-0009-0000-0000-000000000000}">
    <sortState xmlns:xlrd2="http://schemas.microsoft.com/office/spreadsheetml/2017/richdata2" ref="A3:P77">
      <sortCondition ref="J2:J77"/>
    </sortState>
  </autoFilter>
  <mergeCells count="8">
    <mergeCell ref="C87:D87"/>
    <mergeCell ref="C89:D89"/>
    <mergeCell ref="C81:D81"/>
    <mergeCell ref="C82:D82"/>
    <mergeCell ref="C83:D83"/>
    <mergeCell ref="C84:D84"/>
    <mergeCell ref="C85:D85"/>
    <mergeCell ref="C86:D86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F39C-5A0B-4E3B-A4D8-ABFD710251D1}">
  <dimension ref="A2:Q37"/>
  <sheetViews>
    <sheetView topLeftCell="B1" workbookViewId="0">
      <selection activeCell="A3" sqref="A3:XFD19"/>
    </sheetView>
  </sheetViews>
  <sheetFormatPr defaultRowHeight="15" x14ac:dyDescent="0.25"/>
  <cols>
    <col min="1" max="1" width="12.7109375" style="29" customWidth="1"/>
    <col min="2" max="2" width="17.7109375" style="29" customWidth="1"/>
    <col min="3" max="3" width="37.85546875" style="29" customWidth="1"/>
    <col min="4" max="4" width="9.85546875" style="29" customWidth="1"/>
    <col min="5" max="5" width="84" style="29" customWidth="1"/>
    <col min="6" max="6" width="8.42578125" style="29" customWidth="1"/>
    <col min="7" max="7" width="9.140625" style="29" customWidth="1"/>
    <col min="8" max="8" width="9.5703125" style="29" customWidth="1"/>
    <col min="9" max="9" width="10.5703125" style="29" customWidth="1"/>
    <col min="10" max="10" width="9.7109375" style="29" customWidth="1"/>
    <col min="11" max="11" width="10.85546875" style="29" customWidth="1"/>
    <col min="12" max="12" width="10.42578125" style="29" customWidth="1"/>
    <col min="13" max="13" width="8.5703125" style="29" customWidth="1"/>
    <col min="14" max="14" width="9.7109375" style="29" customWidth="1"/>
    <col min="15" max="15" width="10.42578125" style="29" customWidth="1"/>
    <col min="16" max="16" width="7" style="29" bestFit="1" customWidth="1"/>
    <col min="17" max="17" width="6.42578125" style="29" customWidth="1"/>
    <col min="18" max="16384" width="9.140625" style="29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85</v>
      </c>
    </row>
    <row r="3" spans="1:17" x14ac:dyDescent="0.25">
      <c r="B3" s="29" t="s">
        <v>16</v>
      </c>
      <c r="C3" s="29" t="s">
        <v>86</v>
      </c>
      <c r="D3" s="29" t="s">
        <v>636</v>
      </c>
      <c r="E3" s="29" t="s">
        <v>87</v>
      </c>
      <c r="F3" s="29" t="s">
        <v>22</v>
      </c>
      <c r="G3" s="30">
        <v>0</v>
      </c>
      <c r="H3" s="30">
        <v>60</v>
      </c>
      <c r="I3" s="30">
        <f>-H3</f>
        <v>-60</v>
      </c>
      <c r="J3" s="29" t="s">
        <v>637</v>
      </c>
      <c r="K3" s="29" t="s">
        <v>18</v>
      </c>
      <c r="L3" s="29" t="s">
        <v>638</v>
      </c>
      <c r="Q3" s="30">
        <v>1</v>
      </c>
    </row>
    <row r="4" spans="1:17" x14ac:dyDescent="0.25">
      <c r="B4" s="29" t="s">
        <v>16</v>
      </c>
      <c r="C4" s="29" t="s">
        <v>639</v>
      </c>
      <c r="D4" s="29" t="s">
        <v>640</v>
      </c>
      <c r="E4" s="29" t="s">
        <v>641</v>
      </c>
      <c r="F4" s="29" t="s">
        <v>323</v>
      </c>
      <c r="G4" s="30">
        <v>0</v>
      </c>
      <c r="H4" s="30">
        <v>35</v>
      </c>
      <c r="I4" s="30">
        <f>-H4</f>
        <v>-35</v>
      </c>
      <c r="J4" s="29" t="s">
        <v>637</v>
      </c>
      <c r="K4" s="29" t="s">
        <v>18</v>
      </c>
      <c r="L4" s="29" t="s">
        <v>638</v>
      </c>
      <c r="Q4" s="30">
        <v>1</v>
      </c>
    </row>
    <row r="5" spans="1:17" x14ac:dyDescent="0.25">
      <c r="B5" s="29" t="s">
        <v>16</v>
      </c>
      <c r="C5" s="29" t="s">
        <v>642</v>
      </c>
      <c r="D5" s="29" t="s">
        <v>643</v>
      </c>
      <c r="E5" s="29" t="s">
        <v>644</v>
      </c>
      <c r="F5" s="29" t="s">
        <v>22</v>
      </c>
      <c r="G5" s="30">
        <v>0</v>
      </c>
      <c r="H5" s="30">
        <v>30</v>
      </c>
      <c r="I5" s="30">
        <f>-H5</f>
        <v>-30</v>
      </c>
      <c r="J5" s="29" t="s">
        <v>637</v>
      </c>
      <c r="K5" s="29" t="s">
        <v>18</v>
      </c>
      <c r="L5" s="29" t="s">
        <v>638</v>
      </c>
      <c r="Q5" s="30">
        <v>1</v>
      </c>
    </row>
    <row r="6" spans="1:17" x14ac:dyDescent="0.25">
      <c r="B6" s="29" t="s">
        <v>16</v>
      </c>
      <c r="C6" s="29" t="s">
        <v>64</v>
      </c>
      <c r="D6" s="29" t="s">
        <v>645</v>
      </c>
      <c r="E6" s="29" t="s">
        <v>65</v>
      </c>
      <c r="F6" s="30">
        <v>6</v>
      </c>
      <c r="G6" s="30">
        <v>745</v>
      </c>
      <c r="H6" s="30">
        <v>25</v>
      </c>
      <c r="I6" s="30">
        <f t="shared" ref="I6:I14" si="0">G6-H6</f>
        <v>720</v>
      </c>
      <c r="J6" s="29" t="s">
        <v>637</v>
      </c>
      <c r="K6" s="29" t="s">
        <v>18</v>
      </c>
      <c r="L6" s="29" t="s">
        <v>638</v>
      </c>
      <c r="Q6" s="30">
        <v>1</v>
      </c>
    </row>
    <row r="7" spans="1:17" x14ac:dyDescent="0.25">
      <c r="B7" s="29" t="s">
        <v>16</v>
      </c>
      <c r="C7" s="29" t="s">
        <v>646</v>
      </c>
      <c r="D7" s="29" t="s">
        <v>647</v>
      </c>
      <c r="E7" s="29" t="s">
        <v>648</v>
      </c>
      <c r="F7" s="30">
        <v>7</v>
      </c>
      <c r="G7" s="30">
        <v>1480</v>
      </c>
      <c r="H7" s="30">
        <v>30</v>
      </c>
      <c r="I7" s="30">
        <f t="shared" si="0"/>
        <v>1450</v>
      </c>
      <c r="J7" s="29" t="s">
        <v>637</v>
      </c>
      <c r="K7" s="29" t="s">
        <v>18</v>
      </c>
      <c r="L7" s="29" t="s">
        <v>638</v>
      </c>
      <c r="Q7" s="30">
        <v>1</v>
      </c>
    </row>
    <row r="8" spans="1:17" x14ac:dyDescent="0.25">
      <c r="B8" s="29" t="s">
        <v>16</v>
      </c>
      <c r="C8" s="29" t="s">
        <v>649</v>
      </c>
      <c r="D8" s="29" t="s">
        <v>650</v>
      </c>
      <c r="E8" s="29" t="s">
        <v>651</v>
      </c>
      <c r="F8" s="30">
        <v>7</v>
      </c>
      <c r="G8" s="30">
        <v>760</v>
      </c>
      <c r="H8" s="30">
        <v>30</v>
      </c>
      <c r="I8" s="30">
        <f t="shared" si="0"/>
        <v>730</v>
      </c>
      <c r="J8" s="29" t="s">
        <v>637</v>
      </c>
      <c r="K8" s="29" t="s">
        <v>18</v>
      </c>
      <c r="L8" s="29" t="s">
        <v>638</v>
      </c>
      <c r="Q8" s="30">
        <v>1</v>
      </c>
    </row>
    <row r="9" spans="1:17" x14ac:dyDescent="0.25">
      <c r="B9" s="29" t="s">
        <v>16</v>
      </c>
      <c r="C9" s="29" t="s">
        <v>652</v>
      </c>
      <c r="D9" s="29" t="s">
        <v>653</v>
      </c>
      <c r="E9" s="29" t="s">
        <v>654</v>
      </c>
      <c r="F9" s="30">
        <v>10</v>
      </c>
      <c r="G9" s="30">
        <v>845</v>
      </c>
      <c r="H9" s="30">
        <v>25</v>
      </c>
      <c r="I9" s="30">
        <f t="shared" si="0"/>
        <v>820</v>
      </c>
      <c r="J9" s="29" t="s">
        <v>637</v>
      </c>
      <c r="K9" s="29" t="s">
        <v>18</v>
      </c>
      <c r="L9" s="29" t="s">
        <v>638</v>
      </c>
      <c r="Q9" s="30">
        <v>1</v>
      </c>
    </row>
    <row r="10" spans="1:17" x14ac:dyDescent="0.25">
      <c r="B10" s="29" t="s">
        <v>16</v>
      </c>
      <c r="C10" s="29" t="s">
        <v>655</v>
      </c>
      <c r="D10" s="29" t="s">
        <v>656</v>
      </c>
      <c r="E10" s="29" t="s">
        <v>657</v>
      </c>
      <c r="F10" s="30">
        <v>8</v>
      </c>
      <c r="G10" s="30">
        <v>770</v>
      </c>
      <c r="H10" s="30">
        <v>30</v>
      </c>
      <c r="I10" s="30">
        <f t="shared" si="0"/>
        <v>740</v>
      </c>
      <c r="J10" s="29" t="s">
        <v>637</v>
      </c>
      <c r="K10" s="29" t="s">
        <v>18</v>
      </c>
      <c r="L10" s="29" t="s">
        <v>638</v>
      </c>
      <c r="Q10" s="30">
        <v>1</v>
      </c>
    </row>
    <row r="11" spans="1:17" x14ac:dyDescent="0.25">
      <c r="B11" s="29" t="s">
        <v>16</v>
      </c>
      <c r="C11" s="29" t="s">
        <v>658</v>
      </c>
      <c r="D11" s="29" t="s">
        <v>659</v>
      </c>
      <c r="E11" s="29" t="s">
        <v>660</v>
      </c>
      <c r="F11" s="30">
        <v>1</v>
      </c>
      <c r="G11" s="30">
        <v>695</v>
      </c>
      <c r="H11" s="30">
        <v>25</v>
      </c>
      <c r="I11" s="30">
        <f t="shared" si="0"/>
        <v>670</v>
      </c>
      <c r="J11" s="29" t="s">
        <v>637</v>
      </c>
      <c r="K11" s="29" t="s">
        <v>18</v>
      </c>
      <c r="L11" s="29" t="s">
        <v>638</v>
      </c>
      <c r="Q11" s="30">
        <v>1</v>
      </c>
    </row>
    <row r="12" spans="1:17" x14ac:dyDescent="0.25">
      <c r="A12" s="29" t="s">
        <v>38</v>
      </c>
      <c r="B12" s="29" t="s">
        <v>16</v>
      </c>
      <c r="C12" s="29" t="s">
        <v>661</v>
      </c>
      <c r="E12" s="29" t="s">
        <v>662</v>
      </c>
      <c r="F12" s="30">
        <v>12</v>
      </c>
      <c r="G12" s="30">
        <v>45</v>
      </c>
      <c r="H12" s="30">
        <v>45</v>
      </c>
      <c r="I12" s="30">
        <f t="shared" si="0"/>
        <v>0</v>
      </c>
      <c r="J12" s="29" t="s">
        <v>18</v>
      </c>
      <c r="K12" s="29" t="s">
        <v>18</v>
      </c>
      <c r="L12" s="29" t="s">
        <v>638</v>
      </c>
      <c r="Q12" s="30">
        <v>1</v>
      </c>
    </row>
    <row r="13" spans="1:17" x14ac:dyDescent="0.25">
      <c r="A13" s="29" t="s">
        <v>38</v>
      </c>
      <c r="B13" s="29" t="s">
        <v>16</v>
      </c>
      <c r="C13" s="29" t="s">
        <v>663</v>
      </c>
      <c r="E13" s="29" t="s">
        <v>664</v>
      </c>
      <c r="F13" s="30">
        <v>12</v>
      </c>
      <c r="G13" s="30">
        <v>40</v>
      </c>
      <c r="H13" s="30">
        <v>40</v>
      </c>
      <c r="I13" s="30">
        <f t="shared" si="0"/>
        <v>0</v>
      </c>
      <c r="J13" s="29" t="s">
        <v>18</v>
      </c>
      <c r="K13" s="29" t="s">
        <v>18</v>
      </c>
      <c r="L13" s="29" t="s">
        <v>638</v>
      </c>
      <c r="Q13" s="30">
        <v>1</v>
      </c>
    </row>
    <row r="14" spans="1:17" x14ac:dyDescent="0.25">
      <c r="B14" s="29" t="s">
        <v>16</v>
      </c>
      <c r="C14" s="29" t="s">
        <v>665</v>
      </c>
      <c r="D14" s="29" t="s">
        <v>666</v>
      </c>
      <c r="E14" s="29" t="s">
        <v>667</v>
      </c>
      <c r="F14" s="30">
        <v>2</v>
      </c>
      <c r="G14" s="30">
        <v>750</v>
      </c>
      <c r="H14" s="30">
        <v>30</v>
      </c>
      <c r="I14" s="30">
        <f t="shared" si="0"/>
        <v>720</v>
      </c>
      <c r="J14" s="29" t="s">
        <v>18</v>
      </c>
      <c r="K14" s="29" t="s">
        <v>18</v>
      </c>
      <c r="L14" s="29" t="s">
        <v>638</v>
      </c>
      <c r="Q14" s="30">
        <v>1</v>
      </c>
    </row>
    <row r="15" spans="1:17" x14ac:dyDescent="0.25">
      <c r="B15" s="29" t="s">
        <v>16</v>
      </c>
      <c r="C15" s="29" t="s">
        <v>668</v>
      </c>
      <c r="D15" s="29" t="s">
        <v>669</v>
      </c>
      <c r="E15" s="29" t="s">
        <v>670</v>
      </c>
      <c r="F15" s="29" t="s">
        <v>20</v>
      </c>
      <c r="G15" s="30">
        <v>0</v>
      </c>
      <c r="H15" s="30">
        <v>30</v>
      </c>
      <c r="I15" s="30">
        <f>-H15</f>
        <v>-30</v>
      </c>
      <c r="J15" s="29" t="s">
        <v>18</v>
      </c>
      <c r="K15" s="29" t="s">
        <v>18</v>
      </c>
      <c r="L15" s="29" t="s">
        <v>638</v>
      </c>
      <c r="Q15" s="30">
        <v>1</v>
      </c>
    </row>
    <row r="16" spans="1:17" x14ac:dyDescent="0.25">
      <c r="B16" s="29" t="s">
        <v>16</v>
      </c>
      <c r="C16" s="29" t="s">
        <v>671</v>
      </c>
      <c r="D16" s="29" t="s">
        <v>672</v>
      </c>
      <c r="E16" s="29" t="s">
        <v>673</v>
      </c>
      <c r="F16" s="29" t="s">
        <v>20</v>
      </c>
      <c r="G16" s="30">
        <v>950</v>
      </c>
      <c r="H16" s="30">
        <v>30</v>
      </c>
      <c r="I16" s="30">
        <f>G16-H16</f>
        <v>920</v>
      </c>
      <c r="J16" s="29" t="s">
        <v>18</v>
      </c>
      <c r="K16" s="29" t="s">
        <v>18</v>
      </c>
      <c r="L16" s="29" t="s">
        <v>638</v>
      </c>
      <c r="Q16" s="30">
        <v>1</v>
      </c>
    </row>
    <row r="17" spans="1:17" x14ac:dyDescent="0.25">
      <c r="B17" s="29" t="s">
        <v>16</v>
      </c>
      <c r="C17" s="29" t="s">
        <v>674</v>
      </c>
      <c r="D17" s="29" t="s">
        <v>675</v>
      </c>
      <c r="E17" s="29" t="s">
        <v>676</v>
      </c>
      <c r="F17" s="29" t="s">
        <v>30</v>
      </c>
      <c r="G17" s="30">
        <v>755</v>
      </c>
      <c r="H17" s="30">
        <v>25</v>
      </c>
      <c r="I17" s="30">
        <f>G17-H17</f>
        <v>730</v>
      </c>
      <c r="J17" s="29" t="s">
        <v>18</v>
      </c>
      <c r="K17" s="29" t="s">
        <v>18</v>
      </c>
      <c r="L17" s="29" t="s">
        <v>638</v>
      </c>
      <c r="Q17" s="30">
        <v>1</v>
      </c>
    </row>
    <row r="18" spans="1:17" x14ac:dyDescent="0.25">
      <c r="B18" s="29" t="s">
        <v>16</v>
      </c>
      <c r="C18" s="29" t="s">
        <v>677</v>
      </c>
      <c r="D18" s="29" t="s">
        <v>678</v>
      </c>
      <c r="E18" s="29" t="s">
        <v>679</v>
      </c>
      <c r="F18" s="30">
        <v>12</v>
      </c>
      <c r="G18" s="30">
        <v>0</v>
      </c>
      <c r="H18" s="30">
        <v>30</v>
      </c>
      <c r="I18" s="30">
        <f>-H18</f>
        <v>-30</v>
      </c>
      <c r="J18" s="29" t="s">
        <v>18</v>
      </c>
      <c r="K18" s="29" t="s">
        <v>18</v>
      </c>
      <c r="L18" s="29" t="s">
        <v>638</v>
      </c>
      <c r="Q18" s="30">
        <v>1</v>
      </c>
    </row>
    <row r="19" spans="1:17" x14ac:dyDescent="0.25">
      <c r="B19" s="29" t="s">
        <v>16</v>
      </c>
      <c r="C19" s="29" t="s">
        <v>680</v>
      </c>
      <c r="D19" s="29" t="s">
        <v>681</v>
      </c>
      <c r="E19" s="29" t="s">
        <v>682</v>
      </c>
      <c r="F19" s="29" t="s">
        <v>30</v>
      </c>
      <c r="G19" s="30">
        <v>0</v>
      </c>
      <c r="H19" s="30">
        <v>25</v>
      </c>
      <c r="I19" s="30">
        <f>-H19</f>
        <v>-25</v>
      </c>
      <c r="J19" s="29" t="s">
        <v>18</v>
      </c>
      <c r="K19" s="29" t="s">
        <v>18</v>
      </c>
      <c r="L19" s="29" t="s">
        <v>638</v>
      </c>
      <c r="Q19" s="30">
        <v>1</v>
      </c>
    </row>
    <row r="21" spans="1:17" x14ac:dyDescent="0.25">
      <c r="D21" s="32">
        <f>COUNTA(D3:D19)</f>
        <v>15</v>
      </c>
      <c r="G21" s="32">
        <f t="shared" ref="G21:Q21" si="1">SUBTOTAL(9,G3:G19)</f>
        <v>7835</v>
      </c>
      <c r="H21" s="32">
        <f t="shared" si="1"/>
        <v>545</v>
      </c>
      <c r="I21" s="32">
        <f t="shared" si="1"/>
        <v>7290</v>
      </c>
      <c r="J21" s="32">
        <f t="shared" si="1"/>
        <v>0</v>
      </c>
      <c r="K21" s="32">
        <f t="shared" si="1"/>
        <v>0</v>
      </c>
      <c r="L21" s="32">
        <f t="shared" si="1"/>
        <v>0</v>
      </c>
      <c r="M21" s="32">
        <f t="shared" si="1"/>
        <v>0</v>
      </c>
      <c r="N21" s="32">
        <f t="shared" si="1"/>
        <v>0</v>
      </c>
      <c r="O21" s="32">
        <f t="shared" si="1"/>
        <v>0</v>
      </c>
      <c r="P21" s="32">
        <f t="shared" si="1"/>
        <v>0</v>
      </c>
      <c r="Q21" s="32">
        <f t="shared" si="1"/>
        <v>17</v>
      </c>
    </row>
    <row r="22" spans="1:17" x14ac:dyDescent="0.25">
      <c r="H22" s="29">
        <f>-6*17</f>
        <v>-102</v>
      </c>
    </row>
    <row r="23" spans="1:17" x14ac:dyDescent="0.25">
      <c r="A23" s="32" t="s">
        <v>16</v>
      </c>
      <c r="C23" s="42" t="s">
        <v>46</v>
      </c>
      <c r="D23" s="42"/>
      <c r="E23" s="33" t="s">
        <v>47</v>
      </c>
      <c r="H23" s="29">
        <f>-2*25</f>
        <v>-50</v>
      </c>
      <c r="K23" s="34" t="s">
        <v>18</v>
      </c>
      <c r="L23" s="34" t="s">
        <v>48</v>
      </c>
      <c r="M23" s="34" t="s">
        <v>47</v>
      </c>
      <c r="O23" s="33" t="s">
        <v>72</v>
      </c>
    </row>
    <row r="24" spans="1:17" x14ac:dyDescent="0.25">
      <c r="A24" s="29" t="s">
        <v>638</v>
      </c>
      <c r="B24" s="35" t="s">
        <v>49</v>
      </c>
      <c r="C24" s="43">
        <f>SUMIFS(I$3:I$19,B$3:B$19,A$23,L$3:L$19,A$24)</f>
        <v>7290</v>
      </c>
      <c r="D24" s="43"/>
      <c r="E24" s="35">
        <f>SUMIFS(Q$3:Q$19,B$3:B$19,A$23,L$3:L$19,A$24)</f>
        <v>17</v>
      </c>
      <c r="F24" s="29" t="s">
        <v>73</v>
      </c>
      <c r="H24" s="29">
        <f>-1*30</f>
        <v>-30</v>
      </c>
      <c r="K24" s="29" t="s">
        <v>50</v>
      </c>
      <c r="L24" s="29">
        <f>SUMIFS(G$3:G$19,J$3:J$19,K$23)</f>
        <v>2540</v>
      </c>
      <c r="M24" s="29">
        <f>SUMIFS(Q$3:Q$19,J$3:J$19,K$23)</f>
        <v>8</v>
      </c>
      <c r="O24" s="29" t="s">
        <v>18</v>
      </c>
      <c r="P24" s="29">
        <f>L29</f>
        <v>2291</v>
      </c>
    </row>
    <row r="25" spans="1:17" x14ac:dyDescent="0.25">
      <c r="B25" s="36" t="s">
        <v>108</v>
      </c>
      <c r="C25" s="44">
        <v>0</v>
      </c>
      <c r="D25" s="44"/>
      <c r="K25" s="29" t="s">
        <v>51</v>
      </c>
      <c r="L25" s="29">
        <f>-SUMIFS(H$3:H$19,J$3:J$19,K$23)+M25*5</f>
        <v>-215</v>
      </c>
      <c r="M25" s="29">
        <f>SUMIFS(Q$3:Q$19,J$3:J$19,K$23)-COUNTIFS(J$3:J$19,K$23,M$3:M$19,"*gộp*")</f>
        <v>8</v>
      </c>
      <c r="O25" s="29" t="s">
        <v>683</v>
      </c>
      <c r="P25" s="29">
        <f>L37</f>
        <v>5113</v>
      </c>
    </row>
    <row r="26" spans="1:17" x14ac:dyDescent="0.25">
      <c r="B26" s="36" t="s">
        <v>52</v>
      </c>
      <c r="C26" s="44">
        <f>-SUMIFS(I$3:I$19,B$3:B$19,A$23,P$3:P$19,"xx",N$3:N$19,"x")</f>
        <v>0</v>
      </c>
      <c r="D26" s="44"/>
      <c r="E26" s="36">
        <f>SUMIFS(Q$3:Q$19,B$3:B$19,A$23,P$3:P$19,"xx",N$3:N$19,"x")</f>
        <v>0</v>
      </c>
      <c r="K26" s="29" t="s">
        <v>74</v>
      </c>
      <c r="L26" s="29">
        <f>-M26*2</f>
        <v>-34</v>
      </c>
      <c r="M26" s="29">
        <f>Q21-(COUNTIFS(M$3:M$19,"*gộp*")/2)</f>
        <v>17</v>
      </c>
      <c r="O26" s="29" t="s">
        <v>76</v>
      </c>
      <c r="P26" s="29">
        <f>-C31</f>
        <v>-7290</v>
      </c>
    </row>
    <row r="27" spans="1:17" x14ac:dyDescent="0.25">
      <c r="B27" s="33" t="s">
        <v>53</v>
      </c>
      <c r="C27" s="42">
        <f>SUBTOTAL(9,C24:C26)</f>
        <v>7290</v>
      </c>
      <c r="D27" s="42"/>
      <c r="E27" s="29">
        <f>E24</f>
        <v>17</v>
      </c>
      <c r="K27" s="36" t="s">
        <v>25</v>
      </c>
      <c r="O27" s="33" t="s">
        <v>77</v>
      </c>
      <c r="P27" s="33">
        <f>SUBTOTAL(9,P24:P26)</f>
        <v>114</v>
      </c>
    </row>
    <row r="28" spans="1:17" x14ac:dyDescent="0.25">
      <c r="B28" s="36" t="s">
        <v>75</v>
      </c>
      <c r="C28" s="40"/>
      <c r="D28" s="40"/>
      <c r="K28" s="36" t="s">
        <v>54</v>
      </c>
    </row>
    <row r="29" spans="1:17" x14ac:dyDescent="0.25">
      <c r="B29" s="37" t="s">
        <v>55</v>
      </c>
      <c r="C29" s="40"/>
      <c r="D29" s="40"/>
      <c r="L29" s="38">
        <f>SUBTOTAL(9,L24:L28)</f>
        <v>2291</v>
      </c>
      <c r="M29" s="38">
        <f>M24</f>
        <v>8</v>
      </c>
    </row>
    <row r="31" spans="1:17" x14ac:dyDescent="0.25">
      <c r="B31" s="32" t="s">
        <v>56</v>
      </c>
      <c r="C31" s="41">
        <f>C27+C28+C29</f>
        <v>7290</v>
      </c>
      <c r="D31" s="41"/>
      <c r="E31" s="32" t="s">
        <v>57</v>
      </c>
      <c r="K31" s="34" t="s">
        <v>637</v>
      </c>
      <c r="L31" s="34" t="s">
        <v>48</v>
      </c>
      <c r="M31" s="34" t="s">
        <v>47</v>
      </c>
    </row>
    <row r="32" spans="1:17" x14ac:dyDescent="0.25">
      <c r="K32" s="29" t="s">
        <v>50</v>
      </c>
      <c r="L32" s="29">
        <f>SUMIFS(G$3:G$19,J$3:J$19,K$31)</f>
        <v>5295</v>
      </c>
      <c r="M32" s="29">
        <f>SUMIFS(Q$3:Q$19,J$3:J$19,K$31)</f>
        <v>9</v>
      </c>
    </row>
    <row r="33" spans="11:13" x14ac:dyDescent="0.25">
      <c r="K33" s="29" t="s">
        <v>51</v>
      </c>
      <c r="L33" s="29">
        <f>SUM(H22:H24)</f>
        <v>-182</v>
      </c>
      <c r="M33" s="29">
        <f>SUMIFS(Q$3:Q$19,J$3:J$19,K$31)</f>
        <v>9</v>
      </c>
    </row>
    <row r="34" spans="11:13" x14ac:dyDescent="0.25">
      <c r="K34" s="29" t="s">
        <v>74</v>
      </c>
    </row>
    <row r="35" spans="11:13" x14ac:dyDescent="0.25">
      <c r="K35" s="36" t="s">
        <v>25</v>
      </c>
    </row>
    <row r="36" spans="11:13" x14ac:dyDescent="0.25">
      <c r="K36" s="36" t="s">
        <v>54</v>
      </c>
    </row>
    <row r="37" spans="11:13" x14ac:dyDescent="0.25">
      <c r="L37" s="38">
        <f>SUBTOTAL(9,L32:L36)</f>
        <v>5113</v>
      </c>
      <c r="M37" s="38">
        <f>M32</f>
        <v>9</v>
      </c>
    </row>
  </sheetData>
  <autoFilter ref="A2:P19" xr:uid="{00000000-0009-0000-0000-000000000000}">
    <sortState xmlns:xlrd2="http://schemas.microsoft.com/office/spreadsheetml/2017/richdata2" ref="A3:P19">
      <sortCondition ref="J2:J19"/>
    </sortState>
  </autoFilter>
  <mergeCells count="8">
    <mergeCell ref="C29:D29"/>
    <mergeCell ref="C31:D31"/>
    <mergeCell ref="C23:D23"/>
    <mergeCell ref="C24:D24"/>
    <mergeCell ref="C25:D25"/>
    <mergeCell ref="C26:D26"/>
    <mergeCell ref="C27:D27"/>
    <mergeCell ref="C28:D28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6D51-6036-4A99-9D24-714E67332C6E}">
  <dimension ref="A2:Q45"/>
  <sheetViews>
    <sheetView topLeftCell="A8" zoomScale="89" workbookViewId="0">
      <selection activeCell="I37" sqref="I37"/>
    </sheetView>
  </sheetViews>
  <sheetFormatPr defaultRowHeight="15" x14ac:dyDescent="0.25"/>
  <cols>
    <col min="1" max="1" width="12.7109375" style="29" customWidth="1"/>
    <col min="2" max="2" width="17.7109375" style="29" customWidth="1"/>
    <col min="3" max="3" width="29.7109375" style="29" customWidth="1"/>
    <col min="4" max="4" width="9.85546875" style="29" customWidth="1"/>
    <col min="5" max="5" width="97.140625" style="29" customWidth="1"/>
    <col min="6" max="6" width="8.42578125" style="29" customWidth="1"/>
    <col min="7" max="7" width="9.140625" style="29" customWidth="1"/>
    <col min="8" max="8" width="9.5703125" style="29" customWidth="1"/>
    <col min="9" max="9" width="10.5703125" style="29" customWidth="1"/>
    <col min="10" max="10" width="9.7109375" style="29" customWidth="1"/>
    <col min="11" max="11" width="10.85546875" style="29" customWidth="1"/>
    <col min="12" max="12" width="10.42578125" style="29" customWidth="1"/>
    <col min="13" max="13" width="8.5703125" style="29" customWidth="1"/>
    <col min="14" max="14" width="9.7109375" style="29" customWidth="1"/>
    <col min="15" max="15" width="10.42578125" style="29" customWidth="1"/>
    <col min="16" max="16" width="7.42578125" style="29" bestFit="1" customWidth="1"/>
    <col min="17" max="16384" width="9.140625" style="29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s="29" t="s">
        <v>16</v>
      </c>
      <c r="C3" s="29" t="s">
        <v>684</v>
      </c>
      <c r="D3" s="29" t="s">
        <v>685</v>
      </c>
      <c r="E3" s="29" t="s">
        <v>686</v>
      </c>
      <c r="F3" s="30">
        <v>9</v>
      </c>
      <c r="G3" s="30">
        <v>0</v>
      </c>
      <c r="H3" s="30">
        <v>30</v>
      </c>
      <c r="I3" s="30">
        <f>-H3</f>
        <v>-30</v>
      </c>
      <c r="J3" s="29" t="s">
        <v>37</v>
      </c>
      <c r="K3" s="29" t="s">
        <v>18</v>
      </c>
      <c r="L3" s="29" t="s">
        <v>687</v>
      </c>
      <c r="Q3" s="29">
        <v>1</v>
      </c>
    </row>
    <row r="4" spans="1:17" x14ac:dyDescent="0.25">
      <c r="B4" s="29" t="s">
        <v>16</v>
      </c>
      <c r="C4" s="29" t="s">
        <v>688</v>
      </c>
      <c r="D4" s="29" t="s">
        <v>689</v>
      </c>
      <c r="E4" s="29" t="s">
        <v>690</v>
      </c>
      <c r="F4" s="30">
        <v>9</v>
      </c>
      <c r="G4" s="30">
        <v>790</v>
      </c>
      <c r="H4" s="30">
        <v>30</v>
      </c>
      <c r="I4" s="30">
        <f>G4-H4</f>
        <v>760</v>
      </c>
      <c r="J4" s="29" t="s">
        <v>37</v>
      </c>
      <c r="K4" s="29" t="s">
        <v>18</v>
      </c>
      <c r="L4" s="29" t="s">
        <v>687</v>
      </c>
      <c r="Q4" s="29">
        <v>1</v>
      </c>
    </row>
    <row r="5" spans="1:17" x14ac:dyDescent="0.25">
      <c r="B5" s="29" t="s">
        <v>16</v>
      </c>
      <c r="C5" s="29" t="s">
        <v>691</v>
      </c>
      <c r="D5" s="29" t="s">
        <v>692</v>
      </c>
      <c r="E5" s="29" t="s">
        <v>693</v>
      </c>
      <c r="F5" s="30">
        <v>9</v>
      </c>
      <c r="G5" s="30">
        <v>0</v>
      </c>
      <c r="H5" s="30">
        <v>30</v>
      </c>
      <c r="I5" s="30">
        <f>-H5</f>
        <v>-30</v>
      </c>
      <c r="J5" s="29" t="s">
        <v>37</v>
      </c>
      <c r="K5" s="29" t="s">
        <v>18</v>
      </c>
      <c r="L5" s="29" t="s">
        <v>687</v>
      </c>
      <c r="Q5" s="29">
        <v>1</v>
      </c>
    </row>
    <row r="6" spans="1:17" x14ac:dyDescent="0.25">
      <c r="B6" s="29" t="s">
        <v>16</v>
      </c>
      <c r="C6" s="29" t="s">
        <v>694</v>
      </c>
      <c r="D6" s="29" t="s">
        <v>695</v>
      </c>
      <c r="E6" s="29" t="s">
        <v>696</v>
      </c>
      <c r="F6" s="30">
        <v>9</v>
      </c>
      <c r="G6" s="30">
        <v>980</v>
      </c>
      <c r="H6" s="30">
        <v>30</v>
      </c>
      <c r="I6" s="30">
        <f t="shared" ref="I6:I12" si="0">G6-H6</f>
        <v>950</v>
      </c>
      <c r="J6" s="29" t="s">
        <v>37</v>
      </c>
      <c r="K6" s="29" t="s">
        <v>18</v>
      </c>
      <c r="L6" s="29" t="s">
        <v>687</v>
      </c>
      <c r="Q6" s="29">
        <v>1</v>
      </c>
    </row>
    <row r="7" spans="1:17" x14ac:dyDescent="0.25">
      <c r="B7" s="29" t="s">
        <v>16</v>
      </c>
      <c r="C7" s="29" t="s">
        <v>697</v>
      </c>
      <c r="D7" s="29" t="s">
        <v>698</v>
      </c>
      <c r="E7" s="29" t="s">
        <v>699</v>
      </c>
      <c r="F7" s="30">
        <v>8</v>
      </c>
      <c r="G7" s="30">
        <v>745</v>
      </c>
      <c r="H7" s="30">
        <v>25</v>
      </c>
      <c r="I7" s="30">
        <f t="shared" si="0"/>
        <v>720</v>
      </c>
      <c r="J7" s="29" t="s">
        <v>700</v>
      </c>
      <c r="K7" s="29" t="s">
        <v>18</v>
      </c>
      <c r="L7" s="29" t="s">
        <v>687</v>
      </c>
      <c r="Q7" s="29">
        <v>1</v>
      </c>
    </row>
    <row r="8" spans="1:17" x14ac:dyDescent="0.25">
      <c r="B8" s="29" t="s">
        <v>16</v>
      </c>
      <c r="C8" s="29" t="s">
        <v>90</v>
      </c>
      <c r="D8" s="29" t="s">
        <v>701</v>
      </c>
      <c r="E8" s="29" t="s">
        <v>702</v>
      </c>
      <c r="F8" s="29" t="s">
        <v>22</v>
      </c>
      <c r="G8" s="30">
        <v>510</v>
      </c>
      <c r="H8" s="30">
        <v>30</v>
      </c>
      <c r="I8" s="30">
        <f t="shared" si="0"/>
        <v>480</v>
      </c>
      <c r="J8" s="29" t="s">
        <v>700</v>
      </c>
      <c r="K8" s="29" t="s">
        <v>18</v>
      </c>
      <c r="L8" s="29" t="s">
        <v>687</v>
      </c>
      <c r="Q8" s="29">
        <v>1</v>
      </c>
    </row>
    <row r="9" spans="1:17" x14ac:dyDescent="0.25">
      <c r="B9" s="29" t="s">
        <v>16</v>
      </c>
      <c r="C9" s="29" t="s">
        <v>703</v>
      </c>
      <c r="D9" s="29" t="s">
        <v>704</v>
      </c>
      <c r="E9" s="29" t="s">
        <v>705</v>
      </c>
      <c r="F9" s="30">
        <v>12</v>
      </c>
      <c r="G9" s="30">
        <v>760</v>
      </c>
      <c r="H9" s="30">
        <v>30</v>
      </c>
      <c r="I9" s="30">
        <f t="shared" si="0"/>
        <v>730</v>
      </c>
      <c r="J9" s="29" t="s">
        <v>700</v>
      </c>
      <c r="K9" s="29" t="s">
        <v>18</v>
      </c>
      <c r="L9" s="29" t="s">
        <v>687</v>
      </c>
      <c r="Q9" s="29">
        <v>1</v>
      </c>
    </row>
    <row r="10" spans="1:17" x14ac:dyDescent="0.25">
      <c r="B10" s="29" t="s">
        <v>16</v>
      </c>
      <c r="C10" s="29" t="s">
        <v>706</v>
      </c>
      <c r="D10" s="29" t="s">
        <v>707</v>
      </c>
      <c r="E10" s="29" t="s">
        <v>708</v>
      </c>
      <c r="F10" s="29" t="s">
        <v>22</v>
      </c>
      <c r="G10" s="30">
        <v>1530</v>
      </c>
      <c r="H10" s="30">
        <v>30</v>
      </c>
      <c r="I10" s="30">
        <f t="shared" si="0"/>
        <v>1500</v>
      </c>
      <c r="J10" s="29" t="s">
        <v>700</v>
      </c>
      <c r="K10" s="29" t="s">
        <v>18</v>
      </c>
      <c r="L10" s="29" t="s">
        <v>687</v>
      </c>
      <c r="Q10" s="29">
        <v>1</v>
      </c>
    </row>
    <row r="11" spans="1:17" x14ac:dyDescent="0.25">
      <c r="B11" s="29" t="s">
        <v>16</v>
      </c>
      <c r="C11" s="29" t="s">
        <v>709</v>
      </c>
      <c r="D11" s="29" t="s">
        <v>710</v>
      </c>
      <c r="E11" s="29" t="s">
        <v>711</v>
      </c>
      <c r="F11" s="29" t="s">
        <v>22</v>
      </c>
      <c r="G11" s="30">
        <v>940</v>
      </c>
      <c r="H11" s="30">
        <v>30</v>
      </c>
      <c r="I11" s="30">
        <f t="shared" si="0"/>
        <v>910</v>
      </c>
      <c r="J11" s="29" t="s">
        <v>700</v>
      </c>
      <c r="K11" s="29" t="s">
        <v>18</v>
      </c>
      <c r="L11" s="29" t="s">
        <v>687</v>
      </c>
      <c r="Q11" s="29">
        <v>1</v>
      </c>
    </row>
    <row r="12" spans="1:17" x14ac:dyDescent="0.25">
      <c r="B12" s="29" t="s">
        <v>16</v>
      </c>
      <c r="C12" s="29" t="s">
        <v>712</v>
      </c>
      <c r="D12" s="29" t="s">
        <v>713</v>
      </c>
      <c r="E12" s="29" t="s">
        <v>714</v>
      </c>
      <c r="F12" s="29" t="s">
        <v>28</v>
      </c>
      <c r="G12" s="30">
        <v>985</v>
      </c>
      <c r="H12" s="30">
        <v>25</v>
      </c>
      <c r="I12" s="30">
        <f t="shared" si="0"/>
        <v>960</v>
      </c>
      <c r="J12" s="29" t="s">
        <v>700</v>
      </c>
      <c r="K12" s="29" t="s">
        <v>18</v>
      </c>
      <c r="L12" s="29" t="s">
        <v>687</v>
      </c>
      <c r="Q12" s="29">
        <v>1</v>
      </c>
    </row>
    <row r="13" spans="1:17" x14ac:dyDescent="0.25">
      <c r="B13" s="29" t="s">
        <v>16</v>
      </c>
      <c r="C13" s="29" t="s">
        <v>715</v>
      </c>
      <c r="D13" s="29" t="s">
        <v>716</v>
      </c>
      <c r="E13" s="29" t="s">
        <v>717</v>
      </c>
      <c r="F13" s="30">
        <v>8</v>
      </c>
      <c r="G13" s="30">
        <v>0</v>
      </c>
      <c r="H13" s="30">
        <v>25</v>
      </c>
      <c r="I13" s="30">
        <f>-H13</f>
        <v>-25</v>
      </c>
      <c r="J13" s="29" t="s">
        <v>700</v>
      </c>
      <c r="K13" s="29" t="s">
        <v>18</v>
      </c>
      <c r="L13" s="29" t="s">
        <v>687</v>
      </c>
      <c r="Q13" s="29">
        <v>1</v>
      </c>
    </row>
    <row r="14" spans="1:17" x14ac:dyDescent="0.25">
      <c r="B14" s="29" t="s">
        <v>16</v>
      </c>
      <c r="C14" s="29" t="s">
        <v>718</v>
      </c>
      <c r="D14" s="29" t="s">
        <v>719</v>
      </c>
      <c r="E14" s="29" t="s">
        <v>720</v>
      </c>
      <c r="F14" s="30">
        <v>2</v>
      </c>
      <c r="G14" s="30">
        <v>750</v>
      </c>
      <c r="H14" s="30">
        <v>30</v>
      </c>
      <c r="I14" s="30">
        <f>G14-H14</f>
        <v>720</v>
      </c>
      <c r="J14" s="29" t="s">
        <v>18</v>
      </c>
      <c r="K14" s="29" t="s">
        <v>18</v>
      </c>
      <c r="L14" s="29" t="s">
        <v>687</v>
      </c>
      <c r="Q14" s="29">
        <v>1</v>
      </c>
    </row>
    <row r="15" spans="1:17" x14ac:dyDescent="0.25">
      <c r="B15" s="29" t="s">
        <v>16</v>
      </c>
      <c r="C15" s="29" t="s">
        <v>721</v>
      </c>
      <c r="D15" s="29" t="s">
        <v>722</v>
      </c>
      <c r="E15" s="29" t="s">
        <v>723</v>
      </c>
      <c r="F15" s="29" t="s">
        <v>30</v>
      </c>
      <c r="G15" s="30">
        <v>695</v>
      </c>
      <c r="H15" s="30">
        <v>25</v>
      </c>
      <c r="I15" s="30">
        <f>G15-H15</f>
        <v>670</v>
      </c>
      <c r="J15" s="29" t="s">
        <v>18</v>
      </c>
      <c r="K15" s="29" t="s">
        <v>18</v>
      </c>
      <c r="L15" s="29" t="s">
        <v>687</v>
      </c>
      <c r="Q15" s="29">
        <v>1</v>
      </c>
    </row>
    <row r="16" spans="1:17" x14ac:dyDescent="0.25">
      <c r="B16" s="29" t="s">
        <v>16</v>
      </c>
      <c r="C16" s="29" t="s">
        <v>724</v>
      </c>
      <c r="D16" s="29" t="s">
        <v>725</v>
      </c>
      <c r="E16" s="29" t="s">
        <v>726</v>
      </c>
      <c r="F16" s="29" t="s">
        <v>20</v>
      </c>
      <c r="G16" s="30">
        <v>0</v>
      </c>
      <c r="H16" s="30">
        <v>30</v>
      </c>
      <c r="I16" s="30">
        <f>-H16</f>
        <v>-30</v>
      </c>
      <c r="J16" s="29" t="s">
        <v>18</v>
      </c>
      <c r="K16" s="29" t="s">
        <v>18</v>
      </c>
      <c r="L16" s="29" t="s">
        <v>687</v>
      </c>
      <c r="Q16" s="29">
        <v>1</v>
      </c>
    </row>
    <row r="17" spans="1:17" x14ac:dyDescent="0.25">
      <c r="B17" s="29" t="s">
        <v>16</v>
      </c>
      <c r="C17" s="29" t="s">
        <v>727</v>
      </c>
      <c r="D17" s="29" t="s">
        <v>728</v>
      </c>
      <c r="E17" s="29" t="s">
        <v>729</v>
      </c>
      <c r="F17" s="29" t="s">
        <v>20</v>
      </c>
      <c r="G17" s="30">
        <v>900</v>
      </c>
      <c r="H17" s="30">
        <v>30</v>
      </c>
      <c r="I17" s="30">
        <f>G17-H17</f>
        <v>870</v>
      </c>
      <c r="J17" s="29" t="s">
        <v>18</v>
      </c>
      <c r="K17" s="29" t="s">
        <v>18</v>
      </c>
      <c r="L17" s="29" t="s">
        <v>687</v>
      </c>
      <c r="Q17" s="29">
        <v>1</v>
      </c>
    </row>
    <row r="18" spans="1:17" x14ac:dyDescent="0.25">
      <c r="B18" s="29" t="s">
        <v>16</v>
      </c>
      <c r="C18" s="29" t="s">
        <v>730</v>
      </c>
      <c r="D18" s="29" t="s">
        <v>731</v>
      </c>
      <c r="E18" s="29" t="s">
        <v>732</v>
      </c>
      <c r="F18" s="29" t="s">
        <v>20</v>
      </c>
      <c r="G18" s="30">
        <v>620</v>
      </c>
      <c r="H18" s="30">
        <v>30</v>
      </c>
      <c r="I18" s="30">
        <f>G18-H18</f>
        <v>590</v>
      </c>
      <c r="J18" s="29" t="s">
        <v>18</v>
      </c>
      <c r="K18" s="29" t="s">
        <v>18</v>
      </c>
      <c r="L18" s="29" t="s">
        <v>687</v>
      </c>
      <c r="Q18" s="29">
        <v>1</v>
      </c>
    </row>
    <row r="19" spans="1:17" x14ac:dyDescent="0.25">
      <c r="B19" s="29" t="s">
        <v>16</v>
      </c>
      <c r="C19" s="29" t="s">
        <v>733</v>
      </c>
      <c r="D19" s="29" t="s">
        <v>734</v>
      </c>
      <c r="E19" s="29" t="s">
        <v>735</v>
      </c>
      <c r="F19" s="29" t="s">
        <v>28</v>
      </c>
      <c r="G19" s="30">
        <v>0</v>
      </c>
      <c r="H19" s="30">
        <v>25</v>
      </c>
      <c r="I19" s="30">
        <f>-H19</f>
        <v>-25</v>
      </c>
      <c r="J19" s="29" t="s">
        <v>18</v>
      </c>
      <c r="K19" s="29" t="s">
        <v>18</v>
      </c>
      <c r="L19" s="29" t="s">
        <v>687</v>
      </c>
      <c r="Q19" s="29">
        <v>1</v>
      </c>
    </row>
    <row r="21" spans="1:17" x14ac:dyDescent="0.25">
      <c r="D21" s="32">
        <f>COUNTA(D3:D19)</f>
        <v>17</v>
      </c>
      <c r="G21" s="32">
        <f t="shared" ref="G21:Q21" si="1">SUBTOTAL(9,G3:G19)</f>
        <v>10205</v>
      </c>
      <c r="H21" s="32">
        <f t="shared" si="1"/>
        <v>485</v>
      </c>
      <c r="I21" s="32">
        <f t="shared" si="1"/>
        <v>9720</v>
      </c>
      <c r="J21" s="32">
        <f t="shared" si="1"/>
        <v>0</v>
      </c>
      <c r="K21" s="32">
        <f t="shared" si="1"/>
        <v>0</v>
      </c>
      <c r="L21" s="32">
        <f t="shared" si="1"/>
        <v>0</v>
      </c>
      <c r="M21" s="32">
        <f t="shared" si="1"/>
        <v>0</v>
      </c>
      <c r="N21" s="32">
        <f t="shared" si="1"/>
        <v>0</v>
      </c>
      <c r="O21" s="32">
        <f t="shared" si="1"/>
        <v>0</v>
      </c>
      <c r="P21" s="32">
        <f t="shared" si="1"/>
        <v>0</v>
      </c>
      <c r="Q21" s="32">
        <f t="shared" si="1"/>
        <v>17</v>
      </c>
    </row>
    <row r="22" spans="1:17" x14ac:dyDescent="0.25">
      <c r="H22" s="29">
        <f>-3*17</f>
        <v>-51</v>
      </c>
    </row>
    <row r="23" spans="1:17" x14ac:dyDescent="0.25">
      <c r="A23" s="32" t="s">
        <v>16</v>
      </c>
      <c r="C23" s="42" t="s">
        <v>46</v>
      </c>
      <c r="D23" s="42"/>
      <c r="E23" s="33" t="s">
        <v>47</v>
      </c>
      <c r="H23" s="29">
        <f>-4*25</f>
        <v>-100</v>
      </c>
      <c r="K23" s="34" t="s">
        <v>700</v>
      </c>
      <c r="L23" s="34" t="s">
        <v>48</v>
      </c>
      <c r="M23" s="34" t="s">
        <v>47</v>
      </c>
      <c r="O23" s="33" t="s">
        <v>72</v>
      </c>
    </row>
    <row r="24" spans="1:17" x14ac:dyDescent="0.25">
      <c r="A24" s="29" t="s">
        <v>687</v>
      </c>
      <c r="B24" s="35" t="s">
        <v>49</v>
      </c>
      <c r="C24" s="43">
        <f>SUMIFS(I$3:I$19,B$3:B$19,A$23,L$3:L$19,A$24)</f>
        <v>9720</v>
      </c>
      <c r="D24" s="43"/>
      <c r="E24" s="35">
        <f>SUMIFS(Q$3:Q$19,B$3:B$19,A$23,L$3:L$19,A$24)</f>
        <v>17</v>
      </c>
      <c r="F24" s="29" t="s">
        <v>73</v>
      </c>
      <c r="K24" s="29" t="s">
        <v>50</v>
      </c>
      <c r="L24" s="29">
        <f>SUMIFS(G$3:G$19,J$3:J$19,K$23)</f>
        <v>5470</v>
      </c>
      <c r="M24" s="29">
        <f>SUMIFS(Q$3:Q$19,J$3:J$19,K$23)</f>
        <v>7</v>
      </c>
      <c r="O24" s="29" t="s">
        <v>736</v>
      </c>
      <c r="P24" s="29">
        <f>L29</f>
        <v>5319</v>
      </c>
    </row>
    <row r="25" spans="1:17" x14ac:dyDescent="0.25">
      <c r="B25" s="36" t="s">
        <v>108</v>
      </c>
      <c r="C25" s="44">
        <v>0</v>
      </c>
      <c r="D25" s="44"/>
      <c r="K25" s="29" t="s">
        <v>51</v>
      </c>
      <c r="L25" s="29">
        <f>SUM(H22:H23)</f>
        <v>-151</v>
      </c>
      <c r="M25" s="29">
        <f>SUMIFS(Q$3:Q$19,J$3:J$19,K$23)</f>
        <v>7</v>
      </c>
      <c r="O25" s="29" t="s">
        <v>37</v>
      </c>
      <c r="P25" s="29">
        <f>L37</f>
        <v>1670</v>
      </c>
    </row>
    <row r="26" spans="1:17" x14ac:dyDescent="0.25">
      <c r="B26" s="36" t="s">
        <v>52</v>
      </c>
      <c r="C26" s="44">
        <f>-SUMIFS(I$3:I$19,B$3:B$19,A$23,P$3:P$19,"xx",N$3:N$19,"x")</f>
        <v>0</v>
      </c>
      <c r="D26" s="44"/>
      <c r="E26" s="36">
        <f>SUMIFS(Q$3:Q$19,B$3:B$19,A$23,P$3:P$19,"xx",N$3:N$19,"x")</f>
        <v>0</v>
      </c>
      <c r="K26" s="29" t="s">
        <v>74</v>
      </c>
      <c r="O26" s="29" t="s">
        <v>18</v>
      </c>
      <c r="P26" s="29">
        <f>L45</f>
        <v>2791</v>
      </c>
    </row>
    <row r="27" spans="1:17" x14ac:dyDescent="0.25">
      <c r="B27" s="33" t="s">
        <v>53</v>
      </c>
      <c r="C27" s="42">
        <f>SUBTOTAL(9,C24:C26)</f>
        <v>9720</v>
      </c>
      <c r="D27" s="42"/>
      <c r="E27" s="29">
        <f>E24</f>
        <v>17</v>
      </c>
      <c r="K27" s="36" t="s">
        <v>25</v>
      </c>
      <c r="O27" s="29" t="s">
        <v>76</v>
      </c>
      <c r="P27" s="29">
        <f>-C31</f>
        <v>-9720</v>
      </c>
    </row>
    <row r="28" spans="1:17" x14ac:dyDescent="0.25">
      <c r="B28" s="36" t="s">
        <v>75</v>
      </c>
      <c r="C28" s="40"/>
      <c r="D28" s="40"/>
      <c r="K28" s="36" t="s">
        <v>54</v>
      </c>
      <c r="O28" s="33" t="s">
        <v>77</v>
      </c>
      <c r="P28" s="33">
        <f>SUBTOTAL(9,P24:P27)</f>
        <v>60</v>
      </c>
    </row>
    <row r="29" spans="1:17" x14ac:dyDescent="0.25">
      <c r="B29" s="37" t="s">
        <v>55</v>
      </c>
      <c r="C29" s="40"/>
      <c r="D29" s="40"/>
      <c r="L29" s="38">
        <f>SUBTOTAL(9,L24:L28)</f>
        <v>5319</v>
      </c>
      <c r="M29" s="38">
        <f>M24</f>
        <v>7</v>
      </c>
    </row>
    <row r="31" spans="1:17" x14ac:dyDescent="0.25">
      <c r="B31" s="32" t="s">
        <v>56</v>
      </c>
      <c r="C31" s="41">
        <f>C27+C28+C29</f>
        <v>9720</v>
      </c>
      <c r="D31" s="41"/>
      <c r="E31" s="32" t="s">
        <v>57</v>
      </c>
      <c r="K31" s="34" t="s">
        <v>37</v>
      </c>
      <c r="L31" s="34" t="s">
        <v>48</v>
      </c>
      <c r="M31" s="34" t="s">
        <v>47</v>
      </c>
    </row>
    <row r="32" spans="1:17" x14ac:dyDescent="0.25">
      <c r="K32" s="29" t="s">
        <v>50</v>
      </c>
      <c r="L32" s="29">
        <f>SUMIFS(G$3:G$19,J$3:J$19,K$31)</f>
        <v>1770</v>
      </c>
      <c r="M32" s="29">
        <f>SUMIFS(Q$3:Q$19,J$3:J$19,K$31)</f>
        <v>4</v>
      </c>
    </row>
    <row r="33" spans="11:13" x14ac:dyDescent="0.25">
      <c r="K33" s="29" t="s">
        <v>51</v>
      </c>
      <c r="L33" s="29">
        <f>-SUMIFS(H$3:H$19,J$3:J$19,K$31)+M33*5</f>
        <v>-100</v>
      </c>
      <c r="M33" s="29">
        <f>SUMIFS(Q$3:Q$19,J$3:J$19,K$31)-COUNTIFS(J$3:J$19,K$31,M$3:M$19,"*gộp*")</f>
        <v>4</v>
      </c>
    </row>
    <row r="34" spans="11:13" x14ac:dyDescent="0.25">
      <c r="K34" s="29" t="s">
        <v>74</v>
      </c>
    </row>
    <row r="35" spans="11:13" x14ac:dyDescent="0.25">
      <c r="K35" s="36" t="s">
        <v>25</v>
      </c>
    </row>
    <row r="36" spans="11:13" x14ac:dyDescent="0.25">
      <c r="K36" s="36" t="s">
        <v>54</v>
      </c>
    </row>
    <row r="37" spans="11:13" x14ac:dyDescent="0.25">
      <c r="L37" s="38">
        <f>SUBTOTAL(9,L32:L36)</f>
        <v>1670</v>
      </c>
      <c r="M37" s="38">
        <f>M32</f>
        <v>4</v>
      </c>
    </row>
    <row r="39" spans="11:13" x14ac:dyDescent="0.25">
      <c r="K39" s="34" t="s">
        <v>18</v>
      </c>
      <c r="L39" s="34" t="s">
        <v>48</v>
      </c>
      <c r="M39" s="34" t="s">
        <v>47</v>
      </c>
    </row>
    <row r="40" spans="11:13" x14ac:dyDescent="0.25">
      <c r="K40" s="29" t="s">
        <v>50</v>
      </c>
      <c r="L40" s="29">
        <f>SUMIFS(G$3:G$19,J$3:J$19,K$39)</f>
        <v>2965</v>
      </c>
      <c r="M40" s="29">
        <f>SUMIFS(Q$3:Q$19,J$3:J$19,K$39)</f>
        <v>6</v>
      </c>
    </row>
    <row r="41" spans="11:13" x14ac:dyDescent="0.25">
      <c r="K41" s="29" t="s">
        <v>51</v>
      </c>
      <c r="L41" s="29">
        <f>-SUMIFS(H$3:H$19,J$3:J$19,K$39)+M41*5</f>
        <v>-140</v>
      </c>
      <c r="M41" s="29">
        <f>SUMIFS(Q$3:Q$19,J$3:J$19,K$39)-COUNTIFS(J$3:J$19,K$39,M$3:M$19,"*gộp*")</f>
        <v>6</v>
      </c>
    </row>
    <row r="42" spans="11:13" x14ac:dyDescent="0.25">
      <c r="K42" s="29" t="s">
        <v>74</v>
      </c>
      <c r="L42" s="29">
        <f>-M42*2</f>
        <v>-34</v>
      </c>
      <c r="M42" s="29">
        <f>Q21-(COUNTIFS(M$3:M$19,"*gộp*")/2)</f>
        <v>17</v>
      </c>
    </row>
    <row r="43" spans="11:13" x14ac:dyDescent="0.25">
      <c r="K43" s="36" t="s">
        <v>25</v>
      </c>
    </row>
    <row r="44" spans="11:13" x14ac:dyDescent="0.25">
      <c r="K44" s="36" t="s">
        <v>54</v>
      </c>
    </row>
    <row r="45" spans="11:13" x14ac:dyDescent="0.25">
      <c r="L45" s="38">
        <f>SUBTOTAL(9,L40:L44)</f>
        <v>2791</v>
      </c>
      <c r="M45" s="38">
        <f>M40</f>
        <v>6</v>
      </c>
    </row>
  </sheetData>
  <autoFilter ref="A2:P19" xr:uid="{00000000-0009-0000-0000-000000000000}">
    <sortState xmlns:xlrd2="http://schemas.microsoft.com/office/spreadsheetml/2017/richdata2" ref="A3:P19">
      <sortCondition ref="J2:J19"/>
    </sortState>
  </autoFilter>
  <mergeCells count="8">
    <mergeCell ref="C29:D29"/>
    <mergeCell ref="C31:D31"/>
    <mergeCell ref="C23:D23"/>
    <mergeCell ref="C24:D24"/>
    <mergeCell ref="C25:D25"/>
    <mergeCell ref="C26:D26"/>
    <mergeCell ref="C27:D27"/>
    <mergeCell ref="C28:D28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A90C4-C6DD-4189-8E34-D7285CDD91D0}">
  <dimension ref="A2:Q67"/>
  <sheetViews>
    <sheetView topLeftCell="A28" zoomScale="80" zoomScaleNormal="80" workbookViewId="0">
      <selection activeCell="A33" sqref="A33:XFD33"/>
    </sheetView>
  </sheetViews>
  <sheetFormatPr defaultRowHeight="15" x14ac:dyDescent="0.25"/>
  <cols>
    <col min="1" max="1" width="12.7109375" style="29" customWidth="1"/>
    <col min="2" max="2" width="17.7109375" style="29" customWidth="1"/>
    <col min="3" max="3" width="48" style="29" customWidth="1"/>
    <col min="4" max="4" width="9.85546875" style="29" customWidth="1"/>
    <col min="5" max="5" width="97.140625" style="29" customWidth="1"/>
    <col min="6" max="6" width="10.7109375" style="29" customWidth="1"/>
    <col min="7" max="7" width="9.140625" style="29" customWidth="1"/>
    <col min="8" max="8" width="9.5703125" style="29" customWidth="1"/>
    <col min="9" max="9" width="10.5703125" style="29" customWidth="1"/>
    <col min="10" max="10" width="9.7109375" style="29" customWidth="1"/>
    <col min="11" max="11" width="10.85546875" style="29" customWidth="1"/>
    <col min="12" max="12" width="13" style="29" bestFit="1" customWidth="1"/>
    <col min="13" max="13" width="9.42578125" style="29" customWidth="1"/>
    <col min="14" max="14" width="9.7109375" style="29" customWidth="1"/>
    <col min="15" max="15" width="10.42578125" style="29" customWidth="1"/>
    <col min="16" max="16" width="7.85546875" style="29" bestFit="1" customWidth="1"/>
    <col min="17" max="17" width="6.42578125" style="29" customWidth="1"/>
    <col min="18" max="16384" width="9.140625" style="29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85</v>
      </c>
    </row>
    <row r="3" spans="1:17" x14ac:dyDescent="0.25">
      <c r="B3" s="29" t="s">
        <v>16</v>
      </c>
      <c r="C3" s="29" t="s">
        <v>737</v>
      </c>
      <c r="D3" s="29" t="s">
        <v>738</v>
      </c>
      <c r="E3" s="29" t="s">
        <v>739</v>
      </c>
      <c r="F3" s="30">
        <v>9</v>
      </c>
      <c r="G3" s="30">
        <v>0</v>
      </c>
      <c r="H3" s="30">
        <v>30</v>
      </c>
      <c r="I3" s="30">
        <f>-H3</f>
        <v>-30</v>
      </c>
      <c r="J3" s="29" t="s">
        <v>37</v>
      </c>
      <c r="K3" s="29" t="s">
        <v>18</v>
      </c>
      <c r="L3" s="29" t="s">
        <v>740</v>
      </c>
      <c r="Q3" s="30">
        <v>1</v>
      </c>
    </row>
    <row r="4" spans="1:17" x14ac:dyDescent="0.25">
      <c r="B4" s="29" t="s">
        <v>16</v>
      </c>
      <c r="C4" s="29" t="s">
        <v>741</v>
      </c>
      <c r="D4" s="29" t="s">
        <v>742</v>
      </c>
      <c r="E4" s="29" t="s">
        <v>743</v>
      </c>
      <c r="F4" s="30">
        <v>7</v>
      </c>
      <c r="G4" s="30">
        <v>0</v>
      </c>
      <c r="H4" s="30">
        <v>30</v>
      </c>
      <c r="I4" s="30">
        <f>-H4</f>
        <v>-30</v>
      </c>
      <c r="J4" s="29" t="s">
        <v>744</v>
      </c>
      <c r="K4" s="29" t="s">
        <v>18</v>
      </c>
      <c r="L4" s="29" t="s">
        <v>740</v>
      </c>
      <c r="Q4" s="30">
        <v>1</v>
      </c>
    </row>
    <row r="5" spans="1:17" x14ac:dyDescent="0.25">
      <c r="B5" s="29" t="s">
        <v>16</v>
      </c>
      <c r="C5" s="29" t="s">
        <v>745</v>
      </c>
      <c r="D5" s="29" t="s">
        <v>746</v>
      </c>
      <c r="E5" s="29" t="s">
        <v>747</v>
      </c>
      <c r="F5" s="30">
        <v>7</v>
      </c>
      <c r="G5" s="30">
        <v>920</v>
      </c>
      <c r="H5" s="30">
        <v>30</v>
      </c>
      <c r="I5" s="30">
        <f t="shared" ref="I5:I23" si="0">G5-H5</f>
        <v>890</v>
      </c>
      <c r="J5" s="29" t="s">
        <v>744</v>
      </c>
      <c r="K5" s="29" t="s">
        <v>18</v>
      </c>
      <c r="L5" s="29" t="s">
        <v>740</v>
      </c>
      <c r="Q5" s="30">
        <v>1</v>
      </c>
    </row>
    <row r="6" spans="1:17" x14ac:dyDescent="0.25">
      <c r="B6" s="29" t="s">
        <v>16</v>
      </c>
      <c r="C6" s="29" t="s">
        <v>748</v>
      </c>
      <c r="D6" s="29" t="s">
        <v>749</v>
      </c>
      <c r="E6" s="29" t="s">
        <v>750</v>
      </c>
      <c r="F6" s="29" t="s">
        <v>323</v>
      </c>
      <c r="G6" s="30">
        <v>415</v>
      </c>
      <c r="H6" s="30">
        <v>35</v>
      </c>
      <c r="I6" s="30">
        <f t="shared" si="0"/>
        <v>380</v>
      </c>
      <c r="J6" s="29" t="s">
        <v>744</v>
      </c>
      <c r="K6" s="29" t="s">
        <v>18</v>
      </c>
      <c r="L6" s="29" t="s">
        <v>740</v>
      </c>
      <c r="Q6" s="30">
        <v>1</v>
      </c>
    </row>
    <row r="7" spans="1:17" x14ac:dyDescent="0.25">
      <c r="B7" s="29" t="s">
        <v>16</v>
      </c>
      <c r="C7" s="29" t="s">
        <v>751</v>
      </c>
      <c r="D7" s="29" t="s">
        <v>752</v>
      </c>
      <c r="E7" s="29" t="s">
        <v>753</v>
      </c>
      <c r="F7" s="30">
        <v>8</v>
      </c>
      <c r="G7" s="30">
        <v>945</v>
      </c>
      <c r="H7" s="30">
        <v>25</v>
      </c>
      <c r="I7" s="30">
        <f t="shared" si="0"/>
        <v>920</v>
      </c>
      <c r="J7" s="29" t="s">
        <v>744</v>
      </c>
      <c r="K7" s="29" t="s">
        <v>18</v>
      </c>
      <c r="L7" s="29" t="s">
        <v>740</v>
      </c>
      <c r="Q7" s="30">
        <v>1</v>
      </c>
    </row>
    <row r="8" spans="1:17" x14ac:dyDescent="0.25">
      <c r="B8" s="29" t="s">
        <v>16</v>
      </c>
      <c r="C8" s="29" t="s">
        <v>754</v>
      </c>
      <c r="D8" s="29" t="s">
        <v>755</v>
      </c>
      <c r="E8" s="29" t="s">
        <v>756</v>
      </c>
      <c r="F8" s="29" t="s">
        <v>22</v>
      </c>
      <c r="G8" s="30">
        <v>370</v>
      </c>
      <c r="H8" s="30">
        <v>30</v>
      </c>
      <c r="I8" s="30">
        <f t="shared" si="0"/>
        <v>340</v>
      </c>
      <c r="J8" s="29" t="s">
        <v>744</v>
      </c>
      <c r="K8" s="29" t="s">
        <v>18</v>
      </c>
      <c r="L8" s="29" t="s">
        <v>740</v>
      </c>
      <c r="Q8" s="30">
        <v>1</v>
      </c>
    </row>
    <row r="9" spans="1:17" x14ac:dyDescent="0.25">
      <c r="B9" s="29" t="s">
        <v>16</v>
      </c>
      <c r="C9" s="29" t="s">
        <v>757</v>
      </c>
      <c r="D9" s="29" t="s">
        <v>758</v>
      </c>
      <c r="E9" s="29" t="s">
        <v>759</v>
      </c>
      <c r="F9" s="29" t="s">
        <v>24</v>
      </c>
      <c r="G9" s="30">
        <v>815</v>
      </c>
      <c r="H9" s="30">
        <v>25</v>
      </c>
      <c r="I9" s="30">
        <f t="shared" si="0"/>
        <v>790</v>
      </c>
      <c r="J9" s="29" t="s">
        <v>744</v>
      </c>
      <c r="K9" s="29" t="s">
        <v>18</v>
      </c>
      <c r="L9" s="29" t="s">
        <v>740</v>
      </c>
      <c r="Q9" s="30">
        <v>1</v>
      </c>
    </row>
    <row r="10" spans="1:17" x14ac:dyDescent="0.25">
      <c r="B10" s="29" t="s">
        <v>16</v>
      </c>
      <c r="C10" s="29" t="s">
        <v>760</v>
      </c>
      <c r="D10" s="29" t="s">
        <v>761</v>
      </c>
      <c r="E10" s="29" t="s">
        <v>762</v>
      </c>
      <c r="F10" s="30">
        <v>7</v>
      </c>
      <c r="G10" s="30">
        <v>520</v>
      </c>
      <c r="H10" s="30">
        <v>30</v>
      </c>
      <c r="I10" s="30">
        <f t="shared" si="0"/>
        <v>490</v>
      </c>
      <c r="J10" s="29" t="s">
        <v>744</v>
      </c>
      <c r="K10" s="29" t="s">
        <v>18</v>
      </c>
      <c r="L10" s="29" t="s">
        <v>740</v>
      </c>
      <c r="Q10" s="30">
        <v>1</v>
      </c>
    </row>
    <row r="11" spans="1:17" x14ac:dyDescent="0.25">
      <c r="B11" s="29" t="s">
        <v>16</v>
      </c>
      <c r="C11" s="29" t="s">
        <v>763</v>
      </c>
      <c r="D11" s="29" t="s">
        <v>764</v>
      </c>
      <c r="E11" s="29" t="s">
        <v>765</v>
      </c>
      <c r="F11" s="29" t="s">
        <v>33</v>
      </c>
      <c r="G11" s="30">
        <v>825</v>
      </c>
      <c r="H11" s="30">
        <v>35</v>
      </c>
      <c r="I11" s="30">
        <f t="shared" si="0"/>
        <v>790</v>
      </c>
      <c r="J11" s="29" t="s">
        <v>744</v>
      </c>
      <c r="K11" s="29" t="s">
        <v>18</v>
      </c>
      <c r="L11" s="29" t="s">
        <v>740</v>
      </c>
      <c r="Q11" s="30">
        <v>1</v>
      </c>
    </row>
    <row r="12" spans="1:17" x14ac:dyDescent="0.25">
      <c r="B12" s="29" t="s">
        <v>16</v>
      </c>
      <c r="C12" s="29" t="s">
        <v>766</v>
      </c>
      <c r="D12" s="29" t="s">
        <v>767</v>
      </c>
      <c r="E12" s="29" t="s">
        <v>768</v>
      </c>
      <c r="F12" s="30">
        <v>7</v>
      </c>
      <c r="G12" s="30">
        <v>920</v>
      </c>
      <c r="H12" s="30">
        <v>30</v>
      </c>
      <c r="I12" s="30">
        <f t="shared" si="0"/>
        <v>890</v>
      </c>
      <c r="J12" s="29" t="s">
        <v>744</v>
      </c>
      <c r="K12" s="29" t="s">
        <v>18</v>
      </c>
      <c r="L12" s="29" t="s">
        <v>740</v>
      </c>
      <c r="Q12" s="30">
        <v>1</v>
      </c>
    </row>
    <row r="13" spans="1:17" x14ac:dyDescent="0.25">
      <c r="B13" s="29" t="s">
        <v>16</v>
      </c>
      <c r="C13" s="29" t="s">
        <v>769</v>
      </c>
      <c r="D13" s="29" t="s">
        <v>770</v>
      </c>
      <c r="E13" s="29" t="s">
        <v>771</v>
      </c>
      <c r="F13" s="30">
        <v>7</v>
      </c>
      <c r="G13" s="30">
        <v>460</v>
      </c>
      <c r="H13" s="30">
        <v>30</v>
      </c>
      <c r="I13" s="30">
        <f t="shared" si="0"/>
        <v>430</v>
      </c>
      <c r="J13" s="29" t="s">
        <v>744</v>
      </c>
      <c r="K13" s="29" t="s">
        <v>18</v>
      </c>
      <c r="L13" s="29" t="s">
        <v>740</v>
      </c>
      <c r="Q13" s="30">
        <v>1</v>
      </c>
    </row>
    <row r="14" spans="1:17" x14ac:dyDescent="0.25">
      <c r="B14" s="29" t="s">
        <v>16</v>
      </c>
      <c r="C14" s="29" t="s">
        <v>772</v>
      </c>
      <c r="D14" s="29" t="s">
        <v>773</v>
      </c>
      <c r="E14" s="29" t="s">
        <v>774</v>
      </c>
      <c r="F14" s="29" t="s">
        <v>22</v>
      </c>
      <c r="G14" s="30">
        <v>670</v>
      </c>
      <c r="H14" s="30">
        <v>30</v>
      </c>
      <c r="I14" s="30">
        <f t="shared" si="0"/>
        <v>640</v>
      </c>
      <c r="J14" s="29" t="s">
        <v>744</v>
      </c>
      <c r="K14" s="29" t="s">
        <v>18</v>
      </c>
      <c r="L14" s="29" t="s">
        <v>740</v>
      </c>
      <c r="Q14" s="30">
        <v>1</v>
      </c>
    </row>
    <row r="15" spans="1:17" x14ac:dyDescent="0.25">
      <c r="B15" s="29" t="s">
        <v>16</v>
      </c>
      <c r="C15" s="29" t="s">
        <v>775</v>
      </c>
      <c r="D15" s="29" t="s">
        <v>776</v>
      </c>
      <c r="E15" s="29" t="s">
        <v>777</v>
      </c>
      <c r="F15" s="29" t="s">
        <v>22</v>
      </c>
      <c r="G15" s="30">
        <v>780</v>
      </c>
      <c r="H15" s="30">
        <v>30</v>
      </c>
      <c r="I15" s="30">
        <f t="shared" si="0"/>
        <v>750</v>
      </c>
      <c r="J15" s="29" t="s">
        <v>744</v>
      </c>
      <c r="K15" s="29" t="s">
        <v>18</v>
      </c>
      <c r="L15" s="29" t="s">
        <v>740</v>
      </c>
      <c r="Q15" s="30">
        <v>1</v>
      </c>
    </row>
    <row r="16" spans="1:17" x14ac:dyDescent="0.25">
      <c r="B16" s="29" t="s">
        <v>16</v>
      </c>
      <c r="C16" s="29" t="s">
        <v>778</v>
      </c>
      <c r="D16" s="29" t="s">
        <v>779</v>
      </c>
      <c r="E16" s="29" t="s">
        <v>780</v>
      </c>
      <c r="F16" s="30">
        <v>8</v>
      </c>
      <c r="G16" s="30">
        <v>30</v>
      </c>
      <c r="H16" s="30">
        <v>30</v>
      </c>
      <c r="I16" s="30">
        <f t="shared" si="0"/>
        <v>0</v>
      </c>
      <c r="J16" s="29" t="s">
        <v>744</v>
      </c>
      <c r="K16" s="29" t="s">
        <v>18</v>
      </c>
      <c r="L16" s="29" t="s">
        <v>740</v>
      </c>
      <c r="M16" s="29" t="s">
        <v>66</v>
      </c>
      <c r="Q16" s="30">
        <v>1</v>
      </c>
    </row>
    <row r="17" spans="2:17" x14ac:dyDescent="0.25">
      <c r="B17" s="29" t="s">
        <v>16</v>
      </c>
      <c r="C17" s="29" t="s">
        <v>169</v>
      </c>
      <c r="D17" s="29" t="s">
        <v>781</v>
      </c>
      <c r="E17" s="29" t="s">
        <v>171</v>
      </c>
      <c r="F17" s="30">
        <v>7</v>
      </c>
      <c r="G17" s="30">
        <v>620</v>
      </c>
      <c r="H17" s="30">
        <v>30</v>
      </c>
      <c r="I17" s="30">
        <f t="shared" si="0"/>
        <v>590</v>
      </c>
      <c r="J17" s="29" t="s">
        <v>744</v>
      </c>
      <c r="K17" s="29" t="s">
        <v>18</v>
      </c>
      <c r="L17" s="29" t="s">
        <v>740</v>
      </c>
      <c r="Q17" s="30">
        <v>1</v>
      </c>
    </row>
    <row r="18" spans="2:17" x14ac:dyDescent="0.25">
      <c r="B18" s="29" t="s">
        <v>16</v>
      </c>
      <c r="C18" s="29" t="s">
        <v>782</v>
      </c>
      <c r="D18" s="29" t="s">
        <v>783</v>
      </c>
      <c r="E18" s="29" t="s">
        <v>784</v>
      </c>
      <c r="F18" s="29" t="s">
        <v>30</v>
      </c>
      <c r="G18" s="30">
        <v>25</v>
      </c>
      <c r="H18" s="30">
        <v>25</v>
      </c>
      <c r="I18" s="30">
        <f t="shared" si="0"/>
        <v>0</v>
      </c>
      <c r="J18" s="29" t="s">
        <v>18</v>
      </c>
      <c r="K18" s="29" t="s">
        <v>18</v>
      </c>
      <c r="L18" s="29" t="s">
        <v>740</v>
      </c>
      <c r="M18" s="29" t="s">
        <v>66</v>
      </c>
      <c r="Q18" s="30">
        <v>1</v>
      </c>
    </row>
    <row r="19" spans="2:17" x14ac:dyDescent="0.25">
      <c r="B19" s="29" t="s">
        <v>16</v>
      </c>
      <c r="C19" s="29" t="s">
        <v>785</v>
      </c>
      <c r="D19" s="29" t="s">
        <v>786</v>
      </c>
      <c r="E19" s="29" t="s">
        <v>787</v>
      </c>
      <c r="F19" s="29" t="s">
        <v>23</v>
      </c>
      <c r="G19" s="30">
        <v>790</v>
      </c>
      <c r="H19" s="30">
        <v>20</v>
      </c>
      <c r="I19" s="30">
        <f t="shared" si="0"/>
        <v>770</v>
      </c>
      <c r="J19" s="29" t="s">
        <v>18</v>
      </c>
      <c r="K19" s="29" t="s">
        <v>18</v>
      </c>
      <c r="L19" s="29" t="s">
        <v>740</v>
      </c>
      <c r="Q19" s="30">
        <v>1</v>
      </c>
    </row>
    <row r="20" spans="2:17" x14ac:dyDescent="0.25">
      <c r="B20" s="29" t="s">
        <v>16</v>
      </c>
      <c r="C20" s="29" t="s">
        <v>788</v>
      </c>
      <c r="D20" s="29" t="s">
        <v>789</v>
      </c>
      <c r="E20" s="29" t="s">
        <v>790</v>
      </c>
      <c r="F20" s="29" t="s">
        <v>28</v>
      </c>
      <c r="G20" s="30">
        <v>895</v>
      </c>
      <c r="H20" s="30">
        <v>25</v>
      </c>
      <c r="I20" s="30">
        <f t="shared" si="0"/>
        <v>870</v>
      </c>
      <c r="J20" s="29" t="s">
        <v>18</v>
      </c>
      <c r="K20" s="29" t="s">
        <v>18</v>
      </c>
      <c r="L20" s="29" t="s">
        <v>740</v>
      </c>
      <c r="Q20" s="30">
        <v>1</v>
      </c>
    </row>
    <row r="21" spans="2:17" x14ac:dyDescent="0.25">
      <c r="B21" s="29" t="s">
        <v>16</v>
      </c>
      <c r="C21" s="29" t="s">
        <v>791</v>
      </c>
      <c r="D21" s="29" t="s">
        <v>792</v>
      </c>
      <c r="E21" s="29" t="s">
        <v>793</v>
      </c>
      <c r="F21" s="29" t="s">
        <v>28</v>
      </c>
      <c r="G21" s="30">
        <v>885</v>
      </c>
      <c r="H21" s="30">
        <v>25</v>
      </c>
      <c r="I21" s="30">
        <f t="shared" si="0"/>
        <v>860</v>
      </c>
      <c r="J21" s="29" t="s">
        <v>18</v>
      </c>
      <c r="K21" s="29" t="s">
        <v>18</v>
      </c>
      <c r="L21" s="29" t="s">
        <v>740</v>
      </c>
      <c r="Q21" s="30">
        <v>1</v>
      </c>
    </row>
    <row r="22" spans="2:17" x14ac:dyDescent="0.25">
      <c r="B22" s="29" t="s">
        <v>16</v>
      </c>
      <c r="C22" s="29" t="s">
        <v>794</v>
      </c>
      <c r="D22" s="29" t="s">
        <v>795</v>
      </c>
      <c r="E22" s="29" t="s">
        <v>729</v>
      </c>
      <c r="F22" s="29" t="s">
        <v>20</v>
      </c>
      <c r="G22" s="30">
        <v>30</v>
      </c>
      <c r="H22" s="30">
        <v>30</v>
      </c>
      <c r="I22" s="30">
        <f t="shared" si="0"/>
        <v>0</v>
      </c>
      <c r="J22" s="29" t="s">
        <v>18</v>
      </c>
      <c r="K22" s="29" t="s">
        <v>18</v>
      </c>
      <c r="L22" s="29" t="s">
        <v>740</v>
      </c>
      <c r="M22" s="29" t="s">
        <v>66</v>
      </c>
      <c r="Q22" s="30">
        <v>1</v>
      </c>
    </row>
    <row r="23" spans="2:17" x14ac:dyDescent="0.25">
      <c r="B23" s="29" t="s">
        <v>16</v>
      </c>
      <c r="C23" s="29" t="s">
        <v>796</v>
      </c>
      <c r="D23" s="29" t="s">
        <v>797</v>
      </c>
      <c r="E23" s="29" t="s">
        <v>798</v>
      </c>
      <c r="F23" s="29" t="s">
        <v>30</v>
      </c>
      <c r="G23" s="30">
        <v>775</v>
      </c>
      <c r="H23" s="30">
        <v>25</v>
      </c>
      <c r="I23" s="30">
        <f t="shared" si="0"/>
        <v>750</v>
      </c>
      <c r="J23" s="29" t="s">
        <v>18</v>
      </c>
      <c r="K23" s="29" t="s">
        <v>18</v>
      </c>
      <c r="L23" s="29" t="s">
        <v>740</v>
      </c>
      <c r="Q23" s="30">
        <v>1</v>
      </c>
    </row>
    <row r="24" spans="2:17" x14ac:dyDescent="0.25">
      <c r="B24" s="29" t="s">
        <v>16</v>
      </c>
      <c r="C24" s="29" t="s">
        <v>799</v>
      </c>
      <c r="D24" s="29" t="s">
        <v>800</v>
      </c>
      <c r="E24" s="29" t="s">
        <v>801</v>
      </c>
      <c r="F24" s="29" t="s">
        <v>23</v>
      </c>
      <c r="G24" s="30">
        <v>0</v>
      </c>
      <c r="H24" s="30">
        <v>20</v>
      </c>
      <c r="I24" s="30">
        <f>-H24</f>
        <v>-20</v>
      </c>
      <c r="J24" s="29" t="s">
        <v>18</v>
      </c>
      <c r="K24" s="29" t="s">
        <v>18</v>
      </c>
      <c r="L24" s="29" t="s">
        <v>740</v>
      </c>
      <c r="Q24" s="30">
        <v>1</v>
      </c>
    </row>
    <row r="25" spans="2:17" x14ac:dyDescent="0.25">
      <c r="B25" s="29" t="s">
        <v>16</v>
      </c>
      <c r="C25" s="29" t="s">
        <v>802</v>
      </c>
      <c r="D25" s="29" t="s">
        <v>803</v>
      </c>
      <c r="E25" s="29" t="s">
        <v>804</v>
      </c>
      <c r="F25" s="29" t="s">
        <v>28</v>
      </c>
      <c r="G25" s="30">
        <v>0</v>
      </c>
      <c r="H25" s="30">
        <v>25</v>
      </c>
      <c r="I25" s="30">
        <f>-H25</f>
        <v>-25</v>
      </c>
      <c r="J25" s="29" t="s">
        <v>18</v>
      </c>
      <c r="K25" s="29" t="s">
        <v>18</v>
      </c>
      <c r="L25" s="29" t="s">
        <v>740</v>
      </c>
      <c r="Q25" s="30">
        <v>1</v>
      </c>
    </row>
    <row r="26" spans="2:17" x14ac:dyDescent="0.25">
      <c r="B26" s="29" t="s">
        <v>16</v>
      </c>
      <c r="C26" s="29" t="s">
        <v>805</v>
      </c>
      <c r="D26" s="29" t="s">
        <v>806</v>
      </c>
      <c r="E26" s="29" t="s">
        <v>807</v>
      </c>
      <c r="F26" s="30">
        <v>5</v>
      </c>
      <c r="G26" s="30">
        <v>0</v>
      </c>
      <c r="H26" s="30">
        <v>25</v>
      </c>
      <c r="I26" s="30">
        <f>-H26</f>
        <v>-25</v>
      </c>
      <c r="J26" s="29" t="s">
        <v>19</v>
      </c>
      <c r="K26" s="29" t="s">
        <v>18</v>
      </c>
      <c r="L26" s="29" t="s">
        <v>740</v>
      </c>
      <c r="Q26" s="30">
        <v>1</v>
      </c>
    </row>
    <row r="27" spans="2:17" x14ac:dyDescent="0.25">
      <c r="B27" s="29" t="s">
        <v>16</v>
      </c>
      <c r="C27" s="29" t="s">
        <v>808</v>
      </c>
      <c r="D27" s="29" t="s">
        <v>809</v>
      </c>
      <c r="E27" s="29" t="s">
        <v>810</v>
      </c>
      <c r="F27" s="29" t="s">
        <v>26</v>
      </c>
      <c r="G27" s="30">
        <v>810</v>
      </c>
      <c r="H27" s="30">
        <v>20</v>
      </c>
      <c r="I27" s="30">
        <f t="shared" ref="I27:I33" si="1">G27-H27</f>
        <v>790</v>
      </c>
      <c r="J27" s="29" t="s">
        <v>19</v>
      </c>
      <c r="K27" s="29" t="s">
        <v>18</v>
      </c>
      <c r="L27" s="29" t="s">
        <v>740</v>
      </c>
      <c r="Q27" s="30">
        <v>1</v>
      </c>
    </row>
    <row r="28" spans="2:17" x14ac:dyDescent="0.25">
      <c r="B28" s="29" t="s">
        <v>16</v>
      </c>
      <c r="C28" s="29" t="s">
        <v>811</v>
      </c>
      <c r="D28" s="29" t="s">
        <v>812</v>
      </c>
      <c r="E28" s="29" t="s">
        <v>813</v>
      </c>
      <c r="F28" s="30">
        <v>1</v>
      </c>
      <c r="G28" s="30">
        <v>665</v>
      </c>
      <c r="H28" s="30">
        <v>25</v>
      </c>
      <c r="I28" s="30">
        <f t="shared" si="1"/>
        <v>640</v>
      </c>
      <c r="J28" s="29" t="s">
        <v>19</v>
      </c>
      <c r="K28" s="29" t="s">
        <v>18</v>
      </c>
      <c r="L28" s="29" t="s">
        <v>740</v>
      </c>
      <c r="Q28" s="30">
        <v>1</v>
      </c>
    </row>
    <row r="29" spans="2:17" x14ac:dyDescent="0.25">
      <c r="B29" s="29" t="s">
        <v>16</v>
      </c>
      <c r="C29" s="29" t="s">
        <v>814</v>
      </c>
      <c r="D29" s="29" t="s">
        <v>815</v>
      </c>
      <c r="E29" s="29" t="s">
        <v>816</v>
      </c>
      <c r="F29" s="29" t="s">
        <v>26</v>
      </c>
      <c r="G29" s="30">
        <v>1680</v>
      </c>
      <c r="H29" s="30">
        <v>20</v>
      </c>
      <c r="I29" s="30">
        <f t="shared" si="1"/>
        <v>1660</v>
      </c>
      <c r="J29" s="29" t="s">
        <v>19</v>
      </c>
      <c r="K29" s="29" t="s">
        <v>18</v>
      </c>
      <c r="L29" s="29" t="s">
        <v>740</v>
      </c>
      <c r="Q29" s="30">
        <v>1</v>
      </c>
    </row>
    <row r="30" spans="2:17" x14ac:dyDescent="0.25">
      <c r="B30" s="29" t="s">
        <v>16</v>
      </c>
      <c r="C30" s="29" t="s">
        <v>817</v>
      </c>
      <c r="D30" s="29" t="s">
        <v>818</v>
      </c>
      <c r="E30" s="29" t="s">
        <v>819</v>
      </c>
      <c r="F30" s="29" t="s">
        <v>28</v>
      </c>
      <c r="G30" s="30">
        <v>915</v>
      </c>
      <c r="H30" s="30">
        <v>25</v>
      </c>
      <c r="I30" s="30">
        <f t="shared" si="1"/>
        <v>890</v>
      </c>
      <c r="J30" s="29" t="s">
        <v>19</v>
      </c>
      <c r="K30" s="29" t="s">
        <v>18</v>
      </c>
      <c r="L30" s="29" t="s">
        <v>740</v>
      </c>
      <c r="Q30" s="30">
        <v>1</v>
      </c>
    </row>
    <row r="31" spans="2:17" x14ac:dyDescent="0.25">
      <c r="B31" s="29" t="s">
        <v>16</v>
      </c>
      <c r="C31" s="29" t="s">
        <v>820</v>
      </c>
      <c r="D31" s="29" t="s">
        <v>821</v>
      </c>
      <c r="E31" s="29" t="s">
        <v>822</v>
      </c>
      <c r="F31" s="30">
        <v>10</v>
      </c>
      <c r="G31" s="30">
        <v>795</v>
      </c>
      <c r="H31" s="30">
        <v>25</v>
      </c>
      <c r="I31" s="30">
        <f t="shared" si="1"/>
        <v>770</v>
      </c>
      <c r="J31" s="29" t="s">
        <v>19</v>
      </c>
      <c r="K31" s="29" t="s">
        <v>18</v>
      </c>
      <c r="L31" s="29" t="s">
        <v>740</v>
      </c>
      <c r="Q31" s="30">
        <v>1</v>
      </c>
    </row>
    <row r="32" spans="2:17" x14ac:dyDescent="0.25">
      <c r="B32" s="29" t="s">
        <v>16</v>
      </c>
      <c r="C32" s="29" t="s">
        <v>823</v>
      </c>
      <c r="D32" s="29" t="s">
        <v>824</v>
      </c>
      <c r="E32" s="29" t="s">
        <v>825</v>
      </c>
      <c r="F32" s="30">
        <v>10</v>
      </c>
      <c r="G32" s="30">
        <v>615</v>
      </c>
      <c r="H32" s="30">
        <v>25</v>
      </c>
      <c r="I32" s="30">
        <f t="shared" si="1"/>
        <v>590</v>
      </c>
      <c r="J32" s="29" t="s">
        <v>19</v>
      </c>
      <c r="K32" s="29" t="s">
        <v>18</v>
      </c>
      <c r="L32" s="29" t="s">
        <v>740</v>
      </c>
      <c r="Q32" s="30">
        <v>1</v>
      </c>
    </row>
    <row r="33" spans="1:17" s="36" customFormat="1" x14ac:dyDescent="0.25">
      <c r="B33" s="36" t="s">
        <v>16</v>
      </c>
      <c r="C33" s="36" t="s">
        <v>826</v>
      </c>
      <c r="D33" s="36" t="s">
        <v>827</v>
      </c>
      <c r="E33" s="36" t="s">
        <v>828</v>
      </c>
      <c r="F33" s="36" t="s">
        <v>102</v>
      </c>
      <c r="G33" s="39">
        <v>870</v>
      </c>
      <c r="H33" s="39">
        <v>0</v>
      </c>
      <c r="I33" s="39">
        <f t="shared" si="1"/>
        <v>870</v>
      </c>
      <c r="J33" s="36" t="s">
        <v>68</v>
      </c>
      <c r="K33" s="36" t="s">
        <v>18</v>
      </c>
      <c r="L33" s="36" t="s">
        <v>740</v>
      </c>
      <c r="M33" s="36" t="s">
        <v>69</v>
      </c>
      <c r="N33" s="36" t="s">
        <v>63</v>
      </c>
      <c r="P33" s="36" t="s">
        <v>70</v>
      </c>
      <c r="Q33" s="39">
        <v>1</v>
      </c>
    </row>
    <row r="35" spans="1:17" x14ac:dyDescent="0.25">
      <c r="D35" s="32">
        <f>COUNTA(D3:D33)</f>
        <v>31</v>
      </c>
      <c r="G35" s="32">
        <f t="shared" ref="G35:Q35" si="2">SUBTOTAL(9,G3:G33)</f>
        <v>18040</v>
      </c>
      <c r="H35" s="32">
        <f t="shared" si="2"/>
        <v>810</v>
      </c>
      <c r="I35" s="32">
        <f t="shared" si="2"/>
        <v>17230</v>
      </c>
      <c r="J35" s="32">
        <f t="shared" si="2"/>
        <v>0</v>
      </c>
      <c r="K35" s="32">
        <f t="shared" si="2"/>
        <v>0</v>
      </c>
      <c r="L35" s="32">
        <f t="shared" si="2"/>
        <v>0</v>
      </c>
      <c r="M35" s="32">
        <f t="shared" si="2"/>
        <v>0</v>
      </c>
      <c r="N35" s="32">
        <f t="shared" si="2"/>
        <v>0</v>
      </c>
      <c r="O35" s="32">
        <f t="shared" si="2"/>
        <v>0</v>
      </c>
      <c r="P35" s="32">
        <f t="shared" si="2"/>
        <v>0</v>
      </c>
      <c r="Q35" s="32">
        <f t="shared" si="2"/>
        <v>31</v>
      </c>
    </row>
    <row r="36" spans="1:17" x14ac:dyDescent="0.25">
      <c r="H36" s="29">
        <f>-9*17</f>
        <v>-153</v>
      </c>
    </row>
    <row r="37" spans="1:17" x14ac:dyDescent="0.25">
      <c r="A37" s="32" t="s">
        <v>16</v>
      </c>
      <c r="C37" s="42" t="s">
        <v>46</v>
      </c>
      <c r="D37" s="42"/>
      <c r="E37" s="33" t="s">
        <v>47</v>
      </c>
      <c r="H37" s="29">
        <f>-3*25</f>
        <v>-75</v>
      </c>
      <c r="K37" s="34" t="s">
        <v>18</v>
      </c>
      <c r="L37" s="34" t="s">
        <v>48</v>
      </c>
      <c r="M37" s="34" t="s">
        <v>47</v>
      </c>
      <c r="O37" s="33" t="s">
        <v>72</v>
      </c>
    </row>
    <row r="38" spans="1:17" x14ac:dyDescent="0.25">
      <c r="A38" s="29" t="s">
        <v>740</v>
      </c>
      <c r="B38" s="35" t="s">
        <v>49</v>
      </c>
      <c r="C38" s="43">
        <f>SUMIFS(I$3:I$33,B$3:B$33,A$37,L$3:L$33,A$38)</f>
        <v>17230</v>
      </c>
      <c r="D38" s="43"/>
      <c r="E38" s="35">
        <f>SUMIFS(Q$3:Q$33,B$3:B$33,A$37,L$3:L$33,A$38)</f>
        <v>31</v>
      </c>
      <c r="F38" s="29" t="s">
        <v>73</v>
      </c>
      <c r="H38" s="29">
        <f>-2*30</f>
        <v>-60</v>
      </c>
      <c r="K38" s="29" t="s">
        <v>50</v>
      </c>
      <c r="L38" s="29">
        <f>SUMIFS(G$3:G$33,J$3:J$33,K$37)</f>
        <v>3400</v>
      </c>
      <c r="M38" s="29">
        <f>SUMIFS(Q$3:Q$33,J$3:J$33,K$37)</f>
        <v>8</v>
      </c>
      <c r="O38" s="29" t="s">
        <v>18</v>
      </c>
      <c r="P38" s="29">
        <f>L43</f>
        <v>3185</v>
      </c>
    </row>
    <row r="39" spans="1:17" x14ac:dyDescent="0.25">
      <c r="B39" s="36" t="s">
        <v>108</v>
      </c>
      <c r="C39" s="44">
        <v>0</v>
      </c>
      <c r="D39" s="44"/>
      <c r="K39" s="29" t="s">
        <v>51</v>
      </c>
      <c r="L39" s="29">
        <f>-SUMIFS(H$3:H$33,J$3:J$33,K$37)+M39*5</f>
        <v>-155</v>
      </c>
      <c r="M39" s="29">
        <f>SUMIFS(Q$3:Q$33,J$3:J$33,K$37)-COUNTIFS(J$3:J$33,K$37,M$3:M$33,"*gộp*")</f>
        <v>8</v>
      </c>
      <c r="O39" s="29" t="s">
        <v>37</v>
      </c>
      <c r="P39" s="29">
        <f>L51</f>
        <v>-25</v>
      </c>
    </row>
    <row r="40" spans="1:17" x14ac:dyDescent="0.25">
      <c r="B40" s="36" t="s">
        <v>52</v>
      </c>
      <c r="C40" s="44">
        <f>-SUMIFS(I$3:I$33,B$3:B$33,A$37,P$3:P$33,"xx",N$3:N$33,"x")</f>
        <v>-870</v>
      </c>
      <c r="D40" s="44"/>
      <c r="E40" s="36">
        <f>SUMIFS(Q$3:Q$33,B$3:B$33,A$37,P$3:P$33,"xx",N$3:N$33,"x")</f>
        <v>1</v>
      </c>
      <c r="K40" s="29" t="s">
        <v>74</v>
      </c>
      <c r="L40" s="29">
        <f>-M40*2</f>
        <v>-60</v>
      </c>
      <c r="M40" s="29">
        <f>E38-E40</f>
        <v>30</v>
      </c>
      <c r="O40" s="29" t="s">
        <v>829</v>
      </c>
      <c r="P40" s="29">
        <f>L59</f>
        <v>8002</v>
      </c>
    </row>
    <row r="41" spans="1:17" x14ac:dyDescent="0.25">
      <c r="B41" s="33" t="s">
        <v>53</v>
      </c>
      <c r="C41" s="42">
        <f>SUBTOTAL(9,C38:C40)</f>
        <v>16360</v>
      </c>
      <c r="D41" s="42"/>
      <c r="E41" s="29">
        <f>E38</f>
        <v>31</v>
      </c>
      <c r="K41" s="36" t="s">
        <v>25</v>
      </c>
      <c r="O41" s="29" t="s">
        <v>19</v>
      </c>
      <c r="P41" s="29">
        <f>L67</f>
        <v>5350</v>
      </c>
    </row>
    <row r="42" spans="1:17" x14ac:dyDescent="0.25">
      <c r="B42" s="36" t="s">
        <v>75</v>
      </c>
      <c r="C42" s="40"/>
      <c r="D42" s="40"/>
      <c r="K42" s="36" t="s">
        <v>54</v>
      </c>
      <c r="O42" s="29" t="s">
        <v>76</v>
      </c>
      <c r="P42" s="29">
        <f>-C45</f>
        <v>-16360</v>
      </c>
    </row>
    <row r="43" spans="1:17" x14ac:dyDescent="0.25">
      <c r="B43" s="37" t="s">
        <v>55</v>
      </c>
      <c r="C43" s="40"/>
      <c r="D43" s="40"/>
      <c r="L43" s="38">
        <f>SUBTOTAL(9,L38:L42)</f>
        <v>3185</v>
      </c>
      <c r="M43" s="38">
        <f>M38</f>
        <v>8</v>
      </c>
      <c r="O43" s="33" t="s">
        <v>77</v>
      </c>
      <c r="P43" s="33">
        <f>SUBTOTAL(9,P38:P42)</f>
        <v>152</v>
      </c>
    </row>
    <row r="45" spans="1:17" x14ac:dyDescent="0.25">
      <c r="B45" s="32" t="s">
        <v>56</v>
      </c>
      <c r="C45" s="41">
        <f>C41+C42+C43</f>
        <v>16360</v>
      </c>
      <c r="D45" s="41"/>
      <c r="E45" s="32" t="s">
        <v>57</v>
      </c>
      <c r="K45" s="34" t="s">
        <v>37</v>
      </c>
      <c r="L45" s="34" t="s">
        <v>48</v>
      </c>
      <c r="M45" s="34" t="s">
        <v>47</v>
      </c>
    </row>
    <row r="46" spans="1:17" x14ac:dyDescent="0.25">
      <c r="K46" s="29" t="s">
        <v>50</v>
      </c>
      <c r="L46" s="29">
        <f>SUMIFS(G$3:G$33,J$3:J$33,K$45)</f>
        <v>0</v>
      </c>
      <c r="M46" s="29">
        <f>SUMIFS(Q$3:Q$33,J$3:J$33,K$45)</f>
        <v>1</v>
      </c>
    </row>
    <row r="47" spans="1:17" x14ac:dyDescent="0.25">
      <c r="K47" s="29" t="s">
        <v>51</v>
      </c>
      <c r="L47" s="29">
        <f>-SUMIFS(H$3:H$33,J$3:J$33,K$45)+M47*5</f>
        <v>-25</v>
      </c>
      <c r="M47" s="30">
        <f>SUMIFS(Q$3:Q$33,J$3:J$33,K$45)-COUNTIFS(J$3:J$33,K$45,M$3:M$33,"*gộp*")</f>
        <v>1</v>
      </c>
    </row>
    <row r="48" spans="1:17" x14ac:dyDescent="0.25">
      <c r="K48" s="29" t="s">
        <v>74</v>
      </c>
    </row>
    <row r="49" spans="11:13" x14ac:dyDescent="0.25">
      <c r="K49" s="36" t="s">
        <v>25</v>
      </c>
    </row>
    <row r="50" spans="11:13" x14ac:dyDescent="0.25">
      <c r="K50" s="36" t="s">
        <v>54</v>
      </c>
    </row>
    <row r="51" spans="11:13" x14ac:dyDescent="0.25">
      <c r="L51" s="38">
        <f>SUBTOTAL(9,L46:L50)</f>
        <v>-25</v>
      </c>
      <c r="M51" s="38">
        <f>M46</f>
        <v>1</v>
      </c>
    </row>
    <row r="53" spans="11:13" x14ac:dyDescent="0.25">
      <c r="K53" s="34" t="s">
        <v>744</v>
      </c>
      <c r="L53" s="34" t="s">
        <v>48</v>
      </c>
      <c r="M53" s="34" t="s">
        <v>47</v>
      </c>
    </row>
    <row r="54" spans="11:13" x14ac:dyDescent="0.25">
      <c r="K54" s="29" t="s">
        <v>50</v>
      </c>
      <c r="L54" s="29">
        <f>SUMIFS(G$3:G$33,J$3:J$33,K$53)</f>
        <v>8290</v>
      </c>
      <c r="M54" s="29">
        <f>SUMIFS(Q$3:Q$33,J$3:J$33,K$53)</f>
        <v>14</v>
      </c>
    </row>
    <row r="55" spans="11:13" x14ac:dyDescent="0.25">
      <c r="K55" s="29" t="s">
        <v>51</v>
      </c>
      <c r="L55" s="29">
        <f>SUM(H36:H38)</f>
        <v>-288</v>
      </c>
      <c r="M55" s="29">
        <f>SUMIFS(Q$3:Q$33,J$3:J$33,K$53)</f>
        <v>14</v>
      </c>
    </row>
    <row r="56" spans="11:13" x14ac:dyDescent="0.25">
      <c r="K56" s="29" t="s">
        <v>74</v>
      </c>
    </row>
    <row r="57" spans="11:13" x14ac:dyDescent="0.25">
      <c r="K57" s="36" t="s">
        <v>25</v>
      </c>
    </row>
    <row r="58" spans="11:13" x14ac:dyDescent="0.25">
      <c r="K58" s="36" t="s">
        <v>54</v>
      </c>
    </row>
    <row r="59" spans="11:13" x14ac:dyDescent="0.25">
      <c r="L59" s="38">
        <f>SUBTOTAL(9,L54:L58)</f>
        <v>8002</v>
      </c>
      <c r="M59" s="38">
        <f>M54</f>
        <v>14</v>
      </c>
    </row>
    <row r="61" spans="11:13" x14ac:dyDescent="0.25">
      <c r="K61" s="34" t="s">
        <v>19</v>
      </c>
      <c r="L61" s="34" t="s">
        <v>48</v>
      </c>
      <c r="M61" s="34" t="s">
        <v>47</v>
      </c>
    </row>
    <row r="62" spans="11:13" x14ac:dyDescent="0.25">
      <c r="K62" s="29" t="s">
        <v>50</v>
      </c>
      <c r="L62" s="29">
        <f>SUMIFS(G$3:G$33,J$3:J$33,K$61)</f>
        <v>5480</v>
      </c>
      <c r="M62" s="29">
        <f>SUMIFS(Q$3:Q$33,J$3:J$33,K$61)</f>
        <v>7</v>
      </c>
    </row>
    <row r="63" spans="11:13" x14ac:dyDescent="0.25">
      <c r="K63" s="29" t="s">
        <v>51</v>
      </c>
      <c r="L63" s="29">
        <f>-SUMIFS(H$3:H$33,J$3:J$33,K$61)+M63*5</f>
        <v>-130</v>
      </c>
      <c r="M63" s="29">
        <f>SUMIFS(Q$3:Q$33,J$3:J$33,K$61)-COUNTIFS(J$3:J$33,K$61,M$3:M$33,"*gộp*")</f>
        <v>7</v>
      </c>
    </row>
    <row r="64" spans="11:13" x14ac:dyDescent="0.25">
      <c r="K64" s="29" t="s">
        <v>74</v>
      </c>
    </row>
    <row r="65" spans="11:13" x14ac:dyDescent="0.25">
      <c r="K65" s="36" t="s">
        <v>25</v>
      </c>
    </row>
    <row r="66" spans="11:13" x14ac:dyDescent="0.25">
      <c r="K66" s="36" t="s">
        <v>54</v>
      </c>
    </row>
    <row r="67" spans="11:13" x14ac:dyDescent="0.25">
      <c r="L67" s="38">
        <f>SUBTOTAL(9,L62:L66)</f>
        <v>5350</v>
      </c>
      <c r="M67" s="38">
        <f>M62</f>
        <v>7</v>
      </c>
    </row>
  </sheetData>
  <autoFilter ref="A2:P33" xr:uid="{00000000-0009-0000-0000-000000000000}">
    <sortState xmlns:xlrd2="http://schemas.microsoft.com/office/spreadsheetml/2017/richdata2" ref="A3:P33">
      <sortCondition ref="J2:J33"/>
    </sortState>
  </autoFilter>
  <mergeCells count="8">
    <mergeCell ref="C43:D43"/>
    <mergeCell ref="C45:D45"/>
    <mergeCell ref="C37:D37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D7F8-C3E6-456E-A5D8-5637D43CE2EF}">
  <dimension ref="A2:Q71"/>
  <sheetViews>
    <sheetView topLeftCell="A19" workbookViewId="0">
      <selection activeCell="G26" sqref="G26"/>
    </sheetView>
  </sheetViews>
  <sheetFormatPr defaultRowHeight="15" x14ac:dyDescent="0.25"/>
  <cols>
    <col min="1" max="1" width="12.7109375" style="29" customWidth="1"/>
    <col min="2" max="2" width="17.7109375" style="29" customWidth="1"/>
    <col min="3" max="3" width="28.7109375" style="29" customWidth="1"/>
    <col min="4" max="4" width="9.85546875" style="29" customWidth="1"/>
    <col min="5" max="5" width="66" style="29" customWidth="1"/>
    <col min="6" max="6" width="10.7109375" style="29" customWidth="1"/>
    <col min="7" max="7" width="9.140625" style="29" customWidth="1"/>
    <col min="8" max="8" width="9.5703125" style="29" customWidth="1"/>
    <col min="9" max="9" width="10.5703125" style="29" customWidth="1"/>
    <col min="10" max="10" width="9.7109375" style="29" customWidth="1"/>
    <col min="11" max="11" width="10.85546875" style="29" customWidth="1"/>
    <col min="12" max="12" width="10.42578125" style="29" customWidth="1"/>
    <col min="13" max="13" width="8.7109375" style="29" customWidth="1"/>
    <col min="14" max="14" width="9.7109375" style="29" customWidth="1"/>
    <col min="15" max="15" width="10.42578125" style="29" customWidth="1"/>
    <col min="16" max="16" width="7" style="29" bestFit="1" customWidth="1"/>
    <col min="17" max="16384" width="9.140625" style="29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s="29" t="s">
        <v>16</v>
      </c>
      <c r="C3" s="29" t="s">
        <v>830</v>
      </c>
      <c r="D3" s="29" t="s">
        <v>831</v>
      </c>
      <c r="E3" s="29" t="s">
        <v>832</v>
      </c>
      <c r="F3" s="30">
        <v>9</v>
      </c>
      <c r="G3" s="30">
        <v>700</v>
      </c>
      <c r="H3" s="30">
        <v>30</v>
      </c>
      <c r="I3" s="30">
        <f>G3-H3</f>
        <v>670</v>
      </c>
      <c r="J3" s="29" t="s">
        <v>37</v>
      </c>
      <c r="K3" s="29" t="s">
        <v>18</v>
      </c>
      <c r="L3" s="29" t="s">
        <v>833</v>
      </c>
      <c r="Q3" s="29">
        <v>1</v>
      </c>
    </row>
    <row r="4" spans="1:17" x14ac:dyDescent="0.25">
      <c r="A4" s="29" t="s">
        <v>38</v>
      </c>
      <c r="B4" s="29" t="s">
        <v>16</v>
      </c>
      <c r="C4" s="29" t="s">
        <v>521</v>
      </c>
      <c r="E4" s="29" t="s">
        <v>40</v>
      </c>
      <c r="F4" s="30">
        <v>6</v>
      </c>
      <c r="G4" s="30">
        <v>0</v>
      </c>
      <c r="H4" s="30">
        <v>30</v>
      </c>
      <c r="I4" s="30">
        <f>-H4</f>
        <v>-30</v>
      </c>
      <c r="J4" s="29" t="s">
        <v>834</v>
      </c>
      <c r="K4" s="29" t="s">
        <v>18</v>
      </c>
      <c r="L4" s="29" t="s">
        <v>833</v>
      </c>
      <c r="Q4" s="29">
        <v>1</v>
      </c>
    </row>
    <row r="5" spans="1:17" x14ac:dyDescent="0.25">
      <c r="B5" s="29" t="s">
        <v>16</v>
      </c>
      <c r="C5" s="29" t="s">
        <v>835</v>
      </c>
      <c r="D5" s="29" t="s">
        <v>836</v>
      </c>
      <c r="E5" s="29" t="s">
        <v>837</v>
      </c>
      <c r="F5" s="30">
        <v>6</v>
      </c>
      <c r="G5" s="30">
        <v>885</v>
      </c>
      <c r="H5" s="30">
        <v>25</v>
      </c>
      <c r="I5" s="30">
        <f t="shared" ref="I5:I31" si="0">G5-H5</f>
        <v>860</v>
      </c>
      <c r="J5" s="29" t="s">
        <v>834</v>
      </c>
      <c r="K5" s="29" t="s">
        <v>18</v>
      </c>
      <c r="L5" s="29" t="s">
        <v>833</v>
      </c>
      <c r="Q5" s="29">
        <v>1</v>
      </c>
    </row>
    <row r="6" spans="1:17" x14ac:dyDescent="0.25">
      <c r="B6" s="29" t="s">
        <v>16</v>
      </c>
      <c r="C6" s="29" t="s">
        <v>838</v>
      </c>
      <c r="D6" s="29" t="s">
        <v>839</v>
      </c>
      <c r="E6" s="29" t="s">
        <v>840</v>
      </c>
      <c r="F6" s="30">
        <v>8</v>
      </c>
      <c r="G6" s="30">
        <v>935</v>
      </c>
      <c r="H6" s="30">
        <v>25</v>
      </c>
      <c r="I6" s="30">
        <f t="shared" si="0"/>
        <v>910</v>
      </c>
      <c r="J6" s="29" t="s">
        <v>834</v>
      </c>
      <c r="K6" s="29" t="s">
        <v>18</v>
      </c>
      <c r="L6" s="29" t="s">
        <v>833</v>
      </c>
      <c r="Q6" s="29">
        <v>1</v>
      </c>
    </row>
    <row r="7" spans="1:17" x14ac:dyDescent="0.25">
      <c r="B7" s="29" t="s">
        <v>16</v>
      </c>
      <c r="C7" s="29" t="s">
        <v>841</v>
      </c>
      <c r="D7" s="29" t="s">
        <v>842</v>
      </c>
      <c r="E7" s="29" t="s">
        <v>843</v>
      </c>
      <c r="F7" s="30">
        <v>6</v>
      </c>
      <c r="G7" s="30">
        <v>845</v>
      </c>
      <c r="H7" s="30">
        <v>25</v>
      </c>
      <c r="I7" s="30">
        <f t="shared" si="0"/>
        <v>820</v>
      </c>
      <c r="J7" s="29" t="s">
        <v>834</v>
      </c>
      <c r="K7" s="29" t="s">
        <v>18</v>
      </c>
      <c r="L7" s="29" t="s">
        <v>833</v>
      </c>
      <c r="Q7" s="29">
        <v>1</v>
      </c>
    </row>
    <row r="8" spans="1:17" x14ac:dyDescent="0.25">
      <c r="B8" s="29" t="s">
        <v>16</v>
      </c>
      <c r="C8" s="29" t="s">
        <v>844</v>
      </c>
      <c r="D8" s="29" t="s">
        <v>845</v>
      </c>
      <c r="E8" s="29" t="s">
        <v>846</v>
      </c>
      <c r="F8" s="30">
        <v>7</v>
      </c>
      <c r="G8" s="30">
        <v>620</v>
      </c>
      <c r="H8" s="30">
        <v>30</v>
      </c>
      <c r="I8" s="30">
        <f t="shared" si="0"/>
        <v>590</v>
      </c>
      <c r="J8" s="29" t="s">
        <v>834</v>
      </c>
      <c r="K8" s="29" t="s">
        <v>18</v>
      </c>
      <c r="L8" s="29" t="s">
        <v>833</v>
      </c>
      <c r="Q8" s="29">
        <v>1</v>
      </c>
    </row>
    <row r="9" spans="1:17" x14ac:dyDescent="0.25">
      <c r="B9" s="29" t="s">
        <v>16</v>
      </c>
      <c r="C9" s="29" t="s">
        <v>498</v>
      </c>
      <c r="D9" s="29" t="s">
        <v>847</v>
      </c>
      <c r="E9" s="29" t="s">
        <v>848</v>
      </c>
      <c r="F9" s="30">
        <v>12</v>
      </c>
      <c r="G9" s="30">
        <v>30</v>
      </c>
      <c r="H9" s="30">
        <v>30</v>
      </c>
      <c r="I9" s="30">
        <f t="shared" si="0"/>
        <v>0</v>
      </c>
      <c r="J9" s="29" t="s">
        <v>834</v>
      </c>
      <c r="K9" s="29" t="s">
        <v>18</v>
      </c>
      <c r="L9" s="29" t="s">
        <v>833</v>
      </c>
      <c r="M9" s="29" t="s">
        <v>66</v>
      </c>
      <c r="Q9" s="29">
        <v>1</v>
      </c>
    </row>
    <row r="10" spans="1:17" x14ac:dyDescent="0.25">
      <c r="B10" s="29" t="s">
        <v>16</v>
      </c>
      <c r="C10" s="29" t="s">
        <v>849</v>
      </c>
      <c r="D10" s="29" t="s">
        <v>850</v>
      </c>
      <c r="E10" s="29" t="s">
        <v>851</v>
      </c>
      <c r="F10" s="29" t="s">
        <v>323</v>
      </c>
      <c r="G10" s="30">
        <v>925</v>
      </c>
      <c r="H10" s="30">
        <v>35</v>
      </c>
      <c r="I10" s="30">
        <f t="shared" si="0"/>
        <v>890</v>
      </c>
      <c r="J10" s="29" t="s">
        <v>834</v>
      </c>
      <c r="K10" s="29" t="s">
        <v>18</v>
      </c>
      <c r="L10" s="29" t="s">
        <v>833</v>
      </c>
      <c r="Q10" s="29">
        <v>1</v>
      </c>
    </row>
    <row r="11" spans="1:17" x14ac:dyDescent="0.25">
      <c r="B11" s="29" t="s">
        <v>16</v>
      </c>
      <c r="C11" s="29" t="s">
        <v>852</v>
      </c>
      <c r="D11" s="29" t="s">
        <v>853</v>
      </c>
      <c r="E11" s="29" t="s">
        <v>854</v>
      </c>
      <c r="F11" s="30">
        <v>7</v>
      </c>
      <c r="G11" s="30">
        <v>1580</v>
      </c>
      <c r="H11" s="30">
        <v>30</v>
      </c>
      <c r="I11" s="30">
        <f t="shared" si="0"/>
        <v>1550</v>
      </c>
      <c r="J11" s="29" t="s">
        <v>834</v>
      </c>
      <c r="K11" s="29" t="s">
        <v>18</v>
      </c>
      <c r="L11" s="29" t="s">
        <v>833</v>
      </c>
      <c r="Q11" s="29">
        <v>1</v>
      </c>
    </row>
    <row r="12" spans="1:17" x14ac:dyDescent="0.25">
      <c r="B12" s="29" t="s">
        <v>16</v>
      </c>
      <c r="C12" s="29" t="s">
        <v>855</v>
      </c>
      <c r="D12" s="29" t="s">
        <v>856</v>
      </c>
      <c r="E12" s="29" t="s">
        <v>394</v>
      </c>
      <c r="F12" s="29" t="s">
        <v>22</v>
      </c>
      <c r="G12" s="30">
        <v>620</v>
      </c>
      <c r="H12" s="30">
        <v>30</v>
      </c>
      <c r="I12" s="30">
        <f t="shared" si="0"/>
        <v>590</v>
      </c>
      <c r="J12" s="29" t="s">
        <v>834</v>
      </c>
      <c r="K12" s="29" t="s">
        <v>18</v>
      </c>
      <c r="L12" s="29" t="s">
        <v>833</v>
      </c>
      <c r="Q12" s="29">
        <v>1</v>
      </c>
    </row>
    <row r="13" spans="1:17" x14ac:dyDescent="0.25">
      <c r="B13" s="29" t="s">
        <v>16</v>
      </c>
      <c r="C13" s="29" t="s">
        <v>857</v>
      </c>
      <c r="D13" s="29" t="s">
        <v>858</v>
      </c>
      <c r="E13" s="29" t="s">
        <v>859</v>
      </c>
      <c r="F13" s="29" t="s">
        <v>24</v>
      </c>
      <c r="G13" s="30">
        <v>785</v>
      </c>
      <c r="H13" s="30">
        <v>25</v>
      </c>
      <c r="I13" s="30">
        <f t="shared" si="0"/>
        <v>760</v>
      </c>
      <c r="J13" s="29" t="s">
        <v>834</v>
      </c>
      <c r="K13" s="29" t="s">
        <v>18</v>
      </c>
      <c r="L13" s="29" t="s">
        <v>833</v>
      </c>
      <c r="Q13" s="29">
        <v>1</v>
      </c>
    </row>
    <row r="14" spans="1:17" x14ac:dyDescent="0.25">
      <c r="B14" s="29" t="s">
        <v>16</v>
      </c>
      <c r="C14" s="29" t="s">
        <v>860</v>
      </c>
      <c r="D14" s="29" t="s">
        <v>861</v>
      </c>
      <c r="E14" s="29" t="s">
        <v>862</v>
      </c>
      <c r="F14" s="30">
        <v>7</v>
      </c>
      <c r="G14" s="30">
        <v>620</v>
      </c>
      <c r="H14" s="30">
        <v>30</v>
      </c>
      <c r="I14" s="30">
        <f t="shared" si="0"/>
        <v>590</v>
      </c>
      <c r="J14" s="29" t="s">
        <v>834</v>
      </c>
      <c r="K14" s="29" t="s">
        <v>18</v>
      </c>
      <c r="L14" s="29" t="s">
        <v>833</v>
      </c>
      <c r="Q14" s="29">
        <v>1</v>
      </c>
    </row>
    <row r="15" spans="1:17" x14ac:dyDescent="0.25">
      <c r="B15" s="29" t="s">
        <v>16</v>
      </c>
      <c r="C15" s="29" t="s">
        <v>863</v>
      </c>
      <c r="D15" s="29" t="s">
        <v>864</v>
      </c>
      <c r="E15" s="29" t="s">
        <v>865</v>
      </c>
      <c r="F15" s="29" t="s">
        <v>24</v>
      </c>
      <c r="G15" s="30">
        <v>845</v>
      </c>
      <c r="H15" s="30">
        <v>25</v>
      </c>
      <c r="I15" s="30">
        <f t="shared" si="0"/>
        <v>820</v>
      </c>
      <c r="J15" s="29" t="s">
        <v>834</v>
      </c>
      <c r="K15" s="29" t="s">
        <v>18</v>
      </c>
      <c r="L15" s="29" t="s">
        <v>833</v>
      </c>
      <c r="Q15" s="29">
        <v>1</v>
      </c>
    </row>
    <row r="16" spans="1:17" x14ac:dyDescent="0.25">
      <c r="B16" s="29" t="s">
        <v>16</v>
      </c>
      <c r="C16" s="29" t="s">
        <v>866</v>
      </c>
      <c r="D16" s="29" t="s">
        <v>867</v>
      </c>
      <c r="E16" s="29" t="s">
        <v>868</v>
      </c>
      <c r="F16" s="30">
        <v>7</v>
      </c>
      <c r="G16" s="30">
        <v>700</v>
      </c>
      <c r="H16" s="30">
        <v>30</v>
      </c>
      <c r="I16" s="30">
        <f t="shared" si="0"/>
        <v>670</v>
      </c>
      <c r="J16" s="29" t="s">
        <v>834</v>
      </c>
      <c r="K16" s="29" t="s">
        <v>18</v>
      </c>
      <c r="L16" s="29" t="s">
        <v>833</v>
      </c>
      <c r="Q16" s="29">
        <v>1</v>
      </c>
    </row>
    <row r="17" spans="1:17" x14ac:dyDescent="0.25">
      <c r="B17" s="29" t="s">
        <v>16</v>
      </c>
      <c r="C17" s="29" t="s">
        <v>869</v>
      </c>
      <c r="D17" s="29" t="s">
        <v>870</v>
      </c>
      <c r="E17" s="29" t="s">
        <v>871</v>
      </c>
      <c r="F17" s="29" t="s">
        <v>24</v>
      </c>
      <c r="G17" s="30">
        <v>915</v>
      </c>
      <c r="H17" s="30">
        <v>25</v>
      </c>
      <c r="I17" s="30">
        <f t="shared" si="0"/>
        <v>890</v>
      </c>
      <c r="J17" s="29" t="s">
        <v>834</v>
      </c>
      <c r="K17" s="29" t="s">
        <v>18</v>
      </c>
      <c r="L17" s="29" t="s">
        <v>833</v>
      </c>
      <c r="Q17" s="29">
        <v>1</v>
      </c>
    </row>
    <row r="18" spans="1:17" x14ac:dyDescent="0.25">
      <c r="B18" s="29" t="s">
        <v>16</v>
      </c>
      <c r="C18" s="29" t="s">
        <v>872</v>
      </c>
      <c r="D18" s="29" t="s">
        <v>873</v>
      </c>
      <c r="E18" s="29" t="s">
        <v>874</v>
      </c>
      <c r="F18" s="30">
        <v>12</v>
      </c>
      <c r="G18" s="30">
        <v>1010</v>
      </c>
      <c r="H18" s="30">
        <v>30</v>
      </c>
      <c r="I18" s="30">
        <f t="shared" si="0"/>
        <v>980</v>
      </c>
      <c r="J18" s="29" t="s">
        <v>834</v>
      </c>
      <c r="K18" s="29" t="s">
        <v>18</v>
      </c>
      <c r="L18" s="29" t="s">
        <v>833</v>
      </c>
      <c r="Q18" s="29">
        <v>1</v>
      </c>
    </row>
    <row r="19" spans="1:17" x14ac:dyDescent="0.25">
      <c r="B19" s="29" t="s">
        <v>16</v>
      </c>
      <c r="C19" s="29" t="s">
        <v>875</v>
      </c>
      <c r="D19" s="29" t="s">
        <v>876</v>
      </c>
      <c r="E19" s="29" t="s">
        <v>877</v>
      </c>
      <c r="F19" s="30">
        <v>1</v>
      </c>
      <c r="G19" s="30">
        <v>700</v>
      </c>
      <c r="H19" s="30">
        <v>30</v>
      </c>
      <c r="I19" s="30">
        <f t="shared" si="0"/>
        <v>670</v>
      </c>
      <c r="J19" s="29" t="s">
        <v>834</v>
      </c>
      <c r="K19" s="29" t="s">
        <v>18</v>
      </c>
      <c r="L19" s="29" t="s">
        <v>833</v>
      </c>
      <c r="Q19" s="29">
        <v>1</v>
      </c>
    </row>
    <row r="20" spans="1:17" x14ac:dyDescent="0.25">
      <c r="B20" s="29" t="s">
        <v>16</v>
      </c>
      <c r="C20" s="29" t="s">
        <v>878</v>
      </c>
      <c r="D20" s="29" t="s">
        <v>879</v>
      </c>
      <c r="E20" s="29" t="s">
        <v>880</v>
      </c>
      <c r="F20" s="30">
        <v>8</v>
      </c>
      <c r="G20" s="30">
        <v>845</v>
      </c>
      <c r="H20" s="30">
        <v>25</v>
      </c>
      <c r="I20" s="30">
        <f t="shared" si="0"/>
        <v>820</v>
      </c>
      <c r="J20" s="29" t="s">
        <v>834</v>
      </c>
      <c r="K20" s="29" t="s">
        <v>18</v>
      </c>
      <c r="L20" s="29" t="s">
        <v>833</v>
      </c>
      <c r="Q20" s="29">
        <v>1</v>
      </c>
    </row>
    <row r="21" spans="1:17" x14ac:dyDescent="0.25">
      <c r="B21" s="29" t="s">
        <v>16</v>
      </c>
      <c r="C21" s="29" t="s">
        <v>881</v>
      </c>
      <c r="D21" s="29" t="s">
        <v>882</v>
      </c>
      <c r="E21" s="29" t="s">
        <v>883</v>
      </c>
      <c r="F21" s="29" t="s">
        <v>20</v>
      </c>
      <c r="G21" s="30">
        <v>920</v>
      </c>
      <c r="H21" s="30">
        <v>30</v>
      </c>
      <c r="I21" s="30">
        <f t="shared" si="0"/>
        <v>890</v>
      </c>
      <c r="J21" s="29" t="s">
        <v>18</v>
      </c>
      <c r="K21" s="29" t="s">
        <v>18</v>
      </c>
      <c r="L21" s="29" t="s">
        <v>833</v>
      </c>
      <c r="Q21" s="29">
        <v>1</v>
      </c>
    </row>
    <row r="22" spans="1:17" x14ac:dyDescent="0.25">
      <c r="B22" s="29" t="s">
        <v>16</v>
      </c>
      <c r="C22" s="29" t="s">
        <v>884</v>
      </c>
      <c r="D22" s="29" t="s">
        <v>885</v>
      </c>
      <c r="E22" s="29" t="s">
        <v>886</v>
      </c>
      <c r="F22" s="29" t="s">
        <v>30</v>
      </c>
      <c r="G22" s="30">
        <v>695</v>
      </c>
      <c r="H22" s="30">
        <v>25</v>
      </c>
      <c r="I22" s="30">
        <f t="shared" si="0"/>
        <v>670</v>
      </c>
      <c r="J22" s="29" t="s">
        <v>18</v>
      </c>
      <c r="K22" s="29" t="s">
        <v>18</v>
      </c>
      <c r="L22" s="29" t="s">
        <v>833</v>
      </c>
      <c r="Q22" s="29">
        <v>1</v>
      </c>
    </row>
    <row r="23" spans="1:17" x14ac:dyDescent="0.25">
      <c r="B23" s="29" t="s">
        <v>16</v>
      </c>
      <c r="C23" s="29" t="s">
        <v>887</v>
      </c>
      <c r="D23" s="29" t="s">
        <v>888</v>
      </c>
      <c r="E23" s="29" t="s">
        <v>889</v>
      </c>
      <c r="F23" s="29" t="s">
        <v>23</v>
      </c>
      <c r="G23" s="30">
        <v>840</v>
      </c>
      <c r="H23" s="30">
        <v>20</v>
      </c>
      <c r="I23" s="30">
        <f t="shared" si="0"/>
        <v>820</v>
      </c>
      <c r="J23" s="29" t="s">
        <v>18</v>
      </c>
      <c r="K23" s="29" t="s">
        <v>18</v>
      </c>
      <c r="L23" s="29" t="s">
        <v>833</v>
      </c>
      <c r="Q23" s="29">
        <v>1</v>
      </c>
    </row>
    <row r="24" spans="1:17" x14ac:dyDescent="0.25">
      <c r="B24" s="29" t="s">
        <v>16</v>
      </c>
      <c r="C24" s="29" t="s">
        <v>890</v>
      </c>
      <c r="D24" s="29" t="s">
        <v>891</v>
      </c>
      <c r="E24" s="29" t="s">
        <v>892</v>
      </c>
      <c r="F24" s="29" t="s">
        <v>30</v>
      </c>
      <c r="G24" s="30">
        <v>695</v>
      </c>
      <c r="H24" s="30">
        <v>25</v>
      </c>
      <c r="I24" s="30">
        <f t="shared" si="0"/>
        <v>670</v>
      </c>
      <c r="J24" s="29" t="s">
        <v>18</v>
      </c>
      <c r="K24" s="29" t="s">
        <v>18</v>
      </c>
      <c r="L24" s="29" t="s">
        <v>833</v>
      </c>
      <c r="Q24" s="29">
        <v>1</v>
      </c>
    </row>
    <row r="25" spans="1:17" x14ac:dyDescent="0.25">
      <c r="B25" s="29" t="s">
        <v>16</v>
      </c>
      <c r="C25" s="29" t="s">
        <v>893</v>
      </c>
      <c r="D25" s="29" t="s">
        <v>894</v>
      </c>
      <c r="E25" s="29" t="s">
        <v>895</v>
      </c>
      <c r="F25" s="29" t="s">
        <v>30</v>
      </c>
      <c r="G25" s="30">
        <v>845</v>
      </c>
      <c r="H25" s="30">
        <v>25</v>
      </c>
      <c r="I25" s="30">
        <f t="shared" si="0"/>
        <v>820</v>
      </c>
      <c r="J25" s="29" t="s">
        <v>18</v>
      </c>
      <c r="K25" s="29" t="s">
        <v>18</v>
      </c>
      <c r="L25" s="29" t="s">
        <v>833</v>
      </c>
      <c r="Q25" s="29">
        <v>1</v>
      </c>
    </row>
    <row r="26" spans="1:17" x14ac:dyDescent="0.25">
      <c r="B26" s="29" t="s">
        <v>16</v>
      </c>
      <c r="C26" s="29" t="s">
        <v>896</v>
      </c>
      <c r="D26" s="29" t="s">
        <v>897</v>
      </c>
      <c r="E26" s="29" t="s">
        <v>898</v>
      </c>
      <c r="F26" s="29" t="s">
        <v>28</v>
      </c>
      <c r="G26" s="30">
        <v>615</v>
      </c>
      <c r="H26" s="30">
        <v>25</v>
      </c>
      <c r="I26" s="30">
        <f t="shared" si="0"/>
        <v>590</v>
      </c>
      <c r="J26" s="29" t="s">
        <v>18</v>
      </c>
      <c r="K26" s="29" t="s">
        <v>18</v>
      </c>
      <c r="L26" s="29" t="s">
        <v>833</v>
      </c>
      <c r="Q26" s="29">
        <v>1</v>
      </c>
    </row>
    <row r="27" spans="1:17" x14ac:dyDescent="0.25">
      <c r="A27" s="29" t="s">
        <v>38</v>
      </c>
      <c r="B27" s="29" t="s">
        <v>16</v>
      </c>
      <c r="C27" s="29" t="s">
        <v>43</v>
      </c>
      <c r="E27" s="29" t="s">
        <v>44</v>
      </c>
      <c r="F27" s="29" t="s">
        <v>28</v>
      </c>
      <c r="G27" s="30">
        <v>0</v>
      </c>
      <c r="H27" s="30">
        <v>30</v>
      </c>
      <c r="I27" s="30">
        <f t="shared" si="0"/>
        <v>-30</v>
      </c>
      <c r="J27" s="29" t="s">
        <v>19</v>
      </c>
      <c r="K27" s="29" t="s">
        <v>18</v>
      </c>
      <c r="L27" s="29" t="s">
        <v>833</v>
      </c>
      <c r="Q27" s="29">
        <v>1</v>
      </c>
    </row>
    <row r="28" spans="1:17" x14ac:dyDescent="0.25">
      <c r="A28" s="29" t="s">
        <v>38</v>
      </c>
      <c r="B28" s="29" t="s">
        <v>16</v>
      </c>
      <c r="C28" s="29" t="s">
        <v>899</v>
      </c>
      <c r="E28" s="29" t="s">
        <v>900</v>
      </c>
      <c r="F28" s="29" t="s">
        <v>28</v>
      </c>
      <c r="G28" s="30">
        <v>820</v>
      </c>
      <c r="H28" s="30">
        <v>30</v>
      </c>
      <c r="I28" s="30">
        <f t="shared" si="0"/>
        <v>790</v>
      </c>
      <c r="J28" s="29" t="s">
        <v>19</v>
      </c>
      <c r="K28" s="29" t="s">
        <v>18</v>
      </c>
      <c r="L28" s="29" t="s">
        <v>833</v>
      </c>
      <c r="Q28" s="29">
        <v>1</v>
      </c>
    </row>
    <row r="29" spans="1:17" x14ac:dyDescent="0.25">
      <c r="A29" s="29" t="s">
        <v>38</v>
      </c>
      <c r="B29" s="29" t="s">
        <v>16</v>
      </c>
      <c r="C29" s="29" t="s">
        <v>901</v>
      </c>
      <c r="E29" s="29" t="s">
        <v>902</v>
      </c>
      <c r="F29" s="30">
        <v>3</v>
      </c>
      <c r="G29" s="30">
        <v>0</v>
      </c>
      <c r="H29" s="30">
        <v>35</v>
      </c>
      <c r="I29" s="30">
        <f t="shared" si="0"/>
        <v>-35</v>
      </c>
      <c r="J29" s="29" t="s">
        <v>19</v>
      </c>
      <c r="K29" s="29" t="s">
        <v>18</v>
      </c>
      <c r="L29" s="29" t="s">
        <v>833</v>
      </c>
      <c r="Q29" s="29">
        <v>1</v>
      </c>
    </row>
    <row r="30" spans="1:17" x14ac:dyDescent="0.25">
      <c r="B30" s="29" t="s">
        <v>16</v>
      </c>
      <c r="C30" s="29" t="s">
        <v>903</v>
      </c>
      <c r="D30" s="29" t="s">
        <v>904</v>
      </c>
      <c r="E30" s="29" t="s">
        <v>905</v>
      </c>
      <c r="F30" s="30">
        <v>1</v>
      </c>
      <c r="G30" s="30">
        <v>845</v>
      </c>
      <c r="H30" s="30">
        <v>25</v>
      </c>
      <c r="I30" s="30">
        <f t="shared" si="0"/>
        <v>820</v>
      </c>
      <c r="J30" s="29" t="s">
        <v>19</v>
      </c>
      <c r="K30" s="29" t="s">
        <v>18</v>
      </c>
      <c r="L30" s="29" t="s">
        <v>833</v>
      </c>
      <c r="Q30" s="29">
        <v>1</v>
      </c>
    </row>
    <row r="31" spans="1:17" x14ac:dyDescent="0.25">
      <c r="B31" s="29" t="s">
        <v>16</v>
      </c>
      <c r="C31" s="29" t="s">
        <v>875</v>
      </c>
      <c r="D31" s="29" t="s">
        <v>906</v>
      </c>
      <c r="E31" s="29" t="s">
        <v>907</v>
      </c>
      <c r="F31" s="30">
        <v>4</v>
      </c>
      <c r="G31" s="30">
        <v>915</v>
      </c>
      <c r="H31" s="30">
        <v>25</v>
      </c>
      <c r="I31" s="30">
        <f t="shared" si="0"/>
        <v>890</v>
      </c>
      <c r="J31" s="29" t="s">
        <v>19</v>
      </c>
      <c r="K31" s="29" t="s">
        <v>18</v>
      </c>
      <c r="L31" s="29" t="s">
        <v>833</v>
      </c>
      <c r="Q31" s="29">
        <v>1</v>
      </c>
    </row>
    <row r="32" spans="1:17" x14ac:dyDescent="0.25">
      <c r="B32" s="29" t="s">
        <v>16</v>
      </c>
      <c r="C32" s="29" t="s">
        <v>908</v>
      </c>
      <c r="D32" s="29" t="s">
        <v>909</v>
      </c>
      <c r="E32" s="29" t="s">
        <v>910</v>
      </c>
      <c r="F32" s="30">
        <v>5</v>
      </c>
      <c r="G32" s="30">
        <v>0</v>
      </c>
      <c r="H32" s="30">
        <v>25</v>
      </c>
      <c r="I32" s="30">
        <f>-H32</f>
        <v>-25</v>
      </c>
      <c r="J32" s="29" t="s">
        <v>19</v>
      </c>
      <c r="K32" s="29" t="s">
        <v>18</v>
      </c>
      <c r="L32" s="29" t="s">
        <v>833</v>
      </c>
      <c r="Q32" s="29">
        <v>1</v>
      </c>
    </row>
    <row r="33" spans="1:17" x14ac:dyDescent="0.25">
      <c r="B33" s="29" t="s">
        <v>16</v>
      </c>
      <c r="C33" s="29" t="s">
        <v>911</v>
      </c>
      <c r="D33" s="29" t="s">
        <v>912</v>
      </c>
      <c r="E33" s="29" t="s">
        <v>913</v>
      </c>
      <c r="F33" s="29" t="s">
        <v>28</v>
      </c>
      <c r="G33" s="30">
        <v>1015</v>
      </c>
      <c r="H33" s="30">
        <v>25</v>
      </c>
      <c r="I33" s="30">
        <f>G33-H33</f>
        <v>990</v>
      </c>
      <c r="J33" s="29" t="s">
        <v>19</v>
      </c>
      <c r="K33" s="29" t="s">
        <v>18</v>
      </c>
      <c r="L33" s="29" t="s">
        <v>833</v>
      </c>
      <c r="Q33" s="29">
        <v>1</v>
      </c>
    </row>
    <row r="34" spans="1:17" x14ac:dyDescent="0.25">
      <c r="B34" s="29" t="s">
        <v>16</v>
      </c>
      <c r="C34" s="29" t="s">
        <v>914</v>
      </c>
      <c r="D34" s="29" t="s">
        <v>915</v>
      </c>
      <c r="E34" s="29" t="s">
        <v>916</v>
      </c>
      <c r="F34" s="30">
        <v>4</v>
      </c>
      <c r="G34" s="30">
        <v>1445</v>
      </c>
      <c r="H34" s="30">
        <v>25</v>
      </c>
      <c r="I34" s="30">
        <f>G34-H34</f>
        <v>1420</v>
      </c>
      <c r="J34" s="29" t="s">
        <v>19</v>
      </c>
      <c r="K34" s="29" t="s">
        <v>18</v>
      </c>
      <c r="L34" s="29" t="s">
        <v>833</v>
      </c>
      <c r="Q34" s="29">
        <v>1</v>
      </c>
    </row>
    <row r="35" spans="1:17" x14ac:dyDescent="0.25">
      <c r="B35" s="29" t="s">
        <v>16</v>
      </c>
      <c r="C35" s="29" t="s">
        <v>917</v>
      </c>
      <c r="D35" s="29" t="s">
        <v>918</v>
      </c>
      <c r="E35" s="29" t="s">
        <v>919</v>
      </c>
      <c r="F35" s="30">
        <v>1</v>
      </c>
      <c r="G35" s="30">
        <v>385</v>
      </c>
      <c r="H35" s="30">
        <v>25</v>
      </c>
      <c r="I35" s="30">
        <f>G35-H35</f>
        <v>360</v>
      </c>
      <c r="J35" s="29" t="s">
        <v>19</v>
      </c>
      <c r="K35" s="29" t="s">
        <v>18</v>
      </c>
      <c r="L35" s="29" t="s">
        <v>833</v>
      </c>
      <c r="Q35" s="29">
        <v>1</v>
      </c>
    </row>
    <row r="36" spans="1:17" x14ac:dyDescent="0.25">
      <c r="B36" s="29" t="s">
        <v>16</v>
      </c>
      <c r="C36" s="29" t="s">
        <v>920</v>
      </c>
      <c r="D36" s="29" t="s">
        <v>921</v>
      </c>
      <c r="E36" s="29" t="s">
        <v>922</v>
      </c>
      <c r="F36" s="30">
        <v>10</v>
      </c>
      <c r="G36" s="30">
        <v>845</v>
      </c>
      <c r="H36" s="30">
        <v>25</v>
      </c>
      <c r="I36" s="30">
        <f>G36-H36</f>
        <v>820</v>
      </c>
      <c r="J36" s="29" t="s">
        <v>19</v>
      </c>
      <c r="K36" s="29" t="s">
        <v>18</v>
      </c>
      <c r="L36" s="29" t="s">
        <v>833</v>
      </c>
      <c r="Q36" s="29">
        <v>1</v>
      </c>
    </row>
    <row r="37" spans="1:17" x14ac:dyDescent="0.25">
      <c r="B37" s="29" t="s">
        <v>16</v>
      </c>
      <c r="C37" s="29" t="s">
        <v>923</v>
      </c>
      <c r="D37" s="29" t="s">
        <v>924</v>
      </c>
      <c r="E37" s="29" t="s">
        <v>925</v>
      </c>
      <c r="F37" s="30">
        <v>10</v>
      </c>
      <c r="G37" s="30">
        <v>915</v>
      </c>
      <c r="H37" s="30">
        <v>25</v>
      </c>
      <c r="I37" s="30">
        <f>G37-H37</f>
        <v>890</v>
      </c>
      <c r="J37" s="29" t="s">
        <v>19</v>
      </c>
      <c r="K37" s="29" t="s">
        <v>18</v>
      </c>
      <c r="L37" s="29" t="s">
        <v>833</v>
      </c>
      <c r="Q37" s="29">
        <v>1</v>
      </c>
    </row>
    <row r="39" spans="1:17" x14ac:dyDescent="0.25">
      <c r="D39" s="32">
        <f>COUNTA(D3:D37)</f>
        <v>31</v>
      </c>
      <c r="G39" s="32">
        <f t="shared" ref="G39:Q39" si="1">SUBTOTAL(9,G3:G37)</f>
        <v>25355</v>
      </c>
      <c r="H39" s="32">
        <f t="shared" si="1"/>
        <v>955</v>
      </c>
      <c r="I39" s="32">
        <f t="shared" si="1"/>
        <v>24400</v>
      </c>
      <c r="J39" s="32">
        <f t="shared" si="1"/>
        <v>0</v>
      </c>
      <c r="K39" s="32">
        <f t="shared" si="1"/>
        <v>0</v>
      </c>
      <c r="L39" s="32">
        <f t="shared" si="1"/>
        <v>0</v>
      </c>
      <c r="M39" s="32">
        <f t="shared" si="1"/>
        <v>0</v>
      </c>
      <c r="N39" s="32">
        <f t="shared" si="1"/>
        <v>0</v>
      </c>
      <c r="O39" s="32">
        <f t="shared" si="1"/>
        <v>0</v>
      </c>
      <c r="P39" s="32">
        <f t="shared" si="1"/>
        <v>0</v>
      </c>
      <c r="Q39" s="32">
        <f t="shared" si="1"/>
        <v>35</v>
      </c>
    </row>
    <row r="40" spans="1:17" x14ac:dyDescent="0.25">
      <c r="H40" s="29">
        <f>-13*17</f>
        <v>-221</v>
      </c>
    </row>
    <row r="41" spans="1:17" x14ac:dyDescent="0.25">
      <c r="A41" s="32" t="s">
        <v>16</v>
      </c>
      <c r="C41" s="42" t="s">
        <v>46</v>
      </c>
      <c r="D41" s="42"/>
      <c r="E41" s="33" t="s">
        <v>47</v>
      </c>
      <c r="H41" s="29">
        <f>-3*25</f>
        <v>-75</v>
      </c>
      <c r="K41" s="34" t="s">
        <v>19</v>
      </c>
      <c r="L41" s="34" t="s">
        <v>48</v>
      </c>
      <c r="M41" s="34" t="s">
        <v>47</v>
      </c>
      <c r="O41" s="33" t="s">
        <v>72</v>
      </c>
    </row>
    <row r="42" spans="1:17" x14ac:dyDescent="0.25">
      <c r="A42" s="29" t="s">
        <v>833</v>
      </c>
      <c r="B42" s="35" t="s">
        <v>49</v>
      </c>
      <c r="C42" s="43">
        <f>SUMIFS(I$3:I$37,B$3:B$37,A$41,L$3:L$37,A$42)</f>
        <v>24400</v>
      </c>
      <c r="D42" s="43"/>
      <c r="E42" s="35">
        <f>SUMIFS(Q$3:Q$37,B$3:B$37,A$41,L$3:L$37,A$42)</f>
        <v>35</v>
      </c>
      <c r="F42" s="29" t="s">
        <v>73</v>
      </c>
      <c r="H42" s="29">
        <f>-1*30</f>
        <v>-30</v>
      </c>
      <c r="K42" s="29" t="s">
        <v>50</v>
      </c>
      <c r="L42" s="29">
        <f>SUMIFS(G$3:G$37,J$3:J$37,K$41)</f>
        <v>7185</v>
      </c>
      <c r="M42" s="29">
        <f>SUMIFS(Q$3:Q$37,J$3:J$37,K$41)</f>
        <v>11</v>
      </c>
      <c r="O42" s="29" t="s">
        <v>19</v>
      </c>
      <c r="P42" s="29">
        <f>L47</f>
        <v>6945</v>
      </c>
    </row>
    <row r="43" spans="1:17" x14ac:dyDescent="0.25">
      <c r="B43" s="36" t="s">
        <v>108</v>
      </c>
      <c r="C43" s="44">
        <v>0</v>
      </c>
      <c r="D43" s="44"/>
      <c r="K43" s="29" t="s">
        <v>51</v>
      </c>
      <c r="L43" s="29">
        <f>-SUMIFS(H$3:H$37,J$3:J$37,K$41)+M43*5</f>
        <v>-240</v>
      </c>
      <c r="M43" s="29">
        <f>SUMIFS(Q$3:Q$37,J$3:J$37,K$41)-COUNTIFS(J$3:J$37,K$41,M$3:M$37,"*gộp*")</f>
        <v>11</v>
      </c>
      <c r="O43" s="29" t="s">
        <v>926</v>
      </c>
      <c r="P43" s="29">
        <f>L55</f>
        <v>12534</v>
      </c>
    </row>
    <row r="44" spans="1:17" x14ac:dyDescent="0.25">
      <c r="B44" s="36" t="s">
        <v>52</v>
      </c>
      <c r="C44" s="44">
        <f>-SUMIFS(I$3:I$37,B$3:B$37,A$41,P$3:P$37,"xx",N$3:N$37,"x")</f>
        <v>0</v>
      </c>
      <c r="D44" s="44"/>
      <c r="E44" s="36">
        <f>SUMIFS(Q$3:Q$37,B$3:B$37,A$41,P$3:P$37,"xx",N$3:N$37,"x")</f>
        <v>0</v>
      </c>
      <c r="K44" s="29" t="s">
        <v>74</v>
      </c>
      <c r="O44" s="29" t="s">
        <v>18</v>
      </c>
      <c r="P44" s="29">
        <f>L63</f>
        <v>4420</v>
      </c>
    </row>
    <row r="45" spans="1:17" x14ac:dyDescent="0.25">
      <c r="B45" s="33" t="s">
        <v>53</v>
      </c>
      <c r="C45" s="42">
        <f>SUBTOTAL(9,C42:C44)</f>
        <v>24400</v>
      </c>
      <c r="D45" s="42"/>
      <c r="E45" s="29">
        <f>E42</f>
        <v>35</v>
      </c>
      <c r="K45" s="36" t="s">
        <v>25</v>
      </c>
      <c r="O45" s="29" t="s">
        <v>37</v>
      </c>
      <c r="P45" s="29">
        <f>L71</f>
        <v>675</v>
      </c>
    </row>
    <row r="46" spans="1:17" x14ac:dyDescent="0.25">
      <c r="B46" s="36" t="s">
        <v>75</v>
      </c>
      <c r="C46" s="40"/>
      <c r="D46" s="40"/>
      <c r="K46" s="36" t="s">
        <v>54</v>
      </c>
      <c r="O46" s="29" t="s">
        <v>76</v>
      </c>
      <c r="P46" s="29">
        <f>-C49</f>
        <v>-24400</v>
      </c>
    </row>
    <row r="47" spans="1:17" x14ac:dyDescent="0.25">
      <c r="B47" s="37" t="s">
        <v>55</v>
      </c>
      <c r="C47" s="40"/>
      <c r="D47" s="40"/>
      <c r="L47" s="38">
        <f>SUBTOTAL(9,L42:L46)</f>
        <v>6945</v>
      </c>
      <c r="M47" s="38">
        <f>M42</f>
        <v>11</v>
      </c>
      <c r="O47" s="33" t="s">
        <v>77</v>
      </c>
      <c r="P47" s="33">
        <f>SUBTOTAL(9,P42:P46)</f>
        <v>174</v>
      </c>
    </row>
    <row r="49" spans="2:13" x14ac:dyDescent="0.25">
      <c r="B49" s="32" t="s">
        <v>56</v>
      </c>
      <c r="C49" s="41">
        <f>C45+C46+C47</f>
        <v>24400</v>
      </c>
      <c r="D49" s="41"/>
      <c r="E49" s="32" t="s">
        <v>57</v>
      </c>
      <c r="K49" s="34" t="s">
        <v>834</v>
      </c>
      <c r="L49" s="34" t="s">
        <v>48</v>
      </c>
      <c r="M49" s="34" t="s">
        <v>47</v>
      </c>
    </row>
    <row r="50" spans="2:13" x14ac:dyDescent="0.25">
      <c r="K50" s="29" t="s">
        <v>50</v>
      </c>
      <c r="L50" s="29">
        <f>SUMIFS(G$3:G$37,J$3:J$37,K$49)</f>
        <v>12860</v>
      </c>
      <c r="M50" s="29">
        <f>SUMIFS(Q$3:Q$37,J$3:J$37,K$49)</f>
        <v>17</v>
      </c>
    </row>
    <row r="51" spans="2:13" x14ac:dyDescent="0.25">
      <c r="K51" s="29" t="s">
        <v>51</v>
      </c>
      <c r="L51" s="29">
        <f>SUM(H40:H42)</f>
        <v>-326</v>
      </c>
      <c r="M51" s="29">
        <f>SUMIFS(Q$3:Q$37,J$3:J$37,K$49)</f>
        <v>17</v>
      </c>
    </row>
    <row r="52" spans="2:13" x14ac:dyDescent="0.25">
      <c r="K52" s="29" t="s">
        <v>74</v>
      </c>
    </row>
    <row r="53" spans="2:13" x14ac:dyDescent="0.25">
      <c r="K53" s="36" t="s">
        <v>25</v>
      </c>
    </row>
    <row r="54" spans="2:13" x14ac:dyDescent="0.25">
      <c r="K54" s="36" t="s">
        <v>54</v>
      </c>
    </row>
    <row r="55" spans="2:13" x14ac:dyDescent="0.25">
      <c r="L55" s="38">
        <f>SUBTOTAL(9,L50:L54)</f>
        <v>12534</v>
      </c>
      <c r="M55" s="38">
        <f>M50</f>
        <v>17</v>
      </c>
    </row>
    <row r="57" spans="2:13" x14ac:dyDescent="0.25">
      <c r="K57" s="34" t="s">
        <v>18</v>
      </c>
      <c r="L57" s="34" t="s">
        <v>48</v>
      </c>
      <c r="M57" s="34" t="s">
        <v>47</v>
      </c>
    </row>
    <row r="58" spans="2:13" x14ac:dyDescent="0.25">
      <c r="K58" s="29" t="s">
        <v>50</v>
      </c>
      <c r="L58" s="29">
        <f>SUMIFS(G$3:G$37,J$3:J$37,K$57)</f>
        <v>4610</v>
      </c>
      <c r="M58" s="29">
        <f>SUMIFS(Q$3:Q$37,J$3:J$37,K$57)</f>
        <v>6</v>
      </c>
    </row>
    <row r="59" spans="2:13" x14ac:dyDescent="0.25">
      <c r="K59" s="29" t="s">
        <v>51</v>
      </c>
      <c r="L59" s="29">
        <f>-SUMIFS(H$3:H$37,J$3:J$37,K$57)+M59*5</f>
        <v>-120</v>
      </c>
      <c r="M59" s="29">
        <f>SUMIFS(Q$3:Q$37,J$3:J$37,K$57)-COUNTIFS(J$3:J$37,K$57,M$3:M$37,"*gộp*")</f>
        <v>6</v>
      </c>
    </row>
    <row r="60" spans="2:13" x14ac:dyDescent="0.25">
      <c r="K60" s="29" t="s">
        <v>74</v>
      </c>
      <c r="L60" s="29">
        <f>-M60*2</f>
        <v>-70</v>
      </c>
      <c r="M60" s="29">
        <f>Q39-(COUNTIFS(M$3:M$37,"*gộp*")/2)</f>
        <v>35</v>
      </c>
    </row>
    <row r="61" spans="2:13" x14ac:dyDescent="0.25">
      <c r="K61" s="36" t="s">
        <v>25</v>
      </c>
    </row>
    <row r="62" spans="2:13" x14ac:dyDescent="0.25">
      <c r="K62" s="36" t="s">
        <v>54</v>
      </c>
    </row>
    <row r="63" spans="2:13" x14ac:dyDescent="0.25">
      <c r="L63" s="38">
        <f>SUBTOTAL(9,L58:L62)</f>
        <v>4420</v>
      </c>
      <c r="M63" s="38">
        <f>M58</f>
        <v>6</v>
      </c>
    </row>
    <row r="65" spans="11:13" x14ac:dyDescent="0.25">
      <c r="K65" s="34" t="s">
        <v>37</v>
      </c>
      <c r="L65" s="34" t="s">
        <v>48</v>
      </c>
      <c r="M65" s="34" t="s">
        <v>47</v>
      </c>
    </row>
    <row r="66" spans="11:13" x14ac:dyDescent="0.25">
      <c r="K66" s="29" t="s">
        <v>50</v>
      </c>
      <c r="L66" s="29">
        <f>SUMIFS(G$3:G$37,J$3:J$37,K$65)</f>
        <v>700</v>
      </c>
      <c r="M66" s="29">
        <f>SUMIFS(Q$3:Q$37,J$3:J$37,K$65)</f>
        <v>1</v>
      </c>
    </row>
    <row r="67" spans="11:13" x14ac:dyDescent="0.25">
      <c r="K67" s="29" t="s">
        <v>51</v>
      </c>
      <c r="L67" s="29">
        <f>-SUMIFS(H$3:H$37,J$3:J$37,K$65)+M67*5</f>
        <v>-25</v>
      </c>
      <c r="M67" s="29">
        <f>SUMIFS(Q$3:Q$37,J$3:J$37,K$65)-COUNTIFS(J$3:J$37,K$65,M$3:M$37,"*gộp*")</f>
        <v>1</v>
      </c>
    </row>
    <row r="68" spans="11:13" x14ac:dyDescent="0.25">
      <c r="K68" s="29" t="s">
        <v>74</v>
      </c>
    </row>
    <row r="69" spans="11:13" x14ac:dyDescent="0.25">
      <c r="K69" s="36" t="s">
        <v>25</v>
      </c>
    </row>
    <row r="70" spans="11:13" x14ac:dyDescent="0.25">
      <c r="K70" s="36" t="s">
        <v>54</v>
      </c>
    </row>
    <row r="71" spans="11:13" x14ac:dyDescent="0.25">
      <c r="L71" s="38">
        <f>SUBTOTAL(9,L66:L70)</f>
        <v>675</v>
      </c>
      <c r="M71" s="38">
        <f>M66</f>
        <v>1</v>
      </c>
    </row>
  </sheetData>
  <autoFilter ref="A2:P37" xr:uid="{00000000-0009-0000-0000-000000000000}">
    <sortState xmlns:xlrd2="http://schemas.microsoft.com/office/spreadsheetml/2017/richdata2" ref="A3:P37">
      <sortCondition ref="J2:J37"/>
    </sortState>
  </autoFilter>
  <mergeCells count="8">
    <mergeCell ref="C47:D47"/>
    <mergeCell ref="C49:D49"/>
    <mergeCell ref="C41:D41"/>
    <mergeCell ref="C42:D42"/>
    <mergeCell ref="C43:D43"/>
    <mergeCell ref="C44:D44"/>
    <mergeCell ref="C45:D45"/>
    <mergeCell ref="C46:D46"/>
  </mergeCells>
  <pageMargins left="0.75" right="0.75" top="0.75" bottom="0.5" header="0.5" footer="0.7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DA1F4-1833-4FA2-92F1-E40412E68CE5}">
  <dimension ref="A2:Q55"/>
  <sheetViews>
    <sheetView topLeftCell="A10" workbookViewId="0">
      <selection activeCell="G28" sqref="G28"/>
    </sheetView>
  </sheetViews>
  <sheetFormatPr defaultRowHeight="15" x14ac:dyDescent="0.25"/>
  <cols>
    <col min="1" max="1" width="12.7109375" style="29" customWidth="1"/>
    <col min="2" max="2" width="17.7109375" style="29" customWidth="1"/>
    <col min="3" max="3" width="19.28515625" style="29" customWidth="1"/>
    <col min="4" max="4" width="9.85546875" style="29" customWidth="1"/>
    <col min="5" max="5" width="58" style="29" customWidth="1"/>
    <col min="6" max="6" width="10.7109375" style="29" customWidth="1"/>
    <col min="7" max="7" width="9.140625" style="29" customWidth="1"/>
    <col min="8" max="8" width="9.5703125" style="29" customWidth="1"/>
    <col min="9" max="9" width="10.5703125" style="29" customWidth="1"/>
    <col min="10" max="10" width="9.7109375" style="29" customWidth="1"/>
    <col min="11" max="11" width="10.85546875" style="29" customWidth="1"/>
    <col min="12" max="12" width="10.42578125" style="29" customWidth="1"/>
    <col min="13" max="13" width="8.5703125" style="29" customWidth="1"/>
    <col min="14" max="14" width="9.7109375" style="29" customWidth="1"/>
    <col min="15" max="15" width="10.42578125" style="29" customWidth="1"/>
    <col min="16" max="16" width="7" style="29" bestFit="1" customWidth="1"/>
    <col min="17" max="17" width="6.42578125" style="29" customWidth="1"/>
    <col min="18" max="16384" width="9.140625" style="29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85</v>
      </c>
    </row>
    <row r="3" spans="1:17" x14ac:dyDescent="0.25">
      <c r="A3" s="29" t="s">
        <v>38</v>
      </c>
      <c r="B3" s="29" t="s">
        <v>16</v>
      </c>
      <c r="C3" s="29" t="s">
        <v>927</v>
      </c>
      <c r="E3" s="29" t="s">
        <v>45</v>
      </c>
      <c r="F3" s="30">
        <v>6</v>
      </c>
      <c r="G3" s="30">
        <v>720</v>
      </c>
      <c r="H3" s="30">
        <v>30</v>
      </c>
      <c r="I3" s="30">
        <f>G3-H3</f>
        <v>690</v>
      </c>
      <c r="J3" s="29" t="s">
        <v>928</v>
      </c>
      <c r="K3" s="29" t="s">
        <v>18</v>
      </c>
      <c r="L3" s="29" t="s">
        <v>929</v>
      </c>
      <c r="Q3" s="30">
        <v>1</v>
      </c>
    </row>
    <row r="4" spans="1:17" x14ac:dyDescent="0.25">
      <c r="B4" s="29" t="s">
        <v>16</v>
      </c>
      <c r="C4" s="29" t="s">
        <v>930</v>
      </c>
      <c r="D4" s="29" t="s">
        <v>931</v>
      </c>
      <c r="E4" s="29" t="s">
        <v>932</v>
      </c>
      <c r="F4" s="29" t="s">
        <v>323</v>
      </c>
      <c r="G4" s="30">
        <v>925</v>
      </c>
      <c r="H4" s="30">
        <v>35</v>
      </c>
      <c r="I4" s="30">
        <f>G4-H4</f>
        <v>890</v>
      </c>
      <c r="J4" s="29" t="s">
        <v>928</v>
      </c>
      <c r="K4" s="29" t="s">
        <v>18</v>
      </c>
      <c r="L4" s="29" t="s">
        <v>929</v>
      </c>
      <c r="Q4" s="30">
        <v>1</v>
      </c>
    </row>
    <row r="5" spans="1:17" x14ac:dyDescent="0.25">
      <c r="B5" s="29" t="s">
        <v>16</v>
      </c>
      <c r="C5" s="29" t="s">
        <v>933</v>
      </c>
      <c r="D5" s="29" t="s">
        <v>934</v>
      </c>
      <c r="E5" s="29" t="s">
        <v>935</v>
      </c>
      <c r="F5" s="30">
        <v>8</v>
      </c>
      <c r="G5" s="30">
        <v>745</v>
      </c>
      <c r="H5" s="30">
        <v>25</v>
      </c>
      <c r="I5" s="30">
        <f>G5-H5</f>
        <v>720</v>
      </c>
      <c r="J5" s="29" t="s">
        <v>928</v>
      </c>
      <c r="K5" s="29" t="s">
        <v>18</v>
      </c>
      <c r="L5" s="29" t="s">
        <v>929</v>
      </c>
      <c r="Q5" s="30">
        <v>1</v>
      </c>
    </row>
    <row r="6" spans="1:17" x14ac:dyDescent="0.25">
      <c r="B6" s="29" t="s">
        <v>16</v>
      </c>
      <c r="C6" s="29" t="s">
        <v>844</v>
      </c>
      <c r="D6" s="29" t="s">
        <v>936</v>
      </c>
      <c r="E6" s="29" t="s">
        <v>846</v>
      </c>
      <c r="F6" s="30">
        <v>7</v>
      </c>
      <c r="G6" s="30">
        <v>700</v>
      </c>
      <c r="H6" s="30">
        <v>30</v>
      </c>
      <c r="I6" s="30">
        <f>G6-H6</f>
        <v>670</v>
      </c>
      <c r="J6" s="29" t="s">
        <v>928</v>
      </c>
      <c r="K6" s="29" t="s">
        <v>18</v>
      </c>
      <c r="L6" s="29" t="s">
        <v>929</v>
      </c>
      <c r="Q6" s="30">
        <v>1</v>
      </c>
    </row>
    <row r="7" spans="1:17" x14ac:dyDescent="0.25">
      <c r="B7" s="29" t="s">
        <v>16</v>
      </c>
      <c r="C7" s="29" t="s">
        <v>937</v>
      </c>
      <c r="D7" s="29" t="s">
        <v>938</v>
      </c>
      <c r="E7" s="29" t="s">
        <v>939</v>
      </c>
      <c r="F7" s="30">
        <v>6</v>
      </c>
      <c r="G7" s="30">
        <v>845</v>
      </c>
      <c r="H7" s="30">
        <v>25</v>
      </c>
      <c r="I7" s="30">
        <f>G7-H7</f>
        <v>820</v>
      </c>
      <c r="J7" s="29" t="s">
        <v>928</v>
      </c>
      <c r="K7" s="29" t="s">
        <v>18</v>
      </c>
      <c r="L7" s="29" t="s">
        <v>929</v>
      </c>
      <c r="Q7" s="30">
        <v>1</v>
      </c>
    </row>
    <row r="8" spans="1:17" x14ac:dyDescent="0.25">
      <c r="B8" s="29" t="s">
        <v>16</v>
      </c>
      <c r="C8" s="29" t="s">
        <v>940</v>
      </c>
      <c r="D8" s="29" t="s">
        <v>941</v>
      </c>
      <c r="E8" s="29" t="s">
        <v>942</v>
      </c>
      <c r="F8" s="29" t="s">
        <v>33</v>
      </c>
      <c r="G8" s="30">
        <v>0</v>
      </c>
      <c r="H8" s="30">
        <v>35</v>
      </c>
      <c r="I8" s="30">
        <f>-H8</f>
        <v>-35</v>
      </c>
      <c r="J8" s="29" t="s">
        <v>928</v>
      </c>
      <c r="K8" s="29" t="s">
        <v>18</v>
      </c>
      <c r="L8" s="29" t="s">
        <v>929</v>
      </c>
      <c r="Q8" s="30">
        <v>1</v>
      </c>
    </row>
    <row r="9" spans="1:17" x14ac:dyDescent="0.25">
      <c r="B9" s="29" t="s">
        <v>16</v>
      </c>
      <c r="C9" s="29" t="s">
        <v>943</v>
      </c>
      <c r="D9" s="29" t="s">
        <v>944</v>
      </c>
      <c r="E9" s="29" t="s">
        <v>945</v>
      </c>
      <c r="F9" s="30">
        <v>7</v>
      </c>
      <c r="G9" s="30">
        <v>410</v>
      </c>
      <c r="H9" s="30">
        <v>30</v>
      </c>
      <c r="I9" s="30">
        <f>G9-H9</f>
        <v>380</v>
      </c>
      <c r="J9" s="29" t="s">
        <v>928</v>
      </c>
      <c r="K9" s="29" t="s">
        <v>18</v>
      </c>
      <c r="L9" s="29" t="s">
        <v>929</v>
      </c>
      <c r="Q9" s="30">
        <v>1</v>
      </c>
    </row>
    <row r="10" spans="1:17" x14ac:dyDescent="0.25">
      <c r="B10" s="29" t="s">
        <v>16</v>
      </c>
      <c r="C10" s="29" t="s">
        <v>946</v>
      </c>
      <c r="D10" s="29" t="s">
        <v>947</v>
      </c>
      <c r="E10" s="29" t="s">
        <v>948</v>
      </c>
      <c r="F10" s="30">
        <v>6</v>
      </c>
      <c r="G10" s="30">
        <v>0</v>
      </c>
      <c r="H10" s="30">
        <v>25</v>
      </c>
      <c r="I10" s="30">
        <f>-H10</f>
        <v>-25</v>
      </c>
      <c r="J10" s="29" t="s">
        <v>928</v>
      </c>
      <c r="K10" s="29" t="s">
        <v>18</v>
      </c>
      <c r="L10" s="29" t="s">
        <v>929</v>
      </c>
      <c r="Q10" s="30">
        <v>1</v>
      </c>
    </row>
    <row r="11" spans="1:17" x14ac:dyDescent="0.25">
      <c r="B11" s="29" t="s">
        <v>16</v>
      </c>
      <c r="C11" s="29" t="s">
        <v>364</v>
      </c>
      <c r="D11" s="29" t="s">
        <v>949</v>
      </c>
      <c r="E11" s="29" t="s">
        <v>366</v>
      </c>
      <c r="F11" s="30">
        <v>7</v>
      </c>
      <c r="G11" s="30">
        <v>750</v>
      </c>
      <c r="H11" s="30">
        <v>30</v>
      </c>
      <c r="I11" s="30">
        <f>G11-H11</f>
        <v>720</v>
      </c>
      <c r="J11" s="29" t="s">
        <v>928</v>
      </c>
      <c r="K11" s="29" t="s">
        <v>18</v>
      </c>
      <c r="L11" s="29" t="s">
        <v>929</v>
      </c>
      <c r="Q11" s="30">
        <v>1</v>
      </c>
    </row>
    <row r="12" spans="1:17" x14ac:dyDescent="0.25">
      <c r="B12" s="29" t="s">
        <v>16</v>
      </c>
      <c r="C12" s="29" t="s">
        <v>950</v>
      </c>
      <c r="D12" s="29" t="s">
        <v>951</v>
      </c>
      <c r="E12" s="29" t="s">
        <v>80</v>
      </c>
      <c r="F12" s="29" t="s">
        <v>22</v>
      </c>
      <c r="G12" s="30">
        <v>0</v>
      </c>
      <c r="H12" s="30">
        <v>30</v>
      </c>
      <c r="I12" s="30">
        <f>-H12</f>
        <v>-30</v>
      </c>
      <c r="J12" s="29" t="s">
        <v>928</v>
      </c>
      <c r="K12" s="29" t="s">
        <v>18</v>
      </c>
      <c r="L12" s="29" t="s">
        <v>929</v>
      </c>
      <c r="Q12" s="30">
        <v>1</v>
      </c>
    </row>
    <row r="13" spans="1:17" x14ac:dyDescent="0.25">
      <c r="B13" s="29" t="s">
        <v>16</v>
      </c>
      <c r="C13" s="29" t="s">
        <v>952</v>
      </c>
      <c r="D13" s="29" t="s">
        <v>953</v>
      </c>
      <c r="E13" s="29" t="s">
        <v>954</v>
      </c>
      <c r="F13" s="30">
        <v>7</v>
      </c>
      <c r="G13" s="30">
        <v>700</v>
      </c>
      <c r="H13" s="30">
        <v>30</v>
      </c>
      <c r="I13" s="30">
        <f t="shared" ref="I13:I20" si="0">G13-H13</f>
        <v>670</v>
      </c>
      <c r="J13" s="29" t="s">
        <v>928</v>
      </c>
      <c r="K13" s="29" t="s">
        <v>18</v>
      </c>
      <c r="L13" s="29" t="s">
        <v>929</v>
      </c>
      <c r="Q13" s="30">
        <v>1</v>
      </c>
    </row>
    <row r="14" spans="1:17" x14ac:dyDescent="0.25">
      <c r="B14" s="29" t="s">
        <v>16</v>
      </c>
      <c r="C14" s="29" t="s">
        <v>955</v>
      </c>
      <c r="D14" s="29" t="s">
        <v>956</v>
      </c>
      <c r="E14" s="29" t="s">
        <v>957</v>
      </c>
      <c r="F14" s="29" t="s">
        <v>323</v>
      </c>
      <c r="G14" s="30">
        <v>855</v>
      </c>
      <c r="H14" s="30">
        <v>35</v>
      </c>
      <c r="I14" s="30">
        <f t="shared" si="0"/>
        <v>820</v>
      </c>
      <c r="J14" s="29" t="s">
        <v>928</v>
      </c>
      <c r="K14" s="29" t="s">
        <v>18</v>
      </c>
      <c r="L14" s="29" t="s">
        <v>929</v>
      </c>
      <c r="Q14" s="30">
        <v>1</v>
      </c>
    </row>
    <row r="15" spans="1:17" x14ac:dyDescent="0.25">
      <c r="B15" s="29" t="s">
        <v>16</v>
      </c>
      <c r="C15" s="29" t="s">
        <v>958</v>
      </c>
      <c r="D15" s="29" t="s">
        <v>959</v>
      </c>
      <c r="E15" s="29" t="s">
        <v>960</v>
      </c>
      <c r="F15" s="29" t="s">
        <v>22</v>
      </c>
      <c r="G15" s="30">
        <v>920</v>
      </c>
      <c r="H15" s="30">
        <v>30</v>
      </c>
      <c r="I15" s="30">
        <f t="shared" si="0"/>
        <v>890</v>
      </c>
      <c r="J15" s="29" t="s">
        <v>928</v>
      </c>
      <c r="K15" s="29" t="s">
        <v>18</v>
      </c>
      <c r="L15" s="29" t="s">
        <v>929</v>
      </c>
      <c r="Q15" s="30">
        <v>1</v>
      </c>
    </row>
    <row r="16" spans="1:17" x14ac:dyDescent="0.25">
      <c r="B16" s="29" t="s">
        <v>16</v>
      </c>
      <c r="C16" s="29" t="s">
        <v>961</v>
      </c>
      <c r="D16" s="29" t="s">
        <v>962</v>
      </c>
      <c r="E16" s="29" t="s">
        <v>963</v>
      </c>
      <c r="F16" s="29" t="s">
        <v>20</v>
      </c>
      <c r="G16" s="30">
        <v>900</v>
      </c>
      <c r="H16" s="30">
        <v>30</v>
      </c>
      <c r="I16" s="30">
        <f t="shared" si="0"/>
        <v>870</v>
      </c>
      <c r="J16" s="29" t="s">
        <v>18</v>
      </c>
      <c r="K16" s="29" t="s">
        <v>18</v>
      </c>
      <c r="L16" s="29" t="s">
        <v>929</v>
      </c>
      <c r="Q16" s="30">
        <v>1</v>
      </c>
    </row>
    <row r="17" spans="2:17" x14ac:dyDescent="0.25">
      <c r="B17" s="29" t="s">
        <v>16</v>
      </c>
      <c r="C17" s="29" t="s">
        <v>964</v>
      </c>
      <c r="D17" s="29" t="s">
        <v>965</v>
      </c>
      <c r="E17" s="29" t="s">
        <v>966</v>
      </c>
      <c r="F17" s="29" t="s">
        <v>23</v>
      </c>
      <c r="G17" s="30">
        <v>840</v>
      </c>
      <c r="H17" s="30">
        <v>20</v>
      </c>
      <c r="I17" s="30">
        <f t="shared" si="0"/>
        <v>820</v>
      </c>
      <c r="J17" s="29" t="s">
        <v>18</v>
      </c>
      <c r="K17" s="29" t="s">
        <v>18</v>
      </c>
      <c r="L17" s="29" t="s">
        <v>929</v>
      </c>
      <c r="Q17" s="30">
        <v>1</v>
      </c>
    </row>
    <row r="18" spans="2:17" x14ac:dyDescent="0.25">
      <c r="B18" s="29" t="s">
        <v>16</v>
      </c>
      <c r="C18" s="29" t="s">
        <v>967</v>
      </c>
      <c r="D18" s="29" t="s">
        <v>968</v>
      </c>
      <c r="E18" s="29" t="s">
        <v>969</v>
      </c>
      <c r="F18" s="29" t="s">
        <v>23</v>
      </c>
      <c r="G18" s="30">
        <v>1670</v>
      </c>
      <c r="H18" s="30">
        <v>20</v>
      </c>
      <c r="I18" s="30">
        <f t="shared" si="0"/>
        <v>1650</v>
      </c>
      <c r="J18" s="29" t="s">
        <v>18</v>
      </c>
      <c r="K18" s="29" t="s">
        <v>18</v>
      </c>
      <c r="L18" s="29" t="s">
        <v>929</v>
      </c>
      <c r="Q18" s="30">
        <v>1</v>
      </c>
    </row>
    <row r="19" spans="2:17" x14ac:dyDescent="0.25">
      <c r="B19" s="29" t="s">
        <v>16</v>
      </c>
      <c r="C19" s="29" t="s">
        <v>970</v>
      </c>
      <c r="D19" s="29" t="s">
        <v>971</v>
      </c>
      <c r="E19" s="29" t="s">
        <v>972</v>
      </c>
      <c r="F19" s="30">
        <v>2</v>
      </c>
      <c r="G19" s="30">
        <v>700</v>
      </c>
      <c r="H19" s="30">
        <v>30</v>
      </c>
      <c r="I19" s="30">
        <f t="shared" si="0"/>
        <v>670</v>
      </c>
      <c r="J19" s="29" t="s">
        <v>18</v>
      </c>
      <c r="K19" s="29" t="s">
        <v>18</v>
      </c>
      <c r="L19" s="29" t="s">
        <v>929</v>
      </c>
      <c r="Q19" s="30">
        <v>1</v>
      </c>
    </row>
    <row r="20" spans="2:17" x14ac:dyDescent="0.25">
      <c r="B20" s="29" t="s">
        <v>16</v>
      </c>
      <c r="C20" s="29" t="s">
        <v>973</v>
      </c>
      <c r="D20" s="29" t="s">
        <v>974</v>
      </c>
      <c r="E20" s="29" t="s">
        <v>975</v>
      </c>
      <c r="F20" s="30">
        <v>2</v>
      </c>
      <c r="G20" s="30">
        <v>1770</v>
      </c>
      <c r="H20" s="30">
        <v>30</v>
      </c>
      <c r="I20" s="30">
        <f t="shared" si="0"/>
        <v>1740</v>
      </c>
      <c r="J20" s="29" t="s">
        <v>18</v>
      </c>
      <c r="K20" s="29" t="s">
        <v>18</v>
      </c>
      <c r="L20" s="29" t="s">
        <v>929</v>
      </c>
      <c r="Q20" s="30">
        <v>1</v>
      </c>
    </row>
    <row r="21" spans="2:17" x14ac:dyDescent="0.25">
      <c r="B21" s="29" t="s">
        <v>16</v>
      </c>
      <c r="C21" s="29" t="s">
        <v>976</v>
      </c>
      <c r="D21" s="29" t="s">
        <v>977</v>
      </c>
      <c r="E21" s="29" t="s">
        <v>978</v>
      </c>
      <c r="F21" s="30">
        <v>5</v>
      </c>
      <c r="G21" s="30">
        <v>0</v>
      </c>
      <c r="H21" s="30">
        <v>25</v>
      </c>
      <c r="I21" s="30">
        <f>-H21</f>
        <v>-25</v>
      </c>
      <c r="J21" s="29" t="s">
        <v>19</v>
      </c>
      <c r="K21" s="29" t="s">
        <v>18</v>
      </c>
      <c r="L21" s="29" t="s">
        <v>929</v>
      </c>
      <c r="Q21" s="30">
        <v>1</v>
      </c>
    </row>
    <row r="22" spans="2:17" x14ac:dyDescent="0.25">
      <c r="B22" s="29" t="s">
        <v>16</v>
      </c>
      <c r="C22" s="29" t="s">
        <v>979</v>
      </c>
      <c r="D22" s="29" t="s">
        <v>980</v>
      </c>
      <c r="E22" s="29" t="s">
        <v>981</v>
      </c>
      <c r="F22" s="30">
        <v>10</v>
      </c>
      <c r="G22" s="30">
        <v>845</v>
      </c>
      <c r="H22" s="30">
        <v>25</v>
      </c>
      <c r="I22" s="30">
        <f>G22-H22</f>
        <v>820</v>
      </c>
      <c r="J22" s="29" t="s">
        <v>19</v>
      </c>
      <c r="K22" s="29" t="s">
        <v>18</v>
      </c>
      <c r="L22" s="29" t="s">
        <v>929</v>
      </c>
      <c r="Q22" s="30">
        <v>1</v>
      </c>
    </row>
    <row r="23" spans="2:17" x14ac:dyDescent="0.25">
      <c r="B23" s="29" t="s">
        <v>16</v>
      </c>
      <c r="C23" s="29" t="s">
        <v>982</v>
      </c>
      <c r="D23" s="29" t="s">
        <v>983</v>
      </c>
      <c r="E23" s="29" t="s">
        <v>984</v>
      </c>
      <c r="F23" s="30">
        <v>3</v>
      </c>
      <c r="G23" s="30">
        <v>845</v>
      </c>
      <c r="H23" s="30">
        <v>25</v>
      </c>
      <c r="I23" s="30">
        <f>G23-H23</f>
        <v>820</v>
      </c>
      <c r="J23" s="29" t="s">
        <v>19</v>
      </c>
      <c r="K23" s="29" t="s">
        <v>18</v>
      </c>
      <c r="L23" s="29" t="s">
        <v>929</v>
      </c>
      <c r="Q23" s="30">
        <v>1</v>
      </c>
    </row>
    <row r="24" spans="2:17" x14ac:dyDescent="0.25">
      <c r="B24" s="29" t="s">
        <v>16</v>
      </c>
      <c r="C24" s="29" t="s">
        <v>985</v>
      </c>
      <c r="D24" s="29" t="s">
        <v>986</v>
      </c>
      <c r="E24" s="29" t="s">
        <v>987</v>
      </c>
      <c r="F24" s="29" t="s">
        <v>28</v>
      </c>
      <c r="G24" s="30">
        <v>0</v>
      </c>
      <c r="H24" s="30">
        <v>25</v>
      </c>
      <c r="I24" s="30">
        <f>-H24</f>
        <v>-25</v>
      </c>
      <c r="J24" s="29" t="s">
        <v>19</v>
      </c>
      <c r="K24" s="29" t="s">
        <v>18</v>
      </c>
      <c r="L24" s="29" t="s">
        <v>929</v>
      </c>
      <c r="Q24" s="30">
        <v>1</v>
      </c>
    </row>
    <row r="25" spans="2:17" x14ac:dyDescent="0.25">
      <c r="B25" s="29" t="s">
        <v>16</v>
      </c>
      <c r="C25" s="29" t="s">
        <v>988</v>
      </c>
      <c r="D25" s="29" t="s">
        <v>989</v>
      </c>
      <c r="E25" s="29" t="s">
        <v>990</v>
      </c>
      <c r="F25" s="30">
        <v>5</v>
      </c>
      <c r="G25" s="30">
        <v>0</v>
      </c>
      <c r="H25" s="30">
        <v>25</v>
      </c>
      <c r="I25" s="30">
        <f>-H25</f>
        <v>-25</v>
      </c>
      <c r="J25" s="29" t="s">
        <v>19</v>
      </c>
      <c r="K25" s="29" t="s">
        <v>18</v>
      </c>
      <c r="L25" s="29" t="s">
        <v>929</v>
      </c>
      <c r="Q25" s="30">
        <v>1</v>
      </c>
    </row>
    <row r="26" spans="2:17" x14ac:dyDescent="0.25">
      <c r="B26" s="29" t="s">
        <v>16</v>
      </c>
      <c r="C26" s="29" t="s">
        <v>991</v>
      </c>
      <c r="D26" s="29" t="s">
        <v>992</v>
      </c>
      <c r="E26" s="29" t="s">
        <v>993</v>
      </c>
      <c r="F26" s="30">
        <v>1</v>
      </c>
      <c r="G26" s="30">
        <v>0</v>
      </c>
      <c r="H26" s="30">
        <v>25</v>
      </c>
      <c r="I26" s="30">
        <f>-H26</f>
        <v>-25</v>
      </c>
      <c r="J26" s="29" t="s">
        <v>19</v>
      </c>
      <c r="K26" s="29" t="s">
        <v>18</v>
      </c>
      <c r="L26" s="29" t="s">
        <v>929</v>
      </c>
      <c r="Q26" s="30">
        <v>1</v>
      </c>
    </row>
    <row r="27" spans="2:17" x14ac:dyDescent="0.25">
      <c r="B27" s="29" t="s">
        <v>16</v>
      </c>
      <c r="C27" s="29" t="s">
        <v>994</v>
      </c>
      <c r="D27" s="29" t="s">
        <v>995</v>
      </c>
      <c r="E27" s="29" t="s">
        <v>996</v>
      </c>
      <c r="F27" s="29" t="s">
        <v>28</v>
      </c>
      <c r="G27" s="30">
        <v>1595</v>
      </c>
      <c r="H27" s="30">
        <v>25</v>
      </c>
      <c r="I27" s="30">
        <f>G27-H27</f>
        <v>1570</v>
      </c>
      <c r="J27" s="29" t="s">
        <v>19</v>
      </c>
      <c r="K27" s="29" t="s">
        <v>18</v>
      </c>
      <c r="L27" s="29" t="s">
        <v>929</v>
      </c>
      <c r="Q27" s="30">
        <v>1</v>
      </c>
    </row>
    <row r="28" spans="2:17" x14ac:dyDescent="0.25">
      <c r="B28" s="29" t="s">
        <v>16</v>
      </c>
      <c r="C28" s="29" t="s">
        <v>997</v>
      </c>
      <c r="D28" s="29" t="s">
        <v>998</v>
      </c>
      <c r="E28" s="29" t="s">
        <v>999</v>
      </c>
      <c r="F28" s="30">
        <v>10</v>
      </c>
      <c r="G28" s="30">
        <v>915</v>
      </c>
      <c r="H28" s="30">
        <v>25</v>
      </c>
      <c r="I28" s="30">
        <f>G28-H28</f>
        <v>890</v>
      </c>
      <c r="J28" s="29" t="s">
        <v>19</v>
      </c>
      <c r="K28" s="29" t="s">
        <v>18</v>
      </c>
      <c r="L28" s="29" t="s">
        <v>929</v>
      </c>
      <c r="Q28" s="30">
        <v>1</v>
      </c>
    </row>
    <row r="29" spans="2:17" x14ac:dyDescent="0.25">
      <c r="B29" s="29" t="s">
        <v>16</v>
      </c>
      <c r="C29" s="29" t="s">
        <v>1000</v>
      </c>
      <c r="D29" s="29" t="s">
        <v>1001</v>
      </c>
      <c r="E29" s="29" t="s">
        <v>576</v>
      </c>
      <c r="F29" s="30">
        <v>3</v>
      </c>
      <c r="G29" s="30">
        <v>845</v>
      </c>
      <c r="H29" s="30">
        <v>25</v>
      </c>
      <c r="I29" s="30">
        <f>G29-H29</f>
        <v>820</v>
      </c>
      <c r="J29" s="29" t="s">
        <v>19</v>
      </c>
      <c r="K29" s="29" t="s">
        <v>18</v>
      </c>
      <c r="L29" s="29" t="s">
        <v>929</v>
      </c>
      <c r="Q29" s="30">
        <v>1</v>
      </c>
    </row>
    <row r="31" spans="2:17" x14ac:dyDescent="0.25">
      <c r="D31" s="32">
        <f>COUNTA(D3:D29)</f>
        <v>26</v>
      </c>
      <c r="G31" s="32">
        <f t="shared" ref="G31:Q31" si="1">SUBTOTAL(9,G3:G29)</f>
        <v>18495</v>
      </c>
      <c r="H31" s="32">
        <f t="shared" si="1"/>
        <v>745</v>
      </c>
      <c r="I31" s="32">
        <f t="shared" si="1"/>
        <v>17750</v>
      </c>
      <c r="J31" s="32">
        <f t="shared" si="1"/>
        <v>0</v>
      </c>
      <c r="K31" s="32">
        <f t="shared" si="1"/>
        <v>0</v>
      </c>
      <c r="L31" s="32">
        <f t="shared" si="1"/>
        <v>0</v>
      </c>
      <c r="M31" s="32">
        <f t="shared" si="1"/>
        <v>0</v>
      </c>
      <c r="N31" s="32">
        <f t="shared" si="1"/>
        <v>0</v>
      </c>
      <c r="O31" s="32">
        <f t="shared" si="1"/>
        <v>0</v>
      </c>
      <c r="P31" s="32">
        <f t="shared" si="1"/>
        <v>0</v>
      </c>
      <c r="Q31" s="32">
        <f t="shared" si="1"/>
        <v>27</v>
      </c>
    </row>
    <row r="32" spans="2:17" x14ac:dyDescent="0.25">
      <c r="H32" s="29">
        <f>-8*17</f>
        <v>-136</v>
      </c>
    </row>
    <row r="33" spans="1:16" x14ac:dyDescent="0.25">
      <c r="A33" s="32" t="s">
        <v>16</v>
      </c>
      <c r="C33" s="42" t="s">
        <v>46</v>
      </c>
      <c r="D33" s="42"/>
      <c r="E33" s="33" t="s">
        <v>47</v>
      </c>
      <c r="H33" s="29">
        <f>-2*25</f>
        <v>-50</v>
      </c>
      <c r="K33" s="34" t="s">
        <v>928</v>
      </c>
      <c r="L33" s="34" t="s">
        <v>48</v>
      </c>
      <c r="M33" s="34" t="s">
        <v>47</v>
      </c>
      <c r="O33" s="33" t="s">
        <v>72</v>
      </c>
    </row>
    <row r="34" spans="1:16" x14ac:dyDescent="0.25">
      <c r="A34" s="29" t="s">
        <v>929</v>
      </c>
      <c r="B34" s="35" t="s">
        <v>49</v>
      </c>
      <c r="C34" s="43">
        <f>SUMIFS(I$3:I$29,B$3:B$29,A$33,L$3:L$29,A$34)</f>
        <v>17750</v>
      </c>
      <c r="D34" s="43"/>
      <c r="E34" s="35">
        <f>SUMIFS(Q$3:Q$29,B$3:B$29,A$33,L$3:L$29,A$34)</f>
        <v>27</v>
      </c>
      <c r="F34" s="29" t="s">
        <v>73</v>
      </c>
      <c r="H34" s="29">
        <f>-3*30</f>
        <v>-90</v>
      </c>
      <c r="K34" s="29" t="s">
        <v>50</v>
      </c>
      <c r="L34" s="29">
        <f>SUMIFS(G$3:G$29,J$3:J$29,K$33)</f>
        <v>7570</v>
      </c>
      <c r="M34" s="29">
        <f>SUMIFS(Q$3:Q$29,J$3:J$29,K$33)</f>
        <v>13</v>
      </c>
      <c r="O34" s="29" t="s">
        <v>1002</v>
      </c>
      <c r="P34" s="29">
        <f>L39</f>
        <v>7294</v>
      </c>
    </row>
    <row r="35" spans="1:16" x14ac:dyDescent="0.25">
      <c r="B35" s="36" t="s">
        <v>108</v>
      </c>
      <c r="C35" s="44">
        <v>0</v>
      </c>
      <c r="D35" s="44"/>
      <c r="K35" s="29" t="s">
        <v>51</v>
      </c>
      <c r="L35" s="29">
        <f>SUM(H32:H34)</f>
        <v>-276</v>
      </c>
      <c r="M35" s="29">
        <f>SUMIFS(Q$3:Q$29,J$3:J$29,K$33)</f>
        <v>13</v>
      </c>
      <c r="O35" s="29" t="s">
        <v>19</v>
      </c>
      <c r="P35" s="29">
        <f>L47</f>
        <v>4865</v>
      </c>
    </row>
    <row r="36" spans="1:16" x14ac:dyDescent="0.25">
      <c r="B36" s="36" t="s">
        <v>52</v>
      </c>
      <c r="C36" s="44">
        <f>-SUMIFS(I$3:I$29,B$3:B$29,A$33,P$3:P$29,"xx",N$3:N$29,"x")</f>
        <v>0</v>
      </c>
      <c r="D36" s="44"/>
      <c r="E36" s="36">
        <f>SUMIFS(Q$3:Q$29,B$3:B$29,A$33,P$3:P$29,"xx",N$3:N$29,"x")</f>
        <v>0</v>
      </c>
      <c r="K36" s="29" t="s">
        <v>74</v>
      </c>
      <c r="O36" s="29" t="s">
        <v>18</v>
      </c>
      <c r="P36" s="29">
        <f>L55</f>
        <v>5721</v>
      </c>
    </row>
    <row r="37" spans="1:16" x14ac:dyDescent="0.25">
      <c r="B37" s="33" t="s">
        <v>53</v>
      </c>
      <c r="C37" s="42">
        <f>SUBTOTAL(9,C34:C36)</f>
        <v>17750</v>
      </c>
      <c r="D37" s="42"/>
      <c r="E37" s="29">
        <f>E34</f>
        <v>27</v>
      </c>
      <c r="K37" s="36" t="s">
        <v>25</v>
      </c>
      <c r="O37" s="29" t="s">
        <v>76</v>
      </c>
      <c r="P37" s="29">
        <f>-C41</f>
        <v>-17750</v>
      </c>
    </row>
    <row r="38" spans="1:16" x14ac:dyDescent="0.25">
      <c r="B38" s="36" t="s">
        <v>75</v>
      </c>
      <c r="C38" s="40"/>
      <c r="D38" s="40"/>
      <c r="K38" s="36" t="s">
        <v>54</v>
      </c>
      <c r="O38" s="33" t="s">
        <v>77</v>
      </c>
      <c r="P38" s="33">
        <f>SUBTOTAL(9,P34:P37)</f>
        <v>130</v>
      </c>
    </row>
    <row r="39" spans="1:16" x14ac:dyDescent="0.25">
      <c r="B39" s="37" t="s">
        <v>55</v>
      </c>
      <c r="C39" s="40"/>
      <c r="D39" s="40"/>
      <c r="L39" s="38">
        <f>SUBTOTAL(9,L34:L38)</f>
        <v>7294</v>
      </c>
      <c r="M39" s="38">
        <f>M34</f>
        <v>13</v>
      </c>
    </row>
    <row r="41" spans="1:16" x14ac:dyDescent="0.25">
      <c r="B41" s="32" t="s">
        <v>56</v>
      </c>
      <c r="C41" s="41">
        <f>C37+C38+C39</f>
        <v>17750</v>
      </c>
      <c r="D41" s="41"/>
      <c r="E41" s="32" t="s">
        <v>57</v>
      </c>
      <c r="K41" s="34" t="s">
        <v>19</v>
      </c>
      <c r="L41" s="34" t="s">
        <v>48</v>
      </c>
      <c r="M41" s="34" t="s">
        <v>47</v>
      </c>
    </row>
    <row r="42" spans="1:16" x14ac:dyDescent="0.25">
      <c r="K42" s="29" t="s">
        <v>50</v>
      </c>
      <c r="L42" s="29">
        <f>SUMIFS(G$3:G$29,J$3:J$29,K$41)</f>
        <v>5045</v>
      </c>
      <c r="M42" s="29">
        <f>SUMIFS(Q$3:Q$29,J$3:J$29,K$41)</f>
        <v>9</v>
      </c>
    </row>
    <row r="43" spans="1:16" x14ac:dyDescent="0.25">
      <c r="K43" s="29" t="s">
        <v>51</v>
      </c>
      <c r="L43" s="29">
        <f>-SUMIFS(H$3:H$29,J$3:J$29,K$41)+M43*5</f>
        <v>-180</v>
      </c>
      <c r="M43" s="29">
        <f>SUMIFS(Q$3:Q$29,J$3:J$29,K$41)-COUNTIFS(J$3:J$29,K$41,M$3:M$29,"*gộp*")</f>
        <v>9</v>
      </c>
    </row>
    <row r="44" spans="1:16" x14ac:dyDescent="0.25">
      <c r="K44" s="29" t="s">
        <v>74</v>
      </c>
    </row>
    <row r="45" spans="1:16" x14ac:dyDescent="0.25">
      <c r="K45" s="36" t="s">
        <v>25</v>
      </c>
    </row>
    <row r="46" spans="1:16" x14ac:dyDescent="0.25">
      <c r="K46" s="36" t="s">
        <v>54</v>
      </c>
    </row>
    <row r="47" spans="1:16" x14ac:dyDescent="0.25">
      <c r="L47" s="38">
        <f>SUBTOTAL(9,L42:L46)</f>
        <v>4865</v>
      </c>
      <c r="M47" s="38">
        <f>M42</f>
        <v>9</v>
      </c>
    </row>
    <row r="49" spans="11:13" x14ac:dyDescent="0.25">
      <c r="K49" s="34" t="s">
        <v>18</v>
      </c>
      <c r="L49" s="34" t="s">
        <v>48</v>
      </c>
      <c r="M49" s="34" t="s">
        <v>47</v>
      </c>
    </row>
    <row r="50" spans="11:13" x14ac:dyDescent="0.25">
      <c r="K50" s="29" t="s">
        <v>50</v>
      </c>
      <c r="L50" s="29">
        <f>SUMIFS(G$3:G$29,J$3:J$29,K$49)</f>
        <v>5880</v>
      </c>
      <c r="M50" s="29">
        <f>SUMIFS(Q$3:Q$29,J$3:J$29,K$49)</f>
        <v>5</v>
      </c>
    </row>
    <row r="51" spans="11:13" x14ac:dyDescent="0.25">
      <c r="K51" s="29" t="s">
        <v>51</v>
      </c>
      <c r="L51" s="29">
        <f>-SUMIFS(H$3:H$29,J$3:J$29,K$49)+M51*5</f>
        <v>-105</v>
      </c>
      <c r="M51" s="29">
        <f>SUMIFS(Q$3:Q$29,J$3:J$29,K$49)-COUNTIFS(J$3:J$29,K$49,M$3:M$29,"*gộp*")</f>
        <v>5</v>
      </c>
    </row>
    <row r="52" spans="11:13" x14ac:dyDescent="0.25">
      <c r="K52" s="29" t="s">
        <v>74</v>
      </c>
      <c r="L52" s="29">
        <f>-M52*2</f>
        <v>-54</v>
      </c>
      <c r="M52" s="29">
        <f>Q31-(COUNTIFS(M$3:M$29,"*gộp*")/2)</f>
        <v>27</v>
      </c>
    </row>
    <row r="53" spans="11:13" x14ac:dyDescent="0.25">
      <c r="K53" s="36" t="s">
        <v>25</v>
      </c>
    </row>
    <row r="54" spans="11:13" x14ac:dyDescent="0.25">
      <c r="K54" s="36" t="s">
        <v>54</v>
      </c>
    </row>
    <row r="55" spans="11:13" x14ac:dyDescent="0.25">
      <c r="L55" s="38">
        <f>SUBTOTAL(9,L50:L54)</f>
        <v>5721</v>
      </c>
      <c r="M55" s="38">
        <f>M50</f>
        <v>5</v>
      </c>
    </row>
  </sheetData>
  <autoFilter ref="A2:P29" xr:uid="{00000000-0009-0000-0000-000000000000}">
    <sortState xmlns:xlrd2="http://schemas.microsoft.com/office/spreadsheetml/2017/richdata2" ref="A3:P29">
      <sortCondition ref="J2:J29"/>
    </sortState>
  </autoFilter>
  <mergeCells count="8">
    <mergeCell ref="C39:D39"/>
    <mergeCell ref="C41:D41"/>
    <mergeCell ref="C33:D33"/>
    <mergeCell ref="C34:D34"/>
    <mergeCell ref="C35:D35"/>
    <mergeCell ref="C36:D36"/>
    <mergeCell ref="C37:D37"/>
    <mergeCell ref="C38:D38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3A2AE-DA74-48C7-B819-A85E917CF02D}">
  <dimension ref="A2:Q102"/>
  <sheetViews>
    <sheetView topLeftCell="B48" workbookViewId="0">
      <selection activeCell="H27" sqref="H27"/>
    </sheetView>
  </sheetViews>
  <sheetFormatPr defaultRowHeight="15" x14ac:dyDescent="0.25"/>
  <cols>
    <col min="1" max="1" width="12.7109375" style="29" customWidth="1"/>
    <col min="2" max="2" width="17.7109375" style="29" customWidth="1"/>
    <col min="3" max="3" width="56.5703125" style="29" customWidth="1"/>
    <col min="4" max="4" width="9.85546875" style="29" customWidth="1"/>
    <col min="5" max="5" width="74.28515625" style="29" customWidth="1"/>
    <col min="6" max="6" width="10.85546875" style="29" customWidth="1"/>
    <col min="7" max="7" width="9.140625" style="29" customWidth="1"/>
    <col min="8" max="8" width="9.5703125" style="29" customWidth="1"/>
    <col min="9" max="9" width="10.5703125" style="29" customWidth="1"/>
    <col min="10" max="10" width="9.7109375" style="29" customWidth="1"/>
    <col min="11" max="11" width="10.85546875" style="29" customWidth="1"/>
    <col min="12" max="12" width="10.42578125" style="29" customWidth="1"/>
    <col min="13" max="13" width="8.7109375" style="29" customWidth="1"/>
    <col min="14" max="14" width="9.7109375" style="29" customWidth="1"/>
    <col min="15" max="15" width="10.42578125" style="29" customWidth="1"/>
    <col min="16" max="16" width="7" style="29" bestFit="1" customWidth="1"/>
    <col min="17" max="17" width="6.42578125" style="29" customWidth="1"/>
    <col min="18" max="16384" width="9.140625" style="29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85</v>
      </c>
    </row>
    <row r="3" spans="1:17" x14ac:dyDescent="0.25">
      <c r="A3" s="29" t="s">
        <v>38</v>
      </c>
      <c r="B3" s="29" t="s">
        <v>16</v>
      </c>
      <c r="C3" s="29" t="s">
        <v>271</v>
      </c>
      <c r="E3" s="29" t="s">
        <v>272</v>
      </c>
      <c r="F3" s="29" t="s">
        <v>28</v>
      </c>
      <c r="G3" s="30">
        <v>30</v>
      </c>
      <c r="H3" s="30">
        <v>30</v>
      </c>
      <c r="I3" s="30">
        <f t="shared" ref="I3:I13" si="0">G3-H3</f>
        <v>0</v>
      </c>
      <c r="J3" s="29" t="s">
        <v>18</v>
      </c>
      <c r="K3" s="29" t="s">
        <v>18</v>
      </c>
      <c r="L3" s="29" t="s">
        <v>1003</v>
      </c>
      <c r="Q3" s="30">
        <v>1</v>
      </c>
    </row>
    <row r="4" spans="1:17" x14ac:dyDescent="0.25">
      <c r="A4" s="29" t="s">
        <v>38</v>
      </c>
      <c r="B4" s="29" t="s">
        <v>16</v>
      </c>
      <c r="C4" s="29" t="s">
        <v>1004</v>
      </c>
      <c r="E4" s="29" t="s">
        <v>1005</v>
      </c>
      <c r="F4" s="29" t="s">
        <v>23</v>
      </c>
      <c r="G4" s="30">
        <v>955</v>
      </c>
      <c r="H4" s="30">
        <v>25</v>
      </c>
      <c r="I4" s="30">
        <f t="shared" si="0"/>
        <v>930</v>
      </c>
      <c r="J4" s="29" t="s">
        <v>18</v>
      </c>
      <c r="K4" s="29" t="s">
        <v>18</v>
      </c>
      <c r="L4" s="29" t="s">
        <v>1003</v>
      </c>
      <c r="Q4" s="30">
        <v>1</v>
      </c>
    </row>
    <row r="5" spans="1:17" x14ac:dyDescent="0.25">
      <c r="A5" s="29" t="s">
        <v>38</v>
      </c>
      <c r="B5" s="29" t="s">
        <v>16</v>
      </c>
      <c r="C5" s="29" t="s">
        <v>521</v>
      </c>
      <c r="E5" s="29" t="s">
        <v>40</v>
      </c>
      <c r="F5" s="30">
        <v>6</v>
      </c>
      <c r="G5" s="30">
        <v>30</v>
      </c>
      <c r="H5" s="30">
        <v>30</v>
      </c>
      <c r="I5" s="30">
        <f t="shared" si="0"/>
        <v>0</v>
      </c>
      <c r="J5" s="29" t="s">
        <v>1006</v>
      </c>
      <c r="K5" s="29" t="s">
        <v>18</v>
      </c>
      <c r="L5" s="29" t="s">
        <v>1003</v>
      </c>
      <c r="Q5" s="30">
        <v>1</v>
      </c>
    </row>
    <row r="6" spans="1:17" x14ac:dyDescent="0.25">
      <c r="A6" s="29" t="s">
        <v>38</v>
      </c>
      <c r="B6" s="29" t="s">
        <v>16</v>
      </c>
      <c r="C6" s="29" t="s">
        <v>82</v>
      </c>
      <c r="E6" s="29" t="s">
        <v>104</v>
      </c>
      <c r="F6" s="30">
        <v>4</v>
      </c>
      <c r="G6" s="30">
        <v>30</v>
      </c>
      <c r="H6" s="30">
        <v>30</v>
      </c>
      <c r="I6" s="30">
        <f t="shared" si="0"/>
        <v>0</v>
      </c>
      <c r="J6" s="29" t="s">
        <v>19</v>
      </c>
      <c r="K6" s="29" t="s">
        <v>18</v>
      </c>
      <c r="L6" s="29" t="s">
        <v>1003</v>
      </c>
      <c r="Q6" s="30">
        <v>1</v>
      </c>
    </row>
    <row r="7" spans="1:17" x14ac:dyDescent="0.25">
      <c r="A7" s="29" t="s">
        <v>38</v>
      </c>
      <c r="B7" s="29" t="s">
        <v>16</v>
      </c>
      <c r="C7" s="29" t="s">
        <v>169</v>
      </c>
      <c r="E7" s="29" t="s">
        <v>45</v>
      </c>
      <c r="F7" s="30">
        <v>6</v>
      </c>
      <c r="G7" s="30">
        <v>800</v>
      </c>
      <c r="H7" s="30">
        <v>30</v>
      </c>
      <c r="I7" s="30">
        <f t="shared" si="0"/>
        <v>770</v>
      </c>
      <c r="J7" s="29" t="s">
        <v>1006</v>
      </c>
      <c r="K7" s="29" t="s">
        <v>18</v>
      </c>
      <c r="L7" s="29" t="s">
        <v>1003</v>
      </c>
      <c r="Q7" s="29">
        <v>1</v>
      </c>
    </row>
    <row r="8" spans="1:17" x14ac:dyDescent="0.25">
      <c r="A8" s="29" t="s">
        <v>38</v>
      </c>
      <c r="B8" s="29" t="s">
        <v>16</v>
      </c>
      <c r="C8" s="29" t="s">
        <v>1007</v>
      </c>
      <c r="E8" s="29" t="s">
        <v>1008</v>
      </c>
      <c r="F8" s="30">
        <v>6</v>
      </c>
      <c r="G8" s="30">
        <v>35</v>
      </c>
      <c r="H8" s="30">
        <v>35</v>
      </c>
      <c r="I8" s="30">
        <f t="shared" si="0"/>
        <v>0</v>
      </c>
      <c r="J8" s="29" t="s">
        <v>1006</v>
      </c>
      <c r="K8" s="29" t="s">
        <v>18</v>
      </c>
      <c r="L8" s="29" t="s">
        <v>1003</v>
      </c>
      <c r="Q8" s="30">
        <v>1</v>
      </c>
    </row>
    <row r="9" spans="1:17" x14ac:dyDescent="0.25">
      <c r="B9" s="29" t="s">
        <v>16</v>
      </c>
      <c r="C9" s="29" t="s">
        <v>1009</v>
      </c>
      <c r="D9" s="29" t="s">
        <v>1010</v>
      </c>
      <c r="E9" s="29" t="s">
        <v>1011</v>
      </c>
      <c r="F9" s="29" t="s">
        <v>28</v>
      </c>
      <c r="G9" s="30">
        <v>845</v>
      </c>
      <c r="H9" s="30">
        <v>25</v>
      </c>
      <c r="I9" s="30">
        <f t="shared" si="0"/>
        <v>820</v>
      </c>
      <c r="J9" s="29" t="s">
        <v>19</v>
      </c>
      <c r="K9" s="29" t="s">
        <v>18</v>
      </c>
      <c r="L9" s="29" t="s">
        <v>1003</v>
      </c>
      <c r="Q9" s="30">
        <v>1</v>
      </c>
    </row>
    <row r="10" spans="1:17" x14ac:dyDescent="0.25">
      <c r="B10" s="29" t="s">
        <v>16</v>
      </c>
      <c r="C10" s="29" t="s">
        <v>1012</v>
      </c>
      <c r="D10" s="29" t="s">
        <v>1013</v>
      </c>
      <c r="E10" s="29" t="s">
        <v>1014</v>
      </c>
      <c r="F10" s="29" t="s">
        <v>21</v>
      </c>
      <c r="G10" s="30">
        <v>755</v>
      </c>
      <c r="H10" s="30">
        <v>35</v>
      </c>
      <c r="I10" s="30">
        <f t="shared" si="0"/>
        <v>720</v>
      </c>
      <c r="J10" s="29" t="s">
        <v>1006</v>
      </c>
      <c r="K10" s="29" t="s">
        <v>18</v>
      </c>
      <c r="L10" s="29" t="s">
        <v>1003</v>
      </c>
      <c r="Q10" s="30">
        <v>1</v>
      </c>
    </row>
    <row r="11" spans="1:17" x14ac:dyDescent="0.25">
      <c r="B11" s="29" t="s">
        <v>16</v>
      </c>
      <c r="C11" s="29" t="s">
        <v>1015</v>
      </c>
      <c r="D11" s="29" t="s">
        <v>1016</v>
      </c>
      <c r="E11" s="29" t="s">
        <v>1017</v>
      </c>
      <c r="F11" s="30">
        <v>2</v>
      </c>
      <c r="G11" s="30">
        <v>720</v>
      </c>
      <c r="H11" s="30">
        <v>30</v>
      </c>
      <c r="I11" s="30">
        <f t="shared" si="0"/>
        <v>690</v>
      </c>
      <c r="J11" s="29" t="s">
        <v>18</v>
      </c>
      <c r="K11" s="29" t="s">
        <v>18</v>
      </c>
      <c r="L11" s="29" t="s">
        <v>1003</v>
      </c>
      <c r="Q11" s="30">
        <v>1</v>
      </c>
    </row>
    <row r="12" spans="1:17" x14ac:dyDescent="0.25">
      <c r="B12" s="29" t="s">
        <v>16</v>
      </c>
      <c r="C12" s="29" t="s">
        <v>844</v>
      </c>
      <c r="D12" s="29" t="s">
        <v>1018</v>
      </c>
      <c r="E12" s="29" t="s">
        <v>846</v>
      </c>
      <c r="F12" s="30">
        <v>7</v>
      </c>
      <c r="G12" s="30">
        <v>30</v>
      </c>
      <c r="H12" s="30">
        <v>30</v>
      </c>
      <c r="I12" s="30">
        <f t="shared" si="0"/>
        <v>0</v>
      </c>
      <c r="J12" s="29" t="s">
        <v>1006</v>
      </c>
      <c r="K12" s="29" t="s">
        <v>18</v>
      </c>
      <c r="L12" s="29" t="s">
        <v>1003</v>
      </c>
      <c r="M12" s="29" t="s">
        <v>66</v>
      </c>
      <c r="Q12" s="30">
        <v>1</v>
      </c>
    </row>
    <row r="13" spans="1:17" x14ac:dyDescent="0.25">
      <c r="B13" s="29" t="s">
        <v>16</v>
      </c>
      <c r="C13" s="29" t="s">
        <v>1019</v>
      </c>
      <c r="D13" s="29" t="s">
        <v>1020</v>
      </c>
      <c r="E13" s="29" t="s">
        <v>1021</v>
      </c>
      <c r="F13" s="30">
        <v>4</v>
      </c>
      <c r="G13" s="30">
        <v>745</v>
      </c>
      <c r="H13" s="30">
        <v>25</v>
      </c>
      <c r="I13" s="30">
        <f t="shared" si="0"/>
        <v>720</v>
      </c>
      <c r="J13" s="29" t="s">
        <v>19</v>
      </c>
      <c r="K13" s="29" t="s">
        <v>18</v>
      </c>
      <c r="L13" s="29" t="s">
        <v>1003</v>
      </c>
      <c r="Q13" s="30">
        <v>1</v>
      </c>
    </row>
    <row r="14" spans="1:17" x14ac:dyDescent="0.25">
      <c r="B14" s="29" t="s">
        <v>16</v>
      </c>
      <c r="C14" s="29" t="s">
        <v>1022</v>
      </c>
      <c r="D14" s="29" t="s">
        <v>1023</v>
      </c>
      <c r="E14" s="29" t="s">
        <v>1024</v>
      </c>
      <c r="F14" s="30">
        <v>6</v>
      </c>
      <c r="G14" s="30">
        <v>0</v>
      </c>
      <c r="H14" s="30">
        <v>25</v>
      </c>
      <c r="I14" s="30">
        <f>-H14</f>
        <v>-25</v>
      </c>
      <c r="J14" s="29" t="s">
        <v>1006</v>
      </c>
      <c r="K14" s="29" t="s">
        <v>18</v>
      </c>
      <c r="L14" s="29" t="s">
        <v>1003</v>
      </c>
      <c r="Q14" s="30">
        <v>1</v>
      </c>
    </row>
    <row r="15" spans="1:17" x14ac:dyDescent="0.25">
      <c r="B15" s="29" t="s">
        <v>16</v>
      </c>
      <c r="C15" s="29" t="s">
        <v>1025</v>
      </c>
      <c r="D15" s="29" t="s">
        <v>1026</v>
      </c>
      <c r="E15" s="29" t="s">
        <v>1027</v>
      </c>
      <c r="F15" s="29" t="s">
        <v>20</v>
      </c>
      <c r="G15" s="30">
        <v>760</v>
      </c>
      <c r="H15" s="30">
        <v>30</v>
      </c>
      <c r="I15" s="30">
        <f>G15-H15</f>
        <v>730</v>
      </c>
      <c r="J15" s="29" t="s">
        <v>18</v>
      </c>
      <c r="K15" s="29" t="s">
        <v>18</v>
      </c>
      <c r="L15" s="29" t="s">
        <v>1003</v>
      </c>
      <c r="Q15" s="30">
        <v>1</v>
      </c>
    </row>
    <row r="16" spans="1:17" x14ac:dyDescent="0.25">
      <c r="B16" s="29" t="s">
        <v>16</v>
      </c>
      <c r="C16" s="29" t="s">
        <v>1028</v>
      </c>
      <c r="D16" s="29" t="s">
        <v>1029</v>
      </c>
      <c r="E16" s="29" t="s">
        <v>1030</v>
      </c>
      <c r="F16" s="30">
        <v>1</v>
      </c>
      <c r="G16" s="30">
        <v>765</v>
      </c>
      <c r="H16" s="30">
        <v>25</v>
      </c>
      <c r="I16" s="30">
        <f>G16-H16</f>
        <v>740</v>
      </c>
      <c r="J16" s="29" t="s">
        <v>19</v>
      </c>
      <c r="K16" s="29" t="s">
        <v>18</v>
      </c>
      <c r="L16" s="29" t="s">
        <v>1003</v>
      </c>
      <c r="Q16" s="30">
        <v>1</v>
      </c>
    </row>
    <row r="17" spans="2:17" x14ac:dyDescent="0.25">
      <c r="B17" s="29" t="s">
        <v>16</v>
      </c>
      <c r="C17" s="29" t="s">
        <v>1031</v>
      </c>
      <c r="D17" s="29" t="s">
        <v>1032</v>
      </c>
      <c r="E17" s="29" t="s">
        <v>1033</v>
      </c>
      <c r="F17" s="30">
        <v>4</v>
      </c>
      <c r="G17" s="30">
        <v>695</v>
      </c>
      <c r="H17" s="30">
        <v>25</v>
      </c>
      <c r="I17" s="30">
        <f>G17-H17</f>
        <v>670</v>
      </c>
      <c r="J17" s="29" t="s">
        <v>19</v>
      </c>
      <c r="K17" s="29" t="s">
        <v>18</v>
      </c>
      <c r="L17" s="29" t="s">
        <v>1003</v>
      </c>
      <c r="Q17" s="30">
        <v>1</v>
      </c>
    </row>
    <row r="18" spans="2:17" x14ac:dyDescent="0.25">
      <c r="B18" s="29" t="s">
        <v>16</v>
      </c>
      <c r="C18" s="29" t="s">
        <v>1034</v>
      </c>
      <c r="D18" s="29" t="s">
        <v>1035</v>
      </c>
      <c r="E18" s="29" t="s">
        <v>531</v>
      </c>
      <c r="F18" s="29" t="s">
        <v>30</v>
      </c>
      <c r="G18" s="30">
        <v>745</v>
      </c>
      <c r="H18" s="30">
        <v>25</v>
      </c>
      <c r="I18" s="30">
        <f>G18-H18</f>
        <v>720</v>
      </c>
      <c r="J18" s="29" t="s">
        <v>18</v>
      </c>
      <c r="K18" s="29" t="s">
        <v>18</v>
      </c>
      <c r="L18" s="29" t="s">
        <v>1003</v>
      </c>
      <c r="Q18" s="30">
        <v>1</v>
      </c>
    </row>
    <row r="19" spans="2:17" x14ac:dyDescent="0.25">
      <c r="B19" s="29" t="s">
        <v>16</v>
      </c>
      <c r="C19" s="29" t="s">
        <v>1036</v>
      </c>
      <c r="D19" s="29" t="s">
        <v>1037</v>
      </c>
      <c r="E19" s="29" t="s">
        <v>1038</v>
      </c>
      <c r="F19" s="30">
        <v>2</v>
      </c>
      <c r="G19" s="30">
        <v>0</v>
      </c>
      <c r="H19" s="30">
        <v>30</v>
      </c>
      <c r="I19" s="30">
        <f>-H19</f>
        <v>-30</v>
      </c>
      <c r="J19" s="29" t="s">
        <v>18</v>
      </c>
      <c r="K19" s="29" t="s">
        <v>18</v>
      </c>
      <c r="L19" s="29" t="s">
        <v>1003</v>
      </c>
      <c r="Q19" s="30">
        <v>1</v>
      </c>
    </row>
    <row r="20" spans="2:17" x14ac:dyDescent="0.25">
      <c r="B20" s="29" t="s">
        <v>16</v>
      </c>
      <c r="C20" s="29" t="s">
        <v>1039</v>
      </c>
      <c r="D20" s="29" t="s">
        <v>1040</v>
      </c>
      <c r="E20" s="29" t="s">
        <v>1041</v>
      </c>
      <c r="F20" s="30">
        <v>4</v>
      </c>
      <c r="G20" s="30">
        <v>895</v>
      </c>
      <c r="H20" s="30">
        <v>25</v>
      </c>
      <c r="I20" s="30">
        <f>G20-H20</f>
        <v>870</v>
      </c>
      <c r="J20" s="29" t="s">
        <v>19</v>
      </c>
      <c r="K20" s="29" t="s">
        <v>18</v>
      </c>
      <c r="L20" s="29" t="s">
        <v>1003</v>
      </c>
      <c r="Q20" s="30">
        <v>1</v>
      </c>
    </row>
    <row r="21" spans="2:17" x14ac:dyDescent="0.25">
      <c r="B21" s="29" t="s">
        <v>16</v>
      </c>
      <c r="C21" s="29" t="s">
        <v>1042</v>
      </c>
      <c r="D21" s="29" t="s">
        <v>1043</v>
      </c>
      <c r="E21" s="29" t="s">
        <v>1044</v>
      </c>
      <c r="F21" s="29" t="s">
        <v>22</v>
      </c>
      <c r="G21" s="30">
        <v>750</v>
      </c>
      <c r="H21" s="30">
        <v>30</v>
      </c>
      <c r="I21" s="30">
        <f>G21-H21</f>
        <v>720</v>
      </c>
      <c r="J21" s="29" t="s">
        <v>1006</v>
      </c>
      <c r="K21" s="29" t="s">
        <v>18</v>
      </c>
      <c r="L21" s="29" t="s">
        <v>1003</v>
      </c>
      <c r="Q21" s="30">
        <v>1</v>
      </c>
    </row>
    <row r="22" spans="2:17" x14ac:dyDescent="0.25">
      <c r="B22" s="29" t="s">
        <v>16</v>
      </c>
      <c r="C22" s="29" t="s">
        <v>1045</v>
      </c>
      <c r="D22" s="29" t="s">
        <v>1046</v>
      </c>
      <c r="E22" s="29" t="s">
        <v>1047</v>
      </c>
      <c r="F22" s="29" t="s">
        <v>28</v>
      </c>
      <c r="G22" s="30">
        <v>745</v>
      </c>
      <c r="H22" s="30">
        <v>25</v>
      </c>
      <c r="I22" s="30">
        <f>G22-H22</f>
        <v>720</v>
      </c>
      <c r="J22" s="29" t="s">
        <v>19</v>
      </c>
      <c r="K22" s="29" t="s">
        <v>18</v>
      </c>
      <c r="L22" s="29" t="s">
        <v>1003</v>
      </c>
      <c r="Q22" s="30">
        <v>1</v>
      </c>
    </row>
    <row r="23" spans="2:17" x14ac:dyDescent="0.25">
      <c r="B23" s="29" t="s">
        <v>16</v>
      </c>
      <c r="C23" s="29" t="s">
        <v>1048</v>
      </c>
      <c r="D23" s="29" t="s">
        <v>1049</v>
      </c>
      <c r="E23" s="29" t="s">
        <v>1050</v>
      </c>
      <c r="F23" s="30">
        <v>2</v>
      </c>
      <c r="G23" s="30">
        <v>0</v>
      </c>
      <c r="H23" s="30">
        <v>30</v>
      </c>
      <c r="I23" s="30">
        <f>-H23</f>
        <v>-30</v>
      </c>
      <c r="J23" s="29" t="s">
        <v>18</v>
      </c>
      <c r="K23" s="29" t="s">
        <v>18</v>
      </c>
      <c r="L23" s="29" t="s">
        <v>1003</v>
      </c>
      <c r="Q23" s="30">
        <v>1</v>
      </c>
    </row>
    <row r="24" spans="2:17" x14ac:dyDescent="0.25">
      <c r="B24" s="29" t="s">
        <v>16</v>
      </c>
      <c r="C24" s="29" t="s">
        <v>1051</v>
      </c>
      <c r="D24" s="29" t="s">
        <v>1052</v>
      </c>
      <c r="E24" s="29" t="s">
        <v>1053</v>
      </c>
      <c r="F24" s="30">
        <v>11</v>
      </c>
      <c r="G24" s="30">
        <v>715</v>
      </c>
      <c r="H24" s="30">
        <v>25</v>
      </c>
      <c r="I24" s="30">
        <f>G24-H24</f>
        <v>690</v>
      </c>
      <c r="J24" s="29" t="s">
        <v>1006</v>
      </c>
      <c r="K24" s="29" t="s">
        <v>18</v>
      </c>
      <c r="L24" s="29" t="s">
        <v>1003</v>
      </c>
      <c r="Q24" s="30">
        <v>1</v>
      </c>
    </row>
    <row r="25" spans="2:17" x14ac:dyDescent="0.25">
      <c r="B25" s="29" t="s">
        <v>16</v>
      </c>
      <c r="C25" s="29" t="s">
        <v>1054</v>
      </c>
      <c r="D25" s="29" t="s">
        <v>1055</v>
      </c>
      <c r="E25" s="29" t="s">
        <v>1056</v>
      </c>
      <c r="F25" s="30">
        <v>1</v>
      </c>
      <c r="G25" s="30">
        <v>0</v>
      </c>
      <c r="H25" s="30">
        <v>25</v>
      </c>
      <c r="I25" s="30">
        <f>-H25</f>
        <v>-25</v>
      </c>
      <c r="J25" s="29" t="s">
        <v>19</v>
      </c>
      <c r="K25" s="29" t="s">
        <v>18</v>
      </c>
      <c r="L25" s="29" t="s">
        <v>1003</v>
      </c>
      <c r="Q25" s="30">
        <v>1</v>
      </c>
    </row>
    <row r="26" spans="2:17" x14ac:dyDescent="0.25">
      <c r="B26" s="29" t="s">
        <v>16</v>
      </c>
      <c r="C26" s="29" t="s">
        <v>1057</v>
      </c>
      <c r="D26" s="29" t="s">
        <v>1058</v>
      </c>
      <c r="E26" s="29" t="s">
        <v>1059</v>
      </c>
      <c r="F26" s="29" t="s">
        <v>22</v>
      </c>
      <c r="G26" s="30">
        <v>0</v>
      </c>
      <c r="H26" s="30">
        <v>30</v>
      </c>
      <c r="I26" s="30">
        <f>-H26</f>
        <v>-30</v>
      </c>
      <c r="J26" s="29" t="s">
        <v>1006</v>
      </c>
      <c r="K26" s="29" t="s">
        <v>18</v>
      </c>
      <c r="L26" s="29" t="s">
        <v>1003</v>
      </c>
      <c r="Q26" s="30">
        <v>1</v>
      </c>
    </row>
    <row r="27" spans="2:17" x14ac:dyDescent="0.25">
      <c r="B27" s="29" t="s">
        <v>16</v>
      </c>
      <c r="C27" s="29" t="s">
        <v>1060</v>
      </c>
      <c r="D27" s="29" t="s">
        <v>1061</v>
      </c>
      <c r="E27" s="29" t="s">
        <v>1062</v>
      </c>
      <c r="F27" s="29" t="s">
        <v>22</v>
      </c>
      <c r="G27" s="30">
        <v>0</v>
      </c>
      <c r="H27" s="30">
        <v>30</v>
      </c>
      <c r="I27" s="30">
        <f>G27-H27</f>
        <v>-30</v>
      </c>
      <c r="J27" s="29" t="s">
        <v>1006</v>
      </c>
      <c r="K27" s="29" t="s">
        <v>18</v>
      </c>
      <c r="L27" s="29" t="s">
        <v>1003</v>
      </c>
      <c r="Q27" s="30">
        <v>1</v>
      </c>
    </row>
    <row r="28" spans="2:17" x14ac:dyDescent="0.25">
      <c r="B28" s="29" t="s">
        <v>16</v>
      </c>
      <c r="C28" s="29" t="s">
        <v>896</v>
      </c>
      <c r="D28" s="29" t="s">
        <v>1063</v>
      </c>
      <c r="E28" s="29" t="s">
        <v>1064</v>
      </c>
      <c r="F28" s="29" t="s">
        <v>28</v>
      </c>
      <c r="G28" s="30">
        <v>2110</v>
      </c>
      <c r="H28" s="30">
        <v>30</v>
      </c>
      <c r="I28" s="30">
        <f>G28-H28</f>
        <v>2080</v>
      </c>
      <c r="J28" s="29" t="s">
        <v>18</v>
      </c>
      <c r="K28" s="29" t="s">
        <v>18</v>
      </c>
      <c r="L28" s="29" t="s">
        <v>1003</v>
      </c>
      <c r="Q28" s="30">
        <v>1</v>
      </c>
    </row>
    <row r="29" spans="2:17" x14ac:dyDescent="0.25">
      <c r="B29" s="29" t="s">
        <v>16</v>
      </c>
      <c r="C29" s="29" t="s">
        <v>1065</v>
      </c>
      <c r="D29" s="29" t="s">
        <v>1066</v>
      </c>
      <c r="E29" s="29" t="s">
        <v>1067</v>
      </c>
      <c r="F29" s="29" t="s">
        <v>20</v>
      </c>
      <c r="G29" s="30">
        <v>0</v>
      </c>
      <c r="H29" s="30">
        <v>30</v>
      </c>
      <c r="I29" s="30">
        <f>-H29</f>
        <v>-30</v>
      </c>
      <c r="J29" s="29" t="s">
        <v>18</v>
      </c>
      <c r="K29" s="29" t="s">
        <v>18</v>
      </c>
      <c r="L29" s="29" t="s">
        <v>1003</v>
      </c>
      <c r="Q29" s="30">
        <v>1</v>
      </c>
    </row>
    <row r="30" spans="2:17" x14ac:dyDescent="0.25">
      <c r="B30" s="29" t="s">
        <v>16</v>
      </c>
      <c r="C30" s="29" t="s">
        <v>1068</v>
      </c>
      <c r="D30" s="29" t="s">
        <v>1069</v>
      </c>
      <c r="E30" s="29" t="s">
        <v>1070</v>
      </c>
      <c r="F30" s="30">
        <v>12</v>
      </c>
      <c r="G30" s="30">
        <v>700</v>
      </c>
      <c r="H30" s="30">
        <v>30</v>
      </c>
      <c r="I30" s="30">
        <f>G30-H30</f>
        <v>670</v>
      </c>
      <c r="J30" s="29" t="s">
        <v>1006</v>
      </c>
      <c r="K30" s="29" t="s">
        <v>18</v>
      </c>
      <c r="L30" s="29" t="s">
        <v>1003</v>
      </c>
      <c r="Q30" s="30">
        <v>1</v>
      </c>
    </row>
    <row r="31" spans="2:17" x14ac:dyDescent="0.25">
      <c r="B31" s="29" t="s">
        <v>16</v>
      </c>
      <c r="C31" s="29" t="s">
        <v>1071</v>
      </c>
      <c r="D31" s="29" t="s">
        <v>1072</v>
      </c>
      <c r="E31" s="29" t="s">
        <v>900</v>
      </c>
      <c r="F31" s="29" t="s">
        <v>28</v>
      </c>
      <c r="G31" s="30">
        <v>405</v>
      </c>
      <c r="H31" s="30">
        <v>25</v>
      </c>
      <c r="I31" s="30">
        <f>G31-H31</f>
        <v>380</v>
      </c>
      <c r="J31" s="29" t="s">
        <v>19</v>
      </c>
      <c r="K31" s="29" t="s">
        <v>18</v>
      </c>
      <c r="L31" s="29" t="s">
        <v>1003</v>
      </c>
      <c r="Q31" s="30">
        <v>1</v>
      </c>
    </row>
    <row r="32" spans="2:17" x14ac:dyDescent="0.25">
      <c r="B32" s="29" t="s">
        <v>16</v>
      </c>
      <c r="C32" s="29" t="s">
        <v>1073</v>
      </c>
      <c r="D32" s="29" t="s">
        <v>1074</v>
      </c>
      <c r="E32" s="29" t="s">
        <v>1075</v>
      </c>
      <c r="F32" s="29" t="s">
        <v>28</v>
      </c>
      <c r="G32" s="30">
        <v>0</v>
      </c>
      <c r="H32" s="30">
        <v>25</v>
      </c>
      <c r="I32" s="30">
        <f>-H32</f>
        <v>-25</v>
      </c>
      <c r="J32" s="29" t="s">
        <v>19</v>
      </c>
      <c r="K32" s="29" t="s">
        <v>18</v>
      </c>
      <c r="L32" s="29" t="s">
        <v>1003</v>
      </c>
      <c r="Q32" s="30">
        <v>1</v>
      </c>
    </row>
    <row r="33" spans="2:17" x14ac:dyDescent="0.25">
      <c r="B33" s="29" t="s">
        <v>16</v>
      </c>
      <c r="C33" s="29" t="s">
        <v>588</v>
      </c>
      <c r="D33" s="29" t="s">
        <v>1076</v>
      </c>
      <c r="E33" s="29" t="s">
        <v>1077</v>
      </c>
      <c r="F33" s="29" t="s">
        <v>22</v>
      </c>
      <c r="G33" s="30">
        <v>670</v>
      </c>
      <c r="H33" s="30">
        <v>30</v>
      </c>
      <c r="I33" s="30">
        <f>G33-H33</f>
        <v>640</v>
      </c>
      <c r="J33" s="29" t="s">
        <v>1006</v>
      </c>
      <c r="K33" s="29" t="s">
        <v>18</v>
      </c>
      <c r="L33" s="29" t="s">
        <v>1003</v>
      </c>
      <c r="Q33" s="30">
        <v>1</v>
      </c>
    </row>
    <row r="34" spans="2:17" x14ac:dyDescent="0.25">
      <c r="B34" s="29" t="s">
        <v>16</v>
      </c>
      <c r="C34" s="29" t="s">
        <v>1078</v>
      </c>
      <c r="D34" s="29" t="s">
        <v>1079</v>
      </c>
      <c r="E34" s="29" t="s">
        <v>1080</v>
      </c>
      <c r="F34" s="29" t="s">
        <v>28</v>
      </c>
      <c r="G34" s="30">
        <v>695</v>
      </c>
      <c r="H34" s="30">
        <v>25</v>
      </c>
      <c r="I34" s="30">
        <f>G34-H34</f>
        <v>670</v>
      </c>
      <c r="J34" s="29" t="s">
        <v>19</v>
      </c>
      <c r="K34" s="29" t="s">
        <v>18</v>
      </c>
      <c r="L34" s="29" t="s">
        <v>1003</v>
      </c>
      <c r="Q34" s="30">
        <v>1</v>
      </c>
    </row>
    <row r="35" spans="2:17" x14ac:dyDescent="0.25">
      <c r="B35" s="29" t="s">
        <v>16</v>
      </c>
      <c r="C35" s="29" t="s">
        <v>1081</v>
      </c>
      <c r="D35" s="29" t="s">
        <v>1082</v>
      </c>
      <c r="E35" s="29" t="s">
        <v>1083</v>
      </c>
      <c r="F35" s="29" t="s">
        <v>26</v>
      </c>
      <c r="G35" s="30">
        <v>370</v>
      </c>
      <c r="H35" s="30">
        <v>20</v>
      </c>
      <c r="I35" s="30">
        <f>G35-H35</f>
        <v>350</v>
      </c>
      <c r="J35" s="29" t="s">
        <v>19</v>
      </c>
      <c r="K35" s="29" t="s">
        <v>18</v>
      </c>
      <c r="L35" s="29" t="s">
        <v>1003</v>
      </c>
      <c r="Q35" s="30">
        <v>1</v>
      </c>
    </row>
    <row r="36" spans="2:17" x14ac:dyDescent="0.25">
      <c r="B36" s="29" t="s">
        <v>16</v>
      </c>
      <c r="C36" s="29" t="s">
        <v>1084</v>
      </c>
      <c r="D36" s="29" t="s">
        <v>1085</v>
      </c>
      <c r="E36" s="29" t="s">
        <v>1086</v>
      </c>
      <c r="F36" s="30">
        <v>9</v>
      </c>
      <c r="G36" s="30">
        <v>750</v>
      </c>
      <c r="H36" s="30">
        <v>30</v>
      </c>
      <c r="I36" s="30">
        <f>G36-H36</f>
        <v>720</v>
      </c>
      <c r="J36" s="29" t="s">
        <v>37</v>
      </c>
      <c r="K36" s="29" t="s">
        <v>18</v>
      </c>
      <c r="L36" s="29" t="s">
        <v>1003</v>
      </c>
      <c r="Q36" s="30">
        <v>1</v>
      </c>
    </row>
    <row r="37" spans="2:17" x14ac:dyDescent="0.25">
      <c r="B37" s="29" t="s">
        <v>16</v>
      </c>
      <c r="C37" s="29" t="s">
        <v>1087</v>
      </c>
      <c r="D37" s="29" t="s">
        <v>1088</v>
      </c>
      <c r="E37" s="29" t="s">
        <v>1089</v>
      </c>
      <c r="F37" s="30">
        <v>1</v>
      </c>
      <c r="G37" s="30">
        <v>405</v>
      </c>
      <c r="H37" s="30">
        <v>25</v>
      </c>
      <c r="I37" s="30">
        <f>G37-H37</f>
        <v>380</v>
      </c>
      <c r="J37" s="29" t="s">
        <v>19</v>
      </c>
      <c r="K37" s="29" t="s">
        <v>18</v>
      </c>
      <c r="L37" s="29" t="s">
        <v>1003</v>
      </c>
      <c r="Q37" s="30">
        <v>1</v>
      </c>
    </row>
    <row r="38" spans="2:17" x14ac:dyDescent="0.25">
      <c r="B38" s="29" t="s">
        <v>16</v>
      </c>
      <c r="C38" s="29" t="s">
        <v>106</v>
      </c>
      <c r="D38" s="29" t="s">
        <v>1090</v>
      </c>
      <c r="E38" s="29" t="s">
        <v>107</v>
      </c>
      <c r="F38" s="29" t="s">
        <v>28</v>
      </c>
      <c r="G38" s="30">
        <v>0</v>
      </c>
      <c r="H38" s="30">
        <v>25</v>
      </c>
      <c r="I38" s="30">
        <f>-H38</f>
        <v>-25</v>
      </c>
      <c r="J38" s="29" t="s">
        <v>19</v>
      </c>
      <c r="K38" s="29" t="s">
        <v>18</v>
      </c>
      <c r="L38" s="29" t="s">
        <v>1003</v>
      </c>
      <c r="Q38" s="30">
        <v>1</v>
      </c>
    </row>
    <row r="39" spans="2:17" x14ac:dyDescent="0.25">
      <c r="B39" s="29" t="s">
        <v>16</v>
      </c>
      <c r="C39" s="29" t="s">
        <v>1091</v>
      </c>
      <c r="D39" s="29" t="s">
        <v>1092</v>
      </c>
      <c r="E39" s="29" t="s">
        <v>1093</v>
      </c>
      <c r="F39" s="30">
        <v>7</v>
      </c>
      <c r="G39" s="30">
        <v>750</v>
      </c>
      <c r="H39" s="30">
        <v>30</v>
      </c>
      <c r="I39" s="30">
        <f t="shared" ref="I39:I50" si="1">G39-H39</f>
        <v>720</v>
      </c>
      <c r="J39" s="29" t="s">
        <v>1006</v>
      </c>
      <c r="K39" s="29" t="s">
        <v>18</v>
      </c>
      <c r="L39" s="29" t="s">
        <v>1003</v>
      </c>
      <c r="Q39" s="30">
        <v>1</v>
      </c>
    </row>
    <row r="40" spans="2:17" x14ac:dyDescent="0.25">
      <c r="B40" s="29" t="s">
        <v>16</v>
      </c>
      <c r="C40" s="29" t="s">
        <v>1094</v>
      </c>
      <c r="D40" s="29" t="s">
        <v>1095</v>
      </c>
      <c r="E40" s="29" t="s">
        <v>1096</v>
      </c>
      <c r="F40" s="29" t="s">
        <v>30</v>
      </c>
      <c r="G40" s="30">
        <v>795</v>
      </c>
      <c r="H40" s="30">
        <v>25</v>
      </c>
      <c r="I40" s="30">
        <f t="shared" si="1"/>
        <v>770</v>
      </c>
      <c r="J40" s="29" t="s">
        <v>18</v>
      </c>
      <c r="K40" s="29" t="s">
        <v>18</v>
      </c>
      <c r="L40" s="29" t="s">
        <v>1003</v>
      </c>
      <c r="Q40" s="30">
        <v>1</v>
      </c>
    </row>
    <row r="41" spans="2:17" x14ac:dyDescent="0.25">
      <c r="B41" s="29" t="s">
        <v>16</v>
      </c>
      <c r="C41" s="29" t="s">
        <v>1097</v>
      </c>
      <c r="D41" s="29" t="s">
        <v>1098</v>
      </c>
      <c r="E41" s="29" t="s">
        <v>1099</v>
      </c>
      <c r="F41" s="29" t="s">
        <v>28</v>
      </c>
      <c r="G41" s="30">
        <v>735</v>
      </c>
      <c r="H41" s="30">
        <v>25</v>
      </c>
      <c r="I41" s="30">
        <f t="shared" si="1"/>
        <v>710</v>
      </c>
      <c r="J41" s="29" t="s">
        <v>19</v>
      </c>
      <c r="K41" s="29" t="s">
        <v>18</v>
      </c>
      <c r="L41" s="29" t="s">
        <v>1003</v>
      </c>
      <c r="Q41" s="30">
        <v>1</v>
      </c>
    </row>
    <row r="42" spans="2:17" x14ac:dyDescent="0.25">
      <c r="B42" s="29" t="s">
        <v>16</v>
      </c>
      <c r="C42" s="29" t="s">
        <v>1100</v>
      </c>
      <c r="D42" s="29" t="s">
        <v>1101</v>
      </c>
      <c r="E42" s="29" t="s">
        <v>1102</v>
      </c>
      <c r="F42" s="30">
        <v>4</v>
      </c>
      <c r="G42" s="30">
        <v>695</v>
      </c>
      <c r="H42" s="30">
        <v>25</v>
      </c>
      <c r="I42" s="30">
        <f t="shared" si="1"/>
        <v>670</v>
      </c>
      <c r="J42" s="29" t="s">
        <v>19</v>
      </c>
      <c r="K42" s="29" t="s">
        <v>18</v>
      </c>
      <c r="L42" s="29" t="s">
        <v>1003</v>
      </c>
      <c r="Q42" s="30">
        <v>1</v>
      </c>
    </row>
    <row r="43" spans="2:17" x14ac:dyDescent="0.25">
      <c r="B43" s="29" t="s">
        <v>16</v>
      </c>
      <c r="C43" s="29" t="s">
        <v>1103</v>
      </c>
      <c r="D43" s="29" t="s">
        <v>1104</v>
      </c>
      <c r="E43" s="29" t="s">
        <v>1105</v>
      </c>
      <c r="F43" s="29" t="s">
        <v>22</v>
      </c>
      <c r="G43" s="30">
        <v>1660</v>
      </c>
      <c r="H43" s="30">
        <v>30</v>
      </c>
      <c r="I43" s="30">
        <f t="shared" si="1"/>
        <v>1630</v>
      </c>
      <c r="J43" s="29" t="s">
        <v>1006</v>
      </c>
      <c r="K43" s="29" t="s">
        <v>18</v>
      </c>
      <c r="L43" s="29" t="s">
        <v>1003</v>
      </c>
      <c r="Q43" s="30">
        <v>1</v>
      </c>
    </row>
    <row r="44" spans="2:17" x14ac:dyDescent="0.25">
      <c r="B44" s="29" t="s">
        <v>16</v>
      </c>
      <c r="C44" s="29" t="s">
        <v>1106</v>
      </c>
      <c r="D44" s="29" t="s">
        <v>1107</v>
      </c>
      <c r="E44" s="29" t="s">
        <v>1108</v>
      </c>
      <c r="F44" s="29" t="s">
        <v>26</v>
      </c>
      <c r="G44" s="30">
        <v>910</v>
      </c>
      <c r="H44" s="30">
        <v>20</v>
      </c>
      <c r="I44" s="30">
        <f t="shared" si="1"/>
        <v>890</v>
      </c>
      <c r="J44" s="29" t="s">
        <v>19</v>
      </c>
      <c r="K44" s="29" t="s">
        <v>18</v>
      </c>
      <c r="L44" s="29" t="s">
        <v>1003</v>
      </c>
      <c r="Q44" s="30">
        <v>1</v>
      </c>
    </row>
    <row r="45" spans="2:17" x14ac:dyDescent="0.25">
      <c r="B45" s="29" t="s">
        <v>16</v>
      </c>
      <c r="C45" s="29" t="s">
        <v>1109</v>
      </c>
      <c r="D45" s="29" t="s">
        <v>1110</v>
      </c>
      <c r="E45" s="29" t="s">
        <v>1111</v>
      </c>
      <c r="F45" s="29" t="s">
        <v>28</v>
      </c>
      <c r="G45" s="30">
        <v>815</v>
      </c>
      <c r="H45" s="30">
        <v>25</v>
      </c>
      <c r="I45" s="30">
        <f t="shared" si="1"/>
        <v>790</v>
      </c>
      <c r="J45" s="29" t="s">
        <v>19</v>
      </c>
      <c r="K45" s="29" t="s">
        <v>18</v>
      </c>
      <c r="L45" s="29" t="s">
        <v>1003</v>
      </c>
      <c r="Q45" s="30">
        <v>1</v>
      </c>
    </row>
    <row r="46" spans="2:17" x14ac:dyDescent="0.25">
      <c r="B46" s="29" t="s">
        <v>16</v>
      </c>
      <c r="C46" s="29" t="s">
        <v>1112</v>
      </c>
      <c r="D46" s="29" t="s">
        <v>1113</v>
      </c>
      <c r="E46" s="29" t="s">
        <v>1114</v>
      </c>
      <c r="F46" s="30">
        <v>11</v>
      </c>
      <c r="G46" s="30">
        <v>915</v>
      </c>
      <c r="H46" s="30">
        <v>25</v>
      </c>
      <c r="I46" s="30">
        <f t="shared" si="1"/>
        <v>890</v>
      </c>
      <c r="J46" s="29" t="s">
        <v>1006</v>
      </c>
      <c r="K46" s="29" t="s">
        <v>18</v>
      </c>
      <c r="L46" s="29" t="s">
        <v>1003</v>
      </c>
      <c r="Q46" s="30">
        <v>1</v>
      </c>
    </row>
    <row r="47" spans="2:17" x14ac:dyDescent="0.25">
      <c r="B47" s="29" t="s">
        <v>16</v>
      </c>
      <c r="C47" s="29" t="s">
        <v>1115</v>
      </c>
      <c r="D47" s="29" t="s">
        <v>1116</v>
      </c>
      <c r="E47" s="29" t="s">
        <v>1117</v>
      </c>
      <c r="F47" s="29" t="s">
        <v>28</v>
      </c>
      <c r="G47" s="30">
        <v>695</v>
      </c>
      <c r="H47" s="30">
        <v>25</v>
      </c>
      <c r="I47" s="30">
        <f t="shared" si="1"/>
        <v>670</v>
      </c>
      <c r="J47" s="29" t="s">
        <v>19</v>
      </c>
      <c r="K47" s="29" t="s">
        <v>18</v>
      </c>
      <c r="L47" s="29" t="s">
        <v>1003</v>
      </c>
      <c r="Q47" s="30">
        <v>1</v>
      </c>
    </row>
    <row r="48" spans="2:17" x14ac:dyDescent="0.25">
      <c r="B48" s="29" t="s">
        <v>16</v>
      </c>
      <c r="C48" s="29" t="s">
        <v>1118</v>
      </c>
      <c r="D48" s="29" t="s">
        <v>1119</v>
      </c>
      <c r="E48" s="29" t="s">
        <v>1120</v>
      </c>
      <c r="F48" s="29" t="s">
        <v>20</v>
      </c>
      <c r="G48" s="30">
        <v>820</v>
      </c>
      <c r="H48" s="30">
        <v>30</v>
      </c>
      <c r="I48" s="30">
        <f t="shared" si="1"/>
        <v>790</v>
      </c>
      <c r="J48" s="29" t="s">
        <v>18</v>
      </c>
      <c r="K48" s="29" t="s">
        <v>18</v>
      </c>
      <c r="L48" s="29" t="s">
        <v>1003</v>
      </c>
      <c r="Q48" s="30">
        <v>1</v>
      </c>
    </row>
    <row r="49" spans="2:17" x14ac:dyDescent="0.25">
      <c r="B49" s="29" t="s">
        <v>16</v>
      </c>
      <c r="C49" s="29" t="s">
        <v>1121</v>
      </c>
      <c r="D49" s="29" t="s">
        <v>1122</v>
      </c>
      <c r="E49" s="29" t="s">
        <v>1123</v>
      </c>
      <c r="F49" s="30">
        <v>4</v>
      </c>
      <c r="G49" s="30">
        <v>695</v>
      </c>
      <c r="H49" s="30">
        <v>25</v>
      </c>
      <c r="I49" s="30">
        <f t="shared" si="1"/>
        <v>670</v>
      </c>
      <c r="J49" s="29" t="s">
        <v>19</v>
      </c>
      <c r="K49" s="29" t="s">
        <v>18</v>
      </c>
      <c r="L49" s="29" t="s">
        <v>1003</v>
      </c>
      <c r="Q49" s="30">
        <v>1</v>
      </c>
    </row>
    <row r="50" spans="2:17" x14ac:dyDescent="0.25">
      <c r="B50" s="29" t="s">
        <v>16</v>
      </c>
      <c r="C50" s="29" t="s">
        <v>1124</v>
      </c>
      <c r="D50" s="29" t="s">
        <v>1125</v>
      </c>
      <c r="E50" s="29" t="s">
        <v>1126</v>
      </c>
      <c r="F50" s="29" t="s">
        <v>28</v>
      </c>
      <c r="G50" s="30">
        <v>735</v>
      </c>
      <c r="H50" s="30">
        <v>25</v>
      </c>
      <c r="I50" s="30">
        <f t="shared" si="1"/>
        <v>710</v>
      </c>
      <c r="J50" s="29" t="s">
        <v>19</v>
      </c>
      <c r="K50" s="29" t="s">
        <v>18</v>
      </c>
      <c r="L50" s="29" t="s">
        <v>1003</v>
      </c>
      <c r="Q50" s="30">
        <v>1</v>
      </c>
    </row>
    <row r="51" spans="2:17" x14ac:dyDescent="0.25">
      <c r="B51" s="29" t="s">
        <v>16</v>
      </c>
      <c r="C51" s="29" t="s">
        <v>1127</v>
      </c>
      <c r="D51" s="29" t="s">
        <v>1128</v>
      </c>
      <c r="E51" s="29" t="s">
        <v>1129</v>
      </c>
      <c r="F51" s="30">
        <v>7</v>
      </c>
      <c r="G51" s="30">
        <v>0</v>
      </c>
      <c r="H51" s="30">
        <v>30</v>
      </c>
      <c r="I51" s="30">
        <f>-H51</f>
        <v>-30</v>
      </c>
      <c r="J51" s="29" t="s">
        <v>1006</v>
      </c>
      <c r="K51" s="29" t="s">
        <v>18</v>
      </c>
      <c r="L51" s="29" t="s">
        <v>1003</v>
      </c>
      <c r="Q51" s="30">
        <v>1</v>
      </c>
    </row>
    <row r="52" spans="2:17" x14ac:dyDescent="0.25">
      <c r="B52" s="29" t="s">
        <v>16</v>
      </c>
      <c r="C52" s="29" t="s">
        <v>1130</v>
      </c>
      <c r="D52" s="29" t="s">
        <v>1131</v>
      </c>
      <c r="E52" s="29" t="s">
        <v>1132</v>
      </c>
      <c r="F52" s="30">
        <v>12</v>
      </c>
      <c r="G52" s="30">
        <v>740</v>
      </c>
      <c r="H52" s="30">
        <v>30</v>
      </c>
      <c r="I52" s="30">
        <f>G52-H52</f>
        <v>710</v>
      </c>
      <c r="J52" s="29" t="s">
        <v>1006</v>
      </c>
      <c r="K52" s="29" t="s">
        <v>18</v>
      </c>
      <c r="L52" s="29" t="s">
        <v>1003</v>
      </c>
      <c r="Q52" s="30">
        <v>1</v>
      </c>
    </row>
    <row r="53" spans="2:17" x14ac:dyDescent="0.25">
      <c r="B53" s="29" t="s">
        <v>16</v>
      </c>
      <c r="C53" s="29" t="s">
        <v>1133</v>
      </c>
      <c r="D53" s="29" t="s">
        <v>1134</v>
      </c>
      <c r="E53" s="29" t="s">
        <v>1135</v>
      </c>
      <c r="F53" s="29" t="s">
        <v>22</v>
      </c>
      <c r="G53" s="30">
        <v>750</v>
      </c>
      <c r="H53" s="30">
        <v>30</v>
      </c>
      <c r="I53" s="30">
        <f>G53-H53</f>
        <v>720</v>
      </c>
      <c r="J53" s="29" t="s">
        <v>1006</v>
      </c>
      <c r="K53" s="29" t="s">
        <v>18</v>
      </c>
      <c r="L53" s="29" t="s">
        <v>1003</v>
      </c>
      <c r="Q53" s="30">
        <v>1</v>
      </c>
    </row>
    <row r="54" spans="2:17" x14ac:dyDescent="0.25">
      <c r="B54" s="29" t="s">
        <v>16</v>
      </c>
      <c r="C54" s="29" t="s">
        <v>1136</v>
      </c>
      <c r="D54" s="29" t="s">
        <v>1137</v>
      </c>
      <c r="E54" s="29" t="s">
        <v>1138</v>
      </c>
      <c r="F54" s="30">
        <v>4</v>
      </c>
      <c r="G54" s="30">
        <v>25</v>
      </c>
      <c r="H54" s="30">
        <v>25</v>
      </c>
      <c r="I54" s="30">
        <f>G54-H54</f>
        <v>0</v>
      </c>
      <c r="J54" s="29" t="s">
        <v>19</v>
      </c>
      <c r="K54" s="29" t="s">
        <v>18</v>
      </c>
      <c r="L54" s="29" t="s">
        <v>1003</v>
      </c>
      <c r="M54" s="29" t="s">
        <v>66</v>
      </c>
      <c r="Q54" s="30">
        <v>1</v>
      </c>
    </row>
    <row r="55" spans="2:17" x14ac:dyDescent="0.25">
      <c r="B55" s="29" t="s">
        <v>16</v>
      </c>
      <c r="C55" s="29" t="s">
        <v>130</v>
      </c>
      <c r="D55" s="29" t="s">
        <v>1139</v>
      </c>
      <c r="E55" s="29" t="s">
        <v>1140</v>
      </c>
      <c r="F55" s="30">
        <v>12</v>
      </c>
      <c r="G55" s="30">
        <v>0</v>
      </c>
      <c r="H55" s="30">
        <v>30</v>
      </c>
      <c r="I55" s="30">
        <f>-H55</f>
        <v>-30</v>
      </c>
      <c r="J55" s="29" t="s">
        <v>1006</v>
      </c>
      <c r="K55" s="29" t="s">
        <v>18</v>
      </c>
      <c r="L55" s="29" t="s">
        <v>1003</v>
      </c>
      <c r="Q55" s="30">
        <v>1</v>
      </c>
    </row>
    <row r="56" spans="2:17" x14ac:dyDescent="0.25">
      <c r="B56" s="29" t="s">
        <v>16</v>
      </c>
      <c r="C56" s="29" t="s">
        <v>1141</v>
      </c>
      <c r="D56" s="29" t="s">
        <v>1142</v>
      </c>
      <c r="E56" s="29" t="s">
        <v>1143</v>
      </c>
      <c r="F56" s="30">
        <v>10</v>
      </c>
      <c r="G56" s="30">
        <v>375</v>
      </c>
      <c r="H56" s="30">
        <v>25</v>
      </c>
      <c r="I56" s="30">
        <f t="shared" ref="I56:I64" si="2">G56-H56</f>
        <v>350</v>
      </c>
      <c r="J56" s="29" t="s">
        <v>19</v>
      </c>
      <c r="K56" s="29" t="s">
        <v>18</v>
      </c>
      <c r="L56" s="29" t="s">
        <v>1003</v>
      </c>
      <c r="Q56" s="30">
        <v>1</v>
      </c>
    </row>
    <row r="57" spans="2:17" x14ac:dyDescent="0.25">
      <c r="B57" s="29" t="s">
        <v>16</v>
      </c>
      <c r="C57" s="29" t="s">
        <v>1144</v>
      </c>
      <c r="D57" s="29" t="s">
        <v>1145</v>
      </c>
      <c r="E57" s="29" t="s">
        <v>1146</v>
      </c>
      <c r="F57" s="30">
        <v>12</v>
      </c>
      <c r="G57" s="30">
        <v>850</v>
      </c>
      <c r="H57" s="30">
        <v>30</v>
      </c>
      <c r="I57" s="30">
        <f t="shared" si="2"/>
        <v>820</v>
      </c>
      <c r="J57" s="29" t="s">
        <v>1006</v>
      </c>
      <c r="K57" s="29" t="s">
        <v>18</v>
      </c>
      <c r="L57" s="29" t="s">
        <v>1003</v>
      </c>
      <c r="Q57" s="30">
        <v>1</v>
      </c>
    </row>
    <row r="58" spans="2:17" x14ac:dyDescent="0.25">
      <c r="B58" s="29" t="s">
        <v>16</v>
      </c>
      <c r="C58" s="29" t="s">
        <v>1147</v>
      </c>
      <c r="D58" s="29" t="s">
        <v>1148</v>
      </c>
      <c r="E58" s="29" t="s">
        <v>1149</v>
      </c>
      <c r="F58" s="30">
        <v>10</v>
      </c>
      <c r="G58" s="30">
        <v>745</v>
      </c>
      <c r="H58" s="30">
        <v>25</v>
      </c>
      <c r="I58" s="30">
        <f t="shared" si="2"/>
        <v>720</v>
      </c>
      <c r="J58" s="29" t="s">
        <v>19</v>
      </c>
      <c r="K58" s="29" t="s">
        <v>18</v>
      </c>
      <c r="L58" s="29" t="s">
        <v>1003</v>
      </c>
      <c r="Q58" s="30">
        <v>1</v>
      </c>
    </row>
    <row r="59" spans="2:17" x14ac:dyDescent="0.25">
      <c r="B59" s="29" t="s">
        <v>16</v>
      </c>
      <c r="C59" s="29" t="s">
        <v>1150</v>
      </c>
      <c r="D59" s="29" t="s">
        <v>1151</v>
      </c>
      <c r="E59" s="29" t="s">
        <v>1152</v>
      </c>
      <c r="F59" s="30">
        <v>2</v>
      </c>
      <c r="G59" s="30">
        <v>700</v>
      </c>
      <c r="H59" s="30">
        <v>30</v>
      </c>
      <c r="I59" s="30">
        <f t="shared" si="2"/>
        <v>670</v>
      </c>
      <c r="J59" s="29" t="s">
        <v>1006</v>
      </c>
      <c r="K59" s="29" t="s">
        <v>18</v>
      </c>
      <c r="L59" s="29" t="s">
        <v>1003</v>
      </c>
      <c r="Q59" s="30">
        <v>1</v>
      </c>
    </row>
    <row r="60" spans="2:17" x14ac:dyDescent="0.25">
      <c r="B60" s="29" t="s">
        <v>16</v>
      </c>
      <c r="C60" s="29" t="s">
        <v>1153</v>
      </c>
      <c r="D60" s="29" t="s">
        <v>1154</v>
      </c>
      <c r="E60" s="29" t="s">
        <v>1155</v>
      </c>
      <c r="F60" s="30">
        <v>1</v>
      </c>
      <c r="G60" s="30">
        <v>695</v>
      </c>
      <c r="H60" s="30">
        <v>25</v>
      </c>
      <c r="I60" s="30">
        <f t="shared" si="2"/>
        <v>670</v>
      </c>
      <c r="J60" s="29" t="s">
        <v>19</v>
      </c>
      <c r="K60" s="29" t="s">
        <v>18</v>
      </c>
      <c r="L60" s="29" t="s">
        <v>1003</v>
      </c>
      <c r="Q60" s="30">
        <v>1</v>
      </c>
    </row>
    <row r="61" spans="2:17" x14ac:dyDescent="0.25">
      <c r="B61" s="29" t="s">
        <v>16</v>
      </c>
      <c r="C61" s="29" t="s">
        <v>1144</v>
      </c>
      <c r="D61" s="29" t="s">
        <v>1156</v>
      </c>
      <c r="E61" s="29" t="s">
        <v>1157</v>
      </c>
      <c r="F61" s="30">
        <v>2</v>
      </c>
      <c r="G61" s="30">
        <v>920</v>
      </c>
      <c r="H61" s="30">
        <v>30</v>
      </c>
      <c r="I61" s="30">
        <f t="shared" si="2"/>
        <v>890</v>
      </c>
      <c r="J61" s="29" t="s">
        <v>18</v>
      </c>
      <c r="K61" s="29" t="s">
        <v>18</v>
      </c>
      <c r="L61" s="29" t="s">
        <v>1003</v>
      </c>
      <c r="Q61" s="30">
        <v>1</v>
      </c>
    </row>
    <row r="62" spans="2:17" x14ac:dyDescent="0.25">
      <c r="B62" s="29" t="s">
        <v>16</v>
      </c>
      <c r="C62" s="29" t="s">
        <v>90</v>
      </c>
      <c r="D62" s="29" t="s">
        <v>1158</v>
      </c>
      <c r="E62" s="29" t="s">
        <v>1159</v>
      </c>
      <c r="F62" s="29" t="s">
        <v>323</v>
      </c>
      <c r="G62" s="30">
        <v>925</v>
      </c>
      <c r="H62" s="30">
        <v>35</v>
      </c>
      <c r="I62" s="30">
        <f t="shared" si="2"/>
        <v>890</v>
      </c>
      <c r="J62" s="29" t="s">
        <v>1006</v>
      </c>
      <c r="K62" s="29" t="s">
        <v>18</v>
      </c>
      <c r="L62" s="29" t="s">
        <v>1003</v>
      </c>
      <c r="Q62" s="30">
        <v>1</v>
      </c>
    </row>
    <row r="63" spans="2:17" x14ac:dyDescent="0.25">
      <c r="B63" s="29" t="s">
        <v>16</v>
      </c>
      <c r="C63" s="29" t="s">
        <v>1160</v>
      </c>
      <c r="D63" s="29" t="s">
        <v>1161</v>
      </c>
      <c r="E63" s="29" t="s">
        <v>1162</v>
      </c>
      <c r="F63" s="30">
        <v>8</v>
      </c>
      <c r="G63" s="30">
        <v>700</v>
      </c>
      <c r="H63" s="30">
        <v>30</v>
      </c>
      <c r="I63" s="30">
        <f t="shared" si="2"/>
        <v>670</v>
      </c>
      <c r="J63" s="29" t="s">
        <v>1006</v>
      </c>
      <c r="K63" s="29" t="s">
        <v>18</v>
      </c>
      <c r="L63" s="29" t="s">
        <v>1003</v>
      </c>
      <c r="Q63" s="30">
        <v>1</v>
      </c>
    </row>
    <row r="64" spans="2:17" x14ac:dyDescent="0.25">
      <c r="B64" s="29" t="s">
        <v>16</v>
      </c>
      <c r="C64" s="29" t="s">
        <v>1163</v>
      </c>
      <c r="D64" s="29" t="s">
        <v>1164</v>
      </c>
      <c r="E64" s="29" t="s">
        <v>1165</v>
      </c>
      <c r="F64" s="29" t="s">
        <v>23</v>
      </c>
      <c r="G64" s="30">
        <v>690</v>
      </c>
      <c r="H64" s="30">
        <v>20</v>
      </c>
      <c r="I64" s="30">
        <f t="shared" si="2"/>
        <v>670</v>
      </c>
      <c r="J64" s="29" t="s">
        <v>18</v>
      </c>
      <c r="K64" s="29" t="s">
        <v>18</v>
      </c>
      <c r="L64" s="29" t="s">
        <v>1003</v>
      </c>
      <c r="Q64" s="30">
        <v>1</v>
      </c>
    </row>
    <row r="65" spans="1:17" x14ac:dyDescent="0.25">
      <c r="B65" s="29" t="s">
        <v>16</v>
      </c>
      <c r="C65" s="29" t="s">
        <v>190</v>
      </c>
      <c r="D65" s="29" t="s">
        <v>1166</v>
      </c>
      <c r="E65" s="29" t="s">
        <v>192</v>
      </c>
      <c r="F65" s="29" t="s">
        <v>23</v>
      </c>
      <c r="G65" s="30">
        <v>0</v>
      </c>
      <c r="H65" s="30">
        <v>20</v>
      </c>
      <c r="I65" s="30">
        <f>-H65</f>
        <v>-20</v>
      </c>
      <c r="J65" s="29" t="s">
        <v>18</v>
      </c>
      <c r="K65" s="29" t="s">
        <v>18</v>
      </c>
      <c r="L65" s="29" t="s">
        <v>1003</v>
      </c>
      <c r="Q65" s="30">
        <v>1</v>
      </c>
    </row>
    <row r="66" spans="1:17" x14ac:dyDescent="0.25">
      <c r="B66" s="29" t="s">
        <v>16</v>
      </c>
      <c r="C66" s="29" t="s">
        <v>1167</v>
      </c>
      <c r="D66" s="29" t="s">
        <v>1168</v>
      </c>
      <c r="E66" s="29" t="s">
        <v>1169</v>
      </c>
      <c r="F66" s="30">
        <v>7</v>
      </c>
      <c r="G66" s="30">
        <v>0</v>
      </c>
      <c r="H66" s="30">
        <v>30</v>
      </c>
      <c r="I66" s="30">
        <f>-H66</f>
        <v>-30</v>
      </c>
      <c r="J66" s="29" t="s">
        <v>1006</v>
      </c>
      <c r="K66" s="29" t="s">
        <v>18</v>
      </c>
      <c r="L66" s="29" t="s">
        <v>1003</v>
      </c>
      <c r="Q66" s="30">
        <v>1</v>
      </c>
    </row>
    <row r="67" spans="1:17" x14ac:dyDescent="0.25">
      <c r="B67" s="29" t="s">
        <v>16</v>
      </c>
      <c r="C67" s="29" t="s">
        <v>1170</v>
      </c>
      <c r="D67" s="29" t="s">
        <v>1171</v>
      </c>
      <c r="E67" s="29" t="s">
        <v>1172</v>
      </c>
      <c r="F67" s="30">
        <v>1</v>
      </c>
      <c r="G67" s="30">
        <v>0</v>
      </c>
      <c r="H67" s="30">
        <v>25</v>
      </c>
      <c r="I67" s="30">
        <f>-H67</f>
        <v>-25</v>
      </c>
      <c r="J67" s="29" t="s">
        <v>19</v>
      </c>
      <c r="K67" s="29" t="s">
        <v>18</v>
      </c>
      <c r="L67" s="29" t="s">
        <v>1003</v>
      </c>
      <c r="M67" s="29" t="s">
        <v>66</v>
      </c>
      <c r="Q67" s="30">
        <v>1</v>
      </c>
    </row>
    <row r="68" spans="1:17" x14ac:dyDescent="0.25">
      <c r="B68" s="29" t="s">
        <v>16</v>
      </c>
      <c r="C68" s="29" t="s">
        <v>911</v>
      </c>
      <c r="D68" s="29" t="s">
        <v>1173</v>
      </c>
      <c r="E68" s="29" t="s">
        <v>1174</v>
      </c>
      <c r="F68" s="29" t="s">
        <v>28</v>
      </c>
      <c r="G68" s="30">
        <v>1075</v>
      </c>
      <c r="H68" s="30">
        <v>25</v>
      </c>
      <c r="I68" s="30">
        <f>G68-H68</f>
        <v>1050</v>
      </c>
      <c r="J68" s="29" t="s">
        <v>19</v>
      </c>
      <c r="K68" s="29" t="s">
        <v>18</v>
      </c>
      <c r="L68" s="29" t="s">
        <v>1003</v>
      </c>
      <c r="Q68" s="30">
        <v>1</v>
      </c>
    </row>
    <row r="70" spans="1:17" x14ac:dyDescent="0.25">
      <c r="D70" s="32">
        <f>COUNTA(D3:D68)</f>
        <v>60</v>
      </c>
      <c r="G70" s="32">
        <f t="shared" ref="G70:Q70" si="3">SUBTOTAL(9,G3:G68)</f>
        <v>36560</v>
      </c>
      <c r="H70" s="32">
        <f t="shared" si="3"/>
        <v>1805</v>
      </c>
      <c r="I70" s="32">
        <f t="shared" si="3"/>
        <v>34755</v>
      </c>
      <c r="J70" s="32">
        <f t="shared" si="3"/>
        <v>0</v>
      </c>
      <c r="K70" s="32">
        <f t="shared" si="3"/>
        <v>0</v>
      </c>
      <c r="L70" s="32">
        <f t="shared" si="3"/>
        <v>0</v>
      </c>
      <c r="M70" s="32">
        <f t="shared" si="3"/>
        <v>0</v>
      </c>
      <c r="N70" s="32">
        <f t="shared" si="3"/>
        <v>0</v>
      </c>
      <c r="O70" s="32">
        <f t="shared" si="3"/>
        <v>0</v>
      </c>
      <c r="P70" s="32">
        <f t="shared" si="3"/>
        <v>0</v>
      </c>
      <c r="Q70" s="32">
        <f t="shared" si="3"/>
        <v>66</v>
      </c>
    </row>
    <row r="71" spans="1:17" x14ac:dyDescent="0.25">
      <c r="H71" s="29">
        <f>-11*17</f>
        <v>-187</v>
      </c>
    </row>
    <row r="72" spans="1:17" x14ac:dyDescent="0.25">
      <c r="A72" s="32" t="s">
        <v>16</v>
      </c>
      <c r="C72" s="42" t="s">
        <v>46</v>
      </c>
      <c r="D72" s="42"/>
      <c r="E72" s="33" t="s">
        <v>47</v>
      </c>
      <c r="H72" s="29">
        <f>-11*25</f>
        <v>-275</v>
      </c>
      <c r="K72" s="34" t="s">
        <v>18</v>
      </c>
      <c r="L72" s="34" t="s">
        <v>48</v>
      </c>
      <c r="M72" s="34" t="s">
        <v>47</v>
      </c>
      <c r="O72" s="33" t="s">
        <v>72</v>
      </c>
    </row>
    <row r="73" spans="1:17" x14ac:dyDescent="0.25">
      <c r="A73" s="29" t="s">
        <v>1003</v>
      </c>
      <c r="B73" s="35" t="s">
        <v>49</v>
      </c>
      <c r="C73" s="43">
        <f>SUMIFS(I$3:I$68,B$3:B$68,A$72,L$3:L$68,A$73)</f>
        <v>34755</v>
      </c>
      <c r="D73" s="43"/>
      <c r="E73" s="35">
        <f>SUMIFS(Q$3:Q$68,B$3:B$68,A$72,L$3:L$68,A$73)</f>
        <v>66</v>
      </c>
      <c r="F73" s="29" t="s">
        <v>73</v>
      </c>
      <c r="H73" s="29">
        <f>-2*30</f>
        <v>-60</v>
      </c>
      <c r="K73" s="29" t="s">
        <v>50</v>
      </c>
      <c r="L73" s="29">
        <f>SUMIFS(G$3:G$68,J$3:J$68,K$72)</f>
        <v>8545</v>
      </c>
      <c r="M73" s="29">
        <f>SUMIFS(Q$3:Q$68,J$3:J$68,K$72)</f>
        <v>14</v>
      </c>
      <c r="O73" s="29" t="s">
        <v>18</v>
      </c>
      <c r="P73" s="29">
        <f>L78</f>
        <v>8098</v>
      </c>
    </row>
    <row r="74" spans="1:17" x14ac:dyDescent="0.25">
      <c r="B74" s="36" t="s">
        <v>108</v>
      </c>
      <c r="C74" s="44">
        <v>0</v>
      </c>
      <c r="D74" s="44"/>
      <c r="K74" s="29" t="s">
        <v>51</v>
      </c>
      <c r="L74" s="29">
        <f>-SUMIFS(H$3:H$68,J$3:J$68,K$72)+M74*5</f>
        <v>-315</v>
      </c>
      <c r="M74" s="29">
        <f>SUMIFS(Q$3:Q$68,J$3:J$68,K$72)-COUNTIFS(J$3:J$68,K$72,M$3:M$68,"*gộp*")</f>
        <v>14</v>
      </c>
      <c r="O74" s="29" t="s">
        <v>1175</v>
      </c>
      <c r="P74" s="29">
        <f>L86</f>
        <v>11953</v>
      </c>
    </row>
    <row r="75" spans="1:17" x14ac:dyDescent="0.25">
      <c r="B75" s="36" t="s">
        <v>52</v>
      </c>
      <c r="C75" s="44">
        <f>-SUMIFS(I$3:I$68,B$3:B$68,A$72,P$3:P$68,"xx",N$3:N$68,"x")</f>
        <v>0</v>
      </c>
      <c r="D75" s="44"/>
      <c r="E75" s="36">
        <f>SUMIFS(Q$3:Q$68,B$3:B$68,A$72,P$3:P$68,"xx",N$3:N$68,"x")</f>
        <v>0</v>
      </c>
      <c r="K75" s="29" t="s">
        <v>74</v>
      </c>
      <c r="L75" s="29">
        <f>-M75*2</f>
        <v>-132</v>
      </c>
      <c r="M75" s="29">
        <f>Q70-(COUNTIFS(M$3:M$68,"*gộp*")/2)</f>
        <v>66</v>
      </c>
      <c r="O75" s="29" t="s">
        <v>19</v>
      </c>
      <c r="P75" s="29">
        <f>L94</f>
        <v>14255</v>
      </c>
    </row>
    <row r="76" spans="1:17" x14ac:dyDescent="0.25">
      <c r="B76" s="33" t="s">
        <v>53</v>
      </c>
      <c r="C76" s="42">
        <f>SUBTOTAL(9,C73:C75)</f>
        <v>34755</v>
      </c>
      <c r="D76" s="42"/>
      <c r="E76" s="29">
        <f>E73</f>
        <v>66</v>
      </c>
      <c r="K76" s="36" t="s">
        <v>25</v>
      </c>
      <c r="O76" s="29" t="s">
        <v>37</v>
      </c>
      <c r="P76" s="29">
        <f>L102</f>
        <v>725</v>
      </c>
    </row>
    <row r="77" spans="1:17" x14ac:dyDescent="0.25">
      <c r="B77" s="36" t="s">
        <v>75</v>
      </c>
      <c r="C77" s="40"/>
      <c r="D77" s="40"/>
      <c r="K77" s="36" t="s">
        <v>54</v>
      </c>
      <c r="O77" s="29" t="s">
        <v>76</v>
      </c>
      <c r="P77" s="29">
        <f>-C80</f>
        <v>-34755</v>
      </c>
    </row>
    <row r="78" spans="1:17" x14ac:dyDescent="0.25">
      <c r="B78" s="37" t="s">
        <v>55</v>
      </c>
      <c r="C78" s="40"/>
      <c r="D78" s="40"/>
      <c r="L78" s="38">
        <f>SUBTOTAL(9,L73:L77)</f>
        <v>8098</v>
      </c>
      <c r="M78" s="38">
        <f>M73</f>
        <v>14</v>
      </c>
      <c r="O78" s="33" t="s">
        <v>77</v>
      </c>
      <c r="P78" s="33">
        <f>SUBTOTAL(9,P73:P77)</f>
        <v>276</v>
      </c>
    </row>
    <row r="80" spans="1:17" x14ac:dyDescent="0.25">
      <c r="B80" s="32" t="s">
        <v>56</v>
      </c>
      <c r="C80" s="41">
        <f>C76+C77+C78</f>
        <v>34755</v>
      </c>
      <c r="D80" s="41"/>
      <c r="E80" s="32" t="s">
        <v>57</v>
      </c>
      <c r="K80" s="34" t="s">
        <v>1006</v>
      </c>
      <c r="L80" s="34" t="s">
        <v>48</v>
      </c>
      <c r="M80" s="34" t="s">
        <v>47</v>
      </c>
    </row>
    <row r="81" spans="11:13" x14ac:dyDescent="0.25">
      <c r="K81" s="29" t="s">
        <v>50</v>
      </c>
      <c r="L81" s="29">
        <f>SUMIFS(G$3:G$68,J$3:J$68,K$80)</f>
        <v>12475</v>
      </c>
      <c r="M81" s="29">
        <f>SUMIFS(Q$3:Q$68,J$3:J$68,K$80)</f>
        <v>24</v>
      </c>
    </row>
    <row r="82" spans="11:13" x14ac:dyDescent="0.25">
      <c r="K82" s="29" t="s">
        <v>51</v>
      </c>
      <c r="L82" s="29">
        <f>SUM(H71:H73)</f>
        <v>-522</v>
      </c>
      <c r="M82" s="29">
        <f>SUMIFS(Q$3:Q$68,J$3:J$68,K$80)</f>
        <v>24</v>
      </c>
    </row>
    <row r="83" spans="11:13" x14ac:dyDescent="0.25">
      <c r="K83" s="29" t="s">
        <v>74</v>
      </c>
    </row>
    <row r="84" spans="11:13" x14ac:dyDescent="0.25">
      <c r="K84" s="36" t="s">
        <v>25</v>
      </c>
    </row>
    <row r="85" spans="11:13" x14ac:dyDescent="0.25">
      <c r="K85" s="36" t="s">
        <v>54</v>
      </c>
    </row>
    <row r="86" spans="11:13" x14ac:dyDescent="0.25">
      <c r="L86" s="38">
        <f>SUBTOTAL(9,L81:L85)</f>
        <v>11953</v>
      </c>
      <c r="M86" s="38">
        <f>M81</f>
        <v>24</v>
      </c>
    </row>
    <row r="88" spans="11:13" x14ac:dyDescent="0.25">
      <c r="K88" s="34" t="s">
        <v>19</v>
      </c>
      <c r="L88" s="34" t="s">
        <v>48</v>
      </c>
      <c r="M88" s="34" t="s">
        <v>47</v>
      </c>
    </row>
    <row r="89" spans="11:13" x14ac:dyDescent="0.25">
      <c r="K89" s="29" t="s">
        <v>50</v>
      </c>
      <c r="L89" s="29">
        <f>SUMIFS(G$3:G$68,J$3:J$68,K$88)</f>
        <v>14790</v>
      </c>
      <c r="M89" s="29">
        <f>SUMIFS(Q$3:Q$68,J$3:J$68,K$88)</f>
        <v>27</v>
      </c>
    </row>
    <row r="90" spans="11:13" x14ac:dyDescent="0.25">
      <c r="K90" s="29" t="s">
        <v>51</v>
      </c>
      <c r="L90" s="29">
        <f>-SUMIFS(H$3:H$68,J$3:J$68,K$88)+M90*5</f>
        <v>-535</v>
      </c>
      <c r="M90" s="29">
        <f>SUMIFS(Q$3:Q$68,J$3:J$68,K$88)-COUNTIFS(J$3:J$68,K$88,M$3:M$68,"*gộp*")</f>
        <v>27</v>
      </c>
    </row>
    <row r="91" spans="11:13" x14ac:dyDescent="0.25">
      <c r="K91" s="29" t="s">
        <v>74</v>
      </c>
    </row>
    <row r="92" spans="11:13" x14ac:dyDescent="0.25">
      <c r="K92" s="36" t="s">
        <v>25</v>
      </c>
    </row>
    <row r="93" spans="11:13" x14ac:dyDescent="0.25">
      <c r="K93" s="36" t="s">
        <v>54</v>
      </c>
    </row>
    <row r="94" spans="11:13" x14ac:dyDescent="0.25">
      <c r="L94" s="38">
        <f>SUBTOTAL(9,L89:L93)</f>
        <v>14255</v>
      </c>
      <c r="M94" s="38">
        <f>M89</f>
        <v>27</v>
      </c>
    </row>
    <row r="96" spans="11:13" x14ac:dyDescent="0.25">
      <c r="K96" s="34" t="s">
        <v>37</v>
      </c>
      <c r="L96" s="34" t="s">
        <v>48</v>
      </c>
      <c r="M96" s="34" t="s">
        <v>47</v>
      </c>
    </row>
    <row r="97" spans="11:13" x14ac:dyDescent="0.25">
      <c r="K97" s="29" t="s">
        <v>50</v>
      </c>
      <c r="L97" s="29">
        <f>SUMIFS(G$3:G$68,J$3:J$68,K$96)</f>
        <v>750</v>
      </c>
      <c r="M97" s="29">
        <f>SUMIFS(Q$3:Q$68,J$3:J$68,K$96)</f>
        <v>1</v>
      </c>
    </row>
    <row r="98" spans="11:13" x14ac:dyDescent="0.25">
      <c r="K98" s="29" t="s">
        <v>51</v>
      </c>
      <c r="L98" s="29">
        <f>-SUMIFS(H$3:H$68,J$3:J$68,K$96)+M98*5</f>
        <v>-25</v>
      </c>
      <c r="M98" s="29">
        <f>SUMIFS(Q$3:Q$68,J$3:J$68,K$96)-COUNTIFS(J$3:J$68,K$96,M$3:M$68,"*gộp*")</f>
        <v>1</v>
      </c>
    </row>
    <row r="99" spans="11:13" x14ac:dyDescent="0.25">
      <c r="K99" s="29" t="s">
        <v>74</v>
      </c>
    </row>
    <row r="100" spans="11:13" x14ac:dyDescent="0.25">
      <c r="K100" s="36" t="s">
        <v>25</v>
      </c>
    </row>
    <row r="101" spans="11:13" x14ac:dyDescent="0.25">
      <c r="K101" s="36" t="s">
        <v>54</v>
      </c>
    </row>
    <row r="102" spans="11:13" x14ac:dyDescent="0.25">
      <c r="L102" s="38">
        <f>SUBTOTAL(9,L97:L101)</f>
        <v>725</v>
      </c>
      <c r="M102" s="38">
        <f>M97</f>
        <v>1</v>
      </c>
    </row>
  </sheetData>
  <autoFilter ref="A2:P68" xr:uid="{00000000-0009-0000-0000-000000000000}"/>
  <mergeCells count="8">
    <mergeCell ref="C78:D78"/>
    <mergeCell ref="C80:D80"/>
    <mergeCell ref="C72:D72"/>
    <mergeCell ref="C73:D73"/>
    <mergeCell ref="C74:D74"/>
    <mergeCell ref="C75:D75"/>
    <mergeCell ref="C76:D76"/>
    <mergeCell ref="C77:D77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6CEE-D9BD-471C-BE28-69B9C4322082}">
  <dimension ref="A1:E19"/>
  <sheetViews>
    <sheetView tabSelected="1" workbookViewId="0">
      <selection activeCell="F16" sqref="F16"/>
    </sheetView>
  </sheetViews>
  <sheetFormatPr defaultRowHeight="15" x14ac:dyDescent="0.25"/>
  <cols>
    <col min="1" max="1" width="9.42578125" bestFit="1" customWidth="1"/>
    <col min="2" max="2" width="10.85546875" bestFit="1" customWidth="1"/>
    <col min="3" max="3" width="9.42578125" bestFit="1" customWidth="1"/>
    <col min="4" max="4" width="17.5703125" bestFit="1" customWidth="1"/>
    <col min="5" max="5" width="15.85546875" bestFit="1" customWidth="1"/>
  </cols>
  <sheetData>
    <row r="1" spans="1:5" x14ac:dyDescent="0.25">
      <c r="A1" t="s">
        <v>1176</v>
      </c>
      <c r="B1">
        <v>2026</v>
      </c>
    </row>
    <row r="2" spans="1:5" x14ac:dyDescent="0.25">
      <c r="A2" s="57" t="s">
        <v>1177</v>
      </c>
      <c r="B2" s="57" t="s">
        <v>1178</v>
      </c>
      <c r="C2" s="57" t="s">
        <v>1179</v>
      </c>
      <c r="D2" s="57" t="s">
        <v>1180</v>
      </c>
      <c r="E2" s="57" t="s">
        <v>1181</v>
      </c>
    </row>
    <row r="3" spans="1:5" x14ac:dyDescent="0.25">
      <c r="A3" s="58">
        <v>46098</v>
      </c>
      <c r="B3" s="59">
        <v>22</v>
      </c>
      <c r="C3" s="59"/>
      <c r="D3" s="59"/>
      <c r="E3" s="59">
        <f>B3-C3-D3</f>
        <v>22</v>
      </c>
    </row>
    <row r="4" spans="1:5" x14ac:dyDescent="0.25">
      <c r="A4" s="58">
        <v>46099</v>
      </c>
      <c r="B4" s="59">
        <v>19</v>
      </c>
      <c r="C4" s="59">
        <v>1</v>
      </c>
      <c r="D4" s="59"/>
      <c r="E4" s="59">
        <f t="shared" ref="E4:E15" si="0">B4-C4-D4</f>
        <v>18</v>
      </c>
    </row>
    <row r="5" spans="1:5" x14ac:dyDescent="0.25">
      <c r="A5" s="58">
        <v>46100</v>
      </c>
      <c r="B5" s="59">
        <v>32</v>
      </c>
      <c r="C5" s="59"/>
      <c r="D5" s="59"/>
      <c r="E5" s="59">
        <f t="shared" si="0"/>
        <v>32</v>
      </c>
    </row>
    <row r="6" spans="1:5" x14ac:dyDescent="0.25">
      <c r="A6" s="58">
        <v>46101</v>
      </c>
      <c r="B6" s="59">
        <v>24</v>
      </c>
      <c r="C6" s="59"/>
      <c r="D6" s="59"/>
      <c r="E6" s="59">
        <f t="shared" si="0"/>
        <v>24</v>
      </c>
    </row>
    <row r="7" spans="1:5" x14ac:dyDescent="0.25">
      <c r="A7" s="58">
        <v>46102</v>
      </c>
      <c r="B7" s="59">
        <v>32</v>
      </c>
      <c r="C7" s="59"/>
      <c r="D7" s="59"/>
      <c r="E7" s="59">
        <f t="shared" si="0"/>
        <v>32</v>
      </c>
    </row>
    <row r="8" spans="1:5" x14ac:dyDescent="0.25">
      <c r="A8" s="58">
        <v>46104</v>
      </c>
      <c r="B8" s="59">
        <v>73</v>
      </c>
      <c r="C8" s="59"/>
      <c r="D8" s="59">
        <v>3</v>
      </c>
      <c r="E8" s="59">
        <f t="shared" ref="E8" si="1">B8-C8-D8</f>
        <v>70</v>
      </c>
    </row>
    <row r="9" spans="1:5" x14ac:dyDescent="0.25">
      <c r="A9" s="58">
        <v>46105</v>
      </c>
      <c r="B9" s="59">
        <v>17</v>
      </c>
      <c r="C9" s="59"/>
      <c r="D9" s="59"/>
      <c r="E9" s="59">
        <f t="shared" si="0"/>
        <v>17</v>
      </c>
    </row>
    <row r="10" spans="1:5" x14ac:dyDescent="0.25">
      <c r="A10" s="58">
        <v>46106</v>
      </c>
      <c r="B10" s="59">
        <v>17</v>
      </c>
      <c r="C10" s="59"/>
      <c r="D10" s="59"/>
      <c r="E10" s="59">
        <f t="shared" si="0"/>
        <v>17</v>
      </c>
    </row>
    <row r="11" spans="1:5" x14ac:dyDescent="0.25">
      <c r="A11" s="58">
        <v>46107</v>
      </c>
      <c r="B11" s="59">
        <v>31</v>
      </c>
      <c r="C11" s="59"/>
      <c r="D11" s="59">
        <v>1</v>
      </c>
      <c r="E11" s="59">
        <f t="shared" si="0"/>
        <v>30</v>
      </c>
    </row>
    <row r="12" spans="1:5" x14ac:dyDescent="0.25">
      <c r="A12" s="58">
        <v>46108</v>
      </c>
      <c r="B12" s="59">
        <v>35</v>
      </c>
      <c r="C12" s="59"/>
      <c r="D12" s="59"/>
      <c r="E12" s="59">
        <f t="shared" si="0"/>
        <v>35</v>
      </c>
    </row>
    <row r="13" spans="1:5" x14ac:dyDescent="0.25">
      <c r="A13" s="58">
        <v>46109</v>
      </c>
      <c r="B13" s="59">
        <v>27</v>
      </c>
      <c r="C13" s="59"/>
      <c r="D13" s="59"/>
      <c r="E13" s="59">
        <f t="shared" si="0"/>
        <v>27</v>
      </c>
    </row>
    <row r="14" spans="1:5" x14ac:dyDescent="0.25">
      <c r="A14" s="58">
        <v>46111</v>
      </c>
      <c r="B14" s="59">
        <v>66</v>
      </c>
      <c r="C14" s="59"/>
      <c r="D14" s="59"/>
      <c r="E14" s="59">
        <f t="shared" si="0"/>
        <v>66</v>
      </c>
    </row>
    <row r="15" spans="1:5" x14ac:dyDescent="0.25">
      <c r="A15" s="58">
        <v>46112</v>
      </c>
      <c r="B15" s="59"/>
      <c r="C15" s="59"/>
      <c r="D15" s="59"/>
      <c r="E15" s="59">
        <f t="shared" si="0"/>
        <v>0</v>
      </c>
    </row>
    <row r="16" spans="1:5" x14ac:dyDescent="0.25">
      <c r="D16" s="60" t="s">
        <v>1183</v>
      </c>
      <c r="E16" s="60">
        <f>SUBTOTAL(9,E3:E15)</f>
        <v>390</v>
      </c>
    </row>
    <row r="17" spans="4:5" x14ac:dyDescent="0.25">
      <c r="D17" s="60" t="s">
        <v>1182</v>
      </c>
      <c r="E17" s="60">
        <f>SUM('17-03'!P35,'18-03'!P32,'19-03'!P47,'20-03'!P37,'21-03'!P44,'23-03'!P87,'24-03'!P27,'25-03'!P28,'26-03'!P43,'27-03'!P47,'28-03'!P38,'30-03'!P78)</f>
        <v>1806</v>
      </c>
    </row>
    <row r="18" spans="4:5" x14ac:dyDescent="0.25">
      <c r="D18" s="60" t="s">
        <v>1184</v>
      </c>
      <c r="E18" s="60">
        <f>-E16*2</f>
        <v>-780</v>
      </c>
    </row>
    <row r="19" spans="4:5" x14ac:dyDescent="0.25">
      <c r="D19" s="60" t="s">
        <v>1185</v>
      </c>
      <c r="E19" s="60">
        <f>SUBTOTAL(9,E17:E18)</f>
        <v>1026</v>
      </c>
    </row>
  </sheetData>
  <autoFilter ref="A2:E15" xr:uid="{CA616CEE-D9BD-471C-BE28-69B9C4322082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17-03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2026-03-30T15:04:52Z</dcterms:modified>
</cp:coreProperties>
</file>