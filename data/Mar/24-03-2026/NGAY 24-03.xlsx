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r\24-03-2026\"/>
    </mc:Choice>
  </mc:AlternateContent>
  <xr:revisionPtr revIDLastSave="0" documentId="13_ncr:1_{02D53DF6-3DC3-4BD8-A416-77B07693B7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-03" sheetId="2" r:id="rId1"/>
  </sheets>
  <definedNames>
    <definedName name="_xlnm._FilterDatabase" localSheetId="0" hidden="1">'24-03'!$A$2:$P$19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2" l="1"/>
  <c r="I12" i="2"/>
  <c r="I13" i="2"/>
  <c r="I3" i="2"/>
  <c r="I4" i="2"/>
  <c r="I14" i="2"/>
  <c r="I15" i="2"/>
  <c r="I5" i="2"/>
  <c r="I6" i="2"/>
  <c r="I16" i="2"/>
  <c r="I7" i="2"/>
  <c r="I8" i="2"/>
  <c r="I17" i="2"/>
  <c r="I9" i="2"/>
  <c r="I10" i="2"/>
  <c r="I18" i="2"/>
  <c r="I11" i="2"/>
  <c r="I19" i="2"/>
  <c r="D21" i="2"/>
  <c r="G21" i="2"/>
  <c r="H21" i="2"/>
  <c r="I21" i="2"/>
  <c r="J21" i="2"/>
  <c r="K21" i="2"/>
  <c r="L21" i="2"/>
  <c r="M21" i="2"/>
  <c r="N21" i="2"/>
  <c r="O21" i="2"/>
  <c r="P21" i="2"/>
  <c r="Q21" i="2"/>
  <c r="M26" i="2" s="1"/>
  <c r="L26" i="2" s="1"/>
  <c r="H22" i="2"/>
  <c r="H23" i="2"/>
  <c r="C24" i="2"/>
  <c r="C27" i="2" s="1"/>
  <c r="C31" i="2" s="1"/>
  <c r="P26" i="2" s="1"/>
  <c r="E24" i="2"/>
  <c r="E27" i="2" s="1"/>
  <c r="H24" i="2"/>
  <c r="L24" i="2"/>
  <c r="M24" i="2"/>
  <c r="M29" i="2" s="1"/>
  <c r="M25" i="2"/>
  <c r="L25" i="2" s="1"/>
  <c r="C26" i="2"/>
  <c r="E26" i="2"/>
  <c r="L32" i="2"/>
  <c r="L37" i="2" s="1"/>
  <c r="P25" i="2" s="1"/>
  <c r="M32" i="2"/>
  <c r="M37" i="2" s="1"/>
  <c r="M33" i="2"/>
  <c r="L29" i="2" l="1"/>
  <c r="P24" i="2" s="1"/>
  <c r="P27" i="2" s="1"/>
</calcChain>
</file>

<file path=xl/sharedStrings.xml><?xml version="1.0" encoding="utf-8"?>
<sst xmlns="http://schemas.openxmlformats.org/spreadsheetml/2006/main" count="177" uniqueCount="96">
  <si>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</si>
  <si>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</si>
  <si>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</si>
  <si>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</si>
  <si>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</si>
  <si>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</si>
  <si>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</si>
  <si>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</si>
  <si>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</si>
  <si>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</si>
  <si>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</si>
  <si>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</si>
  <si>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</si>
  <si>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</si>
  <si>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</si>
  <si>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</si>
  <si>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_col17</t>
  </si>
  <si>
    <t>hàng sỉ</t>
  </si>
  <si>
    <t>ĐOÀN NGÂN CHÂU</t>
  </si>
  <si>
    <t>Mien Tran</t>
  </si>
  <si>
    <t>14 Lam Thi Ho, Tan Chanh Hiep Ward</t>
  </si>
  <si>
    <t>c.cuong</t>
  </si>
  <si>
    <t>24-03-2026</t>
  </si>
  <si>
    <t>SUSI</t>
  </si>
  <si>
    <t>22,TÂN THỚI NHẤT 1B, Phường Tân Thới Nhất</t>
  </si>
  <si>
    <t>Heng Roza (EV38382)</t>
  </si>
  <si>
    <t>HD004392</t>
  </si>
  <si>
    <t>315/18/6 Nhuyễn Thị Tú, Phường Bình Hưng Hòa B</t>
  </si>
  <si>
    <t>binh tan</t>
  </si>
  <si>
    <t>AT 24-03</t>
  </si>
  <si>
    <t>Thanh Hiền</t>
  </si>
  <si>
    <t>HD004324</t>
  </si>
  <si>
    <t>Block D1, Chung cư Hoàng Anh Gia Lai 3, Đường Nguyễn Hữu Thọ, xã Phước Kiến</t>
  </si>
  <si>
    <t>nha be</t>
  </si>
  <si>
    <t>PU PU</t>
  </si>
  <si>
    <t>HD004481</t>
  </si>
  <si>
    <t>86 xuân thuỷ thảo điền</t>
  </si>
  <si>
    <t>Thiên lý fb Mei Chan</t>
  </si>
  <si>
    <t>HD004371</t>
  </si>
  <si>
    <t>55 đường 18, khu phố 4, Phường Hiệp Bình</t>
  </si>
  <si>
    <t>thu duc</t>
  </si>
  <si>
    <t>chuột ( fb Pon Nis)</t>
  </si>
  <si>
    <t>HD004468</t>
  </si>
  <si>
    <t>68 Tây Lân,P.Bình Trị Đông A</t>
  </si>
  <si>
    <t>Giáng Hương</t>
  </si>
  <si>
    <t>HD004388</t>
  </si>
  <si>
    <t>111 đường số 10 phường 13</t>
  </si>
  <si>
    <t>Qiun</t>
  </si>
  <si>
    <t>HD004338</t>
  </si>
  <si>
    <t>92/10e đường số 2 P Trường Thọ</t>
  </si>
  <si>
    <t>trúc nguyễn</t>
  </si>
  <si>
    <t>HD004444</t>
  </si>
  <si>
    <t>861 Trần Xuân Soạn phường Tân Hưng</t>
  </si>
  <si>
    <t>Hàn Bảo Xuyên</t>
  </si>
  <si>
    <t>HD004397</t>
  </si>
  <si>
    <t>2a đường 79 phường tân quy</t>
  </si>
  <si>
    <t>( Cô Trang Giáo Viên )</t>
  </si>
  <si>
    <t>HD004334</t>
  </si>
  <si>
    <t>Địa chỉ: Trường tiểu học Lê Văn Thọ, ở 1115 Lê Đức Thọ, phường An Hội Đông (phường 13 cũ)</t>
  </si>
  <si>
    <t>go vap</t>
  </si>
  <si>
    <t>Tammie Ng</t>
  </si>
  <si>
    <t>HD004418</t>
  </si>
  <si>
    <t>Dạ 479 vinh viễn, phường diên hồng</t>
  </si>
  <si>
    <t>kim xuyến</t>
  </si>
  <si>
    <t>HD004284</t>
  </si>
  <si>
    <t>1002 tạ quang bửu p6</t>
  </si>
  <si>
    <t>BN2422 somsom(inst -som_sompimvipa)</t>
  </si>
  <si>
    <t>HD004367</t>
  </si>
  <si>
    <t>163 Đường Trương Thị Hoa, phường Hiệp Thành</t>
  </si>
  <si>
    <t>Đinh Thị Băng Tâm</t>
  </si>
  <si>
    <t>HD004375</t>
  </si>
  <si>
    <t>138/7 bùi thị xuân bến thành</t>
  </si>
  <si>
    <t>Thảo Li</t>
  </si>
  <si>
    <t>HD004411</t>
  </si>
  <si>
    <t>1264/57/45D Lê Đức Thọ P13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</si>
  <si>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</si>
  <si>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</si>
  <si>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</si>
  <si>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</si>
  <si>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</si>
  <si>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</si>
  <si>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</si>
  <si>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Trừ Ship</t>
  </si>
  <si>
    <t>tiền ship</t>
  </si>
  <si>
    <t>at 24-03</t>
  </si>
  <si>
    <t>Đơn trả &amp; c.khoản</t>
  </si>
  <si>
    <t>tiền lấy</t>
  </si>
  <si>
    <t>shop</t>
  </si>
  <si>
    <t>Tiền Hàng Hcm</t>
  </si>
  <si>
    <t>đơn trả</t>
  </si>
  <si>
    <t>tổng</t>
  </si>
  <si>
    <t>đền đơn</t>
  </si>
  <si>
    <t>đơn cũ ck</t>
  </si>
  <si>
    <t>nợ cũ</t>
  </si>
  <si>
    <t>THANH TOÁN</t>
  </si>
  <si>
    <t>CK Đủ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</si>
</sst>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3" borderId="0" xfId="0" applyFont="1" applyFill="1"/>
    <xf numFmtId="0" fontId="0" fillId="0" borderId="0" xfId="0"/>
    <xf numFmtId="0" fontId="2" fillId="0" borderId="0" xfId="0" applyFont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0" fillId="3" borderId="0" xfId="0" applyFill="1"/>
    <xf numFmtId="0" fontId="2" fillId="0" borderId="0" xfId="0" applyFont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7"/>
  <sheetViews>
    <sheetView tabSelected="1" topLeftCell="B1" workbookViewId="0">
      <selection activeCell="B3" sqref="A3:XFD19"/>
    </sheetView>
  </sheetViews>
  <sheetFormatPr defaultRowHeight="15" x14ac:dyDescent="0.25"/>
  <cols>
    <col min="1" max="1" width="12.7109375" customWidth="1"/>
    <col min="2" max="2" width="17.7109375" customWidth="1"/>
    <col min="3" max="3" width="37.85546875" customWidth="1"/>
    <col min="4" max="4" width="9.85546875" customWidth="1"/>
    <col min="5" max="5" width="84" customWidth="1"/>
    <col min="6" max="6" width="8.4257812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570312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</row>
    <row r="3" spans="1:17" x14ac:dyDescent="0.25">
      <c r="B3" t="s">
        <v>18</v>
      </c>
      <c r="C3" t="s">
        <v>25</v>
      </c>
      <c r="D3" t="s">
        <v>26</v>
      </c>
      <c r="E3" t="s">
        <v>27</v>
      </c>
      <c r="F3" t="s">
        <v>28</v>
      </c>
      <c r="G3" s="7">
        <v>0</v>
      </c>
      <c r="H3" s="7">
        <v>60</v>
      </c>
      <c r="I3" s="7">
        <f>-H3</f>
        <v>-60</v>
      </c>
      <c r="J3" t="s">
        <v>29</v>
      </c>
      <c r="K3" t="s">
        <v>21</v>
      </c>
      <c r="L3" t="s">
        <v>22</v>
      </c>
      <c r="Q3" s="7">
        <v>1</v>
      </c>
    </row>
    <row r="4" spans="1:17" x14ac:dyDescent="0.25">
      <c r="B4" t="s">
        <v>18</v>
      </c>
      <c r="C4" t="s">
        <v>30</v>
      </c>
      <c r="D4" t="s">
        <v>31</v>
      </c>
      <c r="E4" t="s">
        <v>32</v>
      </c>
      <c r="F4" t="s">
        <v>33</v>
      </c>
      <c r="G4" s="7">
        <v>0</v>
      </c>
      <c r="H4" s="7">
        <v>35</v>
      </c>
      <c r="I4" s="7">
        <f>-H4</f>
        <v>-35</v>
      </c>
      <c r="J4" t="s">
        <v>29</v>
      </c>
      <c r="K4" t="s">
        <v>21</v>
      </c>
      <c r="L4" t="s">
        <v>22</v>
      </c>
      <c r="Q4" s="7">
        <v>1</v>
      </c>
    </row>
    <row r="5" spans="1:17" x14ac:dyDescent="0.25">
      <c r="B5" t="s">
        <v>18</v>
      </c>
      <c r="C5" t="s">
        <v>41</v>
      </c>
      <c r="D5" t="s">
        <v>42</v>
      </c>
      <c r="E5" t="s">
        <v>43</v>
      </c>
      <c r="F5" t="s">
        <v>28</v>
      </c>
      <c r="G5" s="7">
        <v>0</v>
      </c>
      <c r="H5" s="7">
        <v>30</v>
      </c>
      <c r="I5" s="7">
        <f>-H5</f>
        <v>-30</v>
      </c>
      <c r="J5" t="s">
        <v>29</v>
      </c>
      <c r="K5" t="s">
        <v>21</v>
      </c>
      <c r="L5" t="s">
        <v>22</v>
      </c>
      <c r="Q5" s="7">
        <v>1</v>
      </c>
    </row>
    <row r="6" spans="1:17" x14ac:dyDescent="0.25">
      <c r="B6" t="s">
        <v>18</v>
      </c>
      <c r="C6" t="s">
        <v>44</v>
      </c>
      <c r="D6" t="s">
        <v>45</v>
      </c>
      <c r="E6" t="s">
        <v>46</v>
      </c>
      <c r="F6" s="7">
        <v>6</v>
      </c>
      <c r="G6" s="7">
        <v>745</v>
      </c>
      <c r="H6" s="7">
        <v>25</v>
      </c>
      <c r="I6" s="7">
        <f>G6-H6</f>
        <v>720</v>
      </c>
      <c r="J6" t="s">
        <v>29</v>
      </c>
      <c r="K6" t="s">
        <v>21</v>
      </c>
      <c r="L6" t="s">
        <v>22</v>
      </c>
      <c r="Q6" s="7">
        <v>1</v>
      </c>
    </row>
    <row r="7" spans="1:17" x14ac:dyDescent="0.25">
      <c r="B7" t="s">
        <v>18</v>
      </c>
      <c r="C7" t="s">
        <v>50</v>
      </c>
      <c r="D7" t="s">
        <v>51</v>
      </c>
      <c r="E7" t="s">
        <v>52</v>
      </c>
      <c r="F7" s="7">
        <v>7</v>
      </c>
      <c r="G7" s="7">
        <v>1480</v>
      </c>
      <c r="H7" s="7">
        <v>30</v>
      </c>
      <c r="I7" s="7">
        <f>G7-H7</f>
        <v>1450</v>
      </c>
      <c r="J7" t="s">
        <v>29</v>
      </c>
      <c r="K7" t="s">
        <v>21</v>
      </c>
      <c r="L7" t="s">
        <v>22</v>
      </c>
      <c r="Q7" s="7">
        <v>1</v>
      </c>
    </row>
    <row r="8" spans="1:17" x14ac:dyDescent="0.25">
      <c r="B8" t="s">
        <v>18</v>
      </c>
      <c r="C8" t="s">
        <v>53</v>
      </c>
      <c r="D8" t="s">
        <v>54</v>
      </c>
      <c r="E8" t="s">
        <v>55</v>
      </c>
      <c r="F8" s="7">
        <v>7</v>
      </c>
      <c r="G8" s="7">
        <v>760</v>
      </c>
      <c r="H8" s="7">
        <v>30</v>
      </c>
      <c r="I8" s="7">
        <f>G8-H8</f>
        <v>730</v>
      </c>
      <c r="J8" t="s">
        <v>29</v>
      </c>
      <c r="K8" t="s">
        <v>21</v>
      </c>
      <c r="L8" t="s">
        <v>22</v>
      </c>
      <c r="Q8" s="7">
        <v>1</v>
      </c>
    </row>
    <row r="9" spans="1:17" x14ac:dyDescent="0.25">
      <c r="B9" t="s">
        <v>18</v>
      </c>
      <c r="C9" t="s">
        <v>60</v>
      </c>
      <c r="D9" t="s">
        <v>61</v>
      </c>
      <c r="E9" t="s">
        <v>62</v>
      </c>
      <c r="F9" s="7">
        <v>10</v>
      </c>
      <c r="G9" s="7">
        <v>845</v>
      </c>
      <c r="H9" s="7">
        <v>25</v>
      </c>
      <c r="I9" s="7">
        <f>G9-H9</f>
        <v>820</v>
      </c>
      <c r="J9" t="s">
        <v>29</v>
      </c>
      <c r="K9" t="s">
        <v>21</v>
      </c>
      <c r="L9" t="s">
        <v>22</v>
      </c>
      <c r="Q9" s="7">
        <v>1</v>
      </c>
    </row>
    <row r="10" spans="1:17" x14ac:dyDescent="0.25">
      <c r="B10" t="s">
        <v>18</v>
      </c>
      <c r="C10" t="s">
        <v>63</v>
      </c>
      <c r="D10" t="s">
        <v>64</v>
      </c>
      <c r="E10" t="s">
        <v>65</v>
      </c>
      <c r="F10" s="7">
        <v>8</v>
      </c>
      <c r="G10" s="7">
        <v>770</v>
      </c>
      <c r="H10" s="7">
        <v>30</v>
      </c>
      <c r="I10" s="7">
        <f>G10-H10</f>
        <v>740</v>
      </c>
      <c r="J10" t="s">
        <v>29</v>
      </c>
      <c r="K10" t="s">
        <v>21</v>
      </c>
      <c r="L10" t="s">
        <v>22</v>
      </c>
      <c r="Q10" s="7">
        <v>1</v>
      </c>
    </row>
    <row r="11" spans="1:17" x14ac:dyDescent="0.25">
      <c r="B11" t="s">
        <v>18</v>
      </c>
      <c r="C11" t="s">
        <v>69</v>
      </c>
      <c r="D11" t="s">
        <v>70</v>
      </c>
      <c r="E11" t="s">
        <v>71</v>
      </c>
      <c r="F11" s="7">
        <v>1</v>
      </c>
      <c r="G11" s="7">
        <v>695</v>
      </c>
      <c r="H11" s="7">
        <v>25</v>
      </c>
      <c r="I11" s="7">
        <f>G11-H11</f>
        <v>670</v>
      </c>
      <c r="J11" t="s">
        <v>29</v>
      </c>
      <c r="K11" t="s">
        <v>21</v>
      </c>
      <c r="L11" t="s">
        <v>22</v>
      </c>
      <c r="Q11" s="7">
        <v>1</v>
      </c>
    </row>
    <row r="12" spans="1:17" x14ac:dyDescent="0.25">
      <c r="A12" t="s">
        <v>17</v>
      </c>
      <c r="B12" t="s">
        <v>18</v>
      </c>
      <c r="C12" t="s">
        <v>19</v>
      </c>
      <c r="E12" t="s">
        <v>20</v>
      </c>
      <c r="F12" s="7">
        <v>12</v>
      </c>
      <c r="G12" s="7">
        <v>45</v>
      </c>
      <c r="H12" s="7">
        <v>45</v>
      </c>
      <c r="I12" s="7">
        <f>G12-H12</f>
        <v>0</v>
      </c>
      <c r="J12" t="s">
        <v>21</v>
      </c>
      <c r="K12" t="s">
        <v>21</v>
      </c>
      <c r="L12" t="s">
        <v>22</v>
      </c>
      <c r="Q12" s="7">
        <v>1</v>
      </c>
    </row>
    <row r="13" spans="1:17" x14ac:dyDescent="0.25">
      <c r="A13" t="s">
        <v>17</v>
      </c>
      <c r="B13" t="s">
        <v>18</v>
      </c>
      <c r="C13" t="s">
        <v>23</v>
      </c>
      <c r="E13" t="s">
        <v>24</v>
      </c>
      <c r="F13" s="7">
        <v>12</v>
      </c>
      <c r="G13" s="7">
        <v>40</v>
      </c>
      <c r="H13" s="7">
        <v>40</v>
      </c>
      <c r="I13" s="7">
        <f>G13-H13</f>
        <v>0</v>
      </c>
      <c r="J13" t="s">
        <v>21</v>
      </c>
      <c r="K13" t="s">
        <v>21</v>
      </c>
      <c r="L13" t="s">
        <v>22</v>
      </c>
      <c r="Q13" s="7">
        <v>1</v>
      </c>
    </row>
    <row r="14" spans="1:17" x14ac:dyDescent="0.25">
      <c r="B14" t="s">
        <v>18</v>
      </c>
      <c r="C14" t="s">
        <v>34</v>
      </c>
      <c r="D14" t="s">
        <v>35</v>
      </c>
      <c r="E14" t="s">
        <v>36</v>
      </c>
      <c r="F14" s="7">
        <v>2</v>
      </c>
      <c r="G14" s="7">
        <v>750</v>
      </c>
      <c r="H14" s="7">
        <v>30</v>
      </c>
      <c r="I14" s="7">
        <f>G14-H14</f>
        <v>720</v>
      </c>
      <c r="J14" t="s">
        <v>21</v>
      </c>
      <c r="K14" t="s">
        <v>21</v>
      </c>
      <c r="L14" t="s">
        <v>22</v>
      </c>
      <c r="Q14" s="7">
        <v>1</v>
      </c>
    </row>
    <row r="15" spans="1:17" x14ac:dyDescent="0.25">
      <c r="B15" t="s">
        <v>18</v>
      </c>
      <c r="C15" t="s">
        <v>37</v>
      </c>
      <c r="D15" t="s">
        <v>38</v>
      </c>
      <c r="E15" t="s">
        <v>39</v>
      </c>
      <c r="F15" t="s">
        <v>40</v>
      </c>
      <c r="G15" s="7">
        <v>0</v>
      </c>
      <c r="H15" s="7">
        <v>30</v>
      </c>
      <c r="I15" s="7">
        <f>-H15</f>
        <v>-30</v>
      </c>
      <c r="J15" t="s">
        <v>21</v>
      </c>
      <c r="K15" t="s">
        <v>21</v>
      </c>
      <c r="L15" t="s">
        <v>22</v>
      </c>
      <c r="Q15" s="7">
        <v>1</v>
      </c>
    </row>
    <row r="16" spans="1:17" x14ac:dyDescent="0.25">
      <c r="B16" t="s">
        <v>18</v>
      </c>
      <c r="C16" t="s">
        <v>47</v>
      </c>
      <c r="D16" t="s">
        <v>48</v>
      </c>
      <c r="E16" t="s">
        <v>49</v>
      </c>
      <c r="F16" t="s">
        <v>40</v>
      </c>
      <c r="G16" s="7">
        <v>950</v>
      </c>
      <c r="H16" s="7">
        <v>30</v>
      </c>
      <c r="I16" s="7">
        <f>G16-H16</f>
        <v>920</v>
      </c>
      <c r="J16" t="s">
        <v>21</v>
      </c>
      <c r="K16" t="s">
        <v>21</v>
      </c>
      <c r="L16" t="s">
        <v>22</v>
      </c>
      <c r="Q16" s="7">
        <v>1</v>
      </c>
    </row>
    <row r="17" spans="1:17" x14ac:dyDescent="0.25">
      <c r="B17" t="s">
        <v>18</v>
      </c>
      <c r="C17" t="s">
        <v>56</v>
      </c>
      <c r="D17" t="s">
        <v>57</v>
      </c>
      <c r="E17" t="s">
        <v>58</v>
      </c>
      <c r="F17" t="s">
        <v>59</v>
      </c>
      <c r="G17" s="7">
        <v>755</v>
      </c>
      <c r="H17" s="7">
        <v>25</v>
      </c>
      <c r="I17" s="7">
        <f>G17-H17</f>
        <v>730</v>
      </c>
      <c r="J17" t="s">
        <v>21</v>
      </c>
      <c r="K17" t="s">
        <v>21</v>
      </c>
      <c r="L17" t="s">
        <v>22</v>
      </c>
      <c r="Q17" s="7">
        <v>1</v>
      </c>
    </row>
    <row r="18" spans="1:17" x14ac:dyDescent="0.25">
      <c r="B18" t="s">
        <v>18</v>
      </c>
      <c r="C18" t="s">
        <v>66</v>
      </c>
      <c r="D18" t="s">
        <v>67</v>
      </c>
      <c r="E18" t="s">
        <v>68</v>
      </c>
      <c r="F18" s="7">
        <v>12</v>
      </c>
      <c r="G18" s="7">
        <v>0</v>
      </c>
      <c r="H18" s="7">
        <v>30</v>
      </c>
      <c r="I18" s="7">
        <f>-H18</f>
        <v>-30</v>
      </c>
      <c r="J18" t="s">
        <v>21</v>
      </c>
      <c r="K18" t="s">
        <v>21</v>
      </c>
      <c r="L18" t="s">
        <v>22</v>
      </c>
      <c r="Q18" s="7">
        <v>1</v>
      </c>
    </row>
    <row r="19" spans="1:17" x14ac:dyDescent="0.25">
      <c r="B19" t="s">
        <v>18</v>
      </c>
      <c r="C19" t="s">
        <v>72</v>
      </c>
      <c r="D19" t="s">
        <v>73</v>
      </c>
      <c r="E19" t="s">
        <v>74</v>
      </c>
      <c r="F19" t="s">
        <v>59</v>
      </c>
      <c r="G19" s="7">
        <v>0</v>
      </c>
      <c r="H19" s="7">
        <v>25</v>
      </c>
      <c r="I19" s="7">
        <f>-H19</f>
        <v>-25</v>
      </c>
      <c r="J19" t="s">
        <v>21</v>
      </c>
      <c r="K19" t="s">
        <v>21</v>
      </c>
      <c r="L19" t="s">
        <v>22</v>
      </c>
      <c r="Q19" s="7">
        <v>1</v>
      </c>
    </row>
    <row r="21" spans="1:17" x14ac:dyDescent="0.25">
      <c r="D21" s="8">
        <f>COUNTA(D3:D19)</f>
        <v>15</v>
      </c>
      <c r="G21" s="8">
        <f t="shared" ref="G21:Q21" si="0">SUBTOTAL(9,G3:G19)</f>
        <v>7835</v>
      </c>
      <c r="H21" s="8">
        <f t="shared" si="0"/>
        <v>545</v>
      </c>
      <c r="I21" s="8">
        <f t="shared" si="0"/>
        <v>7290</v>
      </c>
      <c r="J21" s="8">
        <f t="shared" si="0"/>
        <v>0</v>
      </c>
      <c r="K21" s="8">
        <f t="shared" si="0"/>
        <v>0</v>
      </c>
      <c r="L21" s="8">
        <f t="shared" si="0"/>
        <v>0</v>
      </c>
      <c r="M21" s="8">
        <f t="shared" si="0"/>
        <v>0</v>
      </c>
      <c r="N21" s="8">
        <f t="shared" si="0"/>
        <v>0</v>
      </c>
      <c r="O21" s="8">
        <f t="shared" si="0"/>
        <v>0</v>
      </c>
      <c r="P21" s="8">
        <f t="shared" si="0"/>
        <v>0</v>
      </c>
      <c r="Q21" s="8">
        <f t="shared" si="0"/>
        <v>17</v>
      </c>
    </row>
    <row r="22" spans="1:17" x14ac:dyDescent="0.25">
      <c r="H22">
        <f>-6*17</f>
        <v>-102</v>
      </c>
    </row>
    <row r="23" spans="1:17" x14ac:dyDescent="0.25">
      <c r="A23" s="8" t="s">
        <v>18</v>
      </c>
      <c r="C23" s="5" t="s">
        <v>75</v>
      </c>
      <c r="D23" s="5"/>
      <c r="E23" s="9" t="s">
        <v>76</v>
      </c>
      <c r="H23">
        <f>-2*25</f>
        <v>-50</v>
      </c>
      <c r="K23" s="10" t="s">
        <v>21</v>
      </c>
      <c r="L23" s="10" t="s">
        <v>77</v>
      </c>
      <c r="M23" s="10" t="s">
        <v>76</v>
      </c>
      <c r="O23" s="9" t="s">
        <v>78</v>
      </c>
    </row>
    <row r="24" spans="1:17" x14ac:dyDescent="0.25">
      <c r="A24" t="s">
        <v>22</v>
      </c>
      <c r="B24" s="11" t="s">
        <v>79</v>
      </c>
      <c r="C24" s="4">
        <f>SUMIFS(I$3:I$19,B$3:B$19,A$23,L$3:L$19,A$24)</f>
        <v>7290</v>
      </c>
      <c r="D24" s="4"/>
      <c r="E24" s="11">
        <f>SUMIFS(Q$3:Q$19,B$3:B$19,A$23,L$3:L$19,A$24)</f>
        <v>17</v>
      </c>
      <c r="F24" t="s">
        <v>80</v>
      </c>
      <c r="H24">
        <f>-1*30</f>
        <v>-30</v>
      </c>
      <c r="K24" t="s">
        <v>81</v>
      </c>
      <c r="L24">
        <f>SUMIFS(G$3:G$19,J$3:J$19,K$23)</f>
        <v>2540</v>
      </c>
      <c r="M24">
        <f>SUMIFS(Q$3:Q$19,J$3:J$19,K$23)</f>
        <v>8</v>
      </c>
      <c r="O24" t="s">
        <v>21</v>
      </c>
      <c r="P24">
        <f>L29</f>
        <v>2291</v>
      </c>
    </row>
    <row r="25" spans="1:17" x14ac:dyDescent="0.25">
      <c r="B25" s="12" t="s">
        <v>82</v>
      </c>
      <c r="C25" s="3">
        <v>0</v>
      </c>
      <c r="D25" s="3"/>
      <c r="K25" t="s">
        <v>83</v>
      </c>
      <c r="L25">
        <f>-SUMIFS(H$3:H$19,J$3:J$19,K$23)+M25*5</f>
        <v>-215</v>
      </c>
      <c r="M25">
        <f>SUMIFS(Q$3:Q$19,J$3:J$19,K$23)-COUNTIFS(J$3:J$19,K$23,M$3:M$19,"*gộp*")</f>
        <v>8</v>
      </c>
      <c r="O25" t="s">
        <v>84</v>
      </c>
      <c r="P25">
        <f>L37</f>
        <v>5113</v>
      </c>
    </row>
    <row r="26" spans="1:17" x14ac:dyDescent="0.25">
      <c r="B26" s="12" t="s">
        <v>85</v>
      </c>
      <c r="C26" s="3">
        <f>-SUMIFS(I$3:I$19,B$3:B$19,A$23,P$3:P$19,"xx",N$3:N$19,"x")</f>
        <v>0</v>
      </c>
      <c r="D26" s="3"/>
      <c r="E26" s="12">
        <f>SUMIFS(Q$3:Q$19,B$3:B$19,A$23,P$3:P$19,"xx",N$3:N$19,"x")</f>
        <v>0</v>
      </c>
      <c r="K26" t="s">
        <v>86</v>
      </c>
      <c r="L26">
        <f>-M26*2</f>
        <v>-34</v>
      </c>
      <c r="M26">
        <f>Q21-(COUNTIFS(M$3:M$19,"*gộp*")/2)</f>
        <v>17</v>
      </c>
      <c r="O26" t="s">
        <v>87</v>
      </c>
      <c r="P26">
        <f>-C31</f>
        <v>-7290</v>
      </c>
    </row>
    <row r="27" spans="1:17" x14ac:dyDescent="0.25">
      <c r="B27" s="9" t="s">
        <v>88</v>
      </c>
      <c r="C27" s="5">
        <f>SUBTOTAL(9,C24:C26)</f>
        <v>7290</v>
      </c>
      <c r="D27" s="5"/>
      <c r="E27">
        <f>E24</f>
        <v>17</v>
      </c>
      <c r="K27" s="12" t="s">
        <v>89</v>
      </c>
      <c r="O27" s="9" t="s">
        <v>90</v>
      </c>
      <c r="P27" s="9">
        <f>SUBTOTAL(9,P24:P26)</f>
        <v>114</v>
      </c>
    </row>
    <row r="28" spans="1:17" x14ac:dyDescent="0.25">
      <c r="B28" s="12" t="s">
        <v>91</v>
      </c>
      <c r="C28" s="2"/>
      <c r="D28" s="2"/>
      <c r="K28" s="12" t="s">
        <v>92</v>
      </c>
    </row>
    <row r="29" spans="1:17" x14ac:dyDescent="0.25">
      <c r="B29" s="13" t="s">
        <v>93</v>
      </c>
      <c r="C29" s="2"/>
      <c r="D29" s="2"/>
      <c r="L29" s="14">
        <f>SUBTOTAL(9,L24:L28)</f>
        <v>2291</v>
      </c>
      <c r="M29" s="14">
        <f>M24</f>
        <v>8</v>
      </c>
    </row>
    <row r="31" spans="1:17" x14ac:dyDescent="0.25">
      <c r="B31" s="8" t="s">
        <v>94</v>
      </c>
      <c r="C31" s="1">
        <f>C27+C28+C29</f>
        <v>7290</v>
      </c>
      <c r="D31" s="1"/>
      <c r="E31" s="8" t="s">
        <v>95</v>
      </c>
      <c r="K31" s="10" t="s">
        <v>29</v>
      </c>
      <c r="L31" s="10" t="s">
        <v>77</v>
      </c>
      <c r="M31" s="10" t="s">
        <v>76</v>
      </c>
    </row>
    <row r="32" spans="1:17" x14ac:dyDescent="0.25">
      <c r="K32" t="s">
        <v>81</v>
      </c>
      <c r="L32">
        <f>SUMIFS(G$3:G$19,J$3:J$19,K$31)</f>
        <v>5295</v>
      </c>
      <c r="M32">
        <f>SUMIFS(Q$3:Q$19,J$3:J$19,K$31)</f>
        <v>9</v>
      </c>
    </row>
    <row r="33" spans="11:13" x14ac:dyDescent="0.25">
      <c r="K33" t="s">
        <v>83</v>
      </c>
      <c r="L33">
        <f>SUM(H22:H24)</f>
        <v>-182</v>
      </c>
      <c r="M33">
        <f>SUMIFS(Q$3:Q$19,J$3:J$19,K$31)</f>
        <v>9</v>
      </c>
    </row>
    <row r="34" spans="11:13" x14ac:dyDescent="0.25">
      <c r="K34" t="s">
        <v>86</v>
      </c>
    </row>
    <row r="35" spans="11:13" x14ac:dyDescent="0.25">
      <c r="K35" s="12" t="s">
        <v>89</v>
      </c>
    </row>
    <row r="36" spans="11:13" x14ac:dyDescent="0.25">
      <c r="K36" s="12" t="s">
        <v>92</v>
      </c>
    </row>
    <row r="37" spans="11:13" x14ac:dyDescent="0.25">
      <c r="L37" s="14">
        <f>SUBTOTAL(9,L32:L36)</f>
        <v>5113</v>
      </c>
      <c r="M37" s="14">
        <f>M32</f>
        <v>9</v>
      </c>
    </row>
  </sheetData>
  <autoFilter ref="A2:P19" xr:uid="{00000000-0009-0000-0000-000000000000}">
    <sortState xmlns:xlrd2="http://schemas.microsoft.com/office/spreadsheetml/2017/richdata2" ref="A3:P19">
      <sortCondition ref="J2:J19"/>
    </sortState>
  </autoFilter>
  <mergeCells count="8">
    <mergeCell ref="C28:D28"/>
    <mergeCell ref="C29:D29"/>
    <mergeCell ref="C31:D31"/>
    <mergeCell ref="C23:D23"/>
    <mergeCell ref="C24:D24"/>
    <mergeCell ref="C25:D25"/>
    <mergeCell ref="C26:D26"/>
    <mergeCell ref="C27:D27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2026-03-24T10:25:46Z</dcterms:created>
  <dcterms:modified xsi:type="dcterms:W3CDTF">2026-03-24T14:32:12Z</dcterms:modified>
</cp:coreProperties>
</file>