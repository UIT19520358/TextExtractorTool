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extExtractorTool\data\Mar\10-03-2026\"/>
    </mc:Choice>
  </mc:AlternateContent>
  <xr:revisionPtr revIDLastSave="0" documentId="13_ncr:1_{6E11DD10-F7D3-48FD-BB8A-EE5895160C5D}" xr6:coauthVersionLast="45" xr6:coauthVersionMax="47" xr10:uidLastSave="{00000000-0000-0000-0000-000000000000}"/>
  <bookViews>
    <workbookView xWindow="-28920" yWindow="-150" windowWidth="29040" windowHeight="15720" xr2:uid="{71C05EAB-372E-4558-9B67-2A0333D33C4F}"/>
  </bookViews>
  <sheets>
    <sheet name="Sheet1" sheetId="1" r:id="rId1"/>
  </sheets>
  <definedNames>
    <definedName name="_xlnm._FilterDatabase" localSheetId="0" hidden="1">Sheet1!$A$2:$Q$66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" l="1"/>
  <c r="C46" i="1"/>
  <c r="L62" i="1" l="1"/>
  <c r="L67" i="1" s="1"/>
  <c r="E48" i="1"/>
  <c r="E47" i="1"/>
  <c r="M46" i="1"/>
  <c r="M51" i="1" s="1"/>
  <c r="L46" i="1"/>
  <c r="L51" i="1" s="1"/>
  <c r="E46" i="1"/>
  <c r="E49" i="1" s="1"/>
  <c r="Q43" i="1"/>
  <c r="P43" i="1"/>
  <c r="O43" i="1"/>
  <c r="N43" i="1"/>
  <c r="M43" i="1"/>
  <c r="L43" i="1"/>
  <c r="K43" i="1"/>
  <c r="J43" i="1"/>
  <c r="L70" i="1" s="1"/>
  <c r="L75" i="1" s="1"/>
  <c r="H43" i="1"/>
  <c r="G43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M62" i="1" l="1"/>
  <c r="M67" i="1" s="1"/>
  <c r="L54" i="1"/>
  <c r="L59" i="1" s="1"/>
  <c r="M54" i="1"/>
  <c r="M59" i="1" s="1"/>
  <c r="I43" i="1"/>
  <c r="C48" i="1"/>
  <c r="M70" i="1"/>
  <c r="M75" i="1" s="1"/>
  <c r="C49" i="1" l="1"/>
  <c r="C52" i="1" s="1"/>
  <c r="P50" i="1" s="1"/>
  <c r="P51" i="1" s="1"/>
</calcChain>
</file>

<file path=xl/sharedStrings.xml><?xml version="1.0" encoding="utf-8"?>
<sst xmlns="http://schemas.openxmlformats.org/spreadsheetml/2006/main" count="368" uniqueCount="174">
  <si>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</si>
  <si>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</si>
  <si>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</si>
  <si>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</si>
  <si>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</si>
  <si>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</si>
  <si>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</si>
  <si>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</si>
  <si>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</si>
  <si>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</si>
  <si>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</si>
  <si>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</si>
  <si>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</si>
  <si>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</si>
  <si>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</si>
  <si>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go vap</t>
  </si>
  <si>
    <t>luu tra</t>
  </si>
  <si>
    <t>x</t>
  </si>
  <si>
    <t>xx</t>
  </si>
  <si>
    <t>binh thanh</t>
  </si>
  <si>
    <t>đổi hàng</t>
  </si>
  <si>
    <t>thu duc</t>
  </si>
  <si>
    <t>tan binh</t>
  </si>
  <si>
    <t>c.cuong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</si>
  <si>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</si>
  <si>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</si>
  <si>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</si>
  <si>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</si>
  <si>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</si>
  <si>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</si>
  <si>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</si>
  <si>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an tâm</t>
  </si>
  <si>
    <t xml:space="preserve">Trừ Tiền Ship  </t>
  </si>
  <si>
    <t>tiền ship</t>
  </si>
  <si>
    <t>quyền</t>
  </si>
  <si>
    <t>Đơn trả &amp; c.khoản</t>
  </si>
  <si>
    <t>tiền lấy</t>
  </si>
  <si>
    <t>chú cường</t>
  </si>
  <si>
    <t>Tiền Hàng Hcm</t>
  </si>
  <si>
    <t>đơn trả</t>
  </si>
  <si>
    <t>a hiếu</t>
  </si>
  <si>
    <t>đền đơn</t>
  </si>
  <si>
    <t>đơn cũ ck</t>
  </si>
  <si>
    <t>shop</t>
  </si>
  <si>
    <t>nợ cũ</t>
  </si>
  <si>
    <t>tổng</t>
  </si>
  <si>
    <t>THANH TOÁN</t>
  </si>
  <si>
    <t>CK ĐỦ 100%</t>
  </si>
  <si>
    <t>THU 3</t>
  </si>
  <si>
    <t>NGAY 10-3</t>
  </si>
  <si>
    <t>ĐỊA CHỈ</t>
  </si>
  <si>
    <t>Column1</t>
  </si>
  <si>
    <t>ĐOÀN NGÂN CHÂU</t>
  </si>
  <si>
    <t>Thy Linh Nguyễn</t>
  </si>
  <si>
    <t>HD000056</t>
  </si>
  <si>
    <t>213/15 xóm chiếu phường 15</t>
  </si>
  <si>
    <t>c.hieu</t>
  </si>
  <si>
    <t>10-03-2026</t>
  </si>
  <si>
    <t>Kim Anh Phạm</t>
  </si>
  <si>
    <t>HD000107</t>
  </si>
  <si>
    <t>16 cư xá tình minh, đường dương bá trạc, phường 1</t>
  </si>
  <si>
    <t>AT 10-3</t>
  </si>
  <si>
    <t>Nguyễn Thị Mỹ Phúc</t>
  </si>
  <si>
    <t>HD000123</t>
  </si>
  <si>
    <t>nhaThe Sun Avenue (tòa S5) 28 Mai Chí Thọ, An Phú</t>
  </si>
  <si>
    <t>Bảo Trân</t>
  </si>
  <si>
    <t>HD000133</t>
  </si>
  <si>
    <t>22 Lô A đường số 1, Khu dân cư Phú Mỹ, phường Phú Mỹ</t>
  </si>
  <si>
    <t>Kelly Phan</t>
  </si>
  <si>
    <t>HD000136</t>
  </si>
  <si>
    <t>269/11 Nguyễn Trãi phường Nguyễn Cư Trinh</t>
  </si>
  <si>
    <t>Gia Minh Nguyen</t>
  </si>
  <si>
    <t>HD000142</t>
  </si>
  <si>
    <t>980 võ văn kiệt phường an đông</t>
  </si>
  <si>
    <t>Lộ Thúy Nga</t>
  </si>
  <si>
    <t>HD000143</t>
  </si>
  <si>
    <t>s503 vinhome gradpark đường nguyễn xiển Long thạnh mỹ Quận</t>
  </si>
  <si>
    <t>a.quyen</t>
  </si>
  <si>
    <t>Hồng Hoa</t>
  </si>
  <si>
    <t>HD000146</t>
  </si>
  <si>
    <t>Địa chỉ. chung cư Feliz en vista số 1 lê hiến mai p thạnh mỹ lợi</t>
  </si>
  <si>
    <t>Tố Như</t>
  </si>
  <si>
    <t>HD000148</t>
  </si>
  <si>
    <t>153/12/1 cao thắng, p11</t>
  </si>
  <si>
    <t>Đinh Thiên Kim</t>
  </si>
  <si>
    <t>HD000159</t>
  </si>
  <si>
    <t>55/10 đường 181 phường bình Hưng hòa a</t>
  </si>
  <si>
    <t>binh tan</t>
  </si>
  <si>
    <t>Người nhận: Fb Phương Mai</t>
  </si>
  <si>
    <t>HD000166</t>
  </si>
  <si>
    <t>433/1 /2 Lê Đức Thọ, Phường 17</t>
  </si>
  <si>
    <t>Lâm Thị Oanh Kiều</t>
  </si>
  <si>
    <t>HD000167</t>
  </si>
  <si>
    <t>41 lê đình thụ p tân thành</t>
  </si>
  <si>
    <t>tan phu</t>
  </si>
  <si>
    <t>Thanh Xuân</t>
  </si>
  <si>
    <t>HD000176</t>
  </si>
  <si>
    <t>ba160: tòa Bahamas chung cư Diamond Island, p bình trưng</t>
  </si>
  <si>
    <t>boramey 015738168</t>
  </si>
  <si>
    <t>HD000183</t>
  </si>
  <si>
    <t>nhà xe khải nam 365 hùng vương</t>
  </si>
  <si>
    <t>Lê Ngọc</t>
  </si>
  <si>
    <t>HD000187</t>
  </si>
  <si>
    <t>a36 Cống Quỳnh, P cầu ông lãnh</t>
  </si>
  <si>
    <t>Keo Kimyou / Cambodia number: 093721757</t>
  </si>
  <si>
    <t>HD000189</t>
  </si>
  <si>
    <t>(HLH express): Tổng kho Sài Gòn 9, Lô G2, Đường K1, KCN Cát Lái</t>
  </si>
  <si>
    <t>Thy Hồng</t>
  </si>
  <si>
    <t>HD000199</t>
  </si>
  <si>
    <t>361/23/3 phan huy ích phường 14</t>
  </si>
  <si>
    <t>MC Sanita Mao (MV01908)</t>
  </si>
  <si>
    <t>HD000222</t>
  </si>
  <si>
    <t>315/18/6 Nguyễn Thị Tú</t>
  </si>
  <si>
    <t>Trang Nhung Bui</t>
  </si>
  <si>
    <t>HD000248</t>
  </si>
  <si>
    <t>Toà Golden House - Sur wah Fearl 90 Nguyễn Hữu Cảnh - phường 22</t>
  </si>
  <si>
    <t>Như Ý</t>
  </si>
  <si>
    <t>HD000249</t>
  </si>
  <si>
    <t>chung cư Saigor River side - Số 4 đường đào trí, phường phú thuận</t>
  </si>
  <si>
    <t>Lê Thị Quỳnh Yến</t>
  </si>
  <si>
    <t>HD000266</t>
  </si>
  <si>
    <t>120 đề thám</t>
  </si>
  <si>
    <t>Phổn</t>
  </si>
  <si>
    <t>HD000269</t>
  </si>
  <si>
    <t>Cổng 7 đại học tồn Đức thắng, P. Tân Phong</t>
  </si>
  <si>
    <t>Trức linh</t>
  </si>
  <si>
    <t>HD000277</t>
  </si>
  <si>
    <t>The Pegasuite zonel</t>
  </si>
  <si>
    <t>Nguyễn Hoàng Thanh Trúc</t>
  </si>
  <si>
    <t>HD000307</t>
  </si>
  <si>
    <t>14/31 Hồ Văn Tư kp1 phường Trường Thọ</t>
  </si>
  <si>
    <t>Nguyễn Anh Thư</t>
  </si>
  <si>
    <t>HD000328</t>
  </si>
  <si>
    <t>453/16 đường Tô Ngọc Vân, p Tam Bình</t>
  </si>
  <si>
    <t>Thuy Duong Vo</t>
  </si>
  <si>
    <t>HD000340</t>
  </si>
  <si>
    <t>242 nguyên công tru</t>
  </si>
  <si>
    <t>Ngọc Dung (Wendy NZ) fb Ngọc Thu</t>
  </si>
  <si>
    <t>HD000348</t>
  </si>
  <si>
    <t>652/14 Cộng Hoà, P13</t>
  </si>
  <si>
    <t>Duyên Nguyễn</t>
  </si>
  <si>
    <t>HD000353</t>
  </si>
  <si>
    <t>1244/64/7 Lê Đức Thọ, p13</t>
  </si>
  <si>
    <t>Trang Nguyễn</t>
  </si>
  <si>
    <t>HD136214</t>
  </si>
  <si>
    <t>310 phạm văn chiêu, p9, gvap</t>
  </si>
  <si>
    <t>09-03-2026</t>
  </si>
  <si>
    <t>Phẩm Huỳnh</t>
  </si>
  <si>
    <t>HD136278</t>
  </si>
  <si>
    <t>84 phạm Hồng thái phường bến thành</t>
  </si>
  <si>
    <t>parichat jaiduang</t>
  </si>
  <si>
    <t>HD136313</t>
  </si>
  <si>
    <t>Central 2 Building (C2), Vinhomes Central Park, 208 Nguyen H</t>
  </si>
  <si>
    <t>Lê Thị Mỹ Quyên</t>
  </si>
  <si>
    <t>HD136315</t>
  </si>
  <si>
    <t>Địa chỉ: 334 tô hiến thành p14 Chung cư kingdom block A</t>
  </si>
  <si>
    <t>W3136</t>
  </si>
  <si>
    <t>HD136608</t>
  </si>
  <si>
    <t>375 Tân Thới Hiệp</t>
  </si>
  <si>
    <t>Ánh Phương</t>
  </si>
  <si>
    <t>HD136685</t>
  </si>
  <si>
    <t>747 hoàng hữu nam</t>
  </si>
  <si>
    <t>hàng sỉ</t>
  </si>
  <si>
    <t>NGÂN KIM</t>
  </si>
  <si>
    <t>T8-20 mahattan Vinhomes Grand park</t>
  </si>
  <si>
    <t>NGUYÊN NGUYÊN</t>
  </si>
  <si>
    <t>12 TÔN ĐÀN P13</t>
  </si>
  <si>
    <t>thu ship</t>
  </si>
  <si>
    <t>jenny bouti</t>
  </si>
  <si>
    <t>401 Quang trung</t>
  </si>
  <si>
    <t>thu 2170 + ship 30, shop chịu ship</t>
  </si>
  <si>
    <t>LISA</t>
  </si>
  <si>
    <t>685 tân sơn phường 12</t>
  </si>
  <si>
    <t>10-3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</si>
</sst>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10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</font>
    <font>
      <b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D3D3D3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1" xfId="0" applyFill="1" applyBorder="1"/>
    <xf numFmtId="164" fontId="2" fillId="3" borderId="1" xfId="0" applyNumberFormat="1" applyFont="1" applyFill="1" applyBorder="1" applyAlignment="1">
      <alignment horizontal="right"/>
    </xf>
    <xf numFmtId="164" fontId="3" fillId="0" borderId="0" xfId="0" applyNumberFormat="1" applyFont="1"/>
    <xf numFmtId="0" fontId="3" fillId="0" borderId="0" xfId="0" applyFont="1"/>
    <xf numFmtId="164" fontId="4" fillId="3" borderId="4" xfId="0" applyNumberFormat="1" applyFont="1" applyFill="1" applyBorder="1"/>
    <xf numFmtId="164" fontId="3" fillId="0" borderId="0" xfId="0" quotePrefix="1" applyNumberFormat="1" applyFont="1"/>
    <xf numFmtId="164" fontId="4" fillId="0" borderId="1" xfId="0" applyNumberFormat="1" applyFont="1" applyBorder="1" applyAlignment="1">
      <alignment horizontal="right"/>
    </xf>
    <xf numFmtId="164" fontId="2" fillId="0" borderId="0" xfId="0" applyNumberFormat="1" applyFont="1"/>
    <xf numFmtId="164" fontId="2" fillId="0" borderId="4" xfId="0" applyNumberFormat="1" applyFont="1" applyBorder="1"/>
    <xf numFmtId="164" fontId="2" fillId="0" borderId="4" xfId="0" applyNumberFormat="1" applyFont="1" applyBorder="1" applyAlignment="1">
      <alignment horizontal="right"/>
    </xf>
    <xf numFmtId="164" fontId="3" fillId="0" borderId="1" xfId="0" applyNumberFormat="1" applyFont="1" applyBorder="1"/>
    <xf numFmtId="164" fontId="4" fillId="0" borderId="5" xfId="0" applyNumberFormat="1" applyFont="1" applyBorder="1"/>
    <xf numFmtId="164" fontId="4" fillId="0" borderId="5" xfId="0" applyNumberFormat="1" applyFont="1" applyBorder="1" applyAlignment="1">
      <alignment horizontal="right"/>
    </xf>
    <xf numFmtId="164" fontId="3" fillId="0" borderId="4" xfId="0" applyNumberFormat="1" applyFont="1" applyBorder="1"/>
    <xf numFmtId="164" fontId="6" fillId="0" borderId="4" xfId="0" applyNumberFormat="1" applyFont="1" applyBorder="1" applyAlignment="1">
      <alignment horizontal="right"/>
    </xf>
    <xf numFmtId="164" fontId="7" fillId="0" borderId="4" xfId="0" applyNumberFormat="1" applyFont="1" applyBorder="1"/>
    <xf numFmtId="164" fontId="7" fillId="0" borderId="4" xfId="0" applyNumberFormat="1" applyFont="1" applyBorder="1" applyAlignment="1">
      <alignment horizontal="right"/>
    </xf>
    <xf numFmtId="164" fontId="2" fillId="4" borderId="4" xfId="0" applyNumberFormat="1" applyFont="1" applyFill="1" applyBorder="1"/>
    <xf numFmtId="164" fontId="2" fillId="4" borderId="4" xfId="0" applyNumberFormat="1" applyFont="1" applyFill="1" applyBorder="1" applyAlignment="1">
      <alignment horizontal="right"/>
    </xf>
    <xf numFmtId="164" fontId="5" fillId="0" borderId="4" xfId="0" applyNumberFormat="1" applyFont="1" applyBorder="1"/>
    <xf numFmtId="164" fontId="8" fillId="0" borderId="4" xfId="0" applyNumberFormat="1" applyFont="1" applyBorder="1"/>
    <xf numFmtId="164" fontId="4" fillId="4" borderId="4" xfId="0" applyNumberFormat="1" applyFont="1" applyFill="1" applyBorder="1"/>
    <xf numFmtId="164" fontId="3" fillId="4" borderId="4" xfId="0" applyNumberFormat="1" applyFont="1" applyFill="1" applyBorder="1"/>
    <xf numFmtId="164" fontId="3" fillId="2" borderId="1" xfId="0" applyNumberFormat="1" applyFont="1" applyFill="1" applyBorder="1"/>
    <xf numFmtId="164" fontId="4" fillId="0" borderId="4" xfId="0" applyNumberFormat="1" applyFont="1" applyBorder="1" applyAlignment="1">
      <alignment horizontal="right"/>
    </xf>
    <xf numFmtId="0" fontId="9" fillId="6" borderId="0" xfId="0" applyFont="1" applyFill="1"/>
    <xf numFmtId="49" fontId="0" fillId="0" borderId="0" xfId="0" applyNumberFormat="1" applyAlignment="1">
      <alignment horizontal="left"/>
    </xf>
    <xf numFmtId="3" fontId="0" fillId="0" borderId="0" xfId="0" applyNumberFormat="1"/>
    <xf numFmtId="49" fontId="0" fillId="7" borderId="3" xfId="0" applyNumberFormat="1" applyFill="1" applyBorder="1"/>
    <xf numFmtId="164" fontId="2" fillId="2" borderId="4" xfId="0" applyNumberFormat="1" applyFont="1" applyFill="1" applyBorder="1"/>
    <xf numFmtId="164" fontId="5" fillId="5" borderId="10" xfId="0" applyNumberFormat="1" applyFont="1" applyFill="1" applyBorder="1"/>
    <xf numFmtId="164" fontId="8" fillId="5" borderId="10" xfId="0" applyNumberFormat="1" applyFont="1" applyFill="1" applyBorder="1"/>
    <xf numFmtId="164" fontId="3" fillId="5" borderId="1" xfId="0" applyNumberFormat="1" applyFont="1" applyFill="1" applyBorder="1"/>
    <xf numFmtId="164" fontId="4" fillId="5" borderId="1" xfId="0" applyNumberFormat="1" applyFont="1" applyFill="1" applyBorder="1" applyAlignment="1">
      <alignment horizontal="right"/>
    </xf>
    <xf numFmtId="164" fontId="3" fillId="4" borderId="0" xfId="0" applyNumberFormat="1" applyFont="1" applyFill="1"/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164" fontId="4" fillId="0" borderId="8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04F7-D21B-4533-8AD0-8E4BB48433FE}">
  <dimension ref="A1:Q75"/>
  <sheetViews>
    <sheetView tabSelected="1" topLeftCell="A34" zoomScale="80" zoomScaleNormal="80" workbookViewId="0">
      <selection activeCell="C48" sqref="C48:D48"/>
    </sheetView>
  </sheetViews>
  <sheetFormatPr defaultRowHeight="15"/>
  <cols>
    <col min="1" max="1" width="14.140625" customWidth="1"/>
    <col min="2" max="2" width="21.85546875" customWidth="1"/>
    <col min="3" max="3" width="44.7109375" customWidth="1"/>
    <col min="4" max="4" width="11.7109375" customWidth="1"/>
    <col min="5" max="5" width="69.140625" customWidth="1"/>
    <col min="6" max="6" width="11.28515625" customWidth="1"/>
    <col min="7" max="7" width="11.5703125" customWidth="1"/>
    <col min="8" max="8" width="12.140625" customWidth="1"/>
    <col min="9" max="9" width="13.28515625" customWidth="1"/>
    <col min="10" max="10" width="11.28515625" customWidth="1"/>
    <col min="11" max="11" width="13.140625" customWidth="1"/>
    <col min="12" max="12" width="12.28515625" customWidth="1"/>
    <col min="13" max="13" width="34" customWidth="1"/>
    <col min="14" max="14" width="11.85546875" customWidth="1"/>
    <col min="15" max="15" width="12.85546875" customWidth="1"/>
    <col min="16" max="16" width="8.42578125" bestFit="1" customWidth="1"/>
    <col min="17" max="17" width="9.7109375" customWidth="1"/>
  </cols>
  <sheetData>
    <row r="1" spans="1:17">
      <c r="B1" t="s">
        <v>48</v>
      </c>
      <c r="C1" t="s">
        <v>49</v>
      </c>
    </row>
    <row r="2" spans="1:17">
      <c r="A2" s="28" t="s">
        <v>0</v>
      </c>
      <c r="B2" s="28" t="s">
        <v>1</v>
      </c>
      <c r="C2" s="28" t="s">
        <v>2</v>
      </c>
      <c r="D2" s="28" t="s">
        <v>3</v>
      </c>
      <c r="E2" s="28" t="s">
        <v>50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12</v>
      </c>
      <c r="O2" s="28" t="s">
        <v>13</v>
      </c>
      <c r="P2" s="28" t="s">
        <v>14</v>
      </c>
      <c r="Q2" s="28" t="s">
        <v>51</v>
      </c>
    </row>
    <row r="3" spans="1:17" s="2" customFormat="1">
      <c r="A3"/>
      <c r="B3" t="s">
        <v>52</v>
      </c>
      <c r="C3" t="s">
        <v>53</v>
      </c>
      <c r="D3" t="s">
        <v>54</v>
      </c>
      <c r="E3" t="s">
        <v>55</v>
      </c>
      <c r="F3" s="29">
        <v>4</v>
      </c>
      <c r="G3" s="30">
        <v>895</v>
      </c>
      <c r="H3" s="30">
        <v>25</v>
      </c>
      <c r="I3" s="30">
        <f>G3-H3</f>
        <v>870</v>
      </c>
      <c r="J3" t="s">
        <v>56</v>
      </c>
      <c r="K3" t="s">
        <v>23</v>
      </c>
      <c r="L3" t="s">
        <v>57</v>
      </c>
      <c r="M3"/>
      <c r="N3"/>
      <c r="O3"/>
      <c r="P3"/>
      <c r="Q3">
        <v>1</v>
      </c>
    </row>
    <row r="4" spans="1:17">
      <c r="B4" t="s">
        <v>52</v>
      </c>
      <c r="C4" t="s">
        <v>58</v>
      </c>
      <c r="D4" t="s">
        <v>59</v>
      </c>
      <c r="E4" t="s">
        <v>60</v>
      </c>
      <c r="F4" s="29">
        <v>8</v>
      </c>
      <c r="G4" s="30">
        <v>745</v>
      </c>
      <c r="H4" s="30">
        <v>25</v>
      </c>
      <c r="I4" s="30">
        <f>G4-H4</f>
        <v>720</v>
      </c>
      <c r="J4" t="s">
        <v>61</v>
      </c>
      <c r="K4" t="s">
        <v>23</v>
      </c>
      <c r="L4" t="s">
        <v>57</v>
      </c>
      <c r="Q4">
        <v>1</v>
      </c>
    </row>
    <row r="5" spans="1:17">
      <c r="B5" t="s">
        <v>52</v>
      </c>
      <c r="C5" t="s">
        <v>62</v>
      </c>
      <c r="D5" t="s">
        <v>63</v>
      </c>
      <c r="E5" t="s">
        <v>64</v>
      </c>
      <c r="F5" s="29">
        <v>2</v>
      </c>
      <c r="G5" s="30">
        <v>0</v>
      </c>
      <c r="H5" s="30">
        <v>30</v>
      </c>
      <c r="I5" s="30">
        <f>-H5</f>
        <v>-30</v>
      </c>
      <c r="J5" t="s">
        <v>23</v>
      </c>
      <c r="K5" t="s">
        <v>23</v>
      </c>
      <c r="L5" t="s">
        <v>57</v>
      </c>
      <c r="Q5">
        <v>1</v>
      </c>
    </row>
    <row r="6" spans="1:17">
      <c r="B6" t="s">
        <v>52</v>
      </c>
      <c r="C6" t="s">
        <v>65</v>
      </c>
      <c r="D6" t="s">
        <v>66</v>
      </c>
      <c r="E6" t="s">
        <v>67</v>
      </c>
      <c r="F6" s="29">
        <v>7</v>
      </c>
      <c r="G6" s="30">
        <v>850</v>
      </c>
      <c r="H6" s="30">
        <v>30</v>
      </c>
      <c r="I6" s="30">
        <f>G6-H6</f>
        <v>820</v>
      </c>
      <c r="J6" t="s">
        <v>61</v>
      </c>
      <c r="K6" t="s">
        <v>23</v>
      </c>
      <c r="L6" t="s">
        <v>57</v>
      </c>
      <c r="Q6">
        <v>1</v>
      </c>
    </row>
    <row r="7" spans="1:17">
      <c r="B7" t="s">
        <v>52</v>
      </c>
      <c r="C7" t="s">
        <v>68</v>
      </c>
      <c r="D7" t="s">
        <v>69</v>
      </c>
      <c r="E7" t="s">
        <v>70</v>
      </c>
      <c r="F7" s="29">
        <v>1</v>
      </c>
      <c r="G7" s="30">
        <v>815</v>
      </c>
      <c r="H7" s="30">
        <v>25</v>
      </c>
      <c r="I7" s="30">
        <f>G7-H7</f>
        <v>790</v>
      </c>
      <c r="J7" t="s">
        <v>56</v>
      </c>
      <c r="K7" t="s">
        <v>23</v>
      </c>
      <c r="L7" t="s">
        <v>57</v>
      </c>
      <c r="Q7">
        <v>1</v>
      </c>
    </row>
    <row r="8" spans="1:17">
      <c r="B8" t="s">
        <v>52</v>
      </c>
      <c r="C8" t="s">
        <v>71</v>
      </c>
      <c r="D8" t="s">
        <v>72</v>
      </c>
      <c r="E8" t="s">
        <v>73</v>
      </c>
      <c r="F8" s="29">
        <v>5</v>
      </c>
      <c r="G8" s="30">
        <v>385</v>
      </c>
      <c r="H8" s="30">
        <v>25</v>
      </c>
      <c r="I8" s="30">
        <f>G8-H8</f>
        <v>360</v>
      </c>
      <c r="J8" t="s">
        <v>56</v>
      </c>
      <c r="K8" t="s">
        <v>23</v>
      </c>
      <c r="L8" t="s">
        <v>57</v>
      </c>
      <c r="Q8">
        <v>1</v>
      </c>
    </row>
    <row r="9" spans="1:17">
      <c r="B9" t="s">
        <v>52</v>
      </c>
      <c r="C9" t="s">
        <v>74</v>
      </c>
      <c r="D9" t="s">
        <v>75</v>
      </c>
      <c r="E9" t="s">
        <v>76</v>
      </c>
      <c r="F9" s="29">
        <v>9</v>
      </c>
      <c r="G9" s="30">
        <v>390</v>
      </c>
      <c r="H9" s="30">
        <v>30</v>
      </c>
      <c r="I9" s="30">
        <f>G9-H9</f>
        <v>360</v>
      </c>
      <c r="J9" t="s">
        <v>77</v>
      </c>
      <c r="K9" t="s">
        <v>23</v>
      </c>
      <c r="L9" t="s">
        <v>57</v>
      </c>
      <c r="Q9">
        <v>1</v>
      </c>
    </row>
    <row r="10" spans="1:17">
      <c r="B10" t="s">
        <v>52</v>
      </c>
      <c r="C10" t="s">
        <v>78</v>
      </c>
      <c r="D10" t="s">
        <v>79</v>
      </c>
      <c r="E10" t="s">
        <v>80</v>
      </c>
      <c r="F10" s="29">
        <v>2</v>
      </c>
      <c r="G10" s="30">
        <v>850</v>
      </c>
      <c r="H10" s="30">
        <v>30</v>
      </c>
      <c r="I10" s="30">
        <f>G10-H10</f>
        <v>820</v>
      </c>
      <c r="J10" t="s">
        <v>23</v>
      </c>
      <c r="K10" t="s">
        <v>23</v>
      </c>
      <c r="L10" t="s">
        <v>57</v>
      </c>
      <c r="Q10">
        <v>1</v>
      </c>
    </row>
    <row r="11" spans="1:17">
      <c r="B11" t="s">
        <v>52</v>
      </c>
      <c r="C11" t="s">
        <v>81</v>
      </c>
      <c r="D11" t="s">
        <v>82</v>
      </c>
      <c r="E11" t="s">
        <v>83</v>
      </c>
      <c r="F11" s="29">
        <v>10</v>
      </c>
      <c r="G11" s="30">
        <v>0</v>
      </c>
      <c r="H11" s="30">
        <v>25</v>
      </c>
      <c r="I11" s="30">
        <f>-H11</f>
        <v>-25</v>
      </c>
      <c r="J11" t="s">
        <v>56</v>
      </c>
      <c r="K11" t="s">
        <v>23</v>
      </c>
      <c r="L11" t="s">
        <v>57</v>
      </c>
      <c r="Q11">
        <v>1</v>
      </c>
    </row>
    <row r="12" spans="1:17">
      <c r="B12" t="s">
        <v>52</v>
      </c>
      <c r="C12" t="s">
        <v>84</v>
      </c>
      <c r="D12" t="s">
        <v>85</v>
      </c>
      <c r="E12" t="s">
        <v>86</v>
      </c>
      <c r="F12" s="29" t="s">
        <v>87</v>
      </c>
      <c r="G12" s="30">
        <v>0</v>
      </c>
      <c r="H12" s="30">
        <v>30</v>
      </c>
      <c r="I12" s="30">
        <f>-H12</f>
        <v>-30</v>
      </c>
      <c r="J12" t="s">
        <v>61</v>
      </c>
      <c r="K12" t="s">
        <v>23</v>
      </c>
      <c r="L12" t="s">
        <v>57</v>
      </c>
      <c r="Q12">
        <v>1</v>
      </c>
    </row>
    <row r="13" spans="1:17">
      <c r="B13" t="s">
        <v>52</v>
      </c>
      <c r="C13" t="s">
        <v>88</v>
      </c>
      <c r="D13" t="s">
        <v>89</v>
      </c>
      <c r="E13" t="s">
        <v>90</v>
      </c>
      <c r="F13" s="29" t="s">
        <v>15</v>
      </c>
      <c r="G13" s="30">
        <v>1105</v>
      </c>
      <c r="H13" s="30">
        <v>25</v>
      </c>
      <c r="I13" s="30">
        <f>G13-H13</f>
        <v>1080</v>
      </c>
      <c r="J13" t="s">
        <v>23</v>
      </c>
      <c r="K13" t="s">
        <v>23</v>
      </c>
      <c r="L13" t="s">
        <v>57</v>
      </c>
      <c r="Q13">
        <v>1</v>
      </c>
    </row>
    <row r="14" spans="1:17">
      <c r="B14" t="s">
        <v>52</v>
      </c>
      <c r="C14" t="s">
        <v>91</v>
      </c>
      <c r="D14" t="s">
        <v>92</v>
      </c>
      <c r="E14" t="s">
        <v>93</v>
      </c>
      <c r="F14" s="29" t="s">
        <v>94</v>
      </c>
      <c r="G14" s="30">
        <v>835</v>
      </c>
      <c r="H14" s="30">
        <v>25</v>
      </c>
      <c r="I14" s="30">
        <f>G14-H14</f>
        <v>810</v>
      </c>
      <c r="J14" t="s">
        <v>61</v>
      </c>
      <c r="K14" t="s">
        <v>23</v>
      </c>
      <c r="L14" t="s">
        <v>57</v>
      </c>
      <c r="Q14">
        <v>1</v>
      </c>
    </row>
    <row r="15" spans="1:17">
      <c r="B15" t="s">
        <v>52</v>
      </c>
      <c r="C15" t="s">
        <v>95</v>
      </c>
      <c r="D15" t="s">
        <v>96</v>
      </c>
      <c r="E15" t="s">
        <v>97</v>
      </c>
      <c r="F15" s="29">
        <v>2</v>
      </c>
      <c r="G15" s="30">
        <v>820</v>
      </c>
      <c r="H15" s="30">
        <v>30</v>
      </c>
      <c r="I15" s="30">
        <f>G15-H15</f>
        <v>790</v>
      </c>
      <c r="J15" t="s">
        <v>23</v>
      </c>
      <c r="K15" t="s">
        <v>23</v>
      </c>
      <c r="L15" t="s">
        <v>57</v>
      </c>
      <c r="Q15">
        <v>1</v>
      </c>
    </row>
    <row r="16" spans="1:17">
      <c r="B16" t="s">
        <v>52</v>
      </c>
      <c r="C16" t="s">
        <v>98</v>
      </c>
      <c r="D16" t="s">
        <v>99</v>
      </c>
      <c r="E16" t="s">
        <v>100</v>
      </c>
      <c r="F16" s="29">
        <v>5</v>
      </c>
      <c r="G16" s="30">
        <v>0</v>
      </c>
      <c r="H16" s="30">
        <v>25</v>
      </c>
      <c r="I16" s="30">
        <f>-H16</f>
        <v>-25</v>
      </c>
      <c r="J16" t="s">
        <v>56</v>
      </c>
      <c r="K16" t="s">
        <v>23</v>
      </c>
      <c r="L16" t="s">
        <v>57</v>
      </c>
      <c r="Q16">
        <v>1</v>
      </c>
    </row>
    <row r="17" spans="2:17">
      <c r="B17" t="s">
        <v>52</v>
      </c>
      <c r="C17" t="s">
        <v>101</v>
      </c>
      <c r="D17" t="s">
        <v>102</v>
      </c>
      <c r="E17" t="s">
        <v>103</v>
      </c>
      <c r="F17" s="29">
        <v>1</v>
      </c>
      <c r="G17" s="30">
        <v>0</v>
      </c>
      <c r="H17" s="30">
        <v>25</v>
      </c>
      <c r="I17" s="30">
        <f>-H17</f>
        <v>-25</v>
      </c>
      <c r="J17" t="s">
        <v>56</v>
      </c>
      <c r="K17" t="s">
        <v>23</v>
      </c>
      <c r="L17" t="s">
        <v>57</v>
      </c>
      <c r="Q17">
        <v>1</v>
      </c>
    </row>
    <row r="18" spans="2:17">
      <c r="B18" t="s">
        <v>52</v>
      </c>
      <c r="C18" t="s">
        <v>104</v>
      </c>
      <c r="D18" t="s">
        <v>105</v>
      </c>
      <c r="E18" t="s">
        <v>106</v>
      </c>
      <c r="F18" s="29">
        <v>2</v>
      </c>
      <c r="G18" s="30">
        <v>0</v>
      </c>
      <c r="H18" s="30">
        <v>30</v>
      </c>
      <c r="I18" s="30">
        <f>-H18</f>
        <v>-30</v>
      </c>
      <c r="J18" t="s">
        <v>23</v>
      </c>
      <c r="K18" t="s">
        <v>23</v>
      </c>
      <c r="L18" t="s">
        <v>57</v>
      </c>
      <c r="Q18">
        <v>1</v>
      </c>
    </row>
    <row r="19" spans="2:17">
      <c r="B19" t="s">
        <v>52</v>
      </c>
      <c r="C19" t="s">
        <v>107</v>
      </c>
      <c r="D19" t="s">
        <v>108</v>
      </c>
      <c r="E19" t="s">
        <v>109</v>
      </c>
      <c r="F19" s="29" t="s">
        <v>15</v>
      </c>
      <c r="G19" s="30">
        <v>0</v>
      </c>
      <c r="H19" s="30">
        <v>25</v>
      </c>
      <c r="I19" s="30">
        <f>-H19</f>
        <v>-25</v>
      </c>
      <c r="J19" t="s">
        <v>23</v>
      </c>
      <c r="K19" t="s">
        <v>23</v>
      </c>
      <c r="L19" t="s">
        <v>57</v>
      </c>
      <c r="M19" t="s">
        <v>20</v>
      </c>
      <c r="Q19">
        <v>1</v>
      </c>
    </row>
    <row r="20" spans="2:17">
      <c r="B20" t="s">
        <v>52</v>
      </c>
      <c r="C20" t="s">
        <v>110</v>
      </c>
      <c r="D20" t="s">
        <v>111</v>
      </c>
      <c r="E20" t="s">
        <v>112</v>
      </c>
      <c r="F20" s="29" t="s">
        <v>87</v>
      </c>
      <c r="G20" s="30">
        <v>0</v>
      </c>
      <c r="H20" s="30">
        <v>30</v>
      </c>
      <c r="I20" s="30">
        <f>-H20</f>
        <v>-30</v>
      </c>
      <c r="J20" t="s">
        <v>61</v>
      </c>
      <c r="K20" t="s">
        <v>23</v>
      </c>
      <c r="L20" t="s">
        <v>57</v>
      </c>
      <c r="Q20">
        <v>1</v>
      </c>
    </row>
    <row r="21" spans="2:17">
      <c r="B21" t="s">
        <v>52</v>
      </c>
      <c r="C21" t="s">
        <v>113</v>
      </c>
      <c r="D21" t="s">
        <v>114</v>
      </c>
      <c r="E21" t="s">
        <v>115</v>
      </c>
      <c r="F21" s="29" t="s">
        <v>19</v>
      </c>
      <c r="G21" s="30">
        <v>810</v>
      </c>
      <c r="H21" s="30">
        <v>20</v>
      </c>
      <c r="I21" s="30">
        <f t="shared" ref="I21:I31" si="0">G21-H21</f>
        <v>790</v>
      </c>
      <c r="J21" t="s">
        <v>23</v>
      </c>
      <c r="K21" t="s">
        <v>23</v>
      </c>
      <c r="L21" t="s">
        <v>57</v>
      </c>
      <c r="Q21">
        <v>1</v>
      </c>
    </row>
    <row r="22" spans="2:17">
      <c r="B22" t="s">
        <v>52</v>
      </c>
      <c r="C22" t="s">
        <v>116</v>
      </c>
      <c r="D22" t="s">
        <v>117</v>
      </c>
      <c r="E22" t="s">
        <v>118</v>
      </c>
      <c r="F22" s="29">
        <v>7</v>
      </c>
      <c r="G22" s="30">
        <v>470</v>
      </c>
      <c r="H22" s="30">
        <v>30</v>
      </c>
      <c r="I22" s="30">
        <f t="shared" si="0"/>
        <v>440</v>
      </c>
      <c r="J22" t="s">
        <v>61</v>
      </c>
      <c r="K22" t="s">
        <v>23</v>
      </c>
      <c r="L22" t="s">
        <v>57</v>
      </c>
      <c r="Q22">
        <v>1</v>
      </c>
    </row>
    <row r="23" spans="2:17">
      <c r="B23" t="s">
        <v>52</v>
      </c>
      <c r="C23" t="s">
        <v>119</v>
      </c>
      <c r="D23" t="s">
        <v>120</v>
      </c>
      <c r="E23" t="s">
        <v>121</v>
      </c>
      <c r="F23" s="29">
        <v>1</v>
      </c>
      <c r="G23" s="30">
        <v>745</v>
      </c>
      <c r="H23" s="30">
        <v>25</v>
      </c>
      <c r="I23" s="30">
        <f t="shared" si="0"/>
        <v>720</v>
      </c>
      <c r="J23" t="s">
        <v>56</v>
      </c>
      <c r="K23" t="s">
        <v>23</v>
      </c>
      <c r="L23" t="s">
        <v>57</v>
      </c>
      <c r="Q23">
        <v>1</v>
      </c>
    </row>
    <row r="24" spans="2:17">
      <c r="B24" t="s">
        <v>52</v>
      </c>
      <c r="C24" t="s">
        <v>122</v>
      </c>
      <c r="D24" t="s">
        <v>123</v>
      </c>
      <c r="E24" t="s">
        <v>124</v>
      </c>
      <c r="F24" s="29">
        <v>7</v>
      </c>
      <c r="G24" s="30">
        <v>750</v>
      </c>
      <c r="H24" s="30">
        <v>30</v>
      </c>
      <c r="I24" s="30">
        <f t="shared" si="0"/>
        <v>720</v>
      </c>
      <c r="J24" t="s">
        <v>61</v>
      </c>
      <c r="K24" t="s">
        <v>23</v>
      </c>
      <c r="L24" t="s">
        <v>57</v>
      </c>
      <c r="Q24">
        <v>1</v>
      </c>
    </row>
    <row r="25" spans="2:17">
      <c r="B25" t="s">
        <v>52</v>
      </c>
      <c r="C25" t="s">
        <v>125</v>
      </c>
      <c r="D25" t="s">
        <v>126</v>
      </c>
      <c r="E25" t="s">
        <v>127</v>
      </c>
      <c r="F25" s="29">
        <v>8</v>
      </c>
      <c r="G25" s="30">
        <v>1065</v>
      </c>
      <c r="H25" s="30">
        <v>25</v>
      </c>
      <c r="I25" s="30">
        <f t="shared" si="0"/>
        <v>1040</v>
      </c>
      <c r="J25" t="s">
        <v>61</v>
      </c>
      <c r="K25" t="s">
        <v>23</v>
      </c>
      <c r="L25" t="s">
        <v>57</v>
      </c>
      <c r="Q25">
        <v>1</v>
      </c>
    </row>
    <row r="26" spans="2:17">
      <c r="B26" t="s">
        <v>52</v>
      </c>
      <c r="C26" t="s">
        <v>128</v>
      </c>
      <c r="D26" t="s">
        <v>129</v>
      </c>
      <c r="E26" t="s">
        <v>130</v>
      </c>
      <c r="F26" s="29" t="s">
        <v>21</v>
      </c>
      <c r="G26" s="30">
        <v>820</v>
      </c>
      <c r="H26" s="30">
        <v>30</v>
      </c>
      <c r="I26" s="30">
        <f t="shared" si="0"/>
        <v>790</v>
      </c>
      <c r="J26" t="s">
        <v>23</v>
      </c>
      <c r="K26" t="s">
        <v>23</v>
      </c>
      <c r="L26" t="s">
        <v>57</v>
      </c>
      <c r="Q26">
        <v>1</v>
      </c>
    </row>
    <row r="27" spans="2:17">
      <c r="B27" t="s">
        <v>52</v>
      </c>
      <c r="C27" t="s">
        <v>131</v>
      </c>
      <c r="D27" t="s">
        <v>132</v>
      </c>
      <c r="E27" t="s">
        <v>133</v>
      </c>
      <c r="F27" s="29" t="s">
        <v>21</v>
      </c>
      <c r="G27" s="30">
        <v>610</v>
      </c>
      <c r="H27" s="30">
        <v>30</v>
      </c>
      <c r="I27" s="30">
        <f t="shared" si="0"/>
        <v>580</v>
      </c>
      <c r="J27" t="s">
        <v>23</v>
      </c>
      <c r="K27" t="s">
        <v>23</v>
      </c>
      <c r="L27" t="s">
        <v>57</v>
      </c>
      <c r="Q27">
        <v>1</v>
      </c>
    </row>
    <row r="28" spans="2:17">
      <c r="B28" t="s">
        <v>52</v>
      </c>
      <c r="C28" t="s">
        <v>134</v>
      </c>
      <c r="D28" t="s">
        <v>135</v>
      </c>
      <c r="E28" t="s">
        <v>136</v>
      </c>
      <c r="F28" s="29">
        <v>1</v>
      </c>
      <c r="G28" s="30">
        <v>815</v>
      </c>
      <c r="H28" s="30">
        <v>25</v>
      </c>
      <c r="I28" s="30">
        <f t="shared" si="0"/>
        <v>790</v>
      </c>
      <c r="J28" t="s">
        <v>56</v>
      </c>
      <c r="K28" t="s">
        <v>23</v>
      </c>
      <c r="L28" t="s">
        <v>57</v>
      </c>
      <c r="Q28">
        <v>1</v>
      </c>
    </row>
    <row r="29" spans="2:17">
      <c r="B29" t="s">
        <v>52</v>
      </c>
      <c r="C29" t="s">
        <v>137</v>
      </c>
      <c r="D29" t="s">
        <v>138</v>
      </c>
      <c r="E29" t="s">
        <v>139</v>
      </c>
      <c r="F29" s="29" t="s">
        <v>22</v>
      </c>
      <c r="G29" s="30">
        <v>745</v>
      </c>
      <c r="H29" s="30">
        <v>25</v>
      </c>
      <c r="I29" s="30">
        <f t="shared" si="0"/>
        <v>720</v>
      </c>
      <c r="J29" t="s">
        <v>23</v>
      </c>
      <c r="K29" t="s">
        <v>23</v>
      </c>
      <c r="L29" t="s">
        <v>57</v>
      </c>
      <c r="Q29">
        <v>1</v>
      </c>
    </row>
    <row r="30" spans="2:17">
      <c r="B30" t="s">
        <v>52</v>
      </c>
      <c r="C30" t="s">
        <v>140</v>
      </c>
      <c r="D30" t="s">
        <v>141</v>
      </c>
      <c r="E30" t="s">
        <v>142</v>
      </c>
      <c r="F30" s="29" t="s">
        <v>15</v>
      </c>
      <c r="G30" s="30">
        <v>1595</v>
      </c>
      <c r="H30" s="30">
        <v>25</v>
      </c>
      <c r="I30" s="30">
        <f t="shared" si="0"/>
        <v>1570</v>
      </c>
      <c r="J30" t="s">
        <v>23</v>
      </c>
      <c r="K30" t="s">
        <v>23</v>
      </c>
      <c r="L30" t="s">
        <v>57</v>
      </c>
      <c r="Q30">
        <v>1</v>
      </c>
    </row>
    <row r="31" spans="2:17">
      <c r="B31" t="s">
        <v>52</v>
      </c>
      <c r="C31" t="s">
        <v>143</v>
      </c>
      <c r="D31" t="s">
        <v>144</v>
      </c>
      <c r="E31" t="s">
        <v>145</v>
      </c>
      <c r="F31" s="29" t="s">
        <v>15</v>
      </c>
      <c r="G31" s="30">
        <v>845</v>
      </c>
      <c r="H31" s="30">
        <v>25</v>
      </c>
      <c r="I31" s="30">
        <f t="shared" si="0"/>
        <v>820</v>
      </c>
      <c r="J31" t="s">
        <v>16</v>
      </c>
      <c r="K31" t="s">
        <v>23</v>
      </c>
      <c r="L31" t="s">
        <v>146</v>
      </c>
      <c r="M31" t="s">
        <v>39</v>
      </c>
      <c r="N31" t="s">
        <v>17</v>
      </c>
      <c r="P31" t="s">
        <v>18</v>
      </c>
      <c r="Q31">
        <v>1</v>
      </c>
    </row>
    <row r="32" spans="2:17">
      <c r="B32" t="s">
        <v>52</v>
      </c>
      <c r="C32" t="s">
        <v>147</v>
      </c>
      <c r="D32" t="s">
        <v>148</v>
      </c>
      <c r="E32" t="s">
        <v>149</v>
      </c>
      <c r="F32" s="29">
        <v>1</v>
      </c>
      <c r="G32" s="30">
        <v>0</v>
      </c>
      <c r="H32" s="30">
        <v>25</v>
      </c>
      <c r="I32" s="30">
        <f>-H32</f>
        <v>-25</v>
      </c>
      <c r="J32" t="s">
        <v>16</v>
      </c>
      <c r="K32" t="s">
        <v>23</v>
      </c>
      <c r="L32" t="s">
        <v>146</v>
      </c>
      <c r="M32" t="s">
        <v>39</v>
      </c>
      <c r="N32" t="s">
        <v>17</v>
      </c>
      <c r="P32" t="s">
        <v>18</v>
      </c>
      <c r="Q32">
        <v>1</v>
      </c>
    </row>
    <row r="33" spans="1:17">
      <c r="B33" t="s">
        <v>52</v>
      </c>
      <c r="C33" t="s">
        <v>150</v>
      </c>
      <c r="D33" t="s">
        <v>151</v>
      </c>
      <c r="E33" t="s">
        <v>152</v>
      </c>
      <c r="F33" s="29" t="s">
        <v>19</v>
      </c>
      <c r="G33" s="30">
        <v>2600</v>
      </c>
      <c r="H33" s="30">
        <v>25</v>
      </c>
      <c r="I33" s="30">
        <f>G33-H33</f>
        <v>2575</v>
      </c>
      <c r="J33" t="s">
        <v>16</v>
      </c>
      <c r="K33" t="s">
        <v>23</v>
      </c>
      <c r="L33" t="s">
        <v>146</v>
      </c>
      <c r="M33" t="s">
        <v>39</v>
      </c>
      <c r="N33" t="s">
        <v>17</v>
      </c>
      <c r="P33" t="s">
        <v>18</v>
      </c>
      <c r="Q33">
        <v>1</v>
      </c>
    </row>
    <row r="34" spans="1:17">
      <c r="B34" t="s">
        <v>52</v>
      </c>
      <c r="C34" t="s">
        <v>153</v>
      </c>
      <c r="D34" t="s">
        <v>154</v>
      </c>
      <c r="E34" t="s">
        <v>155</v>
      </c>
      <c r="F34" s="29">
        <v>10</v>
      </c>
      <c r="G34" s="30">
        <v>25</v>
      </c>
      <c r="H34" s="30">
        <v>25</v>
      </c>
      <c r="I34" s="30">
        <f>G34-H34</f>
        <v>0</v>
      </c>
      <c r="J34" t="s">
        <v>16</v>
      </c>
      <c r="K34" t="s">
        <v>23</v>
      </c>
      <c r="L34" t="s">
        <v>146</v>
      </c>
      <c r="M34" t="s">
        <v>39</v>
      </c>
      <c r="N34" t="s">
        <v>17</v>
      </c>
      <c r="P34" t="s">
        <v>18</v>
      </c>
      <c r="Q34">
        <v>1</v>
      </c>
    </row>
    <row r="35" spans="1:17">
      <c r="B35" t="s">
        <v>52</v>
      </c>
      <c r="C35" t="s">
        <v>156</v>
      </c>
      <c r="D35" t="s">
        <v>157</v>
      </c>
      <c r="E35" t="s">
        <v>158</v>
      </c>
      <c r="F35" s="29">
        <v>12</v>
      </c>
      <c r="G35" s="30">
        <v>0</v>
      </c>
      <c r="H35" s="30">
        <v>30</v>
      </c>
      <c r="I35" s="30">
        <f>-H35</f>
        <v>-30</v>
      </c>
      <c r="J35" t="s">
        <v>61</v>
      </c>
      <c r="K35" t="s">
        <v>23</v>
      </c>
      <c r="L35" t="s">
        <v>57</v>
      </c>
      <c r="Q35">
        <v>1</v>
      </c>
    </row>
    <row r="36" spans="1:17">
      <c r="B36" t="s">
        <v>52</v>
      </c>
      <c r="C36" t="s">
        <v>159</v>
      </c>
      <c r="D36" t="s">
        <v>160</v>
      </c>
      <c r="E36" t="s">
        <v>161</v>
      </c>
      <c r="F36" s="29">
        <v>9</v>
      </c>
      <c r="G36" s="30">
        <v>850</v>
      </c>
      <c r="H36" s="30">
        <v>30</v>
      </c>
      <c r="I36" s="30">
        <f>G36-H36</f>
        <v>820</v>
      </c>
      <c r="J36" t="s">
        <v>61</v>
      </c>
      <c r="K36" t="s">
        <v>23</v>
      </c>
      <c r="L36" t="s">
        <v>57</v>
      </c>
      <c r="Q36">
        <v>1</v>
      </c>
    </row>
    <row r="37" spans="1:17">
      <c r="A37" t="s">
        <v>162</v>
      </c>
      <c r="B37" t="s">
        <v>52</v>
      </c>
      <c r="C37" t="s">
        <v>163</v>
      </c>
      <c r="E37" t="s">
        <v>164</v>
      </c>
      <c r="F37" s="29">
        <v>9</v>
      </c>
      <c r="G37" s="30">
        <v>1065</v>
      </c>
      <c r="H37" s="30">
        <v>35</v>
      </c>
      <c r="I37" s="30">
        <f>G37-H37</f>
        <v>1030</v>
      </c>
      <c r="J37" t="s">
        <v>77</v>
      </c>
      <c r="K37" t="s">
        <v>23</v>
      </c>
      <c r="L37" t="s">
        <v>57</v>
      </c>
      <c r="Q37">
        <v>1</v>
      </c>
    </row>
    <row r="38" spans="1:17">
      <c r="A38" t="s">
        <v>162</v>
      </c>
      <c r="B38" t="s">
        <v>52</v>
      </c>
      <c r="C38" t="s">
        <v>165</v>
      </c>
      <c r="E38" t="s">
        <v>166</v>
      </c>
      <c r="F38" s="29">
        <v>4</v>
      </c>
      <c r="G38" s="30">
        <v>0</v>
      </c>
      <c r="H38" s="30">
        <v>25</v>
      </c>
      <c r="I38" s="30">
        <f>-H38</f>
        <v>-25</v>
      </c>
      <c r="J38" t="s">
        <v>56</v>
      </c>
      <c r="K38" t="s">
        <v>23</v>
      </c>
      <c r="L38" t="s">
        <v>57</v>
      </c>
      <c r="M38" t="s">
        <v>167</v>
      </c>
      <c r="Q38">
        <v>1</v>
      </c>
    </row>
    <row r="39" spans="1:17">
      <c r="A39" t="s">
        <v>162</v>
      </c>
      <c r="B39" t="s">
        <v>52</v>
      </c>
      <c r="C39" t="s">
        <v>168</v>
      </c>
      <c r="E39" t="s">
        <v>169</v>
      </c>
      <c r="F39" s="29" t="s">
        <v>15</v>
      </c>
      <c r="G39" s="30">
        <v>2170</v>
      </c>
      <c r="H39" s="30">
        <v>30</v>
      </c>
      <c r="I39" s="30">
        <f>G39-H39</f>
        <v>2140</v>
      </c>
      <c r="J39" t="s">
        <v>23</v>
      </c>
      <c r="K39" t="s">
        <v>23</v>
      </c>
      <c r="L39" t="s">
        <v>57</v>
      </c>
      <c r="M39" t="s">
        <v>170</v>
      </c>
      <c r="Q39">
        <v>1</v>
      </c>
    </row>
    <row r="40" spans="1:17">
      <c r="A40" t="s">
        <v>162</v>
      </c>
      <c r="B40" t="s">
        <v>52</v>
      </c>
      <c r="C40" t="s">
        <v>171</v>
      </c>
      <c r="E40" t="s">
        <v>172</v>
      </c>
      <c r="F40" s="29" t="s">
        <v>15</v>
      </c>
      <c r="G40" s="30">
        <v>30</v>
      </c>
      <c r="H40" s="30">
        <v>30</v>
      </c>
      <c r="I40" s="30">
        <f>G40-H40</f>
        <v>0</v>
      </c>
      <c r="J40" t="s">
        <v>23</v>
      </c>
      <c r="K40" t="s">
        <v>23</v>
      </c>
      <c r="L40" t="s">
        <v>57</v>
      </c>
      <c r="M40" t="s">
        <v>167</v>
      </c>
      <c r="Q40">
        <v>1</v>
      </c>
    </row>
    <row r="43" spans="1:17">
      <c r="G43">
        <f t="shared" ref="G43:M43" si="1">SUBTOTAL(9,G3:G40)</f>
        <v>23700</v>
      </c>
      <c r="H43">
        <f t="shared" si="1"/>
        <v>1035</v>
      </c>
      <c r="I43">
        <f t="shared" si="1"/>
        <v>22665</v>
      </c>
      <c r="J43">
        <f t="shared" si="1"/>
        <v>0</v>
      </c>
      <c r="K43">
        <f t="shared" si="1"/>
        <v>0</v>
      </c>
      <c r="L43">
        <f t="shared" si="1"/>
        <v>0</v>
      </c>
      <c r="M43">
        <f t="shared" si="1"/>
        <v>0</v>
      </c>
      <c r="N43">
        <f t="shared" ref="N43:Q43" si="2">SUBTOTAL(9,N3:N40)</f>
        <v>0</v>
      </c>
      <c r="O43">
        <f t="shared" si="2"/>
        <v>0</v>
      </c>
      <c r="P43">
        <f t="shared" si="2"/>
        <v>0</v>
      </c>
      <c r="Q43">
        <f t="shared" si="2"/>
        <v>38</v>
      </c>
    </row>
    <row r="45" spans="1:17">
      <c r="A45" s="1" t="s">
        <v>52</v>
      </c>
      <c r="B45" s="1"/>
      <c r="C45" s="44" t="s">
        <v>24</v>
      </c>
      <c r="D45" s="45"/>
      <c r="E45" s="4" t="s">
        <v>25</v>
      </c>
      <c r="F45" s="5"/>
      <c r="G45" s="5"/>
      <c r="H45" s="6"/>
      <c r="I45" s="5"/>
      <c r="J45" s="5"/>
      <c r="K45" s="1" t="s">
        <v>77</v>
      </c>
      <c r="L45" s="7" t="s">
        <v>26</v>
      </c>
      <c r="M45" s="7" t="s">
        <v>25</v>
      </c>
      <c r="N45" s="5"/>
      <c r="O45" s="5" t="s">
        <v>27</v>
      </c>
      <c r="P45" s="8" t="s">
        <v>173</v>
      </c>
      <c r="Q45" s="5"/>
    </row>
    <row r="46" spans="1:17">
      <c r="A46" s="31" t="s">
        <v>57</v>
      </c>
      <c r="B46" s="1" t="s">
        <v>28</v>
      </c>
      <c r="C46" s="46">
        <f>SUMIFS(G$3:G$75,$B$3:$B$75,$A45,$L$3:$L$75,$A46)</f>
        <v>20230</v>
      </c>
      <c r="D46" s="47"/>
      <c r="E46" s="9">
        <f>SUMIFS(Q$3:Q$75,$B$3:$B$75,$A45,$L$3:$L$75,$A46)</f>
        <v>34</v>
      </c>
      <c r="F46" s="10" t="s">
        <v>29</v>
      </c>
      <c r="G46" s="5"/>
      <c r="H46" s="6"/>
      <c r="I46" s="5"/>
      <c r="J46" s="5"/>
      <c r="K46" s="11" t="s">
        <v>30</v>
      </c>
      <c r="L46" s="12">
        <f>SUMIFS(G$3:G$75,$J$3:$J$75,$K45)</f>
        <v>1455</v>
      </c>
      <c r="M46" s="12">
        <f>SUMIFS(Q3:Q75,J3:J75,K45)</f>
        <v>2</v>
      </c>
      <c r="N46" s="5"/>
      <c r="O46" s="13" t="s">
        <v>31</v>
      </c>
      <c r="P46" s="13">
        <v>11243</v>
      </c>
      <c r="Q46" s="5"/>
    </row>
    <row r="47" spans="1:17">
      <c r="A47" s="5"/>
      <c r="B47" s="14" t="s">
        <v>32</v>
      </c>
      <c r="C47" s="48">
        <f>-SUMIFS(H$3:H$75,$B$3:$B$75,$A45,$L$3:$L$75,$A46)</f>
        <v>-935</v>
      </c>
      <c r="D47" s="49"/>
      <c r="E47" s="15">
        <f>SUMIFS(Q$3:Q$75,$B$3:$B$75,$A45,$L$3:$L$75,$A46)</f>
        <v>34</v>
      </c>
      <c r="F47" s="5"/>
      <c r="G47" s="5"/>
      <c r="H47" s="5"/>
      <c r="I47" s="5"/>
      <c r="J47" s="5"/>
      <c r="K47" s="11" t="s">
        <v>33</v>
      </c>
      <c r="L47" s="12"/>
      <c r="M47" s="16"/>
      <c r="N47" s="5"/>
      <c r="O47" s="13" t="s">
        <v>34</v>
      </c>
      <c r="P47" s="13">
        <v>1345</v>
      </c>
      <c r="Q47" s="5"/>
    </row>
    <row r="48" spans="1:17">
      <c r="A48" s="5"/>
      <c r="B48" s="11" t="s">
        <v>35</v>
      </c>
      <c r="C48" s="50">
        <f>-SUMIFS(I$3:I$70,$B$3:$B$70,$A45,$P$3:$P$70,"xx",$N$3:$N$70,"x")</f>
        <v>-3370</v>
      </c>
      <c r="D48" s="51"/>
      <c r="E48" s="17">
        <f>SUMIFS($Q$3:$Q$79,$B$3:$B$79,$A45,$P$3:$P$79,"xx",$N$3:$N$79,"x")</f>
        <v>4</v>
      </c>
      <c r="F48" s="5"/>
      <c r="G48" s="5"/>
      <c r="H48" s="5"/>
      <c r="I48" s="5"/>
      <c r="J48" s="5"/>
      <c r="K48" s="18" t="s">
        <v>36</v>
      </c>
      <c r="L48" s="19"/>
      <c r="M48" s="16"/>
      <c r="N48" s="5"/>
      <c r="O48" s="13" t="s">
        <v>37</v>
      </c>
      <c r="P48" s="13">
        <v>14282</v>
      </c>
      <c r="Q48" s="5"/>
    </row>
    <row r="49" spans="1:17">
      <c r="A49" s="5"/>
      <c r="B49" s="20" t="s">
        <v>38</v>
      </c>
      <c r="C49" s="52">
        <f>SUBTOTAL(9,C45:C48)</f>
        <v>15925</v>
      </c>
      <c r="D49" s="53"/>
      <c r="E49" s="21">
        <f>E46</f>
        <v>34</v>
      </c>
      <c r="F49" s="5"/>
      <c r="G49" s="5"/>
      <c r="H49" s="5"/>
      <c r="I49" s="5"/>
      <c r="J49" s="5"/>
      <c r="K49" s="22" t="s">
        <v>39</v>
      </c>
      <c r="L49" s="23"/>
      <c r="M49" s="23"/>
      <c r="N49" s="5"/>
      <c r="O49" s="13" t="s">
        <v>40</v>
      </c>
      <c r="P49" s="13">
        <v>6005</v>
      </c>
      <c r="Q49" s="5"/>
    </row>
    <row r="50" spans="1:17">
      <c r="A50" s="5"/>
      <c r="B50" s="32" t="s">
        <v>41</v>
      </c>
      <c r="C50" s="38"/>
      <c r="D50" s="39"/>
      <c r="E50" s="16"/>
      <c r="F50" s="5"/>
      <c r="I50" s="5"/>
      <c r="J50" s="5"/>
      <c r="K50" s="33" t="s">
        <v>42</v>
      </c>
      <c r="L50" s="34"/>
      <c r="M50" s="34"/>
      <c r="N50" s="5"/>
      <c r="O50" s="13" t="s">
        <v>43</v>
      </c>
      <c r="P50" s="13">
        <f>-C52</f>
        <v>-15925</v>
      </c>
      <c r="Q50" s="5"/>
    </row>
    <row r="51" spans="1:17">
      <c r="A51" s="5"/>
      <c r="B51" s="24" t="s">
        <v>44</v>
      </c>
      <c r="C51" s="40"/>
      <c r="D51" s="41"/>
      <c r="E51" s="25"/>
      <c r="F51" s="5"/>
      <c r="I51" s="5"/>
      <c r="J51" s="5"/>
      <c r="K51" s="35"/>
      <c r="L51" s="36">
        <f>SUBTOTAL(9,L46:L50)</f>
        <v>1455</v>
      </c>
      <c r="M51" s="36">
        <f>SUBTOTAL(9,M46:M50)</f>
        <v>2</v>
      </c>
      <c r="O51" s="26" t="s">
        <v>45</v>
      </c>
      <c r="P51" s="3">
        <f>SUBTOTAL(9,P46:P50)</f>
        <v>16950</v>
      </c>
      <c r="Q51" s="5"/>
    </row>
    <row r="52" spans="1:17">
      <c r="A52" s="5"/>
      <c r="B52" s="11" t="s">
        <v>46</v>
      </c>
      <c r="C52" s="42">
        <f>C49+C50+C51</f>
        <v>15925</v>
      </c>
      <c r="D52" s="43"/>
      <c r="E52" s="27" t="s">
        <v>47</v>
      </c>
      <c r="F52" s="5"/>
      <c r="G52" s="5"/>
      <c r="J52" s="5"/>
      <c r="K52" s="5"/>
      <c r="L52" s="37"/>
      <c r="M52" s="37"/>
      <c r="N52" s="37"/>
      <c r="O52" s="5"/>
      <c r="P52" s="5"/>
      <c r="Q52" s="5"/>
    </row>
    <row r="53" spans="1:17">
      <c r="K53" s="1" t="s">
        <v>56</v>
      </c>
      <c r="L53" s="7" t="s">
        <v>26</v>
      </c>
      <c r="M53" s="7" t="s">
        <v>25</v>
      </c>
    </row>
    <row r="54" spans="1:17">
      <c r="K54" s="11" t="s">
        <v>30</v>
      </c>
      <c r="L54" s="12">
        <f>SUMIFS(G$3:G$75,$J$3:$J$75,$K53)</f>
        <v>3655</v>
      </c>
      <c r="M54" s="12">
        <f>SUMIFS(Q3:Q75,J3:J75,K53)</f>
        <v>9</v>
      </c>
    </row>
    <row r="55" spans="1:17">
      <c r="K55" s="11" t="s">
        <v>33</v>
      </c>
      <c r="L55" s="12"/>
      <c r="M55" s="16"/>
    </row>
    <row r="56" spans="1:17">
      <c r="K56" s="18" t="s">
        <v>36</v>
      </c>
      <c r="L56" s="19"/>
      <c r="M56" s="16"/>
    </row>
    <row r="57" spans="1:17">
      <c r="K57" s="22" t="s">
        <v>39</v>
      </c>
      <c r="L57" s="23"/>
      <c r="M57" s="23"/>
    </row>
    <row r="58" spans="1:17">
      <c r="K58" s="33" t="s">
        <v>42</v>
      </c>
      <c r="L58" s="34"/>
      <c r="M58" s="34"/>
    </row>
    <row r="59" spans="1:17">
      <c r="K59" s="35"/>
      <c r="L59" s="36">
        <f>SUBTOTAL(9,L54:L58)</f>
        <v>3655</v>
      </c>
      <c r="M59" s="36">
        <f>SUBTOTAL(9,M54:M58)</f>
        <v>9</v>
      </c>
    </row>
    <row r="61" spans="1:17">
      <c r="K61" s="1" t="s">
        <v>23</v>
      </c>
      <c r="L61" s="7" t="s">
        <v>26</v>
      </c>
      <c r="M61" s="7" t="s">
        <v>25</v>
      </c>
    </row>
    <row r="62" spans="1:17">
      <c r="K62" s="11" t="s">
        <v>30</v>
      </c>
      <c r="L62" s="12">
        <f>SUMIFS(G$3:G$75,$J$3:$J$75,$K61)</f>
        <v>9555</v>
      </c>
      <c r="M62" s="12">
        <f>SUMIFS(Q3:Q75,J3:J75,K61)</f>
        <v>13</v>
      </c>
    </row>
    <row r="63" spans="1:17">
      <c r="K63" s="11" t="s">
        <v>33</v>
      </c>
      <c r="L63" s="12"/>
      <c r="M63" s="16"/>
    </row>
    <row r="64" spans="1:17">
      <c r="K64" s="18" t="s">
        <v>36</v>
      </c>
      <c r="L64" s="19"/>
      <c r="M64" s="16"/>
    </row>
    <row r="65" spans="11:13">
      <c r="K65" s="22" t="s">
        <v>39</v>
      </c>
      <c r="L65" s="23"/>
      <c r="M65" s="23"/>
    </row>
    <row r="66" spans="11:13">
      <c r="K66" s="33" t="s">
        <v>42</v>
      </c>
      <c r="L66" s="34"/>
      <c r="M66" s="34"/>
    </row>
    <row r="67" spans="11:13">
      <c r="K67" s="35"/>
      <c r="L67" s="36">
        <f>SUBTOTAL(9,L62:L66)</f>
        <v>9555</v>
      </c>
      <c r="M67" s="36">
        <f>SUBTOTAL(9,M62:M66)</f>
        <v>13</v>
      </c>
    </row>
    <row r="69" spans="11:13">
      <c r="K69" s="1" t="s">
        <v>61</v>
      </c>
      <c r="L69" s="7" t="s">
        <v>26</v>
      </c>
      <c r="M69" s="7" t="s">
        <v>25</v>
      </c>
    </row>
    <row r="70" spans="11:13">
      <c r="K70" s="11" t="s">
        <v>30</v>
      </c>
      <c r="L70" s="12">
        <f>SUMIFS(G$3:G$75,$J$3:$J$75,$K69)</f>
        <v>5565</v>
      </c>
      <c r="M70" s="12">
        <f>SUMIFS(Q3:Q75,J3:J75,K69)</f>
        <v>10</v>
      </c>
    </row>
    <row r="71" spans="11:13">
      <c r="K71" s="11" t="s">
        <v>33</v>
      </c>
      <c r="L71" s="12"/>
      <c r="M71" s="16"/>
    </row>
    <row r="72" spans="11:13">
      <c r="K72" s="18" t="s">
        <v>36</v>
      </c>
      <c r="L72" s="19"/>
      <c r="M72" s="16"/>
    </row>
    <row r="73" spans="11:13">
      <c r="K73" s="22" t="s">
        <v>39</v>
      </c>
      <c r="L73" s="23"/>
      <c r="M73" s="23"/>
    </row>
    <row r="74" spans="11:13">
      <c r="K74" s="33" t="s">
        <v>42</v>
      </c>
      <c r="L74" s="34"/>
      <c r="M74" s="34"/>
    </row>
    <row r="75" spans="11:13">
      <c r="K75" s="35"/>
      <c r="L75" s="36">
        <f>SUBTOTAL(9,L70:L74)</f>
        <v>5565</v>
      </c>
      <c r="M75" s="36">
        <f>SUBTOTAL(9,M70:M74)</f>
        <v>10</v>
      </c>
    </row>
  </sheetData>
  <autoFilter ref="A2:Q66" xr:uid="{F28604F7-D21B-4533-8AD0-8E4BB48433FE}">
    <sortState xmlns:xlrd2="http://schemas.microsoft.com/office/spreadsheetml/2017/richdata2" ref="A3:Q66">
      <sortCondition ref="D2:D66"/>
    </sortState>
  </autoFilter>
  <mergeCells count="8">
    <mergeCell ref="C50:D50"/>
    <mergeCell ref="C51:D51"/>
    <mergeCell ref="C52:D52"/>
    <mergeCell ref="C45:D45"/>
    <mergeCell ref="C46:D46"/>
    <mergeCell ref="C47:D47"/>
    <mergeCell ref="C48:D48"/>
    <mergeCell ref="C49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BTT-GN</dc:creator>
  <cp:lastModifiedBy>Sei Pham</cp:lastModifiedBy>
  <dcterms:created xsi:type="dcterms:W3CDTF">2026-03-09T05:26:15Z</dcterms:created>
  <dcterms:modified xsi:type="dcterms:W3CDTF">2026-03-10T22:08:55Z</dcterms:modified>
</cp:coreProperties>
</file>