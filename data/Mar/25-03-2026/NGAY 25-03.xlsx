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Work\Freelance\TextInputter\data\Mar\25-03-2026\"/>
    </mc:Choice>
  </mc:AlternateContent>
  <xr:revisionPtr revIDLastSave="0" documentId="13_ncr:1_{5FBE5377-0EEF-41A5-A3FD-BFA6E5AC68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5-03" sheetId="2" r:id="rId1"/>
  </sheets>
  <definedNames>
    <definedName name="_xlnm._FilterDatabase" localSheetId="0" hidden="1">'25-03'!$A$2:$P$19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3" i="2" l="1"/>
  <c r="I7" i="2"/>
  <c r="I8" i="2"/>
  <c r="I3" i="2"/>
  <c r="I4" i="2"/>
  <c r="I14" i="2"/>
  <c r="I9" i="2"/>
  <c r="I15" i="2"/>
  <c r="I10" i="2"/>
  <c r="I11" i="2"/>
  <c r="I5" i="2"/>
  <c r="I16" i="2"/>
  <c r="I17" i="2"/>
  <c r="I18" i="2"/>
  <c r="I21" i="2" s="1"/>
  <c r="I6" i="2"/>
  <c r="I12" i="2"/>
  <c r="I13" i="2"/>
  <c r="I19" i="2"/>
  <c r="D21" i="2"/>
  <c r="G21" i="2"/>
  <c r="H21" i="2"/>
  <c r="J21" i="2"/>
  <c r="K21" i="2"/>
  <c r="L21" i="2"/>
  <c r="M21" i="2"/>
  <c r="N21" i="2"/>
  <c r="O21" i="2"/>
  <c r="P21" i="2"/>
  <c r="Q21" i="2"/>
  <c r="H22" i="2"/>
  <c r="L25" i="2" s="1"/>
  <c r="H23" i="2"/>
  <c r="C24" i="2"/>
  <c r="E24" i="2"/>
  <c r="E27" i="2" s="1"/>
  <c r="L24" i="2"/>
  <c r="L29" i="2" s="1"/>
  <c r="P24" i="2" s="1"/>
  <c r="M24" i="2"/>
  <c r="M29" i="2" s="1"/>
  <c r="M25" i="2"/>
  <c r="C26" i="2"/>
  <c r="E26" i="2"/>
  <c r="L32" i="2"/>
  <c r="M32" i="2"/>
  <c r="M37" i="2" s="1"/>
  <c r="M33" i="2"/>
  <c r="L40" i="2"/>
  <c r="M40" i="2"/>
  <c r="M45" i="2" s="1"/>
  <c r="M41" i="2"/>
  <c r="L41" i="2" s="1"/>
  <c r="M42" i="2"/>
  <c r="L42" i="2" s="1"/>
  <c r="L45" i="2" l="1"/>
  <c r="P26" i="2" s="1"/>
  <c r="C27" i="2"/>
  <c r="C31" i="2" s="1"/>
  <c r="P27" i="2" s="1"/>
  <c r="L37" i="2"/>
  <c r="P25" i="2" s="1"/>
  <c r="P28" i="2" l="1"/>
</calcChain>
</file>

<file path=xl/sharedStrings.xml><?xml version="1.0" encoding="utf-8"?>
<sst xmlns="http://schemas.openxmlformats.org/spreadsheetml/2006/main" count="187" uniqueCount="97">
  <si>
    <t>Tình trạng TT</t>
  </si>
  <si>
    <t>SHOP</t>
  </si>
  <si>
    <t>TÊN KH</t>
  </si>
  <si>
    <t>MÃ</t>
  </si>
  <si>
    <t>ĐỊA CHỈ</t>
  </si>
  <si>
    <t>QUẬN</t>
  </si>
  <si>
    <t>TIỀN THU</t>
  </si>
  <si>
    <t>TIỀN SHIP</t>
  </si>
  <si>
    <t>TIỀN HÀNG</t>
  </si>
  <si>
    <t>NGƯỜI ĐI</t>
  </si>
  <si>
    <t>NGƯỜI LẤY</t>
  </si>
  <si>
    <t>NGÀY LẤY</t>
  </si>
  <si>
    <t>GHI CHÚ</t>
  </si>
  <si>
    <t>ỨNG TIỀN</t>
  </si>
  <si>
    <t>HÀNG TỒN</t>
  </si>
  <si>
    <t>FAIL</t>
  </si>
  <si>
    <t>ĐOÀN NGÂN CHÂU</t>
  </si>
  <si>
    <t>Kim Anh Phan</t>
  </si>
  <si>
    <t>HD004636</t>
  </si>
  <si>
    <t>16 cư xã bình minh, đường dương bá trạc phường 1</t>
  </si>
  <si>
    <t>AT 25-03</t>
  </si>
  <si>
    <t>c.cuong</t>
  </si>
  <si>
    <t>25-03-2026</t>
  </si>
  <si>
    <t>Dung Nguyễn</t>
  </si>
  <si>
    <t>HD004632</t>
  </si>
  <si>
    <t>1123 quốc lộ la, tân tạo, bình tân, tphcm chung cư an gia the star</t>
  </si>
  <si>
    <t>binh tan</t>
  </si>
  <si>
    <t>Công Thanh - fb Bảo Trân</t>
  </si>
  <si>
    <t>HD004634</t>
  </si>
  <si>
    <t>Giao về 63/5 dương đình hội, phước long B</t>
  </si>
  <si>
    <t>a.quyen</t>
  </si>
  <si>
    <t>Khả Hân</t>
  </si>
  <si>
    <t>HD004533</t>
  </si>
  <si>
    <t>chung cư Flora Kikyo Phú Hữu</t>
  </si>
  <si>
    <t>LêNguyễn Hải Đăng</t>
  </si>
  <si>
    <t>HD004339</t>
  </si>
  <si>
    <t>17 Mai Chí Thọ, P An Khánh, chung cư Newcity toà venice 2</t>
  </si>
  <si>
    <t>Nhung Bùi</t>
  </si>
  <si>
    <t>HD004593</t>
  </si>
  <si>
    <t>409/108/32/14c huynh thị hai tân chánh hiệp 12</t>
  </si>
  <si>
    <t>Minh Thư +Esther</t>
  </si>
  <si>
    <t>HD004601</t>
  </si>
  <si>
    <t>36/91 Lê Thị Hồng, phường gò vấp</t>
  </si>
  <si>
    <t>go vap</t>
  </si>
  <si>
    <t>Thúy Duy</t>
  </si>
  <si>
    <t>HD004301</t>
  </si>
  <si>
    <t>539/22 Hương lộ 3 phường bình hưn hòa</t>
  </si>
  <si>
    <t>Phương Đoan</t>
  </si>
  <si>
    <t>HD004490</t>
  </si>
  <si>
    <t>số 17 đường số 13 bình hưng hòa</t>
  </si>
  <si>
    <t>TRÂM ANH</t>
  </si>
  <si>
    <t>HD004402</t>
  </si>
  <si>
    <t>Địa chỉ: B2/1 đường 385 Tăng Nhơn Phú A</t>
  </si>
  <si>
    <t>Huỳnh Thư Lê</t>
  </si>
  <si>
    <t>HD004603</t>
  </si>
  <si>
    <t>91/38 đường 8, linh trung</t>
  </si>
  <si>
    <t>thu duc</t>
  </si>
  <si>
    <t>TRẦN TRỌNG NGHĨA - Nhím Biển</t>
  </si>
  <si>
    <t>HD004519</t>
  </si>
  <si>
    <t>Công Ty TNHH Thương Mại Và Dịch Vụ Vận Tải EXIMLOG 6 đường số 4, khu phố 4, phường Hiệp Bình Chánh</t>
  </si>
  <si>
    <t>Sumin Nguyen</t>
  </si>
  <si>
    <t>HD004524</t>
  </si>
  <si>
    <t>chung cư sài gòn avenue phường tam bình</t>
  </si>
  <si>
    <t>Chị Diễm</t>
  </si>
  <si>
    <t>HD004592</t>
  </si>
  <si>
    <t>Số 62 đường d2 kdc dassia khang điền, phú hữu</t>
  </si>
  <si>
    <t>Lê Thị Hoài Phương</t>
  </si>
  <si>
    <t>HD004548</t>
  </si>
  <si>
    <t>572/19/18 Âu cơ, Phường bảy hiền</t>
  </si>
  <si>
    <t>tan binh</t>
  </si>
  <si>
    <t>Trang Do</t>
  </si>
  <si>
    <t>HD004618</t>
  </si>
  <si>
    <t>79/25 phú định p16</t>
  </si>
  <si>
    <t>Hằng Minh</t>
  </si>
  <si>
    <t>HD004528</t>
  </si>
  <si>
    <t>83/20/11 Phạm Văn Bạch, phường 15</t>
  </si>
  <si>
    <t>Tiền</t>
  </si>
  <si>
    <t>Số đơn</t>
  </si>
  <si>
    <t>Tiền Thu</t>
  </si>
  <si>
    <t>lợi nhuận</t>
  </si>
  <si>
    <t>cod</t>
  </si>
  <si>
    <t>Sài Gòn</t>
  </si>
  <si>
    <t>TỔNG ĐƠN NHẬN</t>
  </si>
  <si>
    <t>at 25-03</t>
  </si>
  <si>
    <t>Trừ Ship</t>
  </si>
  <si>
    <t>tiền ship</t>
  </si>
  <si>
    <t>Đơn trả &amp; c.khoản</t>
  </si>
  <si>
    <t>tiền lấy</t>
  </si>
  <si>
    <t>Tiền Hàng Hcm</t>
  </si>
  <si>
    <t>đơn trả</t>
  </si>
  <si>
    <t>shop</t>
  </si>
  <si>
    <t>đền đơn</t>
  </si>
  <si>
    <t>đơn cũ ck</t>
  </si>
  <si>
    <t>tổng</t>
  </si>
  <si>
    <t>nợ cũ</t>
  </si>
  <si>
    <t>THANH TOÁN</t>
  </si>
  <si>
    <t>CK Đủ 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</si>
</sst>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E0"/>
      </patternFill>
    </fill>
    <fill>
      <patternFill patternType="solid">
        <fgColor rgb="FFB0C4DE"/>
      </patternFill>
    </fill>
    <fill>
      <patternFill patternType="solid">
        <fgColor rgb="FFFFC87C"/>
      </patternFill>
    </fill>
    <fill>
      <patternFill patternType="solid">
        <fgColor rgb="FFADD8E6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5">
    <xf numFmtId="0" fontId="0" fillId="0" borderId="0" xfId="0"/>
    <xf numFmtId="0" fontId="1" fillId="3" borderId="0" xfId="0" applyFont="1" applyFill="1"/>
    <xf numFmtId="0" fontId="2" fillId="0" borderId="0" xfId="0" applyFont="1"/>
    <xf numFmtId="0" fontId="0" fillId="3" borderId="0" xfId="0" applyFill="1"/>
    <xf numFmtId="0" fontId="1" fillId="0" borderId="0" xfId="0" applyFont="1"/>
    <xf numFmtId="0" fontId="1" fillId="2" borderId="0" xfId="0" applyFont="1" applyFill="1"/>
    <xf numFmtId="3" fontId="0" fillId="0" borderId="0" xfId="0" applyNumberFormat="1"/>
    <xf numFmtId="0" fontId="1" fillId="4" borderId="0" xfId="0" applyFont="1" applyFill="1"/>
    <xf numFmtId="0" fontId="0" fillId="5" borderId="0" xfId="0" applyFill="1"/>
    <xf numFmtId="0" fontId="1" fillId="6" borderId="0" xfId="0" applyFont="1" applyFill="1"/>
    <xf numFmtId="0" fontId="0" fillId="0" borderId="0" xfId="0"/>
    <xf numFmtId="0" fontId="1" fillId="3" borderId="0" xfId="0" applyFont="1" applyFill="1"/>
    <xf numFmtId="0" fontId="1" fillId="0" borderId="0" xfId="0" applyFont="1"/>
    <xf numFmtId="0" fontId="0" fillId="3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45"/>
  <sheetViews>
    <sheetView tabSelected="1" topLeftCell="A8" zoomScale="89" workbookViewId="0">
      <selection activeCell="I37" sqref="I37"/>
    </sheetView>
  </sheetViews>
  <sheetFormatPr defaultRowHeight="15" x14ac:dyDescent="0.25"/>
  <cols>
    <col min="1" max="1" width="12.7109375" customWidth="1"/>
    <col min="2" max="2" width="17.7109375" customWidth="1"/>
    <col min="3" max="3" width="29.7109375" customWidth="1"/>
    <col min="4" max="4" width="9.85546875" customWidth="1"/>
    <col min="5" max="5" width="97.140625" customWidth="1"/>
    <col min="6" max="6" width="8.4257812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8.5703125" customWidth="1"/>
    <col min="14" max="14" width="9.7109375" customWidth="1"/>
    <col min="15" max="15" width="10.42578125" customWidth="1"/>
    <col min="16" max="16" width="7.42578125" bestFit="1" customWidth="1"/>
  </cols>
  <sheetData>
    <row r="2" spans="1:17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5" t="s">
        <v>15</v>
      </c>
    </row>
    <row r="3" spans="1:17" x14ac:dyDescent="0.25">
      <c r="B3" t="s">
        <v>16</v>
      </c>
      <c r="C3" t="s">
        <v>27</v>
      </c>
      <c r="D3" t="s">
        <v>28</v>
      </c>
      <c r="E3" t="s">
        <v>29</v>
      </c>
      <c r="F3" s="6">
        <v>9</v>
      </c>
      <c r="G3" s="6">
        <v>0</v>
      </c>
      <c r="H3" s="6">
        <v>30</v>
      </c>
      <c r="I3" s="6">
        <f>-H3</f>
        <v>-30</v>
      </c>
      <c r="J3" t="s">
        <v>30</v>
      </c>
      <c r="K3" t="s">
        <v>21</v>
      </c>
      <c r="L3" t="s">
        <v>22</v>
      </c>
      <c r="Q3">
        <v>1</v>
      </c>
    </row>
    <row r="4" spans="1:17" x14ac:dyDescent="0.25">
      <c r="B4" t="s">
        <v>16</v>
      </c>
      <c r="C4" t="s">
        <v>31</v>
      </c>
      <c r="D4" t="s">
        <v>32</v>
      </c>
      <c r="E4" t="s">
        <v>33</v>
      </c>
      <c r="F4" s="6">
        <v>9</v>
      </c>
      <c r="G4" s="6">
        <v>790</v>
      </c>
      <c r="H4" s="6">
        <v>30</v>
      </c>
      <c r="I4" s="6">
        <f>G4-H4</f>
        <v>760</v>
      </c>
      <c r="J4" t="s">
        <v>30</v>
      </c>
      <c r="K4" t="s">
        <v>21</v>
      </c>
      <c r="L4" t="s">
        <v>22</v>
      </c>
      <c r="Q4">
        <v>1</v>
      </c>
    </row>
    <row r="5" spans="1:17" x14ac:dyDescent="0.25">
      <c r="B5" t="s">
        <v>16</v>
      </c>
      <c r="C5" t="s">
        <v>50</v>
      </c>
      <c r="D5" t="s">
        <v>51</v>
      </c>
      <c r="E5" t="s">
        <v>52</v>
      </c>
      <c r="F5" s="6">
        <v>9</v>
      </c>
      <c r="G5" s="6">
        <v>0</v>
      </c>
      <c r="H5" s="6">
        <v>30</v>
      </c>
      <c r="I5" s="6">
        <f>-H5</f>
        <v>-30</v>
      </c>
      <c r="J5" t="s">
        <v>30</v>
      </c>
      <c r="K5" t="s">
        <v>21</v>
      </c>
      <c r="L5" t="s">
        <v>22</v>
      </c>
      <c r="Q5">
        <v>1</v>
      </c>
    </row>
    <row r="6" spans="1:17" x14ac:dyDescent="0.25">
      <c r="B6" t="s">
        <v>16</v>
      </c>
      <c r="C6" t="s">
        <v>63</v>
      </c>
      <c r="D6" t="s">
        <v>64</v>
      </c>
      <c r="E6" t="s">
        <v>65</v>
      </c>
      <c r="F6" s="6">
        <v>9</v>
      </c>
      <c r="G6" s="6">
        <v>980</v>
      </c>
      <c r="H6" s="6">
        <v>30</v>
      </c>
      <c r="I6" s="6">
        <f t="shared" ref="I6:I12" si="0">G6-H6</f>
        <v>950</v>
      </c>
      <c r="J6" t="s">
        <v>30</v>
      </c>
      <c r="K6" t="s">
        <v>21</v>
      </c>
      <c r="L6" t="s">
        <v>22</v>
      </c>
      <c r="Q6">
        <v>1</v>
      </c>
    </row>
    <row r="7" spans="1:17" x14ac:dyDescent="0.25">
      <c r="B7" t="s">
        <v>16</v>
      </c>
      <c r="C7" t="s">
        <v>17</v>
      </c>
      <c r="D7" t="s">
        <v>18</v>
      </c>
      <c r="E7" t="s">
        <v>19</v>
      </c>
      <c r="F7" s="6">
        <v>8</v>
      </c>
      <c r="G7" s="6">
        <v>745</v>
      </c>
      <c r="H7" s="6">
        <v>25</v>
      </c>
      <c r="I7" s="6">
        <f t="shared" si="0"/>
        <v>720</v>
      </c>
      <c r="J7" t="s">
        <v>20</v>
      </c>
      <c r="K7" t="s">
        <v>21</v>
      </c>
      <c r="L7" t="s">
        <v>22</v>
      </c>
      <c r="Q7">
        <v>1</v>
      </c>
    </row>
    <row r="8" spans="1:17" x14ac:dyDescent="0.25">
      <c r="B8" t="s">
        <v>16</v>
      </c>
      <c r="C8" t="s">
        <v>23</v>
      </c>
      <c r="D8" t="s">
        <v>24</v>
      </c>
      <c r="E8" t="s">
        <v>25</v>
      </c>
      <c r="F8" t="s">
        <v>26</v>
      </c>
      <c r="G8" s="6">
        <v>510</v>
      </c>
      <c r="H8" s="6">
        <v>30</v>
      </c>
      <c r="I8" s="6">
        <f t="shared" si="0"/>
        <v>480</v>
      </c>
      <c r="J8" t="s">
        <v>20</v>
      </c>
      <c r="K8" t="s">
        <v>21</v>
      </c>
      <c r="L8" t="s">
        <v>22</v>
      </c>
      <c r="Q8">
        <v>1</v>
      </c>
    </row>
    <row r="9" spans="1:17" x14ac:dyDescent="0.25">
      <c r="B9" t="s">
        <v>16</v>
      </c>
      <c r="C9" t="s">
        <v>37</v>
      </c>
      <c r="D9" t="s">
        <v>38</v>
      </c>
      <c r="E9" t="s">
        <v>39</v>
      </c>
      <c r="F9" s="6">
        <v>12</v>
      </c>
      <c r="G9" s="6">
        <v>760</v>
      </c>
      <c r="H9" s="6">
        <v>30</v>
      </c>
      <c r="I9" s="6">
        <f t="shared" si="0"/>
        <v>730</v>
      </c>
      <c r="J9" t="s">
        <v>20</v>
      </c>
      <c r="K9" t="s">
        <v>21</v>
      </c>
      <c r="L9" t="s">
        <v>22</v>
      </c>
      <c r="Q9">
        <v>1</v>
      </c>
    </row>
    <row r="10" spans="1:17" x14ac:dyDescent="0.25">
      <c r="B10" t="s">
        <v>16</v>
      </c>
      <c r="C10" t="s">
        <v>44</v>
      </c>
      <c r="D10" t="s">
        <v>45</v>
      </c>
      <c r="E10" t="s">
        <v>46</v>
      </c>
      <c r="F10" t="s">
        <v>26</v>
      </c>
      <c r="G10" s="6">
        <v>1530</v>
      </c>
      <c r="H10" s="6">
        <v>30</v>
      </c>
      <c r="I10" s="6">
        <f t="shared" si="0"/>
        <v>1500</v>
      </c>
      <c r="J10" t="s">
        <v>20</v>
      </c>
      <c r="K10" t="s">
        <v>21</v>
      </c>
      <c r="L10" t="s">
        <v>22</v>
      </c>
      <c r="Q10">
        <v>1</v>
      </c>
    </row>
    <row r="11" spans="1:17" x14ac:dyDescent="0.25">
      <c r="B11" t="s">
        <v>16</v>
      </c>
      <c r="C11" t="s">
        <v>47</v>
      </c>
      <c r="D11" t="s">
        <v>48</v>
      </c>
      <c r="E11" t="s">
        <v>49</v>
      </c>
      <c r="F11" t="s">
        <v>26</v>
      </c>
      <c r="G11" s="6">
        <v>940</v>
      </c>
      <c r="H11" s="6">
        <v>30</v>
      </c>
      <c r="I11" s="6">
        <f t="shared" si="0"/>
        <v>910</v>
      </c>
      <c r="J11" t="s">
        <v>20</v>
      </c>
      <c r="K11" t="s">
        <v>21</v>
      </c>
      <c r="L11" t="s">
        <v>22</v>
      </c>
      <c r="Q11">
        <v>1</v>
      </c>
    </row>
    <row r="12" spans="1:17" x14ac:dyDescent="0.25">
      <c r="B12" t="s">
        <v>16</v>
      </c>
      <c r="C12" t="s">
        <v>66</v>
      </c>
      <c r="D12" t="s">
        <v>67</v>
      </c>
      <c r="E12" t="s">
        <v>68</v>
      </c>
      <c r="F12" t="s">
        <v>69</v>
      </c>
      <c r="G12" s="6">
        <v>985</v>
      </c>
      <c r="H12" s="6">
        <v>25</v>
      </c>
      <c r="I12" s="6">
        <f t="shared" si="0"/>
        <v>960</v>
      </c>
      <c r="J12" t="s">
        <v>20</v>
      </c>
      <c r="K12" t="s">
        <v>21</v>
      </c>
      <c r="L12" t="s">
        <v>22</v>
      </c>
      <c r="Q12">
        <v>1</v>
      </c>
    </row>
    <row r="13" spans="1:17" x14ac:dyDescent="0.25">
      <c r="B13" t="s">
        <v>16</v>
      </c>
      <c r="C13" t="s">
        <v>70</v>
      </c>
      <c r="D13" t="s">
        <v>71</v>
      </c>
      <c r="E13" t="s">
        <v>72</v>
      </c>
      <c r="F13" s="6">
        <v>8</v>
      </c>
      <c r="G13" s="6">
        <v>0</v>
      </c>
      <c r="H13" s="6">
        <v>25</v>
      </c>
      <c r="I13" s="6">
        <f>-H13</f>
        <v>-25</v>
      </c>
      <c r="J13" t="s">
        <v>20</v>
      </c>
      <c r="K13" t="s">
        <v>21</v>
      </c>
      <c r="L13" t="s">
        <v>22</v>
      </c>
      <c r="Q13">
        <v>1</v>
      </c>
    </row>
    <row r="14" spans="1:17" x14ac:dyDescent="0.25">
      <c r="B14" t="s">
        <v>16</v>
      </c>
      <c r="C14" t="s">
        <v>34</v>
      </c>
      <c r="D14" t="s">
        <v>35</v>
      </c>
      <c r="E14" t="s">
        <v>36</v>
      </c>
      <c r="F14" s="6">
        <v>2</v>
      </c>
      <c r="G14" s="6">
        <v>750</v>
      </c>
      <c r="H14" s="6">
        <v>30</v>
      </c>
      <c r="I14" s="6">
        <f>G14-H14</f>
        <v>720</v>
      </c>
      <c r="J14" t="s">
        <v>21</v>
      </c>
      <c r="K14" t="s">
        <v>21</v>
      </c>
      <c r="L14" t="s">
        <v>22</v>
      </c>
      <c r="Q14">
        <v>1</v>
      </c>
    </row>
    <row r="15" spans="1:17" x14ac:dyDescent="0.25">
      <c r="B15" t="s">
        <v>16</v>
      </c>
      <c r="C15" t="s">
        <v>40</v>
      </c>
      <c r="D15" t="s">
        <v>41</v>
      </c>
      <c r="E15" t="s">
        <v>42</v>
      </c>
      <c r="F15" t="s">
        <v>43</v>
      </c>
      <c r="G15" s="6">
        <v>695</v>
      </c>
      <c r="H15" s="6">
        <v>25</v>
      </c>
      <c r="I15" s="6">
        <f>G15-H15</f>
        <v>670</v>
      </c>
      <c r="J15" t="s">
        <v>21</v>
      </c>
      <c r="K15" t="s">
        <v>21</v>
      </c>
      <c r="L15" t="s">
        <v>22</v>
      </c>
      <c r="Q15">
        <v>1</v>
      </c>
    </row>
    <row r="16" spans="1:17" x14ac:dyDescent="0.25">
      <c r="B16" t="s">
        <v>16</v>
      </c>
      <c r="C16" t="s">
        <v>53</v>
      </c>
      <c r="D16" t="s">
        <v>54</v>
      </c>
      <c r="E16" t="s">
        <v>55</v>
      </c>
      <c r="F16" t="s">
        <v>56</v>
      </c>
      <c r="G16" s="6">
        <v>0</v>
      </c>
      <c r="H16" s="6">
        <v>30</v>
      </c>
      <c r="I16" s="6">
        <f>-H16</f>
        <v>-30</v>
      </c>
      <c r="J16" t="s">
        <v>21</v>
      </c>
      <c r="K16" t="s">
        <v>21</v>
      </c>
      <c r="L16" t="s">
        <v>22</v>
      </c>
      <c r="Q16">
        <v>1</v>
      </c>
    </row>
    <row r="17" spans="1:17" x14ac:dyDescent="0.25">
      <c r="B17" t="s">
        <v>16</v>
      </c>
      <c r="C17" t="s">
        <v>57</v>
      </c>
      <c r="D17" t="s">
        <v>58</v>
      </c>
      <c r="E17" t="s">
        <v>59</v>
      </c>
      <c r="F17" t="s">
        <v>56</v>
      </c>
      <c r="G17" s="6">
        <v>900</v>
      </c>
      <c r="H17" s="6">
        <v>30</v>
      </c>
      <c r="I17" s="6">
        <f>G17-H17</f>
        <v>870</v>
      </c>
      <c r="J17" t="s">
        <v>21</v>
      </c>
      <c r="K17" t="s">
        <v>21</v>
      </c>
      <c r="L17" t="s">
        <v>22</v>
      </c>
      <c r="Q17">
        <v>1</v>
      </c>
    </row>
    <row r="18" spans="1:17" x14ac:dyDescent="0.25">
      <c r="B18" t="s">
        <v>16</v>
      </c>
      <c r="C18" t="s">
        <v>60</v>
      </c>
      <c r="D18" t="s">
        <v>61</v>
      </c>
      <c r="E18" t="s">
        <v>62</v>
      </c>
      <c r="F18" t="s">
        <v>56</v>
      </c>
      <c r="G18" s="6">
        <v>620</v>
      </c>
      <c r="H18" s="6">
        <v>30</v>
      </c>
      <c r="I18" s="6">
        <f>G18-H18</f>
        <v>590</v>
      </c>
      <c r="J18" t="s">
        <v>21</v>
      </c>
      <c r="K18" t="s">
        <v>21</v>
      </c>
      <c r="L18" t="s">
        <v>22</v>
      </c>
      <c r="Q18">
        <v>1</v>
      </c>
    </row>
    <row r="19" spans="1:17" x14ac:dyDescent="0.25">
      <c r="B19" t="s">
        <v>16</v>
      </c>
      <c r="C19" t="s">
        <v>73</v>
      </c>
      <c r="D19" t="s">
        <v>74</v>
      </c>
      <c r="E19" t="s">
        <v>75</v>
      </c>
      <c r="F19" t="s">
        <v>69</v>
      </c>
      <c r="G19" s="6">
        <v>0</v>
      </c>
      <c r="H19" s="6">
        <v>25</v>
      </c>
      <c r="I19" s="6">
        <f>-H19</f>
        <v>-25</v>
      </c>
      <c r="J19" t="s">
        <v>21</v>
      </c>
      <c r="K19" t="s">
        <v>21</v>
      </c>
      <c r="L19" t="s">
        <v>22</v>
      </c>
      <c r="Q19">
        <v>1</v>
      </c>
    </row>
    <row r="21" spans="1:17" x14ac:dyDescent="0.25">
      <c r="D21" s="1">
        <f>COUNTA(D3:D19)</f>
        <v>17</v>
      </c>
      <c r="G21" s="1">
        <f t="shared" ref="G21:Q21" si="1">SUBTOTAL(9,G3:G19)</f>
        <v>10205</v>
      </c>
      <c r="H21" s="1">
        <f t="shared" si="1"/>
        <v>485</v>
      </c>
      <c r="I21" s="1">
        <f t="shared" si="1"/>
        <v>9720</v>
      </c>
      <c r="J21" s="1">
        <f t="shared" si="1"/>
        <v>0</v>
      </c>
      <c r="K21" s="1">
        <f t="shared" si="1"/>
        <v>0</v>
      </c>
      <c r="L21" s="1">
        <f t="shared" si="1"/>
        <v>0</v>
      </c>
      <c r="M21" s="1">
        <f t="shared" si="1"/>
        <v>0</v>
      </c>
      <c r="N21" s="1">
        <f t="shared" si="1"/>
        <v>0</v>
      </c>
      <c r="O21" s="1">
        <f t="shared" si="1"/>
        <v>0</v>
      </c>
      <c r="P21" s="1">
        <f t="shared" si="1"/>
        <v>0</v>
      </c>
      <c r="Q21" s="1">
        <f t="shared" si="1"/>
        <v>17</v>
      </c>
    </row>
    <row r="22" spans="1:17" x14ac:dyDescent="0.25">
      <c r="H22">
        <f>-3*17</f>
        <v>-51</v>
      </c>
    </row>
    <row r="23" spans="1:17" x14ac:dyDescent="0.25">
      <c r="A23" s="1" t="s">
        <v>16</v>
      </c>
      <c r="C23" s="12" t="s">
        <v>76</v>
      </c>
      <c r="D23" s="12"/>
      <c r="E23" s="4" t="s">
        <v>77</v>
      </c>
      <c r="H23">
        <f>-4*25</f>
        <v>-100</v>
      </c>
      <c r="K23" s="7" t="s">
        <v>20</v>
      </c>
      <c r="L23" s="7" t="s">
        <v>78</v>
      </c>
      <c r="M23" s="7" t="s">
        <v>77</v>
      </c>
      <c r="O23" s="4" t="s">
        <v>79</v>
      </c>
    </row>
    <row r="24" spans="1:17" x14ac:dyDescent="0.25">
      <c r="A24" t="s">
        <v>22</v>
      </c>
      <c r="B24" s="3" t="s">
        <v>80</v>
      </c>
      <c r="C24" s="13">
        <f>SUMIFS(I$3:I$19,B$3:B$19,A$23,L$3:L$19,A$24)</f>
        <v>9720</v>
      </c>
      <c r="D24" s="13"/>
      <c r="E24" s="3">
        <f>SUMIFS(Q$3:Q$19,B$3:B$19,A$23,L$3:L$19,A$24)</f>
        <v>17</v>
      </c>
      <c r="F24" t="s">
        <v>81</v>
      </c>
      <c r="K24" t="s">
        <v>82</v>
      </c>
      <c r="L24">
        <f>SUMIFS(G$3:G$19,J$3:J$19,K$23)</f>
        <v>5470</v>
      </c>
      <c r="M24">
        <f>SUMIFS(Q$3:Q$19,J$3:J$19,K$23)</f>
        <v>7</v>
      </c>
      <c r="O24" t="s">
        <v>83</v>
      </c>
      <c r="P24">
        <f>L29</f>
        <v>5319</v>
      </c>
    </row>
    <row r="25" spans="1:17" x14ac:dyDescent="0.25">
      <c r="B25" s="2" t="s">
        <v>84</v>
      </c>
      <c r="C25" s="14">
        <v>0</v>
      </c>
      <c r="D25" s="14"/>
      <c r="K25" t="s">
        <v>85</v>
      </c>
      <c r="L25">
        <f>SUM(H22:H23)</f>
        <v>-151</v>
      </c>
      <c r="M25">
        <f>SUMIFS(Q$3:Q$19,J$3:J$19,K$23)</f>
        <v>7</v>
      </c>
      <c r="O25" t="s">
        <v>30</v>
      </c>
      <c r="P25">
        <f>L37</f>
        <v>1670</v>
      </c>
    </row>
    <row r="26" spans="1:17" x14ac:dyDescent="0.25">
      <c r="B26" s="2" t="s">
        <v>86</v>
      </c>
      <c r="C26" s="14">
        <f>-SUMIFS(I$3:I$19,B$3:B$19,A$23,P$3:P$19,"xx",N$3:N$19,"x")</f>
        <v>0</v>
      </c>
      <c r="D26" s="14"/>
      <c r="E26" s="2">
        <f>SUMIFS(Q$3:Q$19,B$3:B$19,A$23,P$3:P$19,"xx",N$3:N$19,"x")</f>
        <v>0</v>
      </c>
      <c r="K26" t="s">
        <v>87</v>
      </c>
      <c r="O26" t="s">
        <v>21</v>
      </c>
      <c r="P26">
        <f>L45</f>
        <v>2791</v>
      </c>
    </row>
    <row r="27" spans="1:17" x14ac:dyDescent="0.25">
      <c r="B27" s="4" t="s">
        <v>88</v>
      </c>
      <c r="C27" s="12">
        <f>SUBTOTAL(9,C24:C26)</f>
        <v>9720</v>
      </c>
      <c r="D27" s="12"/>
      <c r="E27">
        <f>E24</f>
        <v>17</v>
      </c>
      <c r="K27" s="2" t="s">
        <v>89</v>
      </c>
      <c r="O27" t="s">
        <v>90</v>
      </c>
      <c r="P27">
        <f>-C31</f>
        <v>-9720</v>
      </c>
    </row>
    <row r="28" spans="1:17" x14ac:dyDescent="0.25">
      <c r="B28" s="2" t="s">
        <v>91</v>
      </c>
      <c r="C28" s="10"/>
      <c r="D28" s="10"/>
      <c r="K28" s="2" t="s">
        <v>92</v>
      </c>
      <c r="O28" s="4" t="s">
        <v>93</v>
      </c>
      <c r="P28" s="4">
        <f>SUBTOTAL(9,P24:P27)</f>
        <v>60</v>
      </c>
    </row>
    <row r="29" spans="1:17" x14ac:dyDescent="0.25">
      <c r="B29" s="8" t="s">
        <v>94</v>
      </c>
      <c r="C29" s="10"/>
      <c r="D29" s="10"/>
      <c r="L29" s="9">
        <f>SUBTOTAL(9,L24:L28)</f>
        <v>5319</v>
      </c>
      <c r="M29" s="9">
        <f>M24</f>
        <v>7</v>
      </c>
    </row>
    <row r="31" spans="1:17" x14ac:dyDescent="0.25">
      <c r="B31" s="1" t="s">
        <v>95</v>
      </c>
      <c r="C31" s="11">
        <f>C27+C28+C29</f>
        <v>9720</v>
      </c>
      <c r="D31" s="11"/>
      <c r="E31" s="1" t="s">
        <v>96</v>
      </c>
      <c r="K31" s="7" t="s">
        <v>30</v>
      </c>
      <c r="L31" s="7" t="s">
        <v>78</v>
      </c>
      <c r="M31" s="7" t="s">
        <v>77</v>
      </c>
    </row>
    <row r="32" spans="1:17" x14ac:dyDescent="0.25">
      <c r="K32" t="s">
        <v>82</v>
      </c>
      <c r="L32">
        <f>SUMIFS(G$3:G$19,J$3:J$19,K$31)</f>
        <v>1770</v>
      </c>
      <c r="M32">
        <f>SUMIFS(Q$3:Q$19,J$3:J$19,K$31)</f>
        <v>4</v>
      </c>
    </row>
    <row r="33" spans="11:13" x14ac:dyDescent="0.25">
      <c r="K33" t="s">
        <v>85</v>
      </c>
      <c r="L33">
        <f>-SUMIFS(H$3:H$19,J$3:J$19,K$31)+M33*5</f>
        <v>-100</v>
      </c>
      <c r="M33">
        <f>SUMIFS(Q$3:Q$19,J$3:J$19,K$31)-COUNTIFS(J$3:J$19,K$31,M$3:M$19,"*gộp*")</f>
        <v>4</v>
      </c>
    </row>
    <row r="34" spans="11:13" x14ac:dyDescent="0.25">
      <c r="K34" t="s">
        <v>87</v>
      </c>
    </row>
    <row r="35" spans="11:13" x14ac:dyDescent="0.25">
      <c r="K35" s="2" t="s">
        <v>89</v>
      </c>
    </row>
    <row r="36" spans="11:13" x14ac:dyDescent="0.25">
      <c r="K36" s="2" t="s">
        <v>92</v>
      </c>
    </row>
    <row r="37" spans="11:13" x14ac:dyDescent="0.25">
      <c r="L37" s="9">
        <f>SUBTOTAL(9,L32:L36)</f>
        <v>1670</v>
      </c>
      <c r="M37" s="9">
        <f>M32</f>
        <v>4</v>
      </c>
    </row>
    <row r="39" spans="11:13" x14ac:dyDescent="0.25">
      <c r="K39" s="7" t="s">
        <v>21</v>
      </c>
      <c r="L39" s="7" t="s">
        <v>78</v>
      </c>
      <c r="M39" s="7" t="s">
        <v>77</v>
      </c>
    </row>
    <row r="40" spans="11:13" x14ac:dyDescent="0.25">
      <c r="K40" t="s">
        <v>82</v>
      </c>
      <c r="L40">
        <f>SUMIFS(G$3:G$19,J$3:J$19,K$39)</f>
        <v>2965</v>
      </c>
      <c r="M40">
        <f>SUMIFS(Q$3:Q$19,J$3:J$19,K$39)</f>
        <v>6</v>
      </c>
    </row>
    <row r="41" spans="11:13" x14ac:dyDescent="0.25">
      <c r="K41" t="s">
        <v>85</v>
      </c>
      <c r="L41">
        <f>-SUMIFS(H$3:H$19,J$3:J$19,K$39)+M41*5</f>
        <v>-140</v>
      </c>
      <c r="M41">
        <f>SUMIFS(Q$3:Q$19,J$3:J$19,K$39)-COUNTIFS(J$3:J$19,K$39,M$3:M$19,"*gộp*")</f>
        <v>6</v>
      </c>
    </row>
    <row r="42" spans="11:13" x14ac:dyDescent="0.25">
      <c r="K42" t="s">
        <v>87</v>
      </c>
      <c r="L42">
        <f>-M42*2</f>
        <v>-34</v>
      </c>
      <c r="M42">
        <f>Q21-(COUNTIFS(M$3:M$19,"*gộp*")/2)</f>
        <v>17</v>
      </c>
    </row>
    <row r="43" spans="11:13" x14ac:dyDescent="0.25">
      <c r="K43" s="2" t="s">
        <v>89</v>
      </c>
    </row>
    <row r="44" spans="11:13" x14ac:dyDescent="0.25">
      <c r="K44" s="2" t="s">
        <v>92</v>
      </c>
    </row>
    <row r="45" spans="11:13" x14ac:dyDescent="0.25">
      <c r="L45" s="9">
        <f>SUBTOTAL(9,L40:L44)</f>
        <v>2791</v>
      </c>
      <c r="M45" s="9">
        <f>M40</f>
        <v>6</v>
      </c>
    </row>
  </sheetData>
  <autoFilter ref="A2:P19" xr:uid="{00000000-0009-0000-0000-000000000000}">
    <sortState xmlns:xlrd2="http://schemas.microsoft.com/office/spreadsheetml/2017/richdata2" ref="A3:P19">
      <sortCondition ref="J2:J19"/>
    </sortState>
  </autoFilter>
  <mergeCells count="8">
    <mergeCell ref="C28:D28"/>
    <mergeCell ref="C29:D29"/>
    <mergeCell ref="C31:D31"/>
    <mergeCell ref="C23:D23"/>
    <mergeCell ref="C24:D24"/>
    <mergeCell ref="C25:D25"/>
    <mergeCell ref="C26:D26"/>
    <mergeCell ref="C27:D27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Sei Pham</cp:lastModifiedBy>
  <dcterms:created xsi:type="dcterms:W3CDTF">2026-03-25T06:47:43Z</dcterms:created>
  <dcterms:modified xsi:type="dcterms:W3CDTF">2026-03-25T12:09:08Z</dcterms:modified>
</cp:coreProperties>
</file>