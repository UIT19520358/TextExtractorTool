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r\27-03-2026\"/>
    </mc:Choice>
  </mc:AlternateContent>
  <xr:revisionPtr revIDLastSave="0" documentId="13_ncr:1_{3A3E7651-D018-47EF-80F8-F753A1A9C6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7-03" sheetId="2" r:id="rId1"/>
  </sheets>
  <definedNames>
    <definedName name="_xlnm._FilterDatabase" localSheetId="0" hidden="1">'27-03'!$A$2:$P$37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I28" i="2"/>
  <c r="I29" i="2"/>
  <c r="I4" i="2"/>
  <c r="I30" i="2"/>
  <c r="I5" i="2"/>
  <c r="I6" i="2"/>
  <c r="I31" i="2"/>
  <c r="I7" i="2"/>
  <c r="I32" i="2"/>
  <c r="I33" i="2"/>
  <c r="I8" i="2"/>
  <c r="I21" i="2"/>
  <c r="I9" i="2"/>
  <c r="I10" i="2"/>
  <c r="I11" i="2"/>
  <c r="I12" i="2"/>
  <c r="I13" i="2"/>
  <c r="I3" i="2"/>
  <c r="I14" i="2"/>
  <c r="I22" i="2"/>
  <c r="I15" i="2"/>
  <c r="I16" i="2"/>
  <c r="I34" i="2"/>
  <c r="I35" i="2"/>
  <c r="I36" i="2"/>
  <c r="I23" i="2"/>
  <c r="I37" i="2"/>
  <c r="I17" i="2"/>
  <c r="I18" i="2"/>
  <c r="I19" i="2"/>
  <c r="I24" i="2"/>
  <c r="I25" i="2"/>
  <c r="I26" i="2"/>
  <c r="I20" i="2"/>
  <c r="D39" i="2"/>
  <c r="G39" i="2"/>
  <c r="H39" i="2"/>
  <c r="I39" i="2"/>
  <c r="J39" i="2"/>
  <c r="K39" i="2"/>
  <c r="L39" i="2"/>
  <c r="M39" i="2"/>
  <c r="N39" i="2"/>
  <c r="O39" i="2"/>
  <c r="P39" i="2"/>
  <c r="Q39" i="2"/>
  <c r="H40" i="2"/>
  <c r="H41" i="2"/>
  <c r="C42" i="2"/>
  <c r="E42" i="2"/>
  <c r="E45" i="2" s="1"/>
  <c r="H42" i="2"/>
  <c r="L42" i="2"/>
  <c r="M42" i="2"/>
  <c r="M47" i="2" s="1"/>
  <c r="M43" i="2"/>
  <c r="L43" i="2" s="1"/>
  <c r="C44" i="2"/>
  <c r="E44" i="2"/>
  <c r="L50" i="2"/>
  <c r="L55" i="2" s="1"/>
  <c r="P43" i="2" s="1"/>
  <c r="M50" i="2"/>
  <c r="M55" i="2" s="1"/>
  <c r="L51" i="2"/>
  <c r="M51" i="2"/>
  <c r="L58" i="2"/>
  <c r="M58" i="2"/>
  <c r="M63" i="2" s="1"/>
  <c r="M59" i="2"/>
  <c r="L59" i="2" s="1"/>
  <c r="M60" i="2"/>
  <c r="L60" i="2" s="1"/>
  <c r="L66" i="2"/>
  <c r="M66" i="2"/>
  <c r="M71" i="2" s="1"/>
  <c r="M67" i="2"/>
  <c r="L67" i="2" s="1"/>
  <c r="C45" i="2" l="1"/>
  <c r="C49" i="2" s="1"/>
  <c r="P46" i="2" s="1"/>
  <c r="L71" i="2"/>
  <c r="P45" i="2" s="1"/>
  <c r="L63" i="2"/>
  <c r="P44" i="2" s="1"/>
  <c r="L47" i="2"/>
  <c r="P42" i="2" s="1"/>
  <c r="P47" i="2" l="1"/>
</calcChain>
</file>

<file path=xl/sharedStrings.xml><?xml version="1.0" encoding="utf-8"?>
<sst xmlns="http://schemas.openxmlformats.org/spreadsheetml/2006/main" count="328" uniqueCount="152">
  <si>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</si>
  <si>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</si>
  <si>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</si>
  <si>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</si>
  <si>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</si>
  <si>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</si>
  <si>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</si>
  <si>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</si>
  <si>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</si>
  <si>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</si>
  <si>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</si>
  <si>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</si>
  <si>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</si>
  <si>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</si>
  <si>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</si>
  <si>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</si>
  <si>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hàng sỉ</t>
  </si>
  <si>
    <t>ĐOÀN NGÂN CHÂU</t>
  </si>
  <si>
    <t>SU ANH</t>
  </si>
  <si>
    <t>22/40 Yên Thế, P2</t>
  </si>
  <si>
    <t>tan binh</t>
  </si>
  <si>
    <t>c.hieu</t>
  </si>
  <si>
    <t>c.cuong</t>
  </si>
  <si>
    <t>27-03-2026</t>
  </si>
  <si>
    <t>Fangfang</t>
  </si>
  <si>
    <t>A75/6B/2 Bạch Đằng, Phường 2</t>
  </si>
  <si>
    <t>Venny (Indo)</t>
  </si>
  <si>
    <t>Mhome Sài Gòn 384/6 Lê Văn Sỹ</t>
  </si>
  <si>
    <t>Jess-9244</t>
  </si>
  <si>
    <t>275/14B1 Đặng Nguyên Cẩn, Phường Phú Lâm</t>
  </si>
  <si>
    <t>AT 27-03</t>
  </si>
  <si>
    <t>Người nhận: Ngọc Bích</t>
  </si>
  <si>
    <t>HD005290</t>
  </si>
  <si>
    <t>90 Pasteur, phường Bến Nghé</t>
  </si>
  <si>
    <t>Xuân Hương</t>
  </si>
  <si>
    <t>HD005026</t>
  </si>
  <si>
    <t>Căn Hộ B3.16.05 116 Lý chiêu hoàng, phường Bình Phú</t>
  </si>
  <si>
    <t>Khánh Thuận</t>
  </si>
  <si>
    <t>HD005206</t>
  </si>
  <si>
    <t>30 tùng thiện vương phường Phú định</t>
  </si>
  <si>
    <t>Hồng Hạnh</t>
  </si>
  <si>
    <t>HD005008</t>
  </si>
  <si>
    <t>Rivergate Apartment 155 bến văn đồn , HCMC Sảnh B</t>
  </si>
  <si>
    <t>Mai Diệu Trang</t>
  </si>
  <si>
    <t>HD005312</t>
  </si>
  <si>
    <t>765 Hồng bằng chung cư dhome</t>
  </si>
  <si>
    <t>khun leang 092559972</t>
  </si>
  <si>
    <t>HD004805</t>
  </si>
  <si>
    <t>nhà xe khải nam</t>
  </si>
  <si>
    <t>em xíu shiiny</t>
  </si>
  <si>
    <t>HD004646</t>
  </si>
  <si>
    <t>số 217 Đường bùi thị xuân phường 1</t>
  </si>
  <si>
    <t>Thảo Trần</t>
  </si>
  <si>
    <t>HD005059</t>
  </si>
  <si>
    <t>sunrise w1, 25 nguyễn hữu thọ, tân hưng</t>
  </si>
  <si>
    <t>Nguyễn Trần Thanh Hà</t>
  </si>
  <si>
    <t>HD005278</t>
  </si>
  <si>
    <t>43/2a3 đường số 8 hoàng diệu 2, linh trung</t>
  </si>
  <si>
    <t>thu duc</t>
  </si>
  <si>
    <t>Ng Mai</t>
  </si>
  <si>
    <t>HD005298</t>
  </si>
  <si>
    <t>chung cư võ đình TA15 thới an</t>
  </si>
  <si>
    <t>đổi hàng</t>
  </si>
  <si>
    <t>chị thủy</t>
  </si>
  <si>
    <t>HD005331</t>
  </si>
  <si>
    <t>Sunrise ruverside, Block D21-13, Đường Nguyễn Hữu Thọ, Xã Phước Kiển</t>
  </si>
  <si>
    <t>nha be</t>
  </si>
  <si>
    <t>Võ Thuỳ Dương</t>
  </si>
  <si>
    <t>HD005293</t>
  </si>
  <si>
    <t>72A đường 23, Tân Quy</t>
  </si>
  <si>
    <t>Mercy Nguyễn Pmu</t>
  </si>
  <si>
    <t>HD004897</t>
  </si>
  <si>
    <t>298/16/8B Tân Hoà Đông P bình trị đông</t>
  </si>
  <si>
    <t>binh tan</t>
  </si>
  <si>
    <t>Trần Lê Trâm Anh</t>
  </si>
  <si>
    <t>HD005071</t>
  </si>
  <si>
    <t>179/13A hoà bình Phường Hiệp Tân</t>
  </si>
  <si>
    <t>tan phu</t>
  </si>
  <si>
    <t>Hiếu Phan</t>
  </si>
  <si>
    <t>HD005081</t>
  </si>
  <si>
    <t>BS10A vinhomes grand park phường long binh</t>
  </si>
  <si>
    <t>a.quyen</t>
  </si>
  <si>
    <t>Yến Oanh</t>
  </si>
  <si>
    <t>HD005268</t>
  </si>
  <si>
    <t>33 Đ. Nguyễn Hữu Thọ, Tân Hưng, Sunrise city view block B</t>
  </si>
  <si>
    <t>Thiện Nhi</t>
  </si>
  <si>
    <t>HD005085</t>
  </si>
  <si>
    <t>129/33 huỳnh văn nghệ p12</t>
  </si>
  <si>
    <t>go vap</t>
  </si>
  <si>
    <t>Thanh Nhàn</t>
  </si>
  <si>
    <t>HD005305</t>
  </si>
  <si>
    <t>59 trần hưng đạo, p.tân thành</t>
  </si>
  <si>
    <t>Bông Bông</t>
  </si>
  <si>
    <t>HD005166</t>
  </si>
  <si>
    <t>Saigon riverside complex (block C1) Số 4 đào trí phú thuận</t>
  </si>
  <si>
    <t>Người nhận: Mít</t>
  </si>
  <si>
    <t>HD005309</t>
  </si>
  <si>
    <t>số 122/27/56/5/31 tôn đàn phường 8</t>
  </si>
  <si>
    <t>Yến Lê</t>
  </si>
  <si>
    <t>HD005323</t>
  </si>
  <si>
    <t>78-89 nam kỳ khởi nghĩa p bến thành</t>
  </si>
  <si>
    <t>Hạnh Hạnh</t>
  </si>
  <si>
    <t>HD005291</t>
  </si>
  <si>
    <t>334 tô hiến thành p14 cuộn 10 Chung cư kingdom101 block a</t>
  </si>
  <si>
    <t>Nguyễn Thảo Vi</t>
  </si>
  <si>
    <t>HD005258</t>
  </si>
  <si>
    <t>Chung cư Saigon pearl toà ruby 1 số 92 nguyễn hữu cảnh</t>
  </si>
  <si>
    <t>binh thanh</t>
  </si>
  <si>
    <t>Nguyễn Uyên</t>
  </si>
  <si>
    <t>HD005087</t>
  </si>
  <si>
    <t>525/44 tô hiến thành p diên hồng</t>
  </si>
  <si>
    <t>Quyn Nguyễn</t>
  </si>
  <si>
    <t>HD005034</t>
  </si>
  <si>
    <t>Chung cư Emerald block C khu Celadon</t>
  </si>
  <si>
    <t>Trần Tươi</t>
  </si>
  <si>
    <t>HD005321</t>
  </si>
  <si>
    <t>213 Nguyễn thị búp phường Tân Chánh hiệp</t>
  </si>
  <si>
    <t>HD005127</t>
  </si>
  <si>
    <t>362/65 đường Hiệp Thành 13, KP7, Phường Hiệp Thành</t>
  </si>
  <si>
    <t>Jemial Vo</t>
  </si>
  <si>
    <t>HD005141</t>
  </si>
  <si>
    <t>438 phan văn trị, p. hạnh thông</t>
  </si>
  <si>
    <t>Pham Huong</t>
  </si>
  <si>
    <t>HD005294</t>
  </si>
  <si>
    <t>764/50/41 phạm văn chiêu p15</t>
  </si>
  <si>
    <t>Anh Đào nhận dùm fb Ngô Thu</t>
  </si>
  <si>
    <t>HD005310</t>
  </si>
  <si>
    <t>72 Tân Hải, Phường 13</t>
  </si>
  <si>
    <t>Tram Anh Nguyen</t>
  </si>
  <si>
    <t>HD005110</t>
  </si>
  <si>
    <t>Topaz phoenix Ib phường 4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</si>
  <si>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</si>
  <si>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</si>
  <si>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</si>
  <si>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</si>
  <si>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</si>
  <si>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</si>
  <si>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</si>
  <si>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Trừ Ship</t>
  </si>
  <si>
    <t>tiền ship</t>
  </si>
  <si>
    <t>at 27-03</t>
  </si>
  <si>
    <t>Đơn trả &amp; c.khoản</t>
  </si>
  <si>
    <t>tiền lấy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</si>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</sst>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3" borderId="0" xfId="0" applyFont="1" applyFill="1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0" borderId="0" xfId="0"/>
    <xf numFmtId="0" fontId="1" fillId="3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1"/>
  <sheetViews>
    <sheetView tabSelected="1" topLeftCell="A10" workbookViewId="0">
      <selection activeCell="G26" sqref="G26"/>
    </sheetView>
  </sheetViews>
  <sheetFormatPr defaultRowHeight="15" x14ac:dyDescent="0.25"/>
  <cols>
    <col min="1" max="1" width="12.7109375" customWidth="1"/>
    <col min="2" max="2" width="17.7109375" customWidth="1"/>
    <col min="3" max="3" width="28.7109375" customWidth="1"/>
    <col min="4" max="4" width="9.85546875" customWidth="1"/>
    <col min="5" max="5" width="66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7" x14ac:dyDescent="0.25">
      <c r="B3" t="s">
        <v>17</v>
      </c>
      <c r="C3" t="s">
        <v>78</v>
      </c>
      <c r="D3" t="s">
        <v>79</v>
      </c>
      <c r="E3" t="s">
        <v>80</v>
      </c>
      <c r="F3" s="6">
        <v>9</v>
      </c>
      <c r="G3" s="6">
        <v>700</v>
      </c>
      <c r="H3" s="6">
        <v>30</v>
      </c>
      <c r="I3" s="6">
        <f>G3-H3</f>
        <v>670</v>
      </c>
      <c r="J3" t="s">
        <v>81</v>
      </c>
      <c r="K3" t="s">
        <v>22</v>
      </c>
      <c r="L3" t="s">
        <v>23</v>
      </c>
      <c r="Q3">
        <v>1</v>
      </c>
    </row>
    <row r="4" spans="1:17" x14ac:dyDescent="0.25">
      <c r="A4" t="s">
        <v>16</v>
      </c>
      <c r="B4" t="s">
        <v>17</v>
      </c>
      <c r="C4" t="s">
        <v>28</v>
      </c>
      <c r="E4" t="s">
        <v>29</v>
      </c>
      <c r="F4" s="6">
        <v>6</v>
      </c>
      <c r="G4" s="6">
        <v>0</v>
      </c>
      <c r="H4" s="6">
        <v>30</v>
      </c>
      <c r="I4" s="6">
        <f>-H4</f>
        <v>-30</v>
      </c>
      <c r="J4" t="s">
        <v>30</v>
      </c>
      <c r="K4" t="s">
        <v>22</v>
      </c>
      <c r="L4" t="s">
        <v>23</v>
      </c>
      <c r="Q4">
        <v>1</v>
      </c>
    </row>
    <row r="5" spans="1:17" x14ac:dyDescent="0.25">
      <c r="B5" t="s">
        <v>17</v>
      </c>
      <c r="C5" t="s">
        <v>34</v>
      </c>
      <c r="D5" t="s">
        <v>35</v>
      </c>
      <c r="E5" t="s">
        <v>36</v>
      </c>
      <c r="F5" s="6">
        <v>6</v>
      </c>
      <c r="G5" s="6">
        <v>885</v>
      </c>
      <c r="H5" s="6">
        <v>25</v>
      </c>
      <c r="I5" s="6">
        <f t="shared" ref="I5:I31" si="0">G5-H5</f>
        <v>860</v>
      </c>
      <c r="J5" t="s">
        <v>30</v>
      </c>
      <c r="K5" t="s">
        <v>22</v>
      </c>
      <c r="L5" t="s">
        <v>23</v>
      </c>
      <c r="Q5">
        <v>1</v>
      </c>
    </row>
    <row r="6" spans="1:17" x14ac:dyDescent="0.25">
      <c r="B6" t="s">
        <v>17</v>
      </c>
      <c r="C6" t="s">
        <v>37</v>
      </c>
      <c r="D6" t="s">
        <v>38</v>
      </c>
      <c r="E6" t="s">
        <v>39</v>
      </c>
      <c r="F6" s="6">
        <v>8</v>
      </c>
      <c r="G6" s="6">
        <v>935</v>
      </c>
      <c r="H6" s="6">
        <v>25</v>
      </c>
      <c r="I6" s="6">
        <f t="shared" si="0"/>
        <v>910</v>
      </c>
      <c r="J6" t="s">
        <v>30</v>
      </c>
      <c r="K6" t="s">
        <v>22</v>
      </c>
      <c r="L6" t="s">
        <v>23</v>
      </c>
      <c r="Q6">
        <v>1</v>
      </c>
    </row>
    <row r="7" spans="1:17" x14ac:dyDescent="0.25">
      <c r="B7" t="s">
        <v>17</v>
      </c>
      <c r="C7" t="s">
        <v>43</v>
      </c>
      <c r="D7" t="s">
        <v>44</v>
      </c>
      <c r="E7" t="s">
        <v>45</v>
      </c>
      <c r="F7" s="6">
        <v>6</v>
      </c>
      <c r="G7" s="6">
        <v>845</v>
      </c>
      <c r="H7" s="6">
        <v>25</v>
      </c>
      <c r="I7" s="6">
        <f t="shared" si="0"/>
        <v>820</v>
      </c>
      <c r="J7" t="s">
        <v>30</v>
      </c>
      <c r="K7" t="s">
        <v>22</v>
      </c>
      <c r="L7" t="s">
        <v>23</v>
      </c>
      <c r="Q7">
        <v>1</v>
      </c>
    </row>
    <row r="8" spans="1:17" x14ac:dyDescent="0.25">
      <c r="B8" t="s">
        <v>17</v>
      </c>
      <c r="C8" t="s">
        <v>52</v>
      </c>
      <c r="D8" t="s">
        <v>53</v>
      </c>
      <c r="E8" t="s">
        <v>54</v>
      </c>
      <c r="F8" s="6">
        <v>7</v>
      </c>
      <c r="G8" s="6">
        <v>620</v>
      </c>
      <c r="H8" s="6">
        <v>30</v>
      </c>
      <c r="I8" s="6">
        <f t="shared" si="0"/>
        <v>590</v>
      </c>
      <c r="J8" t="s">
        <v>30</v>
      </c>
      <c r="K8" t="s">
        <v>22</v>
      </c>
      <c r="L8" t="s">
        <v>23</v>
      </c>
      <c r="Q8">
        <v>1</v>
      </c>
    </row>
    <row r="9" spans="1:17" x14ac:dyDescent="0.25">
      <c r="B9" t="s">
        <v>17</v>
      </c>
      <c r="C9" t="s">
        <v>59</v>
      </c>
      <c r="D9" t="s">
        <v>60</v>
      </c>
      <c r="E9" t="s">
        <v>61</v>
      </c>
      <c r="F9" s="6">
        <v>12</v>
      </c>
      <c r="G9" s="6">
        <v>30</v>
      </c>
      <c r="H9" s="6">
        <v>30</v>
      </c>
      <c r="I9" s="6">
        <f t="shared" si="0"/>
        <v>0</v>
      </c>
      <c r="J9" t="s">
        <v>30</v>
      </c>
      <c r="K9" t="s">
        <v>22</v>
      </c>
      <c r="L9" t="s">
        <v>23</v>
      </c>
      <c r="M9" t="s">
        <v>62</v>
      </c>
      <c r="Q9">
        <v>1</v>
      </c>
    </row>
    <row r="10" spans="1:17" x14ac:dyDescent="0.25">
      <c r="B10" t="s">
        <v>17</v>
      </c>
      <c r="C10" t="s">
        <v>63</v>
      </c>
      <c r="D10" t="s">
        <v>64</v>
      </c>
      <c r="E10" t="s">
        <v>65</v>
      </c>
      <c r="F10" t="s">
        <v>66</v>
      </c>
      <c r="G10" s="6">
        <v>925</v>
      </c>
      <c r="H10" s="6">
        <v>35</v>
      </c>
      <c r="I10" s="6">
        <f t="shared" si="0"/>
        <v>890</v>
      </c>
      <c r="J10" t="s">
        <v>30</v>
      </c>
      <c r="K10" t="s">
        <v>22</v>
      </c>
      <c r="L10" t="s">
        <v>23</v>
      </c>
      <c r="Q10">
        <v>1</v>
      </c>
    </row>
    <row r="11" spans="1:17" x14ac:dyDescent="0.25">
      <c r="B11" t="s">
        <v>17</v>
      </c>
      <c r="C11" t="s">
        <v>67</v>
      </c>
      <c r="D11" t="s">
        <v>68</v>
      </c>
      <c r="E11" t="s">
        <v>69</v>
      </c>
      <c r="F11" s="6">
        <v>7</v>
      </c>
      <c r="G11" s="6">
        <v>1580</v>
      </c>
      <c r="H11" s="6">
        <v>30</v>
      </c>
      <c r="I11" s="6">
        <f t="shared" si="0"/>
        <v>1550</v>
      </c>
      <c r="J11" t="s">
        <v>30</v>
      </c>
      <c r="K11" t="s">
        <v>22</v>
      </c>
      <c r="L11" t="s">
        <v>23</v>
      </c>
      <c r="Q11">
        <v>1</v>
      </c>
    </row>
    <row r="12" spans="1:17" x14ac:dyDescent="0.25">
      <c r="B12" t="s">
        <v>17</v>
      </c>
      <c r="C12" t="s">
        <v>70</v>
      </c>
      <c r="D12" t="s">
        <v>71</v>
      </c>
      <c r="E12" t="s">
        <v>72</v>
      </c>
      <c r="F12" t="s">
        <v>73</v>
      </c>
      <c r="G12" s="6">
        <v>620</v>
      </c>
      <c r="H12" s="6">
        <v>30</v>
      </c>
      <c r="I12" s="6">
        <f t="shared" si="0"/>
        <v>590</v>
      </c>
      <c r="J12" t="s">
        <v>30</v>
      </c>
      <c r="K12" t="s">
        <v>22</v>
      </c>
      <c r="L12" t="s">
        <v>23</v>
      </c>
      <c r="Q12">
        <v>1</v>
      </c>
    </row>
    <row r="13" spans="1:17" x14ac:dyDescent="0.25">
      <c r="B13" t="s">
        <v>17</v>
      </c>
      <c r="C13" t="s">
        <v>74</v>
      </c>
      <c r="D13" t="s">
        <v>75</v>
      </c>
      <c r="E13" t="s">
        <v>76</v>
      </c>
      <c r="F13" t="s">
        <v>77</v>
      </c>
      <c r="G13" s="6">
        <v>785</v>
      </c>
      <c r="H13" s="6">
        <v>25</v>
      </c>
      <c r="I13" s="6">
        <f t="shared" si="0"/>
        <v>760</v>
      </c>
      <c r="J13" t="s">
        <v>30</v>
      </c>
      <c r="K13" t="s">
        <v>22</v>
      </c>
      <c r="L13" t="s">
        <v>23</v>
      </c>
      <c r="Q13">
        <v>1</v>
      </c>
    </row>
    <row r="14" spans="1:17" x14ac:dyDescent="0.25">
      <c r="B14" t="s">
        <v>17</v>
      </c>
      <c r="C14" t="s">
        <v>82</v>
      </c>
      <c r="D14" t="s">
        <v>83</v>
      </c>
      <c r="E14" t="s">
        <v>84</v>
      </c>
      <c r="F14" s="6">
        <v>7</v>
      </c>
      <c r="G14" s="6">
        <v>620</v>
      </c>
      <c r="H14" s="6">
        <v>30</v>
      </c>
      <c r="I14" s="6">
        <f t="shared" si="0"/>
        <v>590</v>
      </c>
      <c r="J14" t="s">
        <v>30</v>
      </c>
      <c r="K14" t="s">
        <v>22</v>
      </c>
      <c r="L14" t="s">
        <v>23</v>
      </c>
      <c r="Q14">
        <v>1</v>
      </c>
    </row>
    <row r="15" spans="1:17" x14ac:dyDescent="0.25">
      <c r="B15" t="s">
        <v>17</v>
      </c>
      <c r="C15" t="s">
        <v>89</v>
      </c>
      <c r="D15" t="s">
        <v>90</v>
      </c>
      <c r="E15" t="s">
        <v>91</v>
      </c>
      <c r="F15" t="s">
        <v>77</v>
      </c>
      <c r="G15" s="6">
        <v>845</v>
      </c>
      <c r="H15" s="6">
        <v>25</v>
      </c>
      <c r="I15" s="6">
        <f t="shared" si="0"/>
        <v>820</v>
      </c>
      <c r="J15" t="s">
        <v>30</v>
      </c>
      <c r="K15" t="s">
        <v>22</v>
      </c>
      <c r="L15" t="s">
        <v>23</v>
      </c>
      <c r="Q15">
        <v>1</v>
      </c>
    </row>
    <row r="16" spans="1:17" x14ac:dyDescent="0.25">
      <c r="B16" t="s">
        <v>17</v>
      </c>
      <c r="C16" t="s">
        <v>92</v>
      </c>
      <c r="D16" t="s">
        <v>93</v>
      </c>
      <c r="E16" t="s">
        <v>94</v>
      </c>
      <c r="F16" s="6">
        <v>7</v>
      </c>
      <c r="G16" s="6">
        <v>700</v>
      </c>
      <c r="H16" s="6">
        <v>30</v>
      </c>
      <c r="I16" s="6">
        <f t="shared" si="0"/>
        <v>670</v>
      </c>
      <c r="J16" t="s">
        <v>30</v>
      </c>
      <c r="K16" t="s">
        <v>22</v>
      </c>
      <c r="L16" t="s">
        <v>23</v>
      </c>
      <c r="Q16">
        <v>1</v>
      </c>
    </row>
    <row r="17" spans="1:17" x14ac:dyDescent="0.25">
      <c r="B17" t="s">
        <v>17</v>
      </c>
      <c r="C17" t="s">
        <v>111</v>
      </c>
      <c r="D17" t="s">
        <v>112</v>
      </c>
      <c r="E17" t="s">
        <v>113</v>
      </c>
      <c r="F17" t="s">
        <v>77</v>
      </c>
      <c r="G17" s="6">
        <v>915</v>
      </c>
      <c r="H17" s="6">
        <v>25</v>
      </c>
      <c r="I17" s="6">
        <f t="shared" si="0"/>
        <v>890</v>
      </c>
      <c r="J17" t="s">
        <v>30</v>
      </c>
      <c r="K17" t="s">
        <v>22</v>
      </c>
      <c r="L17" t="s">
        <v>23</v>
      </c>
      <c r="Q17">
        <v>1</v>
      </c>
    </row>
    <row r="18" spans="1:17" x14ac:dyDescent="0.25">
      <c r="B18" t="s">
        <v>17</v>
      </c>
      <c r="C18" t="s">
        <v>114</v>
      </c>
      <c r="D18" t="s">
        <v>115</v>
      </c>
      <c r="E18" t="s">
        <v>116</v>
      </c>
      <c r="F18" s="6">
        <v>12</v>
      </c>
      <c r="G18" s="6">
        <v>1010</v>
      </c>
      <c r="H18" s="6">
        <v>30</v>
      </c>
      <c r="I18" s="6">
        <f t="shared" si="0"/>
        <v>980</v>
      </c>
      <c r="J18" t="s">
        <v>30</v>
      </c>
      <c r="K18" t="s">
        <v>22</v>
      </c>
      <c r="L18" t="s">
        <v>23</v>
      </c>
      <c r="Q18">
        <v>1</v>
      </c>
    </row>
    <row r="19" spans="1:17" x14ac:dyDescent="0.25">
      <c r="B19" t="s">
        <v>17</v>
      </c>
      <c r="C19" t="s">
        <v>40</v>
      </c>
      <c r="D19" t="s">
        <v>117</v>
      </c>
      <c r="E19" t="s">
        <v>118</v>
      </c>
      <c r="F19" s="6">
        <v>1</v>
      </c>
      <c r="G19" s="6">
        <v>700</v>
      </c>
      <c r="H19" s="6">
        <v>30</v>
      </c>
      <c r="I19" s="6">
        <f t="shared" si="0"/>
        <v>670</v>
      </c>
      <c r="J19" t="s">
        <v>30</v>
      </c>
      <c r="K19" t="s">
        <v>22</v>
      </c>
      <c r="L19" t="s">
        <v>23</v>
      </c>
      <c r="Q19">
        <v>1</v>
      </c>
    </row>
    <row r="20" spans="1:17" x14ac:dyDescent="0.25">
      <c r="B20" t="s">
        <v>17</v>
      </c>
      <c r="C20" t="s">
        <v>128</v>
      </c>
      <c r="D20" t="s">
        <v>129</v>
      </c>
      <c r="E20" t="s">
        <v>130</v>
      </c>
      <c r="F20" s="6">
        <v>8</v>
      </c>
      <c r="G20" s="6">
        <v>845</v>
      </c>
      <c r="H20" s="6">
        <v>25</v>
      </c>
      <c r="I20" s="6">
        <f t="shared" si="0"/>
        <v>820</v>
      </c>
      <c r="J20" t="s">
        <v>30</v>
      </c>
      <c r="K20" t="s">
        <v>22</v>
      </c>
      <c r="L20" t="s">
        <v>23</v>
      </c>
      <c r="Q20">
        <v>1</v>
      </c>
    </row>
    <row r="21" spans="1:17" x14ac:dyDescent="0.25">
      <c r="B21" t="s">
        <v>17</v>
      </c>
      <c r="C21" t="s">
        <v>55</v>
      </c>
      <c r="D21" t="s">
        <v>56</v>
      </c>
      <c r="E21" t="s">
        <v>57</v>
      </c>
      <c r="F21" t="s">
        <v>58</v>
      </c>
      <c r="G21" s="6">
        <v>920</v>
      </c>
      <c r="H21" s="6">
        <v>30</v>
      </c>
      <c r="I21" s="6">
        <f t="shared" si="0"/>
        <v>890</v>
      </c>
      <c r="J21" t="s">
        <v>22</v>
      </c>
      <c r="K21" t="s">
        <v>22</v>
      </c>
      <c r="L21" t="s">
        <v>23</v>
      </c>
      <c r="Q21">
        <v>1</v>
      </c>
    </row>
    <row r="22" spans="1:17" x14ac:dyDescent="0.25">
      <c r="B22" t="s">
        <v>17</v>
      </c>
      <c r="C22" t="s">
        <v>85</v>
      </c>
      <c r="D22" t="s">
        <v>86</v>
      </c>
      <c r="E22" t="s">
        <v>87</v>
      </c>
      <c r="F22" t="s">
        <v>88</v>
      </c>
      <c r="G22" s="6">
        <v>695</v>
      </c>
      <c r="H22" s="6">
        <v>25</v>
      </c>
      <c r="I22" s="6">
        <f t="shared" si="0"/>
        <v>670</v>
      </c>
      <c r="J22" t="s">
        <v>22</v>
      </c>
      <c r="K22" t="s">
        <v>22</v>
      </c>
      <c r="L22" t="s">
        <v>23</v>
      </c>
      <c r="Q22">
        <v>1</v>
      </c>
    </row>
    <row r="23" spans="1:17" x14ac:dyDescent="0.25">
      <c r="B23" t="s">
        <v>17</v>
      </c>
      <c r="C23" t="s">
        <v>104</v>
      </c>
      <c r="D23" t="s">
        <v>105</v>
      </c>
      <c r="E23" t="s">
        <v>106</v>
      </c>
      <c r="F23" t="s">
        <v>107</v>
      </c>
      <c r="G23" s="6">
        <v>840</v>
      </c>
      <c r="H23" s="6">
        <v>20</v>
      </c>
      <c r="I23" s="6">
        <f t="shared" si="0"/>
        <v>820</v>
      </c>
      <c r="J23" t="s">
        <v>22</v>
      </c>
      <c r="K23" t="s">
        <v>22</v>
      </c>
      <c r="L23" t="s">
        <v>23</v>
      </c>
      <c r="Q23">
        <v>1</v>
      </c>
    </row>
    <row r="24" spans="1:17" x14ac:dyDescent="0.25">
      <c r="B24" t="s">
        <v>17</v>
      </c>
      <c r="C24" t="s">
        <v>119</v>
      </c>
      <c r="D24" t="s">
        <v>120</v>
      </c>
      <c r="E24" t="s">
        <v>121</v>
      </c>
      <c r="F24" t="s">
        <v>88</v>
      </c>
      <c r="G24" s="6">
        <v>695</v>
      </c>
      <c r="H24" s="6">
        <v>25</v>
      </c>
      <c r="I24" s="6">
        <f t="shared" si="0"/>
        <v>670</v>
      </c>
      <c r="J24" t="s">
        <v>22</v>
      </c>
      <c r="K24" t="s">
        <v>22</v>
      </c>
      <c r="L24" t="s">
        <v>23</v>
      </c>
      <c r="Q24">
        <v>1</v>
      </c>
    </row>
    <row r="25" spans="1:17" x14ac:dyDescent="0.25">
      <c r="B25" t="s">
        <v>17</v>
      </c>
      <c r="C25" t="s">
        <v>122</v>
      </c>
      <c r="D25" t="s">
        <v>123</v>
      </c>
      <c r="E25" t="s">
        <v>124</v>
      </c>
      <c r="F25" t="s">
        <v>88</v>
      </c>
      <c r="G25" s="6">
        <v>845</v>
      </c>
      <c r="H25" s="6">
        <v>25</v>
      </c>
      <c r="I25" s="6">
        <f t="shared" si="0"/>
        <v>820</v>
      </c>
      <c r="J25" t="s">
        <v>22</v>
      </c>
      <c r="K25" t="s">
        <v>22</v>
      </c>
      <c r="L25" t="s">
        <v>23</v>
      </c>
      <c r="Q25">
        <v>1</v>
      </c>
    </row>
    <row r="26" spans="1:17" x14ac:dyDescent="0.25">
      <c r="B26" t="s">
        <v>17</v>
      </c>
      <c r="C26" t="s">
        <v>125</v>
      </c>
      <c r="D26" t="s">
        <v>126</v>
      </c>
      <c r="E26" t="s">
        <v>127</v>
      </c>
      <c r="F26" t="s">
        <v>20</v>
      </c>
      <c r="G26" s="6">
        <v>615</v>
      </c>
      <c r="H26" s="6">
        <v>25</v>
      </c>
      <c r="I26" s="6">
        <f t="shared" si="0"/>
        <v>590</v>
      </c>
      <c r="J26" t="s">
        <v>22</v>
      </c>
      <c r="K26" t="s">
        <v>22</v>
      </c>
      <c r="L26" t="s">
        <v>23</v>
      </c>
      <c r="Q26">
        <v>1</v>
      </c>
    </row>
    <row r="27" spans="1:17" x14ac:dyDescent="0.25">
      <c r="A27" t="s">
        <v>16</v>
      </c>
      <c r="B27" t="s">
        <v>17</v>
      </c>
      <c r="C27" t="s">
        <v>18</v>
      </c>
      <c r="E27" t="s">
        <v>19</v>
      </c>
      <c r="F27" t="s">
        <v>20</v>
      </c>
      <c r="G27" s="6">
        <v>0</v>
      </c>
      <c r="H27" s="6">
        <v>30</v>
      </c>
      <c r="I27" s="6">
        <f t="shared" si="0"/>
        <v>-30</v>
      </c>
      <c r="J27" t="s">
        <v>21</v>
      </c>
      <c r="K27" t="s">
        <v>22</v>
      </c>
      <c r="L27" t="s">
        <v>23</v>
      </c>
      <c r="Q27">
        <v>1</v>
      </c>
    </row>
    <row r="28" spans="1:17" x14ac:dyDescent="0.25">
      <c r="A28" t="s">
        <v>16</v>
      </c>
      <c r="B28" t="s">
        <v>17</v>
      </c>
      <c r="C28" t="s">
        <v>24</v>
      </c>
      <c r="E28" t="s">
        <v>25</v>
      </c>
      <c r="F28" t="s">
        <v>20</v>
      </c>
      <c r="G28" s="6">
        <v>820</v>
      </c>
      <c r="H28" s="6">
        <v>30</v>
      </c>
      <c r="I28" s="6">
        <f t="shared" si="0"/>
        <v>790</v>
      </c>
      <c r="J28" t="s">
        <v>21</v>
      </c>
      <c r="K28" t="s">
        <v>22</v>
      </c>
      <c r="L28" t="s">
        <v>23</v>
      </c>
      <c r="Q28">
        <v>1</v>
      </c>
    </row>
    <row r="29" spans="1:17" x14ac:dyDescent="0.25">
      <c r="A29" t="s">
        <v>16</v>
      </c>
      <c r="B29" t="s">
        <v>17</v>
      </c>
      <c r="C29" t="s">
        <v>26</v>
      </c>
      <c r="E29" t="s">
        <v>27</v>
      </c>
      <c r="F29" s="6">
        <v>3</v>
      </c>
      <c r="G29" s="6">
        <v>0</v>
      </c>
      <c r="H29" s="6">
        <v>35</v>
      </c>
      <c r="I29" s="6">
        <f t="shared" si="0"/>
        <v>-35</v>
      </c>
      <c r="J29" t="s">
        <v>21</v>
      </c>
      <c r="K29" t="s">
        <v>22</v>
      </c>
      <c r="L29" t="s">
        <v>23</v>
      </c>
      <c r="Q29">
        <v>1</v>
      </c>
    </row>
    <row r="30" spans="1:17" x14ac:dyDescent="0.25">
      <c r="B30" t="s">
        <v>17</v>
      </c>
      <c r="C30" t="s">
        <v>31</v>
      </c>
      <c r="D30" t="s">
        <v>32</v>
      </c>
      <c r="E30" t="s">
        <v>33</v>
      </c>
      <c r="F30" s="6">
        <v>1</v>
      </c>
      <c r="G30" s="6">
        <v>845</v>
      </c>
      <c r="H30" s="6">
        <v>25</v>
      </c>
      <c r="I30" s="6">
        <f t="shared" si="0"/>
        <v>820</v>
      </c>
      <c r="J30" t="s">
        <v>21</v>
      </c>
      <c r="K30" t="s">
        <v>22</v>
      </c>
      <c r="L30" t="s">
        <v>23</v>
      </c>
      <c r="Q30">
        <v>1</v>
      </c>
    </row>
    <row r="31" spans="1:17" x14ac:dyDescent="0.25">
      <c r="B31" t="s">
        <v>17</v>
      </c>
      <c r="C31" t="s">
        <v>40</v>
      </c>
      <c r="D31" t="s">
        <v>41</v>
      </c>
      <c r="E31" t="s">
        <v>42</v>
      </c>
      <c r="F31" s="6">
        <v>4</v>
      </c>
      <c r="G31" s="6">
        <v>915</v>
      </c>
      <c r="H31" s="6">
        <v>25</v>
      </c>
      <c r="I31" s="6">
        <f t="shared" si="0"/>
        <v>890</v>
      </c>
      <c r="J31" t="s">
        <v>21</v>
      </c>
      <c r="K31" t="s">
        <v>22</v>
      </c>
      <c r="L31" t="s">
        <v>23</v>
      </c>
      <c r="Q31">
        <v>1</v>
      </c>
    </row>
    <row r="32" spans="1:17" x14ac:dyDescent="0.25">
      <c r="B32" t="s">
        <v>17</v>
      </c>
      <c r="C32" t="s">
        <v>46</v>
      </c>
      <c r="D32" t="s">
        <v>47</v>
      </c>
      <c r="E32" t="s">
        <v>48</v>
      </c>
      <c r="F32" s="6">
        <v>5</v>
      </c>
      <c r="G32" s="6">
        <v>0</v>
      </c>
      <c r="H32" s="6">
        <v>25</v>
      </c>
      <c r="I32" s="6">
        <f>-H32</f>
        <v>-25</v>
      </c>
      <c r="J32" t="s">
        <v>21</v>
      </c>
      <c r="K32" t="s">
        <v>22</v>
      </c>
      <c r="L32" t="s">
        <v>23</v>
      </c>
      <c r="Q32">
        <v>1</v>
      </c>
    </row>
    <row r="33" spans="1:17" x14ac:dyDescent="0.25">
      <c r="B33" t="s">
        <v>17</v>
      </c>
      <c r="C33" t="s">
        <v>49</v>
      </c>
      <c r="D33" t="s">
        <v>50</v>
      </c>
      <c r="E33" t="s">
        <v>51</v>
      </c>
      <c r="F33" t="s">
        <v>20</v>
      </c>
      <c r="G33" s="6">
        <v>1015</v>
      </c>
      <c r="H33" s="6">
        <v>25</v>
      </c>
      <c r="I33" s="6">
        <f>G33-H33</f>
        <v>990</v>
      </c>
      <c r="J33" t="s">
        <v>21</v>
      </c>
      <c r="K33" t="s">
        <v>22</v>
      </c>
      <c r="L33" t="s">
        <v>23</v>
      </c>
      <c r="Q33">
        <v>1</v>
      </c>
    </row>
    <row r="34" spans="1:17" x14ac:dyDescent="0.25">
      <c r="B34" t="s">
        <v>17</v>
      </c>
      <c r="C34" t="s">
        <v>95</v>
      </c>
      <c r="D34" t="s">
        <v>96</v>
      </c>
      <c r="E34" t="s">
        <v>97</v>
      </c>
      <c r="F34" s="6">
        <v>4</v>
      </c>
      <c r="G34" s="6">
        <v>1445</v>
      </c>
      <c r="H34" s="6">
        <v>25</v>
      </c>
      <c r="I34" s="6">
        <f>G34-H34</f>
        <v>1420</v>
      </c>
      <c r="J34" t="s">
        <v>21</v>
      </c>
      <c r="K34" t="s">
        <v>22</v>
      </c>
      <c r="L34" t="s">
        <v>23</v>
      </c>
      <c r="Q34">
        <v>1</v>
      </c>
    </row>
    <row r="35" spans="1:17" x14ac:dyDescent="0.25">
      <c r="B35" t="s">
        <v>17</v>
      </c>
      <c r="C35" t="s">
        <v>98</v>
      </c>
      <c r="D35" t="s">
        <v>99</v>
      </c>
      <c r="E35" t="s">
        <v>100</v>
      </c>
      <c r="F35" s="6">
        <v>1</v>
      </c>
      <c r="G35" s="6">
        <v>385</v>
      </c>
      <c r="H35" s="6">
        <v>25</v>
      </c>
      <c r="I35" s="6">
        <f>G35-H35</f>
        <v>360</v>
      </c>
      <c r="J35" t="s">
        <v>21</v>
      </c>
      <c r="K35" t="s">
        <v>22</v>
      </c>
      <c r="L35" t="s">
        <v>23</v>
      </c>
      <c r="Q35">
        <v>1</v>
      </c>
    </row>
    <row r="36" spans="1:17" x14ac:dyDescent="0.25">
      <c r="B36" t="s">
        <v>17</v>
      </c>
      <c r="C36" t="s">
        <v>101</v>
      </c>
      <c r="D36" t="s">
        <v>102</v>
      </c>
      <c r="E36" t="s">
        <v>103</v>
      </c>
      <c r="F36" s="6">
        <v>10</v>
      </c>
      <c r="G36" s="6">
        <v>845</v>
      </c>
      <c r="H36" s="6">
        <v>25</v>
      </c>
      <c r="I36" s="6">
        <f>G36-H36</f>
        <v>820</v>
      </c>
      <c r="J36" t="s">
        <v>21</v>
      </c>
      <c r="K36" t="s">
        <v>22</v>
      </c>
      <c r="L36" t="s">
        <v>23</v>
      </c>
      <c r="Q36">
        <v>1</v>
      </c>
    </row>
    <row r="37" spans="1:17" x14ac:dyDescent="0.25">
      <c r="B37" t="s">
        <v>17</v>
      </c>
      <c r="C37" t="s">
        <v>108</v>
      </c>
      <c r="D37" t="s">
        <v>109</v>
      </c>
      <c r="E37" t="s">
        <v>110</v>
      </c>
      <c r="F37" s="6">
        <v>10</v>
      </c>
      <c r="G37" s="6">
        <v>915</v>
      </c>
      <c r="H37" s="6">
        <v>25</v>
      </c>
      <c r="I37" s="6">
        <f>G37-H37</f>
        <v>890</v>
      </c>
      <c r="J37" t="s">
        <v>21</v>
      </c>
      <c r="K37" t="s">
        <v>22</v>
      </c>
      <c r="L37" t="s">
        <v>23</v>
      </c>
      <c r="Q37">
        <v>1</v>
      </c>
    </row>
    <row r="39" spans="1:17" x14ac:dyDescent="0.25">
      <c r="D39" s="1">
        <f>COUNTA(D3:D37)</f>
        <v>31</v>
      </c>
      <c r="G39" s="1">
        <f t="shared" ref="G39:Q39" si="1">SUBTOTAL(9,G3:G37)</f>
        <v>25355</v>
      </c>
      <c r="H39" s="1">
        <f t="shared" si="1"/>
        <v>955</v>
      </c>
      <c r="I39" s="1">
        <f t="shared" si="1"/>
        <v>24400</v>
      </c>
      <c r="J39" s="1">
        <f t="shared" si="1"/>
        <v>0</v>
      </c>
      <c r="K39" s="1">
        <f t="shared" si="1"/>
        <v>0</v>
      </c>
      <c r="L39" s="1">
        <f t="shared" si="1"/>
        <v>0</v>
      </c>
      <c r="M39" s="1">
        <f t="shared" si="1"/>
        <v>0</v>
      </c>
      <c r="N39" s="1">
        <f t="shared" si="1"/>
        <v>0</v>
      </c>
      <c r="O39" s="1">
        <f t="shared" si="1"/>
        <v>0</v>
      </c>
      <c r="P39" s="1">
        <f t="shared" si="1"/>
        <v>0</v>
      </c>
      <c r="Q39" s="1">
        <f t="shared" si="1"/>
        <v>35</v>
      </c>
    </row>
    <row r="40" spans="1:17" x14ac:dyDescent="0.25">
      <c r="H40">
        <f>-13*17</f>
        <v>-221</v>
      </c>
    </row>
    <row r="41" spans="1:17" x14ac:dyDescent="0.25">
      <c r="A41" s="1" t="s">
        <v>17</v>
      </c>
      <c r="C41" s="12" t="s">
        <v>131</v>
      </c>
      <c r="D41" s="12"/>
      <c r="E41" s="4" t="s">
        <v>132</v>
      </c>
      <c r="H41">
        <f>-3*25</f>
        <v>-75</v>
      </c>
      <c r="K41" s="7" t="s">
        <v>21</v>
      </c>
      <c r="L41" s="7" t="s">
        <v>133</v>
      </c>
      <c r="M41" s="7" t="s">
        <v>132</v>
      </c>
      <c r="O41" s="4" t="s">
        <v>134</v>
      </c>
    </row>
    <row r="42" spans="1:17" x14ac:dyDescent="0.25">
      <c r="A42" t="s">
        <v>23</v>
      </c>
      <c r="B42" s="3" t="s">
        <v>135</v>
      </c>
      <c r="C42" s="13">
        <f>SUMIFS(I$3:I$37,B$3:B$37,A$41,L$3:L$37,A$42)</f>
        <v>24400</v>
      </c>
      <c r="D42" s="13"/>
      <c r="E42" s="3">
        <f>SUMIFS(Q$3:Q$37,B$3:B$37,A$41,L$3:L$37,A$42)</f>
        <v>35</v>
      </c>
      <c r="F42" t="s">
        <v>136</v>
      </c>
      <c r="H42">
        <f>-1*30</f>
        <v>-30</v>
      </c>
      <c r="K42" t="s">
        <v>137</v>
      </c>
      <c r="L42">
        <f>SUMIFS(G$3:G$37,J$3:J$37,K$41)</f>
        <v>7185</v>
      </c>
      <c r="M42">
        <f>SUMIFS(Q$3:Q$37,J$3:J$37,K$41)</f>
        <v>11</v>
      </c>
      <c r="O42" t="s">
        <v>21</v>
      </c>
      <c r="P42">
        <f>L47</f>
        <v>6945</v>
      </c>
    </row>
    <row r="43" spans="1:17" x14ac:dyDescent="0.25">
      <c r="B43" s="2" t="s">
        <v>138</v>
      </c>
      <c r="C43" s="14">
        <v>0</v>
      </c>
      <c r="D43" s="14"/>
      <c r="K43" t="s">
        <v>139</v>
      </c>
      <c r="L43">
        <f>-SUMIFS(H$3:H$37,J$3:J$37,K$41)+M43*5</f>
        <v>-240</v>
      </c>
      <c r="M43">
        <f>SUMIFS(Q$3:Q$37,J$3:J$37,K$41)-COUNTIFS(J$3:J$37,K$41,M$3:M$37,"*gộp*")</f>
        <v>11</v>
      </c>
      <c r="O43" t="s">
        <v>140</v>
      </c>
      <c r="P43">
        <f>L55</f>
        <v>12534</v>
      </c>
    </row>
    <row r="44" spans="1:17" x14ac:dyDescent="0.25">
      <c r="B44" s="2" t="s">
        <v>141</v>
      </c>
      <c r="C44" s="14">
        <f>-SUMIFS(I$3:I$37,B$3:B$37,A$41,P$3:P$37,"xx",N$3:N$37,"x")</f>
        <v>0</v>
      </c>
      <c r="D44" s="14"/>
      <c r="E44" s="2">
        <f>SUMIFS(Q$3:Q$37,B$3:B$37,A$41,P$3:P$37,"xx",N$3:N$37,"x")</f>
        <v>0</v>
      </c>
      <c r="K44" t="s">
        <v>142</v>
      </c>
      <c r="O44" t="s">
        <v>22</v>
      </c>
      <c r="P44">
        <f>L63</f>
        <v>4420</v>
      </c>
    </row>
    <row r="45" spans="1:17" x14ac:dyDescent="0.25">
      <c r="B45" s="4" t="s">
        <v>143</v>
      </c>
      <c r="C45" s="12">
        <f>SUBTOTAL(9,C42:C44)</f>
        <v>24400</v>
      </c>
      <c r="D45" s="12"/>
      <c r="E45">
        <f>E42</f>
        <v>35</v>
      </c>
      <c r="K45" s="2" t="s">
        <v>144</v>
      </c>
      <c r="O45" t="s">
        <v>81</v>
      </c>
      <c r="P45">
        <f>L71</f>
        <v>675</v>
      </c>
    </row>
    <row r="46" spans="1:17" x14ac:dyDescent="0.25">
      <c r="B46" s="2" t="s">
        <v>145</v>
      </c>
      <c r="C46" s="10"/>
      <c r="D46" s="10"/>
      <c r="K46" s="2" t="s">
        <v>146</v>
      </c>
      <c r="O46" t="s">
        <v>147</v>
      </c>
      <c r="P46">
        <f>-C49</f>
        <v>-24400</v>
      </c>
    </row>
    <row r="47" spans="1:17" x14ac:dyDescent="0.25">
      <c r="B47" s="8" t="s">
        <v>148</v>
      </c>
      <c r="C47" s="10"/>
      <c r="D47" s="10"/>
      <c r="L47" s="9">
        <f>SUBTOTAL(9,L42:L46)</f>
        <v>6945</v>
      </c>
      <c r="M47" s="9">
        <f>M42</f>
        <v>11</v>
      </c>
      <c r="O47" s="4" t="s">
        <v>149</v>
      </c>
      <c r="P47" s="4">
        <f>SUBTOTAL(9,P42:P46)</f>
        <v>174</v>
      </c>
    </row>
    <row r="49" spans="2:13" x14ac:dyDescent="0.25">
      <c r="B49" s="1" t="s">
        <v>150</v>
      </c>
      <c r="C49" s="11">
        <f>C45+C46+C47</f>
        <v>24400</v>
      </c>
      <c r="D49" s="11"/>
      <c r="E49" s="1" t="s">
        <v>151</v>
      </c>
      <c r="K49" s="7" t="s">
        <v>30</v>
      </c>
      <c r="L49" s="7" t="s">
        <v>133</v>
      </c>
      <c r="M49" s="7" t="s">
        <v>132</v>
      </c>
    </row>
    <row r="50" spans="2:13" x14ac:dyDescent="0.25">
      <c r="K50" t="s">
        <v>137</v>
      </c>
      <c r="L50">
        <f>SUMIFS(G$3:G$37,J$3:J$37,K$49)</f>
        <v>12860</v>
      </c>
      <c r="M50">
        <f>SUMIFS(Q$3:Q$37,J$3:J$37,K$49)</f>
        <v>17</v>
      </c>
    </row>
    <row r="51" spans="2:13" x14ac:dyDescent="0.25">
      <c r="K51" t="s">
        <v>139</v>
      </c>
      <c r="L51">
        <f>SUM(H40:H42)</f>
        <v>-326</v>
      </c>
      <c r="M51">
        <f>SUMIFS(Q$3:Q$37,J$3:J$37,K$49)</f>
        <v>17</v>
      </c>
    </row>
    <row r="52" spans="2:13" x14ac:dyDescent="0.25">
      <c r="K52" t="s">
        <v>142</v>
      </c>
    </row>
    <row r="53" spans="2:13" x14ac:dyDescent="0.25">
      <c r="K53" s="2" t="s">
        <v>144</v>
      </c>
    </row>
    <row r="54" spans="2:13" x14ac:dyDescent="0.25">
      <c r="K54" s="2" t="s">
        <v>146</v>
      </c>
    </row>
    <row r="55" spans="2:13" x14ac:dyDescent="0.25">
      <c r="L55" s="9">
        <f>SUBTOTAL(9,L50:L54)</f>
        <v>12534</v>
      </c>
      <c r="M55" s="9">
        <f>M50</f>
        <v>17</v>
      </c>
    </row>
    <row r="57" spans="2:13" x14ac:dyDescent="0.25">
      <c r="K57" s="7" t="s">
        <v>22</v>
      </c>
      <c r="L57" s="7" t="s">
        <v>133</v>
      </c>
      <c r="M57" s="7" t="s">
        <v>132</v>
      </c>
    </row>
    <row r="58" spans="2:13" x14ac:dyDescent="0.25">
      <c r="K58" t="s">
        <v>137</v>
      </c>
      <c r="L58">
        <f>SUMIFS(G$3:G$37,J$3:J$37,K$57)</f>
        <v>4610</v>
      </c>
      <c r="M58">
        <f>SUMIFS(Q$3:Q$37,J$3:J$37,K$57)</f>
        <v>6</v>
      </c>
    </row>
    <row r="59" spans="2:13" x14ac:dyDescent="0.25">
      <c r="K59" t="s">
        <v>139</v>
      </c>
      <c r="L59">
        <f>-SUMIFS(H$3:H$37,J$3:J$37,K$57)+M59*5</f>
        <v>-120</v>
      </c>
      <c r="M59">
        <f>SUMIFS(Q$3:Q$37,J$3:J$37,K$57)-COUNTIFS(J$3:J$37,K$57,M$3:M$37,"*gộp*")</f>
        <v>6</v>
      </c>
    </row>
    <row r="60" spans="2:13" x14ac:dyDescent="0.25">
      <c r="K60" t="s">
        <v>142</v>
      </c>
      <c r="L60">
        <f>-M60*2</f>
        <v>-70</v>
      </c>
      <c r="M60">
        <f>Q39-(COUNTIFS(M$3:M$37,"*gộp*")/2)</f>
        <v>35</v>
      </c>
    </row>
    <row r="61" spans="2:13" x14ac:dyDescent="0.25">
      <c r="K61" s="2" t="s">
        <v>144</v>
      </c>
    </row>
    <row r="62" spans="2:13" x14ac:dyDescent="0.25">
      <c r="K62" s="2" t="s">
        <v>146</v>
      </c>
    </row>
    <row r="63" spans="2:13" x14ac:dyDescent="0.25">
      <c r="L63" s="9">
        <f>SUBTOTAL(9,L58:L62)</f>
        <v>4420</v>
      </c>
      <c r="M63" s="9">
        <f>M58</f>
        <v>6</v>
      </c>
    </row>
    <row r="65" spans="11:13" x14ac:dyDescent="0.25">
      <c r="K65" s="7" t="s">
        <v>81</v>
      </c>
      <c r="L65" s="7" t="s">
        <v>133</v>
      </c>
      <c r="M65" s="7" t="s">
        <v>132</v>
      </c>
    </row>
    <row r="66" spans="11:13" x14ac:dyDescent="0.25">
      <c r="K66" t="s">
        <v>137</v>
      </c>
      <c r="L66">
        <f>SUMIFS(G$3:G$37,J$3:J$37,K$65)</f>
        <v>700</v>
      </c>
      <c r="M66">
        <f>SUMIFS(Q$3:Q$37,J$3:J$37,K$65)</f>
        <v>1</v>
      </c>
    </row>
    <row r="67" spans="11:13" x14ac:dyDescent="0.25">
      <c r="K67" t="s">
        <v>139</v>
      </c>
      <c r="L67">
        <f>-SUMIFS(H$3:H$37,J$3:J$37,K$65)+M67*5</f>
        <v>-25</v>
      </c>
      <c r="M67">
        <f>SUMIFS(Q$3:Q$37,J$3:J$37,K$65)-COUNTIFS(J$3:J$37,K$65,M$3:M$37,"*gộp*")</f>
        <v>1</v>
      </c>
    </row>
    <row r="68" spans="11:13" x14ac:dyDescent="0.25">
      <c r="K68" t="s">
        <v>142</v>
      </c>
    </row>
    <row r="69" spans="11:13" x14ac:dyDescent="0.25">
      <c r="K69" s="2" t="s">
        <v>144</v>
      </c>
    </row>
    <row r="70" spans="11:13" x14ac:dyDescent="0.25">
      <c r="K70" s="2" t="s">
        <v>146</v>
      </c>
    </row>
    <row r="71" spans="11:13" x14ac:dyDescent="0.25">
      <c r="L71" s="9">
        <f>SUBTOTAL(9,L66:L70)</f>
        <v>675</v>
      </c>
      <c r="M71" s="9">
        <f>M66</f>
        <v>1</v>
      </c>
    </row>
  </sheetData>
  <autoFilter ref="A2:P37" xr:uid="{00000000-0009-0000-0000-000000000000}">
    <sortState xmlns:xlrd2="http://schemas.microsoft.com/office/spreadsheetml/2017/richdata2" ref="A3:P37">
      <sortCondition ref="J2:J37"/>
    </sortState>
  </autoFilter>
  <mergeCells count="8">
    <mergeCell ref="C46:D46"/>
    <mergeCell ref="C47:D47"/>
    <mergeCell ref="C49:D49"/>
    <mergeCell ref="C41:D41"/>
    <mergeCell ref="C42:D42"/>
    <mergeCell ref="C43:D43"/>
    <mergeCell ref="C44:D44"/>
    <mergeCell ref="C45:D45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2026-03-27T05:57:56Z</dcterms:created>
  <dcterms:modified xsi:type="dcterms:W3CDTF">2026-03-27T16:18:41Z</dcterms:modified>
</cp:coreProperties>
</file>