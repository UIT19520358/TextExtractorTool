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TextExtractorTool\data\Mar\17-03-2026\"/>
    </mc:Choice>
  </mc:AlternateContent>
  <xr:revisionPtr revIDLastSave="0" documentId="13_ncr:1_{16CD379C-B1BC-4980-82BB-52E4D1FED26E}" xr6:coauthVersionLast="47" xr6:coauthVersionMax="47" xr10:uidLastSave="{00000000-0000-0000-0000-000000000000}"/>
  <bookViews>
    <workbookView xWindow="-120" yWindow="-120" windowWidth="29040" windowHeight="15720" xr2:uid="{6EAF8504-9B99-4CC8-A026-1F30ACB00849}"/>
  </bookViews>
  <sheets>
    <sheet name="Sheet1" sheetId="1" r:id="rId1"/>
  </sheets>
  <definedNames>
    <definedName name="_xlnm._FilterDatabase" localSheetId="0" hidden="1">Sheet1!$A$2:$Q$2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" i="1" l="1"/>
  <c r="H28" i="1"/>
  <c r="I26" i="1" l="1"/>
  <c r="C30" i="1"/>
  <c r="M55" i="1"/>
  <c r="L55" i="1" s="1"/>
  <c r="M54" i="1"/>
  <c r="M59" i="1" s="1"/>
  <c r="L54" i="1"/>
  <c r="M47" i="1"/>
  <c r="M46" i="1"/>
  <c r="M51" i="1" s="1"/>
  <c r="L46" i="1"/>
  <c r="M39" i="1"/>
  <c r="L39" i="1" s="1"/>
  <c r="M38" i="1"/>
  <c r="M43" i="1" s="1"/>
  <c r="L38" i="1"/>
  <c r="E32" i="1"/>
  <c r="C32" i="1"/>
  <c r="M31" i="1"/>
  <c r="L31" i="1" s="1"/>
  <c r="E31" i="1"/>
  <c r="C31" i="1"/>
  <c r="M30" i="1"/>
  <c r="M35" i="1" s="1"/>
  <c r="L30" i="1"/>
  <c r="E30" i="1"/>
  <c r="E33" i="1" s="1"/>
  <c r="L47" i="1"/>
  <c r="Q26" i="1"/>
  <c r="P26" i="1"/>
  <c r="O26" i="1"/>
  <c r="N26" i="1"/>
  <c r="M26" i="1"/>
  <c r="L26" i="1"/>
  <c r="K26" i="1"/>
  <c r="J26" i="1"/>
  <c r="H26" i="1"/>
  <c r="G26" i="1"/>
  <c r="D26" i="1"/>
  <c r="I14" i="1"/>
  <c r="I24" i="1"/>
  <c r="I13" i="1"/>
  <c r="I4" i="1"/>
  <c r="I20" i="1"/>
  <c r="I19" i="1"/>
  <c r="I18" i="1"/>
  <c r="I12" i="1"/>
  <c r="I11" i="1"/>
  <c r="I10" i="1"/>
  <c r="I17" i="1"/>
  <c r="I9" i="1"/>
  <c r="I23" i="1"/>
  <c r="I3" i="1"/>
  <c r="I8" i="1"/>
  <c r="I7" i="1"/>
  <c r="I16" i="1"/>
  <c r="I6" i="1"/>
  <c r="I5" i="1"/>
  <c r="I22" i="1"/>
  <c r="I21" i="1"/>
  <c r="I15" i="1"/>
  <c r="L43" i="1" l="1"/>
  <c r="P31" i="1" s="1"/>
  <c r="L59" i="1"/>
  <c r="P33" i="1" s="1"/>
  <c r="C33" i="1"/>
  <c r="C37" i="1" s="1"/>
  <c r="P34" i="1" s="1"/>
  <c r="L51" i="1"/>
  <c r="P32" i="1" s="1"/>
  <c r="L35" i="1"/>
  <c r="P30" i="1" s="1"/>
  <c r="P35" i="1" l="1"/>
</calcChain>
</file>

<file path=xl/sharedStrings.xml><?xml version="1.0" encoding="utf-8"?>
<sst xmlns="http://schemas.openxmlformats.org/spreadsheetml/2006/main" count="235" uniqueCount="109">
  <si>
    <t>Tình trạng TT</t>
  </si>
  <si>
    <t>SHOP</t>
  </si>
  <si>
    <t>TÊN KH</t>
  </si>
  <si>
    <t>MÃ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</si>
  <si>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</si>
  <si>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</si>
  <si>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</si>
  <si>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</si>
  <si>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</si>
  <si>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</si>
  <si>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</si>
  <si>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</si>
  <si>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</si>
  <si>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</si>
  <si>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</si>
  <si>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tan binh</t>
  </si>
  <si>
    <t>go vap</t>
  </si>
  <si>
    <t>binh thanh</t>
  </si>
  <si>
    <t>c.cuong</t>
  </si>
  <si>
    <t>Tiền</t>
  </si>
  <si>
    <t>Số đơn</t>
  </si>
  <si>
    <t>Tiền Thu</t>
  </si>
  <si>
    <t>lợi nhuận</t>
  </si>
  <si>
    <t>cod</t>
  </si>
  <si>
    <t>Sài Gòn</t>
  </si>
  <si>
    <t>TỔNG ĐƠN NHẬN</t>
  </si>
  <si>
    <t>tiền ship</t>
  </si>
  <si>
    <t>Đơn trả &amp; c.khoản</t>
  </si>
  <si>
    <t>tiền lấy</t>
  </si>
  <si>
    <t>Tiền Hàng Hcm</t>
  </si>
  <si>
    <t>đơn trả</t>
  </si>
  <si>
    <t>đền đơn</t>
  </si>
  <si>
    <t>đơn cũ ck</t>
  </si>
  <si>
    <t>shop</t>
  </si>
  <si>
    <t>nợ cũ</t>
  </si>
  <si>
    <t>tổng</t>
  </si>
  <si>
    <t>THANH TOÁN</t>
  </si>
  <si>
    <t>ĐỊA CHỈ</t>
  </si>
  <si>
    <t>_col17</t>
  </si>
  <si>
    <t>ĐOÀN NGÂN CHÂU</t>
  </si>
  <si>
    <t>Ngọc Mơ</t>
  </si>
  <si>
    <t>HD002409</t>
  </si>
  <si>
    <t>107/7 huỳnh an khương p5</t>
  </si>
  <si>
    <t>17-03-2026</t>
  </si>
  <si>
    <t>Nhiew (FB Proud 'Pround)</t>
  </si>
  <si>
    <t>HD002453</t>
  </si>
  <si>
    <t>39 Đường Trần Quốc Hoàn, P. 4</t>
  </si>
  <si>
    <t>c.hieu</t>
  </si>
  <si>
    <t>Kim Chúc</t>
  </si>
  <si>
    <t>HD002412</t>
  </si>
  <si>
    <t>Hẻm 18B/73 Nguyễn thị minh khai đakao</t>
  </si>
  <si>
    <t>Giáng Hương</t>
  </si>
  <si>
    <t>HD002461</t>
  </si>
  <si>
    <t>111 đường số 10 phường 13</t>
  </si>
  <si>
    <t>AT 17-03</t>
  </si>
  <si>
    <t>hàng sỉ</t>
  </si>
  <si>
    <t>MIE</t>
  </si>
  <si>
    <t>275/14B1 Đặng Nguyên Cẩn, Phường Phú Lâm</t>
  </si>
  <si>
    <t>Nguyễn Trương Phương Oanh</t>
  </si>
  <si>
    <t>HD002339</t>
  </si>
  <si>
    <t>125/42/2 Bùi Đình Tuý, phường 14</t>
  </si>
  <si>
    <t>TUYẾT NHI ZL2</t>
  </si>
  <si>
    <t>170F Tân Hoà Đông f14</t>
  </si>
  <si>
    <t>Sun Na</t>
  </si>
  <si>
    <t>HD002443</t>
  </si>
  <si>
    <t>Chung cư cardinal court toà B</t>
  </si>
  <si>
    <t>Hồng Vân</t>
  </si>
  <si>
    <t>HD002584</t>
  </si>
  <si>
    <t>76 đặng nghiêm phường long thạnh mỹ</t>
  </si>
  <si>
    <t>a.quyen</t>
  </si>
  <si>
    <t>Dang Ngoc Anh</t>
  </si>
  <si>
    <t>HD002417</t>
  </si>
  <si>
    <t>G1 galaxy9</t>
  </si>
  <si>
    <t>Tuyết Nhi</t>
  </si>
  <si>
    <t>HD002420</t>
  </si>
  <si>
    <t>Block d2, chung cư sài gòn riverside (số 4 đào trí, phú thuận )</t>
  </si>
  <si>
    <t>An An</t>
  </si>
  <si>
    <t>HD002510</t>
  </si>
  <si>
    <t>115 Trần Thị Nghỉ, Hạnh Thông</t>
  </si>
  <si>
    <t>Nguyễn Hồng Ngát</t>
  </si>
  <si>
    <t>HD002462</t>
  </si>
  <si>
    <t>440 kinh dương vương, an lạc</t>
  </si>
  <si>
    <t>binh tan</t>
  </si>
  <si>
    <t>Trần Thị Kim Phương</t>
  </si>
  <si>
    <t>HD002362</t>
  </si>
  <si>
    <t>1870\1\98\14a tỉnh lộ 10 tân tạo</t>
  </si>
  <si>
    <t>Lưu Bích Ngọc</t>
  </si>
  <si>
    <t>HD002566</t>
  </si>
  <si>
    <t>133 nguyễn thị nhỏ p9</t>
  </si>
  <si>
    <t>jenny bouti</t>
  </si>
  <si>
    <t>401 Quang trung f10</t>
  </si>
  <si>
    <t>THU SHIP</t>
  </si>
  <si>
    <t>1122/23/7 quang trung phường 8</t>
  </si>
  <si>
    <t>Vũ Nguyễn (phương tw)</t>
  </si>
  <si>
    <t>74/3 Trần thái tông, phường 15</t>
  </si>
  <si>
    <t>NGÂN KIM</t>
  </si>
  <si>
    <t>T8-20 mahattan vinhomes Grand park</t>
  </si>
  <si>
    <t>Ngọc Thao Vu</t>
  </si>
  <si>
    <t>HD002439</t>
  </si>
  <si>
    <t>Riviera Points ( The View- Tháp 6) 02 Nguyễn văn tưởng</t>
  </si>
  <si>
    <t>tan phu</t>
  </si>
  <si>
    <t>BN8823</t>
  </si>
  <si>
    <t>163 Đường Trương Thị Hoa, phường Tân Thới Hiệp</t>
  </si>
  <si>
    <t>c bong fb thu hường</t>
  </si>
  <si>
    <t>HD002509</t>
  </si>
  <si>
    <t>391 phú thọ hòa</t>
  </si>
  <si>
    <t>Trừ Ship</t>
  </si>
  <si>
    <t>at 17-03</t>
  </si>
  <si>
    <t>CK Đủ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</si>
</sst>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Aptos Narrow"/>
      <family val="2"/>
    </font>
    <font>
      <sz val="11"/>
      <color rgb="FFFF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E0"/>
      </patternFill>
    </fill>
    <fill>
      <patternFill patternType="solid">
        <fgColor rgb="FFB0C4DE"/>
      </patternFill>
    </fill>
    <fill>
      <patternFill patternType="solid">
        <fgColor rgb="FFFFC87C"/>
      </patternFill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3" fontId="0" fillId="0" borderId="0" xfId="0" applyNumberFormat="1"/>
    <xf numFmtId="0" fontId="1" fillId="3" borderId="0" xfId="0" applyFont="1" applyFill="1"/>
    <xf numFmtId="0" fontId="1" fillId="0" borderId="0" xfId="0" applyFont="1"/>
    <xf numFmtId="0" fontId="1" fillId="4" borderId="0" xfId="0" applyFont="1" applyFill="1"/>
    <xf numFmtId="0" fontId="0" fillId="3" borderId="0" xfId="0" applyFill="1"/>
    <xf numFmtId="0" fontId="2" fillId="0" borderId="0" xfId="0" applyFont="1"/>
    <xf numFmtId="0" fontId="0" fillId="5" borderId="0" xfId="0" applyFill="1"/>
    <xf numFmtId="0" fontId="1" fillId="6" borderId="0" xfId="0" applyFont="1" applyFill="1"/>
    <xf numFmtId="0" fontId="0" fillId="0" borderId="0" xfId="0"/>
    <xf numFmtId="0" fontId="1" fillId="3" borderId="0" xfId="0" applyFont="1" applyFill="1"/>
    <xf numFmtId="0" fontId="1" fillId="0" borderId="0" xfId="0" applyFont="1"/>
    <xf numFmtId="0" fontId="0" fillId="3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F95A6-1E82-4AC8-A681-DBF8AEA4F795}">
  <dimension ref="A2:Q59"/>
  <sheetViews>
    <sheetView tabSelected="1" topLeftCell="A7" workbookViewId="0">
      <selection activeCell="L47" sqref="L47"/>
    </sheetView>
  </sheetViews>
  <sheetFormatPr defaultRowHeight="15" x14ac:dyDescent="0.25"/>
  <cols>
    <col min="1" max="1" width="12.28515625" customWidth="1"/>
    <col min="2" max="2" width="19.140625" customWidth="1"/>
    <col min="3" max="3" width="26.28515625" customWidth="1"/>
    <col min="4" max="4" width="10.140625" customWidth="1"/>
    <col min="5" max="5" width="52.42578125" customWidth="1"/>
    <col min="6" max="6" width="9.85546875" customWidth="1"/>
    <col min="7" max="7" width="10.140625" customWidth="1"/>
    <col min="8" max="8" width="10.5703125" customWidth="1"/>
    <col min="9" max="9" width="11.5703125" customWidth="1"/>
    <col min="10" max="10" width="9.85546875" customWidth="1"/>
    <col min="11" max="11" width="11.42578125" customWidth="1"/>
    <col min="12" max="12" width="10.7109375" customWidth="1"/>
    <col min="14" max="14" width="10.28515625" customWidth="1"/>
    <col min="15" max="15" width="11.140625" customWidth="1"/>
    <col min="16" max="16" width="7" bestFit="1" customWidth="1"/>
    <col min="17" max="17" width="6.42578125" customWidth="1"/>
  </cols>
  <sheetData>
    <row r="2" spans="1:1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37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38</v>
      </c>
    </row>
    <row r="3" spans="1:17" x14ac:dyDescent="0.25">
      <c r="B3" t="s">
        <v>39</v>
      </c>
      <c r="C3" t="s">
        <v>66</v>
      </c>
      <c r="D3" t="s">
        <v>67</v>
      </c>
      <c r="E3" t="s">
        <v>68</v>
      </c>
      <c r="F3" s="2">
        <v>9</v>
      </c>
      <c r="G3" s="2">
        <v>820</v>
      </c>
      <c r="H3" s="2">
        <v>30</v>
      </c>
      <c r="I3" s="2">
        <f>G3-H3</f>
        <v>790</v>
      </c>
      <c r="J3" t="s">
        <v>69</v>
      </c>
      <c r="K3" t="s">
        <v>18</v>
      </c>
      <c r="L3" t="s">
        <v>43</v>
      </c>
      <c r="Q3" s="2">
        <v>1</v>
      </c>
    </row>
    <row r="4" spans="1:17" x14ac:dyDescent="0.25">
      <c r="A4" t="s">
        <v>55</v>
      </c>
      <c r="B4" t="s">
        <v>39</v>
      </c>
      <c r="C4" t="s">
        <v>95</v>
      </c>
      <c r="E4" t="s">
        <v>96</v>
      </c>
      <c r="F4" s="2">
        <v>9</v>
      </c>
      <c r="G4" s="2">
        <v>805</v>
      </c>
      <c r="H4" s="2">
        <v>35</v>
      </c>
      <c r="I4" s="2">
        <f>G4-H4</f>
        <v>770</v>
      </c>
      <c r="J4" t="s">
        <v>69</v>
      </c>
      <c r="K4" t="s">
        <v>18</v>
      </c>
      <c r="L4" t="s">
        <v>43</v>
      </c>
      <c r="Q4" s="2">
        <v>1</v>
      </c>
    </row>
    <row r="5" spans="1:17" x14ac:dyDescent="0.25">
      <c r="B5" t="s">
        <v>39</v>
      </c>
      <c r="C5" t="s">
        <v>51</v>
      </c>
      <c r="D5" t="s">
        <v>52</v>
      </c>
      <c r="E5" t="s">
        <v>53</v>
      </c>
      <c r="F5" s="2">
        <v>6</v>
      </c>
      <c r="G5" s="2">
        <v>745</v>
      </c>
      <c r="H5" s="2">
        <v>25</v>
      </c>
      <c r="I5" s="2">
        <f>G5-H5</f>
        <v>720</v>
      </c>
      <c r="J5" t="s">
        <v>54</v>
      </c>
      <c r="K5" t="s">
        <v>18</v>
      </c>
      <c r="L5" t="s">
        <v>43</v>
      </c>
      <c r="Q5" s="2">
        <v>1</v>
      </c>
    </row>
    <row r="6" spans="1:17" x14ac:dyDescent="0.25">
      <c r="A6" t="s">
        <v>55</v>
      </c>
      <c r="B6" t="s">
        <v>39</v>
      </c>
      <c r="C6" t="s">
        <v>56</v>
      </c>
      <c r="E6" t="s">
        <v>57</v>
      </c>
      <c r="F6" s="2">
        <v>6</v>
      </c>
      <c r="G6" s="2">
        <v>0</v>
      </c>
      <c r="H6" s="2">
        <v>25</v>
      </c>
      <c r="I6" s="2">
        <f>-H6</f>
        <v>-25</v>
      </c>
      <c r="J6" t="s">
        <v>54</v>
      </c>
      <c r="K6" t="s">
        <v>18</v>
      </c>
      <c r="L6" t="s">
        <v>43</v>
      </c>
      <c r="Q6" s="2">
        <v>1</v>
      </c>
    </row>
    <row r="7" spans="1:17" x14ac:dyDescent="0.25">
      <c r="A7" t="s">
        <v>55</v>
      </c>
      <c r="B7" t="s">
        <v>39</v>
      </c>
      <c r="C7" t="s">
        <v>61</v>
      </c>
      <c r="E7" t="s">
        <v>62</v>
      </c>
      <c r="F7" s="2">
        <v>6</v>
      </c>
      <c r="G7" s="2">
        <v>650</v>
      </c>
      <c r="H7" s="2">
        <v>30</v>
      </c>
      <c r="I7" s="2">
        <f t="shared" ref="I7:I13" si="0">G7-H7</f>
        <v>620</v>
      </c>
      <c r="J7" t="s">
        <v>54</v>
      </c>
      <c r="K7" t="s">
        <v>18</v>
      </c>
      <c r="L7" t="s">
        <v>43</v>
      </c>
      <c r="Q7" s="2">
        <v>1</v>
      </c>
    </row>
    <row r="8" spans="1:17" x14ac:dyDescent="0.25">
      <c r="B8" t="s">
        <v>39</v>
      </c>
      <c r="C8" t="s">
        <v>63</v>
      </c>
      <c r="D8" t="s">
        <v>64</v>
      </c>
      <c r="E8" t="s">
        <v>65</v>
      </c>
      <c r="F8" s="2">
        <v>7</v>
      </c>
      <c r="G8" s="2">
        <v>610</v>
      </c>
      <c r="H8" s="2">
        <v>30</v>
      </c>
      <c r="I8" s="2">
        <f t="shared" si="0"/>
        <v>580</v>
      </c>
      <c r="J8" t="s">
        <v>54</v>
      </c>
      <c r="K8" t="s">
        <v>18</v>
      </c>
      <c r="L8" t="s">
        <v>43</v>
      </c>
      <c r="Q8" s="2">
        <v>1</v>
      </c>
    </row>
    <row r="9" spans="1:17" x14ac:dyDescent="0.25">
      <c r="B9" t="s">
        <v>39</v>
      </c>
      <c r="C9" t="s">
        <v>73</v>
      </c>
      <c r="D9" t="s">
        <v>74</v>
      </c>
      <c r="E9" t="s">
        <v>75</v>
      </c>
      <c r="F9" s="2">
        <v>7</v>
      </c>
      <c r="G9" s="2">
        <v>820</v>
      </c>
      <c r="H9" s="2">
        <v>30</v>
      </c>
      <c r="I9" s="2">
        <f t="shared" si="0"/>
        <v>790</v>
      </c>
      <c r="J9" t="s">
        <v>54</v>
      </c>
      <c r="K9" t="s">
        <v>18</v>
      </c>
      <c r="L9" t="s">
        <v>43</v>
      </c>
      <c r="Q9" s="2">
        <v>1</v>
      </c>
    </row>
    <row r="10" spans="1:17" x14ac:dyDescent="0.25">
      <c r="B10" t="s">
        <v>39</v>
      </c>
      <c r="C10" t="s">
        <v>79</v>
      </c>
      <c r="D10" t="s">
        <v>80</v>
      </c>
      <c r="E10" t="s">
        <v>81</v>
      </c>
      <c r="F10" t="s">
        <v>82</v>
      </c>
      <c r="G10" s="2">
        <v>770</v>
      </c>
      <c r="H10" s="2">
        <v>30</v>
      </c>
      <c r="I10" s="2">
        <f t="shared" si="0"/>
        <v>740</v>
      </c>
      <c r="J10" t="s">
        <v>54</v>
      </c>
      <c r="K10" t="s">
        <v>18</v>
      </c>
      <c r="L10" t="s">
        <v>43</v>
      </c>
      <c r="Q10" s="2">
        <v>1</v>
      </c>
    </row>
    <row r="11" spans="1:17" x14ac:dyDescent="0.25">
      <c r="B11" t="s">
        <v>39</v>
      </c>
      <c r="C11" t="s">
        <v>83</v>
      </c>
      <c r="D11" t="s">
        <v>84</v>
      </c>
      <c r="E11" t="s">
        <v>85</v>
      </c>
      <c r="F11" t="s">
        <v>82</v>
      </c>
      <c r="G11" s="2">
        <v>820</v>
      </c>
      <c r="H11" s="2">
        <v>30</v>
      </c>
      <c r="I11" s="2">
        <f t="shared" si="0"/>
        <v>790</v>
      </c>
      <c r="J11" t="s">
        <v>54</v>
      </c>
      <c r="K11" t="s">
        <v>18</v>
      </c>
      <c r="L11" t="s">
        <v>43</v>
      </c>
      <c r="Q11" s="2">
        <v>1</v>
      </c>
    </row>
    <row r="12" spans="1:17" x14ac:dyDescent="0.25">
      <c r="B12" t="s">
        <v>39</v>
      </c>
      <c r="C12" t="s">
        <v>86</v>
      </c>
      <c r="D12" t="s">
        <v>87</v>
      </c>
      <c r="E12" t="s">
        <v>88</v>
      </c>
      <c r="F12" t="s">
        <v>15</v>
      </c>
      <c r="G12" s="2">
        <v>945</v>
      </c>
      <c r="H12" s="2">
        <v>25</v>
      </c>
      <c r="I12" s="2">
        <f t="shared" si="0"/>
        <v>920</v>
      </c>
      <c r="J12" t="s">
        <v>54</v>
      </c>
      <c r="K12" t="s">
        <v>18</v>
      </c>
      <c r="L12" t="s">
        <v>43</v>
      </c>
      <c r="Q12" s="2">
        <v>1</v>
      </c>
    </row>
    <row r="13" spans="1:17" x14ac:dyDescent="0.25">
      <c r="B13" t="s">
        <v>39</v>
      </c>
      <c r="C13" t="s">
        <v>97</v>
      </c>
      <c r="D13" t="s">
        <v>98</v>
      </c>
      <c r="E13" t="s">
        <v>99</v>
      </c>
      <c r="F13" t="s">
        <v>100</v>
      </c>
      <c r="G13" s="2">
        <v>730</v>
      </c>
      <c r="H13" s="2">
        <v>30</v>
      </c>
      <c r="I13" s="2">
        <f t="shared" si="0"/>
        <v>700</v>
      </c>
      <c r="J13" t="s">
        <v>54</v>
      </c>
      <c r="K13" t="s">
        <v>18</v>
      </c>
      <c r="L13" t="s">
        <v>43</v>
      </c>
      <c r="Q13" s="2">
        <v>1</v>
      </c>
    </row>
    <row r="14" spans="1:17" x14ac:dyDescent="0.25">
      <c r="B14" t="s">
        <v>39</v>
      </c>
      <c r="C14" t="s">
        <v>103</v>
      </c>
      <c r="D14" t="s">
        <v>104</v>
      </c>
      <c r="E14" t="s">
        <v>105</v>
      </c>
      <c r="F14" t="s">
        <v>100</v>
      </c>
      <c r="G14" s="2">
        <v>0</v>
      </c>
      <c r="H14" s="2">
        <v>25</v>
      </c>
      <c r="I14" s="2">
        <f>-H14</f>
        <v>-25</v>
      </c>
      <c r="J14" t="s">
        <v>54</v>
      </c>
      <c r="K14" t="s">
        <v>18</v>
      </c>
      <c r="L14" t="s">
        <v>43</v>
      </c>
      <c r="Q14" s="2">
        <v>1</v>
      </c>
    </row>
    <row r="15" spans="1:17" x14ac:dyDescent="0.25">
      <c r="B15" t="s">
        <v>39</v>
      </c>
      <c r="C15" t="s">
        <v>40</v>
      </c>
      <c r="D15" t="s">
        <v>41</v>
      </c>
      <c r="E15" t="s">
        <v>42</v>
      </c>
      <c r="F15" t="s">
        <v>16</v>
      </c>
      <c r="G15" s="2">
        <v>745</v>
      </c>
      <c r="H15" s="2">
        <v>25</v>
      </c>
      <c r="I15" s="2">
        <f>G15-H15</f>
        <v>720</v>
      </c>
      <c r="J15" t="s">
        <v>18</v>
      </c>
      <c r="K15" t="s">
        <v>18</v>
      </c>
      <c r="L15" t="s">
        <v>43</v>
      </c>
      <c r="Q15" s="2">
        <v>1</v>
      </c>
    </row>
    <row r="16" spans="1:17" x14ac:dyDescent="0.25">
      <c r="B16" t="s">
        <v>39</v>
      </c>
      <c r="C16" t="s">
        <v>58</v>
      </c>
      <c r="D16" t="s">
        <v>59</v>
      </c>
      <c r="E16" t="s">
        <v>60</v>
      </c>
      <c r="F16" t="s">
        <v>17</v>
      </c>
      <c r="G16" s="2">
        <v>0</v>
      </c>
      <c r="H16" s="2">
        <v>20</v>
      </c>
      <c r="I16" s="2">
        <f>-H16</f>
        <v>-20</v>
      </c>
      <c r="J16" t="s">
        <v>18</v>
      </c>
      <c r="K16" t="s">
        <v>18</v>
      </c>
      <c r="L16" t="s">
        <v>43</v>
      </c>
      <c r="Q16" s="2">
        <v>1</v>
      </c>
    </row>
    <row r="17" spans="1:17" x14ac:dyDescent="0.25">
      <c r="B17" t="s">
        <v>39</v>
      </c>
      <c r="C17" t="s">
        <v>76</v>
      </c>
      <c r="D17" t="s">
        <v>77</v>
      </c>
      <c r="E17" t="s">
        <v>78</v>
      </c>
      <c r="F17" t="s">
        <v>16</v>
      </c>
      <c r="G17" s="2">
        <v>915</v>
      </c>
      <c r="H17" s="2">
        <v>25</v>
      </c>
      <c r="I17" s="2">
        <f>G17-H17</f>
        <v>890</v>
      </c>
      <c r="J17" t="s">
        <v>18</v>
      </c>
      <c r="K17" t="s">
        <v>18</v>
      </c>
      <c r="L17" t="s">
        <v>43</v>
      </c>
      <c r="Q17" s="2">
        <v>1</v>
      </c>
    </row>
    <row r="18" spans="1:17" x14ac:dyDescent="0.25">
      <c r="A18" t="s">
        <v>55</v>
      </c>
      <c r="B18" t="s">
        <v>39</v>
      </c>
      <c r="C18" t="s">
        <v>89</v>
      </c>
      <c r="E18" t="s">
        <v>90</v>
      </c>
      <c r="F18" t="s">
        <v>16</v>
      </c>
      <c r="G18" s="2">
        <v>1920</v>
      </c>
      <c r="H18" s="2">
        <v>30</v>
      </c>
      <c r="I18" s="2">
        <f>G18-H18</f>
        <v>1890</v>
      </c>
      <c r="J18" t="s">
        <v>18</v>
      </c>
      <c r="K18" t="s">
        <v>18</v>
      </c>
      <c r="L18" t="s">
        <v>43</v>
      </c>
      <c r="Q18" s="2">
        <v>1</v>
      </c>
    </row>
    <row r="19" spans="1:17" x14ac:dyDescent="0.25">
      <c r="A19" t="s">
        <v>55</v>
      </c>
      <c r="B19" t="s">
        <v>39</v>
      </c>
      <c r="C19" t="s">
        <v>91</v>
      </c>
      <c r="E19" t="s">
        <v>92</v>
      </c>
      <c r="F19" t="s">
        <v>16</v>
      </c>
      <c r="G19" s="2">
        <v>30</v>
      </c>
      <c r="H19" s="2">
        <v>30</v>
      </c>
      <c r="I19" s="2">
        <f>G19-H19</f>
        <v>0</v>
      </c>
      <c r="J19" t="s">
        <v>18</v>
      </c>
      <c r="K19" t="s">
        <v>18</v>
      </c>
      <c r="L19" t="s">
        <v>43</v>
      </c>
      <c r="Q19" s="2">
        <v>1</v>
      </c>
    </row>
    <row r="20" spans="1:17" x14ac:dyDescent="0.25">
      <c r="A20" t="s">
        <v>55</v>
      </c>
      <c r="B20" t="s">
        <v>39</v>
      </c>
      <c r="C20" t="s">
        <v>93</v>
      </c>
      <c r="E20" t="s">
        <v>94</v>
      </c>
      <c r="F20" t="s">
        <v>15</v>
      </c>
      <c r="G20" s="2">
        <v>35</v>
      </c>
      <c r="H20" s="2">
        <v>35</v>
      </c>
      <c r="I20" s="2">
        <f>G20-H20</f>
        <v>0</v>
      </c>
      <c r="J20" t="s">
        <v>18</v>
      </c>
      <c r="K20" t="s">
        <v>18</v>
      </c>
      <c r="L20" t="s">
        <v>43</v>
      </c>
      <c r="Q20" s="2">
        <v>1</v>
      </c>
    </row>
    <row r="21" spans="1:17" x14ac:dyDescent="0.25">
      <c r="B21" t="s">
        <v>39</v>
      </c>
      <c r="C21" t="s">
        <v>44</v>
      </c>
      <c r="D21" t="s">
        <v>45</v>
      </c>
      <c r="E21" t="s">
        <v>46</v>
      </c>
      <c r="F21" t="s">
        <v>15</v>
      </c>
      <c r="G21" s="2">
        <v>0</v>
      </c>
      <c r="H21" s="2">
        <v>25</v>
      </c>
      <c r="I21" s="2">
        <f>-H21</f>
        <v>-25</v>
      </c>
      <c r="J21" t="s">
        <v>47</v>
      </c>
      <c r="K21" t="s">
        <v>18</v>
      </c>
      <c r="L21" t="s">
        <v>43</v>
      </c>
      <c r="Q21" s="2">
        <v>1</v>
      </c>
    </row>
    <row r="22" spans="1:17" x14ac:dyDescent="0.25">
      <c r="B22" t="s">
        <v>39</v>
      </c>
      <c r="C22" t="s">
        <v>48</v>
      </c>
      <c r="D22" t="s">
        <v>49</v>
      </c>
      <c r="E22" t="s">
        <v>50</v>
      </c>
      <c r="F22" s="2">
        <v>1</v>
      </c>
      <c r="G22" s="2">
        <v>755</v>
      </c>
      <c r="H22" s="2">
        <v>25</v>
      </c>
      <c r="I22" s="2">
        <f>G22-H22</f>
        <v>730</v>
      </c>
      <c r="J22" t="s">
        <v>47</v>
      </c>
      <c r="K22" t="s">
        <v>18</v>
      </c>
      <c r="L22" t="s">
        <v>43</v>
      </c>
      <c r="Q22" s="2">
        <v>1</v>
      </c>
    </row>
    <row r="23" spans="1:17" x14ac:dyDescent="0.25">
      <c r="B23" t="s">
        <v>39</v>
      </c>
      <c r="C23" t="s">
        <v>70</v>
      </c>
      <c r="D23" t="s">
        <v>71</v>
      </c>
      <c r="E23" t="s">
        <v>72</v>
      </c>
      <c r="F23" s="2">
        <v>4</v>
      </c>
      <c r="G23" s="2">
        <v>815</v>
      </c>
      <c r="H23" s="2">
        <v>25</v>
      </c>
      <c r="I23" s="2">
        <f>G23-H23</f>
        <v>790</v>
      </c>
      <c r="J23" t="s">
        <v>47</v>
      </c>
      <c r="K23" t="s">
        <v>18</v>
      </c>
      <c r="L23" t="s">
        <v>43</v>
      </c>
      <c r="Q23" s="2">
        <v>1</v>
      </c>
    </row>
    <row r="24" spans="1:17" x14ac:dyDescent="0.25">
      <c r="A24" t="s">
        <v>55</v>
      </c>
      <c r="B24" t="s">
        <v>39</v>
      </c>
      <c r="C24" t="s">
        <v>101</v>
      </c>
      <c r="E24" t="s">
        <v>102</v>
      </c>
      <c r="F24" s="2">
        <v>12</v>
      </c>
      <c r="G24" s="2">
        <v>0</v>
      </c>
      <c r="H24" s="2">
        <v>45</v>
      </c>
      <c r="I24" s="2">
        <f>G24-H24</f>
        <v>-45</v>
      </c>
      <c r="J24" t="s">
        <v>47</v>
      </c>
      <c r="K24" t="s">
        <v>18</v>
      </c>
      <c r="L24" t="s">
        <v>43</v>
      </c>
      <c r="Q24" s="2">
        <v>1</v>
      </c>
    </row>
    <row r="26" spans="1:17" x14ac:dyDescent="0.25">
      <c r="D26" s="3">
        <f>COUNTA(D3:D24)</f>
        <v>15</v>
      </c>
      <c r="G26" s="3">
        <f t="shared" ref="G26:Q26" si="1">SUBTOTAL(9,G3:G24)</f>
        <v>12930</v>
      </c>
      <c r="H26" s="3">
        <f t="shared" si="1"/>
        <v>630</v>
      </c>
      <c r="I26" s="3">
        <f>SUBTOTAL(9,I3:I24)</f>
        <v>12300</v>
      </c>
      <c r="J26" s="3">
        <f t="shared" si="1"/>
        <v>0</v>
      </c>
      <c r="K26" s="3">
        <f t="shared" si="1"/>
        <v>0</v>
      </c>
      <c r="L26" s="3">
        <f t="shared" si="1"/>
        <v>0</v>
      </c>
      <c r="M26" s="3">
        <f t="shared" si="1"/>
        <v>0</v>
      </c>
      <c r="N26" s="3">
        <f t="shared" si="1"/>
        <v>0</v>
      </c>
      <c r="O26" s="3">
        <f t="shared" si="1"/>
        <v>0</v>
      </c>
      <c r="P26" s="3">
        <f t="shared" si="1"/>
        <v>0</v>
      </c>
      <c r="Q26" s="3">
        <f t="shared" si="1"/>
        <v>22</v>
      </c>
    </row>
    <row r="27" spans="1:17" x14ac:dyDescent="0.25">
      <c r="H27">
        <f>-8*17</f>
        <v>-136</v>
      </c>
    </row>
    <row r="28" spans="1:17" x14ac:dyDescent="0.25">
      <c r="H28">
        <f>-2*25</f>
        <v>-50</v>
      </c>
    </row>
    <row r="29" spans="1:17" x14ac:dyDescent="0.25">
      <c r="A29" s="3" t="s">
        <v>39</v>
      </c>
      <c r="C29" s="12" t="s">
        <v>19</v>
      </c>
      <c r="D29" s="12"/>
      <c r="E29" s="4" t="s">
        <v>20</v>
      </c>
      <c r="K29" s="5" t="s">
        <v>18</v>
      </c>
      <c r="L29" s="5" t="s">
        <v>21</v>
      </c>
      <c r="M29" s="5" t="s">
        <v>20</v>
      </c>
      <c r="O29" s="4" t="s">
        <v>22</v>
      </c>
    </row>
    <row r="30" spans="1:17" x14ac:dyDescent="0.25">
      <c r="A30" t="s">
        <v>43</v>
      </c>
      <c r="B30" s="6" t="s">
        <v>23</v>
      </c>
      <c r="C30" s="13">
        <f>SUMIFS(G$3:G$24,B$3:B$24,A$29,L$3:L$24,A$30)</f>
        <v>12930</v>
      </c>
      <c r="D30" s="13"/>
      <c r="E30" s="6">
        <f>SUMIFS(Q$3:Q$24,B$3:B$24,A$29,L$3:L$24,A$30)</f>
        <v>22</v>
      </c>
      <c r="F30" t="s">
        <v>24</v>
      </c>
      <c r="K30" t="s">
        <v>25</v>
      </c>
      <c r="L30">
        <f>SUMIFS(G$3:G$24,J$3:J$24,K$29)</f>
        <v>3645</v>
      </c>
      <c r="M30">
        <f>SUMIFS(Q$3:Q$24,J$3:J$24,K$29)</f>
        <v>6</v>
      </c>
      <c r="O30" t="s">
        <v>18</v>
      </c>
      <c r="P30">
        <f>L35</f>
        <v>3510</v>
      </c>
    </row>
    <row r="31" spans="1:17" x14ac:dyDescent="0.25">
      <c r="B31" s="7" t="s">
        <v>106</v>
      </c>
      <c r="C31" s="14">
        <f>-SUMIFS(H$3:H$111,$B$3:$B$111,$A29,$L$3:$L$111,$A30)</f>
        <v>-630</v>
      </c>
      <c r="D31" s="14"/>
      <c r="E31">
        <f>SUMIFS(Q$3:Q$111,$B$3:$B$111,$A29,$L$3:$L$111,$A30)</f>
        <v>22</v>
      </c>
      <c r="K31" t="s">
        <v>26</v>
      </c>
      <c r="L31">
        <f>-SUMIFS(H$3:H$24,J$3:J$24,K$29)+M31*5</f>
        <v>-135</v>
      </c>
      <c r="M31">
        <f>SUMIFS(Q$3:Q$24,J$3:J$24,K$29)-COUNTIFS(J$3:J$24,K$29,M$3:M$24,"*gộp*")</f>
        <v>6</v>
      </c>
      <c r="O31" t="s">
        <v>47</v>
      </c>
      <c r="P31">
        <f>L43</f>
        <v>1470</v>
      </c>
    </row>
    <row r="32" spans="1:17" x14ac:dyDescent="0.25">
      <c r="B32" s="7" t="s">
        <v>27</v>
      </c>
      <c r="C32" s="14">
        <f>-SUMIFS(I$3:I$24,B$3:B$24,A$29,P$3:P$24,"xx",N$3:N$24,"x")</f>
        <v>0</v>
      </c>
      <c r="D32" s="14"/>
      <c r="E32" s="7">
        <f>SUMIFS(Q$3:Q$24,B$3:B$24,A$29,P$3:P$24,"xx",N$3:N$24,"x")</f>
        <v>0</v>
      </c>
      <c r="K32" t="s">
        <v>28</v>
      </c>
      <c r="O32" t="s">
        <v>107</v>
      </c>
      <c r="P32">
        <f>L51</f>
        <v>5904</v>
      </c>
    </row>
    <row r="33" spans="2:16" x14ac:dyDescent="0.25">
      <c r="B33" s="4" t="s">
        <v>29</v>
      </c>
      <c r="C33" s="12">
        <f>SUBTOTAL(9,C30:C32)</f>
        <v>12300</v>
      </c>
      <c r="D33" s="12"/>
      <c r="E33">
        <f>E30</f>
        <v>22</v>
      </c>
      <c r="K33" s="7" t="s">
        <v>30</v>
      </c>
      <c r="O33" t="s">
        <v>69</v>
      </c>
      <c r="P33">
        <f>L59</f>
        <v>1570</v>
      </c>
    </row>
    <row r="34" spans="2:16" x14ac:dyDescent="0.25">
      <c r="B34" s="7" t="s">
        <v>31</v>
      </c>
      <c r="C34" s="10"/>
      <c r="D34" s="10"/>
      <c r="K34" s="7" t="s">
        <v>32</v>
      </c>
      <c r="O34" t="s">
        <v>33</v>
      </c>
      <c r="P34">
        <f>-C37</f>
        <v>-12300</v>
      </c>
    </row>
    <row r="35" spans="2:16" x14ac:dyDescent="0.25">
      <c r="B35" s="8" t="s">
        <v>34</v>
      </c>
      <c r="C35" s="10"/>
      <c r="D35" s="10"/>
      <c r="L35" s="9">
        <f>SUBTOTAL(9,L30:L34)</f>
        <v>3510</v>
      </c>
      <c r="M35" s="9">
        <f>M30</f>
        <v>6</v>
      </c>
      <c r="O35" s="4" t="s">
        <v>35</v>
      </c>
      <c r="P35" s="4">
        <f>SUBTOTAL(9,P30:P34)</f>
        <v>154</v>
      </c>
    </row>
    <row r="37" spans="2:16" x14ac:dyDescent="0.25">
      <c r="B37" s="3" t="s">
        <v>36</v>
      </c>
      <c r="C37" s="11">
        <f>C33+C34+C35</f>
        <v>12300</v>
      </c>
      <c r="D37" s="11"/>
      <c r="E37" s="3" t="s">
        <v>108</v>
      </c>
      <c r="K37" s="5" t="s">
        <v>47</v>
      </c>
      <c r="L37" s="5" t="s">
        <v>21</v>
      </c>
      <c r="M37" s="5" t="s">
        <v>20</v>
      </c>
    </row>
    <row r="38" spans="2:16" x14ac:dyDescent="0.25">
      <c r="K38" t="s">
        <v>25</v>
      </c>
      <c r="L38">
        <f>SUMIFS(G$3:G$24,J$3:J$24,K$37)</f>
        <v>1570</v>
      </c>
      <c r="M38">
        <f>SUMIFS(Q$3:Q$24,J$3:J$24,K$37)</f>
        <v>4</v>
      </c>
    </row>
    <row r="39" spans="2:16" x14ac:dyDescent="0.25">
      <c r="K39" t="s">
        <v>26</v>
      </c>
      <c r="L39">
        <f>-SUMIFS(H$3:H$24,J$3:J$24,K$37)+M39*5</f>
        <v>-100</v>
      </c>
      <c r="M39">
        <f>SUMIFS(Q$3:Q$24,J$3:J$24,K$37)-COUNTIFS(J$3:J$24,K$37,M$3:M$24,"*gộp*")</f>
        <v>4</v>
      </c>
    </row>
    <row r="40" spans="2:16" x14ac:dyDescent="0.25">
      <c r="K40" t="s">
        <v>28</v>
      </c>
    </row>
    <row r="41" spans="2:16" x14ac:dyDescent="0.25">
      <c r="K41" s="7" t="s">
        <v>30</v>
      </c>
    </row>
    <row r="42" spans="2:16" x14ac:dyDescent="0.25">
      <c r="K42" s="7" t="s">
        <v>32</v>
      </c>
    </row>
    <row r="43" spans="2:16" x14ac:dyDescent="0.25">
      <c r="L43" s="9">
        <f>SUBTOTAL(9,L38:L42)</f>
        <v>1470</v>
      </c>
      <c r="M43" s="9">
        <f>M38</f>
        <v>4</v>
      </c>
    </row>
    <row r="45" spans="2:16" x14ac:dyDescent="0.25">
      <c r="K45" s="5" t="s">
        <v>54</v>
      </c>
      <c r="L45" s="5" t="s">
        <v>21</v>
      </c>
      <c r="M45" s="5" t="s">
        <v>20</v>
      </c>
    </row>
    <row r="46" spans="2:16" x14ac:dyDescent="0.25">
      <c r="K46" t="s">
        <v>25</v>
      </c>
      <c r="L46">
        <f>SUMIFS(G$3:G$24,J$3:J$24,K$45)</f>
        <v>6090</v>
      </c>
      <c r="M46">
        <f>SUMIFS(Q$3:Q$24,J$3:J$24,K$45)</f>
        <v>10</v>
      </c>
    </row>
    <row r="47" spans="2:16" x14ac:dyDescent="0.25">
      <c r="K47" t="s">
        <v>26</v>
      </c>
      <c r="L47">
        <f>SUM(H27:H28)</f>
        <v>-186</v>
      </c>
      <c r="M47">
        <f>SUMIFS(Q$3:Q$24,J$3:J$24,K$45)-COUNTIFS(J$3:J$24,K$45,M$3:M$24,"*gộp*")</f>
        <v>10</v>
      </c>
    </row>
    <row r="48" spans="2:16" x14ac:dyDescent="0.25">
      <c r="K48" t="s">
        <v>28</v>
      </c>
    </row>
    <row r="49" spans="11:13" x14ac:dyDescent="0.25">
      <c r="K49" s="7" t="s">
        <v>30</v>
      </c>
    </row>
    <row r="50" spans="11:13" x14ac:dyDescent="0.25">
      <c r="K50" s="7" t="s">
        <v>32</v>
      </c>
    </row>
    <row r="51" spans="11:13" x14ac:dyDescent="0.25">
      <c r="L51" s="9">
        <f>SUBTOTAL(9,L46:L50)</f>
        <v>5904</v>
      </c>
      <c r="M51" s="9">
        <f>M46</f>
        <v>10</v>
      </c>
    </row>
    <row r="53" spans="11:13" x14ac:dyDescent="0.25">
      <c r="K53" s="5" t="s">
        <v>69</v>
      </c>
      <c r="L53" s="5" t="s">
        <v>21</v>
      </c>
      <c r="M53" s="5" t="s">
        <v>20</v>
      </c>
    </row>
    <row r="54" spans="11:13" x14ac:dyDescent="0.25">
      <c r="K54" t="s">
        <v>25</v>
      </c>
      <c r="L54">
        <f>SUMIFS(G$3:G$24,J$3:J$24,K$53)</f>
        <v>1625</v>
      </c>
      <c r="M54">
        <f>SUMIFS(Q$3:Q$24,J$3:J$24,K$53)</f>
        <v>2</v>
      </c>
    </row>
    <row r="55" spans="11:13" x14ac:dyDescent="0.25">
      <c r="K55" t="s">
        <v>26</v>
      </c>
      <c r="L55">
        <f>-SUMIFS(H$3:H$24,J$3:J$24,K$53)+M55*5</f>
        <v>-55</v>
      </c>
      <c r="M55">
        <f>SUMIFS(Q$3:Q$24,J$3:J$24,K$53)-COUNTIFS(J$3:J$24,K$53,M$3:M$24,"*gộp*")</f>
        <v>2</v>
      </c>
    </row>
    <row r="56" spans="11:13" x14ac:dyDescent="0.25">
      <c r="K56" t="s">
        <v>28</v>
      </c>
    </row>
    <row r="57" spans="11:13" x14ac:dyDescent="0.25">
      <c r="K57" s="7" t="s">
        <v>30</v>
      </c>
    </row>
    <row r="58" spans="11:13" x14ac:dyDescent="0.25">
      <c r="K58" s="7" t="s">
        <v>32</v>
      </c>
    </row>
    <row r="59" spans="11:13" x14ac:dyDescent="0.25">
      <c r="L59" s="9">
        <f>SUBTOTAL(9,L54:L58)</f>
        <v>1570</v>
      </c>
      <c r="M59" s="9">
        <f>M54</f>
        <v>2</v>
      </c>
    </row>
  </sheetData>
  <autoFilter ref="A2:Q2" xr:uid="{21EF95A6-1E82-4AC8-A681-DBF8AEA4F795}">
    <sortState xmlns:xlrd2="http://schemas.microsoft.com/office/spreadsheetml/2017/richdata2" ref="A3:Q24">
      <sortCondition ref="J2"/>
    </sortState>
  </autoFilter>
  <mergeCells count="8">
    <mergeCell ref="C34:D34"/>
    <mergeCell ref="C35:D35"/>
    <mergeCell ref="C37:D37"/>
    <mergeCell ref="C29:D29"/>
    <mergeCell ref="C30:D30"/>
    <mergeCell ref="C31:D31"/>
    <mergeCell ref="C32:D32"/>
    <mergeCell ref="C33:D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BTT-GN</dc:creator>
  <cp:lastModifiedBy>Sei Pham</cp:lastModifiedBy>
  <dcterms:created xsi:type="dcterms:W3CDTF">2026-03-16T06:26:08Z</dcterms:created>
  <dcterms:modified xsi:type="dcterms:W3CDTF">2026-03-17T15:06:45Z</dcterms:modified>
</cp:coreProperties>
</file>