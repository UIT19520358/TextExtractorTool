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Mar\26-03-2026\"/>
    </mc:Choice>
  </mc:AlternateContent>
  <xr:revisionPtr revIDLastSave="0" documentId="13_ncr:1_{AE6BDB08-4FE1-45C8-B2D3-3064FF6052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6-03" sheetId="2" r:id="rId1"/>
  </sheets>
  <definedNames>
    <definedName name="_xlnm._FilterDatabase" localSheetId="0" hidden="1">'26-03'!$A$2:$P$33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2" l="1"/>
  <c r="M47" i="2"/>
  <c r="L47" i="2" s="1"/>
  <c r="L46" i="2"/>
  <c r="I18" i="2"/>
  <c r="I3" i="2"/>
  <c r="I35" i="2" s="1"/>
  <c r="I4" i="2"/>
  <c r="I26" i="2"/>
  <c r="I5" i="2"/>
  <c r="I19" i="2"/>
  <c r="I20" i="2"/>
  <c r="I6" i="2"/>
  <c r="I21" i="2"/>
  <c r="I33" i="2"/>
  <c r="I7" i="2"/>
  <c r="I8" i="2"/>
  <c r="I22" i="2"/>
  <c r="I27" i="2"/>
  <c r="I9" i="2"/>
  <c r="I10" i="2"/>
  <c r="I11" i="2"/>
  <c r="I12" i="2"/>
  <c r="I23" i="2"/>
  <c r="I28" i="2"/>
  <c r="I13" i="2"/>
  <c r="I14" i="2"/>
  <c r="I24" i="2"/>
  <c r="I15" i="2"/>
  <c r="I29" i="2"/>
  <c r="I25" i="2"/>
  <c r="I30" i="2"/>
  <c r="I16" i="2"/>
  <c r="I31" i="2"/>
  <c r="I32" i="2"/>
  <c r="I17" i="2"/>
  <c r="D35" i="2"/>
  <c r="G35" i="2"/>
  <c r="H35" i="2"/>
  <c r="J35" i="2"/>
  <c r="K35" i="2"/>
  <c r="L35" i="2"/>
  <c r="M35" i="2"/>
  <c r="N35" i="2"/>
  <c r="O35" i="2"/>
  <c r="P35" i="2"/>
  <c r="Q35" i="2"/>
  <c r="H36" i="2"/>
  <c r="H37" i="2"/>
  <c r="C38" i="2"/>
  <c r="C41" i="2" s="1"/>
  <c r="C45" i="2" s="1"/>
  <c r="P42" i="2" s="1"/>
  <c r="E38" i="2"/>
  <c r="H38" i="2"/>
  <c r="L38" i="2"/>
  <c r="M38" i="2"/>
  <c r="M43" i="2" s="1"/>
  <c r="M39" i="2"/>
  <c r="C40" i="2"/>
  <c r="E40" i="2"/>
  <c r="M46" i="2"/>
  <c r="M51" i="2" s="1"/>
  <c r="L54" i="2"/>
  <c r="L59" i="2" s="1"/>
  <c r="P40" i="2" s="1"/>
  <c r="M54" i="2"/>
  <c r="M59" i="2" s="1"/>
  <c r="L55" i="2"/>
  <c r="M55" i="2"/>
  <c r="L62" i="2"/>
  <c r="M62" i="2"/>
  <c r="M67" i="2" s="1"/>
  <c r="M63" i="2"/>
  <c r="L63" i="2" s="1"/>
  <c r="L67" i="2" s="1"/>
  <c r="P41" i="2" s="1"/>
  <c r="E41" i="2" l="1"/>
  <c r="M40" i="2"/>
  <c r="L40" i="2" s="1"/>
  <c r="L43" i="2" s="1"/>
  <c r="P38" i="2" s="1"/>
  <c r="L51" i="2"/>
  <c r="P39" i="2" s="1"/>
  <c r="P43" i="2" l="1"/>
</calcChain>
</file>

<file path=xl/sharedStrings.xml><?xml version="1.0" encoding="utf-8"?>
<sst xmlns="http://schemas.openxmlformats.org/spreadsheetml/2006/main" count="310" uniqueCount="152">
  <si>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</si>
  <si>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</si>
  <si>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</si>
  <si>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</si>
  <si>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</si>
  <si>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</si>
  <si>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</si>
  <si>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</si>
  <si>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</si>
  <si>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</si>
  <si>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</si>
  <si>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</si>
  <si>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</si>
  <si>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</si>
  <si>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</si>
  <si>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</si>
  <si>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_col17</t>
  </si>
  <si>
    <t>ĐOÀN NGÂN CHÂU</t>
  </si>
  <si>
    <t>( Thạch Thảo )</t>
  </si>
  <si>
    <t>HD004653</t>
  </si>
  <si>
    <t>1446/2B Lê Đức Thọ, phường 13</t>
  </si>
  <si>
    <t>go vap</t>
  </si>
  <si>
    <t>c.cuong</t>
  </si>
  <si>
    <t>26-03-2026</t>
  </si>
  <si>
    <t>đổi hàng</t>
  </si>
  <si>
    <t>Xuân Quỳnh</t>
  </si>
  <si>
    <t>HD004859</t>
  </si>
  <si>
    <t>S8 01 Origami, Long Bình</t>
  </si>
  <si>
    <t>a.quyen</t>
  </si>
  <si>
    <t>Quynh Nhu</t>
  </si>
  <si>
    <t>HD004790</t>
  </si>
  <si>
    <t>tòa w4 sunrise city central, số 25 nguyễn hữu thọ tân hưng p606</t>
  </si>
  <si>
    <t>AT 26-03</t>
  </si>
  <si>
    <t>SREYEGNEGN NOEUN 0967415920 (Insta dalissd)- VIP</t>
  </si>
  <si>
    <t>HD004522</t>
  </si>
  <si>
    <t>363-365-367, 363 Đ. Hùng Vương - Khải Nam Transport</t>
  </si>
  <si>
    <t>c.hieu</t>
  </si>
  <si>
    <t>Kiều Nga fb Nguyễn Đan</t>
  </si>
  <si>
    <t>HD004942</t>
  </si>
  <si>
    <t>Địa chỉ: 33 Nguyễn Hữu Thọ, phường Tân Hưng ,(Sunrise City View_tháp A)</t>
  </si>
  <si>
    <t>Th Hiền</t>
  </si>
  <si>
    <t>HD004876</t>
  </si>
  <si>
    <t>127 Ung Văn Khiêm, Phường Thạnh Mỹ Tây</t>
  </si>
  <si>
    <t>binh thanh</t>
  </si>
  <si>
    <t>Khanh Huynh Nguyen Tuong</t>
  </si>
  <si>
    <t>HD004824</t>
  </si>
  <si>
    <t>37 bàu cát 1,p14</t>
  </si>
  <si>
    <t>tan binh</t>
  </si>
  <si>
    <t>Thanh Tuyền</t>
  </si>
  <si>
    <t>HD004713</t>
  </si>
  <si>
    <t>64 Trần thị liền Lê văn lương Phước kiểng</t>
  </si>
  <si>
    <t>nha be</t>
  </si>
  <si>
    <t>Phương Nga fb Quyên(indonesia)</t>
  </si>
  <si>
    <t>HD004803</t>
  </si>
  <si>
    <t>154/4/7 Nguyễn Phúc Chu, P.15</t>
  </si>
  <si>
    <t>Nguyễn thị nhung fb Yuna Tasaki</t>
  </si>
  <si>
    <t>HD004865</t>
  </si>
  <si>
    <t>21 lê văn lương Chung cư golden palm</t>
  </si>
  <si>
    <t>tinh</t>
  </si>
  <si>
    <t>luu tra</t>
  </si>
  <si>
    <t>hàng tỉnh</t>
  </si>
  <si>
    <t>x</t>
  </si>
  <si>
    <t>xx</t>
  </si>
  <si>
    <t>Nguyễn Thị Ngọc Hân</t>
  </si>
  <si>
    <t>HD004673</t>
  </si>
  <si>
    <t>512 phạm thế hiển p4</t>
  </si>
  <si>
    <t>Huỳnh Mẫn</t>
  </si>
  <si>
    <t>HD004611</t>
  </si>
  <si>
    <t>1362 tỉnh lộ 10 tân tạo</t>
  </si>
  <si>
    <t>binh tan</t>
  </si>
  <si>
    <t>TRẦN TRỌNG NGHĨA - Nhóm Biển</t>
  </si>
  <si>
    <t>HD004819</t>
  </si>
  <si>
    <t>Công Ty TNHH Thương Mại Và Dịch Vụ Vận Tải EXIMLOG 6 đường số 4, khu phố 4, phường Hiệp Bình Chánh</t>
  </si>
  <si>
    <t>thu duc</t>
  </si>
  <si>
    <t>Ha My</t>
  </si>
  <si>
    <t>HD004826</t>
  </si>
  <si>
    <t>27a Hoa Sứ P7</t>
  </si>
  <si>
    <t>phu nhuan</t>
  </si>
  <si>
    <t>Mai Thi Trương</t>
  </si>
  <si>
    <t>HD004702</t>
  </si>
  <si>
    <t>ship 523 chung cư Nhiêu Lộc C, lô D, phường Tân Quý</t>
  </si>
  <si>
    <t>tan phu</t>
  </si>
  <si>
    <t>Huyền Lê</t>
  </si>
  <si>
    <t>HD004896</t>
  </si>
  <si>
    <t>Bock B,33 nguyễn hữu thọ, tân hưng</t>
  </si>
  <si>
    <t>Bùi Vi</t>
  </si>
  <si>
    <t>HD004701</t>
  </si>
  <si>
    <t>26/3a xuân thới đông 1, xuân thới đông</t>
  </si>
  <si>
    <t>hoc mon</t>
  </si>
  <si>
    <t>Cẩm Cẩm</t>
  </si>
  <si>
    <t>HD004898</t>
  </si>
  <si>
    <t>150 Hoàng Trọng Mậu, Tân Hưng</t>
  </si>
  <si>
    <t>xuân nguyên - fb Diễm My</t>
  </si>
  <si>
    <t>HD004479</t>
  </si>
  <si>
    <t>30/1/13 lê đức thọ phường 17</t>
  </si>
  <si>
    <t>Ngân Suri</t>
  </si>
  <si>
    <t>HD004657</t>
  </si>
  <si>
    <t>72 Lê Thánh Tôn</t>
  </si>
  <si>
    <t>An fb Hạnh Xuân</t>
  </si>
  <si>
    <t>HD004802</t>
  </si>
  <si>
    <t>The horizon block A, phường tân phú</t>
  </si>
  <si>
    <t>Phuong Quynh Nguyen</t>
  </si>
  <si>
    <t>HD004943</t>
  </si>
  <si>
    <t>Qua chung cư Fullhouse số 1 đường 34 p.bình trị đông b</t>
  </si>
  <si>
    <t>Bảo Ngọc</t>
  </si>
  <si>
    <t>HD004680</t>
  </si>
  <si>
    <t>Vinhomes central Park park 6A (p6-44.03)</t>
  </si>
  <si>
    <t>Yên Yên</t>
  </si>
  <si>
    <t>HD004773</t>
  </si>
  <si>
    <t>104-102 đường số 28 p bình trị đồng b</t>
  </si>
  <si>
    <t>Ka Nguyễn</t>
  </si>
  <si>
    <t>HD004786</t>
  </si>
  <si>
    <t>cc Golden Mansion - Toà GM2 - 119 Đ. Phổ Quang, Phường 9</t>
  </si>
  <si>
    <t>Amy VD Tran</t>
  </si>
  <si>
    <t>HD004800</t>
  </si>
  <si>
    <t>85/8 Nguyễn Hồng Đào phường 14</t>
  </si>
  <si>
    <t>Việt Trinh</t>
  </si>
  <si>
    <t>HD004794</t>
  </si>
  <si>
    <t>53 Nguyễn trọng lội phường 4</t>
  </si>
  <si>
    <t>Trương Ngọc Ngân</t>
  </si>
  <si>
    <t>HD004707</t>
  </si>
  <si>
    <t>Chung cư bình đăng lộ D, đường số 1, p6</t>
  </si>
  <si>
    <t>Trần Thị Hoài Thương</t>
  </si>
  <si>
    <t>HD004703</t>
  </si>
  <si>
    <t>Chung cư kingdom, 101 block c 334 tô hiến thành</t>
  </si>
  <si>
    <t>Anh Thu Nguyen</t>
  </si>
  <si>
    <t>HD004777</t>
  </si>
  <si>
    <t>230 cao thắng, p12</t>
  </si>
  <si>
    <t>Tuyết Nhi</t>
  </si>
  <si>
    <t>HD004817</t>
  </si>
  <si>
    <t>Block d2, chung cư sài gòn riverside (số 4 đào trí, phú thuận )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</si>
  <si>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</si>
  <si>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</si>
  <si>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</si>
  <si>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</si>
  <si>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</si>
  <si>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</si>
  <si>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</si>
  <si>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Trừ Ship</t>
  </si>
  <si>
    <t>tiền ship</t>
  </si>
  <si>
    <t>Đơn trả &amp; c.khoản</t>
  </si>
  <si>
    <t>tiền lấy</t>
  </si>
  <si>
    <t>at 26-03</t>
  </si>
  <si>
    <t>Tiền Hàng Hcm</t>
  </si>
  <si>
    <t>đơn trả</t>
  </si>
  <si>
    <t>đền đơn</t>
  </si>
  <si>
    <t>đơn cũ ck</t>
  </si>
  <si>
    <t>shop</t>
  </si>
  <si>
    <t>nợ cũ</t>
  </si>
  <si>
    <t>tổng</t>
  </si>
  <si>
    <t>THANH TOÁN</t>
  </si>
  <si>
    <t>CK Đủ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</si>
</sst>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1" fillId="3" borderId="0" xfId="0" applyFont="1" applyFill="1"/>
    <xf numFmtId="0" fontId="0" fillId="0" borderId="0" xfId="0"/>
    <xf numFmtId="0" fontId="2" fillId="0" borderId="0" xfId="0" applyFont="1"/>
    <xf numFmtId="0" fontId="0" fillId="3" borderId="0" xfId="0" applyFill="1"/>
    <xf numFmtId="0" fontId="1" fillId="0" borderId="0" xfId="0" applyFont="1"/>
    <xf numFmtId="0" fontId="1" fillId="2" borderId="0" xfId="0" applyFont="1" applyFill="1"/>
    <xf numFmtId="3" fontId="0" fillId="0" borderId="0" xfId="0" applyNumberFormat="1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0" fillId="3" borderId="0" xfId="0" applyFill="1"/>
    <xf numFmtId="0" fontId="2" fillId="0" borderId="0" xfId="0" applyFont="1"/>
    <xf numFmtId="0" fontId="0" fillId="5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67"/>
  <sheetViews>
    <sheetView tabSelected="1" zoomScale="80" zoomScaleNormal="80" workbookViewId="0">
      <selection activeCell="L40" sqref="L40"/>
    </sheetView>
  </sheetViews>
  <sheetFormatPr defaultRowHeight="15" x14ac:dyDescent="0.25"/>
  <cols>
    <col min="1" max="1" width="12.7109375" customWidth="1"/>
    <col min="2" max="2" width="17.7109375" customWidth="1"/>
    <col min="3" max="3" width="48" customWidth="1"/>
    <col min="4" max="4" width="9.85546875" customWidth="1"/>
    <col min="5" max="5" width="97.1406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9.42578125" customWidth="1"/>
    <col min="14" max="14" width="9.7109375" customWidth="1"/>
    <col min="15" max="15" width="10.42578125" customWidth="1"/>
    <col min="16" max="16" width="7.85546875" bestFit="1" customWidth="1"/>
    <col min="17" max="17" width="6.42578125" customWidth="1"/>
  </cols>
  <sheetData>
    <row r="2" spans="1:17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</row>
    <row r="3" spans="1:17" x14ac:dyDescent="0.25">
      <c r="B3" t="s">
        <v>17</v>
      </c>
      <c r="C3" t="s">
        <v>25</v>
      </c>
      <c r="D3" t="s">
        <v>26</v>
      </c>
      <c r="E3" t="s">
        <v>27</v>
      </c>
      <c r="F3" s="7">
        <v>9</v>
      </c>
      <c r="G3" s="7">
        <v>0</v>
      </c>
      <c r="H3" s="7">
        <v>30</v>
      </c>
      <c r="I3" s="7">
        <f>-H3</f>
        <v>-30</v>
      </c>
      <c r="J3" t="s">
        <v>28</v>
      </c>
      <c r="K3" t="s">
        <v>22</v>
      </c>
      <c r="L3" t="s">
        <v>23</v>
      </c>
      <c r="Q3" s="7">
        <v>1</v>
      </c>
    </row>
    <row r="4" spans="1:17" x14ac:dyDescent="0.25">
      <c r="B4" t="s">
        <v>17</v>
      </c>
      <c r="C4" t="s">
        <v>29</v>
      </c>
      <c r="D4" t="s">
        <v>30</v>
      </c>
      <c r="E4" t="s">
        <v>31</v>
      </c>
      <c r="F4" s="7">
        <v>7</v>
      </c>
      <c r="G4" s="7">
        <v>0</v>
      </c>
      <c r="H4" s="7">
        <v>30</v>
      </c>
      <c r="I4" s="7">
        <f>-H4</f>
        <v>-30</v>
      </c>
      <c r="J4" t="s">
        <v>32</v>
      </c>
      <c r="K4" t="s">
        <v>22</v>
      </c>
      <c r="L4" t="s">
        <v>23</v>
      </c>
      <c r="Q4" s="7">
        <v>1</v>
      </c>
    </row>
    <row r="5" spans="1:17" x14ac:dyDescent="0.25">
      <c r="B5" t="s">
        <v>17</v>
      </c>
      <c r="C5" t="s">
        <v>37</v>
      </c>
      <c r="D5" t="s">
        <v>38</v>
      </c>
      <c r="E5" t="s">
        <v>39</v>
      </c>
      <c r="F5" s="7">
        <v>7</v>
      </c>
      <c r="G5" s="7">
        <v>920</v>
      </c>
      <c r="H5" s="7">
        <v>30</v>
      </c>
      <c r="I5" s="7">
        <f>G5-H5</f>
        <v>890</v>
      </c>
      <c r="J5" t="s">
        <v>32</v>
      </c>
      <c r="K5" t="s">
        <v>22</v>
      </c>
      <c r="L5" t="s">
        <v>23</v>
      </c>
      <c r="Q5" s="7">
        <v>1</v>
      </c>
    </row>
    <row r="6" spans="1:17" x14ac:dyDescent="0.25">
      <c r="B6" t="s">
        <v>17</v>
      </c>
      <c r="C6" t="s">
        <v>48</v>
      </c>
      <c r="D6" t="s">
        <v>49</v>
      </c>
      <c r="E6" t="s">
        <v>50</v>
      </c>
      <c r="F6" t="s">
        <v>51</v>
      </c>
      <c r="G6" s="7">
        <v>415</v>
      </c>
      <c r="H6" s="7">
        <v>35</v>
      </c>
      <c r="I6" s="7">
        <f>G6-H6</f>
        <v>380</v>
      </c>
      <c r="J6" t="s">
        <v>32</v>
      </c>
      <c r="K6" t="s">
        <v>22</v>
      </c>
      <c r="L6" t="s">
        <v>23</v>
      </c>
      <c r="Q6" s="7">
        <v>1</v>
      </c>
    </row>
    <row r="7" spans="1:17" x14ac:dyDescent="0.25">
      <c r="B7" t="s">
        <v>17</v>
      </c>
      <c r="C7" t="s">
        <v>63</v>
      </c>
      <c r="D7" t="s">
        <v>64</v>
      </c>
      <c r="E7" t="s">
        <v>65</v>
      </c>
      <c r="F7" s="7">
        <v>8</v>
      </c>
      <c r="G7" s="7">
        <v>945</v>
      </c>
      <c r="H7" s="7">
        <v>25</v>
      </c>
      <c r="I7" s="7">
        <f>G7-H7</f>
        <v>920</v>
      </c>
      <c r="J7" t="s">
        <v>32</v>
      </c>
      <c r="K7" t="s">
        <v>22</v>
      </c>
      <c r="L7" t="s">
        <v>23</v>
      </c>
      <c r="Q7" s="7">
        <v>1</v>
      </c>
    </row>
    <row r="8" spans="1:17" x14ac:dyDescent="0.25">
      <c r="B8" t="s">
        <v>17</v>
      </c>
      <c r="C8" t="s">
        <v>66</v>
      </c>
      <c r="D8" t="s">
        <v>67</v>
      </c>
      <c r="E8" t="s">
        <v>68</v>
      </c>
      <c r="F8" t="s">
        <v>69</v>
      </c>
      <c r="G8" s="7">
        <v>370</v>
      </c>
      <c r="H8" s="7">
        <v>30</v>
      </c>
      <c r="I8" s="7">
        <f>G8-H8</f>
        <v>340</v>
      </c>
      <c r="J8" t="s">
        <v>32</v>
      </c>
      <c r="K8" t="s">
        <v>22</v>
      </c>
      <c r="L8" t="s">
        <v>23</v>
      </c>
      <c r="Q8" s="7">
        <v>1</v>
      </c>
    </row>
    <row r="9" spans="1:17" x14ac:dyDescent="0.25">
      <c r="B9" t="s">
        <v>17</v>
      </c>
      <c r="C9" t="s">
        <v>78</v>
      </c>
      <c r="D9" t="s">
        <v>79</v>
      </c>
      <c r="E9" t="s">
        <v>80</v>
      </c>
      <c r="F9" t="s">
        <v>81</v>
      </c>
      <c r="G9" s="7">
        <v>815</v>
      </c>
      <c r="H9" s="7">
        <v>25</v>
      </c>
      <c r="I9" s="7">
        <f>G9-H9</f>
        <v>790</v>
      </c>
      <c r="J9" t="s">
        <v>32</v>
      </c>
      <c r="K9" t="s">
        <v>22</v>
      </c>
      <c r="L9" t="s">
        <v>23</v>
      </c>
      <c r="Q9" s="7">
        <v>1</v>
      </c>
    </row>
    <row r="10" spans="1:17" x14ac:dyDescent="0.25">
      <c r="B10" t="s">
        <v>17</v>
      </c>
      <c r="C10" t="s">
        <v>82</v>
      </c>
      <c r="D10" t="s">
        <v>83</v>
      </c>
      <c r="E10" t="s">
        <v>84</v>
      </c>
      <c r="F10" s="7">
        <v>7</v>
      </c>
      <c r="G10" s="7">
        <v>520</v>
      </c>
      <c r="H10" s="7">
        <v>30</v>
      </c>
      <c r="I10" s="7">
        <f>G10-H10</f>
        <v>490</v>
      </c>
      <c r="J10" t="s">
        <v>32</v>
      </c>
      <c r="K10" t="s">
        <v>22</v>
      </c>
      <c r="L10" t="s">
        <v>23</v>
      </c>
      <c r="Q10" s="7">
        <v>1</v>
      </c>
    </row>
    <row r="11" spans="1:17" x14ac:dyDescent="0.25">
      <c r="B11" t="s">
        <v>17</v>
      </c>
      <c r="C11" t="s">
        <v>85</v>
      </c>
      <c r="D11" t="s">
        <v>86</v>
      </c>
      <c r="E11" t="s">
        <v>87</v>
      </c>
      <c r="F11" t="s">
        <v>88</v>
      </c>
      <c r="G11" s="7">
        <v>825</v>
      </c>
      <c r="H11" s="7">
        <v>35</v>
      </c>
      <c r="I11" s="7">
        <f>G11-H11</f>
        <v>790</v>
      </c>
      <c r="J11" t="s">
        <v>32</v>
      </c>
      <c r="K11" t="s">
        <v>22</v>
      </c>
      <c r="L11" t="s">
        <v>23</v>
      </c>
      <c r="Q11" s="7">
        <v>1</v>
      </c>
    </row>
    <row r="12" spans="1:17" x14ac:dyDescent="0.25">
      <c r="B12" t="s">
        <v>17</v>
      </c>
      <c r="C12" t="s">
        <v>89</v>
      </c>
      <c r="D12" t="s">
        <v>90</v>
      </c>
      <c r="E12" t="s">
        <v>91</v>
      </c>
      <c r="F12" s="7">
        <v>7</v>
      </c>
      <c r="G12" s="7">
        <v>920</v>
      </c>
      <c r="H12" s="7">
        <v>30</v>
      </c>
      <c r="I12" s="7">
        <f>G12-H12</f>
        <v>890</v>
      </c>
      <c r="J12" t="s">
        <v>32</v>
      </c>
      <c r="K12" t="s">
        <v>22</v>
      </c>
      <c r="L12" t="s">
        <v>23</v>
      </c>
      <c r="Q12" s="7">
        <v>1</v>
      </c>
    </row>
    <row r="13" spans="1:17" x14ac:dyDescent="0.25">
      <c r="B13" t="s">
        <v>17</v>
      </c>
      <c r="C13" t="s">
        <v>98</v>
      </c>
      <c r="D13" t="s">
        <v>99</v>
      </c>
      <c r="E13" t="s">
        <v>100</v>
      </c>
      <c r="F13" s="7">
        <v>7</v>
      </c>
      <c r="G13" s="7">
        <v>460</v>
      </c>
      <c r="H13" s="7">
        <v>30</v>
      </c>
      <c r="I13" s="7">
        <f>G13-H13</f>
        <v>430</v>
      </c>
      <c r="J13" t="s">
        <v>32</v>
      </c>
      <c r="K13" t="s">
        <v>22</v>
      </c>
      <c r="L13" t="s">
        <v>23</v>
      </c>
      <c r="Q13" s="7">
        <v>1</v>
      </c>
    </row>
    <row r="14" spans="1:17" x14ac:dyDescent="0.25">
      <c r="B14" t="s">
        <v>17</v>
      </c>
      <c r="C14" t="s">
        <v>101</v>
      </c>
      <c r="D14" t="s">
        <v>102</v>
      </c>
      <c r="E14" t="s">
        <v>103</v>
      </c>
      <c r="F14" t="s">
        <v>69</v>
      </c>
      <c r="G14" s="7">
        <v>670</v>
      </c>
      <c r="H14" s="7">
        <v>30</v>
      </c>
      <c r="I14" s="7">
        <f>G14-H14</f>
        <v>640</v>
      </c>
      <c r="J14" t="s">
        <v>32</v>
      </c>
      <c r="K14" t="s">
        <v>22</v>
      </c>
      <c r="L14" t="s">
        <v>23</v>
      </c>
      <c r="Q14" s="7">
        <v>1</v>
      </c>
    </row>
    <row r="15" spans="1:17" x14ac:dyDescent="0.25">
      <c r="B15" t="s">
        <v>17</v>
      </c>
      <c r="C15" t="s">
        <v>107</v>
      </c>
      <c r="D15" t="s">
        <v>108</v>
      </c>
      <c r="E15" t="s">
        <v>109</v>
      </c>
      <c r="F15" t="s">
        <v>69</v>
      </c>
      <c r="G15" s="7">
        <v>780</v>
      </c>
      <c r="H15" s="7">
        <v>30</v>
      </c>
      <c r="I15" s="7">
        <f>G15-H15</f>
        <v>750</v>
      </c>
      <c r="J15" t="s">
        <v>32</v>
      </c>
      <c r="K15" t="s">
        <v>22</v>
      </c>
      <c r="L15" t="s">
        <v>23</v>
      </c>
      <c r="Q15" s="7">
        <v>1</v>
      </c>
    </row>
    <row r="16" spans="1:17" x14ac:dyDescent="0.25">
      <c r="B16" t="s">
        <v>17</v>
      </c>
      <c r="C16" t="s">
        <v>119</v>
      </c>
      <c r="D16" t="s">
        <v>120</v>
      </c>
      <c r="E16" t="s">
        <v>121</v>
      </c>
      <c r="F16" s="7">
        <v>8</v>
      </c>
      <c r="G16" s="7">
        <v>30</v>
      </c>
      <c r="H16" s="7">
        <v>30</v>
      </c>
      <c r="I16" s="7">
        <f>G16-H16</f>
        <v>0</v>
      </c>
      <c r="J16" t="s">
        <v>32</v>
      </c>
      <c r="K16" t="s">
        <v>22</v>
      </c>
      <c r="L16" t="s">
        <v>23</v>
      </c>
      <c r="M16" t="s">
        <v>24</v>
      </c>
      <c r="Q16" s="7">
        <v>1</v>
      </c>
    </row>
    <row r="17" spans="2:17" x14ac:dyDescent="0.25">
      <c r="B17" t="s">
        <v>17</v>
      </c>
      <c r="C17" t="s">
        <v>128</v>
      </c>
      <c r="D17" t="s">
        <v>129</v>
      </c>
      <c r="E17" t="s">
        <v>130</v>
      </c>
      <c r="F17" s="7">
        <v>7</v>
      </c>
      <c r="G17" s="7">
        <v>620</v>
      </c>
      <c r="H17" s="7">
        <v>30</v>
      </c>
      <c r="I17" s="7">
        <f>G17-H17</f>
        <v>590</v>
      </c>
      <c r="J17" t="s">
        <v>32</v>
      </c>
      <c r="K17" t="s">
        <v>22</v>
      </c>
      <c r="L17" t="s">
        <v>23</v>
      </c>
      <c r="Q17" s="7">
        <v>1</v>
      </c>
    </row>
    <row r="18" spans="2:17" x14ac:dyDescent="0.25"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s="7">
        <v>25</v>
      </c>
      <c r="H18" s="7">
        <v>25</v>
      </c>
      <c r="I18" s="7">
        <f>G18-H18</f>
        <v>0</v>
      </c>
      <c r="J18" t="s">
        <v>22</v>
      </c>
      <c r="K18" t="s">
        <v>22</v>
      </c>
      <c r="L18" t="s">
        <v>23</v>
      </c>
      <c r="M18" t="s">
        <v>24</v>
      </c>
      <c r="Q18" s="7">
        <v>1</v>
      </c>
    </row>
    <row r="19" spans="2:17" x14ac:dyDescent="0.25">
      <c r="B19" t="s">
        <v>17</v>
      </c>
      <c r="C19" t="s">
        <v>40</v>
      </c>
      <c r="D19" t="s">
        <v>41</v>
      </c>
      <c r="E19" t="s">
        <v>42</v>
      </c>
      <c r="F19" t="s">
        <v>43</v>
      </c>
      <c r="G19" s="7">
        <v>790</v>
      </c>
      <c r="H19" s="7">
        <v>20</v>
      </c>
      <c r="I19" s="7">
        <f>G19-H19</f>
        <v>770</v>
      </c>
      <c r="J19" t="s">
        <v>22</v>
      </c>
      <c r="K19" t="s">
        <v>22</v>
      </c>
      <c r="L19" t="s">
        <v>23</v>
      </c>
      <c r="Q19" s="7">
        <v>1</v>
      </c>
    </row>
    <row r="20" spans="2:17" x14ac:dyDescent="0.25">
      <c r="B20" t="s">
        <v>17</v>
      </c>
      <c r="C20" t="s">
        <v>44</v>
      </c>
      <c r="D20" t="s">
        <v>45</v>
      </c>
      <c r="E20" t="s">
        <v>46</v>
      </c>
      <c r="F20" t="s">
        <v>47</v>
      </c>
      <c r="G20" s="7">
        <v>895</v>
      </c>
      <c r="H20" s="7">
        <v>25</v>
      </c>
      <c r="I20" s="7">
        <f>G20-H20</f>
        <v>870</v>
      </c>
      <c r="J20" t="s">
        <v>22</v>
      </c>
      <c r="K20" t="s">
        <v>22</v>
      </c>
      <c r="L20" t="s">
        <v>23</v>
      </c>
      <c r="Q20" s="7">
        <v>1</v>
      </c>
    </row>
    <row r="21" spans="2:17" x14ac:dyDescent="0.25">
      <c r="B21" t="s">
        <v>17</v>
      </c>
      <c r="C21" t="s">
        <v>52</v>
      </c>
      <c r="D21" t="s">
        <v>53</v>
      </c>
      <c r="E21" t="s">
        <v>54</v>
      </c>
      <c r="F21" t="s">
        <v>47</v>
      </c>
      <c r="G21" s="7">
        <v>885</v>
      </c>
      <c r="H21" s="7">
        <v>25</v>
      </c>
      <c r="I21" s="7">
        <f>G21-H21</f>
        <v>860</v>
      </c>
      <c r="J21" t="s">
        <v>22</v>
      </c>
      <c r="K21" t="s">
        <v>22</v>
      </c>
      <c r="L21" t="s">
        <v>23</v>
      </c>
      <c r="Q21" s="7">
        <v>1</v>
      </c>
    </row>
    <row r="22" spans="2:17" x14ac:dyDescent="0.25">
      <c r="B22" t="s">
        <v>17</v>
      </c>
      <c r="C22" t="s">
        <v>70</v>
      </c>
      <c r="D22" t="s">
        <v>71</v>
      </c>
      <c r="E22" t="s">
        <v>72</v>
      </c>
      <c r="F22" t="s">
        <v>73</v>
      </c>
      <c r="G22" s="7">
        <v>30</v>
      </c>
      <c r="H22" s="7">
        <v>30</v>
      </c>
      <c r="I22" s="7">
        <f>G22-H22</f>
        <v>0</v>
      </c>
      <c r="J22" t="s">
        <v>22</v>
      </c>
      <c r="K22" t="s">
        <v>22</v>
      </c>
      <c r="L22" t="s">
        <v>23</v>
      </c>
      <c r="M22" t="s">
        <v>24</v>
      </c>
      <c r="Q22" s="7">
        <v>1</v>
      </c>
    </row>
    <row r="23" spans="2:17" x14ac:dyDescent="0.25">
      <c r="B23" t="s">
        <v>17</v>
      </c>
      <c r="C23" t="s">
        <v>92</v>
      </c>
      <c r="D23" t="s">
        <v>93</v>
      </c>
      <c r="E23" t="s">
        <v>94</v>
      </c>
      <c r="F23" t="s">
        <v>21</v>
      </c>
      <c r="G23" s="7">
        <v>775</v>
      </c>
      <c r="H23" s="7">
        <v>25</v>
      </c>
      <c r="I23" s="7">
        <f>G23-H23</f>
        <v>750</v>
      </c>
      <c r="J23" t="s">
        <v>22</v>
      </c>
      <c r="K23" t="s">
        <v>22</v>
      </c>
      <c r="L23" t="s">
        <v>23</v>
      </c>
      <c r="Q23" s="7">
        <v>1</v>
      </c>
    </row>
    <row r="24" spans="2:17" x14ac:dyDescent="0.25">
      <c r="B24" t="s">
        <v>17</v>
      </c>
      <c r="C24" t="s">
        <v>104</v>
      </c>
      <c r="D24" t="s">
        <v>105</v>
      </c>
      <c r="E24" t="s">
        <v>106</v>
      </c>
      <c r="F24" t="s">
        <v>43</v>
      </c>
      <c r="G24" s="7">
        <v>0</v>
      </c>
      <c r="H24" s="7">
        <v>20</v>
      </c>
      <c r="I24" s="7">
        <f>-H24</f>
        <v>-20</v>
      </c>
      <c r="J24" t="s">
        <v>22</v>
      </c>
      <c r="K24" t="s">
        <v>22</v>
      </c>
      <c r="L24" t="s">
        <v>23</v>
      </c>
      <c r="Q24" s="7">
        <v>1</v>
      </c>
    </row>
    <row r="25" spans="2:17" x14ac:dyDescent="0.25">
      <c r="B25" t="s">
        <v>17</v>
      </c>
      <c r="C25" t="s">
        <v>113</v>
      </c>
      <c r="D25" t="s">
        <v>114</v>
      </c>
      <c r="E25" t="s">
        <v>115</v>
      </c>
      <c r="F25" t="s">
        <v>47</v>
      </c>
      <c r="G25" s="7">
        <v>0</v>
      </c>
      <c r="H25" s="7">
        <v>25</v>
      </c>
      <c r="I25" s="7">
        <f>-H25</f>
        <v>-25</v>
      </c>
      <c r="J25" t="s">
        <v>22</v>
      </c>
      <c r="K25" t="s">
        <v>22</v>
      </c>
      <c r="L25" t="s">
        <v>23</v>
      </c>
      <c r="Q25" s="7">
        <v>1</v>
      </c>
    </row>
    <row r="26" spans="2:17" x14ac:dyDescent="0.25">
      <c r="B26" t="s">
        <v>17</v>
      </c>
      <c r="C26" t="s">
        <v>33</v>
      </c>
      <c r="D26" t="s">
        <v>34</v>
      </c>
      <c r="E26" t="s">
        <v>35</v>
      </c>
      <c r="F26" s="7">
        <v>5</v>
      </c>
      <c r="G26" s="7">
        <v>0</v>
      </c>
      <c r="H26" s="7">
        <v>25</v>
      </c>
      <c r="I26" s="7">
        <f>-H26</f>
        <v>-25</v>
      </c>
      <c r="J26" t="s">
        <v>36</v>
      </c>
      <c r="K26" t="s">
        <v>22</v>
      </c>
      <c r="L26" t="s">
        <v>23</v>
      </c>
      <c r="Q26" s="7">
        <v>1</v>
      </c>
    </row>
    <row r="27" spans="2:17" x14ac:dyDescent="0.25">
      <c r="B27" t="s">
        <v>17</v>
      </c>
      <c r="C27" t="s">
        <v>74</v>
      </c>
      <c r="D27" t="s">
        <v>75</v>
      </c>
      <c r="E27" t="s">
        <v>76</v>
      </c>
      <c r="F27" t="s">
        <v>77</v>
      </c>
      <c r="G27" s="7">
        <v>810</v>
      </c>
      <c r="H27" s="7">
        <v>20</v>
      </c>
      <c r="I27" s="7">
        <f>G27-H27</f>
        <v>790</v>
      </c>
      <c r="J27" t="s">
        <v>36</v>
      </c>
      <c r="K27" t="s">
        <v>22</v>
      </c>
      <c r="L27" t="s">
        <v>23</v>
      </c>
      <c r="Q27" s="7">
        <v>1</v>
      </c>
    </row>
    <row r="28" spans="2:17" x14ac:dyDescent="0.25">
      <c r="B28" t="s">
        <v>17</v>
      </c>
      <c r="C28" t="s">
        <v>95</v>
      </c>
      <c r="D28" t="s">
        <v>96</v>
      </c>
      <c r="E28" t="s">
        <v>97</v>
      </c>
      <c r="F28" s="7">
        <v>1</v>
      </c>
      <c r="G28" s="7">
        <v>665</v>
      </c>
      <c r="H28" s="7">
        <v>25</v>
      </c>
      <c r="I28" s="7">
        <f>G28-H28</f>
        <v>640</v>
      </c>
      <c r="J28" t="s">
        <v>36</v>
      </c>
      <c r="K28" t="s">
        <v>22</v>
      </c>
      <c r="L28" t="s">
        <v>23</v>
      </c>
      <c r="Q28" s="7">
        <v>1</v>
      </c>
    </row>
    <row r="29" spans="2:17" x14ac:dyDescent="0.25">
      <c r="B29" t="s">
        <v>17</v>
      </c>
      <c r="C29" t="s">
        <v>110</v>
      </c>
      <c r="D29" t="s">
        <v>111</v>
      </c>
      <c r="E29" t="s">
        <v>112</v>
      </c>
      <c r="F29" t="s">
        <v>77</v>
      </c>
      <c r="G29" s="7">
        <v>1680</v>
      </c>
      <c r="H29" s="7">
        <v>20</v>
      </c>
      <c r="I29" s="7">
        <f>G29-H29</f>
        <v>1660</v>
      </c>
      <c r="J29" t="s">
        <v>36</v>
      </c>
      <c r="K29" t="s">
        <v>22</v>
      </c>
      <c r="L29" t="s">
        <v>23</v>
      </c>
      <c r="Q29" s="7">
        <v>1</v>
      </c>
    </row>
    <row r="30" spans="2:17" x14ac:dyDescent="0.25">
      <c r="B30" t="s">
        <v>17</v>
      </c>
      <c r="C30" t="s">
        <v>116</v>
      </c>
      <c r="D30" t="s">
        <v>117</v>
      </c>
      <c r="E30" t="s">
        <v>118</v>
      </c>
      <c r="F30" t="s">
        <v>47</v>
      </c>
      <c r="G30" s="7">
        <v>915</v>
      </c>
      <c r="H30" s="7">
        <v>25</v>
      </c>
      <c r="I30" s="7">
        <f>G30-H30</f>
        <v>890</v>
      </c>
      <c r="J30" t="s">
        <v>36</v>
      </c>
      <c r="K30" t="s">
        <v>22</v>
      </c>
      <c r="L30" t="s">
        <v>23</v>
      </c>
      <c r="Q30" s="7">
        <v>1</v>
      </c>
    </row>
    <row r="31" spans="2:17" x14ac:dyDescent="0.25">
      <c r="B31" t="s">
        <v>17</v>
      </c>
      <c r="C31" t="s">
        <v>122</v>
      </c>
      <c r="D31" t="s">
        <v>123</v>
      </c>
      <c r="E31" t="s">
        <v>124</v>
      </c>
      <c r="F31" s="7">
        <v>10</v>
      </c>
      <c r="G31" s="7">
        <v>795</v>
      </c>
      <c r="H31" s="7">
        <v>25</v>
      </c>
      <c r="I31" s="7">
        <f>G31-H31</f>
        <v>770</v>
      </c>
      <c r="J31" t="s">
        <v>36</v>
      </c>
      <c r="K31" t="s">
        <v>22</v>
      </c>
      <c r="L31" t="s">
        <v>23</v>
      </c>
      <c r="Q31" s="7">
        <v>1</v>
      </c>
    </row>
    <row r="32" spans="2:17" x14ac:dyDescent="0.25">
      <c r="B32" t="s">
        <v>17</v>
      </c>
      <c r="C32" t="s">
        <v>125</v>
      </c>
      <c r="D32" t="s">
        <v>126</v>
      </c>
      <c r="E32" t="s">
        <v>127</v>
      </c>
      <c r="F32" s="7">
        <v>10</v>
      </c>
      <c r="G32" s="7">
        <v>615</v>
      </c>
      <c r="H32" s="7">
        <v>25</v>
      </c>
      <c r="I32" s="7">
        <f>G32-H32</f>
        <v>590</v>
      </c>
      <c r="J32" t="s">
        <v>36</v>
      </c>
      <c r="K32" t="s">
        <v>22</v>
      </c>
      <c r="L32" t="s">
        <v>23</v>
      </c>
      <c r="Q32" s="7">
        <v>1</v>
      </c>
    </row>
    <row r="33" spans="1:17" x14ac:dyDescent="0.25">
      <c r="B33" t="s">
        <v>17</v>
      </c>
      <c r="C33" t="s">
        <v>55</v>
      </c>
      <c r="D33" t="s">
        <v>56</v>
      </c>
      <c r="E33" t="s">
        <v>57</v>
      </c>
      <c r="F33" t="s">
        <v>58</v>
      </c>
      <c r="G33" s="7">
        <v>870</v>
      </c>
      <c r="H33" s="7">
        <v>0</v>
      </c>
      <c r="I33" s="7">
        <f>G33-H33</f>
        <v>870</v>
      </c>
      <c r="J33" t="s">
        <v>59</v>
      </c>
      <c r="K33" t="s">
        <v>22</v>
      </c>
      <c r="L33" t="s">
        <v>23</v>
      </c>
      <c r="M33" t="s">
        <v>60</v>
      </c>
      <c r="N33" t="s">
        <v>61</v>
      </c>
      <c r="P33" t="s">
        <v>62</v>
      </c>
      <c r="Q33" s="7">
        <v>1</v>
      </c>
    </row>
    <row r="35" spans="1:17" x14ac:dyDescent="0.25">
      <c r="D35" s="8">
        <f>COUNTA(D3:D33)</f>
        <v>31</v>
      </c>
      <c r="G35" s="8">
        <f t="shared" ref="G35:Q35" si="0">SUBTOTAL(9,G3:G33)</f>
        <v>18040</v>
      </c>
      <c r="H35" s="8">
        <f t="shared" si="0"/>
        <v>810</v>
      </c>
      <c r="I35" s="8">
        <f t="shared" si="0"/>
        <v>17230</v>
      </c>
      <c r="J35" s="8">
        <f t="shared" si="0"/>
        <v>0</v>
      </c>
      <c r="K35" s="8">
        <f t="shared" si="0"/>
        <v>0</v>
      </c>
      <c r="L35" s="8">
        <f t="shared" si="0"/>
        <v>0</v>
      </c>
      <c r="M35" s="8">
        <f t="shared" si="0"/>
        <v>0</v>
      </c>
      <c r="N35" s="8">
        <f t="shared" si="0"/>
        <v>0</v>
      </c>
      <c r="O35" s="8">
        <f t="shared" si="0"/>
        <v>0</v>
      </c>
      <c r="P35" s="8">
        <f t="shared" si="0"/>
        <v>0</v>
      </c>
      <c r="Q35" s="8">
        <f t="shared" si="0"/>
        <v>31</v>
      </c>
    </row>
    <row r="36" spans="1:17" x14ac:dyDescent="0.25">
      <c r="H36">
        <f>-9*17</f>
        <v>-153</v>
      </c>
    </row>
    <row r="37" spans="1:17" x14ac:dyDescent="0.25">
      <c r="A37" s="8" t="s">
        <v>17</v>
      </c>
      <c r="C37" s="5" t="s">
        <v>131</v>
      </c>
      <c r="D37" s="5"/>
      <c r="E37" s="9" t="s">
        <v>132</v>
      </c>
      <c r="H37">
        <f>-3*25</f>
        <v>-75</v>
      </c>
      <c r="K37" s="10" t="s">
        <v>22</v>
      </c>
      <c r="L37" s="10" t="s">
        <v>133</v>
      </c>
      <c r="M37" s="10" t="s">
        <v>132</v>
      </c>
      <c r="O37" s="9" t="s">
        <v>134</v>
      </c>
    </row>
    <row r="38" spans="1:17" x14ac:dyDescent="0.25">
      <c r="A38" t="s">
        <v>23</v>
      </c>
      <c r="B38" s="11" t="s">
        <v>135</v>
      </c>
      <c r="C38" s="4">
        <f>SUMIFS(I$3:I$33,B$3:B$33,A$37,L$3:L$33,A$38)</f>
        <v>17230</v>
      </c>
      <c r="D38" s="4"/>
      <c r="E38" s="11">
        <f>SUMIFS(Q$3:Q$33,B$3:B$33,A$37,L$3:L$33,A$38)</f>
        <v>31</v>
      </c>
      <c r="F38" t="s">
        <v>136</v>
      </c>
      <c r="H38">
        <f>-2*30</f>
        <v>-60</v>
      </c>
      <c r="K38" t="s">
        <v>137</v>
      </c>
      <c r="L38">
        <f>SUMIFS(G$3:G$33,J$3:J$33,K$37)</f>
        <v>3400</v>
      </c>
      <c r="M38">
        <f>SUMIFS(Q$3:Q$33,J$3:J$33,K$37)</f>
        <v>8</v>
      </c>
      <c r="O38" t="s">
        <v>22</v>
      </c>
      <c r="P38">
        <f>L43</f>
        <v>3185</v>
      </c>
    </row>
    <row r="39" spans="1:17" x14ac:dyDescent="0.25">
      <c r="B39" s="12" t="s">
        <v>138</v>
      </c>
      <c r="C39" s="3">
        <v>0</v>
      </c>
      <c r="D39" s="3"/>
      <c r="K39" t="s">
        <v>139</v>
      </c>
      <c r="L39">
        <f>-SUMIFS(H$3:H$33,J$3:J$33,K$37)+M39*5</f>
        <v>-155</v>
      </c>
      <c r="M39">
        <f>SUMIFS(Q$3:Q$33,J$3:J$33,K$37)-COUNTIFS(J$3:J$33,K$37,M$3:M$33,"*gộp*")</f>
        <v>8</v>
      </c>
      <c r="O39" t="s">
        <v>28</v>
      </c>
      <c r="P39">
        <f>L51</f>
        <v>-25</v>
      </c>
    </row>
    <row r="40" spans="1:17" x14ac:dyDescent="0.25">
      <c r="B40" s="12" t="s">
        <v>140</v>
      </c>
      <c r="C40" s="3">
        <f>-SUMIFS(I$3:I$33,B$3:B$33,A$37,P$3:P$33,"xx",N$3:N$33,"x")</f>
        <v>-870</v>
      </c>
      <c r="D40" s="3"/>
      <c r="E40" s="12">
        <f>SUMIFS(Q$3:Q$33,B$3:B$33,A$37,P$3:P$33,"xx",N$3:N$33,"x")</f>
        <v>1</v>
      </c>
      <c r="K40" t="s">
        <v>141</v>
      </c>
      <c r="L40">
        <f>-M40*2</f>
        <v>-60</v>
      </c>
      <c r="M40">
        <f>E38-E40</f>
        <v>30</v>
      </c>
      <c r="O40" t="s">
        <v>142</v>
      </c>
      <c r="P40">
        <f>L59</f>
        <v>8002</v>
      </c>
    </row>
    <row r="41" spans="1:17" x14ac:dyDescent="0.25">
      <c r="B41" s="9" t="s">
        <v>143</v>
      </c>
      <c r="C41" s="5">
        <f>SUBTOTAL(9,C38:C40)</f>
        <v>16360</v>
      </c>
      <c r="D41" s="5"/>
      <c r="E41">
        <f>E38</f>
        <v>31</v>
      </c>
      <c r="K41" s="12" t="s">
        <v>144</v>
      </c>
      <c r="O41" t="s">
        <v>36</v>
      </c>
      <c r="P41">
        <f>L67</f>
        <v>5350</v>
      </c>
    </row>
    <row r="42" spans="1:17" x14ac:dyDescent="0.25">
      <c r="B42" s="12" t="s">
        <v>145</v>
      </c>
      <c r="C42" s="2"/>
      <c r="D42" s="2"/>
      <c r="K42" s="12" t="s">
        <v>146</v>
      </c>
      <c r="O42" t="s">
        <v>147</v>
      </c>
      <c r="P42">
        <f>-C45</f>
        <v>-16360</v>
      </c>
    </row>
    <row r="43" spans="1:17" x14ac:dyDescent="0.25">
      <c r="B43" s="13" t="s">
        <v>148</v>
      </c>
      <c r="C43" s="2"/>
      <c r="D43" s="2"/>
      <c r="L43" s="14">
        <f>SUBTOTAL(9,L38:L42)</f>
        <v>3185</v>
      </c>
      <c r="M43" s="14">
        <f>M38</f>
        <v>8</v>
      </c>
      <c r="O43" s="9" t="s">
        <v>149</v>
      </c>
      <c r="P43" s="9">
        <f>SUBTOTAL(9,P38:P42)</f>
        <v>152</v>
      </c>
    </row>
    <row r="45" spans="1:17" x14ac:dyDescent="0.25">
      <c r="B45" s="8" t="s">
        <v>150</v>
      </c>
      <c r="C45" s="1">
        <f>C41+C42+C43</f>
        <v>16360</v>
      </c>
      <c r="D45" s="1"/>
      <c r="E45" s="8" t="s">
        <v>151</v>
      </c>
      <c r="K45" s="10" t="s">
        <v>28</v>
      </c>
      <c r="L45" s="10" t="s">
        <v>133</v>
      </c>
      <c r="M45" s="10" t="s">
        <v>132</v>
      </c>
    </row>
    <row r="46" spans="1:17" x14ac:dyDescent="0.25">
      <c r="K46" t="s">
        <v>137</v>
      </c>
      <c r="L46">
        <f>SUMIFS(G$3:G$33,J$3:J$33,K$45)</f>
        <v>0</v>
      </c>
      <c r="M46">
        <f>SUMIFS(Q$3:Q$33,J$3:J$33,K$45)</f>
        <v>1</v>
      </c>
    </row>
    <row r="47" spans="1:17" x14ac:dyDescent="0.25">
      <c r="K47" t="s">
        <v>139</v>
      </c>
      <c r="L47">
        <f>-SUMIFS(H$3:H$33,J$3:J$33,K$45)+M47*5</f>
        <v>-25</v>
      </c>
      <c r="M47" s="7">
        <f>SUMIFS(Q$3:Q$33,J$3:J$33,K$45)-COUNTIFS(J$3:J$33,K$45,M$3:M$33,"*gộp*")</f>
        <v>1</v>
      </c>
    </row>
    <row r="48" spans="1:17" x14ac:dyDescent="0.25">
      <c r="K48" t="s">
        <v>141</v>
      </c>
    </row>
    <row r="49" spans="11:13" x14ac:dyDescent="0.25">
      <c r="K49" s="12" t="s">
        <v>144</v>
      </c>
    </row>
    <row r="50" spans="11:13" x14ac:dyDescent="0.25">
      <c r="K50" s="12" t="s">
        <v>146</v>
      </c>
    </row>
    <row r="51" spans="11:13" x14ac:dyDescent="0.25">
      <c r="L51" s="14">
        <f>SUBTOTAL(9,L46:L50)</f>
        <v>-25</v>
      </c>
      <c r="M51" s="14">
        <f>M46</f>
        <v>1</v>
      </c>
    </row>
    <row r="53" spans="11:13" x14ac:dyDescent="0.25">
      <c r="K53" s="10" t="s">
        <v>32</v>
      </c>
      <c r="L53" s="10" t="s">
        <v>133</v>
      </c>
      <c r="M53" s="10" t="s">
        <v>132</v>
      </c>
    </row>
    <row r="54" spans="11:13" x14ac:dyDescent="0.25">
      <c r="K54" t="s">
        <v>137</v>
      </c>
      <c r="L54">
        <f>SUMIFS(G$3:G$33,J$3:J$33,K$53)</f>
        <v>8290</v>
      </c>
      <c r="M54">
        <f>SUMIFS(Q$3:Q$33,J$3:J$33,K$53)</f>
        <v>14</v>
      </c>
    </row>
    <row r="55" spans="11:13" x14ac:dyDescent="0.25">
      <c r="K55" t="s">
        <v>139</v>
      </c>
      <c r="L55">
        <f>SUM(H36:H38)</f>
        <v>-288</v>
      </c>
      <c r="M55">
        <f>SUMIFS(Q$3:Q$33,J$3:J$33,K$53)</f>
        <v>14</v>
      </c>
    </row>
    <row r="56" spans="11:13" x14ac:dyDescent="0.25">
      <c r="K56" t="s">
        <v>141</v>
      </c>
    </row>
    <row r="57" spans="11:13" x14ac:dyDescent="0.25">
      <c r="K57" s="12" t="s">
        <v>144</v>
      </c>
    </row>
    <row r="58" spans="11:13" x14ac:dyDescent="0.25">
      <c r="K58" s="12" t="s">
        <v>146</v>
      </c>
    </row>
    <row r="59" spans="11:13" x14ac:dyDescent="0.25">
      <c r="L59" s="14">
        <f>SUBTOTAL(9,L54:L58)</f>
        <v>8002</v>
      </c>
      <c r="M59" s="14">
        <f>M54</f>
        <v>14</v>
      </c>
    </row>
    <row r="61" spans="11:13" x14ac:dyDescent="0.25">
      <c r="K61" s="10" t="s">
        <v>36</v>
      </c>
      <c r="L61" s="10" t="s">
        <v>133</v>
      </c>
      <c r="M61" s="10" t="s">
        <v>132</v>
      </c>
    </row>
    <row r="62" spans="11:13" x14ac:dyDescent="0.25">
      <c r="K62" t="s">
        <v>137</v>
      </c>
      <c r="L62">
        <f>SUMIFS(G$3:G$33,J$3:J$33,K$61)</f>
        <v>5480</v>
      </c>
      <c r="M62">
        <f>SUMIFS(Q$3:Q$33,J$3:J$33,K$61)</f>
        <v>7</v>
      </c>
    </row>
    <row r="63" spans="11:13" x14ac:dyDescent="0.25">
      <c r="K63" t="s">
        <v>139</v>
      </c>
      <c r="L63">
        <f>-SUMIFS(H$3:H$33,J$3:J$33,K$61)+M63*5</f>
        <v>-130</v>
      </c>
      <c r="M63">
        <f>SUMIFS(Q$3:Q$33,J$3:J$33,K$61)-COUNTIFS(J$3:J$33,K$61,M$3:M$33,"*gộp*")</f>
        <v>7</v>
      </c>
    </row>
    <row r="64" spans="11:13" x14ac:dyDescent="0.25">
      <c r="K64" t="s">
        <v>141</v>
      </c>
    </row>
    <row r="65" spans="11:13" x14ac:dyDescent="0.25">
      <c r="K65" s="12" t="s">
        <v>144</v>
      </c>
    </row>
    <row r="66" spans="11:13" x14ac:dyDescent="0.25">
      <c r="K66" s="12" t="s">
        <v>146</v>
      </c>
    </row>
    <row r="67" spans="11:13" x14ac:dyDescent="0.25">
      <c r="L67" s="14">
        <f>SUBTOTAL(9,L62:L66)</f>
        <v>5350</v>
      </c>
      <c r="M67" s="14">
        <f>M62</f>
        <v>7</v>
      </c>
    </row>
  </sheetData>
  <autoFilter ref="A2:P33" xr:uid="{00000000-0009-0000-0000-000000000000}">
    <sortState xmlns:xlrd2="http://schemas.microsoft.com/office/spreadsheetml/2017/richdata2" ref="A3:P33">
      <sortCondition ref="J2:J33"/>
    </sortState>
  </autoFilter>
  <mergeCells count="8">
    <mergeCell ref="C42:D42"/>
    <mergeCell ref="C43:D43"/>
    <mergeCell ref="C45:D45"/>
    <mergeCell ref="C37:D37"/>
    <mergeCell ref="C38:D38"/>
    <mergeCell ref="C39:D39"/>
    <mergeCell ref="C40:D40"/>
    <mergeCell ref="C41:D4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 Pham</cp:lastModifiedBy>
  <dcterms:created xsi:type="dcterms:W3CDTF">2026-03-26T10:23:47Z</dcterms:created>
  <dcterms:modified xsi:type="dcterms:W3CDTF">2026-03-26T10:27:07Z</dcterms:modified>
</cp:coreProperties>
</file>