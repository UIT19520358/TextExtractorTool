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Work\Freelance\TextInputter\data\Mar\21-03-2026\"/>
    </mc:Choice>
  </mc:AlternateContent>
  <xr:revisionPtr revIDLastSave="0" documentId="13_ncr:1_{F74B2A0D-ECFA-422C-8C25-093D1AFF64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1-03" sheetId="2" r:id="rId1"/>
  </sheets>
  <definedNames>
    <definedName name="_xlnm._FilterDatabase" localSheetId="0" hidden="1">'21-03'!$A$2:$P$34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8" i="2" l="1"/>
  <c r="M57" i="2"/>
  <c r="L57" i="2" s="1"/>
  <c r="M56" i="2"/>
  <c r="M61" i="2" s="1"/>
  <c r="L56" i="2"/>
  <c r="M49" i="2"/>
  <c r="M41" i="2"/>
  <c r="L41" i="2" s="1"/>
  <c r="L49" i="2"/>
  <c r="M48" i="2"/>
  <c r="M53" i="2" s="1"/>
  <c r="L48" i="2"/>
  <c r="L53" i="2" s="1"/>
  <c r="P41" i="2" s="1"/>
  <c r="M40" i="2"/>
  <c r="M45" i="2" s="1"/>
  <c r="L40" i="2"/>
  <c r="E40" i="2"/>
  <c r="E43" i="2" s="1"/>
  <c r="C42" i="2"/>
  <c r="C40" i="2"/>
  <c r="E42" i="2"/>
  <c r="H37" i="2"/>
  <c r="I37" i="2"/>
  <c r="J37" i="2"/>
  <c r="K37" i="2"/>
  <c r="L37" i="2"/>
  <c r="M37" i="2"/>
  <c r="N37" i="2"/>
  <c r="O37" i="2"/>
  <c r="P37" i="2"/>
  <c r="Q37" i="2"/>
  <c r="G37" i="2"/>
  <c r="I35" i="2"/>
  <c r="H38" i="2"/>
  <c r="I26" i="2"/>
  <c r="I3" i="2"/>
  <c r="I27" i="2"/>
  <c r="I18" i="2"/>
  <c r="I28" i="2"/>
  <c r="I19" i="2"/>
  <c r="I4" i="2"/>
  <c r="I20" i="2"/>
  <c r="I5" i="2"/>
  <c r="I21" i="2"/>
  <c r="I22" i="2"/>
  <c r="I6" i="2"/>
  <c r="I7" i="2"/>
  <c r="I29" i="2"/>
  <c r="I8" i="2"/>
  <c r="I23" i="2"/>
  <c r="I9" i="2"/>
  <c r="I24" i="2"/>
  <c r="I30" i="2"/>
  <c r="I25" i="2"/>
  <c r="I10" i="2"/>
  <c r="I11" i="2"/>
  <c r="I12" i="2"/>
  <c r="I31" i="2"/>
  <c r="I13" i="2"/>
  <c r="I14" i="2"/>
  <c r="I15" i="2"/>
  <c r="I16" i="2"/>
  <c r="I17" i="2"/>
  <c r="I32" i="2"/>
  <c r="I33" i="2"/>
  <c r="I34" i="2"/>
  <c r="D37" i="2"/>
  <c r="H39" i="2"/>
  <c r="H40" i="2"/>
  <c r="L58" i="2" l="1"/>
  <c r="C43" i="2"/>
  <c r="C47" i="2" s="1"/>
  <c r="P43" i="2" s="1"/>
  <c r="L61" i="2"/>
  <c r="P42" i="2" s="1"/>
  <c r="L45" i="2"/>
  <c r="P40" i="2" s="1"/>
  <c r="P44" i="2" l="1"/>
</calcChain>
</file>

<file path=xl/sharedStrings.xml><?xml version="1.0" encoding="utf-8"?>
<sst xmlns="http://schemas.openxmlformats.org/spreadsheetml/2006/main" count="316" uniqueCount="155">
  <si>
    <t>Tình trạng TT</t>
  </si>
  <si>
    <t>SHOP</t>
  </si>
  <si>
    <t>TÊN KH</t>
  </si>
  <si>
    <t>MÃ</t>
  </si>
  <si>
    <t>ĐỊA CHỈ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</si>
  <si>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</si>
  <si>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</si>
  <si>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</si>
  <si>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</si>
  <si>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</si>
  <si>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</si>
  <si>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</si>
  <si>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</si>
  <si>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</si>
  <si>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</si>
  <si>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</si>
  <si>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_col17</t>
  </si>
  <si>
    <t>ĐOÀN NGÂN CHÂU</t>
  </si>
  <si>
    <t>Tên Khải fb : Lysa Kim</t>
  </si>
  <si>
    <t>HD003566</t>
  </si>
  <si>
    <t>124 Nam kỳ khởi nghĩa, phường bến nghé</t>
  </si>
  <si>
    <t>c.hieu</t>
  </si>
  <si>
    <t>c.cuong</t>
  </si>
  <si>
    <t>21-03-2026</t>
  </si>
  <si>
    <t>Nhung Dang</t>
  </si>
  <si>
    <t>HD003482</t>
  </si>
  <si>
    <t>17 Hưng gia3 Tân phong</t>
  </si>
  <si>
    <t>AT 21-03</t>
  </si>
  <si>
    <t>cô hai fb MeiLing Loke</t>
  </si>
  <si>
    <t>HD003670</t>
  </si>
  <si>
    <t>52/20 hồ thị kỷ f1 gặp cô 2</t>
  </si>
  <si>
    <t>Thanh Thao</t>
  </si>
  <si>
    <t>HD003554</t>
  </si>
  <si>
    <t>1053/23/5 lê đức thọ p16</t>
  </si>
  <si>
    <t>go vap</t>
  </si>
  <si>
    <t>giàu - gửi hàng cho Mỹ Phùng</t>
  </si>
  <si>
    <t>HD003541</t>
  </si>
  <si>
    <t>37 Đặng Minh Trứ, Phường Bảy Hiền</t>
  </si>
  <si>
    <t>tan binh</t>
  </si>
  <si>
    <t>Trần Mỹ Nhi</t>
  </si>
  <si>
    <t>HD003684</t>
  </si>
  <si>
    <t>352 Nguyễn xí p13</t>
  </si>
  <si>
    <t>binh thanh</t>
  </si>
  <si>
    <t>Rose Love</t>
  </si>
  <si>
    <t>HD003506</t>
  </si>
  <si>
    <t>206 quách đình bảo phú thạnh</t>
  </si>
  <si>
    <t>tan phu</t>
  </si>
  <si>
    <t>Phạm Dung</t>
  </si>
  <si>
    <t>HD003689</t>
  </si>
  <si>
    <t>208 nguyễn hữu cảnh phường 22 chung cư vinhome - toà lanmark 5</t>
  </si>
  <si>
    <t>Le Bao Ngoc</t>
  </si>
  <si>
    <t>HD003683</t>
  </si>
  <si>
    <t>chung cư Century Celadon, phường Sơn Kỳ - Sảnh C5 cổng 1</t>
  </si>
  <si>
    <t>Quyên Nguyễn</t>
  </si>
  <si>
    <t>HD003233</t>
  </si>
  <si>
    <t>The opera residence tháp B scala</t>
  </si>
  <si>
    <t>Chị Nhậm ( gửi đồ cho Julie em chị Hà ở Úc) - fb Gia Khánh Linh</t>
  </si>
  <si>
    <t>HD003539</t>
  </si>
  <si>
    <t>40/8 xuân Thuỷ - Thảo Điền</t>
  </si>
  <si>
    <t>Mr Adam/Fanee</t>
  </si>
  <si>
    <t>HD003422</t>
  </si>
  <si>
    <t>Chung cư Conic Reverside (Block A), Đường số 1, KDC Conic, khu phố 6</t>
  </si>
  <si>
    <t>Bích Ngà</t>
  </si>
  <si>
    <t>HD003643</t>
  </si>
  <si>
    <t>Nhà 18 lỗ H đường số 2 khu dân cư phú mỹ cửa màu đen có 2 cây mai to đường hoàng quốc việt quẹo vào, phường phú mỹ</t>
  </si>
  <si>
    <t>Hoàng Yến Như</t>
  </si>
  <si>
    <t>HD003699</t>
  </si>
  <si>
    <t>145/11 Nguyễn Văn Trỗi, phường Phú Nhuận</t>
  </si>
  <si>
    <t>phu nhuan</t>
  </si>
  <si>
    <t>Nhi Nguyễn</t>
  </si>
  <si>
    <t>HD003289</t>
  </si>
  <si>
    <t>1185 lê đức anh khu phố 5 phường an lạc</t>
  </si>
  <si>
    <t>binh tan</t>
  </si>
  <si>
    <t>Kim Phú</t>
  </si>
  <si>
    <t>HD003644</t>
  </si>
  <si>
    <t>89/57 đường số 59 p14</t>
  </si>
  <si>
    <t>Dung Nguyễn</t>
  </si>
  <si>
    <t>HD003503</t>
  </si>
  <si>
    <t>1123 quốc lộ 1ạ, tân tạo, chung cư an gia the star</t>
  </si>
  <si>
    <t>Tâm Như</t>
  </si>
  <si>
    <t>HD003500</t>
  </si>
  <si>
    <t>129/34 Nguyễn Văn Công, phường 3, Phường Gò Vấp</t>
  </si>
  <si>
    <t>Thuý Ngân Nguyễn</t>
  </si>
  <si>
    <t>HD003531</t>
  </si>
  <si>
    <t>257/6/11A Phan xích Long p 2</t>
  </si>
  <si>
    <t>Quỳnh Như</t>
  </si>
  <si>
    <t>HD003498</t>
  </si>
  <si>
    <t>79a đường số 12 linh tây</t>
  </si>
  <si>
    <t>thu duc</t>
  </si>
  <si>
    <t>Trịnh Hoài Thương</t>
  </si>
  <si>
    <t>HD003358</t>
  </si>
  <si>
    <t>75 tô hiệu phú thạnh</t>
  </si>
  <si>
    <t>LDVKH</t>
  </si>
  <si>
    <t>HD003456</t>
  </si>
  <si>
    <t>177c, Đường Số 1, P. Bình Hưng Hòa B</t>
  </si>
  <si>
    <t>Mercy Nguyễn Phu</t>
  </si>
  <si>
    <t>HD003706</t>
  </si>
  <si>
    <t>298/16/8B Tân Hoà Đông P bình trị đông</t>
  </si>
  <si>
    <t>Gia Huy nhận của ELIS NGUYỄN ( singapore)</t>
  </si>
  <si>
    <t>HD003567</t>
  </si>
  <si>
    <t>2/11 Đường Thiên Phước, Phường 9</t>
  </si>
  <si>
    <t>Hoàng Kim</t>
  </si>
  <si>
    <t>HD003593</t>
  </si>
  <si>
    <t>Dream Home Palace (1436 Trịnh Quang Nghị, P7)</t>
  </si>
  <si>
    <t>g nghi</t>
  </si>
  <si>
    <t>Ngọc Dung</t>
  </si>
  <si>
    <t>HD003412</t>
  </si>
  <si>
    <t>2581/79a huỳnh tấn phát</t>
  </si>
  <si>
    <t>nha be</t>
  </si>
  <si>
    <t>Từ Thụy Hồng Ngọc</t>
  </si>
  <si>
    <t>HD003555</t>
  </si>
  <si>
    <t>154/136/15/3 Au luong lan p3</t>
  </si>
  <si>
    <t>Cherry Nguyên</t>
  </si>
  <si>
    <t>HD003731</t>
  </si>
  <si>
    <t>A4/40A2 Tổ 4 ấp 1A đường 1C, xã Vĩnh Lộc B</t>
  </si>
  <si>
    <t>binh chanh</t>
  </si>
  <si>
    <t>Ng T Thi</t>
  </si>
  <si>
    <t>HD003685</t>
  </si>
  <si>
    <t>1135/17/28 huỳn tấn phát</t>
  </si>
  <si>
    <t>đổi hàng</t>
  </si>
  <si>
    <t>hàng sỉ</t>
  </si>
  <si>
    <t>nhà xe Khải Nam</t>
  </si>
  <si>
    <t>363 Đường Hùng vương P. 9</t>
  </si>
  <si>
    <t>NGUYÊN NGUYÊN</t>
  </si>
  <si>
    <t>12 TÔN ĐẢN P13</t>
  </si>
  <si>
    <t>Thanh Hằng ( Vivi Kosalim )</t>
  </si>
  <si>
    <t>605 Âu Cơ, Phường Phú Trung</t>
  </si>
  <si>
    <t>Tiền</t>
  </si>
  <si>
    <t>Số đơn</t>
  </si>
  <si>
    <t>Tiền Thu</t>
  </si>
  <si>
    <t>lợi nhuận</t>
  </si>
  <si>
    <t>cod</t>
  </si>
  <si>
    <t>Sài Gòn</t>
  </si>
  <si>
    <t>TỔNG ĐƠN NHẬN</t>
  </si>
  <si>
    <t>Trừ Ship</t>
  </si>
  <si>
    <t>tiền ship</t>
  </si>
  <si>
    <t>at 21-03</t>
  </si>
  <si>
    <t>Đơn trả &amp; c.khoản</t>
  </si>
  <si>
    <t>tiền lấy</t>
  </si>
  <si>
    <t>Tiền Hàng Hcm</t>
  </si>
  <si>
    <t>đơn trả</t>
  </si>
  <si>
    <t>shop</t>
  </si>
  <si>
    <t>đền đơn</t>
  </si>
  <si>
    <t>đơn cũ ck</t>
  </si>
  <si>
    <t>tổng</t>
  </si>
  <si>
    <t>nợ cũ</t>
  </si>
  <si>
    <t>THANH TOÁN</t>
  </si>
  <si>
    <t>CK Đủ 100%</t>
  </si>
  <si>
    <t>W2886</t>
  </si>
  <si>
    <t>HD003205</t>
  </si>
  <si>
    <t>Địa chỉ: 375 tân thới hiệp 21, Tổ 3,Kp3 ( nhớ gõ đủ) Số kho : 0325267896 ( nhớ ghi mã khách hàng )</t>
  </si>
  <si>
    <t>luu tra</t>
  </si>
  <si>
    <t>20-03-2026</t>
  </si>
  <si>
    <t>x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</si>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</sst>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E0"/>
      </patternFill>
    </fill>
    <fill>
      <patternFill patternType="solid">
        <fgColor rgb="FFB0C4DE"/>
      </patternFill>
    </fill>
    <fill>
      <patternFill patternType="solid">
        <fgColor rgb="FFFFC87C"/>
      </patternFill>
    </fill>
    <fill>
      <patternFill patternType="solid">
        <fgColor rgb="FFADD8E6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6">
    <xf numFmtId="0" fontId="0" fillId="0" borderId="0" xfId="0"/>
    <xf numFmtId="0" fontId="1" fillId="3" borderId="0" xfId="0" applyFont="1" applyFill="1"/>
    <xf numFmtId="0" fontId="0" fillId="0" borderId="0" xfId="0"/>
    <xf numFmtId="0" fontId="2" fillId="0" borderId="0" xfId="0" applyFont="1"/>
    <xf numFmtId="0" fontId="0" fillId="3" borderId="0" xfId="0" applyFill="1"/>
    <xf numFmtId="0" fontId="1" fillId="0" borderId="0" xfId="0" applyFont="1"/>
    <xf numFmtId="0" fontId="1" fillId="2" borderId="0" xfId="0" applyFont="1" applyFill="1"/>
    <xf numFmtId="3" fontId="0" fillId="0" borderId="0" xfId="0" applyNumberFormat="1"/>
    <xf numFmtId="0" fontId="1" fillId="3" borderId="0" xfId="0" applyFont="1" applyFill="1"/>
    <xf numFmtId="0" fontId="1" fillId="0" borderId="0" xfId="0" applyFont="1"/>
    <xf numFmtId="0" fontId="1" fillId="4" borderId="0" xfId="0" applyFont="1" applyFill="1"/>
    <xf numFmtId="0" fontId="0" fillId="3" borderId="0" xfId="0" applyFill="1"/>
    <xf numFmtId="0" fontId="2" fillId="0" borderId="0" xfId="0" applyFont="1"/>
    <xf numFmtId="0" fontId="0" fillId="5" borderId="0" xfId="0" applyFill="1"/>
    <xf numFmtId="0" fontId="1" fillId="6" borderId="0" xfId="0" applyFont="1" applyFill="1"/>
    <xf numFmtId="0" fontId="3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61"/>
  <sheetViews>
    <sheetView tabSelected="1" topLeftCell="A7" zoomScale="70" zoomScaleNormal="70" workbookViewId="0">
      <selection activeCell="R48" sqref="R48"/>
    </sheetView>
  </sheetViews>
  <sheetFormatPr defaultRowHeight="15" x14ac:dyDescent="0.25"/>
  <cols>
    <col min="1" max="1" width="12.7109375" customWidth="1"/>
    <col min="2" max="2" width="17.7109375" customWidth="1"/>
    <col min="3" max="3" width="56.42578125" customWidth="1"/>
    <col min="4" max="4" width="9.85546875" customWidth="1"/>
    <col min="5" max="5" width="111.710937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6.42578125" bestFit="1" customWidth="1"/>
    <col min="13" max="13" width="8.7109375" customWidth="1"/>
    <col min="14" max="14" width="9.7109375" customWidth="1"/>
    <col min="15" max="15" width="10.42578125" customWidth="1"/>
    <col min="16" max="16" width="10.140625" bestFit="1" customWidth="1"/>
    <col min="17" max="17" width="6.42578125" customWidth="1"/>
  </cols>
  <sheetData>
    <row r="2" spans="1:17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</row>
    <row r="3" spans="1:17" x14ac:dyDescent="0.25">
      <c r="B3" t="s">
        <v>17</v>
      </c>
      <c r="C3" t="s">
        <v>24</v>
      </c>
      <c r="D3" t="s">
        <v>25</v>
      </c>
      <c r="E3" t="s">
        <v>26</v>
      </c>
      <c r="F3" s="7">
        <v>7</v>
      </c>
      <c r="G3" s="7">
        <v>890</v>
      </c>
      <c r="H3" s="7">
        <v>30</v>
      </c>
      <c r="I3" s="7">
        <f>G3-H3</f>
        <v>860</v>
      </c>
      <c r="J3" t="s">
        <v>27</v>
      </c>
      <c r="K3" t="s">
        <v>22</v>
      </c>
      <c r="L3" t="s">
        <v>23</v>
      </c>
      <c r="Q3" s="7">
        <v>1</v>
      </c>
    </row>
    <row r="4" spans="1:17" x14ac:dyDescent="0.25">
      <c r="B4" t="s">
        <v>17</v>
      </c>
      <c r="C4" t="s">
        <v>43</v>
      </c>
      <c r="D4" t="s">
        <v>44</v>
      </c>
      <c r="E4" t="s">
        <v>45</v>
      </c>
      <c r="F4" t="s">
        <v>46</v>
      </c>
      <c r="G4" s="7">
        <v>1325</v>
      </c>
      <c r="H4" s="7">
        <v>25</v>
      </c>
      <c r="I4" s="7">
        <f>G4-H4</f>
        <v>1300</v>
      </c>
      <c r="J4" t="s">
        <v>27</v>
      </c>
      <c r="K4" t="s">
        <v>22</v>
      </c>
      <c r="L4" t="s">
        <v>23</v>
      </c>
      <c r="Q4" s="7">
        <v>1</v>
      </c>
    </row>
    <row r="5" spans="1:17" x14ac:dyDescent="0.25">
      <c r="B5" t="s">
        <v>17</v>
      </c>
      <c r="C5" t="s">
        <v>50</v>
      </c>
      <c r="D5" t="s">
        <v>51</v>
      </c>
      <c r="E5" t="s">
        <v>52</v>
      </c>
      <c r="F5" t="s">
        <v>46</v>
      </c>
      <c r="G5" s="7">
        <v>765</v>
      </c>
      <c r="H5" s="7">
        <v>25</v>
      </c>
      <c r="I5" s="7">
        <f>G5-H5</f>
        <v>740</v>
      </c>
      <c r="J5" t="s">
        <v>27</v>
      </c>
      <c r="K5" t="s">
        <v>22</v>
      </c>
      <c r="L5" t="s">
        <v>23</v>
      </c>
      <c r="Q5" s="7">
        <v>1</v>
      </c>
    </row>
    <row r="6" spans="1:17" x14ac:dyDescent="0.25">
      <c r="B6" t="s">
        <v>17</v>
      </c>
      <c r="C6" t="s">
        <v>59</v>
      </c>
      <c r="D6" t="s">
        <v>60</v>
      </c>
      <c r="E6" t="s">
        <v>61</v>
      </c>
      <c r="F6" s="7">
        <v>8</v>
      </c>
      <c r="G6" s="7">
        <v>0</v>
      </c>
      <c r="H6" s="7">
        <v>25</v>
      </c>
      <c r="I6" s="7">
        <f>-H6</f>
        <v>-25</v>
      </c>
      <c r="J6" t="s">
        <v>27</v>
      </c>
      <c r="K6" t="s">
        <v>22</v>
      </c>
      <c r="L6" t="s">
        <v>23</v>
      </c>
      <c r="Q6" s="7">
        <v>1</v>
      </c>
    </row>
    <row r="7" spans="1:17" x14ac:dyDescent="0.25">
      <c r="B7" t="s">
        <v>17</v>
      </c>
      <c r="C7" t="s">
        <v>62</v>
      </c>
      <c r="D7" t="s">
        <v>63</v>
      </c>
      <c r="E7" t="s">
        <v>64</v>
      </c>
      <c r="F7" s="7">
        <v>7</v>
      </c>
      <c r="G7" s="7">
        <v>670</v>
      </c>
      <c r="H7" s="7">
        <v>30</v>
      </c>
      <c r="I7" s="7">
        <f>G7-H7</f>
        <v>640</v>
      </c>
      <c r="J7" t="s">
        <v>27</v>
      </c>
      <c r="K7" t="s">
        <v>22</v>
      </c>
      <c r="L7" t="s">
        <v>23</v>
      </c>
      <c r="Q7" s="7">
        <v>1</v>
      </c>
    </row>
    <row r="8" spans="1:17" x14ac:dyDescent="0.25">
      <c r="B8" t="s">
        <v>17</v>
      </c>
      <c r="C8" t="s">
        <v>69</v>
      </c>
      <c r="D8" t="s">
        <v>70</v>
      </c>
      <c r="E8" t="s">
        <v>71</v>
      </c>
      <c r="F8" t="s">
        <v>72</v>
      </c>
      <c r="G8" s="7">
        <v>890</v>
      </c>
      <c r="H8" s="7">
        <v>30</v>
      </c>
      <c r="I8" s="7">
        <f>G8-H8</f>
        <v>860</v>
      </c>
      <c r="J8" t="s">
        <v>27</v>
      </c>
      <c r="K8" t="s">
        <v>22</v>
      </c>
      <c r="L8" t="s">
        <v>23</v>
      </c>
      <c r="Q8" s="7">
        <v>1</v>
      </c>
    </row>
    <row r="9" spans="1:17" x14ac:dyDescent="0.25">
      <c r="B9" t="s">
        <v>17</v>
      </c>
      <c r="C9" t="s">
        <v>76</v>
      </c>
      <c r="D9" t="s">
        <v>77</v>
      </c>
      <c r="E9" t="s">
        <v>78</v>
      </c>
      <c r="F9" t="s">
        <v>72</v>
      </c>
      <c r="G9" s="7">
        <v>2010</v>
      </c>
      <c r="H9" s="7">
        <v>30</v>
      </c>
      <c r="I9" s="7">
        <f>G9-H9</f>
        <v>1980</v>
      </c>
      <c r="J9" t="s">
        <v>27</v>
      </c>
      <c r="K9" t="s">
        <v>22</v>
      </c>
      <c r="L9" t="s">
        <v>23</v>
      </c>
      <c r="Q9" s="7">
        <v>1</v>
      </c>
    </row>
    <row r="10" spans="1:17" x14ac:dyDescent="0.25">
      <c r="B10" t="s">
        <v>17</v>
      </c>
      <c r="C10" t="s">
        <v>89</v>
      </c>
      <c r="D10" t="s">
        <v>90</v>
      </c>
      <c r="E10" t="s">
        <v>91</v>
      </c>
      <c r="F10" t="s">
        <v>46</v>
      </c>
      <c r="G10" s="7">
        <v>405</v>
      </c>
      <c r="H10" s="7">
        <v>25</v>
      </c>
      <c r="I10" s="7">
        <f>G10-H10</f>
        <v>380</v>
      </c>
      <c r="J10" t="s">
        <v>27</v>
      </c>
      <c r="K10" t="s">
        <v>22</v>
      </c>
      <c r="L10" t="s">
        <v>23</v>
      </c>
      <c r="Q10" s="7">
        <v>1</v>
      </c>
    </row>
    <row r="11" spans="1:17" x14ac:dyDescent="0.25">
      <c r="B11" t="s">
        <v>17</v>
      </c>
      <c r="C11" t="s">
        <v>92</v>
      </c>
      <c r="D11" t="s">
        <v>93</v>
      </c>
      <c r="E11" t="s">
        <v>94</v>
      </c>
      <c r="F11" t="s">
        <v>72</v>
      </c>
      <c r="G11" s="7">
        <v>0</v>
      </c>
      <c r="H11" s="7">
        <v>25</v>
      </c>
      <c r="I11" s="7">
        <f>-H11</f>
        <v>-25</v>
      </c>
      <c r="J11" t="s">
        <v>27</v>
      </c>
      <c r="K11" t="s">
        <v>22</v>
      </c>
      <c r="L11" t="s">
        <v>23</v>
      </c>
      <c r="Q11" s="7">
        <v>1</v>
      </c>
    </row>
    <row r="12" spans="1:17" x14ac:dyDescent="0.25">
      <c r="B12" t="s">
        <v>17</v>
      </c>
      <c r="C12" t="s">
        <v>95</v>
      </c>
      <c r="D12" t="s">
        <v>96</v>
      </c>
      <c r="E12" t="s">
        <v>97</v>
      </c>
      <c r="F12" t="s">
        <v>72</v>
      </c>
      <c r="G12" s="7">
        <v>610</v>
      </c>
      <c r="H12" s="7">
        <v>30</v>
      </c>
      <c r="I12" s="7">
        <f>G12-H12</f>
        <v>580</v>
      </c>
      <c r="J12" t="s">
        <v>27</v>
      </c>
      <c r="K12" t="s">
        <v>22</v>
      </c>
      <c r="L12" t="s">
        <v>23</v>
      </c>
      <c r="Q12" s="7">
        <v>1</v>
      </c>
    </row>
    <row r="13" spans="1:17" x14ac:dyDescent="0.25">
      <c r="B13" t="s">
        <v>17</v>
      </c>
      <c r="C13" t="s">
        <v>101</v>
      </c>
      <c r="D13" t="s">
        <v>102</v>
      </c>
      <c r="E13" t="s">
        <v>103</v>
      </c>
      <c r="F13" t="s">
        <v>104</v>
      </c>
      <c r="G13" s="7">
        <v>380</v>
      </c>
      <c r="H13" s="7">
        <v>30</v>
      </c>
      <c r="I13" s="7">
        <f>G13-H13</f>
        <v>350</v>
      </c>
      <c r="J13" t="s">
        <v>27</v>
      </c>
      <c r="K13" t="s">
        <v>22</v>
      </c>
      <c r="L13" t="s">
        <v>23</v>
      </c>
      <c r="Q13" s="7">
        <v>1</v>
      </c>
    </row>
    <row r="14" spans="1:17" x14ac:dyDescent="0.25">
      <c r="B14" t="s">
        <v>17</v>
      </c>
      <c r="C14" t="s">
        <v>105</v>
      </c>
      <c r="D14" t="s">
        <v>106</v>
      </c>
      <c r="E14" t="s">
        <v>107</v>
      </c>
      <c r="F14" t="s">
        <v>108</v>
      </c>
      <c r="G14" s="7">
        <v>625</v>
      </c>
      <c r="H14" s="7">
        <v>35</v>
      </c>
      <c r="I14" s="7">
        <f>G14-H14</f>
        <v>590</v>
      </c>
      <c r="J14" t="s">
        <v>27</v>
      </c>
      <c r="K14" t="s">
        <v>22</v>
      </c>
      <c r="L14" t="s">
        <v>23</v>
      </c>
      <c r="Q14" s="7">
        <v>1</v>
      </c>
    </row>
    <row r="15" spans="1:17" x14ac:dyDescent="0.25">
      <c r="B15" t="s">
        <v>17</v>
      </c>
      <c r="C15" t="s">
        <v>109</v>
      </c>
      <c r="D15" t="s">
        <v>110</v>
      </c>
      <c r="E15" t="s">
        <v>111</v>
      </c>
      <c r="F15" s="7">
        <v>8</v>
      </c>
      <c r="G15" s="7">
        <v>405</v>
      </c>
      <c r="H15" s="7">
        <v>25</v>
      </c>
      <c r="I15" s="7">
        <f>G15-H15</f>
        <v>380</v>
      </c>
      <c r="J15" t="s">
        <v>27</v>
      </c>
      <c r="K15" t="s">
        <v>22</v>
      </c>
      <c r="L15" t="s">
        <v>23</v>
      </c>
      <c r="Q15" s="7">
        <v>1</v>
      </c>
    </row>
    <row r="16" spans="1:17" x14ac:dyDescent="0.25">
      <c r="B16" t="s">
        <v>17</v>
      </c>
      <c r="C16" t="s">
        <v>112</v>
      </c>
      <c r="D16" t="s">
        <v>113</v>
      </c>
      <c r="E16" t="s">
        <v>114</v>
      </c>
      <c r="F16" t="s">
        <v>115</v>
      </c>
      <c r="G16" s="7">
        <v>995</v>
      </c>
      <c r="H16" s="7">
        <v>35</v>
      </c>
      <c r="I16" s="7">
        <f>G16-H16</f>
        <v>960</v>
      </c>
      <c r="J16" t="s">
        <v>27</v>
      </c>
      <c r="K16" t="s">
        <v>22</v>
      </c>
      <c r="L16" t="s">
        <v>23</v>
      </c>
      <c r="Q16" s="7">
        <v>1</v>
      </c>
    </row>
    <row r="17" spans="1:17" x14ac:dyDescent="0.25">
      <c r="B17" t="s">
        <v>17</v>
      </c>
      <c r="C17" t="s">
        <v>116</v>
      </c>
      <c r="D17" t="s">
        <v>117</v>
      </c>
      <c r="E17" t="s">
        <v>118</v>
      </c>
      <c r="F17" s="7">
        <v>7</v>
      </c>
      <c r="G17" s="7">
        <v>0</v>
      </c>
      <c r="H17" s="7">
        <v>30</v>
      </c>
      <c r="I17" s="7">
        <f>-H17</f>
        <v>-30</v>
      </c>
      <c r="J17" t="s">
        <v>27</v>
      </c>
      <c r="K17" t="s">
        <v>22</v>
      </c>
      <c r="L17" t="s">
        <v>23</v>
      </c>
      <c r="M17" t="s">
        <v>119</v>
      </c>
      <c r="Q17" s="7">
        <v>1</v>
      </c>
    </row>
    <row r="18" spans="1:17" x14ac:dyDescent="0.25">
      <c r="B18" t="s">
        <v>17</v>
      </c>
      <c r="C18" t="s">
        <v>31</v>
      </c>
      <c r="D18" t="s">
        <v>32</v>
      </c>
      <c r="E18" t="s">
        <v>33</v>
      </c>
      <c r="F18" t="s">
        <v>34</v>
      </c>
      <c r="G18" s="7">
        <v>975</v>
      </c>
      <c r="H18" s="7">
        <v>25</v>
      </c>
      <c r="I18" s="7">
        <f>G18-H18</f>
        <v>950</v>
      </c>
      <c r="J18" t="s">
        <v>22</v>
      </c>
      <c r="K18" t="s">
        <v>22</v>
      </c>
      <c r="L18" t="s">
        <v>23</v>
      </c>
      <c r="Q18" s="7">
        <v>1</v>
      </c>
    </row>
    <row r="19" spans="1:17" x14ac:dyDescent="0.25">
      <c r="B19" t="s">
        <v>17</v>
      </c>
      <c r="C19" t="s">
        <v>39</v>
      </c>
      <c r="D19" t="s">
        <v>40</v>
      </c>
      <c r="E19" t="s">
        <v>41</v>
      </c>
      <c r="F19" t="s">
        <v>42</v>
      </c>
      <c r="G19" s="7">
        <v>600</v>
      </c>
      <c r="H19" s="7">
        <v>20</v>
      </c>
      <c r="I19" s="7">
        <f>G19-H19</f>
        <v>580</v>
      </c>
      <c r="J19" t="s">
        <v>22</v>
      </c>
      <c r="K19" t="s">
        <v>22</v>
      </c>
      <c r="L19" t="s">
        <v>23</v>
      </c>
      <c r="Q19" s="7">
        <v>1</v>
      </c>
    </row>
    <row r="20" spans="1:17" x14ac:dyDescent="0.25">
      <c r="B20" t="s">
        <v>17</v>
      </c>
      <c r="C20" t="s">
        <v>47</v>
      </c>
      <c r="D20" t="s">
        <v>48</v>
      </c>
      <c r="E20" t="s">
        <v>49</v>
      </c>
      <c r="F20" t="s">
        <v>42</v>
      </c>
      <c r="G20" s="7">
        <v>660</v>
      </c>
      <c r="H20" s="7">
        <v>20</v>
      </c>
      <c r="I20" s="7">
        <f>G20-H20</f>
        <v>640</v>
      </c>
      <c r="J20" t="s">
        <v>22</v>
      </c>
      <c r="K20" t="s">
        <v>22</v>
      </c>
      <c r="L20" t="s">
        <v>23</v>
      </c>
      <c r="Q20" s="7">
        <v>1</v>
      </c>
    </row>
    <row r="21" spans="1:17" x14ac:dyDescent="0.25">
      <c r="B21" t="s">
        <v>17</v>
      </c>
      <c r="C21" t="s">
        <v>53</v>
      </c>
      <c r="D21" t="s">
        <v>54</v>
      </c>
      <c r="E21" t="s">
        <v>55</v>
      </c>
      <c r="F21" s="7">
        <v>2</v>
      </c>
      <c r="G21" s="7">
        <v>750</v>
      </c>
      <c r="H21" s="7">
        <v>30</v>
      </c>
      <c r="I21" s="7">
        <f>G21-H21</f>
        <v>720</v>
      </c>
      <c r="J21" t="s">
        <v>22</v>
      </c>
      <c r="K21" t="s">
        <v>22</v>
      </c>
      <c r="L21" t="s">
        <v>23</v>
      </c>
      <c r="Q21" s="7">
        <v>1</v>
      </c>
    </row>
    <row r="22" spans="1:17" x14ac:dyDescent="0.25">
      <c r="B22" t="s">
        <v>17</v>
      </c>
      <c r="C22" t="s">
        <v>56</v>
      </c>
      <c r="D22" t="s">
        <v>57</v>
      </c>
      <c r="E22" t="s">
        <v>58</v>
      </c>
      <c r="F22" s="7">
        <v>2</v>
      </c>
      <c r="G22" s="7">
        <v>0</v>
      </c>
      <c r="H22" s="7">
        <v>30</v>
      </c>
      <c r="I22" s="7">
        <f>-H22</f>
        <v>-30</v>
      </c>
      <c r="J22" t="s">
        <v>22</v>
      </c>
      <c r="K22" t="s">
        <v>22</v>
      </c>
      <c r="L22" t="s">
        <v>23</v>
      </c>
      <c r="Q22" s="7">
        <v>1</v>
      </c>
    </row>
    <row r="23" spans="1:17" x14ac:dyDescent="0.25">
      <c r="B23" t="s">
        <v>17</v>
      </c>
      <c r="C23" t="s">
        <v>73</v>
      </c>
      <c r="D23" t="s">
        <v>74</v>
      </c>
      <c r="E23" t="s">
        <v>75</v>
      </c>
      <c r="F23" t="s">
        <v>34</v>
      </c>
      <c r="G23" s="7">
        <v>745</v>
      </c>
      <c r="H23" s="7">
        <v>25</v>
      </c>
      <c r="I23" s="7">
        <f>G23-H23</f>
        <v>720</v>
      </c>
      <c r="J23" t="s">
        <v>22</v>
      </c>
      <c r="K23" t="s">
        <v>22</v>
      </c>
      <c r="L23" t="s">
        <v>23</v>
      </c>
      <c r="Q23" s="7">
        <v>1</v>
      </c>
    </row>
    <row r="24" spans="1:17" x14ac:dyDescent="0.25">
      <c r="B24" t="s">
        <v>17</v>
      </c>
      <c r="C24" t="s">
        <v>79</v>
      </c>
      <c r="D24" t="s">
        <v>80</v>
      </c>
      <c r="E24" t="s">
        <v>81</v>
      </c>
      <c r="F24" t="s">
        <v>34</v>
      </c>
      <c r="G24" s="7">
        <v>755</v>
      </c>
      <c r="H24" s="7">
        <v>25</v>
      </c>
      <c r="I24" s="7">
        <f>G24-H24</f>
        <v>730</v>
      </c>
      <c r="J24" t="s">
        <v>22</v>
      </c>
      <c r="K24" t="s">
        <v>22</v>
      </c>
      <c r="L24" t="s">
        <v>23</v>
      </c>
      <c r="Q24" s="7">
        <v>1</v>
      </c>
    </row>
    <row r="25" spans="1:17" x14ac:dyDescent="0.25">
      <c r="B25" t="s">
        <v>17</v>
      </c>
      <c r="C25" t="s">
        <v>85</v>
      </c>
      <c r="D25" t="s">
        <v>86</v>
      </c>
      <c r="E25" t="s">
        <v>87</v>
      </c>
      <c r="F25" t="s">
        <v>88</v>
      </c>
      <c r="G25" s="7">
        <v>520</v>
      </c>
      <c r="H25" s="7">
        <v>30</v>
      </c>
      <c r="I25" s="7">
        <f>G25-H25</f>
        <v>490</v>
      </c>
      <c r="J25" t="s">
        <v>22</v>
      </c>
      <c r="K25" t="s">
        <v>22</v>
      </c>
      <c r="L25" t="s">
        <v>23</v>
      </c>
      <c r="Q25" s="7">
        <v>1</v>
      </c>
    </row>
    <row r="26" spans="1:17" x14ac:dyDescent="0.25">
      <c r="B26" t="s">
        <v>17</v>
      </c>
      <c r="C26" t="s">
        <v>18</v>
      </c>
      <c r="D26" t="s">
        <v>19</v>
      </c>
      <c r="E26" t="s">
        <v>20</v>
      </c>
      <c r="F26" s="7">
        <v>1</v>
      </c>
      <c r="G26" s="7">
        <v>365</v>
      </c>
      <c r="H26" s="7">
        <v>25</v>
      </c>
      <c r="I26" s="7">
        <f>G26-H26</f>
        <v>340</v>
      </c>
      <c r="J26" t="s">
        <v>21</v>
      </c>
      <c r="K26" t="s">
        <v>22</v>
      </c>
      <c r="L26" t="s">
        <v>23</v>
      </c>
      <c r="Q26" s="7">
        <v>1</v>
      </c>
    </row>
    <row r="27" spans="1:17" x14ac:dyDescent="0.25">
      <c r="B27" t="s">
        <v>17</v>
      </c>
      <c r="C27" t="s">
        <v>28</v>
      </c>
      <c r="D27" t="s">
        <v>29</v>
      </c>
      <c r="E27" t="s">
        <v>30</v>
      </c>
      <c r="F27" s="7">
        <v>10</v>
      </c>
      <c r="G27" s="7">
        <v>785</v>
      </c>
      <c r="H27" s="7">
        <v>25</v>
      </c>
      <c r="I27" s="7">
        <f>G27-H27</f>
        <v>760</v>
      </c>
      <c r="J27" t="s">
        <v>21</v>
      </c>
      <c r="K27" t="s">
        <v>22</v>
      </c>
      <c r="L27" t="s">
        <v>23</v>
      </c>
      <c r="Q27" s="7">
        <v>1</v>
      </c>
    </row>
    <row r="28" spans="1:17" x14ac:dyDescent="0.25">
      <c r="B28" t="s">
        <v>17</v>
      </c>
      <c r="C28" t="s">
        <v>35</v>
      </c>
      <c r="D28" t="s">
        <v>36</v>
      </c>
      <c r="E28" t="s">
        <v>37</v>
      </c>
      <c r="F28" t="s">
        <v>38</v>
      </c>
      <c r="G28" s="7">
        <v>0</v>
      </c>
      <c r="H28" s="7">
        <v>25</v>
      </c>
      <c r="I28" s="7">
        <f>-H28</f>
        <v>-25</v>
      </c>
      <c r="J28" t="s">
        <v>21</v>
      </c>
      <c r="K28" t="s">
        <v>22</v>
      </c>
      <c r="L28" t="s">
        <v>23</v>
      </c>
      <c r="Q28" s="7">
        <v>1</v>
      </c>
    </row>
    <row r="29" spans="1:17" x14ac:dyDescent="0.25">
      <c r="B29" t="s">
        <v>17</v>
      </c>
      <c r="C29" t="s">
        <v>65</v>
      </c>
      <c r="D29" t="s">
        <v>66</v>
      </c>
      <c r="E29" t="s">
        <v>67</v>
      </c>
      <c r="F29" t="s">
        <v>68</v>
      </c>
      <c r="G29" s="7">
        <v>0</v>
      </c>
      <c r="H29" s="7">
        <v>20</v>
      </c>
      <c r="I29" s="7">
        <f>-H29</f>
        <v>-20</v>
      </c>
      <c r="J29" t="s">
        <v>21</v>
      </c>
      <c r="K29" t="s">
        <v>22</v>
      </c>
      <c r="L29" t="s">
        <v>23</v>
      </c>
      <c r="Q29" s="7">
        <v>1</v>
      </c>
    </row>
    <row r="30" spans="1:17" x14ac:dyDescent="0.25">
      <c r="B30" t="s">
        <v>17</v>
      </c>
      <c r="C30" t="s">
        <v>82</v>
      </c>
      <c r="D30" t="s">
        <v>83</v>
      </c>
      <c r="E30" t="s">
        <v>84</v>
      </c>
      <c r="F30" t="s">
        <v>68</v>
      </c>
      <c r="G30" s="7">
        <v>610</v>
      </c>
      <c r="H30" s="7">
        <v>20</v>
      </c>
      <c r="I30" s="7">
        <f>G30-H30</f>
        <v>590</v>
      </c>
      <c r="J30" t="s">
        <v>21</v>
      </c>
      <c r="K30" t="s">
        <v>22</v>
      </c>
      <c r="L30" t="s">
        <v>23</v>
      </c>
      <c r="Q30" s="7">
        <v>1</v>
      </c>
    </row>
    <row r="31" spans="1:17" x14ac:dyDescent="0.25">
      <c r="B31" t="s">
        <v>17</v>
      </c>
      <c r="C31" t="s">
        <v>98</v>
      </c>
      <c r="D31" t="s">
        <v>99</v>
      </c>
      <c r="E31" t="s">
        <v>100</v>
      </c>
      <c r="F31" t="s">
        <v>38</v>
      </c>
      <c r="G31" s="7">
        <v>0</v>
      </c>
      <c r="H31" s="7">
        <v>25</v>
      </c>
      <c r="I31" s="7">
        <f>-H31</f>
        <v>-25</v>
      </c>
      <c r="J31" t="s">
        <v>21</v>
      </c>
      <c r="K31" t="s">
        <v>22</v>
      </c>
      <c r="L31" t="s">
        <v>23</v>
      </c>
      <c r="Q31" s="7">
        <v>1</v>
      </c>
    </row>
    <row r="32" spans="1:17" x14ac:dyDescent="0.25">
      <c r="A32" t="s">
        <v>120</v>
      </c>
      <c r="B32" t="s">
        <v>17</v>
      </c>
      <c r="C32" t="s">
        <v>121</v>
      </c>
      <c r="E32" t="s">
        <v>122</v>
      </c>
      <c r="F32" s="7">
        <v>5</v>
      </c>
      <c r="G32" s="7">
        <v>0</v>
      </c>
      <c r="H32" s="7">
        <v>30</v>
      </c>
      <c r="I32" s="7">
        <f>-H32</f>
        <v>-30</v>
      </c>
      <c r="J32" t="s">
        <v>21</v>
      </c>
      <c r="K32" t="s">
        <v>22</v>
      </c>
      <c r="L32" t="s">
        <v>23</v>
      </c>
      <c r="Q32" s="7">
        <v>1</v>
      </c>
    </row>
    <row r="33" spans="1:17" x14ac:dyDescent="0.25">
      <c r="A33" t="s">
        <v>120</v>
      </c>
      <c r="B33" t="s">
        <v>17</v>
      </c>
      <c r="C33" t="s">
        <v>123</v>
      </c>
      <c r="E33" t="s">
        <v>124</v>
      </c>
      <c r="F33" s="7">
        <v>4</v>
      </c>
      <c r="G33" s="7">
        <v>30</v>
      </c>
      <c r="H33" s="7">
        <v>30</v>
      </c>
      <c r="I33" s="7">
        <f>G33-H33</f>
        <v>0</v>
      </c>
      <c r="J33" t="s">
        <v>21</v>
      </c>
      <c r="K33" t="s">
        <v>22</v>
      </c>
      <c r="L33" t="s">
        <v>23</v>
      </c>
      <c r="Q33" s="7">
        <v>1</v>
      </c>
    </row>
    <row r="34" spans="1:17" x14ac:dyDescent="0.25">
      <c r="A34" t="s">
        <v>120</v>
      </c>
      <c r="B34" t="s">
        <v>17</v>
      </c>
      <c r="C34" t="s">
        <v>125</v>
      </c>
      <c r="E34" t="s">
        <v>126</v>
      </c>
      <c r="F34" t="s">
        <v>46</v>
      </c>
      <c r="G34" s="7">
        <v>40</v>
      </c>
      <c r="H34" s="7">
        <v>40</v>
      </c>
      <c r="I34" s="7">
        <f>G34-H34</f>
        <v>0</v>
      </c>
      <c r="J34" t="s">
        <v>21</v>
      </c>
      <c r="K34" t="s">
        <v>22</v>
      </c>
      <c r="L34" t="s">
        <v>23</v>
      </c>
      <c r="Q34" s="7">
        <v>1</v>
      </c>
    </row>
    <row r="35" spans="1:17" s="15" customFormat="1" x14ac:dyDescent="0.25">
      <c r="B35" s="15" t="s">
        <v>17</v>
      </c>
      <c r="C35" s="15" t="s">
        <v>148</v>
      </c>
      <c r="D35" s="15" t="s">
        <v>149</v>
      </c>
      <c r="E35" s="15" t="s">
        <v>150</v>
      </c>
      <c r="F35" s="15">
        <v>12</v>
      </c>
      <c r="G35" s="15">
        <v>820</v>
      </c>
      <c r="H35" s="15">
        <v>0</v>
      </c>
      <c r="I35" s="15">
        <f t="shared" ref="I35" si="0">G35-H35</f>
        <v>820</v>
      </c>
      <c r="J35" s="15" t="s">
        <v>151</v>
      </c>
      <c r="K35" s="15" t="s">
        <v>22</v>
      </c>
      <c r="L35" s="15" t="s">
        <v>152</v>
      </c>
      <c r="N35" s="15" t="s">
        <v>153</v>
      </c>
      <c r="O35" s="15" t="s">
        <v>153</v>
      </c>
      <c r="P35" s="15" t="s">
        <v>154</v>
      </c>
      <c r="Q35" s="15">
        <v>1</v>
      </c>
    </row>
    <row r="37" spans="1:17" x14ac:dyDescent="0.25">
      <c r="D37" s="8">
        <f>COUNTA(D3:D34)</f>
        <v>29</v>
      </c>
      <c r="G37" s="8">
        <f>SUBTOTAL(9,G3:G35)</f>
        <v>17625</v>
      </c>
      <c r="H37" s="8">
        <f t="shared" ref="H37:Q37" si="1">SUBTOTAL(9,H3:H35)</f>
        <v>875</v>
      </c>
      <c r="I37" s="8">
        <f t="shared" si="1"/>
        <v>16750</v>
      </c>
      <c r="J37" s="8">
        <f t="shared" si="1"/>
        <v>0</v>
      </c>
      <c r="K37" s="8">
        <f t="shared" si="1"/>
        <v>0</v>
      </c>
      <c r="L37" s="8">
        <f t="shared" si="1"/>
        <v>0</v>
      </c>
      <c r="M37" s="8">
        <f t="shared" si="1"/>
        <v>0</v>
      </c>
      <c r="N37" s="8">
        <f t="shared" si="1"/>
        <v>0</v>
      </c>
      <c r="O37" s="8">
        <f t="shared" si="1"/>
        <v>0</v>
      </c>
      <c r="P37" s="8">
        <f t="shared" si="1"/>
        <v>0</v>
      </c>
      <c r="Q37" s="8">
        <f t="shared" si="1"/>
        <v>33</v>
      </c>
    </row>
    <row r="38" spans="1:17" x14ac:dyDescent="0.25">
      <c r="H38">
        <f>-8*17</f>
        <v>-136</v>
      </c>
    </row>
    <row r="39" spans="1:17" x14ac:dyDescent="0.25">
      <c r="A39" s="8" t="s">
        <v>17</v>
      </c>
      <c r="C39" s="5" t="s">
        <v>127</v>
      </c>
      <c r="D39" s="5"/>
      <c r="E39" s="9" t="s">
        <v>128</v>
      </c>
      <c r="H39">
        <f>-4*25</f>
        <v>-100</v>
      </c>
      <c r="K39" s="10" t="s">
        <v>21</v>
      </c>
      <c r="L39" s="10" t="s">
        <v>129</v>
      </c>
      <c r="M39" s="10" t="s">
        <v>128</v>
      </c>
      <c r="O39" s="9" t="s">
        <v>130</v>
      </c>
    </row>
    <row r="40" spans="1:17" x14ac:dyDescent="0.25">
      <c r="A40" t="s">
        <v>23</v>
      </c>
      <c r="B40" s="11" t="s">
        <v>131</v>
      </c>
      <c r="C40" s="4">
        <f>SUMIFS(I$3:I$35,B$3:B$35,A$39,L$3:L$35,A$40)</f>
        <v>15930</v>
      </c>
      <c r="D40" s="4"/>
      <c r="E40" s="11">
        <f>SUMIFS(Q$3:Q$35,B$3:B$35,A$39,L$3:L$35,A$40)</f>
        <v>32</v>
      </c>
      <c r="F40" t="s">
        <v>132</v>
      </c>
      <c r="H40">
        <f>-2*30</f>
        <v>-60</v>
      </c>
      <c r="K40" t="s">
        <v>133</v>
      </c>
      <c r="L40">
        <f>SUMIFS(G$3:G$35,J$3:J$35,K$39)</f>
        <v>1830</v>
      </c>
      <c r="M40">
        <f>SUMIFS(Q$3:Q$35,J$3:J$35,K$39)</f>
        <v>9</v>
      </c>
      <c r="O40" t="s">
        <v>21</v>
      </c>
      <c r="P40">
        <f>L45</f>
        <v>1635</v>
      </c>
    </row>
    <row r="41" spans="1:17" x14ac:dyDescent="0.25">
      <c r="B41" s="12" t="s">
        <v>134</v>
      </c>
      <c r="C41" s="3">
        <v>0</v>
      </c>
      <c r="D41" s="3"/>
      <c r="K41" t="s">
        <v>135</v>
      </c>
      <c r="L41">
        <f>-SUMIFS(H$3:H$35,J$3:J$35,K$39)+M41*5</f>
        <v>-195</v>
      </c>
      <c r="M41" s="7">
        <f>SUMIFS(Q$3:Q$35,J$3:J$35,K$39)-COUNTIFS(J$3:J$35,K$39,M$3:M$35,"*gộp*")</f>
        <v>9</v>
      </c>
      <c r="O41" t="s">
        <v>136</v>
      </c>
      <c r="P41">
        <f>L53</f>
        <v>8854</v>
      </c>
    </row>
    <row r="42" spans="1:17" x14ac:dyDescent="0.25">
      <c r="B42" s="12" t="s">
        <v>137</v>
      </c>
      <c r="C42" s="3">
        <f>-SUMIFS(I$3:I$35,B$3:B$35,A$39,P$3:P$35,"xx",N$3:N$35,"x")</f>
        <v>-820</v>
      </c>
      <c r="D42" s="3"/>
      <c r="E42" s="12">
        <f>SUMIFS(Q$3:Q$35,B$3:B$35,A$39,P$3:P$35,"xx",N$3:N$35,"x")</f>
        <v>1</v>
      </c>
      <c r="K42" t="s">
        <v>138</v>
      </c>
      <c r="O42" t="s">
        <v>22</v>
      </c>
      <c r="P42">
        <f>L61</f>
        <v>4776</v>
      </c>
    </row>
    <row r="43" spans="1:17" x14ac:dyDescent="0.25">
      <c r="B43" s="9" t="s">
        <v>139</v>
      </c>
      <c r="C43" s="5">
        <f>SUBTOTAL(9,C40:C42)</f>
        <v>15110</v>
      </c>
      <c r="D43" s="5"/>
      <c r="E43">
        <f>E40</f>
        <v>32</v>
      </c>
      <c r="K43" s="12" t="s">
        <v>140</v>
      </c>
      <c r="O43" t="s">
        <v>141</v>
      </c>
      <c r="P43">
        <f>-C47</f>
        <v>-15110</v>
      </c>
    </row>
    <row r="44" spans="1:17" x14ac:dyDescent="0.25">
      <c r="B44" s="12" t="s">
        <v>142</v>
      </c>
      <c r="C44" s="2"/>
      <c r="D44" s="2"/>
      <c r="K44" s="12" t="s">
        <v>143</v>
      </c>
      <c r="O44" s="9" t="s">
        <v>144</v>
      </c>
      <c r="P44" s="9">
        <f>SUBTOTAL(9,P40:P43)</f>
        <v>155</v>
      </c>
    </row>
    <row r="45" spans="1:17" x14ac:dyDescent="0.25">
      <c r="B45" s="13" t="s">
        <v>145</v>
      </c>
      <c r="C45" s="2"/>
      <c r="D45" s="2"/>
      <c r="L45" s="14">
        <f>SUBTOTAL(9,L40:L44)</f>
        <v>1635</v>
      </c>
      <c r="M45" s="14">
        <f>M40</f>
        <v>9</v>
      </c>
    </row>
    <row r="47" spans="1:17" x14ac:dyDescent="0.25">
      <c r="B47" s="8" t="s">
        <v>146</v>
      </c>
      <c r="C47" s="1">
        <f>C43+C44+C45</f>
        <v>15110</v>
      </c>
      <c r="D47" s="1"/>
      <c r="E47" s="8" t="s">
        <v>147</v>
      </c>
      <c r="K47" s="10" t="s">
        <v>27</v>
      </c>
      <c r="L47" s="10" t="s">
        <v>129</v>
      </c>
      <c r="M47" s="10" t="s">
        <v>128</v>
      </c>
    </row>
    <row r="48" spans="1:17" x14ac:dyDescent="0.25">
      <c r="K48" t="s">
        <v>133</v>
      </c>
      <c r="L48">
        <f>SUMIFS(G$3:G$35,J$3:J$35,K$47)</f>
        <v>9970</v>
      </c>
      <c r="M48">
        <f>SUMIFS(Q$3:Q$35,J$3:J$35,K$47)</f>
        <v>15</v>
      </c>
    </row>
    <row r="49" spans="11:13" x14ac:dyDescent="0.25">
      <c r="K49" t="s">
        <v>135</v>
      </c>
      <c r="L49">
        <f>SUM(H38:H40)</f>
        <v>-296</v>
      </c>
      <c r="M49">
        <f>SUMIFS(Q$3:Q$35,J$3:J$35,K$47)</f>
        <v>15</v>
      </c>
    </row>
    <row r="50" spans="11:13" x14ac:dyDescent="0.25">
      <c r="K50" t="s">
        <v>138</v>
      </c>
    </row>
    <row r="51" spans="11:13" x14ac:dyDescent="0.25">
      <c r="K51" s="12" t="s">
        <v>140</v>
      </c>
    </row>
    <row r="52" spans="11:13" x14ac:dyDescent="0.25">
      <c r="K52" s="12" t="s">
        <v>143</v>
      </c>
      <c r="L52">
        <v>-820</v>
      </c>
    </row>
    <row r="53" spans="11:13" x14ac:dyDescent="0.25">
      <c r="L53" s="14">
        <f>SUBTOTAL(9,L48:L52)</f>
        <v>8854</v>
      </c>
      <c r="M53" s="14">
        <f>M48</f>
        <v>15</v>
      </c>
    </row>
    <row r="55" spans="11:13" x14ac:dyDescent="0.25">
      <c r="K55" s="10" t="s">
        <v>22</v>
      </c>
      <c r="L55" s="10" t="s">
        <v>129</v>
      </c>
      <c r="M55" s="10" t="s">
        <v>128</v>
      </c>
    </row>
    <row r="56" spans="11:13" x14ac:dyDescent="0.25">
      <c r="K56" t="s">
        <v>133</v>
      </c>
      <c r="L56">
        <f>SUMIFS(G$3:G$35,J$3:J$35,K$55)</f>
        <v>5005</v>
      </c>
      <c r="M56">
        <f>SUMIFS(Q$3:Q$35,J$3:J$35,K$55)</f>
        <v>8</v>
      </c>
    </row>
    <row r="57" spans="11:13" x14ac:dyDescent="0.25">
      <c r="K57" t="s">
        <v>135</v>
      </c>
      <c r="L57">
        <f>-SUMIFS(H$3:H$35,J$3:J$35,K$55)+M57*5</f>
        <v>-165</v>
      </c>
      <c r="M57" s="7">
        <f>SUMIFS(Q$3:Q$35,J$3:J$35,K$55)-COUNTIFS(J$3:J$35,K$55,M$3:M$35,"*gộp*")</f>
        <v>8</v>
      </c>
    </row>
    <row r="58" spans="11:13" x14ac:dyDescent="0.25">
      <c r="K58" t="s">
        <v>138</v>
      </c>
      <c r="L58">
        <f>-M58*2</f>
        <v>-64</v>
      </c>
      <c r="M58">
        <f>COUNTIF(L3:L35,A$40)-(COUNTIFS(M$3:M$35,"*gộp*")/2)</f>
        <v>32</v>
      </c>
    </row>
    <row r="59" spans="11:13" x14ac:dyDescent="0.25">
      <c r="K59" s="12" t="s">
        <v>140</v>
      </c>
    </row>
    <row r="60" spans="11:13" x14ac:dyDescent="0.25">
      <c r="K60" s="12" t="s">
        <v>143</v>
      </c>
    </row>
    <row r="61" spans="11:13" x14ac:dyDescent="0.25">
      <c r="L61" s="14">
        <f>SUBTOTAL(9,L56:L60)</f>
        <v>4776</v>
      </c>
      <c r="M61" s="14">
        <f>M56</f>
        <v>8</v>
      </c>
    </row>
  </sheetData>
  <autoFilter ref="A2:P34" xr:uid="{00000000-0009-0000-0000-000000000000}">
    <sortState xmlns:xlrd2="http://schemas.microsoft.com/office/spreadsheetml/2017/richdata2" ref="A3:P34">
      <sortCondition ref="J2:J34"/>
    </sortState>
  </autoFilter>
  <mergeCells count="8">
    <mergeCell ref="C44:D44"/>
    <mergeCell ref="C45:D45"/>
    <mergeCell ref="C47:D47"/>
    <mergeCell ref="C39:D39"/>
    <mergeCell ref="C40:D40"/>
    <mergeCell ref="C41:D41"/>
    <mergeCell ref="C42:D42"/>
    <mergeCell ref="C43:D4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Sei Pham</cp:lastModifiedBy>
  <dcterms:created xsi:type="dcterms:W3CDTF">2026-03-21T11:53:39Z</dcterms:created>
  <dcterms:modified xsi:type="dcterms:W3CDTF">2026-03-21T12:08:46Z</dcterms:modified>
</cp:coreProperties>
</file>