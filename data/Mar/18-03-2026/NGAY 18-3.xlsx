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Freelance\TextInputter\data\Mar\18-03-2026\"/>
    </mc:Choice>
  </mc:AlternateContent>
  <xr:revisionPtr revIDLastSave="0" documentId="13_ncr:1_{1F604087-F968-4F71-8087-748ACECA211D}" xr6:coauthVersionLast="47" xr6:coauthVersionMax="47" xr10:uidLastSave="{00000000-0000-0000-0000-000000000000}"/>
  <bookViews>
    <workbookView xWindow="-120" yWindow="-120" windowWidth="29040" windowHeight="15720" xr2:uid="{6EAF8504-9B99-4CC8-A026-1F30ACB00849}"/>
  </bookViews>
  <sheets>
    <sheet name="Sheet1" sheetId="1" r:id="rId1"/>
  </sheets>
  <definedNames>
    <definedName name="_xlnm._FilterDatabase" localSheetId="0" hidden="1">Sheet1!$A$2:$Q$2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2" i="1" l="1"/>
  <c r="L42" i="1" s="1"/>
  <c r="M43" i="1"/>
  <c r="L43" i="1" s="1"/>
  <c r="L34" i="1"/>
  <c r="M26" i="1"/>
  <c r="M41" i="1"/>
  <c r="M46" i="1" s="1"/>
  <c r="L41" i="1"/>
  <c r="M34" i="1"/>
  <c r="M33" i="1"/>
  <c r="M38" i="1" s="1"/>
  <c r="L33" i="1"/>
  <c r="E27" i="1"/>
  <c r="C27" i="1"/>
  <c r="M25" i="1"/>
  <c r="M30" i="1" s="1"/>
  <c r="L25" i="1"/>
  <c r="E25" i="1"/>
  <c r="E28" i="1" s="1"/>
  <c r="C25" i="1"/>
  <c r="C28" i="1" s="1"/>
  <c r="C32" i="1" s="1"/>
  <c r="P28" i="1" s="1"/>
  <c r="H24" i="1"/>
  <c r="H23" i="1"/>
  <c r="L26" i="1" s="1"/>
  <c r="Q22" i="1"/>
  <c r="P22" i="1"/>
  <c r="O22" i="1"/>
  <c r="N22" i="1"/>
  <c r="M22" i="1"/>
  <c r="L22" i="1"/>
  <c r="K22" i="1"/>
  <c r="J22" i="1"/>
  <c r="H22" i="1"/>
  <c r="G22" i="1"/>
  <c r="D22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2" i="1" s="1"/>
  <c r="L46" i="1" l="1"/>
  <c r="P27" i="1" s="1"/>
  <c r="L38" i="1"/>
  <c r="P26" i="1" s="1"/>
  <c r="L30" i="1"/>
  <c r="P25" i="1" s="1"/>
  <c r="P29" i="1" l="1"/>
</calcChain>
</file>

<file path=xl/sharedStrings.xml><?xml version="1.0" encoding="utf-8"?>
<sst xmlns="http://schemas.openxmlformats.org/spreadsheetml/2006/main" count="200" uniqueCount="101">
  <si>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</si>
  <si>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</si>
  <si>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</si>
  <si>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</si>
  <si>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</si>
  <si>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</si>
  <si>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</si>
  <si>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</si>
  <si>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</si>
  <si>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</si>
  <si>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</si>
  <si>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</si>
  <si>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</si>
  <si>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</si>
  <si>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</si>
  <si>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tan binh</t>
  </si>
  <si>
    <t>go vap</t>
  </si>
  <si>
    <t>binh thanh</t>
  </si>
  <si>
    <t>c.cuong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</si>
  <si>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</si>
  <si>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</si>
  <si>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</si>
  <si>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</si>
  <si>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</si>
  <si>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</si>
  <si>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</si>
  <si>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</si>
  <si>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</si>
  <si>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</si>
  <si>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</si>
  <si>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</si>
  <si>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</si>
  <si>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</si>
  <si>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</si>
  <si>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</si>
  <si>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</si>
  <si>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</si>
  <si>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ĐỊA CHỈ</t>
  </si>
  <si>
    <t>ĐOÀN NGÂN CHÂU</t>
  </si>
  <si>
    <t>c.hieu</t>
  </si>
  <si>
    <t>hàng sỉ</t>
  </si>
  <si>
    <t>tan phu</t>
  </si>
  <si>
    <t>Trừ Ship</t>
  </si>
  <si>
    <t>CK Đủ 100%</t>
  </si>
  <si>
    <t>Nguyễn Kim Ngân</t>
  </si>
  <si>
    <t>HD002716</t>
  </si>
  <si>
    <t>Lavida Plus, Nguyễn Văn Linh, Tân Phong</t>
  </si>
  <si>
    <t>AT 18-03</t>
  </si>
  <si>
    <t>18-03-2026</t>
  </si>
  <si>
    <t>gộp</t>
  </si>
  <si>
    <t>HD002625</t>
  </si>
  <si>
    <t>Chocopie Nguyen</t>
  </si>
  <si>
    <t>HD002660</t>
  </si>
  <si>
    <t>2 đường 22 phường long bình</t>
  </si>
  <si>
    <t>Phương Đào</t>
  </si>
  <si>
    <t>HD002836</t>
  </si>
  <si>
    <t>100/1 B khu phố1, đường Tân thới nhất 11,phường Tân thới nhất</t>
  </si>
  <si>
    <t>W3235</t>
  </si>
  <si>
    <t>HD002687</t>
  </si>
  <si>
    <t>Địa chỉ: 375 tân thới hiệp 21, Tổ 3,Kp3 ( nhớ gỗ đủ)</t>
  </si>
  <si>
    <t>Thanh Tiên</t>
  </si>
  <si>
    <t>HD002513</t>
  </si>
  <si>
    <t>54/17b tô ngọc vân, Thạnh xuân</t>
  </si>
  <si>
    <t>đổi hàng</t>
  </si>
  <si>
    <t>Võ Thu Hà</t>
  </si>
  <si>
    <t>HD002809</t>
  </si>
  <si>
    <t>262/15 lũy bán bích, hòa thạch</t>
  </si>
  <si>
    <t>Ly Na</t>
  </si>
  <si>
    <t>HD002697</t>
  </si>
  <si>
    <t>98 vũ tông phan, p bình trưng</t>
  </si>
  <si>
    <t>Pé Py</t>
  </si>
  <si>
    <t>HD002724</t>
  </si>
  <si>
    <t>47 bùi đình tuý, P14</t>
  </si>
  <si>
    <t>Ngọc Lan</t>
  </si>
  <si>
    <t>HD002643</t>
  </si>
  <si>
    <t>13 mai xuân thưởng, p11</t>
  </si>
  <si>
    <t>lindsiepham</t>
  </si>
  <si>
    <t>HD002689</t>
  </si>
  <si>
    <t>landmark 5b vinhomes central park</t>
  </si>
  <si>
    <t>VICKY TRAN</t>
  </si>
  <si>
    <t>127/17 bình lợi p13</t>
  </si>
  <si>
    <t>Ly Clara Selena</t>
  </si>
  <si>
    <t>403 tân sơn p12</t>
  </si>
  <si>
    <t>May Oo (Isabella)</t>
  </si>
  <si>
    <t>494/1/12 le quang dinh,P1</t>
  </si>
  <si>
    <t>Cherry Nguyễn</t>
  </si>
  <si>
    <t>HD002837</t>
  </si>
  <si>
    <t>66 hùng vương p1</t>
  </si>
  <si>
    <t>Ngọc Trương</t>
  </si>
  <si>
    <t>HD002835</t>
  </si>
  <si>
    <t>462 phan xích long p2</t>
  </si>
  <si>
    <t>phu nhuan</t>
  </si>
  <si>
    <t>Ín Nile</t>
  </si>
  <si>
    <t>HD002700</t>
  </si>
  <si>
    <t>429/1 nguyễn kiệm p9</t>
  </si>
  <si>
    <t>Jenny Tran</t>
  </si>
  <si>
    <t>HD002603</t>
  </si>
  <si>
    <t>737/1C Lạc Long Quân F10</t>
  </si>
  <si>
    <t>at 18-03</t>
  </si>
  <si>
    <t>THU 4</t>
  </si>
  <si>
    <t>NGAY 18-3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</si>
</sst>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63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3" fontId="0" fillId="0" borderId="0" xfId="0" applyNumberFormat="1"/>
    <xf numFmtId="0" fontId="1" fillId="3" borderId="0" xfId="0" applyFont="1" applyFill="1"/>
    <xf numFmtId="0" fontId="1" fillId="0" borderId="0" xfId="0" applyFont="1"/>
    <xf numFmtId="0" fontId="1" fillId="4" borderId="0" xfId="0" applyFont="1" applyFill="1"/>
    <xf numFmtId="0" fontId="0" fillId="3" borderId="0" xfId="0" applyFill="1"/>
    <xf numFmtId="0" fontId="2" fillId="0" borderId="0" xfId="0" applyFont="1"/>
    <xf numFmtId="0" fontId="0" fillId="5" borderId="0" xfId="0" applyFill="1"/>
    <xf numFmtId="0" fontId="1" fillId="6" borderId="0" xfId="0" applyFont="1" applyFill="1"/>
    <xf numFmtId="0" fontId="0" fillId="0" borderId="0" xfId="0"/>
    <xf numFmtId="0" fontId="1" fillId="3" borderId="0" xfId="0" applyFont="1" applyFill="1"/>
    <xf numFmtId="0" fontId="1" fillId="0" borderId="0" xfId="0" applyFont="1"/>
    <xf numFmtId="0" fontId="0" fillId="3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F95A6-1E82-4AC8-A681-DBF8AEA4F795}">
  <dimension ref="A1:Q46"/>
  <sheetViews>
    <sheetView tabSelected="1" workbookViewId="0">
      <selection activeCell="O29" sqref="O29"/>
    </sheetView>
  </sheetViews>
  <sheetFormatPr defaultRowHeight="15" x14ac:dyDescent="0.25"/>
  <cols>
    <col min="1" max="1" width="12.28515625" customWidth="1"/>
    <col min="2" max="2" width="19.140625" customWidth="1"/>
    <col min="3" max="3" width="16.42578125" customWidth="1"/>
    <col min="4" max="4" width="10.140625" customWidth="1"/>
    <col min="5" max="5" width="55.140625" customWidth="1"/>
    <col min="6" max="6" width="10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4" max="14" width="10.28515625" customWidth="1"/>
    <col min="15" max="15" width="11.140625" customWidth="1"/>
    <col min="16" max="16" width="7" bestFit="1" customWidth="1"/>
  </cols>
  <sheetData>
    <row r="1" spans="1:17" x14ac:dyDescent="0.25">
      <c r="B1" t="s">
        <v>99</v>
      </c>
      <c r="C1" t="s">
        <v>100</v>
      </c>
    </row>
    <row r="2" spans="1:17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37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</row>
    <row r="3" spans="1:17" x14ac:dyDescent="0.25">
      <c r="B3" t="s">
        <v>38</v>
      </c>
      <c r="C3" t="s">
        <v>44</v>
      </c>
      <c r="D3" t="s">
        <v>45</v>
      </c>
      <c r="E3" t="s">
        <v>46</v>
      </c>
      <c r="F3" s="2">
        <v>7</v>
      </c>
      <c r="G3" s="2">
        <v>670</v>
      </c>
      <c r="H3" s="2">
        <v>30</v>
      </c>
      <c r="I3" s="2">
        <f>G3-H3</f>
        <v>640</v>
      </c>
      <c r="J3" t="s">
        <v>47</v>
      </c>
      <c r="K3" t="s">
        <v>18</v>
      </c>
      <c r="L3" t="s">
        <v>48</v>
      </c>
      <c r="M3" t="s">
        <v>49</v>
      </c>
      <c r="Q3">
        <v>1</v>
      </c>
    </row>
    <row r="4" spans="1:17" x14ac:dyDescent="0.25">
      <c r="B4" t="s">
        <v>38</v>
      </c>
      <c r="C4" t="s">
        <v>44</v>
      </c>
      <c r="D4" t="s">
        <v>50</v>
      </c>
      <c r="E4" t="s">
        <v>46</v>
      </c>
      <c r="F4" s="2">
        <v>7</v>
      </c>
      <c r="G4" s="2">
        <v>380</v>
      </c>
      <c r="H4" s="2">
        <v>30</v>
      </c>
      <c r="I4" s="2">
        <f>G4-H4</f>
        <v>350</v>
      </c>
      <c r="J4" t="s">
        <v>47</v>
      </c>
      <c r="K4" t="s">
        <v>18</v>
      </c>
      <c r="L4" t="s">
        <v>48</v>
      </c>
      <c r="M4" t="s">
        <v>49</v>
      </c>
      <c r="Q4">
        <v>1</v>
      </c>
    </row>
    <row r="5" spans="1:17" x14ac:dyDescent="0.25">
      <c r="B5" t="s">
        <v>38</v>
      </c>
      <c r="C5" t="s">
        <v>51</v>
      </c>
      <c r="D5" t="s">
        <v>52</v>
      </c>
      <c r="E5" t="s">
        <v>53</v>
      </c>
      <c r="F5" s="2">
        <v>9</v>
      </c>
      <c r="G5" s="2">
        <v>670</v>
      </c>
      <c r="H5" s="2">
        <v>30</v>
      </c>
      <c r="I5" s="2">
        <f>G5-H5</f>
        <v>640</v>
      </c>
      <c r="J5" t="s">
        <v>47</v>
      </c>
      <c r="K5" t="s">
        <v>18</v>
      </c>
      <c r="L5" t="s">
        <v>48</v>
      </c>
      <c r="Q5">
        <v>1</v>
      </c>
    </row>
    <row r="6" spans="1:17" x14ac:dyDescent="0.25">
      <c r="B6" t="s">
        <v>38</v>
      </c>
      <c r="C6" t="s">
        <v>54</v>
      </c>
      <c r="D6" t="s">
        <v>55</v>
      </c>
      <c r="E6" t="s">
        <v>56</v>
      </c>
      <c r="F6" s="2">
        <v>12</v>
      </c>
      <c r="G6" s="2">
        <v>730</v>
      </c>
      <c r="H6" s="2">
        <v>30</v>
      </c>
      <c r="I6" s="2">
        <f>G6-H6</f>
        <v>700</v>
      </c>
      <c r="J6" t="s">
        <v>47</v>
      </c>
      <c r="K6" t="s">
        <v>18</v>
      </c>
      <c r="L6" t="s">
        <v>48</v>
      </c>
      <c r="Q6">
        <v>1</v>
      </c>
    </row>
    <row r="7" spans="1:17" x14ac:dyDescent="0.25">
      <c r="B7" t="s">
        <v>38</v>
      </c>
      <c r="C7" t="s">
        <v>57</v>
      </c>
      <c r="D7" t="s">
        <v>58</v>
      </c>
      <c r="E7" t="s">
        <v>59</v>
      </c>
      <c r="F7" s="2">
        <v>12</v>
      </c>
      <c r="G7" s="2">
        <v>0</v>
      </c>
      <c r="H7" s="2">
        <v>30</v>
      </c>
      <c r="I7" s="2">
        <f>-H7</f>
        <v>-30</v>
      </c>
      <c r="J7" t="s">
        <v>47</v>
      </c>
      <c r="K7" t="s">
        <v>18</v>
      </c>
      <c r="L7" t="s">
        <v>48</v>
      </c>
      <c r="Q7">
        <v>1</v>
      </c>
    </row>
    <row r="8" spans="1:17" x14ac:dyDescent="0.25">
      <c r="B8" t="s">
        <v>38</v>
      </c>
      <c r="C8" t="s">
        <v>60</v>
      </c>
      <c r="D8" t="s">
        <v>61</v>
      </c>
      <c r="E8" t="s">
        <v>62</v>
      </c>
      <c r="F8" s="2">
        <v>12</v>
      </c>
      <c r="G8" s="2">
        <v>0</v>
      </c>
      <c r="H8" s="2">
        <v>30</v>
      </c>
      <c r="I8" s="2">
        <f>-H8</f>
        <v>-30</v>
      </c>
      <c r="J8" t="s">
        <v>47</v>
      </c>
      <c r="K8" t="s">
        <v>18</v>
      </c>
      <c r="L8" t="s">
        <v>48</v>
      </c>
      <c r="M8" t="s">
        <v>63</v>
      </c>
      <c r="Q8">
        <v>1</v>
      </c>
    </row>
    <row r="9" spans="1:17" x14ac:dyDescent="0.25">
      <c r="B9" t="s">
        <v>38</v>
      </c>
      <c r="C9" t="s">
        <v>64</v>
      </c>
      <c r="D9" t="s">
        <v>65</v>
      </c>
      <c r="E9" t="s">
        <v>66</v>
      </c>
      <c r="F9" t="s">
        <v>41</v>
      </c>
      <c r="G9" s="2">
        <v>755</v>
      </c>
      <c r="H9" s="2">
        <v>25</v>
      </c>
      <c r="I9" s="2">
        <f>G9-H9</f>
        <v>730</v>
      </c>
      <c r="J9" t="s">
        <v>47</v>
      </c>
      <c r="K9" t="s">
        <v>18</v>
      </c>
      <c r="L9" t="s">
        <v>48</v>
      </c>
      <c r="Q9">
        <v>1</v>
      </c>
    </row>
    <row r="10" spans="1:17" x14ac:dyDescent="0.25">
      <c r="B10" t="s">
        <v>38</v>
      </c>
      <c r="C10" t="s">
        <v>67</v>
      </c>
      <c r="D10" t="s">
        <v>68</v>
      </c>
      <c r="E10" t="s">
        <v>69</v>
      </c>
      <c r="F10" s="2">
        <v>2</v>
      </c>
      <c r="G10" s="2">
        <v>870</v>
      </c>
      <c r="H10" s="2">
        <v>30</v>
      </c>
      <c r="I10" s="2">
        <f>G10-H10</f>
        <v>840</v>
      </c>
      <c r="J10" t="s">
        <v>18</v>
      </c>
      <c r="K10" t="s">
        <v>18</v>
      </c>
      <c r="L10" t="s">
        <v>48</v>
      </c>
      <c r="Q10">
        <v>1</v>
      </c>
    </row>
    <row r="11" spans="1:17" x14ac:dyDescent="0.25">
      <c r="B11" t="s">
        <v>38</v>
      </c>
      <c r="C11" t="s">
        <v>70</v>
      </c>
      <c r="D11" t="s">
        <v>71</v>
      </c>
      <c r="E11" t="s">
        <v>72</v>
      </c>
      <c r="F11" t="s">
        <v>17</v>
      </c>
      <c r="G11" s="2">
        <v>1630</v>
      </c>
      <c r="H11" s="2">
        <v>20</v>
      </c>
      <c r="I11" s="2">
        <f>G11-H11</f>
        <v>1610</v>
      </c>
      <c r="J11" t="s">
        <v>18</v>
      </c>
      <c r="K11" t="s">
        <v>18</v>
      </c>
      <c r="L11" t="s">
        <v>48</v>
      </c>
      <c r="Q11">
        <v>1</v>
      </c>
    </row>
    <row r="12" spans="1:17" x14ac:dyDescent="0.25">
      <c r="B12" t="s">
        <v>38</v>
      </c>
      <c r="C12" t="s">
        <v>73</v>
      </c>
      <c r="D12" t="s">
        <v>74</v>
      </c>
      <c r="E12" t="s">
        <v>75</v>
      </c>
      <c r="F12" t="s">
        <v>17</v>
      </c>
      <c r="G12" s="2">
        <v>0</v>
      </c>
      <c r="H12" s="2">
        <v>20</v>
      </c>
      <c r="I12" s="2">
        <f>-H12</f>
        <v>-20</v>
      </c>
      <c r="J12" t="s">
        <v>18</v>
      </c>
      <c r="K12" t="s">
        <v>18</v>
      </c>
      <c r="L12" t="s">
        <v>48</v>
      </c>
      <c r="Q12">
        <v>1</v>
      </c>
    </row>
    <row r="13" spans="1:17" x14ac:dyDescent="0.25">
      <c r="B13" t="s">
        <v>38</v>
      </c>
      <c r="C13" t="s">
        <v>76</v>
      </c>
      <c r="D13" t="s">
        <v>77</v>
      </c>
      <c r="E13" t="s">
        <v>78</v>
      </c>
      <c r="F13" t="s">
        <v>17</v>
      </c>
      <c r="G13" s="2">
        <v>810</v>
      </c>
      <c r="H13" s="2">
        <v>20</v>
      </c>
      <c r="I13" s="2">
        <f>G13-H13</f>
        <v>790</v>
      </c>
      <c r="J13" t="s">
        <v>18</v>
      </c>
      <c r="K13" t="s">
        <v>18</v>
      </c>
      <c r="L13" t="s">
        <v>48</v>
      </c>
      <c r="Q13">
        <v>1</v>
      </c>
    </row>
    <row r="14" spans="1:17" x14ac:dyDescent="0.25">
      <c r="A14" t="s">
        <v>40</v>
      </c>
      <c r="B14" t="s">
        <v>38</v>
      </c>
      <c r="C14" t="s">
        <v>79</v>
      </c>
      <c r="E14" t="s">
        <v>80</v>
      </c>
      <c r="F14" t="s">
        <v>17</v>
      </c>
      <c r="G14" s="2">
        <v>30</v>
      </c>
      <c r="H14" s="2">
        <v>30</v>
      </c>
      <c r="I14" s="2">
        <f>G14-H14</f>
        <v>0</v>
      </c>
      <c r="J14" t="s">
        <v>18</v>
      </c>
      <c r="K14" t="s">
        <v>18</v>
      </c>
      <c r="L14" t="s">
        <v>48</v>
      </c>
      <c r="Q14">
        <v>1</v>
      </c>
    </row>
    <row r="15" spans="1:17" x14ac:dyDescent="0.25">
      <c r="A15" t="s">
        <v>40</v>
      </c>
      <c r="B15" t="s">
        <v>38</v>
      </c>
      <c r="C15" t="s">
        <v>81</v>
      </c>
      <c r="E15" t="s">
        <v>82</v>
      </c>
      <c r="F15" t="s">
        <v>16</v>
      </c>
      <c r="G15" s="2">
        <v>30</v>
      </c>
      <c r="H15" s="2">
        <v>30</v>
      </c>
      <c r="I15" s="2">
        <f>G15-H15</f>
        <v>0</v>
      </c>
      <c r="J15" t="s">
        <v>18</v>
      </c>
      <c r="K15" t="s">
        <v>18</v>
      </c>
      <c r="L15" t="s">
        <v>48</v>
      </c>
      <c r="Q15">
        <v>1</v>
      </c>
    </row>
    <row r="16" spans="1:17" x14ac:dyDescent="0.25">
      <c r="A16" t="s">
        <v>40</v>
      </c>
      <c r="B16" t="s">
        <v>38</v>
      </c>
      <c r="C16" t="s">
        <v>83</v>
      </c>
      <c r="E16" t="s">
        <v>84</v>
      </c>
      <c r="F16" t="s">
        <v>16</v>
      </c>
      <c r="G16" s="2">
        <v>0</v>
      </c>
      <c r="H16" s="2">
        <v>30</v>
      </c>
      <c r="I16" s="2">
        <f>-H16</f>
        <v>-30</v>
      </c>
      <c r="J16" t="s">
        <v>18</v>
      </c>
      <c r="K16" t="s">
        <v>18</v>
      </c>
      <c r="L16" t="s">
        <v>48</v>
      </c>
      <c r="Q16">
        <v>1</v>
      </c>
    </row>
    <row r="17" spans="1:17" x14ac:dyDescent="0.25">
      <c r="B17" t="s">
        <v>38</v>
      </c>
      <c r="C17" t="s">
        <v>85</v>
      </c>
      <c r="D17" t="s">
        <v>86</v>
      </c>
      <c r="E17" t="s">
        <v>87</v>
      </c>
      <c r="F17" s="2">
        <v>10</v>
      </c>
      <c r="G17" s="2">
        <v>1455</v>
      </c>
      <c r="H17" s="2">
        <v>25</v>
      </c>
      <c r="I17" s="2">
        <f>G17-H17</f>
        <v>1430</v>
      </c>
      <c r="J17" t="s">
        <v>39</v>
      </c>
      <c r="K17" t="s">
        <v>18</v>
      </c>
      <c r="L17" t="s">
        <v>48</v>
      </c>
      <c r="Q17">
        <v>1</v>
      </c>
    </row>
    <row r="18" spans="1:17" x14ac:dyDescent="0.25">
      <c r="B18" t="s">
        <v>38</v>
      </c>
      <c r="C18" t="s">
        <v>88</v>
      </c>
      <c r="D18" t="s">
        <v>89</v>
      </c>
      <c r="E18" t="s">
        <v>90</v>
      </c>
      <c r="F18" t="s">
        <v>91</v>
      </c>
      <c r="G18" s="2">
        <v>660</v>
      </c>
      <c r="H18" s="2">
        <v>20</v>
      </c>
      <c r="I18" s="2">
        <f>G18-H18</f>
        <v>640</v>
      </c>
      <c r="J18" t="s">
        <v>39</v>
      </c>
      <c r="K18" t="s">
        <v>18</v>
      </c>
      <c r="L18" t="s">
        <v>48</v>
      </c>
      <c r="Q18">
        <v>1</v>
      </c>
    </row>
    <row r="19" spans="1:17" x14ac:dyDescent="0.25">
      <c r="B19" t="s">
        <v>38</v>
      </c>
      <c r="C19" t="s">
        <v>92</v>
      </c>
      <c r="D19" t="s">
        <v>93</v>
      </c>
      <c r="E19" t="s">
        <v>94</v>
      </c>
      <c r="F19" t="s">
        <v>91</v>
      </c>
      <c r="G19" s="2">
        <v>600</v>
      </c>
      <c r="H19" s="2">
        <v>20</v>
      </c>
      <c r="I19" s="2">
        <f>G19-H19</f>
        <v>580</v>
      </c>
      <c r="J19" t="s">
        <v>39</v>
      </c>
      <c r="K19" t="s">
        <v>18</v>
      </c>
      <c r="L19" t="s">
        <v>48</v>
      </c>
      <c r="Q19">
        <v>1</v>
      </c>
    </row>
    <row r="20" spans="1:17" x14ac:dyDescent="0.25">
      <c r="B20" t="s">
        <v>38</v>
      </c>
      <c r="C20" t="s">
        <v>95</v>
      </c>
      <c r="D20" t="s">
        <v>96</v>
      </c>
      <c r="E20" t="s">
        <v>97</v>
      </c>
      <c r="F20" t="s">
        <v>15</v>
      </c>
      <c r="G20" s="2">
        <v>875</v>
      </c>
      <c r="H20" s="2">
        <v>25</v>
      </c>
      <c r="I20" s="2">
        <f>G20-H20</f>
        <v>850</v>
      </c>
      <c r="J20" t="s">
        <v>39</v>
      </c>
      <c r="K20" t="s">
        <v>18</v>
      </c>
      <c r="L20" t="s">
        <v>48</v>
      </c>
      <c r="Q20">
        <v>1</v>
      </c>
    </row>
    <row r="22" spans="1:17" x14ac:dyDescent="0.25">
      <c r="D22" s="3">
        <f>COUNTA(D3:D20)</f>
        <v>15</v>
      </c>
      <c r="G22" s="3">
        <f t="shared" ref="G22:Q22" si="0">SUBTOTAL(9,G3:G20)</f>
        <v>10165</v>
      </c>
      <c r="H22" s="3">
        <f t="shared" si="0"/>
        <v>475</v>
      </c>
      <c r="I22" s="3">
        <f t="shared" si="0"/>
        <v>9690</v>
      </c>
      <c r="J22" s="3">
        <f t="shared" si="0"/>
        <v>0</v>
      </c>
      <c r="K22" s="3">
        <f t="shared" si="0"/>
        <v>0</v>
      </c>
      <c r="L22" s="3">
        <f t="shared" si="0"/>
        <v>0</v>
      </c>
      <c r="M22" s="3">
        <f t="shared" si="0"/>
        <v>0</v>
      </c>
      <c r="N22" s="3">
        <f t="shared" si="0"/>
        <v>0</v>
      </c>
      <c r="O22" s="3">
        <f t="shared" si="0"/>
        <v>0</v>
      </c>
      <c r="P22" s="3">
        <f t="shared" si="0"/>
        <v>0</v>
      </c>
      <c r="Q22" s="3">
        <f t="shared" si="0"/>
        <v>18</v>
      </c>
    </row>
    <row r="23" spans="1:17" x14ac:dyDescent="0.25">
      <c r="H23">
        <f>-3*17</f>
        <v>-51</v>
      </c>
    </row>
    <row r="24" spans="1:17" x14ac:dyDescent="0.25">
      <c r="A24" s="3" t="s">
        <v>38</v>
      </c>
      <c r="C24" s="12" t="s">
        <v>19</v>
      </c>
      <c r="D24" s="12"/>
      <c r="E24" s="4" t="s">
        <v>20</v>
      </c>
      <c r="H24">
        <f>-4*25</f>
        <v>-100</v>
      </c>
      <c r="K24" s="5" t="s">
        <v>47</v>
      </c>
      <c r="L24" s="5" t="s">
        <v>21</v>
      </c>
      <c r="M24" s="5" t="s">
        <v>20</v>
      </c>
      <c r="O24" s="4" t="s">
        <v>22</v>
      </c>
    </row>
    <row r="25" spans="1:17" x14ac:dyDescent="0.25">
      <c r="A25" t="s">
        <v>48</v>
      </c>
      <c r="B25" s="6" t="s">
        <v>23</v>
      </c>
      <c r="C25" s="13">
        <f>SUMIFS(I$3:I$20,B$3:B$20,A$24,L$3:L$20,A$25)</f>
        <v>9690</v>
      </c>
      <c r="D25" s="13"/>
      <c r="E25" s="6">
        <f>SUMIFS(Q$3:Q$20,B$3:B$20,A$24,L$3:L$20,A$25)</f>
        <v>18</v>
      </c>
      <c r="F25" t="s">
        <v>24</v>
      </c>
      <c r="K25" t="s">
        <v>25</v>
      </c>
      <c r="L25">
        <f>SUMIFS(G$3:G$20,J$3:J$20,K$24)</f>
        <v>3205</v>
      </c>
      <c r="M25">
        <f>SUMIFS(Q$3:Q$20,J$3:J$20,K$24)</f>
        <v>7</v>
      </c>
      <c r="O25" t="s">
        <v>98</v>
      </c>
      <c r="P25">
        <f>L30</f>
        <v>3054</v>
      </c>
    </row>
    <row r="26" spans="1:17" x14ac:dyDescent="0.25">
      <c r="B26" s="7" t="s">
        <v>42</v>
      </c>
      <c r="C26" s="14">
        <v>0</v>
      </c>
      <c r="D26" s="14"/>
      <c r="K26" t="s">
        <v>26</v>
      </c>
      <c r="L26">
        <f>SUM(H23:H24)</f>
        <v>-151</v>
      </c>
      <c r="M26">
        <f>SUMIFS(Q$3:Q$20,J$3:J$20,K$24)</f>
        <v>7</v>
      </c>
      <c r="O26" t="s">
        <v>39</v>
      </c>
      <c r="P26">
        <f>L38</f>
        <v>3520</v>
      </c>
    </row>
    <row r="27" spans="1:17" x14ac:dyDescent="0.25">
      <c r="B27" s="7" t="s">
        <v>27</v>
      </c>
      <c r="C27" s="14">
        <f>-SUMIFS(I$3:I$20,B$3:B$20,A$24,P$3:P$20,"xx",N$3:N$20,"x")</f>
        <v>0</v>
      </c>
      <c r="D27" s="14"/>
      <c r="E27" s="7">
        <f>SUMIFS(Q$3:Q$20,B$3:B$20,A$24,P$3:P$20,"xx",N$3:N$20,"x")</f>
        <v>0</v>
      </c>
      <c r="K27" t="s">
        <v>28</v>
      </c>
      <c r="O27" t="s">
        <v>18</v>
      </c>
      <c r="P27">
        <f>L46</f>
        <v>3191</v>
      </c>
    </row>
    <row r="28" spans="1:17" x14ac:dyDescent="0.25">
      <c r="B28" s="4" t="s">
        <v>29</v>
      </c>
      <c r="C28" s="12">
        <f>SUBTOTAL(9,C25:C27)</f>
        <v>9690</v>
      </c>
      <c r="D28" s="12"/>
      <c r="E28">
        <f>E25</f>
        <v>18</v>
      </c>
      <c r="K28" s="7" t="s">
        <v>30</v>
      </c>
      <c r="O28" t="s">
        <v>33</v>
      </c>
      <c r="P28">
        <f>-C32</f>
        <v>-9690</v>
      </c>
    </row>
    <row r="29" spans="1:17" x14ac:dyDescent="0.25">
      <c r="B29" s="7" t="s">
        <v>31</v>
      </c>
      <c r="C29" s="10"/>
      <c r="D29" s="10"/>
      <c r="K29" s="7" t="s">
        <v>32</v>
      </c>
      <c r="O29" s="4" t="s">
        <v>35</v>
      </c>
      <c r="P29" s="4">
        <f>SUBTOTAL(9,P25:P28)</f>
        <v>75</v>
      </c>
    </row>
    <row r="30" spans="1:17" x14ac:dyDescent="0.25">
      <c r="B30" s="8" t="s">
        <v>34</v>
      </c>
      <c r="C30" s="10"/>
      <c r="D30" s="10"/>
      <c r="L30" s="9">
        <f>SUBTOTAL(9,L25:L29)</f>
        <v>3054</v>
      </c>
      <c r="M30" s="9">
        <f>M25</f>
        <v>7</v>
      </c>
    </row>
    <row r="32" spans="1:17" x14ac:dyDescent="0.25">
      <c r="B32" s="3" t="s">
        <v>36</v>
      </c>
      <c r="C32" s="11">
        <f>C28+C29+C30</f>
        <v>9690</v>
      </c>
      <c r="D32" s="11"/>
      <c r="E32" s="3" t="s">
        <v>43</v>
      </c>
      <c r="K32" s="5" t="s">
        <v>39</v>
      </c>
      <c r="L32" s="5" t="s">
        <v>21</v>
      </c>
      <c r="M32" s="5" t="s">
        <v>20</v>
      </c>
    </row>
    <row r="33" spans="11:13" x14ac:dyDescent="0.25">
      <c r="K33" t="s">
        <v>25</v>
      </c>
      <c r="L33">
        <f>SUMIFS(G$3:G$20,J$3:J$20,K$32)</f>
        <v>3590</v>
      </c>
      <c r="M33">
        <f>SUMIFS(Q$3:Q$20,J$3:J$20,K$32)</f>
        <v>4</v>
      </c>
    </row>
    <row r="34" spans="11:13" x14ac:dyDescent="0.25">
      <c r="K34" t="s">
        <v>26</v>
      </c>
      <c r="L34">
        <f>-SUMIFS(H$3:H$20,J$3:J$20,K$32)+M34*5</f>
        <v>-70</v>
      </c>
      <c r="M34">
        <f>SUMIFS(Q$3:Q$20,J$3:J$20,K$32)-COUNTIFS(J$3:J$20,K$32,M$3:M$20,"*gộp*")</f>
        <v>4</v>
      </c>
    </row>
    <row r="35" spans="11:13" x14ac:dyDescent="0.25">
      <c r="K35" t="s">
        <v>28</v>
      </c>
    </row>
    <row r="36" spans="11:13" x14ac:dyDescent="0.25">
      <c r="K36" s="7" t="s">
        <v>30</v>
      </c>
    </row>
    <row r="37" spans="11:13" x14ac:dyDescent="0.25">
      <c r="K37" s="7" t="s">
        <v>32</v>
      </c>
    </row>
    <row r="38" spans="11:13" x14ac:dyDescent="0.25">
      <c r="L38" s="9">
        <f>SUBTOTAL(9,L33:L37)</f>
        <v>3520</v>
      </c>
      <c r="M38" s="9">
        <f>M33</f>
        <v>4</v>
      </c>
    </row>
    <row r="40" spans="11:13" x14ac:dyDescent="0.25">
      <c r="K40" s="5" t="s">
        <v>18</v>
      </c>
      <c r="L40" s="5" t="s">
        <v>21</v>
      </c>
      <c r="M40" s="5" t="s">
        <v>20</v>
      </c>
    </row>
    <row r="41" spans="11:13" x14ac:dyDescent="0.25">
      <c r="K41" t="s">
        <v>25</v>
      </c>
      <c r="L41">
        <f>SUMIFS(G$3:G$20,J$3:J$20,K$40)</f>
        <v>3370</v>
      </c>
      <c r="M41">
        <f>SUMIFS(Q$3:Q$20,J$3:J$20,K$40)</f>
        <v>7</v>
      </c>
    </row>
    <row r="42" spans="11:13" x14ac:dyDescent="0.25">
      <c r="K42" t="s">
        <v>26</v>
      </c>
      <c r="L42">
        <f>-SUMIFS(H$3:H$20,J$3:J$20,K$40)+M42*5</f>
        <v>-145</v>
      </c>
      <c r="M42">
        <f>SUMIFS(Q$3:Q$20,J$3:J$20,K$40)-COUNTIFS(J$3:J$20,K$40,M$3:M$20,"*gộp*")</f>
        <v>7</v>
      </c>
    </row>
    <row r="43" spans="11:13" x14ac:dyDescent="0.25">
      <c r="K43" t="s">
        <v>28</v>
      </c>
      <c r="L43">
        <f>-M43*2</f>
        <v>-34</v>
      </c>
      <c r="M43">
        <f>Q22-(COUNTIFS(J$3:J$20,K$24,M$3:M$20,"*gộp*")/2)</f>
        <v>17</v>
      </c>
    </row>
    <row r="44" spans="11:13" x14ac:dyDescent="0.25">
      <c r="K44" s="7" t="s">
        <v>30</v>
      </c>
    </row>
    <row r="45" spans="11:13" x14ac:dyDescent="0.25">
      <c r="K45" s="7" t="s">
        <v>32</v>
      </c>
    </row>
    <row r="46" spans="11:13" x14ac:dyDescent="0.25">
      <c r="L46" s="9">
        <f>SUBTOTAL(9,L41:L45)</f>
        <v>3191</v>
      </c>
      <c r="M46" s="9">
        <f>M41</f>
        <v>7</v>
      </c>
    </row>
  </sheetData>
  <autoFilter ref="A2:Q2" xr:uid="{21EF95A6-1E82-4AC8-A681-DBF8AEA4F795}">
    <sortState xmlns:xlrd2="http://schemas.microsoft.com/office/spreadsheetml/2017/richdata2" ref="A3:Q24">
      <sortCondition ref="J2"/>
    </sortState>
  </autoFilter>
  <mergeCells count="8">
    <mergeCell ref="C24:D24"/>
    <mergeCell ref="C25:D25"/>
    <mergeCell ref="C26:D26"/>
    <mergeCell ref="C27:D27"/>
    <mergeCell ref="C28:D28"/>
    <mergeCell ref="C29:D29"/>
    <mergeCell ref="C30:D30"/>
    <mergeCell ref="C32:D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2026-03-16T06:26:08Z</dcterms:created>
  <dcterms:modified xsi:type="dcterms:W3CDTF">2026-03-18T08:36:39Z</dcterms:modified>
</cp:coreProperties>
</file>