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TextExtractorTool\data\Mar\18-03-2026\"/>
    </mc:Choice>
  </mc:AlternateContent>
  <xr:revisionPtr revIDLastSave="0" documentId="13_ncr:1_{AE95C9FA-7173-46C8-A778-D9628FA1BB6E}" xr6:coauthVersionLast="47" xr6:coauthVersionMax="47" xr10:uidLastSave="{00000000-0000-0000-0000-000000000000}"/>
  <bookViews>
    <workbookView xWindow="-120" yWindow="-120" windowWidth="29040" windowHeight="15720" xr2:uid="{6EAF8504-9B99-4CC8-A026-1F30ACB00849}"/>
  </bookViews>
  <sheets>
    <sheet name="Sheet1" sheetId="1" r:id="rId1"/>
  </sheets>
  <definedNames>
    <definedName name="_xlnm._FilterDatabase" localSheetId="0" hidden="1">Sheet1!$A$2:$Q$22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C30" i="1"/>
  <c r="M37" i="1" l="1"/>
  <c r="M45" i="1"/>
  <c r="M36" i="1"/>
  <c r="L37" i="1"/>
  <c r="L36" i="1"/>
  <c r="L45" i="1"/>
  <c r="L44" i="1"/>
  <c r="M44" i="1"/>
  <c r="M29" i="1"/>
  <c r="M28" i="1"/>
  <c r="L28" i="1"/>
  <c r="E28" i="1"/>
  <c r="G23" i="1"/>
  <c r="H23" i="1"/>
  <c r="Q23" i="1"/>
  <c r="H24" i="1" l="1"/>
  <c r="L29" i="1" s="1"/>
  <c r="H25" i="1"/>
  <c r="M41" i="1" l="1"/>
  <c r="M49" i="1"/>
  <c r="E31" i="1"/>
  <c r="I3" i="1"/>
  <c r="I4" i="1"/>
  <c r="I5" i="1"/>
  <c r="I6" i="1"/>
  <c r="I7" i="1"/>
  <c r="I8" i="1"/>
  <c r="I9" i="1"/>
  <c r="I11" i="1"/>
  <c r="I12" i="1"/>
  <c r="I13" i="1"/>
  <c r="I14" i="1"/>
  <c r="I15" i="1"/>
  <c r="I16" i="1"/>
  <c r="I17" i="1"/>
  <c r="I18" i="1"/>
  <c r="I19" i="1"/>
  <c r="I20" i="1"/>
  <c r="I21" i="1"/>
  <c r="I10" i="1"/>
  <c r="D23" i="1"/>
  <c r="J23" i="1"/>
  <c r="K23" i="1"/>
  <c r="L23" i="1"/>
  <c r="M23" i="1"/>
  <c r="N23" i="1"/>
  <c r="O23" i="1"/>
  <c r="P23" i="1"/>
  <c r="C28" i="1" l="1"/>
  <c r="C31" i="1" s="1"/>
  <c r="C35" i="1" s="1"/>
  <c r="P31" i="1" s="1"/>
  <c r="I23" i="1"/>
  <c r="L33" i="1"/>
  <c r="P28" i="1" s="1"/>
  <c r="M33" i="1"/>
  <c r="L41" i="1"/>
  <c r="P29" i="1" s="1"/>
  <c r="M46" i="1" l="1"/>
  <c r="L46" i="1" s="1"/>
  <c r="L49" i="1" s="1"/>
  <c r="P30" i="1" s="1"/>
  <c r="P32" i="1" s="1"/>
</calcChain>
</file>

<file path=xl/sharedStrings.xml><?xml version="1.0" encoding="utf-8"?>
<sst xmlns="http://schemas.openxmlformats.org/spreadsheetml/2006/main" count="222" uniqueCount="113">
  <si>
    <t>Tình trạng TT</t>
  </si>
  <si>
    <t>SHOP</t>
  </si>
  <si>
    <t>TÊN KH</t>
  </si>
  <si>
    <t>MÃ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</si>
  <si>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</si>
  <si>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</si>
  <si>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</si>
  <si>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</si>
  <si>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</si>
  <si>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</si>
  <si>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</si>
  <si>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</si>
  <si>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</si>
  <si>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</si>
  <si>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</si>
  <si>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tan binh</t>
  </si>
  <si>
    <t>go vap</t>
  </si>
  <si>
    <t>binh thanh</t>
  </si>
  <si>
    <t>c.cuong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</si>
  <si>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</si>
  <si>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</si>
  <si>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</si>
  <si>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</si>
  <si>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</si>
  <si>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</si>
  <si>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</si>
  <si>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tiền ship</t>
  </si>
  <si>
    <t>Đơn trả &amp; c.khoản</t>
  </si>
  <si>
    <t>tiền lấy</t>
  </si>
  <si>
    <t>Tiền Hàng Hcm</t>
  </si>
  <si>
    <t>đơn trả</t>
  </si>
  <si>
    <t>đền đơn</t>
  </si>
  <si>
    <t>đơn cũ ck</t>
  </si>
  <si>
    <t>shop</t>
  </si>
  <si>
    <t>nợ cũ</t>
  </si>
  <si>
    <t>tổng</t>
  </si>
  <si>
    <t>THANH TOÁN</t>
  </si>
  <si>
    <t>ĐỊA CHỈ</t>
  </si>
  <si>
    <t>ĐOÀN NGÂN CHÂU</t>
  </si>
  <si>
    <t>c.hieu</t>
  </si>
  <si>
    <t>hàng sỉ</t>
  </si>
  <si>
    <t>tan phu</t>
  </si>
  <si>
    <t>Trừ Ship</t>
  </si>
  <si>
    <t>CK Đủ 100%</t>
  </si>
  <si>
    <t>Nguyễn Kim Ngân</t>
  </si>
  <si>
    <t>HD002716</t>
  </si>
  <si>
    <t>Lavida Plus, Nguyễn Văn Linh, Tân Phong</t>
  </si>
  <si>
    <t>AT 18-03</t>
  </si>
  <si>
    <t>18-03-2026</t>
  </si>
  <si>
    <t>gộp</t>
  </si>
  <si>
    <t>HD002625</t>
  </si>
  <si>
    <t>Chocopie Nguyen</t>
  </si>
  <si>
    <t>HD002660</t>
  </si>
  <si>
    <t>2 đường 22 phường long bình</t>
  </si>
  <si>
    <t>Phương Đào</t>
  </si>
  <si>
    <t>HD002836</t>
  </si>
  <si>
    <t>100/1 B khu phố1, đường Tân thới nhất 11,phường Tân thới nhất</t>
  </si>
  <si>
    <t>W3235</t>
  </si>
  <si>
    <t>HD002687</t>
  </si>
  <si>
    <t>Địa chỉ: 375 tân thới hiệp 21, Tổ 3,Kp3 ( nhớ gỗ đủ)</t>
  </si>
  <si>
    <t>Thanh Tiên</t>
  </si>
  <si>
    <t>HD002513</t>
  </si>
  <si>
    <t>54/17b tô ngọc vân, Thạnh xuân</t>
  </si>
  <si>
    <t>đổi hàng</t>
  </si>
  <si>
    <t>Võ Thu Hà</t>
  </si>
  <si>
    <t>HD002809</t>
  </si>
  <si>
    <t>262/15 lũy bán bích, hòa thạch</t>
  </si>
  <si>
    <t>Ly Na</t>
  </si>
  <si>
    <t>HD002697</t>
  </si>
  <si>
    <t>98 vũ tông phan, p bình trưng</t>
  </si>
  <si>
    <t>Pé Py</t>
  </si>
  <si>
    <t>HD002724</t>
  </si>
  <si>
    <t>47 bùi đình tuý, P14</t>
  </si>
  <si>
    <t>Ngọc Lan</t>
  </si>
  <si>
    <t>HD002643</t>
  </si>
  <si>
    <t>13 mai xuân thưởng, p11</t>
  </si>
  <si>
    <t>lindsiepham</t>
  </si>
  <si>
    <t>HD002689</t>
  </si>
  <si>
    <t>landmark 5b vinhomes central park</t>
  </si>
  <si>
    <t>VICKY TRAN</t>
  </si>
  <si>
    <t>127/17 bình lợi p13</t>
  </si>
  <si>
    <t>Ly Clara Selena</t>
  </si>
  <si>
    <t>403 tân sơn p12</t>
  </si>
  <si>
    <t>May Oo (Isabella)</t>
  </si>
  <si>
    <t>494/1/12 le quang dinh,P1</t>
  </si>
  <si>
    <t>Cherry Nguyễn</t>
  </si>
  <si>
    <t>HD002837</t>
  </si>
  <si>
    <t>66 hùng vương p1</t>
  </si>
  <si>
    <t>Ngọc Trương</t>
  </si>
  <si>
    <t>HD002835</t>
  </si>
  <si>
    <t>462 phan xích long p2</t>
  </si>
  <si>
    <t>phu nhuan</t>
  </si>
  <si>
    <t>Ín Nile</t>
  </si>
  <si>
    <t>HD002700</t>
  </si>
  <si>
    <t>429/1 nguyễn kiệm p9</t>
  </si>
  <si>
    <t>Jenny Tran</t>
  </si>
  <si>
    <t>HD002603</t>
  </si>
  <si>
    <t>737/1C Lạc Long Quân F10</t>
  </si>
  <si>
    <t>at 18-03</t>
  </si>
  <si>
    <t>THU 4</t>
  </si>
  <si>
    <t>NGAY 18-3</t>
  </si>
  <si>
    <t>PUNLORK</t>
  </si>
  <si>
    <t>Xe Phy Phy</t>
  </si>
  <si>
    <t>Column1</t>
  </si>
  <si>
    <t>thu hộ shop</t>
  </si>
  <si>
    <t>sha sha</t>
  </si>
  <si>
    <t>HD002320</t>
  </si>
  <si>
    <t>532/3/6 kinh duong vuong</t>
  </si>
  <si>
    <t>binh tan</t>
  </si>
  <si>
    <t>16-03-2026</t>
  </si>
  <si>
    <t>luu tra</t>
  </si>
  <si>
    <t>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</si>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</sst>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Aptos Narrow"/>
      <family val="2"/>
    </font>
    <font>
      <sz val="11"/>
      <color rgb="FFFF0000"/>
      <name val="Aptos Narrow"/>
      <family val="2"/>
    </font>
    <font>
      <sz val="8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3" fontId="0" fillId="0" borderId="0" xfId="0" applyNumberFormat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0" fillId="3" borderId="0" xfId="0" applyFill="1"/>
    <xf numFmtId="0" fontId="2" fillId="0" borderId="0" xfId="0" applyFont="1"/>
    <xf numFmtId="0" fontId="0" fillId="5" borderId="0" xfId="0" applyFill="1"/>
    <xf numFmtId="0" fontId="1" fillId="6" borderId="0" xfId="0" applyFont="1" applyFill="1"/>
    <xf numFmtId="0" fontId="1" fillId="0" borderId="0" xfId="0" applyFont="1"/>
    <xf numFmtId="0" fontId="0" fillId="3" borderId="0" xfId="0" applyFill="1"/>
    <xf numFmtId="0" fontId="2" fillId="0" borderId="0" xfId="0" applyFont="1"/>
    <xf numFmtId="0" fontId="0" fillId="0" borderId="0" xfId="0"/>
    <xf numFmtId="0" fontId="1" fillId="3" borderId="0" xfId="0" applyFont="1" applyFill="1"/>
    <xf numFmtId="0" fontId="0" fillId="3" borderId="0" xfId="0" applyFont="1" applyFill="1"/>
    <xf numFmtId="3" fontId="0" fillId="3" borderId="0" xfId="0" applyNumberFormat="1" applyFill="1"/>
    <xf numFmtId="0" fontId="4" fillId="0" borderId="0" xfId="0" applyFont="1"/>
    <xf numFmtId="3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4"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0806E6-9C59-4025-B8D5-AA077A425D2A}" name="Table2" displayName="Table2" ref="A2:Q22" totalsRowShown="0" headerRowDxfId="3">
  <autoFilter ref="A2:Q22" xr:uid="{21EF95A6-1E82-4AC8-A681-DBF8AEA4F795}"/>
  <sortState xmlns:xlrd2="http://schemas.microsoft.com/office/spreadsheetml/2017/richdata2" ref="A3:Q21">
    <sortCondition ref="J2:J21"/>
  </sortState>
  <tableColumns count="17">
    <tableColumn id="1" xr3:uid="{D9485E50-1BFF-4A58-A832-44B337C89C0D}" name="Tình trạng TT"/>
    <tableColumn id="2" xr3:uid="{5C95BA54-2804-4307-8695-1792E0EF4E78}" name="SHOP"/>
    <tableColumn id="3" xr3:uid="{64B1B5CD-0B59-4E7D-BB4B-0797233375E6}" name="TÊN KH"/>
    <tableColumn id="4" xr3:uid="{640D6B6F-C7B0-4B1F-8F8B-5BACFD8CA57E}" name="MÃ"/>
    <tableColumn id="5" xr3:uid="{3D8919AD-4F8E-42C0-9ACB-2EDA6A5F70B9}" name="ĐỊA CHỈ"/>
    <tableColumn id="6" xr3:uid="{4A8527BB-CE9F-46EB-B350-7E3518D16A1D}" name="QUẬN"/>
    <tableColumn id="7" xr3:uid="{7A047805-0921-49A3-9F48-338B0AD7DAF7}" name="TIỀN THU" dataDxfId="2"/>
    <tableColumn id="8" xr3:uid="{8AB1C2BD-B28C-442F-A4EE-53F3494F0652}" name="TIỀN SHIP" dataDxfId="1"/>
    <tableColumn id="9" xr3:uid="{AB48E7F8-D8C7-4B4B-AB86-7C25DA9BD5EE}" name="TIỀN HÀNG" dataDxfId="0">
      <calculatedColumnFormula>G3-H3</calculatedColumnFormula>
    </tableColumn>
    <tableColumn id="10" xr3:uid="{D0AEBC5B-E77F-4FD6-8924-1E1D765208B5}" name="NGƯỜI ĐI"/>
    <tableColumn id="11" xr3:uid="{7C52E21C-863F-4206-B82D-9749A3DF5A28}" name="NGƯỜI LẤY"/>
    <tableColumn id="12" xr3:uid="{87570B00-DDD4-463E-835E-6436C9C85FFC}" name="NGÀY LẤY"/>
    <tableColumn id="13" xr3:uid="{226B3CBF-E4F4-45F2-92C6-D4FBBE6EB22E}" name="GHI CHÚ"/>
    <tableColumn id="14" xr3:uid="{9FAEC375-5DCB-4AD2-8A4E-54E8259BC64B}" name="ỨNG TIỀN"/>
    <tableColumn id="15" xr3:uid="{30B7D3C9-F7C6-45D2-9EE3-291B0155D98A}" name="HÀNG TỒN"/>
    <tableColumn id="16" xr3:uid="{220C2C6D-DD14-4E7D-9DE7-CCE8AE482351}" name="FAIL"/>
    <tableColumn id="17" xr3:uid="{E16C48B9-FCC8-41AD-B59A-31F97DAD7D1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95A6-1E82-4AC8-A681-DBF8AEA4F795}">
  <dimension ref="A1:Q49"/>
  <sheetViews>
    <sheetView tabSelected="1" zoomScale="85" zoomScaleNormal="85" workbookViewId="0">
      <selection activeCell="Q34" sqref="Q34"/>
    </sheetView>
  </sheetViews>
  <sheetFormatPr defaultRowHeight="15" x14ac:dyDescent="0.25"/>
  <cols>
    <col min="1" max="1" width="14.42578125" customWidth="1"/>
    <col min="2" max="2" width="19.140625" customWidth="1"/>
    <col min="3" max="3" width="16.85546875" bestFit="1" customWidth="1"/>
    <col min="4" max="4" width="10.140625" customWidth="1"/>
    <col min="5" max="5" width="55.140625" customWidth="1"/>
    <col min="6" max="6" width="10" customWidth="1"/>
    <col min="7" max="7" width="11.42578125" customWidth="1"/>
    <col min="8" max="8" width="12" customWidth="1"/>
    <col min="9" max="9" width="13.140625" customWidth="1"/>
    <col min="10" max="10" width="12.140625" customWidth="1"/>
    <col min="11" max="11" width="13.42578125" customWidth="1"/>
    <col min="12" max="12" width="12" customWidth="1"/>
    <col min="13" max="13" width="11.140625" customWidth="1"/>
    <col min="14" max="14" width="12.140625" customWidth="1"/>
    <col min="15" max="15" width="12.85546875" customWidth="1"/>
    <col min="16" max="16" width="7" bestFit="1" customWidth="1"/>
    <col min="17" max="17" width="11" customWidth="1"/>
  </cols>
  <sheetData>
    <row r="1" spans="1:17" x14ac:dyDescent="0.25">
      <c r="B1" t="s">
        <v>99</v>
      </c>
      <c r="C1" t="s">
        <v>100</v>
      </c>
    </row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37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t="s">
        <v>103</v>
      </c>
    </row>
    <row r="3" spans="1:17" x14ac:dyDescent="0.25">
      <c r="B3" t="s">
        <v>38</v>
      </c>
      <c r="C3" t="s">
        <v>44</v>
      </c>
      <c r="D3" t="s">
        <v>45</v>
      </c>
      <c r="E3" t="s">
        <v>46</v>
      </c>
      <c r="F3" s="2">
        <v>7</v>
      </c>
      <c r="G3" s="2">
        <v>670</v>
      </c>
      <c r="H3" s="2">
        <v>30</v>
      </c>
      <c r="I3" s="2">
        <f>G3-H3</f>
        <v>640</v>
      </c>
      <c r="J3" t="s">
        <v>47</v>
      </c>
      <c r="K3" t="s">
        <v>18</v>
      </c>
      <c r="L3" t="s">
        <v>48</v>
      </c>
      <c r="M3" t="s">
        <v>49</v>
      </c>
      <c r="Q3">
        <v>1</v>
      </c>
    </row>
    <row r="4" spans="1:17" x14ac:dyDescent="0.25">
      <c r="B4" t="s">
        <v>38</v>
      </c>
      <c r="C4" t="s">
        <v>44</v>
      </c>
      <c r="D4" t="s">
        <v>50</v>
      </c>
      <c r="E4" t="s">
        <v>46</v>
      </c>
      <c r="F4" s="2">
        <v>7</v>
      </c>
      <c r="G4" s="2">
        <v>350</v>
      </c>
      <c r="H4" s="2">
        <v>0</v>
      </c>
      <c r="I4" s="2">
        <f>G4-H4</f>
        <v>350</v>
      </c>
      <c r="J4" t="s">
        <v>47</v>
      </c>
      <c r="K4" t="s">
        <v>18</v>
      </c>
      <c r="L4" t="s">
        <v>48</v>
      </c>
      <c r="M4" t="s">
        <v>49</v>
      </c>
      <c r="Q4">
        <v>1</v>
      </c>
    </row>
    <row r="5" spans="1:17" x14ac:dyDescent="0.25">
      <c r="B5" t="s">
        <v>38</v>
      </c>
      <c r="C5" t="s">
        <v>51</v>
      </c>
      <c r="D5" t="s">
        <v>52</v>
      </c>
      <c r="E5" t="s">
        <v>53</v>
      </c>
      <c r="F5" s="2">
        <v>9</v>
      </c>
      <c r="G5" s="2">
        <v>670</v>
      </c>
      <c r="H5" s="2">
        <v>30</v>
      </c>
      <c r="I5" s="2">
        <f>G5-H5</f>
        <v>640</v>
      </c>
      <c r="J5" t="s">
        <v>47</v>
      </c>
      <c r="K5" t="s">
        <v>18</v>
      </c>
      <c r="L5" t="s">
        <v>48</v>
      </c>
      <c r="Q5">
        <v>1</v>
      </c>
    </row>
    <row r="6" spans="1:17" x14ac:dyDescent="0.25">
      <c r="B6" t="s">
        <v>38</v>
      </c>
      <c r="C6" t="s">
        <v>54</v>
      </c>
      <c r="D6" t="s">
        <v>55</v>
      </c>
      <c r="E6" t="s">
        <v>56</v>
      </c>
      <c r="F6" s="2">
        <v>12</v>
      </c>
      <c r="G6" s="2">
        <v>730</v>
      </c>
      <c r="H6" s="2">
        <v>30</v>
      </c>
      <c r="I6" s="2">
        <f>G6-H6</f>
        <v>700</v>
      </c>
      <c r="J6" t="s">
        <v>47</v>
      </c>
      <c r="K6" t="s">
        <v>18</v>
      </c>
      <c r="L6" t="s">
        <v>48</v>
      </c>
      <c r="Q6">
        <v>1</v>
      </c>
    </row>
    <row r="7" spans="1:17" x14ac:dyDescent="0.25">
      <c r="B7" t="s">
        <v>38</v>
      </c>
      <c r="C7" t="s">
        <v>57</v>
      </c>
      <c r="D7" t="s">
        <v>58</v>
      </c>
      <c r="E7" t="s">
        <v>59</v>
      </c>
      <c r="F7" s="2">
        <v>12</v>
      </c>
      <c r="G7" s="2">
        <v>0</v>
      </c>
      <c r="H7" s="2">
        <v>30</v>
      </c>
      <c r="I7" s="2">
        <f>-H7</f>
        <v>-30</v>
      </c>
      <c r="J7" t="s">
        <v>47</v>
      </c>
      <c r="K7" t="s">
        <v>18</v>
      </c>
      <c r="L7" t="s">
        <v>48</v>
      </c>
      <c r="Q7">
        <v>1</v>
      </c>
    </row>
    <row r="8" spans="1:17" x14ac:dyDescent="0.25">
      <c r="B8" t="s">
        <v>38</v>
      </c>
      <c r="C8" t="s">
        <v>60</v>
      </c>
      <c r="D8" t="s">
        <v>61</v>
      </c>
      <c r="E8" t="s">
        <v>62</v>
      </c>
      <c r="F8" s="2">
        <v>12</v>
      </c>
      <c r="G8" s="2">
        <v>0</v>
      </c>
      <c r="H8" s="2">
        <v>30</v>
      </c>
      <c r="I8" s="2">
        <f>-H8</f>
        <v>-30</v>
      </c>
      <c r="J8" t="s">
        <v>47</v>
      </c>
      <c r="K8" t="s">
        <v>18</v>
      </c>
      <c r="L8" t="s">
        <v>48</v>
      </c>
      <c r="M8" t="s">
        <v>63</v>
      </c>
      <c r="Q8">
        <v>1</v>
      </c>
    </row>
    <row r="9" spans="1:17" x14ac:dyDescent="0.25">
      <c r="B9" t="s">
        <v>38</v>
      </c>
      <c r="C9" t="s">
        <v>64</v>
      </c>
      <c r="D9" t="s">
        <v>65</v>
      </c>
      <c r="E9" t="s">
        <v>66</v>
      </c>
      <c r="F9" t="s">
        <v>41</v>
      </c>
      <c r="G9" s="2">
        <v>755</v>
      </c>
      <c r="H9" s="2">
        <v>25</v>
      </c>
      <c r="I9" s="2">
        <f>G9-H9</f>
        <v>730</v>
      </c>
      <c r="J9" t="s">
        <v>47</v>
      </c>
      <c r="K9" t="s">
        <v>18</v>
      </c>
      <c r="L9" t="s">
        <v>48</v>
      </c>
      <c r="Q9">
        <v>1</v>
      </c>
    </row>
    <row r="10" spans="1:17" x14ac:dyDescent="0.25">
      <c r="A10" t="s">
        <v>40</v>
      </c>
      <c r="B10" t="s">
        <v>38</v>
      </c>
      <c r="C10" t="s">
        <v>101</v>
      </c>
      <c r="E10" t="s">
        <v>102</v>
      </c>
      <c r="F10" t="s">
        <v>15</v>
      </c>
      <c r="G10" s="2">
        <v>1860</v>
      </c>
      <c r="H10" s="2">
        <v>30</v>
      </c>
      <c r="I10" s="2">
        <f>G10-H10</f>
        <v>1830</v>
      </c>
      <c r="J10" t="s">
        <v>47</v>
      </c>
      <c r="K10" t="s">
        <v>18</v>
      </c>
      <c r="L10" t="s">
        <v>48</v>
      </c>
      <c r="M10" t="s">
        <v>104</v>
      </c>
      <c r="Q10">
        <v>1</v>
      </c>
    </row>
    <row r="11" spans="1:17" x14ac:dyDescent="0.25">
      <c r="B11" t="s">
        <v>38</v>
      </c>
      <c r="C11" t="s">
        <v>67</v>
      </c>
      <c r="D11" t="s">
        <v>68</v>
      </c>
      <c r="E11" t="s">
        <v>69</v>
      </c>
      <c r="F11" s="2">
        <v>2</v>
      </c>
      <c r="G11" s="2">
        <v>870</v>
      </c>
      <c r="H11" s="2">
        <v>30</v>
      </c>
      <c r="I11" s="2">
        <f>G11-H11</f>
        <v>840</v>
      </c>
      <c r="J11" t="s">
        <v>18</v>
      </c>
      <c r="K11" t="s">
        <v>18</v>
      </c>
      <c r="L11" t="s">
        <v>48</v>
      </c>
      <c r="Q11">
        <v>1</v>
      </c>
    </row>
    <row r="12" spans="1:17" x14ac:dyDescent="0.25">
      <c r="B12" t="s">
        <v>38</v>
      </c>
      <c r="C12" t="s">
        <v>70</v>
      </c>
      <c r="D12" t="s">
        <v>71</v>
      </c>
      <c r="E12" t="s">
        <v>72</v>
      </c>
      <c r="F12" t="s">
        <v>17</v>
      </c>
      <c r="G12" s="2">
        <v>1630</v>
      </c>
      <c r="H12" s="2">
        <v>20</v>
      </c>
      <c r="I12" s="2">
        <f>G12-H12</f>
        <v>1610</v>
      </c>
      <c r="J12" t="s">
        <v>18</v>
      </c>
      <c r="K12" t="s">
        <v>18</v>
      </c>
      <c r="L12" t="s">
        <v>48</v>
      </c>
      <c r="Q12">
        <v>1</v>
      </c>
    </row>
    <row r="13" spans="1:17" x14ac:dyDescent="0.25">
      <c r="B13" t="s">
        <v>38</v>
      </c>
      <c r="C13" t="s">
        <v>73</v>
      </c>
      <c r="D13" t="s">
        <v>74</v>
      </c>
      <c r="E13" t="s">
        <v>75</v>
      </c>
      <c r="F13" t="s">
        <v>17</v>
      </c>
      <c r="G13" s="2">
        <v>0</v>
      </c>
      <c r="H13" s="2">
        <v>20</v>
      </c>
      <c r="I13" s="2">
        <f>-H13</f>
        <v>-20</v>
      </c>
      <c r="J13" t="s">
        <v>18</v>
      </c>
      <c r="K13" t="s">
        <v>18</v>
      </c>
      <c r="L13" t="s">
        <v>48</v>
      </c>
      <c r="Q13">
        <v>1</v>
      </c>
    </row>
    <row r="14" spans="1:17" x14ac:dyDescent="0.25">
      <c r="B14" t="s">
        <v>38</v>
      </c>
      <c r="C14" t="s">
        <v>76</v>
      </c>
      <c r="D14" t="s">
        <v>77</v>
      </c>
      <c r="E14" t="s">
        <v>78</v>
      </c>
      <c r="F14" t="s">
        <v>17</v>
      </c>
      <c r="G14" s="2">
        <v>810</v>
      </c>
      <c r="H14" s="2">
        <v>20</v>
      </c>
      <c r="I14" s="2">
        <f>G14-H14</f>
        <v>790</v>
      </c>
      <c r="J14" t="s">
        <v>18</v>
      </c>
      <c r="K14" t="s">
        <v>18</v>
      </c>
      <c r="L14" t="s">
        <v>48</v>
      </c>
      <c r="Q14">
        <v>1</v>
      </c>
    </row>
    <row r="15" spans="1:17" x14ac:dyDescent="0.25">
      <c r="A15" t="s">
        <v>40</v>
      </c>
      <c r="B15" t="s">
        <v>38</v>
      </c>
      <c r="C15" t="s">
        <v>79</v>
      </c>
      <c r="E15" t="s">
        <v>80</v>
      </c>
      <c r="F15" t="s">
        <v>17</v>
      </c>
      <c r="G15" s="2">
        <v>30</v>
      </c>
      <c r="H15" s="2">
        <v>30</v>
      </c>
      <c r="I15" s="2">
        <f>G15-H15</f>
        <v>0</v>
      </c>
      <c r="J15" t="s">
        <v>18</v>
      </c>
      <c r="K15" t="s">
        <v>18</v>
      </c>
      <c r="L15" t="s">
        <v>48</v>
      </c>
      <c r="Q15">
        <v>1</v>
      </c>
    </row>
    <row r="16" spans="1:17" x14ac:dyDescent="0.25">
      <c r="A16" t="s">
        <v>40</v>
      </c>
      <c r="B16" t="s">
        <v>38</v>
      </c>
      <c r="C16" t="s">
        <v>81</v>
      </c>
      <c r="E16" t="s">
        <v>82</v>
      </c>
      <c r="F16" t="s">
        <v>16</v>
      </c>
      <c r="G16" s="2">
        <v>30</v>
      </c>
      <c r="H16" s="2">
        <v>30</v>
      </c>
      <c r="I16" s="2">
        <f>G16-H16</f>
        <v>0</v>
      </c>
      <c r="J16" t="s">
        <v>18</v>
      </c>
      <c r="K16" t="s">
        <v>18</v>
      </c>
      <c r="L16" t="s">
        <v>48</v>
      </c>
      <c r="Q16">
        <v>1</v>
      </c>
    </row>
    <row r="17" spans="1:17" x14ac:dyDescent="0.25">
      <c r="A17" t="s">
        <v>40</v>
      </c>
      <c r="B17" t="s">
        <v>38</v>
      </c>
      <c r="C17" t="s">
        <v>83</v>
      </c>
      <c r="E17" t="s">
        <v>84</v>
      </c>
      <c r="F17" t="s">
        <v>16</v>
      </c>
      <c r="G17" s="2">
        <v>0</v>
      </c>
      <c r="H17" s="2">
        <v>30</v>
      </c>
      <c r="I17" s="2">
        <f>-H17</f>
        <v>-30</v>
      </c>
      <c r="J17" t="s">
        <v>18</v>
      </c>
      <c r="K17" t="s">
        <v>18</v>
      </c>
      <c r="L17" t="s">
        <v>48</v>
      </c>
      <c r="Q17">
        <v>1</v>
      </c>
    </row>
    <row r="18" spans="1:17" x14ac:dyDescent="0.25">
      <c r="B18" t="s">
        <v>38</v>
      </c>
      <c r="C18" t="s">
        <v>85</v>
      </c>
      <c r="D18" t="s">
        <v>86</v>
      </c>
      <c r="E18" t="s">
        <v>87</v>
      </c>
      <c r="F18" s="2">
        <v>10</v>
      </c>
      <c r="G18" s="2">
        <v>1455</v>
      </c>
      <c r="H18" s="2">
        <v>25</v>
      </c>
      <c r="I18" s="2">
        <f>G18-H18</f>
        <v>1430</v>
      </c>
      <c r="J18" t="s">
        <v>39</v>
      </c>
      <c r="K18" t="s">
        <v>18</v>
      </c>
      <c r="L18" t="s">
        <v>48</v>
      </c>
      <c r="Q18">
        <v>1</v>
      </c>
    </row>
    <row r="19" spans="1:17" x14ac:dyDescent="0.25">
      <c r="B19" t="s">
        <v>38</v>
      </c>
      <c r="C19" t="s">
        <v>88</v>
      </c>
      <c r="D19" t="s">
        <v>89</v>
      </c>
      <c r="E19" t="s">
        <v>90</v>
      </c>
      <c r="F19" t="s">
        <v>91</v>
      </c>
      <c r="G19" s="2">
        <v>660</v>
      </c>
      <c r="H19" s="2">
        <v>20</v>
      </c>
      <c r="I19" s="2">
        <f>G19-H19</f>
        <v>640</v>
      </c>
      <c r="J19" t="s">
        <v>39</v>
      </c>
      <c r="K19" t="s">
        <v>18</v>
      </c>
      <c r="L19" t="s">
        <v>48</v>
      </c>
      <c r="Q19">
        <v>1</v>
      </c>
    </row>
    <row r="20" spans="1:17" x14ac:dyDescent="0.25">
      <c r="B20" t="s">
        <v>38</v>
      </c>
      <c r="C20" t="s">
        <v>92</v>
      </c>
      <c r="D20" t="s">
        <v>93</v>
      </c>
      <c r="E20" t="s">
        <v>94</v>
      </c>
      <c r="F20" t="s">
        <v>91</v>
      </c>
      <c r="G20" s="2">
        <v>600</v>
      </c>
      <c r="H20" s="2">
        <v>20</v>
      </c>
      <c r="I20" s="2">
        <f>G20-H20</f>
        <v>580</v>
      </c>
      <c r="J20" t="s">
        <v>39</v>
      </c>
      <c r="K20" t="s">
        <v>18</v>
      </c>
      <c r="L20" t="s">
        <v>48</v>
      </c>
      <c r="Q20">
        <v>1</v>
      </c>
    </row>
    <row r="21" spans="1:17" x14ac:dyDescent="0.25">
      <c r="B21" t="s">
        <v>38</v>
      </c>
      <c r="C21" t="s">
        <v>95</v>
      </c>
      <c r="D21" t="s">
        <v>96</v>
      </c>
      <c r="E21" t="s">
        <v>97</v>
      </c>
      <c r="F21" t="s">
        <v>15</v>
      </c>
      <c r="G21" s="2">
        <v>875</v>
      </c>
      <c r="H21" s="2">
        <v>25</v>
      </c>
      <c r="I21" s="2">
        <f>G21-H21</f>
        <v>850</v>
      </c>
      <c r="J21" t="s">
        <v>39</v>
      </c>
      <c r="K21" t="s">
        <v>18</v>
      </c>
      <c r="L21" t="s">
        <v>48</v>
      </c>
      <c r="Q21">
        <v>1</v>
      </c>
    </row>
    <row r="22" spans="1:17" s="17" customFormat="1" x14ac:dyDescent="0.25">
      <c r="B22" s="17" t="s">
        <v>38</v>
      </c>
      <c r="C22" s="17" t="s">
        <v>105</v>
      </c>
      <c r="D22" s="17" t="s">
        <v>106</v>
      </c>
      <c r="E22" s="17" t="s">
        <v>107</v>
      </c>
      <c r="F22" s="17" t="s">
        <v>108</v>
      </c>
      <c r="G22" s="18">
        <v>750</v>
      </c>
      <c r="H22" s="18">
        <v>30</v>
      </c>
      <c r="I22" s="18">
        <v>720</v>
      </c>
      <c r="J22" s="17" t="s">
        <v>110</v>
      </c>
      <c r="K22" s="17" t="s">
        <v>18</v>
      </c>
      <c r="L22" s="17" t="s">
        <v>109</v>
      </c>
      <c r="N22" s="17" t="s">
        <v>111</v>
      </c>
      <c r="O22" s="17" t="s">
        <v>111</v>
      </c>
      <c r="P22" s="17" t="s">
        <v>112</v>
      </c>
      <c r="Q22" s="17">
        <v>1</v>
      </c>
    </row>
    <row r="23" spans="1:17" x14ac:dyDescent="0.25">
      <c r="D23" s="3">
        <f>COUNTA(D3:D20)</f>
        <v>14</v>
      </c>
      <c r="G23" s="15">
        <f>SUBTOTAL(9,G3:G22)</f>
        <v>12745</v>
      </c>
      <c r="H23" s="15">
        <f>SUBTOTAL(9,H3:H22)</f>
        <v>505</v>
      </c>
      <c r="I23" s="15">
        <f>SUBTOTAL(9,I3:I22)</f>
        <v>12240</v>
      </c>
      <c r="J23" s="3">
        <f>SUBTOTAL(9,J3:J20)</f>
        <v>0</v>
      </c>
      <c r="K23" s="3">
        <f>SUBTOTAL(9,K3:K20)</f>
        <v>0</v>
      </c>
      <c r="L23" s="3">
        <f>SUBTOTAL(9,L3:L20)</f>
        <v>0</v>
      </c>
      <c r="M23" s="3">
        <f>SUBTOTAL(9,M3:M20)</f>
        <v>0</v>
      </c>
      <c r="N23" s="3">
        <f>SUBTOTAL(9,N3:N20)</f>
        <v>0</v>
      </c>
      <c r="O23" s="3">
        <f>SUBTOTAL(9,O3:O20)</f>
        <v>0</v>
      </c>
      <c r="P23" s="3">
        <f>SUBTOTAL(9,P3:P20)</f>
        <v>0</v>
      </c>
      <c r="Q23" s="15">
        <f>SUBTOTAL(9,Q3:Q22)</f>
        <v>20</v>
      </c>
    </row>
    <row r="24" spans="1:17" x14ac:dyDescent="0.25">
      <c r="H24">
        <f>-3*17</f>
        <v>-51</v>
      </c>
      <c r="I24">
        <v>-750</v>
      </c>
      <c r="J24" t="s">
        <v>32</v>
      </c>
    </row>
    <row r="25" spans="1:17" x14ac:dyDescent="0.25">
      <c r="H25">
        <f>-4*25</f>
        <v>-100</v>
      </c>
    </row>
    <row r="27" spans="1:17" x14ac:dyDescent="0.25">
      <c r="A27" s="3" t="s">
        <v>38</v>
      </c>
      <c r="C27" s="10" t="s">
        <v>19</v>
      </c>
      <c r="D27" s="10"/>
      <c r="E27" s="4" t="s">
        <v>20</v>
      </c>
      <c r="K27" s="5" t="s">
        <v>47</v>
      </c>
      <c r="L27" s="5" t="s">
        <v>21</v>
      </c>
      <c r="M27" s="5" t="s">
        <v>20</v>
      </c>
      <c r="O27" s="4" t="s">
        <v>22</v>
      </c>
    </row>
    <row r="28" spans="1:17" x14ac:dyDescent="0.25">
      <c r="A28" t="s">
        <v>48</v>
      </c>
      <c r="B28" s="6" t="s">
        <v>23</v>
      </c>
      <c r="C28" s="16">
        <f>SUMIFS(I$3:I$22,B$3:B$22,A$27,L$3:L$22,A$28)+I24</f>
        <v>10770</v>
      </c>
      <c r="D28" s="11"/>
      <c r="E28" s="6">
        <f>SUMIFS(Q$3:Q$22,B$3:B$22,A$27,L$3:L$22,A$28)</f>
        <v>19</v>
      </c>
      <c r="F28" t="s">
        <v>24</v>
      </c>
      <c r="K28" t="s">
        <v>25</v>
      </c>
      <c r="L28">
        <f>SUMIFS(G$3:G$22,J$3:J$22,K$27)</f>
        <v>5035</v>
      </c>
      <c r="M28">
        <f>SUMIFS(Q$3:Q$22,J$3:J$22,K$27)</f>
        <v>8</v>
      </c>
      <c r="O28" t="s">
        <v>98</v>
      </c>
      <c r="P28">
        <f>L33</f>
        <v>4134</v>
      </c>
    </row>
    <row r="29" spans="1:17" x14ac:dyDescent="0.25">
      <c r="B29" s="7" t="s">
        <v>42</v>
      </c>
      <c r="C29" s="12">
        <v>0</v>
      </c>
      <c r="D29" s="12"/>
      <c r="K29" t="s">
        <v>26</v>
      </c>
      <c r="L29">
        <f>SUM(H24:H25)</f>
        <v>-151</v>
      </c>
      <c r="M29">
        <f>SUMIFS(Q$3:Q$22,J$3:J$22,K$27)</f>
        <v>8</v>
      </c>
      <c r="O29" t="s">
        <v>39</v>
      </c>
      <c r="P29">
        <f>L41</f>
        <v>3500</v>
      </c>
    </row>
    <row r="30" spans="1:17" x14ac:dyDescent="0.25">
      <c r="B30" s="7" t="s">
        <v>27</v>
      </c>
      <c r="C30" s="19">
        <f>-SUMIFS(I$3:I$22,B$3:B$22,A$27,P$3:P$22,"xx",N$3:N$22,"x")</f>
        <v>-720</v>
      </c>
      <c r="D30" s="12"/>
      <c r="E30" s="17">
        <f>SUMIFS(Q$3:Q$22,B$3:B$22,A$27,P$3:P$22,"xx",N$3:N$22,"x")</f>
        <v>1</v>
      </c>
      <c r="K30" t="s">
        <v>28</v>
      </c>
      <c r="O30" t="s">
        <v>18</v>
      </c>
      <c r="P30">
        <f>L49</f>
        <v>3152</v>
      </c>
    </row>
    <row r="31" spans="1:17" x14ac:dyDescent="0.25">
      <c r="B31" s="4" t="s">
        <v>29</v>
      </c>
      <c r="C31" s="10">
        <f>SUBTOTAL(9,C28:C30)</f>
        <v>10050</v>
      </c>
      <c r="D31" s="10"/>
      <c r="E31">
        <f>E28</f>
        <v>19</v>
      </c>
      <c r="K31" s="7" t="s">
        <v>30</v>
      </c>
      <c r="O31" t="s">
        <v>33</v>
      </c>
      <c r="P31">
        <f>-C35</f>
        <v>-10050</v>
      </c>
    </row>
    <row r="32" spans="1:17" x14ac:dyDescent="0.25">
      <c r="B32" s="7" t="s">
        <v>31</v>
      </c>
      <c r="C32" s="13"/>
      <c r="D32" s="13"/>
      <c r="K32" s="7" t="s">
        <v>32</v>
      </c>
      <c r="L32">
        <v>-750</v>
      </c>
      <c r="O32" s="4" t="s">
        <v>35</v>
      </c>
      <c r="P32" s="4">
        <f>SUBTOTAL(9,P28:P31)</f>
        <v>736</v>
      </c>
    </row>
    <row r="33" spans="2:13" x14ac:dyDescent="0.25">
      <c r="B33" s="8" t="s">
        <v>34</v>
      </c>
      <c r="C33" s="13"/>
      <c r="D33" s="13"/>
      <c r="L33" s="9">
        <f>SUBTOTAL(9,L28:L32)</f>
        <v>4134</v>
      </c>
      <c r="M33" s="9">
        <f>M28</f>
        <v>8</v>
      </c>
    </row>
    <row r="35" spans="2:13" x14ac:dyDescent="0.25">
      <c r="B35" s="3" t="s">
        <v>36</v>
      </c>
      <c r="C35" s="14">
        <f>C31+C32+C33</f>
        <v>10050</v>
      </c>
      <c r="D35" s="14"/>
      <c r="E35" s="3" t="s">
        <v>43</v>
      </c>
      <c r="K35" s="5" t="s">
        <v>39</v>
      </c>
      <c r="L35" s="5" t="s">
        <v>21</v>
      </c>
      <c r="M35" s="5" t="s">
        <v>20</v>
      </c>
    </row>
    <row r="36" spans="2:13" x14ac:dyDescent="0.25">
      <c r="K36" t="s">
        <v>25</v>
      </c>
      <c r="L36">
        <f>SUMIFS(G$3:G$22,J$3:J$22,K$35)</f>
        <v>3590</v>
      </c>
      <c r="M36">
        <f>SUMIFS(Q$3:Q$22,J$3:J$22,K$35)</f>
        <v>4</v>
      </c>
    </row>
    <row r="37" spans="2:13" x14ac:dyDescent="0.25">
      <c r="K37" t="s">
        <v>26</v>
      </c>
      <c r="L37">
        <f>-SUMIFS(H$3:H$22,J$3:J$22,K$35)</f>
        <v>-90</v>
      </c>
      <c r="M37">
        <f>SUMIFS(Q$3:Q$22,J$3:J$22,K$35)-COUNT(J$3:J$20,K$35,M$3:M$22)</f>
        <v>4</v>
      </c>
    </row>
    <row r="38" spans="2:13" x14ac:dyDescent="0.25">
      <c r="K38" t="s">
        <v>28</v>
      </c>
    </row>
    <row r="39" spans="2:13" x14ac:dyDescent="0.25">
      <c r="K39" s="7" t="s">
        <v>30</v>
      </c>
    </row>
    <row r="40" spans="2:13" x14ac:dyDescent="0.25">
      <c r="K40" s="7" t="s">
        <v>32</v>
      </c>
    </row>
    <row r="41" spans="2:13" x14ac:dyDescent="0.25">
      <c r="L41" s="9">
        <f>SUBTOTAL(9,L36:L40)</f>
        <v>3500</v>
      </c>
      <c r="M41" s="9">
        <f>M36</f>
        <v>4</v>
      </c>
    </row>
    <row r="43" spans="2:13" x14ac:dyDescent="0.25">
      <c r="K43" s="5" t="s">
        <v>18</v>
      </c>
      <c r="L43" s="5" t="s">
        <v>21</v>
      </c>
      <c r="M43" s="5" t="s">
        <v>20</v>
      </c>
    </row>
    <row r="44" spans="2:13" x14ac:dyDescent="0.25">
      <c r="K44" t="s">
        <v>25</v>
      </c>
      <c r="L44">
        <f>SUMIFS(G$3:G$22,J$3:J$22,K$43)</f>
        <v>3370</v>
      </c>
      <c r="M44">
        <f>SUMIFS(Q$3:Q$22,J$3:J$22,K$43)</f>
        <v>7</v>
      </c>
    </row>
    <row r="45" spans="2:13" x14ac:dyDescent="0.25">
      <c r="K45" t="s">
        <v>26</v>
      </c>
      <c r="L45">
        <f>-SUMIFS(H$3:H$22,J$3:J$22,K$43)</f>
        <v>-180</v>
      </c>
      <c r="M45">
        <f>SUMIFS(Q$3:Q$22,J$3:J$22,K$43)-COUNT(J$3:J$20,K$43,M$3:M$22)</f>
        <v>7</v>
      </c>
    </row>
    <row r="46" spans="2:13" x14ac:dyDescent="0.25">
      <c r="K46" t="s">
        <v>28</v>
      </c>
      <c r="L46">
        <f>-M46*2</f>
        <v>-38</v>
      </c>
      <c r="M46">
        <f>Q23-(COUNTIFS(J$3:J$20,K$27,M$3:M$20,"*gộp*")/2)</f>
        <v>19</v>
      </c>
    </row>
    <row r="47" spans="2:13" x14ac:dyDescent="0.25">
      <c r="K47" s="7" t="s">
        <v>30</v>
      </c>
    </row>
    <row r="48" spans="2:13" x14ac:dyDescent="0.25">
      <c r="K48" s="7" t="s">
        <v>32</v>
      </c>
    </row>
    <row r="49" spans="12:13" x14ac:dyDescent="0.25">
      <c r="L49" s="9">
        <f>SUBTOTAL(9,L44:L48)</f>
        <v>3152</v>
      </c>
      <c r="M49" s="9">
        <f>M44</f>
        <v>7</v>
      </c>
    </row>
  </sheetData>
  <mergeCells count="8">
    <mergeCell ref="C32:D32"/>
    <mergeCell ref="C33:D33"/>
    <mergeCell ref="C35:D35"/>
    <mergeCell ref="C27:D27"/>
    <mergeCell ref="C28:D28"/>
    <mergeCell ref="C29:D29"/>
    <mergeCell ref="C30:D30"/>
    <mergeCell ref="C31:D31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BTT-GN</dc:creator>
  <cp:lastModifiedBy>Sei Pham</cp:lastModifiedBy>
  <dcterms:created xsi:type="dcterms:W3CDTF">2026-03-16T06:26:08Z</dcterms:created>
  <dcterms:modified xsi:type="dcterms:W3CDTF">2026-03-18T15:56:26Z</dcterms:modified>
</cp:coreProperties>
</file>