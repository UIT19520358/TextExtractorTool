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23-03-2026\"/>
    </mc:Choice>
  </mc:AlternateContent>
  <xr:revisionPtr revIDLastSave="0" documentId="13_ncr:1_{F325565A-E816-497C-BFD2-DC4447E59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3-03" sheetId="2" r:id="rId1"/>
  </sheets>
  <definedNames>
    <definedName name="_xlnm._FilterDatabase" localSheetId="0" hidden="1">'23-03'!$A$2:$P$77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0" i="2" l="1"/>
  <c r="I79" i="2"/>
  <c r="M100" i="2"/>
  <c r="L100" i="2" s="1"/>
  <c r="E82" i="2"/>
  <c r="E85" i="2" s="1"/>
  <c r="H80" i="2"/>
  <c r="H82" i="2"/>
  <c r="E84" i="2"/>
  <c r="C84" i="2"/>
  <c r="L91" i="2"/>
  <c r="I31" i="2"/>
  <c r="I53" i="2"/>
  <c r="I54" i="2"/>
  <c r="I55" i="2"/>
  <c r="I5" i="2"/>
  <c r="I56" i="2"/>
  <c r="I6" i="2"/>
  <c r="I33" i="2"/>
  <c r="I57" i="2"/>
  <c r="I58" i="2"/>
  <c r="I7" i="2"/>
  <c r="I34" i="2"/>
  <c r="I35" i="2"/>
  <c r="I3" i="2"/>
  <c r="I59" i="2"/>
  <c r="I60" i="2"/>
  <c r="I8" i="2"/>
  <c r="I36" i="2"/>
  <c r="I9" i="2"/>
  <c r="I10" i="2"/>
  <c r="I11" i="2"/>
  <c r="I37" i="2"/>
  <c r="I12" i="2"/>
  <c r="I13" i="2"/>
  <c r="I38" i="2"/>
  <c r="I14" i="2"/>
  <c r="I61" i="2"/>
  <c r="I39" i="2"/>
  <c r="I15" i="2"/>
  <c r="I4" i="2"/>
  <c r="I16" i="2"/>
  <c r="I40" i="2"/>
  <c r="I62" i="2"/>
  <c r="I41" i="2"/>
  <c r="I17" i="2"/>
  <c r="I76" i="2"/>
  <c r="I63" i="2"/>
  <c r="I18" i="2"/>
  <c r="I42" i="2"/>
  <c r="I19" i="2"/>
  <c r="I20" i="2"/>
  <c r="I21" i="2"/>
  <c r="I22" i="2"/>
  <c r="I43" i="2"/>
  <c r="I64" i="2"/>
  <c r="I65" i="2"/>
  <c r="I66" i="2"/>
  <c r="I67" i="2"/>
  <c r="I68" i="2"/>
  <c r="I44" i="2"/>
  <c r="I23" i="2"/>
  <c r="I24" i="2"/>
  <c r="I69" i="2"/>
  <c r="I70" i="2"/>
  <c r="I25" i="2"/>
  <c r="I45" i="2"/>
  <c r="I46" i="2"/>
  <c r="I26" i="2"/>
  <c r="I71" i="2"/>
  <c r="I72" i="2"/>
  <c r="I73" i="2"/>
  <c r="I47" i="2"/>
  <c r="I27" i="2"/>
  <c r="I28" i="2"/>
  <c r="I48" i="2"/>
  <c r="I29" i="2"/>
  <c r="I49" i="2"/>
  <c r="I50" i="2"/>
  <c r="I74" i="2"/>
  <c r="I51" i="2"/>
  <c r="I30" i="2"/>
  <c r="I52" i="2"/>
  <c r="I32" i="2"/>
  <c r="I77" i="2"/>
  <c r="I75" i="2"/>
  <c r="D79" i="2"/>
  <c r="G79" i="2"/>
  <c r="H79" i="2"/>
  <c r="J79" i="2"/>
  <c r="K79" i="2"/>
  <c r="L79" i="2"/>
  <c r="M79" i="2"/>
  <c r="N79" i="2"/>
  <c r="O79" i="2"/>
  <c r="P79" i="2"/>
  <c r="Q79" i="2"/>
  <c r="H81" i="2"/>
  <c r="L82" i="2"/>
  <c r="M82" i="2"/>
  <c r="M87" i="2" s="1"/>
  <c r="M83" i="2"/>
  <c r="L83" i="2" s="1"/>
  <c r="M90" i="2"/>
  <c r="M95" i="2" s="1"/>
  <c r="M91" i="2"/>
  <c r="L98" i="2"/>
  <c r="M98" i="2"/>
  <c r="M103" i="2" s="1"/>
  <c r="M99" i="2"/>
  <c r="L99" i="2" s="1"/>
  <c r="L106" i="2"/>
  <c r="M106" i="2"/>
  <c r="M111" i="2" s="1"/>
  <c r="M107" i="2"/>
  <c r="L107" i="2" s="1"/>
  <c r="C82" i="2" l="1"/>
  <c r="C85" i="2" s="1"/>
  <c r="C89" i="2" s="1"/>
  <c r="P86" i="2" s="1"/>
  <c r="L95" i="2"/>
  <c r="P83" i="2" s="1"/>
  <c r="L103" i="2"/>
  <c r="P84" i="2" s="1"/>
  <c r="L111" i="2"/>
  <c r="P85" i="2" s="1"/>
  <c r="L87" i="2"/>
  <c r="P82" i="2" s="1"/>
  <c r="P87" i="2" l="1"/>
</calcChain>
</file>

<file path=xl/sharedStrings.xml><?xml version="1.0" encoding="utf-8"?>
<sst xmlns="http://schemas.openxmlformats.org/spreadsheetml/2006/main" count="645" uniqueCount="275">
  <si>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</si>
  <si>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</si>
  <si>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</si>
  <si>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</si>
  <si>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</si>
  <si>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</si>
  <si>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</si>
  <si>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</si>
  <si>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</si>
  <si>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</si>
  <si>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</si>
  <si>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</si>
  <si>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</si>
  <si>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</si>
  <si>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</si>
  <si>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</si>
  <si>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</si>
  <si>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</si>
  <si>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Chau Bui</t>
  </si>
  <si>
    <t>HD004121</t>
  </si>
  <si>
    <t>20-22 phạm ngọc thạch</t>
  </si>
  <si>
    <t>c.hieu</t>
  </si>
  <si>
    <t>c.cuong</t>
  </si>
  <si>
    <t>23-03-2026</t>
  </si>
  <si>
    <t>Như Quỳnh</t>
  </si>
  <si>
    <t>HD003920</t>
  </si>
  <si>
    <t>55 nguyễn cư trinh</t>
  </si>
  <si>
    <t>Kim Diệu</t>
  </si>
  <si>
    <t>HD004101</t>
  </si>
  <si>
    <t>24 yên thế, tân sơn hòa</t>
  </si>
  <si>
    <t>tan binh</t>
  </si>
  <si>
    <t>Thảo Nguyên</t>
  </si>
  <si>
    <t>HD004240</t>
  </si>
  <si>
    <t>chung cư Garden Court 2, đ.Tôn Dật Tiên</t>
  </si>
  <si>
    <t>AT 23-03</t>
  </si>
  <si>
    <t>Ái Ph</t>
  </si>
  <si>
    <t>HD003994</t>
  </si>
  <si>
    <t>chợ phạm văn hai p3</t>
  </si>
  <si>
    <t>Thụy An Dao</t>
  </si>
  <si>
    <t>HD003860</t>
  </si>
  <si>
    <t>Sảnh B2 chung cư Emerald phường sơn kỳ</t>
  </si>
  <si>
    <t>tan phu</t>
  </si>
  <si>
    <t>My Yến</t>
  </si>
  <si>
    <t>HD004141</t>
  </si>
  <si>
    <t>334/33/1C Chu văn an, phường 12</t>
  </si>
  <si>
    <t>binh thanh</t>
  </si>
  <si>
    <t>NGUYỄN DUY BÀO - fb Nguyễn Hoàng Yến</t>
  </si>
  <si>
    <t>HD003449</t>
  </si>
  <si>
    <t>129/23D, Nguyễn Trãi, phường Chợ Quán</t>
  </si>
  <si>
    <t>Ngọc Tuyền</t>
  </si>
  <si>
    <t>HD004129</t>
  </si>
  <si>
    <t>Saigon Royal OT2</t>
  </si>
  <si>
    <t>Dung Nguyen</t>
  </si>
  <si>
    <t>HD003942</t>
  </si>
  <si>
    <t>1123 quốc lộ 1a, tân tạo, chung cư an gia the star</t>
  </si>
  <si>
    <t>binh tan</t>
  </si>
  <si>
    <t>Nhận hộ fb Nguyễn Hà</t>
  </si>
  <si>
    <t>HD004016</t>
  </si>
  <si>
    <t>433/11/2 Lê Đức Thọ, Phường 17</t>
  </si>
  <si>
    <t>go vap</t>
  </si>
  <si>
    <t>A Cường - Hoàng My</t>
  </si>
  <si>
    <t>HD004072</t>
  </si>
  <si>
    <t>635/78/20 xô viết nghệ tĩnh, phường 26</t>
  </si>
  <si>
    <t>Ruby Thao Tran</t>
  </si>
  <si>
    <t>HD004126</t>
  </si>
  <si>
    <t>86/2 đình phong Phu Tang Nhơn Phú</t>
  </si>
  <si>
    <t>a.quyen</t>
  </si>
  <si>
    <t>Trâm Nguyễn</t>
  </si>
  <si>
    <t>HD003937</t>
  </si>
  <si>
    <t>462/ A 17 Đường 3/2 P12</t>
  </si>
  <si>
    <t>vi</t>
  </si>
  <si>
    <t>HD004117</t>
  </si>
  <si>
    <t>261b hai bà trưng phường võ thị sáu</t>
  </si>
  <si>
    <t>Diễm Phúc</t>
  </si>
  <si>
    <t>HD003938</t>
  </si>
  <si>
    <t>314/138 đường âu dương lân, p3</t>
  </si>
  <si>
    <t>Nguyễn Ánh Dương</t>
  </si>
  <si>
    <t>HD003876</t>
  </si>
  <si>
    <t>382/3/22 nguyễn thái sơn khu phố 1 phường An Nhơn</t>
  </si>
  <si>
    <t>Shin (inst shingg988)</t>
  </si>
  <si>
    <t>HD003943</t>
  </si>
  <si>
    <t>The park residence nguyễn hữu thọ phước kiến</t>
  </si>
  <si>
    <t>nha be</t>
  </si>
  <si>
    <t>Thư Võ</t>
  </si>
  <si>
    <t>HD003996</t>
  </si>
  <si>
    <t>510 kinh dương vương, an lạc</t>
  </si>
  <si>
    <t>Tiên - Quyên</t>
  </si>
  <si>
    <t>HD003907</t>
  </si>
  <si>
    <t>Chung cư b1, Bông Sao, phường Bình Đông</t>
  </si>
  <si>
    <t>Mon Huỳnh</t>
  </si>
  <si>
    <t>HD004205</t>
  </si>
  <si>
    <t>93 đường số 1 PHƯỜNG 4</t>
  </si>
  <si>
    <t>Tram Ho</t>
  </si>
  <si>
    <t>HD004103</t>
  </si>
  <si>
    <t>50/63/21 TX25, phường thới an</t>
  </si>
  <si>
    <t>Suby Phạm</t>
  </si>
  <si>
    <t>HD003905</t>
  </si>
  <si>
    <t>16 đường 36 Tân quy</t>
  </si>
  <si>
    <t>Mỹ Nga</t>
  </si>
  <si>
    <t>HD004094</t>
  </si>
  <si>
    <t>75/19/7 nguyen sy sach p tân sơn</t>
  </si>
  <si>
    <t>Tường Vy</t>
  </si>
  <si>
    <t>HD004049</t>
  </si>
  <si>
    <t>địa chỉ 13 mai am p9</t>
  </si>
  <si>
    <t>Ngọc Mai</t>
  </si>
  <si>
    <t>HD004035</t>
  </si>
  <si>
    <t>TPHCM: 5/5 Nguyễn Văn Vĩnh, Phường 4</t>
  </si>
  <si>
    <t>Mỹ</t>
  </si>
  <si>
    <t>HD004090</t>
  </si>
  <si>
    <t>Toà Landmark 6 - Vinhomes Central Park 208 Nguyễn Hữu Cảnh Phường 22</t>
  </si>
  <si>
    <t>Le Hai</t>
  </si>
  <si>
    <t>HD003826</t>
  </si>
  <si>
    <t>161B/50 lạc long quân, p3</t>
  </si>
  <si>
    <t>Mai Thị Thu Phương</t>
  </si>
  <si>
    <t>HD003912</t>
  </si>
  <si>
    <t>Đường Số 297 Hẻm 5 Số Nhà 35/31D, Phường Phước Long B</t>
  </si>
  <si>
    <t>Trần Khả Nhi</t>
  </si>
  <si>
    <t>HD003918</t>
  </si>
  <si>
    <t>288/30 duong bá trạc p2</t>
  </si>
  <si>
    <t>Mộng Cầm</t>
  </si>
  <si>
    <t>HD003869</t>
  </si>
  <si>
    <t>222 nguyễn văn đậu p bình lợi trung</t>
  </si>
  <si>
    <t>Võ Ngọc Trâm</t>
  </si>
  <si>
    <t>HD004100</t>
  </si>
  <si>
    <t>491 Điện Biên Phủ P3</t>
  </si>
  <si>
    <t>Giang Thạch Thảo</t>
  </si>
  <si>
    <t>HD003948</t>
  </si>
  <si>
    <t>24 đường 10 Thảo Điền</t>
  </si>
  <si>
    <t>LDVKH</t>
  </si>
  <si>
    <t>HD003946</t>
  </si>
  <si>
    <t>(LDVKH1211714)177C ( Đối diện 93C) Đường Số 1, Phường Hưng Hoà B , BÃI XE MINH CHÂU</t>
  </si>
  <si>
    <t>Mai Thuy Lin</t>
  </si>
  <si>
    <t>HD003835</t>
  </si>
  <si>
    <t>Số 10A đại lộ hữu nghị</t>
  </si>
  <si>
    <t>tinh</t>
  </si>
  <si>
    <t>luu tra</t>
  </si>
  <si>
    <t>hàng tỉnh</t>
  </si>
  <si>
    <t>x</t>
  </si>
  <si>
    <t>xx</t>
  </si>
  <si>
    <t>Trần Thục Oanh</t>
  </si>
  <si>
    <t>HD003882</t>
  </si>
  <si>
    <t>118 đường 3/2, p12</t>
  </si>
  <si>
    <t>chị ngọc</t>
  </si>
  <si>
    <t>HD003777</t>
  </si>
  <si>
    <t>C4/68 phạm hùng</t>
  </si>
  <si>
    <t>Dung Nguyễn</t>
  </si>
  <si>
    <t>HD003873</t>
  </si>
  <si>
    <t>18/42/9/36 Đường số 53, Phường 14</t>
  </si>
  <si>
    <t>hàng sỉ</t>
  </si>
  <si>
    <t>Thanh Hằng ( Vivi Kosalim )</t>
  </si>
  <si>
    <t>605 Âu Cơ, phường Phú Trung</t>
  </si>
  <si>
    <t>Ng Mai</t>
  </si>
  <si>
    <t>HD003738</t>
  </si>
  <si>
    <t>109 Nguyễn thi xinh phường thới an</t>
  </si>
  <si>
    <t>Thanh Canh Nguyễn</t>
  </si>
  <si>
    <t>HD003816</t>
  </si>
  <si>
    <t>91 đường 21 tan quy</t>
  </si>
  <si>
    <t>Huyền Trang</t>
  </si>
  <si>
    <t>HD004026</t>
  </si>
  <si>
    <t>72 Hoàng Trọng Mậu, Phường Tân Hưng ( KDC Himlam )</t>
  </si>
  <si>
    <t>Nguyễn Huỳnh Cẩm Tú</t>
  </si>
  <si>
    <t>HD004266</t>
  </si>
  <si>
    <t>Chung cư park 1, Vinhomes Central Park, Phường 22</t>
  </si>
  <si>
    <t>Nga Tran</t>
  </si>
  <si>
    <t>HD003608</t>
  </si>
  <si>
    <t>số 229A Đường bùi thị xuân phu re - tphcm. ( chỉ nhận hàng git hành chính thứ 2 đến thứ 7, Sáng 8h đến điều 5:30 )</t>
  </si>
  <si>
    <t>Phi Yến</t>
  </si>
  <si>
    <t>HD003812</t>
  </si>
  <si>
    <t>216 tran hung dao p nct</t>
  </si>
  <si>
    <t>Thúy Fb Huỳnh Thị Thuỷ An</t>
  </si>
  <si>
    <t>HD003831</t>
  </si>
  <si>
    <t>958/13/8 Lạc Long Quân P8</t>
  </si>
  <si>
    <t>HD003793</t>
  </si>
  <si>
    <t>61/14 an bình p6</t>
  </si>
  <si>
    <t>Miêu My</t>
  </si>
  <si>
    <t>HD003799</t>
  </si>
  <si>
    <t>360A Bến Vân Đồn Phường 1</t>
  </si>
  <si>
    <t>Ngọc Anh</t>
  </si>
  <si>
    <t>HD003762</t>
  </si>
  <si>
    <t>chung cư flora novia, block b phạm văn đồng, an bình</t>
  </si>
  <si>
    <t>thu duc</t>
  </si>
  <si>
    <t>MC Sanita Mao (MV01908)</t>
  </si>
  <si>
    <t>HD004125</t>
  </si>
  <si>
    <t>315/18/6 Nguyễn Thị Tú</t>
  </si>
  <si>
    <t>Nguyễn Phương Thảo</t>
  </si>
  <si>
    <t>HD004071</t>
  </si>
  <si>
    <t>Địa chỉ 97 Thành Công Tân Thành</t>
  </si>
  <si>
    <t>Lê Mai</t>
  </si>
  <si>
    <t>HD004241</t>
  </si>
  <si>
    <t>120/1 Lê Lai phường Bến Thành</t>
  </si>
  <si>
    <t>Thủy Huỳnh page dnc</t>
  </si>
  <si>
    <t>HD004065</t>
  </si>
  <si>
    <t>88/3D/5 Nguyễn khoái p2</t>
  </si>
  <si>
    <t>Heng Roza (EV38382)</t>
  </si>
  <si>
    <t>HD003772</t>
  </si>
  <si>
    <t>315/18/6 Nhuyễn Thị Tú, Phường Bình Hưng Hòa B</t>
  </si>
  <si>
    <t>Minh Thao Le</t>
  </si>
  <si>
    <t>HD004268</t>
  </si>
  <si>
    <t>35/5 nguyên văn lượng f.17</t>
  </si>
  <si>
    <t>Diệu Quyên</t>
  </si>
  <si>
    <t>HD004178</t>
  </si>
  <si>
    <t>242/20 phạm văn bạch p15</t>
  </si>
  <si>
    <t>Huỳnh Quế Trinh</t>
  </si>
  <si>
    <t>HD004044</t>
  </si>
  <si>
    <t>166 đường số 1, khu phố 25, phường Bình Hưng Hòa</t>
  </si>
  <si>
    <t>yến trinh</t>
  </si>
  <si>
    <t>HD004299</t>
  </si>
  <si>
    <t>21 ngô thời nhiệm xuân hòa</t>
  </si>
  <si>
    <t>shop chịu ship</t>
  </si>
  <si>
    <t>Kim Anh</t>
  </si>
  <si>
    <t>HD004282</t>
  </si>
  <si>
    <t>a 576/110E đoàn văn bơ</t>
  </si>
  <si>
    <t>Nguyễn Nhi</t>
  </si>
  <si>
    <t>HD003513</t>
  </si>
  <si>
    <t>số 18 giải phóng p4</t>
  </si>
  <si>
    <t>Nguyễn Trương Phương Oanh</t>
  </si>
  <si>
    <t>HD004063</t>
  </si>
  <si>
    <t>125/42/2 Bùi Đình Tuý, phường 14</t>
  </si>
  <si>
    <t>Nhung Nguyễn</t>
  </si>
  <si>
    <t>HD004167</t>
  </si>
  <si>
    <t>341/13s Lạc Long quận phường 5</t>
  </si>
  <si>
    <t>Selina Chau</t>
  </si>
  <si>
    <t>HD004280</t>
  </si>
  <si>
    <t>23 Ng Hữu Thọ toà nhà Sunrise City p. Tân Hưng</t>
  </si>
  <si>
    <t>Trúc Nguyễn</t>
  </si>
  <si>
    <t>HD004008</t>
  </si>
  <si>
    <t>33 Đường 6 Linh Chiểu</t>
  </si>
  <si>
    <t>Jess-9244</t>
  </si>
  <si>
    <t>275/14B1 Đặng Nguyên Cẩn, Phường Phú Lâm</t>
  </si>
  <si>
    <t>Phuong truong - Bình Trần</t>
  </si>
  <si>
    <t>41/8 Mai Lão Bạng, Phường 13</t>
  </si>
  <si>
    <t>Ly Clara Selena</t>
  </si>
  <si>
    <t>403 tân sơn p12</t>
  </si>
  <si>
    <t>SU ANH</t>
  </si>
  <si>
    <t>22/40 Yên Thế, P2</t>
  </si>
  <si>
    <t>jenny bouti</t>
  </si>
  <si>
    <t>401 quang trung f10</t>
  </si>
  <si>
    <t>MINH ZU</t>
  </si>
  <si>
    <t>631 nguyễn văn quá đông hưng thuận</t>
  </si>
  <si>
    <t>BOS BMB</t>
  </si>
  <si>
    <t>119 hoàng diệu 2 linh trung</t>
  </si>
  <si>
    <t>Mie</t>
  </si>
  <si>
    <t>Chung cư Sunshine, 23 Phú Thuận Tân Phú</t>
  </si>
  <si>
    <t>Tuyết Nhi ZL2</t>
  </si>
  <si>
    <t>170F Tân Hòa Đông f14</t>
  </si>
  <si>
    <t>duyen my</t>
  </si>
  <si>
    <t>HD136089</t>
  </si>
  <si>
    <t>268/18a le van viet</t>
  </si>
  <si>
    <t>07-03-2026</t>
  </si>
  <si>
    <t>đơn trả</t>
  </si>
  <si>
    <t>Thảo Ly Nguyễn</t>
  </si>
  <si>
    <t>HD002894</t>
  </si>
  <si>
    <t>35/4 đường Nguyễn thị búp phường hiệp thành</t>
  </si>
  <si>
    <t>19-03-2026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</si>
  <si>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</si>
  <si>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</si>
  <si>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</si>
  <si>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</si>
  <si>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</si>
  <si>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</si>
  <si>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</si>
  <si>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</si>
  <si>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</si>
  <si>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at 23-03</t>
  </si>
  <si>
    <t>Đơn trả &amp; c.khoản</t>
  </si>
  <si>
    <t>tiền lấy</t>
  </si>
  <si>
    <t>Tiền Hàng Hcm</t>
  </si>
  <si>
    <t>đền đơn</t>
  </si>
  <si>
    <t>đơn cũ ck</t>
  </si>
  <si>
    <t>nợ cũ</t>
  </si>
  <si>
    <t>shop</t>
  </si>
  <si>
    <t>tổng</t>
  </si>
  <si>
    <t>THANH TOÁN</t>
  </si>
  <si>
    <t>CK Đủ 100%</t>
  </si>
  <si>
    <t>binh chanh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</si>
</sst>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3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3" fontId="2" fillId="0" borderId="0" xfId="0" applyNumberFormat="1" applyFont="1"/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1"/>
  <sheetViews>
    <sheetView tabSelected="1" topLeftCell="C67" workbookViewId="0">
      <selection activeCell="G25" sqref="G25"/>
    </sheetView>
  </sheetViews>
  <sheetFormatPr defaultRowHeight="15" x14ac:dyDescent="0.25"/>
  <cols>
    <col min="1" max="1" width="12.7109375" customWidth="1"/>
    <col min="2" max="2" width="17.7109375" customWidth="1"/>
    <col min="3" max="3" width="38" customWidth="1"/>
    <col min="4" max="4" width="9.85546875" customWidth="1"/>
    <col min="5" max="5" width="103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</row>
    <row r="3" spans="1:17" x14ac:dyDescent="0.25">
      <c r="B3" t="s">
        <v>17</v>
      </c>
      <c r="C3" t="s">
        <v>63</v>
      </c>
      <c r="D3" t="s">
        <v>64</v>
      </c>
      <c r="E3" t="s">
        <v>65</v>
      </c>
      <c r="F3" s="6">
        <v>9</v>
      </c>
      <c r="G3" s="6">
        <v>850</v>
      </c>
      <c r="H3" s="6">
        <v>30</v>
      </c>
      <c r="I3" s="6">
        <f>G3-H3</f>
        <v>820</v>
      </c>
      <c r="J3" t="s">
        <v>66</v>
      </c>
      <c r="K3" t="s">
        <v>22</v>
      </c>
      <c r="L3" t="s">
        <v>23</v>
      </c>
      <c r="Q3" s="6">
        <v>1</v>
      </c>
    </row>
    <row r="4" spans="1:17" x14ac:dyDescent="0.25">
      <c r="B4" t="s">
        <v>17</v>
      </c>
      <c r="C4" t="s">
        <v>113</v>
      </c>
      <c r="D4" t="s">
        <v>114</v>
      </c>
      <c r="E4" t="s">
        <v>115</v>
      </c>
      <c r="F4" s="6">
        <v>9</v>
      </c>
      <c r="G4" s="6">
        <v>850</v>
      </c>
      <c r="H4" s="6">
        <v>30</v>
      </c>
      <c r="I4" s="6">
        <f>G4-H4</f>
        <v>820</v>
      </c>
      <c r="J4" t="s">
        <v>66</v>
      </c>
      <c r="K4" t="s">
        <v>22</v>
      </c>
      <c r="L4" t="s">
        <v>23</v>
      </c>
      <c r="Q4" s="6">
        <v>1</v>
      </c>
    </row>
    <row r="5" spans="1:17" x14ac:dyDescent="0.25">
      <c r="B5" t="s">
        <v>17</v>
      </c>
      <c r="C5" t="s">
        <v>31</v>
      </c>
      <c r="D5" t="s">
        <v>32</v>
      </c>
      <c r="E5" t="s">
        <v>33</v>
      </c>
      <c r="F5" s="6">
        <v>7</v>
      </c>
      <c r="G5" s="6">
        <v>0</v>
      </c>
      <c r="H5" s="6">
        <v>30</v>
      </c>
      <c r="I5" s="6">
        <f>-H5</f>
        <v>-30</v>
      </c>
      <c r="J5" t="s">
        <v>34</v>
      </c>
      <c r="K5" t="s">
        <v>22</v>
      </c>
      <c r="L5" t="s">
        <v>23</v>
      </c>
      <c r="Q5" s="6">
        <v>1</v>
      </c>
    </row>
    <row r="6" spans="1:17" x14ac:dyDescent="0.25">
      <c r="B6" t="s">
        <v>17</v>
      </c>
      <c r="C6" t="s">
        <v>38</v>
      </c>
      <c r="D6" t="s">
        <v>39</v>
      </c>
      <c r="E6" t="s">
        <v>40</v>
      </c>
      <c r="F6" t="s">
        <v>41</v>
      </c>
      <c r="G6" s="6">
        <v>1315</v>
      </c>
      <c r="H6" s="6">
        <v>25</v>
      </c>
      <c r="I6" s="6">
        <f>G6-H6</f>
        <v>1290</v>
      </c>
      <c r="J6" t="s">
        <v>34</v>
      </c>
      <c r="K6" t="s">
        <v>22</v>
      </c>
      <c r="L6" t="s">
        <v>23</v>
      </c>
      <c r="Q6" s="6">
        <v>1</v>
      </c>
    </row>
    <row r="7" spans="1:17" x14ac:dyDescent="0.25">
      <c r="B7" t="s">
        <v>17</v>
      </c>
      <c r="C7" t="s">
        <v>52</v>
      </c>
      <c r="D7" t="s">
        <v>53</v>
      </c>
      <c r="E7" t="s">
        <v>54</v>
      </c>
      <c r="F7" t="s">
        <v>55</v>
      </c>
      <c r="G7" s="6">
        <v>510</v>
      </c>
      <c r="H7" s="6">
        <v>30</v>
      </c>
      <c r="I7" s="6">
        <f>G7-H7</f>
        <v>480</v>
      </c>
      <c r="J7" t="s">
        <v>34</v>
      </c>
      <c r="K7" t="s">
        <v>22</v>
      </c>
      <c r="L7" t="s">
        <v>23</v>
      </c>
      <c r="Q7" s="6">
        <v>1</v>
      </c>
    </row>
    <row r="8" spans="1:17" x14ac:dyDescent="0.25">
      <c r="B8" t="s">
        <v>17</v>
      </c>
      <c r="C8" t="s">
        <v>73</v>
      </c>
      <c r="D8" t="s">
        <v>74</v>
      </c>
      <c r="E8" t="s">
        <v>75</v>
      </c>
      <c r="F8" s="6">
        <v>8</v>
      </c>
      <c r="G8" s="6">
        <v>935</v>
      </c>
      <c r="H8" s="6">
        <v>25</v>
      </c>
      <c r="I8" s="6">
        <f>G8-H8</f>
        <v>910</v>
      </c>
      <c r="J8" t="s">
        <v>34</v>
      </c>
      <c r="K8" t="s">
        <v>22</v>
      </c>
      <c r="L8" t="s">
        <v>23</v>
      </c>
      <c r="Q8" s="6">
        <v>1</v>
      </c>
    </row>
    <row r="9" spans="1:17" x14ac:dyDescent="0.25">
      <c r="B9" t="s">
        <v>17</v>
      </c>
      <c r="C9" t="s">
        <v>79</v>
      </c>
      <c r="D9" t="s">
        <v>80</v>
      </c>
      <c r="E9" t="s">
        <v>81</v>
      </c>
      <c r="F9" t="s">
        <v>82</v>
      </c>
      <c r="G9" s="6">
        <v>675</v>
      </c>
      <c r="H9" s="6">
        <v>35</v>
      </c>
      <c r="I9" s="6">
        <f>G9-H9</f>
        <v>640</v>
      </c>
      <c r="J9" t="s">
        <v>34</v>
      </c>
      <c r="K9" t="s">
        <v>22</v>
      </c>
      <c r="L9" t="s">
        <v>23</v>
      </c>
      <c r="Q9" s="6">
        <v>1</v>
      </c>
    </row>
    <row r="10" spans="1:17" x14ac:dyDescent="0.25">
      <c r="B10" t="s">
        <v>17</v>
      </c>
      <c r="C10" t="s">
        <v>83</v>
      </c>
      <c r="D10" t="s">
        <v>84</v>
      </c>
      <c r="E10" t="s">
        <v>85</v>
      </c>
      <c r="F10" t="s">
        <v>55</v>
      </c>
      <c r="G10" s="6">
        <v>670</v>
      </c>
      <c r="H10" s="6">
        <v>30</v>
      </c>
      <c r="I10" s="6">
        <f>G10-H10</f>
        <v>640</v>
      </c>
      <c r="J10" t="s">
        <v>34</v>
      </c>
      <c r="K10" t="s">
        <v>22</v>
      </c>
      <c r="L10" t="s">
        <v>23</v>
      </c>
      <c r="Q10" s="6">
        <v>1</v>
      </c>
    </row>
    <row r="11" spans="1:17" x14ac:dyDescent="0.25">
      <c r="B11" t="s">
        <v>17</v>
      </c>
      <c r="C11" t="s">
        <v>86</v>
      </c>
      <c r="D11" t="s">
        <v>87</v>
      </c>
      <c r="E11" t="s">
        <v>88</v>
      </c>
      <c r="F11" s="6">
        <v>8</v>
      </c>
      <c r="G11" s="6">
        <v>0</v>
      </c>
      <c r="H11" s="6">
        <v>25</v>
      </c>
      <c r="I11" s="6">
        <f>-H11</f>
        <v>-25</v>
      </c>
      <c r="J11" t="s">
        <v>34</v>
      </c>
      <c r="K11" t="s">
        <v>22</v>
      </c>
      <c r="L11" t="s">
        <v>23</v>
      </c>
      <c r="Q11" s="6">
        <v>1</v>
      </c>
    </row>
    <row r="12" spans="1:17" x14ac:dyDescent="0.25">
      <c r="B12" t="s">
        <v>17</v>
      </c>
      <c r="C12" t="s">
        <v>92</v>
      </c>
      <c r="D12" t="s">
        <v>93</v>
      </c>
      <c r="E12" t="s">
        <v>94</v>
      </c>
      <c r="F12" s="6">
        <v>12</v>
      </c>
      <c r="G12" s="6">
        <v>410</v>
      </c>
      <c r="H12" s="6">
        <v>30</v>
      </c>
      <c r="I12" s="6">
        <f>G12-H12</f>
        <v>380</v>
      </c>
      <c r="J12" t="s">
        <v>34</v>
      </c>
      <c r="K12" t="s">
        <v>22</v>
      </c>
      <c r="L12" t="s">
        <v>23</v>
      </c>
      <c r="Q12" s="6">
        <v>1</v>
      </c>
    </row>
    <row r="13" spans="1:17" x14ac:dyDescent="0.25">
      <c r="B13" t="s">
        <v>17</v>
      </c>
      <c r="C13" t="s">
        <v>95</v>
      </c>
      <c r="D13" t="s">
        <v>96</v>
      </c>
      <c r="E13" t="s">
        <v>97</v>
      </c>
      <c r="F13" s="6">
        <v>7</v>
      </c>
      <c r="G13" s="6">
        <v>370</v>
      </c>
      <c r="H13" s="6">
        <v>30</v>
      </c>
      <c r="I13" s="6">
        <f>G13-H13</f>
        <v>340</v>
      </c>
      <c r="J13" t="s">
        <v>34</v>
      </c>
      <c r="K13" t="s">
        <v>22</v>
      </c>
      <c r="L13" t="s">
        <v>23</v>
      </c>
      <c r="Q13" s="6">
        <v>1</v>
      </c>
    </row>
    <row r="14" spans="1:17" x14ac:dyDescent="0.25">
      <c r="B14" t="s">
        <v>17</v>
      </c>
      <c r="C14" t="s">
        <v>101</v>
      </c>
      <c r="D14" t="s">
        <v>102</v>
      </c>
      <c r="E14" t="s">
        <v>103</v>
      </c>
      <c r="F14" s="6">
        <v>8</v>
      </c>
      <c r="G14" s="6">
        <v>1065</v>
      </c>
      <c r="H14" s="6">
        <v>25</v>
      </c>
      <c r="I14" s="6">
        <f>G14-H14</f>
        <v>1040</v>
      </c>
      <c r="J14" t="s">
        <v>34</v>
      </c>
      <c r="K14" t="s">
        <v>22</v>
      </c>
      <c r="L14" t="s">
        <v>23</v>
      </c>
      <c r="Q14" s="6">
        <v>1</v>
      </c>
    </row>
    <row r="15" spans="1:17" x14ac:dyDescent="0.25">
      <c r="B15" t="s">
        <v>17</v>
      </c>
      <c r="C15" t="s">
        <v>110</v>
      </c>
      <c r="D15" t="s">
        <v>111</v>
      </c>
      <c r="E15" t="s">
        <v>112</v>
      </c>
      <c r="F15" s="6">
        <v>11</v>
      </c>
      <c r="G15" s="6">
        <v>1695</v>
      </c>
      <c r="H15" s="6">
        <v>25</v>
      </c>
      <c r="I15" s="6">
        <f>G15-H15</f>
        <v>1670</v>
      </c>
      <c r="J15" t="s">
        <v>34</v>
      </c>
      <c r="K15" t="s">
        <v>22</v>
      </c>
      <c r="L15" t="s">
        <v>23</v>
      </c>
      <c r="Q15" s="6">
        <v>1</v>
      </c>
    </row>
    <row r="16" spans="1:17" x14ac:dyDescent="0.25">
      <c r="B16" t="s">
        <v>17</v>
      </c>
      <c r="C16" t="s">
        <v>116</v>
      </c>
      <c r="D16" t="s">
        <v>117</v>
      </c>
      <c r="E16" t="s">
        <v>118</v>
      </c>
      <c r="F16" s="6">
        <v>8</v>
      </c>
      <c r="G16" s="6">
        <v>605</v>
      </c>
      <c r="H16" s="6">
        <v>25</v>
      </c>
      <c r="I16" s="6">
        <f>G16-H16</f>
        <v>580</v>
      </c>
      <c r="J16" t="s">
        <v>34</v>
      </c>
      <c r="K16" t="s">
        <v>22</v>
      </c>
      <c r="L16" t="s">
        <v>23</v>
      </c>
      <c r="Q16" s="6">
        <v>1</v>
      </c>
    </row>
    <row r="17" spans="1:17" x14ac:dyDescent="0.25">
      <c r="B17" t="s">
        <v>17</v>
      </c>
      <c r="C17" t="s">
        <v>128</v>
      </c>
      <c r="D17" t="s">
        <v>129</v>
      </c>
      <c r="E17" t="s">
        <v>130</v>
      </c>
      <c r="F17" t="s">
        <v>55</v>
      </c>
      <c r="G17" s="6">
        <v>0</v>
      </c>
      <c r="H17" s="6">
        <v>30</v>
      </c>
      <c r="I17" s="6">
        <f>-H17</f>
        <v>-30</v>
      </c>
      <c r="J17" t="s">
        <v>34</v>
      </c>
      <c r="K17" t="s">
        <v>22</v>
      </c>
      <c r="L17" t="s">
        <v>23</v>
      </c>
      <c r="Q17" s="6">
        <v>1</v>
      </c>
    </row>
    <row r="18" spans="1:17" x14ac:dyDescent="0.25">
      <c r="B18" t="s">
        <v>17</v>
      </c>
      <c r="C18" t="s">
        <v>142</v>
      </c>
      <c r="D18" t="s">
        <v>143</v>
      </c>
      <c r="E18" t="s">
        <v>144</v>
      </c>
      <c r="F18" s="6" t="s">
        <v>274</v>
      </c>
      <c r="G18" s="6">
        <v>855</v>
      </c>
      <c r="H18" s="6">
        <v>35</v>
      </c>
      <c r="I18" s="6">
        <f>G18-H18</f>
        <v>820</v>
      </c>
      <c r="J18" t="s">
        <v>34</v>
      </c>
      <c r="K18" t="s">
        <v>22</v>
      </c>
      <c r="L18" t="s">
        <v>23</v>
      </c>
      <c r="Q18" s="6">
        <v>1</v>
      </c>
    </row>
    <row r="19" spans="1:17" x14ac:dyDescent="0.25">
      <c r="A19" t="s">
        <v>148</v>
      </c>
      <c r="B19" t="s">
        <v>17</v>
      </c>
      <c r="C19" t="s">
        <v>149</v>
      </c>
      <c r="E19" t="s">
        <v>150</v>
      </c>
      <c r="F19" t="s">
        <v>41</v>
      </c>
      <c r="G19" s="6">
        <v>30</v>
      </c>
      <c r="H19" s="6">
        <v>30</v>
      </c>
      <c r="I19" s="6">
        <f>G19-H19</f>
        <v>0</v>
      </c>
      <c r="J19" t="s">
        <v>34</v>
      </c>
      <c r="K19" t="s">
        <v>22</v>
      </c>
      <c r="L19" t="s">
        <v>23</v>
      </c>
      <c r="Q19" s="6">
        <v>1</v>
      </c>
    </row>
    <row r="20" spans="1:17" x14ac:dyDescent="0.25">
      <c r="B20" t="s">
        <v>17</v>
      </c>
      <c r="C20" t="s">
        <v>151</v>
      </c>
      <c r="D20" t="s">
        <v>152</v>
      </c>
      <c r="E20" t="s">
        <v>153</v>
      </c>
      <c r="F20" s="6">
        <v>12</v>
      </c>
      <c r="G20" s="6">
        <v>730</v>
      </c>
      <c r="H20" s="6">
        <v>30</v>
      </c>
      <c r="I20" s="6">
        <f>G20-H20</f>
        <v>700</v>
      </c>
      <c r="J20" t="s">
        <v>34</v>
      </c>
      <c r="K20" t="s">
        <v>22</v>
      </c>
      <c r="L20" t="s">
        <v>23</v>
      </c>
      <c r="Q20" s="6">
        <v>1</v>
      </c>
    </row>
    <row r="21" spans="1:17" x14ac:dyDescent="0.25">
      <c r="B21" t="s">
        <v>17</v>
      </c>
      <c r="C21" t="s">
        <v>154</v>
      </c>
      <c r="D21" t="s">
        <v>155</v>
      </c>
      <c r="E21" t="s">
        <v>156</v>
      </c>
      <c r="F21" s="6">
        <v>7</v>
      </c>
      <c r="G21" s="6">
        <v>850</v>
      </c>
      <c r="H21" s="6">
        <v>30</v>
      </c>
      <c r="I21" s="6">
        <f>G21-H21</f>
        <v>820</v>
      </c>
      <c r="J21" t="s">
        <v>34</v>
      </c>
      <c r="K21" t="s">
        <v>22</v>
      </c>
      <c r="L21" t="s">
        <v>23</v>
      </c>
      <c r="Q21" s="6">
        <v>1</v>
      </c>
    </row>
    <row r="22" spans="1:17" x14ac:dyDescent="0.25">
      <c r="B22" t="s">
        <v>17</v>
      </c>
      <c r="C22" t="s">
        <v>157</v>
      </c>
      <c r="D22" t="s">
        <v>158</v>
      </c>
      <c r="E22" t="s">
        <v>159</v>
      </c>
      <c r="F22" s="6">
        <v>7</v>
      </c>
      <c r="G22" s="6">
        <v>0</v>
      </c>
      <c r="H22" s="6">
        <v>30</v>
      </c>
      <c r="I22" s="6">
        <f>-H22</f>
        <v>-30</v>
      </c>
      <c r="J22" t="s">
        <v>34</v>
      </c>
      <c r="K22" t="s">
        <v>22</v>
      </c>
      <c r="L22" t="s">
        <v>23</v>
      </c>
      <c r="Q22" s="6">
        <v>1</v>
      </c>
    </row>
    <row r="23" spans="1:17" x14ac:dyDescent="0.25">
      <c r="B23" t="s">
        <v>17</v>
      </c>
      <c r="C23" t="s">
        <v>181</v>
      </c>
      <c r="D23" t="s">
        <v>182</v>
      </c>
      <c r="E23" t="s">
        <v>183</v>
      </c>
      <c r="F23" t="s">
        <v>55</v>
      </c>
      <c r="G23" s="6">
        <v>0</v>
      </c>
      <c r="H23" s="6">
        <v>30</v>
      </c>
      <c r="I23" s="6">
        <f>-H23</f>
        <v>-30</v>
      </c>
      <c r="J23" t="s">
        <v>34</v>
      </c>
      <c r="K23" t="s">
        <v>22</v>
      </c>
      <c r="L23" t="s">
        <v>23</v>
      </c>
      <c r="Q23" s="6">
        <v>1</v>
      </c>
    </row>
    <row r="24" spans="1:17" x14ac:dyDescent="0.25">
      <c r="B24" t="s">
        <v>17</v>
      </c>
      <c r="C24" t="s">
        <v>184</v>
      </c>
      <c r="D24" t="s">
        <v>185</v>
      </c>
      <c r="E24" t="s">
        <v>186</v>
      </c>
      <c r="F24" t="s">
        <v>41</v>
      </c>
      <c r="G24" s="6">
        <v>695</v>
      </c>
      <c r="H24" s="6">
        <v>25</v>
      </c>
      <c r="I24" s="6">
        <f>G24-H24</f>
        <v>670</v>
      </c>
      <c r="J24" t="s">
        <v>34</v>
      </c>
      <c r="K24" t="s">
        <v>22</v>
      </c>
      <c r="L24" t="s">
        <v>23</v>
      </c>
      <c r="Q24" s="6">
        <v>1</v>
      </c>
    </row>
    <row r="25" spans="1:17" x14ac:dyDescent="0.25">
      <c r="B25" t="s">
        <v>17</v>
      </c>
      <c r="C25" t="s">
        <v>193</v>
      </c>
      <c r="D25" t="s">
        <v>194</v>
      </c>
      <c r="E25" t="s">
        <v>195</v>
      </c>
      <c r="F25" t="s">
        <v>55</v>
      </c>
      <c r="G25" s="6">
        <v>50</v>
      </c>
      <c r="H25" s="6">
        <v>50</v>
      </c>
      <c r="I25" s="6">
        <f>G25-H25</f>
        <v>0</v>
      </c>
      <c r="J25" t="s">
        <v>34</v>
      </c>
      <c r="K25" t="s">
        <v>22</v>
      </c>
      <c r="L25" t="s">
        <v>23</v>
      </c>
      <c r="Q25" s="6">
        <v>1</v>
      </c>
    </row>
    <row r="26" spans="1:17" x14ac:dyDescent="0.25">
      <c r="B26" t="s">
        <v>17</v>
      </c>
      <c r="C26" t="s">
        <v>202</v>
      </c>
      <c r="D26" t="s">
        <v>203</v>
      </c>
      <c r="E26" t="s">
        <v>204</v>
      </c>
      <c r="F26" t="s">
        <v>55</v>
      </c>
      <c r="G26" s="6">
        <v>750</v>
      </c>
      <c r="H26" s="6">
        <v>30</v>
      </c>
      <c r="I26" s="6">
        <f>G26-H26</f>
        <v>720</v>
      </c>
      <c r="J26" t="s">
        <v>34</v>
      </c>
      <c r="K26" t="s">
        <v>22</v>
      </c>
      <c r="L26" t="s">
        <v>23</v>
      </c>
      <c r="Q26" s="6">
        <v>1</v>
      </c>
    </row>
    <row r="27" spans="1:17" x14ac:dyDescent="0.25">
      <c r="B27" t="s">
        <v>17</v>
      </c>
      <c r="C27" t="s">
        <v>218</v>
      </c>
      <c r="D27" t="s">
        <v>219</v>
      </c>
      <c r="E27" t="s">
        <v>220</v>
      </c>
      <c r="F27" s="6">
        <v>11</v>
      </c>
      <c r="G27" s="6">
        <v>0</v>
      </c>
      <c r="H27" s="6">
        <v>25</v>
      </c>
      <c r="I27" s="6">
        <f>-H27</f>
        <v>-25</v>
      </c>
      <c r="J27" t="s">
        <v>34</v>
      </c>
      <c r="K27" t="s">
        <v>22</v>
      </c>
      <c r="L27" t="s">
        <v>23</v>
      </c>
      <c r="Q27" s="6">
        <v>1</v>
      </c>
    </row>
    <row r="28" spans="1:17" x14ac:dyDescent="0.25">
      <c r="B28" t="s">
        <v>17</v>
      </c>
      <c r="C28" t="s">
        <v>221</v>
      </c>
      <c r="D28" t="s">
        <v>222</v>
      </c>
      <c r="E28" t="s">
        <v>223</v>
      </c>
      <c r="F28" s="6">
        <v>7</v>
      </c>
      <c r="G28" s="6">
        <v>0</v>
      </c>
      <c r="H28" s="6">
        <v>30</v>
      </c>
      <c r="I28" s="6">
        <f>-H28</f>
        <v>-30</v>
      </c>
      <c r="J28" t="s">
        <v>34</v>
      </c>
      <c r="K28" t="s">
        <v>22</v>
      </c>
      <c r="L28" t="s">
        <v>23</v>
      </c>
      <c r="Q28" s="6">
        <v>1</v>
      </c>
    </row>
    <row r="29" spans="1:17" x14ac:dyDescent="0.25">
      <c r="A29" t="s">
        <v>148</v>
      </c>
      <c r="B29" t="s">
        <v>17</v>
      </c>
      <c r="C29" t="s">
        <v>227</v>
      </c>
      <c r="E29" t="s">
        <v>228</v>
      </c>
      <c r="F29" s="6">
        <v>6</v>
      </c>
      <c r="G29" s="6">
        <v>0</v>
      </c>
      <c r="H29" s="6">
        <v>30</v>
      </c>
      <c r="I29" s="6">
        <f>-H29</f>
        <v>-30</v>
      </c>
      <c r="J29" t="s">
        <v>34</v>
      </c>
      <c r="K29" t="s">
        <v>22</v>
      </c>
      <c r="L29" t="s">
        <v>23</v>
      </c>
      <c r="Q29" s="6">
        <v>1</v>
      </c>
    </row>
    <row r="30" spans="1:17" x14ac:dyDescent="0.25">
      <c r="A30" t="s">
        <v>148</v>
      </c>
      <c r="B30" t="s">
        <v>17</v>
      </c>
      <c r="C30" t="s">
        <v>237</v>
      </c>
      <c r="E30" t="s">
        <v>238</v>
      </c>
      <c r="F30" s="6">
        <v>12</v>
      </c>
      <c r="G30" s="6">
        <v>645</v>
      </c>
      <c r="H30" s="6">
        <v>35</v>
      </c>
      <c r="I30" s="6">
        <f t="shared" ref="I30:I36" si="0">G30-H30</f>
        <v>610</v>
      </c>
      <c r="J30" t="s">
        <v>34</v>
      </c>
      <c r="K30" t="s">
        <v>22</v>
      </c>
      <c r="L30" t="s">
        <v>23</v>
      </c>
      <c r="Q30" s="6">
        <v>1</v>
      </c>
    </row>
    <row r="31" spans="1:17" x14ac:dyDescent="0.25">
      <c r="A31" t="s">
        <v>148</v>
      </c>
      <c r="B31" t="s">
        <v>17</v>
      </c>
      <c r="C31" t="s">
        <v>241</v>
      </c>
      <c r="E31" t="s">
        <v>242</v>
      </c>
      <c r="F31" s="6">
        <v>6</v>
      </c>
      <c r="G31" s="6">
        <v>850</v>
      </c>
      <c r="H31" s="6">
        <v>30</v>
      </c>
      <c r="I31" s="6">
        <f t="shared" si="0"/>
        <v>820</v>
      </c>
      <c r="J31" t="s">
        <v>34</v>
      </c>
      <c r="K31" t="s">
        <v>22</v>
      </c>
      <c r="L31" t="s">
        <v>23</v>
      </c>
      <c r="Q31" s="6">
        <v>1</v>
      </c>
    </row>
    <row r="32" spans="1:17" x14ac:dyDescent="0.25">
      <c r="A32" t="s">
        <v>148</v>
      </c>
      <c r="B32" t="s">
        <v>17</v>
      </c>
      <c r="C32" t="s">
        <v>243</v>
      </c>
      <c r="E32" t="s">
        <v>244</v>
      </c>
      <c r="F32" s="6">
        <v>6</v>
      </c>
      <c r="G32" s="6">
        <v>2425</v>
      </c>
      <c r="H32" s="6">
        <v>35</v>
      </c>
      <c r="I32" s="6">
        <f t="shared" si="0"/>
        <v>2390</v>
      </c>
      <c r="J32" t="s">
        <v>34</v>
      </c>
      <c r="K32" t="s">
        <v>22</v>
      </c>
      <c r="L32" t="s">
        <v>23</v>
      </c>
      <c r="Q32" s="6">
        <v>1</v>
      </c>
    </row>
    <row r="33" spans="2:17" x14ac:dyDescent="0.25">
      <c r="B33" t="s">
        <v>17</v>
      </c>
      <c r="C33" t="s">
        <v>42</v>
      </c>
      <c r="D33" t="s">
        <v>43</v>
      </c>
      <c r="E33" t="s">
        <v>44</v>
      </c>
      <c r="F33" t="s">
        <v>45</v>
      </c>
      <c r="G33" s="6">
        <v>40</v>
      </c>
      <c r="H33" s="6">
        <v>20</v>
      </c>
      <c r="I33" s="6">
        <f t="shared" si="0"/>
        <v>20</v>
      </c>
      <c r="J33" t="s">
        <v>22</v>
      </c>
      <c r="K33" t="s">
        <v>22</v>
      </c>
      <c r="L33" t="s">
        <v>23</v>
      </c>
      <c r="M33" t="s">
        <v>208</v>
      </c>
      <c r="Q33" s="6">
        <v>1</v>
      </c>
    </row>
    <row r="34" spans="2:17" x14ac:dyDescent="0.25">
      <c r="B34" t="s">
        <v>17</v>
      </c>
      <c r="C34" t="s">
        <v>56</v>
      </c>
      <c r="D34" t="s">
        <v>57</v>
      </c>
      <c r="E34" t="s">
        <v>58</v>
      </c>
      <c r="F34" t="s">
        <v>59</v>
      </c>
      <c r="G34" s="6">
        <v>935</v>
      </c>
      <c r="H34" s="6">
        <v>25</v>
      </c>
      <c r="I34" s="6">
        <f t="shared" si="0"/>
        <v>910</v>
      </c>
      <c r="J34" t="s">
        <v>22</v>
      </c>
      <c r="K34" t="s">
        <v>22</v>
      </c>
      <c r="L34" t="s">
        <v>23</v>
      </c>
      <c r="Q34" s="6">
        <v>1</v>
      </c>
    </row>
    <row r="35" spans="2:17" x14ac:dyDescent="0.25">
      <c r="B35" t="s">
        <v>17</v>
      </c>
      <c r="C35" t="s">
        <v>60</v>
      </c>
      <c r="D35" t="s">
        <v>61</v>
      </c>
      <c r="E35" t="s">
        <v>62</v>
      </c>
      <c r="F35" t="s">
        <v>45</v>
      </c>
      <c r="G35" s="6">
        <v>690</v>
      </c>
      <c r="H35" s="6">
        <v>20</v>
      </c>
      <c r="I35" s="6">
        <f t="shared" si="0"/>
        <v>670</v>
      </c>
      <c r="J35" t="s">
        <v>22</v>
      </c>
      <c r="K35" t="s">
        <v>22</v>
      </c>
      <c r="L35" t="s">
        <v>23</v>
      </c>
      <c r="Q35" s="6">
        <v>1</v>
      </c>
    </row>
    <row r="36" spans="2:17" x14ac:dyDescent="0.25">
      <c r="B36" t="s">
        <v>17</v>
      </c>
      <c r="C36" t="s">
        <v>76</v>
      </c>
      <c r="D36" t="s">
        <v>77</v>
      </c>
      <c r="E36" t="s">
        <v>78</v>
      </c>
      <c r="F36" t="s">
        <v>59</v>
      </c>
      <c r="G36" s="6">
        <v>1325</v>
      </c>
      <c r="H36" s="6">
        <v>25</v>
      </c>
      <c r="I36" s="6">
        <f t="shared" si="0"/>
        <v>1300</v>
      </c>
      <c r="J36" t="s">
        <v>22</v>
      </c>
      <c r="K36" t="s">
        <v>22</v>
      </c>
      <c r="L36" t="s">
        <v>23</v>
      </c>
      <c r="Q36" s="6">
        <v>1</v>
      </c>
    </row>
    <row r="37" spans="2:17" x14ac:dyDescent="0.25">
      <c r="B37" t="s">
        <v>17</v>
      </c>
      <c r="C37" t="s">
        <v>89</v>
      </c>
      <c r="D37" t="s">
        <v>90</v>
      </c>
      <c r="E37" t="s">
        <v>91</v>
      </c>
      <c r="F37" t="s">
        <v>59</v>
      </c>
      <c r="G37" s="6">
        <v>0</v>
      </c>
      <c r="H37" s="6">
        <v>25</v>
      </c>
      <c r="I37" s="6">
        <f>-H37</f>
        <v>-25</v>
      </c>
      <c r="J37" t="s">
        <v>22</v>
      </c>
      <c r="K37" t="s">
        <v>22</v>
      </c>
      <c r="L37" t="s">
        <v>23</v>
      </c>
      <c r="Q37" s="6">
        <v>1</v>
      </c>
    </row>
    <row r="38" spans="2:17" x14ac:dyDescent="0.25">
      <c r="B38" t="s">
        <v>17</v>
      </c>
      <c r="C38" t="s">
        <v>98</v>
      </c>
      <c r="D38" t="s">
        <v>99</v>
      </c>
      <c r="E38" t="s">
        <v>100</v>
      </c>
      <c r="F38" t="s">
        <v>30</v>
      </c>
      <c r="G38" s="6">
        <v>875</v>
      </c>
      <c r="H38" s="6">
        <v>25</v>
      </c>
      <c r="I38" s="6">
        <f>G38-H38</f>
        <v>850</v>
      </c>
      <c r="J38" t="s">
        <v>22</v>
      </c>
      <c r="K38" t="s">
        <v>22</v>
      </c>
      <c r="L38" t="s">
        <v>23</v>
      </c>
      <c r="Q38" s="6">
        <v>1</v>
      </c>
    </row>
    <row r="39" spans="2:17" x14ac:dyDescent="0.25">
      <c r="B39" t="s">
        <v>17</v>
      </c>
      <c r="C39" t="s">
        <v>107</v>
      </c>
      <c r="D39" t="s">
        <v>108</v>
      </c>
      <c r="E39" t="s">
        <v>109</v>
      </c>
      <c r="F39" t="s">
        <v>45</v>
      </c>
      <c r="G39" s="6">
        <v>810</v>
      </c>
      <c r="H39" s="6">
        <v>20</v>
      </c>
      <c r="I39" s="6">
        <f>G39-H39</f>
        <v>790</v>
      </c>
      <c r="J39" t="s">
        <v>22</v>
      </c>
      <c r="K39" t="s">
        <v>22</v>
      </c>
      <c r="L39" t="s">
        <v>23</v>
      </c>
      <c r="Q39" s="6">
        <v>1</v>
      </c>
    </row>
    <row r="40" spans="2:17" x14ac:dyDescent="0.25">
      <c r="B40" t="s">
        <v>17</v>
      </c>
      <c r="C40" t="s">
        <v>119</v>
      </c>
      <c r="D40" t="s">
        <v>120</v>
      </c>
      <c r="E40" t="s">
        <v>121</v>
      </c>
      <c r="F40" t="s">
        <v>45</v>
      </c>
      <c r="G40" s="6">
        <v>0</v>
      </c>
      <c r="H40" s="6">
        <v>20</v>
      </c>
      <c r="I40" s="6">
        <f>-H40</f>
        <v>-20</v>
      </c>
      <c r="J40" t="s">
        <v>22</v>
      </c>
      <c r="K40" t="s">
        <v>22</v>
      </c>
      <c r="L40" t="s">
        <v>23</v>
      </c>
      <c r="Q40" s="6">
        <v>1</v>
      </c>
    </row>
    <row r="41" spans="2:17" x14ac:dyDescent="0.25">
      <c r="B41" t="s">
        <v>17</v>
      </c>
      <c r="C41" t="s">
        <v>125</v>
      </c>
      <c r="D41" t="s">
        <v>126</v>
      </c>
      <c r="E41" t="s">
        <v>127</v>
      </c>
      <c r="F41" s="6">
        <v>2</v>
      </c>
      <c r="G41" s="6">
        <v>870</v>
      </c>
      <c r="H41" s="6">
        <v>30</v>
      </c>
      <c r="I41" s="6">
        <f>G41-H41</f>
        <v>840</v>
      </c>
      <c r="J41" t="s">
        <v>22</v>
      </c>
      <c r="K41" t="s">
        <v>22</v>
      </c>
      <c r="L41" t="s">
        <v>23</v>
      </c>
      <c r="Q41" s="6">
        <v>1</v>
      </c>
    </row>
    <row r="42" spans="2:17" x14ac:dyDescent="0.25">
      <c r="B42" t="s">
        <v>17</v>
      </c>
      <c r="C42" t="s">
        <v>145</v>
      </c>
      <c r="D42" t="s">
        <v>146</v>
      </c>
      <c r="E42" t="s">
        <v>147</v>
      </c>
      <c r="F42" t="s">
        <v>59</v>
      </c>
      <c r="G42" s="6">
        <v>605</v>
      </c>
      <c r="H42" s="6">
        <v>25</v>
      </c>
      <c r="I42" s="6">
        <f>G42-H42</f>
        <v>580</v>
      </c>
      <c r="J42" t="s">
        <v>22</v>
      </c>
      <c r="K42" t="s">
        <v>22</v>
      </c>
      <c r="L42" t="s">
        <v>23</v>
      </c>
      <c r="Q42" s="6">
        <v>1</v>
      </c>
    </row>
    <row r="43" spans="2:17" x14ac:dyDescent="0.25">
      <c r="B43" t="s">
        <v>17</v>
      </c>
      <c r="C43" t="s">
        <v>160</v>
      </c>
      <c r="D43" t="s">
        <v>161</v>
      </c>
      <c r="E43" t="s">
        <v>162</v>
      </c>
      <c r="F43" t="s">
        <v>45</v>
      </c>
      <c r="G43" s="6">
        <v>1570</v>
      </c>
      <c r="H43" s="6">
        <v>20</v>
      </c>
      <c r="I43" s="6">
        <f>G43-H43</f>
        <v>1550</v>
      </c>
      <c r="J43" t="s">
        <v>22</v>
      </c>
      <c r="K43" t="s">
        <v>22</v>
      </c>
      <c r="L43" t="s">
        <v>23</v>
      </c>
      <c r="Q43" s="6">
        <v>1</v>
      </c>
    </row>
    <row r="44" spans="2:17" x14ac:dyDescent="0.25">
      <c r="B44" t="s">
        <v>17</v>
      </c>
      <c r="C44" t="s">
        <v>177</v>
      </c>
      <c r="D44" t="s">
        <v>178</v>
      </c>
      <c r="E44" t="s">
        <v>179</v>
      </c>
      <c r="F44" t="s">
        <v>180</v>
      </c>
      <c r="G44" s="6">
        <v>0</v>
      </c>
      <c r="H44" s="6">
        <v>30</v>
      </c>
      <c r="I44" s="6">
        <f>-H44</f>
        <v>-30</v>
      </c>
      <c r="J44" t="s">
        <v>22</v>
      </c>
      <c r="K44" t="s">
        <v>22</v>
      </c>
      <c r="L44" t="s">
        <v>23</v>
      </c>
      <c r="Q44" s="6">
        <v>1</v>
      </c>
    </row>
    <row r="45" spans="2:17" x14ac:dyDescent="0.25">
      <c r="B45" t="s">
        <v>17</v>
      </c>
      <c r="C45" t="s">
        <v>196</v>
      </c>
      <c r="D45" t="s">
        <v>197</v>
      </c>
      <c r="E45" t="s">
        <v>198</v>
      </c>
      <c r="F45" t="s">
        <v>59</v>
      </c>
      <c r="G45" s="6">
        <v>1855</v>
      </c>
      <c r="H45" s="6">
        <v>25</v>
      </c>
      <c r="I45" s="6">
        <f>G45-H45</f>
        <v>1830</v>
      </c>
      <c r="J45" t="s">
        <v>22</v>
      </c>
      <c r="K45" t="s">
        <v>22</v>
      </c>
      <c r="L45" t="s">
        <v>23</v>
      </c>
      <c r="Q45" s="6">
        <v>1</v>
      </c>
    </row>
    <row r="46" spans="2:17" x14ac:dyDescent="0.25">
      <c r="B46" t="s">
        <v>17</v>
      </c>
      <c r="C46" t="s">
        <v>199</v>
      </c>
      <c r="D46" t="s">
        <v>200</v>
      </c>
      <c r="E46" t="s">
        <v>201</v>
      </c>
      <c r="F46" t="s">
        <v>30</v>
      </c>
      <c r="G46" s="6">
        <v>605</v>
      </c>
      <c r="H46" s="6">
        <v>25</v>
      </c>
      <c r="I46" s="6">
        <f>G46-H46</f>
        <v>580</v>
      </c>
      <c r="J46" t="s">
        <v>22</v>
      </c>
      <c r="K46" t="s">
        <v>22</v>
      </c>
      <c r="L46" t="s">
        <v>23</v>
      </c>
      <c r="Q46" s="6">
        <v>1</v>
      </c>
    </row>
    <row r="47" spans="2:17" x14ac:dyDescent="0.25">
      <c r="B47" t="s">
        <v>17</v>
      </c>
      <c r="C47" t="s">
        <v>215</v>
      </c>
      <c r="D47" t="s">
        <v>216</v>
      </c>
      <c r="E47" t="s">
        <v>217</v>
      </c>
      <c r="F47" t="s">
        <v>45</v>
      </c>
      <c r="G47" s="6">
        <v>0</v>
      </c>
      <c r="H47" s="6">
        <v>20</v>
      </c>
      <c r="I47" s="6">
        <f>-H47</f>
        <v>-20</v>
      </c>
      <c r="J47" t="s">
        <v>22</v>
      </c>
      <c r="K47" t="s">
        <v>22</v>
      </c>
      <c r="L47" t="s">
        <v>23</v>
      </c>
      <c r="Q47" s="6">
        <v>1</v>
      </c>
    </row>
    <row r="48" spans="2:17" x14ac:dyDescent="0.25">
      <c r="B48" t="s">
        <v>17</v>
      </c>
      <c r="C48" t="s">
        <v>224</v>
      </c>
      <c r="D48" t="s">
        <v>225</v>
      </c>
      <c r="E48" t="s">
        <v>226</v>
      </c>
      <c r="F48" t="s">
        <v>180</v>
      </c>
      <c r="G48" s="6">
        <v>760</v>
      </c>
      <c r="H48" s="6">
        <v>30</v>
      </c>
      <c r="I48" s="6">
        <f>G48-H48</f>
        <v>730</v>
      </c>
      <c r="J48" t="s">
        <v>22</v>
      </c>
      <c r="K48" t="s">
        <v>22</v>
      </c>
      <c r="L48" t="s">
        <v>23</v>
      </c>
      <c r="Q48" s="6">
        <v>1</v>
      </c>
    </row>
    <row r="49" spans="1:17" x14ac:dyDescent="0.25">
      <c r="A49" t="s">
        <v>148</v>
      </c>
      <c r="B49" t="s">
        <v>17</v>
      </c>
      <c r="C49" t="s">
        <v>229</v>
      </c>
      <c r="E49" t="s">
        <v>230</v>
      </c>
      <c r="F49" t="s">
        <v>30</v>
      </c>
      <c r="G49" s="6">
        <v>960</v>
      </c>
      <c r="H49" s="6">
        <v>30</v>
      </c>
      <c r="I49" s="6">
        <f>G49-H49</f>
        <v>930</v>
      </c>
      <c r="J49" t="s">
        <v>22</v>
      </c>
      <c r="K49" t="s">
        <v>22</v>
      </c>
      <c r="L49" t="s">
        <v>23</v>
      </c>
      <c r="Q49" s="6">
        <v>1</v>
      </c>
    </row>
    <row r="50" spans="1:17" x14ac:dyDescent="0.25">
      <c r="A50" t="s">
        <v>148</v>
      </c>
      <c r="B50" t="s">
        <v>17</v>
      </c>
      <c r="C50" t="s">
        <v>231</v>
      </c>
      <c r="E50" t="s">
        <v>232</v>
      </c>
      <c r="F50" t="s">
        <v>59</v>
      </c>
      <c r="G50" s="6">
        <v>30</v>
      </c>
      <c r="H50" s="6">
        <v>30</v>
      </c>
      <c r="I50" s="6">
        <f>G50-H50</f>
        <v>0</v>
      </c>
      <c r="J50" t="s">
        <v>22</v>
      </c>
      <c r="K50" t="s">
        <v>22</v>
      </c>
      <c r="L50" t="s">
        <v>23</v>
      </c>
      <c r="Q50" s="6">
        <v>1</v>
      </c>
    </row>
    <row r="51" spans="1:17" x14ac:dyDescent="0.25">
      <c r="A51" t="s">
        <v>148</v>
      </c>
      <c r="B51" t="s">
        <v>17</v>
      </c>
      <c r="C51" t="s">
        <v>235</v>
      </c>
      <c r="E51" t="s">
        <v>236</v>
      </c>
      <c r="F51" t="s">
        <v>59</v>
      </c>
      <c r="G51" s="6">
        <v>7090</v>
      </c>
      <c r="H51" s="6">
        <v>30</v>
      </c>
      <c r="I51" s="6">
        <f>G51-H51</f>
        <v>7060</v>
      </c>
      <c r="J51" t="s">
        <v>22</v>
      </c>
      <c r="K51" t="s">
        <v>22</v>
      </c>
      <c r="L51" t="s">
        <v>23</v>
      </c>
      <c r="Q51" s="6">
        <v>1</v>
      </c>
    </row>
    <row r="52" spans="1:17" x14ac:dyDescent="0.25">
      <c r="A52" t="s">
        <v>148</v>
      </c>
      <c r="B52" t="s">
        <v>17</v>
      </c>
      <c r="C52" t="s">
        <v>239</v>
      </c>
      <c r="E52" t="s">
        <v>240</v>
      </c>
      <c r="F52" t="s">
        <v>180</v>
      </c>
      <c r="G52" s="6">
        <v>995</v>
      </c>
      <c r="H52" s="6">
        <v>35</v>
      </c>
      <c r="I52" s="6">
        <f>G52-H52</f>
        <v>960</v>
      </c>
      <c r="J52" t="s">
        <v>22</v>
      </c>
      <c r="K52" t="s">
        <v>22</v>
      </c>
      <c r="L52" t="s">
        <v>23</v>
      </c>
      <c r="Q52" s="6">
        <v>1</v>
      </c>
    </row>
    <row r="53" spans="1:17" x14ac:dyDescent="0.25">
      <c r="B53" t="s">
        <v>17</v>
      </c>
      <c r="C53" t="s">
        <v>18</v>
      </c>
      <c r="D53" t="s">
        <v>19</v>
      </c>
      <c r="E53" t="s">
        <v>20</v>
      </c>
      <c r="F53" s="6">
        <v>3</v>
      </c>
      <c r="G53" s="6">
        <v>0</v>
      </c>
      <c r="H53" s="6">
        <v>25</v>
      </c>
      <c r="I53" s="6">
        <f>-H53</f>
        <v>-25</v>
      </c>
      <c r="J53" t="s">
        <v>21</v>
      </c>
      <c r="K53" t="s">
        <v>22</v>
      </c>
      <c r="L53" t="s">
        <v>23</v>
      </c>
      <c r="Q53" s="6">
        <v>1</v>
      </c>
    </row>
    <row r="54" spans="1:17" x14ac:dyDescent="0.25">
      <c r="B54" t="s">
        <v>17</v>
      </c>
      <c r="C54" t="s">
        <v>24</v>
      </c>
      <c r="D54" t="s">
        <v>25</v>
      </c>
      <c r="E54" t="s">
        <v>26</v>
      </c>
      <c r="F54" s="6">
        <v>1</v>
      </c>
      <c r="G54" s="6">
        <v>865</v>
      </c>
      <c r="H54" s="6">
        <v>25</v>
      </c>
      <c r="I54" s="6">
        <f t="shared" ref="I54:I65" si="1">G54-H54</f>
        <v>840</v>
      </c>
      <c r="J54" t="s">
        <v>21</v>
      </c>
      <c r="K54" t="s">
        <v>22</v>
      </c>
      <c r="L54" t="s">
        <v>23</v>
      </c>
      <c r="Q54" s="6">
        <v>1</v>
      </c>
    </row>
    <row r="55" spans="1:17" x14ac:dyDescent="0.25">
      <c r="B55" t="s">
        <v>17</v>
      </c>
      <c r="C55" t="s">
        <v>27</v>
      </c>
      <c r="D55" t="s">
        <v>28</v>
      </c>
      <c r="E55" t="s">
        <v>29</v>
      </c>
      <c r="F55" t="s">
        <v>30</v>
      </c>
      <c r="G55" s="6">
        <v>1635</v>
      </c>
      <c r="H55" s="6">
        <v>25</v>
      </c>
      <c r="I55" s="6">
        <f t="shared" si="1"/>
        <v>1610</v>
      </c>
      <c r="J55" t="s">
        <v>21</v>
      </c>
      <c r="K55" t="s">
        <v>22</v>
      </c>
      <c r="L55" t="s">
        <v>23</v>
      </c>
      <c r="Q55" s="6">
        <v>1</v>
      </c>
    </row>
    <row r="56" spans="1:17" x14ac:dyDescent="0.25">
      <c r="B56" t="s">
        <v>17</v>
      </c>
      <c r="C56" t="s">
        <v>35</v>
      </c>
      <c r="D56" t="s">
        <v>36</v>
      </c>
      <c r="E56" t="s">
        <v>37</v>
      </c>
      <c r="F56" t="s">
        <v>30</v>
      </c>
      <c r="G56" s="6">
        <v>645</v>
      </c>
      <c r="H56" s="6">
        <v>25</v>
      </c>
      <c r="I56" s="6">
        <f t="shared" si="1"/>
        <v>620</v>
      </c>
      <c r="J56" t="s">
        <v>21</v>
      </c>
      <c r="K56" t="s">
        <v>22</v>
      </c>
      <c r="L56" t="s">
        <v>23</v>
      </c>
      <c r="Q56" s="6">
        <v>1</v>
      </c>
    </row>
    <row r="57" spans="1:17" x14ac:dyDescent="0.25">
      <c r="B57" t="s">
        <v>17</v>
      </c>
      <c r="C57" t="s">
        <v>46</v>
      </c>
      <c r="D57" t="s">
        <v>47</v>
      </c>
      <c r="E57" t="s">
        <v>48</v>
      </c>
      <c r="F57" s="6">
        <v>5</v>
      </c>
      <c r="G57" s="6">
        <v>605</v>
      </c>
      <c r="H57" s="6">
        <v>25</v>
      </c>
      <c r="I57" s="6">
        <f t="shared" si="1"/>
        <v>580</v>
      </c>
      <c r="J57" t="s">
        <v>21</v>
      </c>
      <c r="K57" t="s">
        <v>22</v>
      </c>
      <c r="L57" t="s">
        <v>23</v>
      </c>
      <c r="Q57" s="6">
        <v>1</v>
      </c>
    </row>
    <row r="58" spans="1:17" x14ac:dyDescent="0.25">
      <c r="B58" t="s">
        <v>17</v>
      </c>
      <c r="C58" t="s">
        <v>49</v>
      </c>
      <c r="D58" t="s">
        <v>50</v>
      </c>
      <c r="E58" t="s">
        <v>51</v>
      </c>
      <c r="F58" s="6">
        <v>4</v>
      </c>
      <c r="G58" s="6">
        <v>735</v>
      </c>
      <c r="H58" s="6">
        <v>25</v>
      </c>
      <c r="I58" s="6">
        <f t="shared" si="1"/>
        <v>710</v>
      </c>
      <c r="J58" t="s">
        <v>21</v>
      </c>
      <c r="K58" t="s">
        <v>22</v>
      </c>
      <c r="L58" t="s">
        <v>23</v>
      </c>
      <c r="Q58" s="6">
        <v>1</v>
      </c>
    </row>
    <row r="59" spans="1:17" x14ac:dyDescent="0.25">
      <c r="B59" t="s">
        <v>17</v>
      </c>
      <c r="C59" t="s">
        <v>67</v>
      </c>
      <c r="D59" t="s">
        <v>68</v>
      </c>
      <c r="E59" t="s">
        <v>69</v>
      </c>
      <c r="F59" s="6">
        <v>10</v>
      </c>
      <c r="G59" s="6">
        <v>945</v>
      </c>
      <c r="H59" s="6">
        <v>25</v>
      </c>
      <c r="I59" s="6">
        <f t="shared" si="1"/>
        <v>920</v>
      </c>
      <c r="J59" t="s">
        <v>21</v>
      </c>
      <c r="K59" t="s">
        <v>22</v>
      </c>
      <c r="L59" t="s">
        <v>23</v>
      </c>
      <c r="Q59" s="6">
        <v>1</v>
      </c>
    </row>
    <row r="60" spans="1:17" x14ac:dyDescent="0.25">
      <c r="B60" t="s">
        <v>17</v>
      </c>
      <c r="C60" t="s">
        <v>70</v>
      </c>
      <c r="D60" t="s">
        <v>71</v>
      </c>
      <c r="E60" t="s">
        <v>72</v>
      </c>
      <c r="F60" s="6">
        <v>3</v>
      </c>
      <c r="G60" s="6">
        <v>935</v>
      </c>
      <c r="H60" s="6">
        <v>25</v>
      </c>
      <c r="I60" s="6">
        <f t="shared" si="1"/>
        <v>910</v>
      </c>
      <c r="J60" t="s">
        <v>21</v>
      </c>
      <c r="K60" t="s">
        <v>22</v>
      </c>
      <c r="L60" t="s">
        <v>23</v>
      </c>
      <c r="Q60" s="6">
        <v>1</v>
      </c>
    </row>
    <row r="61" spans="1:17" x14ac:dyDescent="0.25">
      <c r="B61" t="s">
        <v>17</v>
      </c>
      <c r="C61" t="s">
        <v>104</v>
      </c>
      <c r="D61" t="s">
        <v>105</v>
      </c>
      <c r="E61" t="s">
        <v>106</v>
      </c>
      <c r="F61" t="s">
        <v>30</v>
      </c>
      <c r="G61" s="6">
        <v>1765</v>
      </c>
      <c r="H61" s="6">
        <v>25</v>
      </c>
      <c r="I61" s="6">
        <f t="shared" si="1"/>
        <v>1740</v>
      </c>
      <c r="J61" t="s">
        <v>21</v>
      </c>
      <c r="K61" t="s">
        <v>22</v>
      </c>
      <c r="L61" t="s">
        <v>23</v>
      </c>
      <c r="Q61" s="6">
        <v>1</v>
      </c>
    </row>
    <row r="62" spans="1:17" x14ac:dyDescent="0.25">
      <c r="B62" t="s">
        <v>17</v>
      </c>
      <c r="C62" t="s">
        <v>122</v>
      </c>
      <c r="D62" t="s">
        <v>123</v>
      </c>
      <c r="E62" t="s">
        <v>124</v>
      </c>
      <c r="F62" s="6">
        <v>3</v>
      </c>
      <c r="G62" s="6">
        <v>845</v>
      </c>
      <c r="H62" s="6">
        <v>25</v>
      </c>
      <c r="I62" s="6">
        <f t="shared" si="1"/>
        <v>820</v>
      </c>
      <c r="J62" t="s">
        <v>21</v>
      </c>
      <c r="K62" t="s">
        <v>22</v>
      </c>
      <c r="L62" t="s">
        <v>23</v>
      </c>
      <c r="Q62" s="6">
        <v>1</v>
      </c>
    </row>
    <row r="63" spans="1:17" x14ac:dyDescent="0.25">
      <c r="B63" t="s">
        <v>17</v>
      </c>
      <c r="C63" t="s">
        <v>139</v>
      </c>
      <c r="D63" t="s">
        <v>140</v>
      </c>
      <c r="E63" t="s">
        <v>141</v>
      </c>
      <c r="F63" s="6">
        <v>10</v>
      </c>
      <c r="G63" s="6">
        <v>1535</v>
      </c>
      <c r="H63" s="6">
        <v>25</v>
      </c>
      <c r="I63" s="6">
        <f t="shared" si="1"/>
        <v>1510</v>
      </c>
      <c r="J63" t="s">
        <v>21</v>
      </c>
      <c r="K63" t="s">
        <v>22</v>
      </c>
      <c r="L63" t="s">
        <v>23</v>
      </c>
      <c r="Q63" s="6">
        <v>1</v>
      </c>
    </row>
    <row r="64" spans="1:17" x14ac:dyDescent="0.25">
      <c r="B64" t="s">
        <v>17</v>
      </c>
      <c r="C64" t="s">
        <v>163</v>
      </c>
      <c r="D64" t="s">
        <v>164</v>
      </c>
      <c r="E64" t="s">
        <v>165</v>
      </c>
      <c r="F64" t="s">
        <v>30</v>
      </c>
      <c r="G64" s="6">
        <v>605</v>
      </c>
      <c r="H64" s="6">
        <v>25</v>
      </c>
      <c r="I64" s="6">
        <f t="shared" si="1"/>
        <v>580</v>
      </c>
      <c r="J64" t="s">
        <v>21</v>
      </c>
      <c r="K64" t="s">
        <v>22</v>
      </c>
      <c r="L64" t="s">
        <v>23</v>
      </c>
      <c r="Q64" s="6">
        <v>1</v>
      </c>
    </row>
    <row r="65" spans="1:17" x14ac:dyDescent="0.25">
      <c r="B65" t="s">
        <v>17</v>
      </c>
      <c r="C65" t="s">
        <v>166</v>
      </c>
      <c r="D65" t="s">
        <v>167</v>
      </c>
      <c r="E65" t="s">
        <v>168</v>
      </c>
      <c r="F65" s="6">
        <v>1</v>
      </c>
      <c r="G65" s="6">
        <v>605</v>
      </c>
      <c r="H65" s="6">
        <v>25</v>
      </c>
      <c r="I65" s="6">
        <f t="shared" si="1"/>
        <v>580</v>
      </c>
      <c r="J65" t="s">
        <v>21</v>
      </c>
      <c r="K65" t="s">
        <v>22</v>
      </c>
      <c r="L65" t="s">
        <v>23</v>
      </c>
      <c r="Q65" s="6">
        <v>1</v>
      </c>
    </row>
    <row r="66" spans="1:17" x14ac:dyDescent="0.25">
      <c r="B66" t="s">
        <v>17</v>
      </c>
      <c r="C66" t="s">
        <v>169</v>
      </c>
      <c r="D66" t="s">
        <v>170</v>
      </c>
      <c r="E66" t="s">
        <v>171</v>
      </c>
      <c r="F66" t="s">
        <v>30</v>
      </c>
      <c r="G66" s="6">
        <v>0</v>
      </c>
      <c r="H66" s="6">
        <v>25</v>
      </c>
      <c r="I66" s="6">
        <f>-H66</f>
        <v>-25</v>
      </c>
      <c r="J66" t="s">
        <v>21</v>
      </c>
      <c r="K66" t="s">
        <v>22</v>
      </c>
      <c r="L66" t="s">
        <v>23</v>
      </c>
      <c r="Q66" s="6">
        <v>1</v>
      </c>
    </row>
    <row r="67" spans="1:17" x14ac:dyDescent="0.25">
      <c r="B67" t="s">
        <v>17</v>
      </c>
      <c r="C67" t="s">
        <v>101</v>
      </c>
      <c r="D67" t="s">
        <v>172</v>
      </c>
      <c r="E67" t="s">
        <v>173</v>
      </c>
      <c r="F67" s="6">
        <v>5</v>
      </c>
      <c r="G67" s="6">
        <v>845</v>
      </c>
      <c r="H67" s="6">
        <v>25</v>
      </c>
      <c r="I67" s="6">
        <f>G67-H67</f>
        <v>820</v>
      </c>
      <c r="J67" t="s">
        <v>21</v>
      </c>
      <c r="K67" t="s">
        <v>22</v>
      </c>
      <c r="L67" t="s">
        <v>23</v>
      </c>
      <c r="Q67" s="6">
        <v>1</v>
      </c>
    </row>
    <row r="68" spans="1:17" x14ac:dyDescent="0.25">
      <c r="B68" t="s">
        <v>17</v>
      </c>
      <c r="C68" t="s">
        <v>174</v>
      </c>
      <c r="D68" t="s">
        <v>175</v>
      </c>
      <c r="E68" t="s">
        <v>176</v>
      </c>
      <c r="F68" s="6">
        <v>4</v>
      </c>
      <c r="G68" s="6">
        <v>0</v>
      </c>
      <c r="H68" s="6">
        <v>25</v>
      </c>
      <c r="I68" s="6">
        <f>-H68</f>
        <v>-25</v>
      </c>
      <c r="J68" t="s">
        <v>21</v>
      </c>
      <c r="K68" t="s">
        <v>22</v>
      </c>
      <c r="L68" t="s">
        <v>23</v>
      </c>
      <c r="Q68" s="6">
        <v>1</v>
      </c>
    </row>
    <row r="69" spans="1:17" x14ac:dyDescent="0.25">
      <c r="B69" t="s">
        <v>17</v>
      </c>
      <c r="C69" t="s">
        <v>187</v>
      </c>
      <c r="D69" t="s">
        <v>188</v>
      </c>
      <c r="E69" t="s">
        <v>189</v>
      </c>
      <c r="F69" s="6">
        <v>1</v>
      </c>
      <c r="G69" s="6">
        <v>785</v>
      </c>
      <c r="H69" s="6">
        <v>25</v>
      </c>
      <c r="I69" s="6">
        <f>G69-H69</f>
        <v>760</v>
      </c>
      <c r="J69" t="s">
        <v>21</v>
      </c>
      <c r="K69" t="s">
        <v>22</v>
      </c>
      <c r="L69" t="s">
        <v>23</v>
      </c>
      <c r="Q69" s="6">
        <v>1</v>
      </c>
    </row>
    <row r="70" spans="1:17" x14ac:dyDescent="0.25">
      <c r="B70" t="s">
        <v>17</v>
      </c>
      <c r="C70" t="s">
        <v>190</v>
      </c>
      <c r="D70" t="s">
        <v>191</v>
      </c>
      <c r="E70" t="s">
        <v>192</v>
      </c>
      <c r="F70" s="6">
        <v>4</v>
      </c>
      <c r="G70" s="6">
        <v>785</v>
      </c>
      <c r="H70" s="6">
        <v>25</v>
      </c>
      <c r="I70" s="6">
        <f>G70-H70</f>
        <v>760</v>
      </c>
      <c r="J70" t="s">
        <v>21</v>
      </c>
      <c r="K70" t="s">
        <v>22</v>
      </c>
      <c r="L70" t="s">
        <v>23</v>
      </c>
      <c r="Q70" s="6">
        <v>1</v>
      </c>
    </row>
    <row r="71" spans="1:17" x14ac:dyDescent="0.25">
      <c r="B71" t="s">
        <v>17</v>
      </c>
      <c r="C71" t="s">
        <v>205</v>
      </c>
      <c r="D71" t="s">
        <v>206</v>
      </c>
      <c r="E71" t="s">
        <v>207</v>
      </c>
      <c r="F71" s="6">
        <v>3</v>
      </c>
      <c r="G71" s="6">
        <v>2340</v>
      </c>
      <c r="H71" s="6">
        <v>30</v>
      </c>
      <c r="I71" s="6">
        <f>G71-H71</f>
        <v>2310</v>
      </c>
      <c r="J71" t="s">
        <v>21</v>
      </c>
      <c r="K71" t="s">
        <v>22</v>
      </c>
      <c r="L71" t="s">
        <v>23</v>
      </c>
      <c r="M71" t="s">
        <v>208</v>
      </c>
      <c r="Q71" s="6">
        <v>1</v>
      </c>
    </row>
    <row r="72" spans="1:17" x14ac:dyDescent="0.25">
      <c r="B72" t="s">
        <v>17</v>
      </c>
      <c r="C72" t="s">
        <v>209</v>
      </c>
      <c r="D72" t="s">
        <v>210</v>
      </c>
      <c r="E72" t="s">
        <v>211</v>
      </c>
      <c r="F72" s="6">
        <v>4</v>
      </c>
      <c r="G72" s="6">
        <v>765</v>
      </c>
      <c r="H72" s="6">
        <v>25</v>
      </c>
      <c r="I72" s="6">
        <f>G72-H72</f>
        <v>740</v>
      </c>
      <c r="J72" t="s">
        <v>21</v>
      </c>
      <c r="K72" t="s">
        <v>22</v>
      </c>
      <c r="L72" t="s">
        <v>23</v>
      </c>
      <c r="Q72" s="6">
        <v>1</v>
      </c>
    </row>
    <row r="73" spans="1:17" x14ac:dyDescent="0.25">
      <c r="B73" t="s">
        <v>17</v>
      </c>
      <c r="C73" t="s">
        <v>212</v>
      </c>
      <c r="D73" t="s">
        <v>213</v>
      </c>
      <c r="E73" t="s">
        <v>214</v>
      </c>
      <c r="F73" t="s">
        <v>30</v>
      </c>
      <c r="G73" s="6">
        <v>0</v>
      </c>
      <c r="H73" s="6">
        <v>25</v>
      </c>
      <c r="I73" s="6">
        <f>-H73</f>
        <v>-25</v>
      </c>
      <c r="J73" t="s">
        <v>21</v>
      </c>
      <c r="K73" t="s">
        <v>22</v>
      </c>
      <c r="L73" t="s">
        <v>23</v>
      </c>
      <c r="Q73" s="6">
        <v>1</v>
      </c>
    </row>
    <row r="74" spans="1:17" x14ac:dyDescent="0.25">
      <c r="A74" t="s">
        <v>148</v>
      </c>
      <c r="B74" t="s">
        <v>17</v>
      </c>
      <c r="C74" t="s">
        <v>233</v>
      </c>
      <c r="E74" t="s">
        <v>234</v>
      </c>
      <c r="F74" t="s">
        <v>30</v>
      </c>
      <c r="G74" s="6">
        <v>0</v>
      </c>
      <c r="H74" s="6">
        <v>30</v>
      </c>
      <c r="I74" s="6">
        <f>-H74</f>
        <v>-30</v>
      </c>
      <c r="J74" t="s">
        <v>21</v>
      </c>
      <c r="K74" t="s">
        <v>22</v>
      </c>
      <c r="L74" t="s">
        <v>23</v>
      </c>
      <c r="Q74" s="6">
        <v>1</v>
      </c>
    </row>
    <row r="75" spans="1:17" s="2" customFormat="1" x14ac:dyDescent="0.25">
      <c r="B75" s="2" t="s">
        <v>17</v>
      </c>
      <c r="C75" s="2" t="s">
        <v>250</v>
      </c>
      <c r="D75" s="2" t="s">
        <v>251</v>
      </c>
      <c r="E75" s="2" t="s">
        <v>252</v>
      </c>
      <c r="F75" s="10">
        <v>12</v>
      </c>
      <c r="G75" s="10">
        <v>790</v>
      </c>
      <c r="H75" s="10">
        <v>0</v>
      </c>
      <c r="I75" s="10">
        <f>G75-H75</f>
        <v>790</v>
      </c>
      <c r="J75" s="2" t="s">
        <v>135</v>
      </c>
      <c r="K75" s="2" t="s">
        <v>22</v>
      </c>
      <c r="L75" s="2" t="s">
        <v>253</v>
      </c>
      <c r="M75" s="2" t="s">
        <v>249</v>
      </c>
      <c r="N75" s="2" t="s">
        <v>137</v>
      </c>
      <c r="O75" s="2" t="s">
        <v>137</v>
      </c>
      <c r="P75" s="2" t="s">
        <v>138</v>
      </c>
      <c r="Q75" s="10">
        <v>1</v>
      </c>
    </row>
    <row r="76" spans="1:17" s="2" customFormat="1" x14ac:dyDescent="0.25">
      <c r="B76" s="2" t="s">
        <v>17</v>
      </c>
      <c r="C76" s="2" t="s">
        <v>131</v>
      </c>
      <c r="D76" s="2" t="s">
        <v>132</v>
      </c>
      <c r="E76" s="2" t="s">
        <v>133</v>
      </c>
      <c r="F76" s="2" t="s">
        <v>134</v>
      </c>
      <c r="G76" s="10">
        <v>820</v>
      </c>
      <c r="H76" s="10">
        <v>0</v>
      </c>
      <c r="I76" s="10">
        <f>G76-H76</f>
        <v>820</v>
      </c>
      <c r="J76" s="2" t="s">
        <v>135</v>
      </c>
      <c r="K76" s="2" t="s">
        <v>22</v>
      </c>
      <c r="L76" s="2" t="s">
        <v>23</v>
      </c>
      <c r="M76" s="2" t="s">
        <v>136</v>
      </c>
      <c r="N76" s="2" t="s">
        <v>137</v>
      </c>
      <c r="P76" s="2" t="s">
        <v>138</v>
      </c>
      <c r="Q76" s="10">
        <v>1</v>
      </c>
    </row>
    <row r="77" spans="1:17" s="2" customFormat="1" x14ac:dyDescent="0.25">
      <c r="B77" s="2" t="s">
        <v>17</v>
      </c>
      <c r="C77" s="2" t="s">
        <v>245</v>
      </c>
      <c r="D77" s="2" t="s">
        <v>246</v>
      </c>
      <c r="E77" s="2" t="s">
        <v>247</v>
      </c>
      <c r="F77" s="10">
        <v>9</v>
      </c>
      <c r="G77" s="10">
        <v>820</v>
      </c>
      <c r="H77" s="10">
        <v>0</v>
      </c>
      <c r="I77" s="10">
        <f>G77-H77</f>
        <v>820</v>
      </c>
      <c r="J77" s="2" t="s">
        <v>135</v>
      </c>
      <c r="K77" s="2" t="s">
        <v>22</v>
      </c>
      <c r="L77" s="2" t="s">
        <v>248</v>
      </c>
      <c r="M77" s="2" t="s">
        <v>249</v>
      </c>
      <c r="N77" s="2" t="s">
        <v>137</v>
      </c>
      <c r="O77" s="2" t="s">
        <v>137</v>
      </c>
      <c r="P77" s="2" t="s">
        <v>138</v>
      </c>
      <c r="Q77" s="10">
        <v>1</v>
      </c>
    </row>
    <row r="79" spans="1:17" x14ac:dyDescent="0.25">
      <c r="D79" s="1">
        <f>COUNTA(D3:D77)</f>
        <v>65</v>
      </c>
      <c r="G79" s="1">
        <f t="shared" ref="G79:Q79" si="2">SUBTOTAL(9,G3:G77)</f>
        <v>57515</v>
      </c>
      <c r="H79" s="1">
        <f t="shared" si="2"/>
        <v>1970</v>
      </c>
      <c r="I79" s="1">
        <f>SUBTOTAL(9,I3:I77)</f>
        <v>55545</v>
      </c>
      <c r="J79" s="1">
        <f t="shared" si="2"/>
        <v>0</v>
      </c>
      <c r="K79" s="1">
        <f t="shared" si="2"/>
        <v>0</v>
      </c>
      <c r="L79" s="1">
        <f t="shared" si="2"/>
        <v>0</v>
      </c>
      <c r="M79" s="1">
        <f t="shared" si="2"/>
        <v>0</v>
      </c>
      <c r="N79" s="1">
        <f t="shared" si="2"/>
        <v>0</v>
      </c>
      <c r="O79" s="1">
        <f t="shared" si="2"/>
        <v>0</v>
      </c>
      <c r="P79" s="1">
        <f t="shared" si="2"/>
        <v>0</v>
      </c>
      <c r="Q79" s="1">
        <f t="shared" si="2"/>
        <v>75</v>
      </c>
    </row>
    <row r="80" spans="1:17" x14ac:dyDescent="0.25">
      <c r="H80">
        <f>-17*17</f>
        <v>-289</v>
      </c>
    </row>
    <row r="81" spans="1:16" x14ac:dyDescent="0.25">
      <c r="A81" s="1" t="s">
        <v>17</v>
      </c>
      <c r="C81" s="13" t="s">
        <v>254</v>
      </c>
      <c r="D81" s="13"/>
      <c r="E81" s="4" t="s">
        <v>255</v>
      </c>
      <c r="H81">
        <f>-9*25</f>
        <v>-225</v>
      </c>
      <c r="K81" s="7" t="s">
        <v>21</v>
      </c>
      <c r="L81" s="7" t="s">
        <v>256</v>
      </c>
      <c r="M81" s="7" t="s">
        <v>255</v>
      </c>
      <c r="O81" s="4" t="s">
        <v>257</v>
      </c>
    </row>
    <row r="82" spans="1:16" x14ac:dyDescent="0.25">
      <c r="A82" t="s">
        <v>23</v>
      </c>
      <c r="B82" s="3" t="s">
        <v>258</v>
      </c>
      <c r="C82" s="14">
        <f>SUMIFS(I$3:I$77,B$3:B$77,A$81,L$3:L$77,A$82)</f>
        <v>53935</v>
      </c>
      <c r="D82" s="14"/>
      <c r="E82" s="3">
        <f>SUMIFS(Q$3:Q$77,B$3:B$77,A$81,L$3:L$77,A$82)</f>
        <v>73</v>
      </c>
      <c r="F82" t="s">
        <v>259</v>
      </c>
      <c r="H82">
        <f>-2*30</f>
        <v>-60</v>
      </c>
      <c r="K82" t="s">
        <v>260</v>
      </c>
      <c r="L82">
        <f>SUMIFS(G$3:G$77,J$3:J$77,K$81)</f>
        <v>17240</v>
      </c>
      <c r="M82">
        <f>SUMIFS(Q$3:Q$77,J$3:J$77,K$81)</f>
        <v>22</v>
      </c>
      <c r="O82" t="s">
        <v>21</v>
      </c>
      <c r="P82">
        <f>L87</f>
        <v>16790</v>
      </c>
    </row>
    <row r="83" spans="1:16" x14ac:dyDescent="0.25">
      <c r="B83" s="2" t="s">
        <v>261</v>
      </c>
      <c r="C83" s="15">
        <v>0</v>
      </c>
      <c r="D83" s="15"/>
      <c r="K83" t="s">
        <v>262</v>
      </c>
      <c r="L83">
        <f>-SUMIFS(H$3:H$77,J$3:J$77,K$81)+M83*5</f>
        <v>-450</v>
      </c>
      <c r="M83">
        <f>SUMIFS(Q$3:Q$77,J$3:J$77,K$81)-COUNTIFS(J$3:J$77,K$81,M$3:M$77,"*gộp*")</f>
        <v>22</v>
      </c>
      <c r="O83" t="s">
        <v>263</v>
      </c>
      <c r="P83">
        <f>L95</f>
        <v>13936</v>
      </c>
    </row>
    <row r="84" spans="1:16" x14ac:dyDescent="0.25">
      <c r="B84" s="2" t="s">
        <v>264</v>
      </c>
      <c r="C84" s="15">
        <f>-SUMIFS(I$3:I$77,B$3:B$77,A$81,P$3:P$77,"xx",N$3:N$77,"x")</f>
        <v>-2430</v>
      </c>
      <c r="D84" s="15"/>
      <c r="E84" s="2">
        <f>SUMIFS(Q$3:Q$77,B$3:B$77,A$81,P$3:P$77,"xx",N$3:N$77,"x")</f>
        <v>3</v>
      </c>
      <c r="K84" t="s">
        <v>265</v>
      </c>
      <c r="O84" t="s">
        <v>22</v>
      </c>
      <c r="P84">
        <f>L103</f>
        <v>19465</v>
      </c>
    </row>
    <row r="85" spans="1:16" x14ac:dyDescent="0.25">
      <c r="B85" s="4" t="s">
        <v>266</v>
      </c>
      <c r="C85" s="13">
        <f>SUBTOTAL(9,C82:C84)</f>
        <v>51505</v>
      </c>
      <c r="D85" s="13"/>
      <c r="E85">
        <f>E82</f>
        <v>73</v>
      </c>
      <c r="K85" s="2" t="s">
        <v>249</v>
      </c>
      <c r="O85" t="s">
        <v>66</v>
      </c>
      <c r="P85">
        <f>L111</f>
        <v>1650</v>
      </c>
    </row>
    <row r="86" spans="1:16" x14ac:dyDescent="0.25">
      <c r="B86" s="2" t="s">
        <v>267</v>
      </c>
      <c r="C86" s="11"/>
      <c r="D86" s="11"/>
      <c r="K86" s="2" t="s">
        <v>268</v>
      </c>
      <c r="O86" t="s">
        <v>270</v>
      </c>
      <c r="P86">
        <f>-C89</f>
        <v>-51505</v>
      </c>
    </row>
    <row r="87" spans="1:16" x14ac:dyDescent="0.25">
      <c r="B87" s="8" t="s">
        <v>269</v>
      </c>
      <c r="C87" s="11"/>
      <c r="D87" s="11"/>
      <c r="L87" s="9">
        <f>SUBTOTAL(9,L82:L86)</f>
        <v>16790</v>
      </c>
      <c r="M87" s="9">
        <f>M82</f>
        <v>22</v>
      </c>
      <c r="O87" s="4" t="s">
        <v>271</v>
      </c>
      <c r="P87" s="4">
        <f>SUBTOTAL(9,P82:P86)</f>
        <v>336</v>
      </c>
    </row>
    <row r="89" spans="1:16" x14ac:dyDescent="0.25">
      <c r="B89" s="1" t="s">
        <v>272</v>
      </c>
      <c r="C89" s="12">
        <f>C85+C86+C87</f>
        <v>51505</v>
      </c>
      <c r="D89" s="12"/>
      <c r="E89" s="1" t="s">
        <v>273</v>
      </c>
      <c r="K89" s="7" t="s">
        <v>34</v>
      </c>
      <c r="L89" s="7" t="s">
        <v>256</v>
      </c>
      <c r="M89" s="7" t="s">
        <v>255</v>
      </c>
    </row>
    <row r="90" spans="1:16" x14ac:dyDescent="0.25">
      <c r="K90" t="s">
        <v>260</v>
      </c>
      <c r="L90">
        <f>SUMIFS(G$3:G$77,J$3:J$77,K$89)</f>
        <v>16130</v>
      </c>
      <c r="M90">
        <f>SUMIFS(Q$3:Q$77,J$3:J$77,K$89)</f>
        <v>28</v>
      </c>
    </row>
    <row r="91" spans="1:16" x14ac:dyDescent="0.25">
      <c r="K91" t="s">
        <v>262</v>
      </c>
      <c r="L91">
        <f>SUM(H80:H82)</f>
        <v>-574</v>
      </c>
      <c r="M91">
        <f>SUMIFS(Q$3:Q$77,J$3:J$77,K$89)</f>
        <v>28</v>
      </c>
    </row>
    <row r="92" spans="1:16" x14ac:dyDescent="0.25">
      <c r="K92" t="s">
        <v>265</v>
      </c>
    </row>
    <row r="93" spans="1:16" x14ac:dyDescent="0.25">
      <c r="K93" s="2" t="s">
        <v>249</v>
      </c>
      <c r="L93">
        <v>-1620</v>
      </c>
    </row>
    <row r="94" spans="1:16" x14ac:dyDescent="0.25">
      <c r="K94" s="2" t="s">
        <v>268</v>
      </c>
    </row>
    <row r="95" spans="1:16" x14ac:dyDescent="0.25">
      <c r="L95" s="9">
        <f>SUBTOTAL(9,L90:L94)</f>
        <v>13936</v>
      </c>
      <c r="M95" s="9">
        <f>M90</f>
        <v>28</v>
      </c>
    </row>
    <row r="97" spans="11:13" x14ac:dyDescent="0.25">
      <c r="K97" s="7" t="s">
        <v>22</v>
      </c>
      <c r="L97" s="7" t="s">
        <v>256</v>
      </c>
      <c r="M97" s="7" t="s">
        <v>255</v>
      </c>
    </row>
    <row r="98" spans="11:13" x14ac:dyDescent="0.25">
      <c r="K98" t="s">
        <v>260</v>
      </c>
      <c r="L98">
        <f>SUMIFS(G$3:G$77,J$3:J$77,K$97)</f>
        <v>20015</v>
      </c>
      <c r="M98">
        <f>SUMIFS(Q$3:Q$77,J$3:J$77,K$97)</f>
        <v>20</v>
      </c>
    </row>
    <row r="99" spans="11:13" x14ac:dyDescent="0.25">
      <c r="K99" t="s">
        <v>262</v>
      </c>
      <c r="L99">
        <f>-SUMIFS(H$3:H$77,J$3:J$77,K$97)+M99*5</f>
        <v>-410</v>
      </c>
      <c r="M99">
        <f>SUMIFS(Q$3:Q$77,J$3:J$77,K$97)-COUNTIFS(J$3:J$77,K$97,M$3:M$77,"*gộp*")</f>
        <v>20</v>
      </c>
    </row>
    <row r="100" spans="11:13" x14ac:dyDescent="0.25">
      <c r="K100" t="s">
        <v>265</v>
      </c>
      <c r="L100">
        <f>-M100*2</f>
        <v>-140</v>
      </c>
      <c r="M100">
        <f>E82-E84</f>
        <v>70</v>
      </c>
    </row>
    <row r="101" spans="11:13" x14ac:dyDescent="0.25">
      <c r="K101" s="2" t="s">
        <v>249</v>
      </c>
    </row>
    <row r="102" spans="11:13" x14ac:dyDescent="0.25">
      <c r="K102" s="2" t="s">
        <v>268</v>
      </c>
    </row>
    <row r="103" spans="11:13" x14ac:dyDescent="0.25">
      <c r="L103" s="9">
        <f>SUBTOTAL(9,L98:L102)</f>
        <v>19465</v>
      </c>
      <c r="M103" s="9">
        <f>M98</f>
        <v>20</v>
      </c>
    </row>
    <row r="105" spans="11:13" x14ac:dyDescent="0.25">
      <c r="K105" s="7" t="s">
        <v>66</v>
      </c>
      <c r="L105" s="7" t="s">
        <v>256</v>
      </c>
      <c r="M105" s="7" t="s">
        <v>255</v>
      </c>
    </row>
    <row r="106" spans="11:13" x14ac:dyDescent="0.25">
      <c r="K106" t="s">
        <v>260</v>
      </c>
      <c r="L106">
        <f>SUMIFS(G$3:G$77,J$3:J$77,K$105)</f>
        <v>1700</v>
      </c>
      <c r="M106">
        <f>SUMIFS(Q$3:Q$77,J$3:J$77,K$105)</f>
        <v>2</v>
      </c>
    </row>
    <row r="107" spans="11:13" x14ac:dyDescent="0.25">
      <c r="K107" t="s">
        <v>262</v>
      </c>
      <c r="L107">
        <f>-SUMIFS(H$3:H$77,J$3:J$77,K$105)+M107*5</f>
        <v>-50</v>
      </c>
      <c r="M107">
        <f>SUMIFS(Q$3:Q$77,J$3:J$77,K$105)-COUNTIFS(J$3:J$77,K$105,M$3:M$77,"*gộp*")</f>
        <v>2</v>
      </c>
    </row>
    <row r="108" spans="11:13" x14ac:dyDescent="0.25">
      <c r="K108" t="s">
        <v>265</v>
      </c>
    </row>
    <row r="109" spans="11:13" x14ac:dyDescent="0.25">
      <c r="K109" s="2" t="s">
        <v>249</v>
      </c>
    </row>
    <row r="110" spans="11:13" x14ac:dyDescent="0.25">
      <c r="K110" s="2" t="s">
        <v>268</v>
      </c>
    </row>
    <row r="111" spans="11:13" x14ac:dyDescent="0.25">
      <c r="L111" s="9">
        <f>SUBTOTAL(9,L106:L110)</f>
        <v>1650</v>
      </c>
      <c r="M111" s="9">
        <f>M106</f>
        <v>2</v>
      </c>
    </row>
  </sheetData>
  <autoFilter ref="A2:P77" xr:uid="{00000000-0009-0000-0000-000000000000}">
    <sortState xmlns:xlrd2="http://schemas.microsoft.com/office/spreadsheetml/2017/richdata2" ref="A3:P77">
      <sortCondition ref="J2:J77"/>
    </sortState>
  </autoFilter>
  <mergeCells count="8">
    <mergeCell ref="C86:D86"/>
    <mergeCell ref="C87:D87"/>
    <mergeCell ref="C89:D89"/>
    <mergeCell ref="C81:D81"/>
    <mergeCell ref="C82:D82"/>
    <mergeCell ref="C83:D83"/>
    <mergeCell ref="C84:D84"/>
    <mergeCell ref="C85:D8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2026-03-23T11:38:26Z</dcterms:created>
  <dcterms:modified xsi:type="dcterms:W3CDTF">2026-03-24T10:25:16Z</dcterms:modified>
</cp:coreProperties>
</file>