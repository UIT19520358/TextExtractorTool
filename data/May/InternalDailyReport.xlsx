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9FE7E08-7A5E-4188-9E5E-7071CEB1D21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Sheet1" sheetId="19" r:id="rId5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58" i="7" s="1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H60" i="7"/>
  <c r="C61" i="7"/>
  <c r="C64" i="7" s="1"/>
  <c r="C68" i="7" s="1"/>
  <c r="P65" i="7" s="1"/>
  <c r="E61" i="7"/>
  <c r="E64" i="7" s="1"/>
  <c r="M79" i="7" s="1"/>
  <c r="L79" i="7" s="1"/>
  <c r="L61" i="7"/>
  <c r="L66" i="7" s="1"/>
  <c r="P61" i="7" s="1"/>
  <c r="M61" i="7"/>
  <c r="M66" i="7" s="1"/>
  <c r="M62" i="7"/>
  <c r="C63" i="7"/>
  <c r="E63" i="7"/>
  <c r="L69" i="7"/>
  <c r="L74" i="7" s="1"/>
  <c r="P62" i="7" s="1"/>
  <c r="M69" i="7"/>
  <c r="M70" i="7"/>
  <c r="L70" i="7" s="1"/>
  <c r="M74" i="7"/>
  <c r="L77" i="7"/>
  <c r="M77" i="7"/>
  <c r="M82" i="7" s="1"/>
  <c r="L78" i="7"/>
  <c r="M78" i="7"/>
  <c r="L85" i="7"/>
  <c r="M85" i="7"/>
  <c r="M86" i="7"/>
  <c r="L86" i="7" s="1"/>
  <c r="L90" i="7" s="1"/>
  <c r="P64" i="7" s="1"/>
  <c r="M90" i="7"/>
  <c r="I3" i="8"/>
  <c r="I28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E34" i="8" s="1"/>
  <c r="M57" i="8" s="1"/>
  <c r="L57" i="8" s="1"/>
  <c r="H31" i="8"/>
  <c r="L31" i="8"/>
  <c r="L36" i="8" s="1"/>
  <c r="P31" i="8" s="1"/>
  <c r="M31" i="8"/>
  <c r="M32" i="8"/>
  <c r="C33" i="8"/>
  <c r="E33" i="8"/>
  <c r="M36" i="8"/>
  <c r="L39" i="8"/>
  <c r="L44" i="8" s="1"/>
  <c r="P32" i="8" s="1"/>
  <c r="M39" i="8"/>
  <c r="M44" i="8" s="1"/>
  <c r="L40" i="8"/>
  <c r="M40" i="8"/>
  <c r="L47" i="8"/>
  <c r="L52" i="8" s="1"/>
  <c r="P33" i="8" s="1"/>
  <c r="M47" i="8"/>
  <c r="M48" i="8"/>
  <c r="L48" i="8" s="1"/>
  <c r="M52" i="8"/>
  <c r="L55" i="8"/>
  <c r="M55" i="8"/>
  <c r="M60" i="8" s="1"/>
  <c r="L56" i="8"/>
  <c r="M56" i="8"/>
  <c r="I3" i="9"/>
  <c r="I57" i="9" s="1"/>
  <c r="I4" i="9"/>
  <c r="I5" i="9"/>
  <c r="I6" i="9"/>
  <c r="C60" i="9" s="1"/>
  <c r="C63" i="9" s="1"/>
  <c r="C67" i="9" s="1"/>
  <c r="P63" i="9" s="1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L69" i="9" s="1"/>
  <c r="L73" i="9" s="1"/>
  <c r="P61" i="9" s="1"/>
  <c r="H59" i="9"/>
  <c r="E60" i="9"/>
  <c r="H60" i="9"/>
  <c r="L60" i="9"/>
  <c r="M60" i="9"/>
  <c r="M65" i="9" s="1"/>
  <c r="L61" i="9"/>
  <c r="M61" i="9"/>
  <c r="C62" i="9"/>
  <c r="E62" i="9"/>
  <c r="E63" i="9"/>
  <c r="M78" i="9" s="1"/>
  <c r="L78" i="9" s="1"/>
  <c r="L65" i="9"/>
  <c r="P60" i="9" s="1"/>
  <c r="L68" i="9"/>
  <c r="M68" i="9"/>
  <c r="M73" i="9" s="1"/>
  <c r="M69" i="9"/>
  <c r="L76" i="9"/>
  <c r="M76" i="9"/>
  <c r="M81" i="9" s="1"/>
  <c r="M77" i="9"/>
  <c r="L77" i="9" s="1"/>
  <c r="D3" i="19" a="1"/>
  <c r="E30" i="19" a="1"/>
  <c r="I24" i="10"/>
  <c r="I25" i="10"/>
  <c r="I15" i="10"/>
  <c r="I26" i="10"/>
  <c r="I27" i="10"/>
  <c r="I3" i="10"/>
  <c r="I16" i="10"/>
  <c r="I4" i="10"/>
  <c r="I17" i="10"/>
  <c r="I5" i="10"/>
  <c r="I6" i="10"/>
  <c r="I18" i="10"/>
  <c r="C39" i="10" s="1"/>
  <c r="C42" i="10" s="1"/>
  <c r="C46" i="10" s="1"/>
  <c r="P42" i="10" s="1"/>
  <c r="I19" i="10"/>
  <c r="I7" i="10"/>
  <c r="I28" i="10"/>
  <c r="I20" i="10"/>
  <c r="I29" i="10"/>
  <c r="I21" i="10"/>
  <c r="I30" i="10"/>
  <c r="I22" i="10"/>
  <c r="I8" i="10"/>
  <c r="I9" i="10"/>
  <c r="I10" i="10"/>
  <c r="I31" i="10"/>
  <c r="I11" i="10"/>
  <c r="I23" i="10"/>
  <c r="I32" i="10"/>
  <c r="I12" i="10"/>
  <c r="I33" i="10"/>
  <c r="I13" i="10"/>
  <c r="I34" i="10"/>
  <c r="I14" i="10"/>
  <c r="D36" i="10"/>
  <c r="G36" i="10"/>
  <c r="H36" i="10"/>
  <c r="I36" i="10"/>
  <c r="J36" i="10"/>
  <c r="K36" i="10"/>
  <c r="L36" i="10"/>
  <c r="M36" i="10"/>
  <c r="N36" i="10"/>
  <c r="O36" i="10"/>
  <c r="P36" i="10"/>
  <c r="Q36" i="10"/>
  <c r="H37" i="10"/>
  <c r="L56" i="10" s="1"/>
  <c r="H38" i="10"/>
  <c r="E39" i="10"/>
  <c r="E42" i="10" s="1"/>
  <c r="M49" i="10" s="1"/>
  <c r="L49" i="10" s="1"/>
  <c r="H39" i="10"/>
  <c r="L39" i="10"/>
  <c r="M39" i="10"/>
  <c r="M44" i="10" s="1"/>
  <c r="M40" i="10"/>
  <c r="L40" i="10" s="1"/>
  <c r="C41" i="10"/>
  <c r="E41" i="10"/>
  <c r="L47" i="10"/>
  <c r="M47" i="10"/>
  <c r="M52" i="10" s="1"/>
  <c r="M48" i="10"/>
  <c r="L48" i="10" s="1"/>
  <c r="L55" i="10"/>
  <c r="L60" i="10" s="1"/>
  <c r="P41" i="10" s="1"/>
  <c r="M55" i="10"/>
  <c r="M60" i="10" s="1"/>
  <c r="M56" i="10"/>
  <c r="B25" i="19"/>
  <c r="D13" i="19" a="1"/>
  <c r="B5" i="19"/>
  <c r="D5" i="19" a="1"/>
  <c r="C12" i="19"/>
  <c r="C9" i="19"/>
  <c r="D16" i="19" a="1"/>
  <c r="B14" i="19"/>
  <c r="D8" i="19" a="1"/>
  <c r="C18" i="19"/>
  <c r="C10" i="19"/>
  <c r="C28" i="19"/>
  <c r="C16" i="19"/>
  <c r="D19" i="19" a="1"/>
  <c r="B23" i="19"/>
  <c r="D11" i="19" a="1"/>
  <c r="D6" i="19" a="1"/>
  <c r="C27" i="19"/>
  <c r="D17" i="19" a="1"/>
  <c r="B20" i="19"/>
  <c r="B27" i="19"/>
  <c r="C3" i="19"/>
  <c r="C20" i="19"/>
  <c r="D28" i="19" a="1"/>
  <c r="C22" i="19"/>
  <c r="B8" i="19"/>
  <c r="C8" i="19"/>
  <c r="D14" i="19" a="1"/>
  <c r="D18" i="19" a="1"/>
  <c r="D9" i="19" a="1"/>
  <c r="B11" i="19"/>
  <c r="C17" i="19"/>
  <c r="D21" i="19" a="1"/>
  <c r="D15" i="19" a="1"/>
  <c r="C14" i="19"/>
  <c r="B28" i="19"/>
  <c r="C4" i="19"/>
  <c r="B9" i="19"/>
  <c r="D3" i="19"/>
  <c r="D22" i="19" a="1"/>
  <c r="C11" i="19"/>
  <c r="C24" i="19"/>
  <c r="B4" i="19"/>
  <c r="C7" i="19"/>
  <c r="B17" i="19"/>
  <c r="C26" i="19"/>
  <c r="D26" i="19" a="1"/>
  <c r="B21" i="19"/>
  <c r="C13" i="19"/>
  <c r="C25" i="19"/>
  <c r="D12" i="19" a="1"/>
  <c r="B10" i="19"/>
  <c r="C19" i="19"/>
  <c r="B26" i="19"/>
  <c r="C5" i="19"/>
  <c r="B6" i="19"/>
  <c r="C15" i="19"/>
  <c r="B12" i="19"/>
  <c r="B13" i="19"/>
  <c r="B16" i="19"/>
  <c r="D4" i="19" a="1"/>
  <c r="C23" i="19"/>
  <c r="B15" i="19"/>
  <c r="B19" i="19"/>
  <c r="D7" i="19" a="1"/>
  <c r="D20" i="19" a="1"/>
  <c r="D23" i="19" a="1"/>
  <c r="B18" i="19"/>
  <c r="D24" i="19" a="1"/>
  <c r="B24" i="19"/>
  <c r="C21" i="19"/>
  <c r="B22" i="19"/>
  <c r="D10" i="19" a="1"/>
  <c r="D27" i="19" a="1"/>
  <c r="D25" i="19" a="1"/>
  <c r="C6" i="19"/>
  <c r="L44" i="10" l="1"/>
  <c r="P39" i="10" s="1"/>
  <c r="L52" i="10"/>
  <c r="D28" i="19"/>
  <c r="E28" i="19" s="1"/>
  <c r="D21" i="19"/>
  <c r="E21" i="19" s="1"/>
  <c r="D9" i="19"/>
  <c r="E9" i="19" s="1"/>
  <c r="D24" i="19"/>
  <c r="E24" i="19" s="1"/>
  <c r="D12" i="19"/>
  <c r="E12" i="19" s="1"/>
  <c r="D18" i="19"/>
  <c r="E18" i="19" s="1"/>
  <c r="D6" i="19"/>
  <c r="E6" i="19" s="1"/>
  <c r="D22" i="19"/>
  <c r="E22" i="19" s="1"/>
  <c r="D26" i="19"/>
  <c r="E26" i="19" s="1"/>
  <c r="D17" i="19"/>
  <c r="E17" i="19" s="1"/>
  <c r="D14" i="19"/>
  <c r="E14" i="19" s="1"/>
  <c r="D11" i="19"/>
  <c r="E11" i="19" s="1"/>
  <c r="D8" i="19"/>
  <c r="E8" i="19" s="1"/>
  <c r="D5" i="19"/>
  <c r="E5" i="19" s="1"/>
  <c r="D25" i="19"/>
  <c r="E25" i="19" s="1"/>
  <c r="D23" i="19"/>
  <c r="E23" i="19" s="1"/>
  <c r="D15" i="19"/>
  <c r="E15" i="19" s="1"/>
  <c r="D27" i="19"/>
  <c r="E27" i="19" s="1"/>
  <c r="D20" i="19"/>
  <c r="E20" i="19" s="1"/>
  <c r="D19" i="19"/>
  <c r="E19" i="19" s="1"/>
  <c r="D16" i="19"/>
  <c r="E16" i="19" s="1"/>
  <c r="D13" i="19"/>
  <c r="E13" i="19" s="1"/>
  <c r="D10" i="19"/>
  <c r="E10" i="19" s="1"/>
  <c r="D7" i="19"/>
  <c r="D4" i="19"/>
  <c r="E4" i="19" s="1"/>
  <c r="P64" i="9"/>
  <c r="L60" i="8"/>
  <c r="P34" i="8" s="1"/>
  <c r="P36" i="8" s="1"/>
  <c r="L81" i="9"/>
  <c r="P62" i="9" s="1"/>
  <c r="L82" i="7"/>
  <c r="C31" i="8"/>
  <c r="C34" i="8" s="1"/>
  <c r="C38" i="8" s="1"/>
  <c r="P35" i="8" s="1"/>
  <c r="B7" i="19"/>
  <c r="B3" i="19"/>
  <c r="E7" i="19" l="1"/>
  <c r="E29" i="19" s="1"/>
  <c r="E31" i="19" s="1"/>
  <c r="P40" i="10"/>
  <c r="P43" i="10" s="1"/>
  <c r="E3" i="19"/>
  <c r="P63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<sst xmlns="http://schemas.openxmlformats.org/spreadsheetml/2006/main" count="1529" uniqueCount="545">
  <si>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</si>
  <si>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</si>
  <si>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</si>
  <si>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</si>
  <si>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</si>
  <si>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</si>
  <si>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</si>
  <si>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</si>
  <si>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</si>
  <si>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</si>
  <si>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</si>
  <si>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</si>
  <si>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</si>
  <si>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</si>
  <si>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</si>
  <si>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</si>
  <si>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</si>
  <si>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</si>
  <si>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</si>
  <si>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</si>
  <si>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</si>
  <si>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</si>
  <si>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</si>
  <si>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</si>
  <si>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</si>
  <si>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</si>
  <si>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</si>
  <si>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</si>
  <si>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</si>
  <si>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</si>
  <si>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</si>
  <si>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</si>
  <si>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</si>
  <si>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</si>
  <si>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</si>
  <si>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</si>
  <si>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</si>
  <si>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</si>
  <si>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</si>
  <si>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</si>
  <si>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</si>
  <si>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</si>
  <si>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</si>
  <si>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</si>
  <si>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</si>
  <si>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</si>
  <si>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</si>
  <si>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</si>
  <si>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</si>
  <si>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</si>
  <si>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</si>
  <si>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</si>
  <si>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</si>
  <si>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</si>
  <si>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</si>
  <si>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</si>
  <si>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</si>
  <si>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</si>
  <si>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</si>
  <si>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</si>
  <si>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</si>
  <si>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</si>
  <si>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</si>
  <si>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</si>
  <si>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</si>
  <si>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</si>
  <si>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</si>
  <si>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</si>
  <si>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</si>
  <si>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</si>
  <si>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</si>
  <si>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</si>
  <si>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</si>
  <si>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</si>
  <si>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</si>
  <si>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</si>
  <si>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</si>
  <si>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</si>
  <si>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</si>
  <si>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</si>
  <si>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</si>
  <si>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</si>
  <si>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</si>
  <si>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</si>
  <si>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</si>
  <si>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</si>
  <si>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</si>
  <si>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</si>
  <si>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</si>
  <si>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</si>
  <si>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</si>
  <si>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</si>
  <si>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</si>
  <si>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</si>
  <si>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</si>
  <si>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</si>
  <si>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</si>
  <si>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</si>
  <si>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</si>
  <si>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</si>
  <si>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</si>
  <si>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</si>
  <si>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</si>
  <si>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</si>
  <si>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</si>
  <si>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</si>
  <si>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</si>
  <si>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</si>
  <si>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</si>
  <si>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</si>
  <si>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</si>
  <si>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</si>
  <si>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</si>
  <si>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</si>
  <si>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</si>
  <si>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</si>
  <si>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</si>
  <si>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</si>
  <si>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</si>
  <si>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</si>
  <si>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</si>
  <si>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</si>
  <si>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</si>
  <si>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</si>
  <si>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</si>
  <si>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</si>
  <si>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</si>
  <si>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</si>
  <si>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</si>
  <si>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</si>
  <si>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</si>
  <si>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</si>
  <si>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</si>
  <si>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</si>
  <si>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</si>
  <si>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</si>
  <si>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</si>
  <si>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</si>
  <si>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</si>
  <si>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</si>
  <si>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</si>
  <si>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</si>
  <si>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</si>
  <si>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</si>
  <si>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</si>
  <si>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</si>
  <si>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</si>
  <si>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</si>
  <si>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</si>
  <si>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</si>
  <si>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</si>
  <si>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</si>
  <si>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</si>
  <si>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</si>
  <si>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</si>
  <si>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</si>
  <si>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</si>
  <si>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</si>
  <si>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</si>
  <si>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</si>
  <si>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</si>
  <si>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</si>
  <si>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</si>
  <si>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</si>
  <si>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</si>
  <si>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</si>
  <si>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</si>
  <si>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</si>
  <si>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</si>
  <si>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</si>
  <si>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</si>
  <si>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</si>
  <si>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</si>
  <si>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</si>
  <si>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</si>
  <si>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</si>
  <si>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</si>
  <si>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</si>
  <si>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</si>
  <si>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</si>
  <si>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</si>
  <si>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</si>
  <si>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</si>
  <si>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</si>
  <si>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</si>
  <si>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</si>
  <si>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</si>
  <si>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</si>
  <si>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</si>
  <si>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</si>
  <si>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</si>
  <si>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</si>
  <si>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</si>
  <si>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</si>
  <si>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</si>
  <si>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</si>
  <si>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</si>
  <si>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</si>
  <si>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</si>
  <si>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</si>
  <si>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</si>
  <si>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</si>
  <si>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</si>
  <si>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</si>
  <si>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</si>
  <si>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</si>
  <si>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</si>
  <si>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</si>
  <si>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</si>
  <si>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</si>
  <si>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</si>
  <si>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</si>
  <si>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</si>
  <si>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</si>
  <si>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</si>
  <si>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</si>
  <si>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</si>
  <si>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</si>
  <si>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</si>
  <si>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</si>
  <si>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</si>
  <si>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</si>
  <si>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</si>
  <si>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</si>
  <si>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</si>
  <si>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</si>
  <si>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</si>
  <si>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</si>
  <si>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</si>
  <si>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</si>
  <si>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</si>
  <si>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</si>
  <si>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</si>
  <si>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</si>
  <si>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</si>
  <si>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</si>
  <si>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</si>
  <si>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</si>
  <si>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</si>
  <si>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</si>
  <si>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</si>
  <si>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</si>
  <si>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</si>
  <si>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</si>
  <si>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</si>
  <si>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</si>
  <si>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</si>
  <si>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</si>
  <si>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</si>
  <si>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</si>
  <si>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</si>
  <si>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</si>
  <si>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</si>
  <si>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</si>
  <si>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</si>
  <si>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</si>
  <si>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</si>
  <si>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</si>
  <si>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</si>
  <si>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</si>
  <si>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</si>
  <si>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</si>
  <si>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</si>
  <si>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</si>
  <si>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</si>
  <si>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</si>
  <si>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</si>
  <si>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</si>
  <si>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</si>
  <si>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</si>
  <si>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</si>
  <si>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</si>
  <si>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</si>
  <si>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</si>
  <si>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</si>
  <si>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</si>
  <si>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</si>
  <si>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</si>
  <si>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</si>
  <si>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</si>
  <si>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</si>
  <si>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</si>
  <si>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</si>
  <si>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</si>
  <si>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</si>
  <si>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</si>
  <si>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</si>
  <si>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</si>
  <si>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</si>
  <si>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</si>
  <si>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</si>
  <si>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</si>
  <si>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</si>
  <si>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</si>
  <si>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</si>
  <si>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</si>
  <si>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</si>
  <si>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</si>
  <si>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</si>
  <si>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</si>
  <si>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</si>
  <si>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</si>
  <si>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</si>
  <si>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</si>
  <si>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</si>
  <si>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</si>
  <si>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</si>
  <si>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</si>
  <si>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</si>
  <si>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</si>
  <si>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</si>
  <si>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</si>
  <si>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</si>
  <si>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</si>
  <si>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</si>
  <si>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</si>
  <si>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</si>
  <si>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</si>
  <si>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</si>
  <si>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</si>
  <si>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</si>
  <si>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</si>
  <si>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</si>
  <si>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</si>
  <si>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</si>
  <si>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</si>
  <si>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</si>
  <si>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</si>
  <si>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</si>
  <si>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</si>
  <si>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</si>
  <si>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</si>
  <si>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</si>
  <si>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</si>
  <si>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</si>
  <si>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</si>
  <si>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</si>
  <si>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</si>
  <si>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</si>
  <si>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</si>
  <si>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</si>
  <si>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</si>
  <si>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</si>
  <si>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</si>
  <si>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</si>
  <si>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</si>
  <si>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</si>
  <si>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</si>
  <si>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</si>
  <si>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</si>
  <si>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</si>
  <si>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</si>
  <si>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</si>
  <si>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</si>
  <si>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</si>
  <si>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</si>
  <si>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</si>
  <si>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</si>
  <si>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</si>
  <si>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</si>
  <si>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</si>
  <si>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</si>
  <si>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</si>
  <si>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</si>
  <si>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</si>
  <si>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</si>
  <si>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</si>
  <si>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</si>
  <si>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</si>
  <si>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</si>
  <si>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</si>
  <si>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</si>
  <si>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</si>
  <si>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</si>
  <si>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</si>
  <si>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</si>
  <si>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</si>
  <si>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</si>
  <si>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</si>
  <si>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</si>
  <si>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</si>
  <si>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</si>
  <si>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</si>
  <si>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</si>
  <si>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</si>
  <si>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</si>
  <si>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</si>
  <si>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</si>
  <si>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</si>
  <si>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</si>
  <si>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</si>
  <si>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</si>
  <si>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</si>
  <si>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</si>
  <si>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</si>
  <si>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</si>
  <si>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</si>
  <si>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</si>
  <si>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</si>
  <si>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</si>
  <si>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</si>
  <si>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</si>
  <si>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</si>
  <si>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</si>
  <si>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</si>
  <si>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</si>
  <si>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</si>
  <si>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</si>
  <si>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</si>
  <si>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</si>
  <si>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</si>
  <si>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</si>
  <si>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</si>
  <si>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</si>
  <si>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</si>
  <si>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</si>
  <si>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</si>
  <si>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</si>
  <si>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</si>
  <si>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</si>
  <si>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</si>
  <si>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</si>
  <si>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</si>
  <si>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</si>
  <si>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</si>
  <si>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</si>
  <si>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</si>
  <si>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</si>
  <si>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</si>
  <si>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</si>
  <si>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</si>
  <si>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</si>
  <si>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</si>
  <si>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</si>
  <si>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</si>
  <si>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</si>
  <si>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</si>
  <si>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</si>
  <si>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</si>
  <si>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</si>
  <si>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</si>
  <si>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</si>
  <si>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</si>
  <si>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</si>
  <si>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</si>
  <si>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</si>
  <si>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</si>
  <si>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</si>
  <si>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</si>
  <si>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</si>
  <si>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</si>
  <si>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</si>
  <si>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</si>
  <si>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</si>
  <si>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</si>
  <si>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</si>
  <si>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</si>
  <si>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</si>
  <si>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</si>
  <si>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</si>
  <si>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</si>
  <si>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</si>
  <si>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</si>
  <si>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</si>
  <si>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</si>
  <si>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</si>
  <si>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</si>
  <si>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</si>
  <si>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</si>
  <si>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</si>
  <si>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</si>
  <si>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</si>
  <si>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</si>
  <si>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</si>
  <si>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</si>
  <si>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</si>
  <si>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</si>
  <si>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</si>
  <si>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</si>
  <si>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</si>
  <si>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</si>
  <si>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</si>
  <si>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</si>
  <si>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</si>
  <si>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</si>
  <si>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</si>
  <si>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</si>
  <si>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</si>
  <si>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</si>
  <si>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</si>
  <si>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</si>
  <si>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</si>
  <si>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</si>
  <si>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</si>
  <si>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</si>
  <si>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</si>
  <si>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</si>
  <si>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</si>
  <si>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</si>
  <si>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</si>
  <si>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</si>
  <si>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</si>
  <si>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</si>
  <si>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</si>
  <si>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</si>
  <si>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</si>
  <si>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</si>
  <si>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</si>
  <si>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</si>
  <si>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</si>
  <si>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</si>
  <si>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</si>
  <si>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</si>
  <si>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</si>
  <si>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</si>
  <si>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</si>
  <si>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</si>
  <si>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</si>
  <si>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</si>
  <si>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</si>
  <si>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</si>
  <si>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</si>
  <si>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</si>
  <si>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</si>
  <si>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</si>
  <si>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</si>
  <si>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</si>
  <si>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</si>
  <si>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</si>
  <si>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</si>
  <si>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</si>
  <si>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</si>
  <si>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</si>
  <si>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</si>
  <si>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</si>
  <si>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</si>
  <si>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</si>
  <si>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</si>
  <si>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</si>
  <si>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</si>
  <si>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</si>
  <si>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</si>
  <si>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</si>
  <si>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</si>
  <si>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at 06-05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</si>
</sst>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0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3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27" t="s">
        <v>191</v>
      </c>
      <c r="D60" s="27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28">
        <f>SUMIFS(I$3:I$56,B$3:B$56,A$60,L$3:L$56,A$61)</f>
        <v>35295</v>
      </c>
      <c r="D61" s="28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29">
        <v>0</v>
      </c>
      <c r="D62" s="29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29">
        <f>-SUMIFS(I$3:I$56,B$3:B$56,A$60,P$3:P$56,"xx",N$3:N$56,"x")</f>
        <v>0</v>
      </c>
      <c r="D63" s="29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27">
        <f>SUBTOTAL(9,C61:C63)</f>
        <v>35295</v>
      </c>
      <c r="D64" s="27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25"/>
      <c r="D65" s="25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25"/>
      <c r="D66" s="25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26">
        <f>C64+C65+C66</f>
        <v>35295</v>
      </c>
      <c r="D68" s="26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workbookViewId="0">
      <selection activeCell="G48" sqref="G48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27" t="s">
        <v>191</v>
      </c>
      <c r="D30" s="27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28">
        <f>SUMIFS(I$3:I$26,B$3:B$26,A$30,L$3:L$26,A$31)</f>
        <v>9280</v>
      </c>
      <c r="D31" s="28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29">
        <v>0</v>
      </c>
      <c r="D32" s="29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29">
        <f>-SUMIFS(I$3:I$26,B$3:B$26,A$30,P$3:P$26,"xx",N$3:N$26,"x")</f>
        <v>-3055</v>
      </c>
      <c r="D33" s="29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27">
        <f>SUBTOTAL(9,C31:C33)</f>
        <v>6225</v>
      </c>
      <c r="D34" s="27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25"/>
      <c r="D35" s="25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25"/>
      <c r="D36" s="25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26">
        <f>C34+C35+C36</f>
        <v>6225</v>
      </c>
      <c r="D38" s="26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45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27" t="s">
        <v>191</v>
      </c>
      <c r="D59" s="27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28">
        <f>SUMIFS(I$3:I$55,B$3:B$55,A$59,L$3:L$55,A$60)</f>
        <v>37890</v>
      </c>
      <c r="D60" s="28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29">
        <v>0</v>
      </c>
      <c r="D61" s="29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29">
        <f>-SUMIFS(I$3:I$55,B$3:B$55,A$59,P$3:P$55,"xx",N$3:N$55,"x")</f>
        <v>0</v>
      </c>
      <c r="D62" s="29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27">
        <f>SUBTOTAL(9,C60:C62)</f>
        <v>37890</v>
      </c>
      <c r="D63" s="27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25"/>
      <c r="D64" s="25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25">
        <v>-30</v>
      </c>
      <c r="D65" s="25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26">
        <f>C63+C64+C65</f>
        <v>37860</v>
      </c>
      <c r="D67" s="26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abSelected="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462</v>
      </c>
      <c r="D3" s="15" t="s">
        <v>463</v>
      </c>
      <c r="E3" s="15" t="s">
        <v>464</v>
      </c>
      <c r="F3" s="15" t="s">
        <v>46</v>
      </c>
      <c r="G3" s="16">
        <v>0</v>
      </c>
      <c r="H3" s="16">
        <v>25</v>
      </c>
      <c r="I3" s="16">
        <f>G3-H3</f>
        <v>-25</v>
      </c>
      <c r="J3" s="15" t="s">
        <v>465</v>
      </c>
      <c r="K3" s="15" t="s">
        <v>21</v>
      </c>
      <c r="L3" s="15" t="s">
        <v>452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469</v>
      </c>
      <c r="D4" s="15" t="s">
        <v>470</v>
      </c>
      <c r="E4" s="15" t="s">
        <v>471</v>
      </c>
      <c r="F4" s="16">
        <v>12</v>
      </c>
      <c r="G4" s="16">
        <v>400</v>
      </c>
      <c r="H4" s="16">
        <v>30</v>
      </c>
      <c r="I4" s="16">
        <f>G4-H4</f>
        <v>370</v>
      </c>
      <c r="J4" s="15" t="s">
        <v>465</v>
      </c>
      <c r="K4" s="15" t="s">
        <v>21</v>
      </c>
      <c r="L4" s="15" t="s">
        <v>452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475</v>
      </c>
      <c r="D5" s="15" t="s">
        <v>476</v>
      </c>
      <c r="E5" s="15" t="s">
        <v>477</v>
      </c>
      <c r="F5" s="16">
        <v>8</v>
      </c>
      <c r="G5" s="16">
        <v>1060</v>
      </c>
      <c r="H5" s="16">
        <v>30</v>
      </c>
      <c r="I5" s="16">
        <f>G5-H5</f>
        <v>1030</v>
      </c>
      <c r="J5" s="15" t="s">
        <v>465</v>
      </c>
      <c r="K5" s="15" t="s">
        <v>21</v>
      </c>
      <c r="L5" s="15" t="s">
        <v>452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478</v>
      </c>
      <c r="D6" s="15" t="s">
        <v>479</v>
      </c>
      <c r="E6" s="15" t="s">
        <v>480</v>
      </c>
      <c r="F6" s="15" t="s">
        <v>26</v>
      </c>
      <c r="G6" s="16">
        <v>820</v>
      </c>
      <c r="H6" s="16">
        <v>30</v>
      </c>
      <c r="I6" s="16">
        <f>G6-H6</f>
        <v>790</v>
      </c>
      <c r="J6" s="15" t="s">
        <v>465</v>
      </c>
      <c r="K6" s="15" t="s">
        <v>21</v>
      </c>
      <c r="L6" s="15" t="s">
        <v>452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487</v>
      </c>
      <c r="D7" s="15" t="s">
        <v>488</v>
      </c>
      <c r="E7" s="15" t="s">
        <v>489</v>
      </c>
      <c r="F7" s="16">
        <v>6</v>
      </c>
      <c r="G7" s="16">
        <v>0</v>
      </c>
      <c r="H7" s="16">
        <v>25</v>
      </c>
      <c r="I7" s="16">
        <f>G7-H7</f>
        <v>-25</v>
      </c>
      <c r="J7" s="15" t="s">
        <v>465</v>
      </c>
      <c r="K7" s="15" t="s">
        <v>21</v>
      </c>
      <c r="L7" s="15" t="s">
        <v>452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508</v>
      </c>
      <c r="D8" s="15" t="s">
        <v>509</v>
      </c>
      <c r="E8" s="15" t="s">
        <v>510</v>
      </c>
      <c r="F8" s="15" t="s">
        <v>26</v>
      </c>
      <c r="G8" s="16">
        <v>890</v>
      </c>
      <c r="H8" s="16">
        <v>30</v>
      </c>
      <c r="I8" s="16">
        <f>G8-H8</f>
        <v>860</v>
      </c>
      <c r="J8" s="15" t="s">
        <v>465</v>
      </c>
      <c r="K8" s="15" t="s">
        <v>21</v>
      </c>
      <c r="L8" s="15" t="s">
        <v>452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511</v>
      </c>
      <c r="D9" s="15" t="s">
        <v>512</v>
      </c>
      <c r="E9" s="15" t="s">
        <v>513</v>
      </c>
      <c r="F9" s="15" t="s">
        <v>26</v>
      </c>
      <c r="G9" s="16">
        <v>850</v>
      </c>
      <c r="H9" s="16">
        <v>30</v>
      </c>
      <c r="I9" s="16">
        <f>G9-H9</f>
        <v>820</v>
      </c>
      <c r="J9" s="15" t="s">
        <v>465</v>
      </c>
      <c r="K9" s="15" t="s">
        <v>21</v>
      </c>
      <c r="L9" s="15" t="s">
        <v>452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514</v>
      </c>
      <c r="D10" s="15" t="s">
        <v>515</v>
      </c>
      <c r="E10" s="15" t="s">
        <v>516</v>
      </c>
      <c r="F10" s="15" t="s">
        <v>139</v>
      </c>
      <c r="G10" s="16">
        <v>855</v>
      </c>
      <c r="H10" s="16">
        <v>35</v>
      </c>
      <c r="I10" s="16">
        <f>G10-H10</f>
        <v>820</v>
      </c>
      <c r="J10" s="15" t="s">
        <v>465</v>
      </c>
      <c r="K10" s="15" t="s">
        <v>21</v>
      </c>
      <c r="L10" s="15" t="s">
        <v>452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520</v>
      </c>
      <c r="D11" s="15" t="s">
        <v>521</v>
      </c>
      <c r="E11" s="15" t="s">
        <v>522</v>
      </c>
      <c r="F11" s="15" t="s">
        <v>46</v>
      </c>
      <c r="G11" s="16">
        <v>1175</v>
      </c>
      <c r="H11" s="16">
        <v>25</v>
      </c>
      <c r="I11" s="16">
        <f>G11-H11</f>
        <v>1150</v>
      </c>
      <c r="J11" s="15" t="s">
        <v>465</v>
      </c>
      <c r="K11" s="15" t="s">
        <v>21</v>
      </c>
      <c r="L11" s="15" t="s">
        <v>452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529</v>
      </c>
      <c r="D12" s="15" t="s">
        <v>530</v>
      </c>
      <c r="E12" s="15" t="s">
        <v>531</v>
      </c>
      <c r="F12" s="15" t="s">
        <v>95</v>
      </c>
      <c r="G12" s="16">
        <v>715</v>
      </c>
      <c r="H12" s="16">
        <v>25</v>
      </c>
      <c r="I12" s="16">
        <f>G12-H12</f>
        <v>690</v>
      </c>
      <c r="J12" s="15" t="s">
        <v>465</v>
      </c>
      <c r="K12" s="15" t="s">
        <v>21</v>
      </c>
      <c r="L12" s="15" t="s">
        <v>452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535</v>
      </c>
      <c r="D13" s="15" t="s">
        <v>536</v>
      </c>
      <c r="E13" s="15" t="s">
        <v>537</v>
      </c>
      <c r="F13" s="16">
        <v>12</v>
      </c>
      <c r="G13" s="16">
        <v>1150</v>
      </c>
      <c r="H13" s="16">
        <v>30</v>
      </c>
      <c r="I13" s="16">
        <f>G13-H13</f>
        <v>1120</v>
      </c>
      <c r="J13" s="15" t="s">
        <v>465</v>
      </c>
      <c r="K13" s="15" t="s">
        <v>21</v>
      </c>
      <c r="L13" s="15" t="s">
        <v>452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541</v>
      </c>
      <c r="D14" s="15" t="s">
        <v>542</v>
      </c>
      <c r="E14" s="15" t="s">
        <v>543</v>
      </c>
      <c r="F14" s="15" t="s">
        <v>46</v>
      </c>
      <c r="G14" s="16">
        <v>0</v>
      </c>
      <c r="H14" s="16">
        <v>25</v>
      </c>
      <c r="I14" s="16">
        <f>G14-H14</f>
        <v>-25</v>
      </c>
      <c r="J14" s="15" t="s">
        <v>465</v>
      </c>
      <c r="K14" s="15" t="s">
        <v>21</v>
      </c>
      <c r="L14" s="15" t="s">
        <v>452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455</v>
      </c>
      <c r="D15" s="17"/>
      <c r="E15" s="17" t="s">
        <v>456</v>
      </c>
      <c r="F15" s="17" t="s">
        <v>85</v>
      </c>
      <c r="G15" s="18">
        <v>0</v>
      </c>
      <c r="H15" s="18">
        <v>25</v>
      </c>
      <c r="I15" s="18">
        <f>G15-H15</f>
        <v>-25</v>
      </c>
      <c r="J15" s="17" t="s">
        <v>21</v>
      </c>
      <c r="K15" s="17" t="s">
        <v>21</v>
      </c>
      <c r="L15" s="17" t="s">
        <v>452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466</v>
      </c>
      <c r="D16" s="15" t="s">
        <v>467</v>
      </c>
      <c r="E16" s="15" t="s">
        <v>468</v>
      </c>
      <c r="F16" s="15" t="s">
        <v>95</v>
      </c>
      <c r="G16" s="16">
        <v>985</v>
      </c>
      <c r="H16" s="16">
        <v>25</v>
      </c>
      <c r="I16" s="16">
        <f>G16-H16</f>
        <v>960</v>
      </c>
      <c r="J16" s="15" t="s">
        <v>21</v>
      </c>
      <c r="K16" s="15" t="s">
        <v>21</v>
      </c>
      <c r="L16" s="15" t="s">
        <v>452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472</v>
      </c>
      <c r="D17" s="15" t="s">
        <v>473</v>
      </c>
      <c r="E17" s="15" t="s">
        <v>474</v>
      </c>
      <c r="F17" s="15" t="s">
        <v>81</v>
      </c>
      <c r="G17" s="16">
        <v>560</v>
      </c>
      <c r="H17" s="16">
        <v>30</v>
      </c>
      <c r="I17" s="16">
        <f>G17-H17</f>
        <v>530</v>
      </c>
      <c r="J17" s="15" t="s">
        <v>21</v>
      </c>
      <c r="K17" s="15" t="s">
        <v>21</v>
      </c>
      <c r="L17" s="15" t="s">
        <v>452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481</v>
      </c>
      <c r="D18" s="15" t="s">
        <v>482</v>
      </c>
      <c r="E18" s="15" t="s">
        <v>483</v>
      </c>
      <c r="F18" s="15" t="s">
        <v>95</v>
      </c>
      <c r="G18" s="16">
        <v>815</v>
      </c>
      <c r="H18" s="16">
        <v>25</v>
      </c>
      <c r="I18" s="16">
        <f>G18-H18</f>
        <v>790</v>
      </c>
      <c r="J18" s="15" t="s">
        <v>21</v>
      </c>
      <c r="K18" s="15" t="s">
        <v>21</v>
      </c>
      <c r="L18" s="15" t="s">
        <v>452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484</v>
      </c>
      <c r="D19" s="15" t="s">
        <v>485</v>
      </c>
      <c r="E19" s="15" t="s">
        <v>486</v>
      </c>
      <c r="F19" s="15" t="s">
        <v>85</v>
      </c>
      <c r="G19" s="16">
        <v>1140</v>
      </c>
      <c r="H19" s="16">
        <v>20</v>
      </c>
      <c r="I19" s="16">
        <f>G19-H19</f>
        <v>1120</v>
      </c>
      <c r="J19" s="15" t="s">
        <v>21</v>
      </c>
      <c r="K19" s="15" t="s">
        <v>21</v>
      </c>
      <c r="L19" s="15" t="s">
        <v>452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493</v>
      </c>
      <c r="D20" s="15" t="s">
        <v>494</v>
      </c>
      <c r="E20" s="15" t="s">
        <v>495</v>
      </c>
      <c r="F20" s="15" t="s">
        <v>81</v>
      </c>
      <c r="G20" s="16">
        <v>410</v>
      </c>
      <c r="H20" s="16">
        <v>30</v>
      </c>
      <c r="I20" s="16">
        <f>G20-H20</f>
        <v>380</v>
      </c>
      <c r="J20" s="15" t="s">
        <v>21</v>
      </c>
      <c r="K20" s="15" t="s">
        <v>21</v>
      </c>
      <c r="L20" s="15" t="s">
        <v>452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499</v>
      </c>
      <c r="D21" s="15" t="s">
        <v>500</v>
      </c>
      <c r="E21" s="15" t="s">
        <v>501</v>
      </c>
      <c r="F21" s="15" t="s">
        <v>77</v>
      </c>
      <c r="G21" s="16">
        <v>0</v>
      </c>
      <c r="H21" s="16">
        <v>25</v>
      </c>
      <c r="I21" s="16">
        <f>G21-H21</f>
        <v>-25</v>
      </c>
      <c r="J21" s="15" t="s">
        <v>21</v>
      </c>
      <c r="K21" s="15" t="s">
        <v>21</v>
      </c>
      <c r="L21" s="15" t="s">
        <v>452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505</v>
      </c>
      <c r="D22" s="15" t="s">
        <v>506</v>
      </c>
      <c r="E22" s="15" t="s">
        <v>507</v>
      </c>
      <c r="F22" s="16">
        <v>12</v>
      </c>
      <c r="G22" s="16">
        <v>0</v>
      </c>
      <c r="H22" s="16">
        <v>30</v>
      </c>
      <c r="I22" s="16">
        <f>G22-H22</f>
        <v>-30</v>
      </c>
      <c r="J22" s="15" t="s">
        <v>21</v>
      </c>
      <c r="K22" s="15" t="s">
        <v>21</v>
      </c>
      <c r="L22" s="15" t="s">
        <v>452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523</v>
      </c>
      <c r="D23" s="15" t="s">
        <v>524</v>
      </c>
      <c r="E23" s="15" t="s">
        <v>525</v>
      </c>
      <c r="F23" s="16">
        <v>12</v>
      </c>
      <c r="G23" s="16">
        <v>0</v>
      </c>
      <c r="H23" s="16">
        <v>30</v>
      </c>
      <c r="I23" s="16">
        <f>G23-H23</f>
        <v>-30</v>
      </c>
      <c r="J23" s="15" t="s">
        <v>21</v>
      </c>
      <c r="K23" s="15" t="s">
        <v>21</v>
      </c>
      <c r="L23" s="15" t="s">
        <v>452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450</v>
      </c>
      <c r="D24" s="15"/>
      <c r="E24" s="15" t="s">
        <v>451</v>
      </c>
      <c r="F24" s="15" t="s">
        <v>95</v>
      </c>
      <c r="G24" s="16">
        <v>0</v>
      </c>
      <c r="H24" s="16">
        <v>30</v>
      </c>
      <c r="I24" s="16">
        <f>G24-H24</f>
        <v>-30</v>
      </c>
      <c r="J24" s="15" t="s">
        <v>135</v>
      </c>
      <c r="K24" s="15" t="s">
        <v>21</v>
      </c>
      <c r="L24" s="15" t="s">
        <v>452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453</v>
      </c>
      <c r="D25" s="15"/>
      <c r="E25" s="15" t="s">
        <v>454</v>
      </c>
      <c r="F25" s="15" t="s">
        <v>95</v>
      </c>
      <c r="G25" s="16">
        <v>0</v>
      </c>
      <c r="H25" s="16">
        <v>30</v>
      </c>
      <c r="I25" s="16">
        <f>G25-H25</f>
        <v>-30</v>
      </c>
      <c r="J25" s="15" t="s">
        <v>135</v>
      </c>
      <c r="K25" s="15" t="s">
        <v>21</v>
      </c>
      <c r="L25" s="15" t="s">
        <v>452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457</v>
      </c>
      <c r="D26" s="15"/>
      <c r="E26" s="15" t="s">
        <v>458</v>
      </c>
      <c r="F26" s="15" t="s">
        <v>406</v>
      </c>
      <c r="G26" s="16">
        <v>25</v>
      </c>
      <c r="H26" s="16">
        <v>25</v>
      </c>
      <c r="I26" s="16">
        <f>G26-H26</f>
        <v>0</v>
      </c>
      <c r="J26" s="15" t="s">
        <v>135</v>
      </c>
      <c r="K26" s="15" t="s">
        <v>21</v>
      </c>
      <c r="L26" s="15" t="s">
        <v>452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459</v>
      </c>
      <c r="D27" s="15" t="s">
        <v>460</v>
      </c>
      <c r="E27" s="15" t="s">
        <v>461</v>
      </c>
      <c r="F27" s="15" t="s">
        <v>406</v>
      </c>
      <c r="G27" s="16">
        <v>4860</v>
      </c>
      <c r="H27" s="16">
        <v>30</v>
      </c>
      <c r="I27" s="16">
        <f>G27-H27</f>
        <v>4830</v>
      </c>
      <c r="J27" s="15" t="s">
        <v>135</v>
      </c>
      <c r="K27" s="15" t="s">
        <v>21</v>
      </c>
      <c r="L27" s="15" t="s">
        <v>452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490</v>
      </c>
      <c r="D28" s="15" t="s">
        <v>491</v>
      </c>
      <c r="E28" s="15" t="s">
        <v>492</v>
      </c>
      <c r="F28" s="16">
        <v>1</v>
      </c>
      <c r="G28" s="16">
        <v>0</v>
      </c>
      <c r="H28" s="16">
        <v>25</v>
      </c>
      <c r="I28" s="16">
        <f>G28-H28</f>
        <v>-25</v>
      </c>
      <c r="J28" s="15" t="s">
        <v>135</v>
      </c>
      <c r="K28" s="15" t="s">
        <v>21</v>
      </c>
      <c r="L28" s="15" t="s">
        <v>452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496</v>
      </c>
      <c r="D29" s="15" t="s">
        <v>497</v>
      </c>
      <c r="E29" s="15" t="s">
        <v>498</v>
      </c>
      <c r="F29" s="15" t="s">
        <v>95</v>
      </c>
      <c r="G29" s="16">
        <v>795</v>
      </c>
      <c r="H29" s="16">
        <v>25</v>
      </c>
      <c r="I29" s="16">
        <f>G29-H29</f>
        <v>770</v>
      </c>
      <c r="J29" s="15" t="s">
        <v>135</v>
      </c>
      <c r="K29" s="15" t="s">
        <v>21</v>
      </c>
      <c r="L29" s="15" t="s">
        <v>452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502</v>
      </c>
      <c r="D30" s="15" t="s">
        <v>503</v>
      </c>
      <c r="E30" s="15" t="s">
        <v>504</v>
      </c>
      <c r="F30" s="15" t="s">
        <v>95</v>
      </c>
      <c r="G30" s="16">
        <v>0</v>
      </c>
      <c r="H30" s="16">
        <v>25</v>
      </c>
      <c r="I30" s="16">
        <f>G30-H30</f>
        <v>-25</v>
      </c>
      <c r="J30" s="15" t="s">
        <v>135</v>
      </c>
      <c r="K30" s="15" t="s">
        <v>21</v>
      </c>
      <c r="L30" s="15" t="s">
        <v>452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517</v>
      </c>
      <c r="D31" s="17" t="s">
        <v>518</v>
      </c>
      <c r="E31" s="17" t="s">
        <v>519</v>
      </c>
      <c r="F31" s="18">
        <v>5</v>
      </c>
      <c r="G31" s="18">
        <v>25</v>
      </c>
      <c r="H31" s="18">
        <v>25</v>
      </c>
      <c r="I31" s="18">
        <f>G31-H31</f>
        <v>0</v>
      </c>
      <c r="J31" s="17" t="s">
        <v>135</v>
      </c>
      <c r="K31" s="17" t="s">
        <v>21</v>
      </c>
      <c r="L31" s="17" t="s">
        <v>452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526</v>
      </c>
      <c r="D32" s="15" t="s">
        <v>527</v>
      </c>
      <c r="E32" s="15" t="s">
        <v>528</v>
      </c>
      <c r="F32" s="16">
        <v>1</v>
      </c>
      <c r="G32" s="16">
        <v>1475</v>
      </c>
      <c r="H32" s="16">
        <v>25</v>
      </c>
      <c r="I32" s="16">
        <f>G32-H32</f>
        <v>1450</v>
      </c>
      <c r="J32" s="15" t="s">
        <v>135</v>
      </c>
      <c r="K32" s="15" t="s">
        <v>21</v>
      </c>
      <c r="L32" s="15" t="s">
        <v>452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532</v>
      </c>
      <c r="D33" s="15" t="s">
        <v>533</v>
      </c>
      <c r="E33" s="15" t="s">
        <v>534</v>
      </c>
      <c r="F33" s="16">
        <v>4</v>
      </c>
      <c r="G33" s="16">
        <v>825</v>
      </c>
      <c r="H33" s="16">
        <v>25</v>
      </c>
      <c r="I33" s="16">
        <f>G33-H33</f>
        <v>800</v>
      </c>
      <c r="J33" s="15" t="s">
        <v>135</v>
      </c>
      <c r="K33" s="15" t="s">
        <v>21</v>
      </c>
      <c r="L33" s="15" t="s">
        <v>452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538</v>
      </c>
      <c r="D34" s="15" t="s">
        <v>539</v>
      </c>
      <c r="E34" s="15" t="s">
        <v>540</v>
      </c>
      <c r="F34" s="15" t="s">
        <v>95</v>
      </c>
      <c r="G34" s="16">
        <v>3370</v>
      </c>
      <c r="H34" s="16">
        <v>30</v>
      </c>
      <c r="I34" s="16">
        <f>G34-H34</f>
        <v>3340</v>
      </c>
      <c r="J34" s="15" t="s">
        <v>135</v>
      </c>
      <c r="K34" s="15" t="s">
        <v>21</v>
      </c>
      <c r="L34" s="15" t="s">
        <v>452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0">SUBTOTAL(9,G3:G34)</f>
        <v>23200</v>
      </c>
      <c r="H36" s="1">
        <f t="shared" si="0"/>
        <v>875</v>
      </c>
      <c r="I36" s="1">
        <f t="shared" si="0"/>
        <v>22325</v>
      </c>
      <c r="J36" s="1">
        <f t="shared" si="0"/>
        <v>0</v>
      </c>
      <c r="K36" s="1">
        <f t="shared" si="0"/>
        <v>0</v>
      </c>
      <c r="L36" s="1">
        <f t="shared" si="0"/>
        <v>0</v>
      </c>
      <c r="M36" s="1">
        <f t="shared" si="0"/>
        <v>0</v>
      </c>
      <c r="N36" s="1">
        <f t="shared" si="0"/>
        <v>0</v>
      </c>
      <c r="O36" s="1">
        <f t="shared" si="0"/>
        <v>0</v>
      </c>
      <c r="P36" s="1">
        <f t="shared" si="0"/>
        <v>0</v>
      </c>
      <c r="Q36" s="1">
        <f t="shared" si="0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27" t="s">
        <v>191</v>
      </c>
      <c r="D38" s="27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452</v>
      </c>
      <c r="B39" s="3" t="s">
        <v>195</v>
      </c>
      <c r="C39" s="28">
        <f>SUMIFS(I$3:I$34,B$3:B$34,A$38,L$3:L$34,A$39)</f>
        <v>22325</v>
      </c>
      <c r="D39" s="2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29">
        <v>0</v>
      </c>
      <c r="D40" s="29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29">
        <f>-SUMIFS(I$3:I$34,B$3:B$34,A$38,P$3:P$34,"xx",N$3:N$34,"x")</f>
        <v>0</v>
      </c>
      <c r="D41" s="29"/>
      <c r="E41" s="2">
        <f>SUMIFS(Q$3:Q$34,B$3:B$34,A$38,P$3:P$34,"xx",N$3:N$34,"x")</f>
        <v>0</v>
      </c>
      <c r="K41" t="s">
        <v>202</v>
      </c>
      <c r="O41" t="s">
        <v>544</v>
      </c>
      <c r="P41">
        <f>L60</f>
        <v>7658</v>
      </c>
    </row>
    <row r="42" spans="1:17" x14ac:dyDescent="0.25">
      <c r="B42" s="4" t="s">
        <v>203</v>
      </c>
      <c r="C42" s="27">
        <f>SUBTOTAL(9,C39:C41)</f>
        <v>22325</v>
      </c>
      <c r="D42" s="27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25"/>
      <c r="D43" s="25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25"/>
      <c r="D44" s="25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26">
        <f>C42+C43+C44</f>
        <v>22325</v>
      </c>
      <c r="D46" s="2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465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440</v>
      </c>
      <c r="B1" s="5">
        <v>2026</v>
      </c>
    </row>
    <row r="2" spans="1:5" x14ac:dyDescent="0.25">
      <c r="A2" s="6" t="s">
        <v>441</v>
      </c>
      <c r="B2" s="6" t="s">
        <v>442</v>
      </c>
      <c r="C2" s="6" t="s">
        <v>443</v>
      </c>
      <c r="D2" s="6" t="s">
        <v>444</v>
      </c>
      <c r="E2" s="6" t="s">
        <v>445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54</v>
      </c>
    </row>
    <row r="4" spans="1:5" x14ac:dyDescent="0.25">
      <c r="A4" s="7">
        <v>46144</v>
      </c>
      <c r="B4" s="8">
        <f t="shared" ref="B4:B27" ca="1" si="1">IFERROR(COUNTIF(INDIRECT("'"&amp;TEXT(A4,"dd-mm")&amp;"'!L3:L200"),TEXT(A4,"dd-mm")&amp;"-"&amp;B$1),0)</f>
        <v>0</v>
      </c>
      <c r="C4" s="8">
        <f t="shared" ref="C4:C27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46146</v>
      </c>
      <c r="B5" s="8">
        <f t="shared" ca="1" si="1"/>
        <v>20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4</v>
      </c>
      <c r="E5" s="8">
        <f t="shared" ca="1" si="0"/>
        <v>16</v>
      </c>
    </row>
    <row r="6" spans="1:5" x14ac:dyDescent="0.25">
      <c r="A6" s="7">
        <v>46147</v>
      </c>
      <c r="B6" s="8">
        <f t="shared" ca="1" si="1"/>
        <v>53</v>
      </c>
      <c r="C6" s="8">
        <f t="shared" ca="1" si="2"/>
        <v>2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51</v>
      </c>
    </row>
    <row r="7" spans="1:5" x14ac:dyDescent="0.25">
      <c r="A7" s="7">
        <v>46148</v>
      </c>
      <c r="B7" s="8">
        <f t="shared" ca="1" si="1"/>
        <v>32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32</v>
      </c>
    </row>
    <row r="8" spans="1:5" x14ac:dyDescent="0.25">
      <c r="A8" s="7">
        <v>46149</v>
      </c>
      <c r="B8" s="8">
        <f t="shared" ca="1" si="1"/>
        <v>0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0</v>
      </c>
    </row>
    <row r="9" spans="1:5" x14ac:dyDescent="0.25">
      <c r="A9" s="7">
        <v>46150</v>
      </c>
      <c r="B9" s="8">
        <f t="shared" ca="1" si="1"/>
        <v>0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0</v>
      </c>
    </row>
    <row r="10" spans="1:5" x14ac:dyDescent="0.25">
      <c r="A10" s="7">
        <v>46151</v>
      </c>
      <c r="B10" s="8">
        <f t="shared" ca="1" si="1"/>
        <v>0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0</v>
      </c>
    </row>
    <row r="11" spans="1:5" x14ac:dyDescent="0.25">
      <c r="A11" s="7">
        <v>46153</v>
      </c>
      <c r="B11" s="8">
        <f t="shared" ca="1" si="1"/>
        <v>0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46154</v>
      </c>
      <c r="B12" s="8">
        <f t="shared" ca="1" si="1"/>
        <v>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46155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46156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46157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46158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46164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46165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46169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46171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46172</v>
      </c>
      <c r="B28" s="8">
        <f ca="1">IFERROR(COUNTIF(INDIRECT("'"&amp;TEXT(A28,"dd-mm")&amp;"'!L3:L200"),TEXT(A28,"dd-mm")&amp;"-"&amp;B$1),0)</f>
        <v>0</v>
      </c>
      <c r="C28" s="8">
        <f ca="1">IFERROR(COUNTIF(INDIRECT("'"&amp;TEXT(A28,"DD-MM")&amp;"'!M3:M200"),"*gộp*")/2,0)</f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446</v>
      </c>
      <c r="E29" s="9">
        <f ca="1">SUBTOTAL(9,E4:E28)</f>
        <v>99</v>
      </c>
    </row>
    <row r="30" spans="1:5" x14ac:dyDescent="0.25">
      <c r="D30" s="9" t="s">
        <v>447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378</v>
      </c>
    </row>
    <row r="31" spans="1:5" x14ac:dyDescent="0.25">
      <c r="D31" s="9" t="s">
        <v>448</v>
      </c>
      <c r="E31" s="9">
        <f ca="1">-E29*2</f>
        <v>-198</v>
      </c>
    </row>
    <row r="32" spans="1:5" x14ac:dyDescent="0.25">
      <c r="D32" s="9" t="s">
        <v>449</v>
      </c>
      <c r="E32" s="9">
        <f ca="1">SUBTOTAL(9,E30:E31)</f>
        <v>180</v>
      </c>
    </row>
  </sheetData>
  <autoFilter ref="A2:E28" xr:uid="{00000000-0009-0000-0000-000003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01-05</vt:lpstr>
      <vt:lpstr>04-05</vt:lpstr>
      <vt:lpstr>05-05</vt:lpstr>
      <vt:lpstr>06-05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2026-05-06T07:40:20Z</dcterms:modified>
</cp:coreProperties>
</file>