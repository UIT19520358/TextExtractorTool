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687AB54C-57BB-48FA-A38C-F8313A6033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1-05" sheetId="7" r:id="rId1"/>
    <sheet name="04-05" sheetId="8" r:id="rId2"/>
    <sheet name="05-05" sheetId="9" r:id="rId3"/>
    <sheet name="Sheet1" sheetId="19" r:id="rId4"/>
  </sheets>
  <definedNames>
    <definedName name="_xlnm._FilterDatabase" localSheetId="0" hidden="1">'01-05'!$A$2:$P$56</definedName>
    <definedName name="_xlnm._FilterDatabase" localSheetId="1" hidden="1">'04-05'!$A$2:$P$26</definedName>
    <definedName name="_xlnm._FilterDatabase" localSheetId="2" hidden="1">'05-05'!$A$2:$P$55</definedName>
    <definedName name="_xlnm._FilterDatabase" localSheetId="3" hidden="1">Sheet1!$A$2:$E$28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3" i="7"/>
  <c r="I58" i="7" s="1"/>
  <c r="I4" i="7"/>
  <c r="I5" i="7"/>
  <c r="I6" i="7"/>
  <c r="I7" i="7"/>
  <c r="I8" i="7"/>
  <c r="I9" i="7"/>
  <c r="R9" i="7"/>
  <c r="I10" i="7"/>
  <c r="I11" i="7"/>
  <c r="I12" i="7"/>
  <c r="I13" i="7"/>
  <c r="I14" i="7"/>
  <c r="I15" i="7"/>
  <c r="I16" i="7"/>
  <c r="R16" i="7"/>
  <c r="I17" i="7"/>
  <c r="I18" i="7"/>
  <c r="I19" i="7"/>
  <c r="R19" i="7"/>
  <c r="I20" i="7"/>
  <c r="R20" i="7"/>
  <c r="I21" i="7"/>
  <c r="I22" i="7"/>
  <c r="I23" i="7"/>
  <c r="I24" i="7"/>
  <c r="R24" i="7"/>
  <c r="I25" i="7"/>
  <c r="I26" i="7"/>
  <c r="R26" i="7"/>
  <c r="I27" i="7"/>
  <c r="I28" i="7"/>
  <c r="R28" i="7"/>
  <c r="I29" i="7"/>
  <c r="I30" i="7"/>
  <c r="I31" i="7"/>
  <c r="I32" i="7"/>
  <c r="I33" i="7"/>
  <c r="R33" i="7"/>
  <c r="I34" i="7"/>
  <c r="I35" i="7"/>
  <c r="I36" i="7"/>
  <c r="I37" i="7"/>
  <c r="I38" i="7"/>
  <c r="I39" i="7"/>
  <c r="I40" i="7"/>
  <c r="I41" i="7"/>
  <c r="I42" i="7"/>
  <c r="R42" i="7"/>
  <c r="I43" i="7"/>
  <c r="I44" i="7"/>
  <c r="I45" i="7"/>
  <c r="I46" i="7"/>
  <c r="R46" i="7"/>
  <c r="I47" i="7"/>
  <c r="I48" i="7"/>
  <c r="R48" i="7"/>
  <c r="I49" i="7"/>
  <c r="I50" i="7"/>
  <c r="I51" i="7"/>
  <c r="I52" i="7"/>
  <c r="R52" i="7"/>
  <c r="I53" i="7"/>
  <c r="R53" i="7"/>
  <c r="I54" i="7"/>
  <c r="I55" i="7"/>
  <c r="I56" i="7"/>
  <c r="R56" i="7"/>
  <c r="D58" i="7"/>
  <c r="G58" i="7"/>
  <c r="H58" i="7"/>
  <c r="J58" i="7"/>
  <c r="K58" i="7"/>
  <c r="L58" i="7"/>
  <c r="M58" i="7"/>
  <c r="N58" i="7"/>
  <c r="O58" i="7"/>
  <c r="P58" i="7"/>
  <c r="Q58" i="7"/>
  <c r="H59" i="7"/>
  <c r="H60" i="7"/>
  <c r="C61" i="7"/>
  <c r="C64" i="7" s="1"/>
  <c r="C68" i="7" s="1"/>
  <c r="P65" i="7" s="1"/>
  <c r="E61" i="7"/>
  <c r="E64" i="7" s="1"/>
  <c r="M79" i="7" s="1"/>
  <c r="L79" i="7" s="1"/>
  <c r="L61" i="7"/>
  <c r="M61" i="7"/>
  <c r="M66" i="7" s="1"/>
  <c r="L62" i="7"/>
  <c r="M62" i="7"/>
  <c r="C63" i="7"/>
  <c r="E63" i="7"/>
  <c r="L66" i="7"/>
  <c r="P61" i="7" s="1"/>
  <c r="L69" i="7"/>
  <c r="M69" i="7"/>
  <c r="M70" i="7"/>
  <c r="L70" i="7" s="1"/>
  <c r="M74" i="7"/>
  <c r="L77" i="7"/>
  <c r="M77" i="7"/>
  <c r="M82" i="7" s="1"/>
  <c r="L78" i="7"/>
  <c r="M78" i="7"/>
  <c r="L85" i="7"/>
  <c r="M85" i="7"/>
  <c r="M90" i="7" s="1"/>
  <c r="M86" i="7"/>
  <c r="L86" i="7" s="1"/>
  <c r="L90" i="7" s="1"/>
  <c r="P64" i="7" s="1"/>
  <c r="I3" i="8"/>
  <c r="I28" i="8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C33" i="8" s="1"/>
  <c r="I25" i="8"/>
  <c r="I26" i="8"/>
  <c r="D28" i="8"/>
  <c r="G28" i="8"/>
  <c r="H28" i="8"/>
  <c r="J28" i="8"/>
  <c r="K28" i="8"/>
  <c r="L28" i="8"/>
  <c r="M28" i="8"/>
  <c r="N28" i="8"/>
  <c r="O28" i="8"/>
  <c r="P28" i="8"/>
  <c r="Q28" i="8"/>
  <c r="H29" i="8"/>
  <c r="L32" i="8" s="1"/>
  <c r="H30" i="8"/>
  <c r="C31" i="8"/>
  <c r="C34" i="8" s="1"/>
  <c r="C38" i="8" s="1"/>
  <c r="P35" i="8" s="1"/>
  <c r="E31" i="8"/>
  <c r="E34" i="8" s="1"/>
  <c r="M57" i="8" s="1"/>
  <c r="L57" i="8" s="1"/>
  <c r="H31" i="8"/>
  <c r="L31" i="8"/>
  <c r="L36" i="8" s="1"/>
  <c r="P31" i="8" s="1"/>
  <c r="M31" i="8"/>
  <c r="M32" i="8"/>
  <c r="E33" i="8"/>
  <c r="M36" i="8"/>
  <c r="L39" i="8"/>
  <c r="L44" i="8" s="1"/>
  <c r="P32" i="8" s="1"/>
  <c r="M39" i="8"/>
  <c r="L40" i="8"/>
  <c r="M40" i="8"/>
  <c r="M44" i="8"/>
  <c r="L47" i="8"/>
  <c r="M47" i="8"/>
  <c r="M48" i="8"/>
  <c r="L48" i="8" s="1"/>
  <c r="M52" i="8"/>
  <c r="L55" i="8"/>
  <c r="M55" i="8"/>
  <c r="M60" i="8" s="1"/>
  <c r="M56" i="8"/>
  <c r="L56" i="8" s="1"/>
  <c r="D3" i="19" a="1"/>
  <c r="E30" i="19" a="1"/>
  <c r="I3" i="9"/>
  <c r="D57" i="9"/>
  <c r="G57" i="9"/>
  <c r="H57" i="9"/>
  <c r="J57" i="9"/>
  <c r="K57" i="9"/>
  <c r="L57" i="9"/>
  <c r="M57" i="9"/>
  <c r="N57" i="9"/>
  <c r="O57" i="9"/>
  <c r="P57" i="9"/>
  <c r="Q57" i="9"/>
  <c r="H58" i="9"/>
  <c r="H59" i="9"/>
  <c r="C60" i="9"/>
  <c r="C63" i="9" s="1"/>
  <c r="C67" i="9" s="1"/>
  <c r="P63" i="9" s="1"/>
  <c r="E60" i="9"/>
  <c r="E63" i="9" s="1"/>
  <c r="M78" i="9" s="1"/>
  <c r="L78" i="9" s="1"/>
  <c r="H60" i="9"/>
  <c r="L60" i="9"/>
  <c r="M60" i="9"/>
  <c r="M65" i="9" s="1"/>
  <c r="M61" i="9"/>
  <c r="L61" i="9" s="1"/>
  <c r="C62" i="9"/>
  <c r="E62" i="9"/>
  <c r="L68" i="9"/>
  <c r="M68" i="9"/>
  <c r="M73" i="9" s="1"/>
  <c r="M69" i="9"/>
  <c r="L76" i="9"/>
  <c r="M76" i="9"/>
  <c r="M81" i="9" s="1"/>
  <c r="M77" i="9"/>
  <c r="L77" i="9" s="1"/>
  <c r="B4" i="19"/>
  <c r="C4" i="19"/>
  <c r="D5" i="19" a="1"/>
  <c r="D19" i="19" a="1"/>
  <c r="C17" i="19"/>
  <c r="C14" i="19"/>
  <c r="B10" i="19"/>
  <c r="D14" i="19" a="1"/>
  <c r="C18" i="19"/>
  <c r="B27" i="19"/>
  <c r="B7" i="19"/>
  <c r="D18" i="19" a="1"/>
  <c r="D20" i="19" a="1"/>
  <c r="C27" i="19"/>
  <c r="D16" i="19" a="1"/>
  <c r="D23" i="19" a="1"/>
  <c r="B16" i="19"/>
  <c r="D3" i="19"/>
  <c r="C3" i="19"/>
  <c r="B9" i="19"/>
  <c r="C8" i="19"/>
  <c r="C9" i="19"/>
  <c r="D6" i="19" a="1"/>
  <c r="B28" i="19"/>
  <c r="B12" i="19"/>
  <c r="D26" i="19" a="1"/>
  <c r="D4" i="19" a="1"/>
  <c r="B21" i="19"/>
  <c r="B5" i="19"/>
  <c r="C19" i="19"/>
  <c r="C13" i="19"/>
  <c r="C24" i="19"/>
  <c r="D27" i="19" a="1"/>
  <c r="C23" i="19"/>
  <c r="D11" i="19" a="1"/>
  <c r="B25" i="19"/>
  <c r="C28" i="19"/>
  <c r="D10" i="19" a="1"/>
  <c r="D22" i="19" a="1"/>
  <c r="B17" i="19"/>
  <c r="D24" i="19" a="1"/>
  <c r="B15" i="19"/>
  <c r="B8" i="19"/>
  <c r="B24" i="19"/>
  <c r="D12" i="19" a="1"/>
  <c r="C12" i="19"/>
  <c r="D17" i="19" a="1"/>
  <c r="B18" i="19"/>
  <c r="D9" i="19" a="1"/>
  <c r="C7" i="19"/>
  <c r="D21" i="19" a="1"/>
  <c r="B19" i="19"/>
  <c r="C5" i="19"/>
  <c r="C21" i="19"/>
  <c r="B14" i="19"/>
  <c r="C26" i="19"/>
  <c r="C15" i="19"/>
  <c r="D25" i="19" a="1"/>
  <c r="D15" i="19" a="1"/>
  <c r="B11" i="19"/>
  <c r="C10" i="19"/>
  <c r="D7" i="19" a="1"/>
  <c r="D28" i="19" a="1"/>
  <c r="D8" i="19" a="1"/>
  <c r="D13" i="19" a="1"/>
  <c r="C25" i="19"/>
  <c r="C20" i="19"/>
  <c r="B23" i="19"/>
  <c r="C11" i="19"/>
  <c r="C16" i="19"/>
  <c r="B20" i="19"/>
  <c r="B26" i="19"/>
  <c r="B22" i="19"/>
  <c r="C6" i="19"/>
  <c r="B13" i="19"/>
  <c r="C22" i="19"/>
  <c r="L69" i="9" l="1"/>
  <c r="L73" i="9"/>
  <c r="P61" i="9" s="1"/>
  <c r="I57" i="9"/>
  <c r="L65" i="9"/>
  <c r="D21" i="19"/>
  <c r="E21" i="19" s="1"/>
  <c r="D18" i="19"/>
  <c r="E18" i="19" s="1"/>
  <c r="D15" i="19"/>
  <c r="E15" i="19" s="1"/>
  <c r="D12" i="19"/>
  <c r="E12" i="19" s="1"/>
  <c r="D9" i="19"/>
  <c r="E9" i="19" s="1"/>
  <c r="D6" i="19"/>
  <c r="D25" i="19"/>
  <c r="E25" i="19" s="1"/>
  <c r="D27" i="19"/>
  <c r="E27" i="19" s="1"/>
  <c r="D20" i="19"/>
  <c r="E20" i="19" s="1"/>
  <c r="D11" i="19"/>
  <c r="E11" i="19" s="1"/>
  <c r="D8" i="19"/>
  <c r="E8" i="19" s="1"/>
  <c r="D5" i="19"/>
  <c r="E5" i="19" s="1"/>
  <c r="D14" i="19"/>
  <c r="E14" i="19" s="1"/>
  <c r="D24" i="19"/>
  <c r="D23" i="19"/>
  <c r="E23" i="19" s="1"/>
  <c r="D22" i="19"/>
  <c r="E22" i="19" s="1"/>
  <c r="D26" i="19"/>
  <c r="E26" i="19" s="1"/>
  <c r="D17" i="19"/>
  <c r="E17" i="19" s="1"/>
  <c r="D19" i="19"/>
  <c r="E19" i="19" s="1"/>
  <c r="D16" i="19"/>
  <c r="E16" i="19" s="1"/>
  <c r="D13" i="19"/>
  <c r="E13" i="19" s="1"/>
  <c r="D10" i="19"/>
  <c r="E10" i="19" s="1"/>
  <c r="D7" i="19"/>
  <c r="E7" i="19" s="1"/>
  <c r="D4" i="19"/>
  <c r="E4" i="19" s="1"/>
  <c r="D28" i="19"/>
  <c r="E28" i="19" s="1"/>
  <c r="E24" i="19"/>
  <c r="L74" i="7"/>
  <c r="L82" i="7"/>
  <c r="P63" i="7" s="1"/>
  <c r="L52" i="8"/>
  <c r="P33" i="8" s="1"/>
  <c r="P36" i="8" s="1"/>
  <c r="L60" i="8"/>
  <c r="P34" i="8" s="1"/>
  <c r="L81" i="9"/>
  <c r="P62" i="9" s="1"/>
  <c r="B3" i="19"/>
  <c r="B6" i="19"/>
  <c r="E6" i="19" l="1"/>
  <c r="E29" i="19" s="1"/>
  <c r="E31" i="19" s="1"/>
  <c r="P60" i="9"/>
  <c r="P64" i="9" s="1"/>
  <c r="E3" i="19"/>
  <c r="P62" i="7"/>
  <c r="P66" i="7" s="1"/>
  <c r="E30" i="19"/>
  <c r="E32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<sst xmlns="http://schemas.openxmlformats.org/spreadsheetml/2006/main" count="1220" uniqueCount="450">
  <si>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</si>
  <si>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</si>
  <si>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</si>
  <si>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</si>
  <si>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</si>
  <si>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</si>
  <si>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</si>
  <si>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</si>
  <si>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</si>
  <si>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</si>
  <si>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</si>
  <si>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</si>
  <si>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</si>
  <si>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</si>
  <si>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</si>
  <si>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</si>
  <si>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hàng sỉ</t>
  </si>
  <si>
    <t>ĐOÀN NGÂN CHÂU</t>
  </si>
  <si>
    <t>MAI CHI</t>
  </si>
  <si>
    <t>toa BS16 - The oasis - vinhome grand park</t>
  </si>
  <si>
    <t>a.quyen</t>
  </si>
  <si>
    <t>c.cuong</t>
  </si>
  <si>
    <t>01-05-2026</t>
  </si>
  <si>
    <t>Thu Lê</t>
  </si>
  <si>
    <t>HD017813</t>
  </si>
  <si>
    <t>293 vành đai trong, P.Bình trị đông B</t>
  </si>
  <si>
    <t>binh tan</t>
  </si>
  <si>
    <t>AT 01-05</t>
  </si>
  <si>
    <t>Như Quỳnh</t>
  </si>
  <si>
    <t>HD017879</t>
  </si>
  <si>
    <t>56/13/18 huỳnh thị hai phường tân chánh hiệp</t>
  </si>
  <si>
    <t>C Thảo Thao Nguyen</t>
  </si>
  <si>
    <t>HD017906</t>
  </si>
  <si>
    <t>111/8B Trường Chinh, phường Đông Hưng Thuận</t>
  </si>
  <si>
    <t>Kim Bình</t>
  </si>
  <si>
    <t>HD018057</t>
  </si>
  <si>
    <t>1253 phạm thế hiển p5</t>
  </si>
  <si>
    <t>Ánh Linh</t>
  </si>
  <si>
    <t>HD018056</t>
  </si>
  <si>
    <t>Toà A chung cư diamond 49C lê quang kim p8</t>
  </si>
  <si>
    <t>W3235</t>
  </si>
  <si>
    <t>HD017713</t>
  </si>
  <si>
    <t>375 tân thới hiệp 21, Tổ 3,Kp3</t>
  </si>
  <si>
    <t>Đỗ Nhi</t>
  </si>
  <si>
    <t>HD017976</t>
  </si>
  <si>
    <t>25/49/15/8 nguyễn minh châu</t>
  </si>
  <si>
    <t>tan phu</t>
  </si>
  <si>
    <t>Nguyễn Thị Khánh Ly</t>
  </si>
  <si>
    <t>HD017945</t>
  </si>
  <si>
    <t>Chung cư akari block 9</t>
  </si>
  <si>
    <t>Võ Thục Trinh</t>
  </si>
  <si>
    <t>HD017966</t>
  </si>
  <si>
    <t>Chung cư Topaz City block A1, 39 Cao Lỗ P4</t>
  </si>
  <si>
    <t>Hang Nguyen fb Bella Nguyen</t>
  </si>
  <si>
    <t>HD018060</t>
  </si>
  <si>
    <t>10/23 chiến lược p bình trị đông</t>
  </si>
  <si>
    <t>Ruby Nguyễn</t>
  </si>
  <si>
    <t>HD018067</t>
  </si>
  <si>
    <t>M37/15 Cư Xá Phú Lâm A Phường 12</t>
  </si>
  <si>
    <t>Diễn Phan</t>
  </si>
  <si>
    <t>HD017789</t>
  </si>
  <si>
    <t>11/26/14 đường nam cao, p tân phú</t>
  </si>
  <si>
    <t>fb Thuyên Quyên</t>
  </si>
  <si>
    <t>HD018007</t>
  </si>
  <si>
    <t>68B/23/1C hương lộ 2, phường bình trị đông A</t>
  </si>
  <si>
    <t>Hoa Tuyết</t>
  </si>
  <si>
    <t>HD017605</t>
  </si>
  <si>
    <t>126A/4 tổ 17 trung mỹ tây</t>
  </si>
  <si>
    <t>ng nhận Duyên Mai</t>
  </si>
  <si>
    <t>HD017665</t>
  </si>
  <si>
    <t>lexington residence block c67 Mai chí thọ An Phú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</si>
  <si>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</si>
  <si>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</si>
  <si>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</si>
  <si>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</si>
  <si>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</si>
  <si>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</si>
  <si>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</si>
  <si>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</si>
  <si>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</si>
  <si>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</si>
  <si>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</si>
  <si>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</si>
  <si>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</si>
  <si>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</si>
  <si>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</si>
  <si>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Trần Thảo Na</t>
  </si>
  <si>
    <t>HD018101</t>
  </si>
  <si>
    <t>74/5/47A đường số 9 phường an hội đông</t>
  </si>
  <si>
    <t>Triệu Vy _ Cindy</t>
  </si>
  <si>
    <t>HD017806</t>
  </si>
  <si>
    <t>403 Tân Sơn, p12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</si>
  <si>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</si>
  <si>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</si>
  <si>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</si>
  <si>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</si>
  <si>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</si>
  <si>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</si>
  <si>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</si>
  <si>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Thu Thảo</t>
  </si>
  <si>
    <t>HD018090</t>
  </si>
  <si>
    <t>401 /21 phường 8, Nguyễn văn khối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</si>
  <si>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</si>
  <si>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</si>
  <si>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</si>
  <si>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</si>
  <si>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</si>
  <si>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</si>
  <si>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Mộng Thuý Trảo</t>
  </si>
  <si>
    <t>HD017827</t>
  </si>
  <si>
    <t>53A kha vạn cân, kp1, hiệp bình chánh</t>
  </si>
  <si>
    <t>Ngọc Ánh</t>
  </si>
  <si>
    <t>HD018053</t>
  </si>
  <si>
    <t>236/43/9 điện biên phủ</t>
  </si>
  <si>
    <t>An An</t>
  </si>
  <si>
    <t>HD017441</t>
  </si>
  <si>
    <t>374 Xô viết nghệ tĩnh, P25</t>
  </si>
  <si>
    <t>Ngân Phan</t>
  </si>
  <si>
    <t>HD017688</t>
  </si>
  <si>
    <t>Chung cư Sarina tháp B (Sarina 1B), đường B2, mặt sau đường Hoàng Thế Thiện, Phường An Khánh</t>
  </si>
  <si>
    <t>Mén HM</t>
  </si>
  <si>
    <t>HD017895</t>
  </si>
  <si>
    <t>Toà landmark 2</t>
  </si>
  <si>
    <t>Trúc Phương</t>
  </si>
  <si>
    <t>HD017982</t>
  </si>
  <si>
    <t>Chung cư citiesto, cát lái</t>
  </si>
  <si>
    <t>đổi hàng</t>
  </si>
  <si>
    <t>BOS BMB</t>
  </si>
  <si>
    <t>119 hoàng diệu 2 linh trung</t>
  </si>
  <si>
    <t>jenny bouti</t>
  </si>
  <si>
    <t>401 Quang trung f10</t>
  </si>
  <si>
    <t>Nguyễn Havy</t>
  </si>
  <si>
    <t>HD017867</t>
  </si>
  <si>
    <t>CC The Park Residence, 12 Nguyễn Hữu Thọ, Phước Kiển</t>
  </si>
  <si>
    <t>nha be</t>
  </si>
  <si>
    <t>c.hieu</t>
  </si>
  <si>
    <t>Minơ fb Lê Tú</t>
  </si>
  <si>
    <t>HD017844</t>
  </si>
  <si>
    <t>chung cư Sài Gòn Mia - lock A ) 200 đường số 9A- xã bình hưng</t>
  </si>
  <si>
    <t>binh chanh</t>
  </si>
  <si>
    <t>Phuong Thaoo</t>
  </si>
  <si>
    <t>HD018004</t>
  </si>
  <si>
    <t>12c trần phú p4</t>
  </si>
  <si>
    <t>Trang Lưu</t>
  </si>
  <si>
    <t>HD017868</t>
  </si>
  <si>
    <t>223/2G phạm viết chánh phường nguyễn cư trinh</t>
  </si>
  <si>
    <t>Yun Sokhour D17386666</t>
  </si>
  <si>
    <t>HD017709</t>
  </si>
  <si>
    <t>nhà xe Khải nam</t>
  </si>
  <si>
    <t>Uyên Thư</t>
  </si>
  <si>
    <t>HD017958</t>
  </si>
  <si>
    <t>Nguyễn Đình Chiêu Phường Bàn Cờ</t>
  </si>
  <si>
    <t>Mỹ Kiều</t>
  </si>
  <si>
    <t>HD017795</t>
  </si>
  <si>
    <t>51 lê quý đôn phường xuân hòa</t>
  </si>
  <si>
    <t>Thu Thuỷ</t>
  </si>
  <si>
    <t>HD018074</t>
  </si>
  <si>
    <t>181 đường 79 tân quy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</si>
  <si>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</si>
  <si>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</si>
  <si>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</si>
  <si>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</si>
  <si>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</si>
  <si>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</si>
  <si>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anh phước (đồ của chị yến)</t>
  </si>
  <si>
    <t>HD017832</t>
  </si>
  <si>
    <t>241 lê thánh tôn, p. bến thành</t>
  </si>
  <si>
    <t>shop chịu ship</t>
  </si>
  <si>
    <t>Nhu Thanh</t>
  </si>
  <si>
    <t>HD017793</t>
  </si>
  <si>
    <t>99 D1 Hoàng Trọng Mậu, Him Lam, Tân Hưng</t>
  </si>
  <si>
    <t>Mone Ng</t>
  </si>
  <si>
    <t>HD017667</t>
  </si>
  <si>
    <t>Sky Garden 2 p tân phong PMH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</si>
  <si>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</si>
  <si>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</si>
  <si>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</si>
  <si>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</si>
  <si>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</si>
  <si>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</si>
  <si>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</si>
  <si>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</si>
  <si>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</si>
  <si>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</si>
  <si>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</si>
  <si>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</si>
  <si>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Thao My</t>
  </si>
  <si>
    <t>HD017676</t>
  </si>
  <si>
    <t>346 Bên Vân đồn f1 Chung cư Gold View</t>
  </si>
  <si>
    <t>MAI TRẦN</t>
  </si>
  <si>
    <t>135 hải thượng lãn ông P10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</si>
  <si>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</si>
  <si>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</si>
  <si>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</si>
  <si>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</si>
  <si>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</si>
  <si>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</si>
  <si>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</si>
  <si>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01-05</t>
  </si>
  <si>
    <t>Trừ Ship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</si>
  <si>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</si>
  <si>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</si>
  <si>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</si>
  <si>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</si>
  <si>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</si>
  <si>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</si>
  <si>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</si>
  <si>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</si>
  <si>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</si>
  <si>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</si>
  <si>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</si>
  <si>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</si>
  <si>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_col17</t>
  </si>
  <si>
    <t>Hồ Thị Mỹ Hạnh</t>
  </si>
  <si>
    <t>HD018199</t>
  </si>
  <si>
    <t>S3.02 vinhomes garden park long bình</t>
  </si>
  <si>
    <t>04-05-2026</t>
  </si>
  <si>
    <t>Dạ Thảo (Hàng của Thanh đi Malaysia)</t>
  </si>
  <si>
    <t>HD018104</t>
  </si>
  <si>
    <t>66 đường số 17 phường 10</t>
  </si>
  <si>
    <t>AT 04-05</t>
  </si>
  <si>
    <t>hương</t>
  </si>
  <si>
    <t>HD018201</t>
  </si>
  <si>
    <t>97 đường 24A -bình trị đông b</t>
  </si>
  <si>
    <t>Ngọc - fb Nguyễn Mười Ut</t>
  </si>
  <si>
    <t>HD018123</t>
  </si>
  <si>
    <t>45/8 đường số 8 phường bình hưng hòa A</t>
  </si>
  <si>
    <t>Hạnh Huỳnh</t>
  </si>
  <si>
    <t>HD018243</t>
  </si>
  <si>
    <t>42A, đường Mã Lò, phường Bình Trị Đông A</t>
  </si>
  <si>
    <t>Bé Bờm</t>
  </si>
  <si>
    <t>HD018225</t>
  </si>
  <si>
    <t>167/10 Đào Sư Tích, Phước Kiển</t>
  </si>
  <si>
    <t>Quế Trân Nguyễn</t>
  </si>
  <si>
    <t>HD018214</t>
  </si>
  <si>
    <t>145 Nguyễn Cửu Đàm - Tân Sơn Nhì</t>
  </si>
  <si>
    <t>Bé My</t>
  </si>
  <si>
    <t>HD017792</t>
  </si>
  <si>
    <t>304/45 đường số 8 bình hưng hoà a</t>
  </si>
  <si>
    <t>chip chip</t>
  </si>
  <si>
    <t>HD018274</t>
  </si>
  <si>
    <t>71/16 thới an 16</t>
  </si>
  <si>
    <t>My Nguyễn</t>
  </si>
  <si>
    <t>HD018234</t>
  </si>
  <si>
    <t>256/33 liên khu 4 - 5 - Bình Hưng Hòa B</t>
  </si>
  <si>
    <t>Hoàng Trinh</t>
  </si>
  <si>
    <t>HD018238</t>
  </si>
  <si>
    <t>71/1/33.Nguyễn van Thuong p Thạnh mỹ tây</t>
  </si>
  <si>
    <t>chi hương fb Kim Tien Phan</t>
  </si>
  <si>
    <t>HD018239</t>
  </si>
  <si>
    <t>328 đường số 8 thông tây hội</t>
  </si>
  <si>
    <t>Kim Anh</t>
  </si>
  <si>
    <t>HD018216</t>
  </si>
  <si>
    <t>124/83/1 xô viết nghệ tĩnh p21</t>
  </si>
  <si>
    <t>TRANG TRẦN 2</t>
  </si>
  <si>
    <t>1122/23/7 quang trung phường 8</t>
  </si>
  <si>
    <t>Qn Nguyễn</t>
  </si>
  <si>
    <t>189/46a Bạch Đằng, phường Hạnh Thông</t>
  </si>
  <si>
    <t>NIKI VIJANDRE + Air Shipment + Mien Tran</t>
  </si>
  <si>
    <t>14 Lam Thi Ho, Tan Chanh Hiep Ward</t>
  </si>
  <si>
    <t>Ngọc Thủy</t>
  </si>
  <si>
    <t>41 Mạc Đĩnh Chi, đakao, P1</t>
  </si>
  <si>
    <t>Mã Thục Phối</t>
  </si>
  <si>
    <t>HD016561</t>
  </si>
  <si>
    <t>156 hàn hải nguyên f8</t>
  </si>
  <si>
    <t>Ngọc Tuyền</t>
  </si>
  <si>
    <t>HD018193</t>
  </si>
  <si>
    <t>Saigon Royal OT2</t>
  </si>
  <si>
    <t>Người nhận chuột</t>
  </si>
  <si>
    <t>HD018256</t>
  </si>
  <si>
    <t>số 229A Đường bùi thị xuân phường 1</t>
  </si>
  <si>
    <t>luu tra</t>
  </si>
  <si>
    <t>x</t>
  </si>
  <si>
    <t>xx</t>
  </si>
  <si>
    <t>Kim Anh Phạm Nguyễn</t>
  </si>
  <si>
    <t>HD016319</t>
  </si>
  <si>
    <t>240/38/4 Tô ngọc vân, phường Thanh Xuân</t>
  </si>
  <si>
    <t>27-04-2026</t>
  </si>
  <si>
    <t>Nguyễn Hải Phụng</t>
  </si>
  <si>
    <t>HD015693</t>
  </si>
  <si>
    <t>36 bờ bao tận trắng P. Sơn Kỳ (chung cư celedon cổng diamond brilliant block B2)</t>
  </si>
  <si>
    <t>25-04-2026</t>
  </si>
  <si>
    <t>Huong, A20.08</t>
  </si>
  <si>
    <t>HD014420</t>
  </si>
  <si>
    <t>CC Tân Phước lỗ a 153 Lý Thường Kiệt, Phường 7</t>
  </si>
  <si>
    <t>23-04-2026</t>
  </si>
  <si>
    <t>at 04-05</t>
  </si>
  <si>
    <t>3 đơn</t>
  </si>
  <si>
    <t>1 đơn</t>
  </si>
  <si>
    <t>THÁNG 5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</si>
  <si>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</si>
  <si>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</si>
  <si>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</si>
  <si>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</si>
  <si>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</si>
  <si>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</si>
  <si>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</si>
  <si>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</si>
  <si>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</si>
  <si>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Nhung SaLin</t>
  </si>
  <si>
    <t>HD018538</t>
  </si>
  <si>
    <t>19a Trần Quang diệu p13</t>
  </si>
  <si>
    <t>05-05-2026</t>
  </si>
  <si>
    <t>gộp</t>
  </si>
  <si>
    <t>Lan Anh Nguyễn</t>
  </si>
  <si>
    <t>HD018539</t>
  </si>
  <si>
    <t>70 đường số 1 KDC nam long</t>
  </si>
  <si>
    <t>AT 05-05</t>
  </si>
  <si>
    <t>Trâm Trang</t>
  </si>
  <si>
    <t>HD018328</t>
  </si>
  <si>
    <t>346 bến vân đồn p1</t>
  </si>
  <si>
    <t>Giáng Hương</t>
  </si>
  <si>
    <t>HD018400</t>
  </si>
  <si>
    <t>111 đường số 10 phường 13</t>
  </si>
  <si>
    <t>Nhi</t>
  </si>
  <si>
    <t>HD018213</t>
  </si>
  <si>
    <t>Hiểu My</t>
  </si>
  <si>
    <t>HD018563</t>
  </si>
  <si>
    <t>Toà 2, chung cư river panorama, 20 lê thị chợ, phường phú thuận</t>
  </si>
  <si>
    <t>Trần Thục Oanh</t>
  </si>
  <si>
    <t>HD018532</t>
  </si>
  <si>
    <t>118 đường 3/2, p12</t>
  </si>
  <si>
    <t>Nhung Bùi</t>
  </si>
  <si>
    <t>H0018373</t>
  </si>
  <si>
    <t>409/108/32/14c huynh thị hai, tân chánh hiệp</t>
  </si>
  <si>
    <t>Trần Ngọc Thúy</t>
  </si>
  <si>
    <t>HD018516</t>
  </si>
  <si>
    <t>saigon mia block b cổng sau</t>
  </si>
  <si>
    <t>Ngọc Vinh</t>
  </si>
  <si>
    <t>HD018285</t>
  </si>
  <si>
    <t>17-19 Trường Sơn P4</t>
  </si>
  <si>
    <t>C. Phương fb Nuory Le</t>
  </si>
  <si>
    <t>HD018435</t>
  </si>
  <si>
    <t>A28/1Dw3 quốc lộ 50 ấp 1 xã bình hưng</t>
  </si>
  <si>
    <t>ny nhỏ</t>
  </si>
  <si>
    <t>HD018341</t>
  </si>
  <si>
    <t>49 le quang kim p8</t>
  </si>
  <si>
    <t>Miu miu quỳnh</t>
  </si>
  <si>
    <t>HD018466</t>
  </si>
  <si>
    <t>109 Bến Vân Đồn P9</t>
  </si>
  <si>
    <t>Nguyễn Thị Bảo Loan</t>
  </si>
  <si>
    <t>HD018401</t>
  </si>
  <si>
    <t>tòa b2 chung cư lavida plus số 1181 nguyễn văn linh tân phong</t>
  </si>
  <si>
    <t>Hoàng Bảo Trân</t>
  </si>
  <si>
    <t>HD018387</t>
  </si>
  <si>
    <t>2/11 đường thiên phước, p9</t>
  </si>
  <si>
    <t>Vy Vy</t>
  </si>
  <si>
    <t>HD018348</t>
  </si>
  <si>
    <t>Block B chung cư Sunrise RiverSide, Nguyễn Hữu Thọ, Phước Kiển</t>
  </si>
  <si>
    <t>Lê Thị Minh Phượng</t>
  </si>
  <si>
    <t>HD018553</t>
  </si>
  <si>
    <t>155/14 đs 11 bình hưng hoà</t>
  </si>
  <si>
    <t>My Luu</t>
  </si>
  <si>
    <t>HD018552</t>
  </si>
  <si>
    <t>Toà T1, chung cư Vista Verde, số 8 Nguyễn Thanh Sơn, phường Cát Lái</t>
  </si>
  <si>
    <t>gộp, đổi hàng</t>
  </si>
  <si>
    <t>Tuyết Nhi</t>
  </si>
  <si>
    <t>HD018231</t>
  </si>
  <si>
    <t>100/17 liên khu 1-6 bình trị đông</t>
  </si>
  <si>
    <t>Thảo</t>
  </si>
  <si>
    <t>HD018440</t>
  </si>
  <si>
    <t>280a12 Lương Đình Của. An Phú</t>
  </si>
  <si>
    <t>Nguyen Diem My</t>
  </si>
  <si>
    <t>HD018321</t>
  </si>
  <si>
    <t>212 lê quang định phường 14</t>
  </si>
  <si>
    <t>Ngà Ngọc</t>
  </si>
  <si>
    <t>HD018269</t>
  </si>
  <si>
    <t>85 phan xích long p2</t>
  </si>
  <si>
    <t>phu nhuan</t>
  </si>
  <si>
    <t>Elena Nguyễn</t>
  </si>
  <si>
    <t>HD018325</t>
  </si>
  <si>
    <t>56/41 dương ba trạc, Phường 02</t>
  </si>
  <si>
    <t>HD018386</t>
  </si>
  <si>
    <t>hàng của Đào Ngọc Bích</t>
  </si>
  <si>
    <t>HD018540</t>
  </si>
  <si>
    <t>007 Lộ B chung cư Tây Thạnh, phường Tân Thạnh</t>
  </si>
  <si>
    <t>Việt Anh - fb Hồ Thị Uyên</t>
  </si>
  <si>
    <t>HD018388</t>
  </si>
  <si>
    <t>350/27 Lê Văn Quới, Bình Hưng Hòa A</t>
  </si>
  <si>
    <t>HD018494</t>
  </si>
  <si>
    <t>chung cư the park residence, 12 nguyễn hữu thọ phước kien nha be</t>
  </si>
  <si>
    <t>cô dung fb Nini Thach</t>
  </si>
  <si>
    <t>HD018521</t>
  </si>
  <si>
    <t>137/74a âu dương lân - p2</t>
  </si>
  <si>
    <t>Love May</t>
  </si>
  <si>
    <t>HD018311</t>
  </si>
  <si>
    <t>T4 Masteri Đường Số 10, Thảo Điền</t>
  </si>
  <si>
    <t>Mi Ni</t>
  </si>
  <si>
    <t>HD018437</t>
  </si>
  <si>
    <t>536/32/23 âu cơ</t>
  </si>
  <si>
    <t>HD018486</t>
  </si>
  <si>
    <t>HD018546</t>
  </si>
  <si>
    <t>Hoàng Thuý Liên</t>
  </si>
  <si>
    <t>HD017772</t>
  </si>
  <si>
    <t>290 an dương vương phường chợ quán</t>
  </si>
  <si>
    <t>yenchau</t>
  </si>
  <si>
    <t>HD018526</t>
  </si>
  <si>
    <t>Chung cu Horita, lo C, Đường D4, P. Tân Hưng</t>
  </si>
  <si>
    <t>Thư Ánh Võ</t>
  </si>
  <si>
    <t>HD018343</t>
  </si>
  <si>
    <t>5 lê thánh tôn bến nghé</t>
  </si>
  <si>
    <t>Châu Châu</t>
  </si>
  <si>
    <t>HD018490</t>
  </si>
  <si>
    <t>E3/8 ấp 56 xã vĩnh lộc</t>
  </si>
  <si>
    <t>Ly Sokny- 012776599</t>
  </si>
  <si>
    <t>HD018248</t>
  </si>
  <si>
    <t>359 phạm ngũ lão</t>
  </si>
  <si>
    <t>Tuyết</t>
  </si>
  <si>
    <t>HD018429</t>
  </si>
  <si>
    <t>30/18 đường số 6 KP18 Phường Vĩnh Hội</t>
  </si>
  <si>
    <t>Hồng Miên</t>
  </si>
  <si>
    <t>HD018250</t>
  </si>
  <si>
    <t>123 đường số 11 tân kiểng tân quy</t>
  </si>
  <si>
    <t>Đinh Thị Kim Lan</t>
  </si>
  <si>
    <t>HD018306</t>
  </si>
  <si>
    <t>Ngân hàng Tpbank 303 (39/6) Trường Chinh P Tân Thới Nhất</t>
  </si>
  <si>
    <t>Thu Ba DS</t>
  </si>
  <si>
    <t>HD018302</t>
  </si>
  <si>
    <t>395 Bùi Đình Tuý, p14</t>
  </si>
  <si>
    <t>Thanh Xuân</t>
  </si>
  <si>
    <t>HD018565</t>
  </si>
  <si>
    <t>17/4B Liên khu 5-6 bình hưng hòa b</t>
  </si>
  <si>
    <t>Ivy Dao</t>
  </si>
  <si>
    <t>HD018318</t>
  </si>
  <si>
    <t>238/3 trường chinh, đông hưng thuận</t>
  </si>
  <si>
    <t>HD018376</t>
  </si>
  <si>
    <t>Loan Thỏ</t>
  </si>
  <si>
    <t>HD018544</t>
  </si>
  <si>
    <t>81/6 Hồ thị kỷ, phường 1</t>
  </si>
  <si>
    <t>Hồng My</t>
  </si>
  <si>
    <t>HD018549</t>
  </si>
  <si>
    <t>192 Phạm Đức Sơn, Phường 16 (Chung Cư Heaven Riverview - Mỹ Phúc) Block B</t>
  </si>
  <si>
    <t>Mỹ Ngọc</t>
  </si>
  <si>
    <t>HD018275</t>
  </si>
  <si>
    <t>242 nguyễn oanh, phường gò vấp</t>
  </si>
  <si>
    <t>Nguyễn Minh Hải</t>
  </si>
  <si>
    <t>17 Đường Số 13 Bình Hưng Hoà</t>
  </si>
  <si>
    <t>FANG FANG</t>
  </si>
  <si>
    <t>A75/6B/2 Bạch Đằng, Phường 2</t>
  </si>
  <si>
    <t>Ly Clara Selena</t>
  </si>
  <si>
    <t>403 tân sơn p12</t>
  </si>
  <si>
    <t>LISA</t>
  </si>
  <si>
    <t>685 tân sơn phường 12</t>
  </si>
  <si>
    <t>THU TRƯƠNG</t>
  </si>
  <si>
    <t>159/43/5 Đường Bạch Đằng, phường Tân Sơn Hòa</t>
  </si>
  <si>
    <t>DARAVIN</t>
  </si>
  <si>
    <t>301 Phạm Ngũ Lão, Phường Phạm Ngũ Lão</t>
  </si>
  <si>
    <t>at 05-05</t>
  </si>
  <si>
    <t>shipper ứng tiền cho nhà xe</t>
  </si>
  <si>
    <t>27 nguyễn hữu thọ (sunrise city toà X1) phường Tân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</si>
</sst>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30">
    <xf numFmtId="0" fontId="0" fillId="0" borderId="0" xfId="0"/>
    <xf numFmtId="0" fontId="4" fillId="5" borderId="0" xfId="0" applyFont="1" applyFill="1"/>
    <xf numFmtId="0" fontId="5" fillId="0" borderId="0" xfId="0" applyFont="1"/>
    <xf numFmtId="0" fontId="0" fillId="5" borderId="0" xfId="0" applyFill="1"/>
    <xf numFmtId="0" fontId="4" fillId="0" borderId="0" xfId="0" applyFont="1"/>
    <xf numFmtId="0" fontId="1" fillId="0" borderId="0" xfId="1" applyFon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0" xfId="0" applyFont="1" applyFill="1"/>
    <xf numFmtId="3" fontId="0" fillId="0" borderId="0" xfId="0" applyNumberFormat="1"/>
    <xf numFmtId="0" fontId="4" fillId="6" borderId="0" xfId="0" applyFont="1" applyFill="1"/>
    <xf numFmtId="0" fontId="0" fillId="7" borderId="0" xfId="0" applyFill="1"/>
    <xf numFmtId="0" fontId="4" fillId="8" borderId="0" xfId="0" applyFont="1" applyFill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5" fillId="2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 applyAlignment="1">
      <alignment horizontal="right"/>
    </xf>
    <xf numFmtId="3" fontId="0" fillId="10" borderId="1" xfId="0" applyNumberFormat="1" applyFill="1" applyBorder="1"/>
    <xf numFmtId="0" fontId="0" fillId="0" borderId="0" xfId="0"/>
    <xf numFmtId="0" fontId="4" fillId="5" borderId="0" xfId="0" applyFont="1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90"/>
  <sheetViews>
    <sheetView topLeftCell="A43" workbookViewId="0">
      <selection activeCell="A47" sqref="A47 A47:XFD47"/>
    </sheetView>
  </sheetViews>
  <sheetFormatPr defaultRowHeight="15" x14ac:dyDescent="0.25"/>
  <cols>
    <col min="1" max="1" width="12.7109375" customWidth="1"/>
    <col min="2" max="2" width="17.7109375" customWidth="1"/>
    <col min="3" max="3" width="31.5703125" customWidth="1"/>
    <col min="4" max="4" width="9.85546875" customWidth="1"/>
    <col min="5" max="5" width="89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5"/>
    </row>
    <row r="3" spans="1:18" x14ac:dyDescent="0.25">
      <c r="A3" s="15" t="s">
        <v>16</v>
      </c>
      <c r="B3" s="15" t="s">
        <v>17</v>
      </c>
      <c r="C3" s="15" t="s">
        <v>18</v>
      </c>
      <c r="D3" s="15"/>
      <c r="E3" s="15" t="s">
        <v>19</v>
      </c>
      <c r="F3" s="16">
        <v>9</v>
      </c>
      <c r="G3" s="16">
        <v>895</v>
      </c>
      <c r="H3" s="16">
        <v>35</v>
      </c>
      <c r="I3" s="16">
        <f t="shared" ref="I3:I8" si="0">G3-H3</f>
        <v>860</v>
      </c>
      <c r="J3" s="15" t="s">
        <v>20</v>
      </c>
      <c r="K3" s="15" t="s">
        <v>21</v>
      </c>
      <c r="L3" s="15" t="s">
        <v>22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17</v>
      </c>
      <c r="C4" s="15" t="s">
        <v>23</v>
      </c>
      <c r="D4" s="15" t="s">
        <v>24</v>
      </c>
      <c r="E4" s="15" t="s">
        <v>25</v>
      </c>
      <c r="F4" s="15" t="s">
        <v>26</v>
      </c>
      <c r="G4" s="16">
        <v>920</v>
      </c>
      <c r="H4" s="16">
        <v>30</v>
      </c>
      <c r="I4" s="16">
        <f t="shared" si="0"/>
        <v>890</v>
      </c>
      <c r="J4" s="15" t="s">
        <v>27</v>
      </c>
      <c r="K4" s="15" t="s">
        <v>21</v>
      </c>
      <c r="L4" s="15" t="s">
        <v>22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17</v>
      </c>
      <c r="C5" s="15" t="s">
        <v>28</v>
      </c>
      <c r="D5" s="15" t="s">
        <v>29</v>
      </c>
      <c r="E5" s="15" t="s">
        <v>30</v>
      </c>
      <c r="F5" s="16">
        <v>12</v>
      </c>
      <c r="G5" s="16">
        <v>890</v>
      </c>
      <c r="H5" s="16">
        <v>30</v>
      </c>
      <c r="I5" s="16">
        <f t="shared" si="0"/>
        <v>860</v>
      </c>
      <c r="J5" s="15" t="s">
        <v>27</v>
      </c>
      <c r="K5" s="15" t="s">
        <v>21</v>
      </c>
      <c r="L5" s="15" t="s">
        <v>22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17</v>
      </c>
      <c r="C6" s="15" t="s">
        <v>31</v>
      </c>
      <c r="D6" s="15" t="s">
        <v>32</v>
      </c>
      <c r="E6" s="15" t="s">
        <v>33</v>
      </c>
      <c r="F6" s="16">
        <v>12</v>
      </c>
      <c r="G6" s="16">
        <v>380</v>
      </c>
      <c r="H6" s="16">
        <v>30</v>
      </c>
      <c r="I6" s="16">
        <f t="shared" si="0"/>
        <v>350</v>
      </c>
      <c r="J6" s="15" t="s">
        <v>27</v>
      </c>
      <c r="K6" s="15" t="s">
        <v>21</v>
      </c>
      <c r="L6" s="15" t="s">
        <v>22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17</v>
      </c>
      <c r="C7" s="15" t="s">
        <v>34</v>
      </c>
      <c r="D7" s="15" t="s">
        <v>35</v>
      </c>
      <c r="E7" s="15" t="s">
        <v>36</v>
      </c>
      <c r="F7" s="16">
        <v>8</v>
      </c>
      <c r="G7" s="16">
        <v>500</v>
      </c>
      <c r="H7" s="16">
        <v>30</v>
      </c>
      <c r="I7" s="16">
        <f t="shared" si="0"/>
        <v>470</v>
      </c>
      <c r="J7" s="15" t="s">
        <v>27</v>
      </c>
      <c r="K7" s="15" t="s">
        <v>21</v>
      </c>
      <c r="L7" s="15" t="s">
        <v>22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17</v>
      </c>
      <c r="C8" s="15" t="s">
        <v>37</v>
      </c>
      <c r="D8" s="15" t="s">
        <v>38</v>
      </c>
      <c r="E8" s="15" t="s">
        <v>39</v>
      </c>
      <c r="F8" s="16">
        <v>8</v>
      </c>
      <c r="G8" s="16">
        <v>890</v>
      </c>
      <c r="H8" s="16">
        <v>30</v>
      </c>
      <c r="I8" s="16">
        <f t="shared" si="0"/>
        <v>860</v>
      </c>
      <c r="J8" s="15" t="s">
        <v>27</v>
      </c>
      <c r="K8" s="15" t="s">
        <v>21</v>
      </c>
      <c r="L8" s="15" t="s">
        <v>22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17</v>
      </c>
      <c r="C9" s="15" t="s">
        <v>40</v>
      </c>
      <c r="D9" s="15" t="s">
        <v>41</v>
      </c>
      <c r="E9" s="15" t="s">
        <v>42</v>
      </c>
      <c r="F9" s="16">
        <v>12</v>
      </c>
      <c r="G9" s="16">
        <v>0</v>
      </c>
      <c r="H9" s="16">
        <v>30</v>
      </c>
      <c r="I9" s="16">
        <f>-H9</f>
        <v>-30</v>
      </c>
      <c r="J9" s="15" t="s">
        <v>27</v>
      </c>
      <c r="K9" s="15" t="s">
        <v>21</v>
      </c>
      <c r="L9" s="15" t="s">
        <v>22</v>
      </c>
      <c r="M9" s="15"/>
      <c r="N9" s="15"/>
      <c r="O9" s="15"/>
      <c r="P9" s="15"/>
      <c r="Q9" s="15">
        <v>1</v>
      </c>
      <c r="R9" s="10">
        <f>H9</f>
        <v>30</v>
      </c>
    </row>
    <row r="10" spans="1:18" x14ac:dyDescent="0.25">
      <c r="A10" s="15"/>
      <c r="B10" s="15" t="s">
        <v>17</v>
      </c>
      <c r="C10" s="15" t="s">
        <v>43</v>
      </c>
      <c r="D10" s="15" t="s">
        <v>44</v>
      </c>
      <c r="E10" s="15" t="s">
        <v>45</v>
      </c>
      <c r="F10" s="15" t="s">
        <v>46</v>
      </c>
      <c r="G10" s="16">
        <v>785</v>
      </c>
      <c r="H10" s="16">
        <v>25</v>
      </c>
      <c r="I10" s="16">
        <f t="shared" ref="I10:I15" si="1">G10-H10</f>
        <v>760</v>
      </c>
      <c r="J10" s="15" t="s">
        <v>27</v>
      </c>
      <c r="K10" s="15" t="s">
        <v>21</v>
      </c>
      <c r="L10" s="15" t="s">
        <v>22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17</v>
      </c>
      <c r="C11" s="15" t="s">
        <v>47</v>
      </c>
      <c r="D11" s="15" t="s">
        <v>48</v>
      </c>
      <c r="E11" s="15" t="s">
        <v>49</v>
      </c>
      <c r="F11" s="15" t="s">
        <v>26</v>
      </c>
      <c r="G11" s="16">
        <v>720</v>
      </c>
      <c r="H11" s="16">
        <v>30</v>
      </c>
      <c r="I11" s="16">
        <f t="shared" si="1"/>
        <v>690</v>
      </c>
      <c r="J11" s="15" t="s">
        <v>27</v>
      </c>
      <c r="K11" s="15" t="s">
        <v>21</v>
      </c>
      <c r="L11" s="15" t="s">
        <v>22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17</v>
      </c>
      <c r="C12" s="15" t="s">
        <v>50</v>
      </c>
      <c r="D12" s="15" t="s">
        <v>51</v>
      </c>
      <c r="E12" s="15" t="s">
        <v>52</v>
      </c>
      <c r="F12" s="16">
        <v>8</v>
      </c>
      <c r="G12" s="16">
        <v>780</v>
      </c>
      <c r="H12" s="16">
        <v>30</v>
      </c>
      <c r="I12" s="16">
        <f t="shared" si="1"/>
        <v>750</v>
      </c>
      <c r="J12" s="15" t="s">
        <v>27</v>
      </c>
      <c r="K12" s="15" t="s">
        <v>21</v>
      </c>
      <c r="L12" s="15" t="s">
        <v>22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17</v>
      </c>
      <c r="C13" s="15" t="s">
        <v>53</v>
      </c>
      <c r="D13" s="15" t="s">
        <v>54</v>
      </c>
      <c r="E13" s="15" t="s">
        <v>55</v>
      </c>
      <c r="F13" s="15" t="s">
        <v>26</v>
      </c>
      <c r="G13" s="16">
        <v>670</v>
      </c>
      <c r="H13" s="16">
        <v>30</v>
      </c>
      <c r="I13" s="16">
        <f t="shared" si="1"/>
        <v>640</v>
      </c>
      <c r="J13" s="15" t="s">
        <v>27</v>
      </c>
      <c r="K13" s="15" t="s">
        <v>21</v>
      </c>
      <c r="L13" s="15" t="s">
        <v>22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17</v>
      </c>
      <c r="C14" s="15" t="s">
        <v>56</v>
      </c>
      <c r="D14" s="15" t="s">
        <v>57</v>
      </c>
      <c r="E14" s="15" t="s">
        <v>58</v>
      </c>
      <c r="F14" s="16">
        <v>6</v>
      </c>
      <c r="G14" s="16">
        <v>1445</v>
      </c>
      <c r="H14" s="16">
        <v>25</v>
      </c>
      <c r="I14" s="16">
        <f t="shared" si="1"/>
        <v>1420</v>
      </c>
      <c r="J14" s="15" t="s">
        <v>27</v>
      </c>
      <c r="K14" s="15" t="s">
        <v>21</v>
      </c>
      <c r="L14" s="15" t="s">
        <v>22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17</v>
      </c>
      <c r="C15" s="15" t="s">
        <v>59</v>
      </c>
      <c r="D15" s="15" t="s">
        <v>60</v>
      </c>
      <c r="E15" s="15" t="s">
        <v>61</v>
      </c>
      <c r="F15" s="16">
        <v>9</v>
      </c>
      <c r="G15" s="16">
        <v>780</v>
      </c>
      <c r="H15" s="16">
        <v>30</v>
      </c>
      <c r="I15" s="16">
        <f t="shared" si="1"/>
        <v>750</v>
      </c>
      <c r="J15" s="15" t="s">
        <v>27</v>
      </c>
      <c r="K15" s="15" t="s">
        <v>21</v>
      </c>
      <c r="L15" s="15" t="s">
        <v>22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17</v>
      </c>
      <c r="C16" s="15" t="s">
        <v>62</v>
      </c>
      <c r="D16" s="15" t="s">
        <v>63</v>
      </c>
      <c r="E16" s="15" t="s">
        <v>64</v>
      </c>
      <c r="F16" s="15" t="s">
        <v>26</v>
      </c>
      <c r="G16" s="16">
        <v>0</v>
      </c>
      <c r="H16" s="16">
        <v>30</v>
      </c>
      <c r="I16" s="16">
        <f>-H16</f>
        <v>-30</v>
      </c>
      <c r="J16" s="15" t="s">
        <v>27</v>
      </c>
      <c r="K16" s="15" t="s">
        <v>21</v>
      </c>
      <c r="L16" s="15" t="s">
        <v>22</v>
      </c>
      <c r="M16" s="15"/>
      <c r="N16" s="15"/>
      <c r="O16" s="15"/>
      <c r="P16" s="15"/>
      <c r="Q16" s="15">
        <v>1</v>
      </c>
      <c r="R16" s="10">
        <f>H16</f>
        <v>30</v>
      </c>
    </row>
    <row r="17" spans="1:18" x14ac:dyDescent="0.25">
      <c r="A17" s="15"/>
      <c r="B17" s="15" t="s">
        <v>17</v>
      </c>
      <c r="C17" s="15" t="s">
        <v>65</v>
      </c>
      <c r="D17" s="15" t="s">
        <v>66</v>
      </c>
      <c r="E17" s="15" t="s">
        <v>67</v>
      </c>
      <c r="F17" s="16">
        <v>12</v>
      </c>
      <c r="G17" s="16">
        <v>690</v>
      </c>
      <c r="H17" s="16">
        <v>30</v>
      </c>
      <c r="I17" s="16">
        <f>G17-H17</f>
        <v>660</v>
      </c>
      <c r="J17" s="15" t="s">
        <v>27</v>
      </c>
      <c r="K17" s="15" t="s">
        <v>21</v>
      </c>
      <c r="L17" s="15" t="s">
        <v>22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17</v>
      </c>
      <c r="C18" s="15" t="s">
        <v>68</v>
      </c>
      <c r="D18" s="15" t="s">
        <v>69</v>
      </c>
      <c r="E18" s="15" t="s">
        <v>70</v>
      </c>
      <c r="F18" s="16">
        <v>2</v>
      </c>
      <c r="G18" s="16">
        <v>820</v>
      </c>
      <c r="H18" s="16">
        <v>30</v>
      </c>
      <c r="I18" s="16">
        <f>G18-H18</f>
        <v>790</v>
      </c>
      <c r="J18" s="15" t="s">
        <v>21</v>
      </c>
      <c r="K18" s="15" t="s">
        <v>21</v>
      </c>
      <c r="L18" s="15" t="s">
        <v>22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17</v>
      </c>
      <c r="C19" s="15" t="s">
        <v>71</v>
      </c>
      <c r="D19" s="15" t="s">
        <v>72</v>
      </c>
      <c r="E19" s="15" t="s">
        <v>73</v>
      </c>
      <c r="F19" s="16">
        <v>12</v>
      </c>
      <c r="G19" s="16">
        <v>0</v>
      </c>
      <c r="H19" s="16">
        <v>30</v>
      </c>
      <c r="I19" s="16">
        <f>-H19</f>
        <v>-30</v>
      </c>
      <c r="J19" s="15" t="s">
        <v>21</v>
      </c>
      <c r="K19" s="15" t="s">
        <v>21</v>
      </c>
      <c r="L19" s="15" t="s">
        <v>22</v>
      </c>
      <c r="M19" s="15"/>
      <c r="N19" s="15"/>
      <c r="O19" s="15"/>
      <c r="P19" s="15"/>
      <c r="Q19" s="15">
        <v>1</v>
      </c>
      <c r="R19" s="10">
        <f>H19</f>
        <v>30</v>
      </c>
    </row>
    <row r="20" spans="1:18" x14ac:dyDescent="0.25">
      <c r="A20" s="15"/>
      <c r="B20" s="15" t="s">
        <v>17</v>
      </c>
      <c r="C20" s="15" t="s">
        <v>74</v>
      </c>
      <c r="D20" s="15" t="s">
        <v>75</v>
      </c>
      <c r="E20" s="15" t="s">
        <v>76</v>
      </c>
      <c r="F20" s="15" t="s">
        <v>77</v>
      </c>
      <c r="G20" s="16">
        <v>0</v>
      </c>
      <c r="H20" s="16">
        <v>40</v>
      </c>
      <c r="I20" s="16">
        <f>-H20</f>
        <v>-40</v>
      </c>
      <c r="J20" s="15" t="s">
        <v>21</v>
      </c>
      <c r="K20" s="15" t="s">
        <v>21</v>
      </c>
      <c r="L20" s="15" t="s">
        <v>22</v>
      </c>
      <c r="M20" s="15"/>
      <c r="N20" s="15"/>
      <c r="O20" s="15"/>
      <c r="P20" s="15"/>
      <c r="Q20" s="15">
        <v>1</v>
      </c>
      <c r="R20" s="10">
        <f>H20</f>
        <v>40</v>
      </c>
    </row>
    <row r="21" spans="1:18" x14ac:dyDescent="0.25">
      <c r="A21" s="15"/>
      <c r="B21" s="15" t="s">
        <v>17</v>
      </c>
      <c r="C21" s="15" t="s">
        <v>78</v>
      </c>
      <c r="D21" s="15" t="s">
        <v>79</v>
      </c>
      <c r="E21" s="15" t="s">
        <v>80</v>
      </c>
      <c r="F21" s="15" t="s">
        <v>81</v>
      </c>
      <c r="G21" s="16">
        <v>690</v>
      </c>
      <c r="H21" s="16">
        <v>30</v>
      </c>
      <c r="I21" s="16">
        <f>G21-H21</f>
        <v>660</v>
      </c>
      <c r="J21" s="15" t="s">
        <v>21</v>
      </c>
      <c r="K21" s="15" t="s">
        <v>21</v>
      </c>
      <c r="L21" s="15" t="s">
        <v>22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17</v>
      </c>
      <c r="C22" s="15" t="s">
        <v>82</v>
      </c>
      <c r="D22" s="15" t="s">
        <v>83</v>
      </c>
      <c r="E22" s="15" t="s">
        <v>84</v>
      </c>
      <c r="F22" s="15" t="s">
        <v>85</v>
      </c>
      <c r="G22" s="16">
        <v>660</v>
      </c>
      <c r="H22" s="16">
        <v>20</v>
      </c>
      <c r="I22" s="16">
        <f>G22-H22</f>
        <v>640</v>
      </c>
      <c r="J22" s="15" t="s">
        <v>21</v>
      </c>
      <c r="K22" s="15" t="s">
        <v>21</v>
      </c>
      <c r="L22" s="15" t="s">
        <v>22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17</v>
      </c>
      <c r="C23" s="15" t="s">
        <v>86</v>
      </c>
      <c r="D23" s="15" t="s">
        <v>87</v>
      </c>
      <c r="E23" s="15" t="s">
        <v>88</v>
      </c>
      <c r="F23" s="15" t="s">
        <v>77</v>
      </c>
      <c r="G23" s="16">
        <v>375</v>
      </c>
      <c r="H23" s="16">
        <v>25</v>
      </c>
      <c r="I23" s="16">
        <f>G23-H23</f>
        <v>350</v>
      </c>
      <c r="J23" s="15" t="s">
        <v>21</v>
      </c>
      <c r="K23" s="15" t="s">
        <v>21</v>
      </c>
      <c r="L23" s="15" t="s">
        <v>22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17</v>
      </c>
      <c r="C24" s="15" t="s">
        <v>89</v>
      </c>
      <c r="D24" s="15" t="s">
        <v>90</v>
      </c>
      <c r="E24" s="15" t="s">
        <v>91</v>
      </c>
      <c r="F24" s="15" t="s">
        <v>77</v>
      </c>
      <c r="G24" s="16">
        <v>0</v>
      </c>
      <c r="H24" s="16">
        <v>25</v>
      </c>
      <c r="I24" s="16">
        <f>-H24</f>
        <v>-25</v>
      </c>
      <c r="J24" s="15" t="s">
        <v>21</v>
      </c>
      <c r="K24" s="15" t="s">
        <v>21</v>
      </c>
      <c r="L24" s="15" t="s">
        <v>22</v>
      </c>
      <c r="M24" s="15"/>
      <c r="N24" s="15"/>
      <c r="O24" s="15"/>
      <c r="P24" s="15"/>
      <c r="Q24" s="15">
        <v>1</v>
      </c>
      <c r="R24" s="10">
        <f>H24</f>
        <v>25</v>
      </c>
    </row>
    <row r="25" spans="1:18" x14ac:dyDescent="0.25">
      <c r="A25" s="15"/>
      <c r="B25" s="15" t="s">
        <v>17</v>
      </c>
      <c r="C25" s="15" t="s">
        <v>92</v>
      </c>
      <c r="D25" s="15" t="s">
        <v>93</v>
      </c>
      <c r="E25" s="15" t="s">
        <v>94</v>
      </c>
      <c r="F25" s="15" t="s">
        <v>95</v>
      </c>
      <c r="G25" s="16">
        <v>725</v>
      </c>
      <c r="H25" s="16">
        <v>25</v>
      </c>
      <c r="I25" s="16">
        <f>G25-H25</f>
        <v>700</v>
      </c>
      <c r="J25" s="15" t="s">
        <v>21</v>
      </c>
      <c r="K25" s="15" t="s">
        <v>21</v>
      </c>
      <c r="L25" s="15" t="s">
        <v>22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17</v>
      </c>
      <c r="C26" s="15" t="s">
        <v>96</v>
      </c>
      <c r="D26" s="15" t="s">
        <v>97</v>
      </c>
      <c r="E26" s="15" t="s">
        <v>98</v>
      </c>
      <c r="F26" s="15" t="s">
        <v>77</v>
      </c>
      <c r="G26" s="16">
        <v>0</v>
      </c>
      <c r="H26" s="16">
        <v>25</v>
      </c>
      <c r="I26" s="16">
        <f>-H26</f>
        <v>-25</v>
      </c>
      <c r="J26" s="15" t="s">
        <v>21</v>
      </c>
      <c r="K26" s="15" t="s">
        <v>21</v>
      </c>
      <c r="L26" s="15" t="s">
        <v>22</v>
      </c>
      <c r="M26" s="15"/>
      <c r="N26" s="15"/>
      <c r="O26" s="15"/>
      <c r="P26" s="15"/>
      <c r="Q26" s="15">
        <v>1</v>
      </c>
      <c r="R26" s="10">
        <f>H26</f>
        <v>25</v>
      </c>
    </row>
    <row r="27" spans="1:18" x14ac:dyDescent="0.25">
      <c r="A27" s="15"/>
      <c r="B27" s="15" t="s">
        <v>17</v>
      </c>
      <c r="C27" s="15" t="s">
        <v>99</v>
      </c>
      <c r="D27" s="15" t="s">
        <v>100</v>
      </c>
      <c r="E27" s="15" t="s">
        <v>101</v>
      </c>
      <c r="F27" s="15" t="s">
        <v>77</v>
      </c>
      <c r="G27" s="16">
        <v>1765</v>
      </c>
      <c r="H27" s="16">
        <v>25</v>
      </c>
      <c r="I27" s="16">
        <f>G27-H27</f>
        <v>1740</v>
      </c>
      <c r="J27" s="15" t="s">
        <v>21</v>
      </c>
      <c r="K27" s="15" t="s">
        <v>21</v>
      </c>
      <c r="L27" s="15" t="s">
        <v>22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17</v>
      </c>
      <c r="C28" s="15" t="s">
        <v>102</v>
      </c>
      <c r="D28" s="15" t="s">
        <v>103</v>
      </c>
      <c r="E28" s="15" t="s">
        <v>104</v>
      </c>
      <c r="F28" s="15" t="s">
        <v>77</v>
      </c>
      <c r="G28" s="16">
        <v>0</v>
      </c>
      <c r="H28" s="16">
        <v>25</v>
      </c>
      <c r="I28" s="16">
        <f>-H28</f>
        <v>-25</v>
      </c>
      <c r="J28" s="15" t="s">
        <v>21</v>
      </c>
      <c r="K28" s="15" t="s">
        <v>21</v>
      </c>
      <c r="L28" s="15" t="s">
        <v>22</v>
      </c>
      <c r="M28" s="15"/>
      <c r="N28" s="15"/>
      <c r="O28" s="15"/>
      <c r="P28" s="15"/>
      <c r="Q28" s="15">
        <v>1</v>
      </c>
      <c r="R28" s="10">
        <f>H28</f>
        <v>25</v>
      </c>
    </row>
    <row r="29" spans="1:18" x14ac:dyDescent="0.25">
      <c r="A29" s="15"/>
      <c r="B29" s="15" t="s">
        <v>17</v>
      </c>
      <c r="C29" s="15" t="s">
        <v>105</v>
      </c>
      <c r="D29" s="15" t="s">
        <v>106</v>
      </c>
      <c r="E29" s="15" t="s">
        <v>107</v>
      </c>
      <c r="F29" s="15" t="s">
        <v>77</v>
      </c>
      <c r="G29" s="16">
        <v>765</v>
      </c>
      <c r="H29" s="16">
        <v>25</v>
      </c>
      <c r="I29" s="16">
        <f>G29-H29</f>
        <v>740</v>
      </c>
      <c r="J29" s="15" t="s">
        <v>21</v>
      </c>
      <c r="K29" s="15" t="s">
        <v>21</v>
      </c>
      <c r="L29" s="15" t="s">
        <v>22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17</v>
      </c>
      <c r="C30" s="15" t="s">
        <v>108</v>
      </c>
      <c r="D30" s="15" t="s">
        <v>109</v>
      </c>
      <c r="E30" s="15" t="s">
        <v>110</v>
      </c>
      <c r="F30" s="15" t="s">
        <v>81</v>
      </c>
      <c r="G30" s="16">
        <v>820</v>
      </c>
      <c r="H30" s="16">
        <v>30</v>
      </c>
      <c r="I30" s="16">
        <f>G30-H30</f>
        <v>790</v>
      </c>
      <c r="J30" s="15" t="s">
        <v>21</v>
      </c>
      <c r="K30" s="15" t="s">
        <v>21</v>
      </c>
      <c r="L30" s="15" t="s">
        <v>22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17</v>
      </c>
      <c r="C31" s="15" t="s">
        <v>111</v>
      </c>
      <c r="D31" s="15" t="s">
        <v>112</v>
      </c>
      <c r="E31" s="15" t="s">
        <v>113</v>
      </c>
      <c r="F31" s="15" t="s">
        <v>85</v>
      </c>
      <c r="G31" s="16">
        <v>740</v>
      </c>
      <c r="H31" s="16">
        <v>20</v>
      </c>
      <c r="I31" s="16">
        <f>G31-H31</f>
        <v>720</v>
      </c>
      <c r="J31" s="15" t="s">
        <v>21</v>
      </c>
      <c r="K31" s="15" t="s">
        <v>21</v>
      </c>
      <c r="L31" s="15" t="s">
        <v>22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17</v>
      </c>
      <c r="C32" s="15" t="s">
        <v>114</v>
      </c>
      <c r="D32" s="15" t="s">
        <v>115</v>
      </c>
      <c r="E32" s="15" t="s">
        <v>116</v>
      </c>
      <c r="F32" s="15" t="s">
        <v>85</v>
      </c>
      <c r="G32" s="16">
        <v>770</v>
      </c>
      <c r="H32" s="16">
        <v>20</v>
      </c>
      <c r="I32" s="16">
        <f>G32-H32</f>
        <v>750</v>
      </c>
      <c r="J32" s="15" t="s">
        <v>21</v>
      </c>
      <c r="K32" s="15" t="s">
        <v>21</v>
      </c>
      <c r="L32" s="15" t="s">
        <v>22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17</v>
      </c>
      <c r="C33" s="15" t="s">
        <v>117</v>
      </c>
      <c r="D33" s="15" t="s">
        <v>118</v>
      </c>
      <c r="E33" s="15" t="s">
        <v>119</v>
      </c>
      <c r="F33" s="16">
        <v>2</v>
      </c>
      <c r="G33" s="16">
        <v>0</v>
      </c>
      <c r="H33" s="16">
        <v>30</v>
      </c>
      <c r="I33" s="16">
        <f>-H33</f>
        <v>-30</v>
      </c>
      <c r="J33" s="15" t="s">
        <v>21</v>
      </c>
      <c r="K33" s="15" t="s">
        <v>21</v>
      </c>
      <c r="L33" s="15" t="s">
        <v>22</v>
      </c>
      <c r="M33" s="15"/>
      <c r="N33" s="15"/>
      <c r="O33" s="15"/>
      <c r="P33" s="15"/>
      <c r="Q33" s="15">
        <v>1</v>
      </c>
      <c r="R33" s="10">
        <f>H33</f>
        <v>30</v>
      </c>
    </row>
    <row r="34" spans="1:18" x14ac:dyDescent="0.25">
      <c r="A34" s="15"/>
      <c r="B34" s="15" t="s">
        <v>17</v>
      </c>
      <c r="C34" s="15" t="s">
        <v>120</v>
      </c>
      <c r="D34" s="15" t="s">
        <v>121</v>
      </c>
      <c r="E34" s="15" t="s">
        <v>122</v>
      </c>
      <c r="F34" s="15" t="s">
        <v>85</v>
      </c>
      <c r="G34" s="16">
        <v>590</v>
      </c>
      <c r="H34" s="16">
        <v>20</v>
      </c>
      <c r="I34" s="16">
        <f t="shared" ref="I34:I41" si="2">G34-H34</f>
        <v>570</v>
      </c>
      <c r="J34" s="15" t="s">
        <v>21</v>
      </c>
      <c r="K34" s="15" t="s">
        <v>21</v>
      </c>
      <c r="L34" s="15" t="s">
        <v>22</v>
      </c>
      <c r="M34" s="15"/>
      <c r="N34" s="15"/>
      <c r="O34" s="15"/>
      <c r="P34" s="15"/>
      <c r="Q34" s="15">
        <v>1</v>
      </c>
    </row>
    <row r="35" spans="1:18" s="19" customFormat="1" x14ac:dyDescent="0.25">
      <c r="A35" s="17"/>
      <c r="B35" s="17" t="s">
        <v>17</v>
      </c>
      <c r="C35" s="17" t="s">
        <v>123</v>
      </c>
      <c r="D35" s="17" t="s">
        <v>124</v>
      </c>
      <c r="E35" s="17" t="s">
        <v>125</v>
      </c>
      <c r="F35" s="18">
        <v>2</v>
      </c>
      <c r="G35" s="18">
        <v>110</v>
      </c>
      <c r="H35" s="18">
        <v>30</v>
      </c>
      <c r="I35" s="18">
        <f t="shared" si="2"/>
        <v>80</v>
      </c>
      <c r="J35" s="17" t="s">
        <v>21</v>
      </c>
      <c r="K35" s="17" t="s">
        <v>21</v>
      </c>
      <c r="L35" s="17" t="s">
        <v>22</v>
      </c>
      <c r="M35" s="17" t="s">
        <v>126</v>
      </c>
      <c r="N35" s="17"/>
      <c r="O35" s="17"/>
      <c r="P35" s="17"/>
      <c r="Q35" s="17">
        <v>1</v>
      </c>
    </row>
    <row r="36" spans="1:18" x14ac:dyDescent="0.25">
      <c r="A36" s="15" t="s">
        <v>16</v>
      </c>
      <c r="B36" s="15" t="s">
        <v>17</v>
      </c>
      <c r="C36" s="15" t="s">
        <v>127</v>
      </c>
      <c r="D36" s="15"/>
      <c r="E36" s="15" t="s">
        <v>128</v>
      </c>
      <c r="F36" s="15" t="s">
        <v>81</v>
      </c>
      <c r="G36" s="16">
        <v>1165</v>
      </c>
      <c r="H36" s="16">
        <v>35</v>
      </c>
      <c r="I36" s="16">
        <f t="shared" si="2"/>
        <v>1130</v>
      </c>
      <c r="J36" s="15" t="s">
        <v>21</v>
      </c>
      <c r="K36" s="15" t="s">
        <v>21</v>
      </c>
      <c r="L36" s="15" t="s">
        <v>22</v>
      </c>
      <c r="M36" s="15"/>
      <c r="N36" s="15"/>
      <c r="O36" s="15"/>
      <c r="P36" s="15"/>
      <c r="Q36" s="15">
        <v>1</v>
      </c>
    </row>
    <row r="37" spans="1:18" x14ac:dyDescent="0.25">
      <c r="A37" s="15" t="s">
        <v>16</v>
      </c>
      <c r="B37" s="15" t="s">
        <v>17</v>
      </c>
      <c r="C37" s="15" t="s">
        <v>129</v>
      </c>
      <c r="D37" s="15"/>
      <c r="E37" s="15" t="s">
        <v>130</v>
      </c>
      <c r="F37" s="15" t="s">
        <v>77</v>
      </c>
      <c r="G37" s="16">
        <v>2985</v>
      </c>
      <c r="H37" s="16">
        <v>35</v>
      </c>
      <c r="I37" s="16">
        <f t="shared" si="2"/>
        <v>2950</v>
      </c>
      <c r="J37" s="15" t="s">
        <v>21</v>
      </c>
      <c r="K37" s="15" t="s">
        <v>21</v>
      </c>
      <c r="L37" s="15" t="s">
        <v>22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17</v>
      </c>
      <c r="C38" s="15" t="s">
        <v>131</v>
      </c>
      <c r="D38" s="15" t="s">
        <v>132</v>
      </c>
      <c r="E38" s="15" t="s">
        <v>133</v>
      </c>
      <c r="F38" s="15" t="s">
        <v>134</v>
      </c>
      <c r="G38" s="16">
        <v>1145</v>
      </c>
      <c r="H38" s="16">
        <v>35</v>
      </c>
      <c r="I38" s="16">
        <f t="shared" si="2"/>
        <v>1110</v>
      </c>
      <c r="J38" s="15" t="s">
        <v>135</v>
      </c>
      <c r="K38" s="15" t="s">
        <v>21</v>
      </c>
      <c r="L38" s="15" t="s">
        <v>22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17</v>
      </c>
      <c r="C39" s="15" t="s">
        <v>136</v>
      </c>
      <c r="D39" s="15" t="s">
        <v>137</v>
      </c>
      <c r="E39" s="15" t="s">
        <v>138</v>
      </c>
      <c r="F39" s="15" t="s">
        <v>139</v>
      </c>
      <c r="G39" s="16">
        <v>675</v>
      </c>
      <c r="H39" s="16">
        <v>35</v>
      </c>
      <c r="I39" s="16">
        <f t="shared" si="2"/>
        <v>640</v>
      </c>
      <c r="J39" s="15" t="s">
        <v>135</v>
      </c>
      <c r="K39" s="15" t="s">
        <v>21</v>
      </c>
      <c r="L39" s="15" t="s">
        <v>22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17</v>
      </c>
      <c r="C40" s="15" t="s">
        <v>140</v>
      </c>
      <c r="D40" s="15" t="s">
        <v>141</v>
      </c>
      <c r="E40" s="15" t="s">
        <v>142</v>
      </c>
      <c r="F40" s="16">
        <v>5</v>
      </c>
      <c r="G40" s="16">
        <v>785</v>
      </c>
      <c r="H40" s="16">
        <v>25</v>
      </c>
      <c r="I40" s="16">
        <f t="shared" si="2"/>
        <v>760</v>
      </c>
      <c r="J40" s="15" t="s">
        <v>135</v>
      </c>
      <c r="K40" s="15" t="s">
        <v>21</v>
      </c>
      <c r="L40" s="15" t="s">
        <v>22</v>
      </c>
      <c r="M40" s="15"/>
      <c r="N40" s="15"/>
      <c r="O40" s="15"/>
      <c r="P40" s="15"/>
      <c r="Q40" s="15">
        <v>1</v>
      </c>
    </row>
    <row r="41" spans="1:18" x14ac:dyDescent="0.25">
      <c r="A41" s="15"/>
      <c r="B41" s="15" t="s">
        <v>17</v>
      </c>
      <c r="C41" s="15" t="s">
        <v>143</v>
      </c>
      <c r="D41" s="15" t="s">
        <v>144</v>
      </c>
      <c r="E41" s="15" t="s">
        <v>145</v>
      </c>
      <c r="F41" s="16">
        <v>1</v>
      </c>
      <c r="G41" s="16">
        <v>725</v>
      </c>
      <c r="H41" s="16">
        <v>25</v>
      </c>
      <c r="I41" s="16">
        <f t="shared" si="2"/>
        <v>700</v>
      </c>
      <c r="J41" s="15" t="s">
        <v>135</v>
      </c>
      <c r="K41" s="15" t="s">
        <v>21</v>
      </c>
      <c r="L41" s="15" t="s">
        <v>22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17</v>
      </c>
      <c r="C42" s="15" t="s">
        <v>146</v>
      </c>
      <c r="D42" s="15" t="s">
        <v>147</v>
      </c>
      <c r="E42" s="15" t="s">
        <v>148</v>
      </c>
      <c r="F42" s="16">
        <v>5</v>
      </c>
      <c r="G42" s="16">
        <v>0</v>
      </c>
      <c r="H42" s="16">
        <v>25</v>
      </c>
      <c r="I42" s="16">
        <f>-H42</f>
        <v>-25</v>
      </c>
      <c r="J42" s="15" t="s">
        <v>135</v>
      </c>
      <c r="K42" s="15" t="s">
        <v>21</v>
      </c>
      <c r="L42" s="15" t="s">
        <v>22</v>
      </c>
      <c r="M42" s="15"/>
      <c r="N42" s="15"/>
      <c r="O42" s="15"/>
      <c r="P42" s="15"/>
      <c r="Q42" s="15">
        <v>1</v>
      </c>
      <c r="R42" s="10">
        <f>H42</f>
        <v>25</v>
      </c>
    </row>
    <row r="43" spans="1:18" x14ac:dyDescent="0.25">
      <c r="A43" s="15"/>
      <c r="B43" s="15" t="s">
        <v>17</v>
      </c>
      <c r="C43" s="15" t="s">
        <v>149</v>
      </c>
      <c r="D43" s="15" t="s">
        <v>150</v>
      </c>
      <c r="E43" s="15" t="s">
        <v>151</v>
      </c>
      <c r="F43" s="16">
        <v>3</v>
      </c>
      <c r="G43" s="16">
        <v>1585</v>
      </c>
      <c r="H43" s="16">
        <v>25</v>
      </c>
      <c r="I43" s="16">
        <f>G43-H43</f>
        <v>1560</v>
      </c>
      <c r="J43" s="15" t="s">
        <v>135</v>
      </c>
      <c r="K43" s="15" t="s">
        <v>21</v>
      </c>
      <c r="L43" s="15" t="s">
        <v>22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17</v>
      </c>
      <c r="C44" s="15" t="s">
        <v>152</v>
      </c>
      <c r="D44" s="15" t="s">
        <v>153</v>
      </c>
      <c r="E44" s="15" t="s">
        <v>154</v>
      </c>
      <c r="F44" s="16">
        <v>3</v>
      </c>
      <c r="G44" s="16">
        <v>815</v>
      </c>
      <c r="H44" s="16">
        <v>25</v>
      </c>
      <c r="I44" s="16">
        <f>G44-H44</f>
        <v>790</v>
      </c>
      <c r="J44" s="15" t="s">
        <v>135</v>
      </c>
      <c r="K44" s="15" t="s">
        <v>21</v>
      </c>
      <c r="L44" s="15" t="s">
        <v>22</v>
      </c>
      <c r="M44" s="15"/>
      <c r="N44" s="15"/>
      <c r="O44" s="15"/>
      <c r="P44" s="15"/>
      <c r="Q44" s="15">
        <v>1</v>
      </c>
    </row>
    <row r="45" spans="1:18" x14ac:dyDescent="0.25">
      <c r="A45" s="15"/>
      <c r="B45" s="15" t="s">
        <v>17</v>
      </c>
      <c r="C45" s="15" t="s">
        <v>155</v>
      </c>
      <c r="D45" s="15" t="s">
        <v>156</v>
      </c>
      <c r="E45" s="15" t="s">
        <v>157</v>
      </c>
      <c r="F45" s="16">
        <v>7</v>
      </c>
      <c r="G45" s="16">
        <v>690</v>
      </c>
      <c r="H45" s="16">
        <v>30</v>
      </c>
      <c r="I45" s="16">
        <f>G45-H45</f>
        <v>660</v>
      </c>
      <c r="J45" s="15" t="s">
        <v>135</v>
      </c>
      <c r="K45" s="15" t="s">
        <v>21</v>
      </c>
      <c r="L45" s="15" t="s">
        <v>22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17</v>
      </c>
      <c r="C46" s="15" t="s">
        <v>158</v>
      </c>
      <c r="D46" s="15" t="s">
        <v>159</v>
      </c>
      <c r="E46" s="15" t="s">
        <v>160</v>
      </c>
      <c r="F46" s="15" t="s">
        <v>95</v>
      </c>
      <c r="G46" s="16">
        <v>0</v>
      </c>
      <c r="H46" s="16">
        <v>25</v>
      </c>
      <c r="I46" s="16">
        <f>-H46</f>
        <v>-25</v>
      </c>
      <c r="J46" s="15" t="s">
        <v>135</v>
      </c>
      <c r="K46" s="15" t="s">
        <v>21</v>
      </c>
      <c r="L46" s="15" t="s">
        <v>22</v>
      </c>
      <c r="M46" s="15"/>
      <c r="N46" s="15"/>
      <c r="O46" s="15"/>
      <c r="P46" s="15"/>
      <c r="Q46" s="15">
        <v>1</v>
      </c>
      <c r="R46" s="10">
        <f>H46</f>
        <v>25</v>
      </c>
    </row>
    <row r="47" spans="1:18" s="19" customFormat="1" x14ac:dyDescent="0.25">
      <c r="A47" s="17"/>
      <c r="B47" s="17" t="s">
        <v>17</v>
      </c>
      <c r="C47" s="17" t="s">
        <v>161</v>
      </c>
      <c r="D47" s="17" t="s">
        <v>162</v>
      </c>
      <c r="E47" s="17" t="s">
        <v>163</v>
      </c>
      <c r="F47" s="18">
        <v>7</v>
      </c>
      <c r="G47" s="18">
        <v>60</v>
      </c>
      <c r="H47" s="18">
        <v>30</v>
      </c>
      <c r="I47" s="18">
        <f>G47-H47</f>
        <v>30</v>
      </c>
      <c r="J47" s="17" t="s">
        <v>135</v>
      </c>
      <c r="K47" s="17" t="s">
        <v>21</v>
      </c>
      <c r="L47" s="17" t="s">
        <v>22</v>
      </c>
      <c r="M47" s="17" t="s">
        <v>126</v>
      </c>
      <c r="N47" s="17"/>
      <c r="O47" s="17"/>
      <c r="P47" s="17"/>
      <c r="Q47" s="17">
        <v>1</v>
      </c>
    </row>
    <row r="48" spans="1:18" x14ac:dyDescent="0.25">
      <c r="A48" s="15"/>
      <c r="B48" s="15" t="s">
        <v>17</v>
      </c>
      <c r="C48" s="15" t="s">
        <v>164</v>
      </c>
      <c r="D48" s="15" t="s">
        <v>165</v>
      </c>
      <c r="E48" s="15" t="s">
        <v>166</v>
      </c>
      <c r="F48" s="16">
        <v>1</v>
      </c>
      <c r="G48" s="16">
        <v>2040</v>
      </c>
      <c r="H48" s="16">
        <v>30</v>
      </c>
      <c r="I48" s="16">
        <f>G48-H48</f>
        <v>2010</v>
      </c>
      <c r="J48" s="15" t="s">
        <v>135</v>
      </c>
      <c r="K48" s="15" t="s">
        <v>21</v>
      </c>
      <c r="L48" s="15" t="s">
        <v>22</v>
      </c>
      <c r="M48" s="20" t="s">
        <v>167</v>
      </c>
      <c r="N48" s="15"/>
      <c r="O48" s="15"/>
      <c r="P48" s="15"/>
      <c r="Q48" s="15">
        <v>1</v>
      </c>
      <c r="R48" s="10">
        <f>H48</f>
        <v>30</v>
      </c>
    </row>
    <row r="49" spans="1:18" x14ac:dyDescent="0.25">
      <c r="A49" s="15"/>
      <c r="B49" s="15" t="s">
        <v>17</v>
      </c>
      <c r="C49" s="15" t="s">
        <v>168</v>
      </c>
      <c r="D49" s="15" t="s">
        <v>169</v>
      </c>
      <c r="E49" s="15" t="s">
        <v>170</v>
      </c>
      <c r="F49" s="16">
        <v>7</v>
      </c>
      <c r="G49" s="16">
        <v>1800</v>
      </c>
      <c r="H49" s="16">
        <v>30</v>
      </c>
      <c r="I49" s="16">
        <f>G49-H49</f>
        <v>1770</v>
      </c>
      <c r="J49" s="15" t="s">
        <v>135</v>
      </c>
      <c r="K49" s="15" t="s">
        <v>21</v>
      </c>
      <c r="L49" s="15" t="s">
        <v>22</v>
      </c>
      <c r="M49" s="15"/>
      <c r="N49" s="15"/>
      <c r="O49" s="15"/>
      <c r="P49" s="15"/>
      <c r="Q49" s="15">
        <v>1</v>
      </c>
    </row>
    <row r="50" spans="1:18" x14ac:dyDescent="0.25">
      <c r="A50" s="15"/>
      <c r="B50" s="15" t="s">
        <v>17</v>
      </c>
      <c r="C50" s="15" t="s">
        <v>171</v>
      </c>
      <c r="D50" s="15" t="s">
        <v>172</v>
      </c>
      <c r="E50" s="15" t="s">
        <v>173</v>
      </c>
      <c r="F50" s="16">
        <v>7</v>
      </c>
      <c r="G50" s="16">
        <v>770</v>
      </c>
      <c r="H50" s="16">
        <v>30</v>
      </c>
      <c r="I50" s="16">
        <f>G50-H50</f>
        <v>740</v>
      </c>
      <c r="J50" s="15" t="s">
        <v>135</v>
      </c>
      <c r="K50" s="15" t="s">
        <v>21</v>
      </c>
      <c r="L50" s="15" t="s">
        <v>22</v>
      </c>
      <c r="M50" s="15"/>
      <c r="N50" s="15"/>
      <c r="O50" s="15"/>
      <c r="P50" s="15"/>
      <c r="Q50" s="15">
        <v>1</v>
      </c>
    </row>
    <row r="51" spans="1:18" x14ac:dyDescent="0.25">
      <c r="A51" s="15"/>
      <c r="B51" s="15" t="s">
        <v>17</v>
      </c>
      <c r="C51" s="15" t="s">
        <v>174</v>
      </c>
      <c r="D51" s="15" t="s">
        <v>175</v>
      </c>
      <c r="E51" s="15" t="s">
        <v>176</v>
      </c>
      <c r="F51" s="16">
        <v>7</v>
      </c>
      <c r="G51" s="16">
        <v>770</v>
      </c>
      <c r="H51" s="16">
        <v>30</v>
      </c>
      <c r="I51" s="16">
        <f>G51-H51</f>
        <v>740</v>
      </c>
      <c r="J51" s="15" t="s">
        <v>135</v>
      </c>
      <c r="K51" s="15" t="s">
        <v>21</v>
      </c>
      <c r="L51" s="15" t="s">
        <v>22</v>
      </c>
      <c r="M51" s="15"/>
      <c r="N51" s="15"/>
      <c r="O51" s="15"/>
      <c r="P51" s="15"/>
      <c r="Q51" s="15">
        <v>1</v>
      </c>
    </row>
    <row r="52" spans="1:18" x14ac:dyDescent="0.25">
      <c r="A52" s="15"/>
      <c r="B52" s="15" t="s">
        <v>17</v>
      </c>
      <c r="C52" s="15" t="s">
        <v>177</v>
      </c>
      <c r="D52" s="15" t="s">
        <v>178</v>
      </c>
      <c r="E52" s="15" t="s">
        <v>179</v>
      </c>
      <c r="F52" s="16">
        <v>8</v>
      </c>
      <c r="G52" s="16">
        <v>0</v>
      </c>
      <c r="H52" s="16">
        <v>25</v>
      </c>
      <c r="I52" s="16">
        <f>-H52</f>
        <v>-25</v>
      </c>
      <c r="J52" s="15" t="s">
        <v>135</v>
      </c>
      <c r="K52" s="15" t="s">
        <v>21</v>
      </c>
      <c r="L52" s="15" t="s">
        <v>22</v>
      </c>
      <c r="M52" s="15"/>
      <c r="N52" s="15"/>
      <c r="O52" s="15"/>
      <c r="P52" s="15"/>
      <c r="Q52" s="15">
        <v>1</v>
      </c>
      <c r="R52" s="10">
        <f>H52</f>
        <v>25</v>
      </c>
    </row>
    <row r="53" spans="1:18" x14ac:dyDescent="0.25">
      <c r="A53" s="15"/>
      <c r="B53" s="15" t="s">
        <v>17</v>
      </c>
      <c r="C53" s="15" t="s">
        <v>180</v>
      </c>
      <c r="D53" s="15" t="s">
        <v>181</v>
      </c>
      <c r="E53" s="15" t="s">
        <v>182</v>
      </c>
      <c r="F53" s="16">
        <v>3</v>
      </c>
      <c r="G53" s="16">
        <v>0</v>
      </c>
      <c r="H53" s="16">
        <v>25</v>
      </c>
      <c r="I53" s="16">
        <f>-H53</f>
        <v>-25</v>
      </c>
      <c r="J53" s="15" t="s">
        <v>135</v>
      </c>
      <c r="K53" s="15" t="s">
        <v>21</v>
      </c>
      <c r="L53" s="15" t="s">
        <v>22</v>
      </c>
      <c r="M53" s="15"/>
      <c r="N53" s="15"/>
      <c r="O53" s="15"/>
      <c r="P53" s="15"/>
      <c r="Q53" s="15">
        <v>1</v>
      </c>
      <c r="R53" s="10">
        <f>H53</f>
        <v>25</v>
      </c>
    </row>
    <row r="54" spans="1:18" x14ac:dyDescent="0.25">
      <c r="A54" s="15"/>
      <c r="B54" s="15" t="s">
        <v>17</v>
      </c>
      <c r="C54" s="15" t="s">
        <v>183</v>
      </c>
      <c r="D54" s="15" t="s">
        <v>184</v>
      </c>
      <c r="E54" s="15" t="s">
        <v>185</v>
      </c>
      <c r="F54" s="16">
        <v>4</v>
      </c>
      <c r="G54" s="16">
        <v>815</v>
      </c>
      <c r="H54" s="16">
        <v>25</v>
      </c>
      <c r="I54" s="16">
        <f>G54-H54</f>
        <v>790</v>
      </c>
      <c r="J54" s="15" t="s">
        <v>135</v>
      </c>
      <c r="K54" s="15" t="s">
        <v>21</v>
      </c>
      <c r="L54" s="15" t="s">
        <v>22</v>
      </c>
      <c r="M54" s="15"/>
      <c r="N54" s="15"/>
      <c r="O54" s="15"/>
      <c r="P54" s="15"/>
      <c r="Q54" s="15">
        <v>1</v>
      </c>
    </row>
    <row r="55" spans="1:18" x14ac:dyDescent="0.25">
      <c r="A55" s="15"/>
      <c r="B55" s="15" t="s">
        <v>17</v>
      </c>
      <c r="C55" s="15" t="s">
        <v>186</v>
      </c>
      <c r="D55" s="15" t="s">
        <v>187</v>
      </c>
      <c r="E55" s="15" t="s">
        <v>188</v>
      </c>
      <c r="F55" s="16">
        <v>4</v>
      </c>
      <c r="G55" s="16">
        <v>815</v>
      </c>
      <c r="H55" s="16">
        <v>25</v>
      </c>
      <c r="I55" s="16">
        <f>G55-H55</f>
        <v>790</v>
      </c>
      <c r="J55" s="15" t="s">
        <v>135</v>
      </c>
      <c r="K55" s="15" t="s">
        <v>21</v>
      </c>
      <c r="L55" s="15" t="s">
        <v>22</v>
      </c>
      <c r="M55" s="15"/>
      <c r="N55" s="15"/>
      <c r="O55" s="15"/>
      <c r="P55" s="15"/>
      <c r="Q55" s="15">
        <v>1</v>
      </c>
    </row>
    <row r="56" spans="1:18" x14ac:dyDescent="0.25">
      <c r="A56" s="15" t="s">
        <v>16</v>
      </c>
      <c r="B56" s="15" t="s">
        <v>17</v>
      </c>
      <c r="C56" s="15" t="s">
        <v>189</v>
      </c>
      <c r="D56" s="15"/>
      <c r="E56" s="15" t="s">
        <v>190</v>
      </c>
      <c r="F56" s="16">
        <v>5</v>
      </c>
      <c r="G56" s="16">
        <v>0</v>
      </c>
      <c r="H56" s="16">
        <v>30</v>
      </c>
      <c r="I56" s="16">
        <f>-H56</f>
        <v>-30</v>
      </c>
      <c r="J56" s="15" t="s">
        <v>135</v>
      </c>
      <c r="K56" s="15" t="s">
        <v>21</v>
      </c>
      <c r="L56" s="15" t="s">
        <v>22</v>
      </c>
      <c r="M56" s="15"/>
      <c r="N56" s="15"/>
      <c r="O56" s="15"/>
      <c r="P56" s="15"/>
      <c r="Q56" s="15">
        <v>1</v>
      </c>
      <c r="R56" s="10">
        <f>H56</f>
        <v>30</v>
      </c>
    </row>
    <row r="58" spans="1:18" x14ac:dyDescent="0.25">
      <c r="D58" s="1">
        <f>COUNTA(D3:D56)</f>
        <v>50</v>
      </c>
      <c r="G58" s="1">
        <f t="shared" ref="G58:Q58" si="3">SUBTOTAL(9,G3:G56)</f>
        <v>36815</v>
      </c>
      <c r="H58" s="1">
        <f t="shared" si="3"/>
        <v>1520</v>
      </c>
      <c r="I58" s="1">
        <f t="shared" si="3"/>
        <v>35295</v>
      </c>
      <c r="J58" s="1">
        <f t="shared" si="3"/>
        <v>0</v>
      </c>
      <c r="K58" s="1">
        <f t="shared" si="3"/>
        <v>0</v>
      </c>
      <c r="L58" s="1">
        <f t="shared" si="3"/>
        <v>0</v>
      </c>
      <c r="M58" s="1">
        <f t="shared" si="3"/>
        <v>0</v>
      </c>
      <c r="N58" s="1">
        <f t="shared" si="3"/>
        <v>0</v>
      </c>
      <c r="O58" s="1">
        <f t="shared" si="3"/>
        <v>0</v>
      </c>
      <c r="P58" s="1">
        <f t="shared" si="3"/>
        <v>0</v>
      </c>
      <c r="Q58" s="1">
        <f t="shared" si="3"/>
        <v>54</v>
      </c>
    </row>
    <row r="59" spans="1:18" x14ac:dyDescent="0.25">
      <c r="H59">
        <f>-5*17</f>
        <v>-85</v>
      </c>
    </row>
    <row r="60" spans="1:18" x14ac:dyDescent="0.25">
      <c r="A60" s="1" t="s">
        <v>17</v>
      </c>
      <c r="C60" s="27" t="s">
        <v>191</v>
      </c>
      <c r="D60" s="27"/>
      <c r="E60" s="4" t="s">
        <v>192</v>
      </c>
      <c r="H60">
        <f>-9*25</f>
        <v>-225</v>
      </c>
      <c r="K60" s="11" t="s">
        <v>27</v>
      </c>
      <c r="L60" s="11" t="s">
        <v>193</v>
      </c>
      <c r="M60" s="11" t="s">
        <v>192</v>
      </c>
      <c r="O60" s="4" t="s">
        <v>194</v>
      </c>
    </row>
    <row r="61" spans="1:18" x14ac:dyDescent="0.25">
      <c r="A61" t="s">
        <v>22</v>
      </c>
      <c r="B61" s="3" t="s">
        <v>195</v>
      </c>
      <c r="C61" s="28">
        <f>SUMIFS(I$3:I$56,B$3:B$56,A$60,L$3:L$56,A$61)</f>
        <v>35295</v>
      </c>
      <c r="D61" s="28"/>
      <c r="E61" s="3">
        <f>SUMIFS(Q$3:Q$56,B$3:B$56,A$60,L$3:L$56,A$61)</f>
        <v>54</v>
      </c>
      <c r="F61" t="s">
        <v>196</v>
      </c>
      <c r="K61" t="s">
        <v>197</v>
      </c>
      <c r="L61">
        <f>SUMIFS(G$3:G$56,J$3:J$56,K$60)</f>
        <v>9450</v>
      </c>
      <c r="M61">
        <f>SUMIFS(Q$3:Q$56,J$3:J$56,K$60)-INT(COUNTIFS(J$3:J$56,K$60,M$3:M$56,"*gộp*")/2)</f>
        <v>14</v>
      </c>
      <c r="O61" t="s">
        <v>198</v>
      </c>
      <c r="P61">
        <f>L66</f>
        <v>9140</v>
      </c>
    </row>
    <row r="62" spans="1:18" x14ac:dyDescent="0.25">
      <c r="B62" s="2" t="s">
        <v>199</v>
      </c>
      <c r="C62" s="29">
        <v>0</v>
      </c>
      <c r="D62" s="29"/>
      <c r="K62" t="s">
        <v>200</v>
      </c>
      <c r="L62">
        <f>SUM(H59:H60)</f>
        <v>-310</v>
      </c>
      <c r="M62">
        <f>SUMIFS(Q$3:Q$56,J$3:J$56,K$60)</f>
        <v>14</v>
      </c>
      <c r="O62" t="s">
        <v>135</v>
      </c>
      <c r="P62">
        <f>L74</f>
        <v>13055</v>
      </c>
    </row>
    <row r="63" spans="1:18" x14ac:dyDescent="0.25">
      <c r="B63" s="2" t="s">
        <v>201</v>
      </c>
      <c r="C63" s="29">
        <f>-SUMIFS(I$3:I$56,B$3:B$56,A$60,P$3:P$56,"xx",N$3:N$56,"x")</f>
        <v>0</v>
      </c>
      <c r="D63" s="29"/>
      <c r="E63" s="2">
        <f>SUMIFS(Q$3:Q$56,B$3:B$56,A$60,P$3:P$56,"xx",N$3:N$56,"x")</f>
        <v>0</v>
      </c>
      <c r="K63" t="s">
        <v>202</v>
      </c>
      <c r="O63" t="s">
        <v>21</v>
      </c>
      <c r="P63">
        <f>L82</f>
        <v>12427</v>
      </c>
    </row>
    <row r="64" spans="1:18" x14ac:dyDescent="0.25">
      <c r="B64" s="4" t="s">
        <v>203</v>
      </c>
      <c r="C64" s="27">
        <f>SUBTOTAL(9,C61:C63)</f>
        <v>35295</v>
      </c>
      <c r="D64" s="27"/>
      <c r="E64">
        <f>E61</f>
        <v>54</v>
      </c>
      <c r="K64" s="2" t="s">
        <v>204</v>
      </c>
      <c r="O64" t="s">
        <v>20</v>
      </c>
      <c r="P64">
        <f>L90</f>
        <v>865</v>
      </c>
    </row>
    <row r="65" spans="2:16" x14ac:dyDescent="0.25">
      <c r="B65" s="2" t="s">
        <v>205</v>
      </c>
      <c r="C65" s="25"/>
      <c r="D65" s="25"/>
      <c r="K65" s="2" t="s">
        <v>206</v>
      </c>
      <c r="O65" t="s">
        <v>207</v>
      </c>
      <c r="P65">
        <f>-C68</f>
        <v>-35295</v>
      </c>
    </row>
    <row r="66" spans="2:16" x14ac:dyDescent="0.25">
      <c r="B66" s="12" t="s">
        <v>208</v>
      </c>
      <c r="C66" s="25"/>
      <c r="D66" s="25"/>
      <c r="L66" s="13">
        <f>SUBTOTAL(9,L61:L65)</f>
        <v>9140</v>
      </c>
      <c r="M66" s="13">
        <f>M61</f>
        <v>14</v>
      </c>
      <c r="O66" s="4" t="s">
        <v>209</v>
      </c>
      <c r="P66" s="4">
        <f>SUBTOTAL(9,P61:P65)</f>
        <v>192</v>
      </c>
    </row>
    <row r="68" spans="2:16" x14ac:dyDescent="0.25">
      <c r="B68" s="1" t="s">
        <v>210</v>
      </c>
      <c r="C68" s="26">
        <f>C64+C65+C66</f>
        <v>35295</v>
      </c>
      <c r="D68" s="26"/>
      <c r="E68" s="1" t="s">
        <v>211</v>
      </c>
      <c r="K68" s="11" t="s">
        <v>135</v>
      </c>
      <c r="L68" s="11" t="s">
        <v>193</v>
      </c>
      <c r="M68" s="11" t="s">
        <v>192</v>
      </c>
    </row>
    <row r="69" spans="2:16" x14ac:dyDescent="0.25">
      <c r="K69" t="s">
        <v>197</v>
      </c>
      <c r="L69">
        <f>SUMIFS(G$3:G$56,J$3:J$56,K$68)</f>
        <v>13490</v>
      </c>
      <c r="M69">
        <f>SUMIFS(Q$3:Q$56,J$3:J$56,K$68)-INT(COUNTIFS(J$3:J$56,K$68,M$3:M$56,"*gộp*")/2)</f>
        <v>19</v>
      </c>
    </row>
    <row r="70" spans="2:16" x14ac:dyDescent="0.25">
      <c r="K70" t="s">
        <v>200</v>
      </c>
      <c r="L70">
        <f>-SUMIFS(H$3:H$56,J$3:J$56,K$68)+M70*5</f>
        <v>-435</v>
      </c>
      <c r="M70">
        <f>SUMIFS(Q$3:Q$56,J$3:J$56,K$68)-INT(COUNTIFS(J$3:J$56,K$68,M$3:M$56,"*gộp*")/2)</f>
        <v>19</v>
      </c>
    </row>
    <row r="71" spans="2:16" x14ac:dyDescent="0.25">
      <c r="K71" t="s">
        <v>202</v>
      </c>
    </row>
    <row r="72" spans="2:16" x14ac:dyDescent="0.25">
      <c r="K72" s="2" t="s">
        <v>204</v>
      </c>
    </row>
    <row r="73" spans="2:16" x14ac:dyDescent="0.25">
      <c r="K73" s="2" t="s">
        <v>206</v>
      </c>
    </row>
    <row r="74" spans="2:16" x14ac:dyDescent="0.25">
      <c r="L74" s="13">
        <f>SUBTOTAL(9,L69:L73)</f>
        <v>13055</v>
      </c>
      <c r="M74" s="13">
        <f>M69</f>
        <v>19</v>
      </c>
    </row>
    <row r="76" spans="2:16" x14ac:dyDescent="0.25">
      <c r="K76" s="11" t="s">
        <v>21</v>
      </c>
      <c r="L76" s="11" t="s">
        <v>193</v>
      </c>
      <c r="M76" s="11" t="s">
        <v>192</v>
      </c>
    </row>
    <row r="77" spans="2:16" x14ac:dyDescent="0.25">
      <c r="K77" t="s">
        <v>197</v>
      </c>
      <c r="L77">
        <f>SUMIFS(G$3:G$56,J$3:J$56,K$76)</f>
        <v>12980</v>
      </c>
      <c r="M77">
        <f>SUMIFS(Q$3:Q$56,J$3:J$56,K$76)-INT(COUNTIFS(J$3:J$56,K$76,M$3:M$56,"*gộp*")/2)</f>
        <v>20</v>
      </c>
    </row>
    <row r="78" spans="2:16" x14ac:dyDescent="0.25">
      <c r="K78" t="s">
        <v>200</v>
      </c>
      <c r="L78">
        <f>-SUMIFS(H$3:H$56,J$3:J$56,K$76)+M78*5</f>
        <v>-445</v>
      </c>
      <c r="M78">
        <f>SUMIFS(Q$3:Q$56,J$3:J$56,K$76)-INT(COUNTIFS(J$3:J$56,K$76,M$3:M$56,"*gộp*")/2)</f>
        <v>20</v>
      </c>
    </row>
    <row r="79" spans="2:16" x14ac:dyDescent="0.25">
      <c r="K79" t="s">
        <v>202</v>
      </c>
      <c r="L79">
        <f>-M79*2</f>
        <v>-108</v>
      </c>
      <c r="M79">
        <f>E64-(COUNTIFS(M$3:M$56,"*gộp*")/2)-COUNTIFS(M$3:M$56,"*đơn trả*")-COUNTIFS(M$3:M$56,"*hàng tỉnh*")</f>
        <v>54</v>
      </c>
    </row>
    <row r="80" spans="2:16" x14ac:dyDescent="0.25">
      <c r="K80" s="2" t="s">
        <v>204</v>
      </c>
    </row>
    <row r="81" spans="11:13" x14ac:dyDescent="0.25">
      <c r="K81" s="2" t="s">
        <v>206</v>
      </c>
    </row>
    <row r="82" spans="11:13" x14ac:dyDescent="0.25">
      <c r="L82" s="13">
        <f>SUBTOTAL(9,L77:L81)</f>
        <v>12427</v>
      </c>
      <c r="M82" s="13">
        <f>M77</f>
        <v>20</v>
      </c>
    </row>
    <row r="84" spans="11:13" x14ac:dyDescent="0.25">
      <c r="K84" s="11" t="s">
        <v>20</v>
      </c>
      <c r="L84" s="11" t="s">
        <v>193</v>
      </c>
      <c r="M84" s="11" t="s">
        <v>192</v>
      </c>
    </row>
    <row r="85" spans="11:13" x14ac:dyDescent="0.25">
      <c r="K85" t="s">
        <v>197</v>
      </c>
      <c r="L85">
        <f>SUMIFS(G$3:G$56,J$3:J$56,K$84)</f>
        <v>895</v>
      </c>
      <c r="M85">
        <f>SUMIFS(Q$3:Q$56,J$3:J$56,K$84)-INT(COUNTIFS(J$3:J$56,K$84,M$3:M$56,"*gộp*")/2)</f>
        <v>1</v>
      </c>
    </row>
    <row r="86" spans="11:13" x14ac:dyDescent="0.25">
      <c r="K86" t="s">
        <v>200</v>
      </c>
      <c r="L86">
        <f>-SUMIFS(H$3:H$56,J$3:J$56,K$84)+M86*5</f>
        <v>-30</v>
      </c>
      <c r="M86">
        <f>SUMIFS(Q$3:Q$56,J$3:J$56,K$84)-INT(COUNTIFS(J$3:J$56,K$84,M$3:M$56,"*gộp*")/2)</f>
        <v>1</v>
      </c>
    </row>
    <row r="87" spans="11:13" x14ac:dyDescent="0.25">
      <c r="K87" t="s">
        <v>202</v>
      </c>
    </row>
    <row r="88" spans="11:13" x14ac:dyDescent="0.25">
      <c r="K88" s="2" t="s">
        <v>204</v>
      </c>
    </row>
    <row r="89" spans="11:13" x14ac:dyDescent="0.25">
      <c r="K89" s="2" t="s">
        <v>206</v>
      </c>
    </row>
    <row r="90" spans="11:13" x14ac:dyDescent="0.25">
      <c r="L90" s="13">
        <f>SUBTOTAL(9,L85:L89)</f>
        <v>865</v>
      </c>
      <c r="M90" s="13">
        <f>M85</f>
        <v>1</v>
      </c>
    </row>
  </sheetData>
  <autoFilter ref="A2:P56" xr:uid="{00000000-0009-0000-0000-000000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60"/>
  <sheetViews>
    <sheetView workbookViewId="0">
      <selection activeCell="G48" sqref="G48"/>
    </sheetView>
  </sheetViews>
  <sheetFormatPr defaultRowHeight="15" x14ac:dyDescent="0.25"/>
  <cols>
    <col min="1" max="1" width="18.42578125" bestFit="1" customWidth="1"/>
    <col min="2" max="2" width="18" bestFit="1" customWidth="1"/>
    <col min="3" max="3" width="39" bestFit="1" customWidth="1"/>
    <col min="4" max="4" width="9.5703125" bestFit="1" customWidth="1"/>
    <col min="5" max="5" width="73.85546875" customWidth="1"/>
    <col min="6" max="6" width="10.5703125" bestFit="1" customWidth="1"/>
    <col min="7" max="7" width="11.42578125" bestFit="1" customWidth="1"/>
    <col min="8" max="8" width="11.7109375" bestFit="1" customWidth="1"/>
    <col min="9" max="9" width="13.140625" bestFit="1" customWidth="1"/>
    <col min="10" max="10" width="12.140625" bestFit="1" customWidth="1"/>
    <col min="11" max="11" width="16.7109375" bestFit="1" customWidth="1"/>
    <col min="12" max="12" width="12.28515625" bestFit="1" customWidth="1"/>
    <col min="13" max="13" width="13.7109375" bestFit="1" customWidth="1"/>
    <col min="14" max="14" width="12.140625" bestFit="1" customWidth="1"/>
    <col min="15" max="15" width="13" bestFit="1" customWidth="1"/>
    <col min="16" max="16" width="7" bestFit="1" customWidth="1"/>
    <col min="17" max="17" width="6.5703125" bestFit="1" customWidth="1"/>
  </cols>
  <sheetData>
    <row r="2" spans="1:17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212</v>
      </c>
    </row>
    <row r="3" spans="1:17" x14ac:dyDescent="0.25">
      <c r="A3" s="15"/>
      <c r="B3" s="15" t="s">
        <v>17</v>
      </c>
      <c r="C3" s="15" t="s">
        <v>213</v>
      </c>
      <c r="D3" s="15" t="s">
        <v>214</v>
      </c>
      <c r="E3" s="15" t="s">
        <v>215</v>
      </c>
      <c r="F3" s="16">
        <v>9</v>
      </c>
      <c r="G3" s="16">
        <v>60</v>
      </c>
      <c r="H3" s="16">
        <v>30</v>
      </c>
      <c r="I3" s="16">
        <f>G3-H3</f>
        <v>30</v>
      </c>
      <c r="J3" s="15" t="s">
        <v>20</v>
      </c>
      <c r="K3" s="15" t="s">
        <v>21</v>
      </c>
      <c r="L3" s="15" t="s">
        <v>216</v>
      </c>
      <c r="M3" s="15" t="s">
        <v>167</v>
      </c>
      <c r="N3" s="15"/>
      <c r="O3" s="15"/>
      <c r="P3" s="15"/>
      <c r="Q3" s="15">
        <v>1</v>
      </c>
    </row>
    <row r="4" spans="1:17" x14ac:dyDescent="0.25">
      <c r="A4" s="15"/>
      <c r="B4" s="15" t="s">
        <v>17</v>
      </c>
      <c r="C4" s="15" t="s">
        <v>217</v>
      </c>
      <c r="D4" s="15" t="s">
        <v>218</v>
      </c>
      <c r="E4" s="15" t="s">
        <v>219</v>
      </c>
      <c r="F4" s="16">
        <v>6</v>
      </c>
      <c r="G4" s="16">
        <v>0</v>
      </c>
      <c r="H4" s="16">
        <v>25</v>
      </c>
      <c r="I4" s="16">
        <f>-H4</f>
        <v>-25</v>
      </c>
      <c r="J4" s="15" t="s">
        <v>220</v>
      </c>
      <c r="K4" s="15" t="s">
        <v>21</v>
      </c>
      <c r="L4" s="15" t="s">
        <v>216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17</v>
      </c>
      <c r="C5" s="15" t="s">
        <v>221</v>
      </c>
      <c r="D5" s="15" t="s">
        <v>222</v>
      </c>
      <c r="E5" s="15" t="s">
        <v>223</v>
      </c>
      <c r="F5" s="15" t="s">
        <v>26</v>
      </c>
      <c r="G5" s="16">
        <v>0</v>
      </c>
      <c r="H5" s="16">
        <v>30</v>
      </c>
      <c r="I5" s="16">
        <f>-H5</f>
        <v>-30</v>
      </c>
      <c r="J5" s="15" t="s">
        <v>220</v>
      </c>
      <c r="K5" s="15" t="s">
        <v>21</v>
      </c>
      <c r="L5" s="15" t="s">
        <v>216</v>
      </c>
      <c r="M5" s="15" t="s">
        <v>126</v>
      </c>
      <c r="N5" s="15"/>
      <c r="O5" s="15"/>
      <c r="P5" s="15"/>
      <c r="Q5" s="15">
        <v>1</v>
      </c>
    </row>
    <row r="6" spans="1:17" x14ac:dyDescent="0.25">
      <c r="A6" s="15"/>
      <c r="B6" s="15" t="s">
        <v>17</v>
      </c>
      <c r="C6" s="15" t="s">
        <v>224</v>
      </c>
      <c r="D6" s="15" t="s">
        <v>225</v>
      </c>
      <c r="E6" s="15" t="s">
        <v>226</v>
      </c>
      <c r="F6" s="15" t="s">
        <v>26</v>
      </c>
      <c r="G6" s="16">
        <v>0</v>
      </c>
      <c r="H6" s="16">
        <v>30</v>
      </c>
      <c r="I6" s="16">
        <f>-H6</f>
        <v>-30</v>
      </c>
      <c r="J6" s="15" t="s">
        <v>220</v>
      </c>
      <c r="K6" s="15" t="s">
        <v>21</v>
      </c>
      <c r="L6" s="15" t="s">
        <v>216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17</v>
      </c>
      <c r="C7" s="15" t="s">
        <v>227</v>
      </c>
      <c r="D7" s="15" t="s">
        <v>228</v>
      </c>
      <c r="E7" s="15" t="s">
        <v>229</v>
      </c>
      <c r="F7" s="15" t="s">
        <v>26</v>
      </c>
      <c r="G7" s="16">
        <v>820</v>
      </c>
      <c r="H7" s="16">
        <v>30</v>
      </c>
      <c r="I7" s="16">
        <f t="shared" ref="I7:I12" si="0">G7-H7</f>
        <v>790</v>
      </c>
      <c r="J7" s="15" t="s">
        <v>220</v>
      </c>
      <c r="K7" s="15" t="s">
        <v>21</v>
      </c>
      <c r="L7" s="15" t="s">
        <v>216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17</v>
      </c>
      <c r="C8" s="15" t="s">
        <v>230</v>
      </c>
      <c r="D8" s="15" t="s">
        <v>231</v>
      </c>
      <c r="E8" s="15" t="s">
        <v>232</v>
      </c>
      <c r="F8" s="15" t="s">
        <v>134</v>
      </c>
      <c r="G8" s="16">
        <v>35</v>
      </c>
      <c r="H8" s="16">
        <v>35</v>
      </c>
      <c r="I8" s="16">
        <f t="shared" si="0"/>
        <v>0</v>
      </c>
      <c r="J8" s="15" t="s">
        <v>220</v>
      </c>
      <c r="K8" s="15" t="s">
        <v>21</v>
      </c>
      <c r="L8" s="15" t="s">
        <v>216</v>
      </c>
      <c r="M8" s="15" t="s">
        <v>126</v>
      </c>
      <c r="N8" s="15"/>
      <c r="O8" s="15"/>
      <c r="P8" s="15"/>
      <c r="Q8" s="15">
        <v>1</v>
      </c>
    </row>
    <row r="9" spans="1:17" x14ac:dyDescent="0.25">
      <c r="A9" s="15"/>
      <c r="B9" s="15" t="s">
        <v>17</v>
      </c>
      <c r="C9" s="15" t="s">
        <v>233</v>
      </c>
      <c r="D9" s="15" t="s">
        <v>234</v>
      </c>
      <c r="E9" s="15" t="s">
        <v>235</v>
      </c>
      <c r="F9" s="15" t="s">
        <v>46</v>
      </c>
      <c r="G9" s="16">
        <v>985</v>
      </c>
      <c r="H9" s="16">
        <v>25</v>
      </c>
      <c r="I9" s="16">
        <f t="shared" si="0"/>
        <v>960</v>
      </c>
      <c r="J9" s="15" t="s">
        <v>220</v>
      </c>
      <c r="K9" s="15" t="s">
        <v>21</v>
      </c>
      <c r="L9" s="15" t="s">
        <v>216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17</v>
      </c>
      <c r="C10" s="15" t="s">
        <v>236</v>
      </c>
      <c r="D10" s="15" t="s">
        <v>237</v>
      </c>
      <c r="E10" s="15" t="s">
        <v>238</v>
      </c>
      <c r="F10" s="15" t="s">
        <v>26</v>
      </c>
      <c r="G10" s="16">
        <v>1430</v>
      </c>
      <c r="H10" s="16">
        <v>30</v>
      </c>
      <c r="I10" s="16">
        <f t="shared" si="0"/>
        <v>1400</v>
      </c>
      <c r="J10" s="15" t="s">
        <v>220</v>
      </c>
      <c r="K10" s="15" t="s">
        <v>21</v>
      </c>
      <c r="L10" s="15" t="s">
        <v>216</v>
      </c>
      <c r="M10" s="15"/>
      <c r="N10" s="15"/>
      <c r="O10" s="15"/>
      <c r="P10" s="15"/>
      <c r="Q10" s="15">
        <v>1</v>
      </c>
    </row>
    <row r="11" spans="1:17" x14ac:dyDescent="0.25">
      <c r="A11" s="15"/>
      <c r="B11" s="15" t="s">
        <v>17</v>
      </c>
      <c r="C11" s="15" t="s">
        <v>239</v>
      </c>
      <c r="D11" s="15" t="s">
        <v>240</v>
      </c>
      <c r="E11" s="15" t="s">
        <v>241</v>
      </c>
      <c r="F11" s="16">
        <v>12</v>
      </c>
      <c r="G11" s="16">
        <v>890</v>
      </c>
      <c r="H11" s="16">
        <v>30</v>
      </c>
      <c r="I11" s="16">
        <f t="shared" si="0"/>
        <v>860</v>
      </c>
      <c r="J11" s="15" t="s">
        <v>220</v>
      </c>
      <c r="K11" s="15" t="s">
        <v>21</v>
      </c>
      <c r="L11" s="15" t="s">
        <v>216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17</v>
      </c>
      <c r="C12" s="15" t="s">
        <v>242</v>
      </c>
      <c r="D12" s="15" t="s">
        <v>243</v>
      </c>
      <c r="E12" s="15" t="s">
        <v>244</v>
      </c>
      <c r="F12" s="15" t="s">
        <v>26</v>
      </c>
      <c r="G12" s="16">
        <v>770</v>
      </c>
      <c r="H12" s="16">
        <v>30</v>
      </c>
      <c r="I12" s="16">
        <f t="shared" si="0"/>
        <v>740</v>
      </c>
      <c r="J12" s="15" t="s">
        <v>220</v>
      </c>
      <c r="K12" s="15" t="s">
        <v>21</v>
      </c>
      <c r="L12" s="15" t="s">
        <v>216</v>
      </c>
      <c r="M12" s="15"/>
      <c r="N12" s="15"/>
      <c r="O12" s="15"/>
      <c r="P12" s="15"/>
      <c r="Q12" s="15">
        <v>1</v>
      </c>
    </row>
    <row r="13" spans="1:17" x14ac:dyDescent="0.25">
      <c r="A13" s="15"/>
      <c r="B13" s="15" t="s">
        <v>17</v>
      </c>
      <c r="C13" s="15" t="s">
        <v>245</v>
      </c>
      <c r="D13" s="15" t="s">
        <v>246</v>
      </c>
      <c r="E13" s="15" t="s">
        <v>247</v>
      </c>
      <c r="F13" s="15" t="s">
        <v>85</v>
      </c>
      <c r="G13" s="16">
        <v>0</v>
      </c>
      <c r="H13" s="16">
        <v>20</v>
      </c>
      <c r="I13" s="16">
        <f>-H13</f>
        <v>-20</v>
      </c>
      <c r="J13" s="15" t="s">
        <v>21</v>
      </c>
      <c r="K13" s="15" t="s">
        <v>21</v>
      </c>
      <c r="L13" s="15" t="s">
        <v>216</v>
      </c>
      <c r="M13" s="15"/>
      <c r="N13" s="15"/>
      <c r="O13" s="15"/>
      <c r="P13" s="15"/>
      <c r="Q13" s="15">
        <v>1</v>
      </c>
    </row>
    <row r="14" spans="1:17" x14ac:dyDescent="0.25">
      <c r="A14" s="15"/>
      <c r="B14" s="15" t="s">
        <v>17</v>
      </c>
      <c r="C14" s="15" t="s">
        <v>248</v>
      </c>
      <c r="D14" s="15" t="s">
        <v>249</v>
      </c>
      <c r="E14" s="15" t="s">
        <v>250</v>
      </c>
      <c r="F14" s="15" t="s">
        <v>77</v>
      </c>
      <c r="G14" s="16">
        <v>905</v>
      </c>
      <c r="H14" s="16">
        <v>25</v>
      </c>
      <c r="I14" s="16">
        <f>G14-H14</f>
        <v>880</v>
      </c>
      <c r="J14" s="15" t="s">
        <v>21</v>
      </c>
      <c r="K14" s="15" t="s">
        <v>21</v>
      </c>
      <c r="L14" s="15" t="s">
        <v>216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17</v>
      </c>
      <c r="C15" s="15" t="s">
        <v>251</v>
      </c>
      <c r="D15" s="15" t="s">
        <v>252</v>
      </c>
      <c r="E15" s="15" t="s">
        <v>253</v>
      </c>
      <c r="F15" s="15" t="s">
        <v>85</v>
      </c>
      <c r="G15" s="16">
        <v>0</v>
      </c>
      <c r="H15" s="16">
        <v>20</v>
      </c>
      <c r="I15" s="16">
        <f>-H15</f>
        <v>-20</v>
      </c>
      <c r="J15" s="15" t="s">
        <v>21</v>
      </c>
      <c r="K15" s="15" t="s">
        <v>21</v>
      </c>
      <c r="L15" s="15" t="s">
        <v>216</v>
      </c>
      <c r="M15" s="15"/>
      <c r="N15" s="15"/>
      <c r="O15" s="15"/>
      <c r="P15" s="15"/>
      <c r="Q15" s="15">
        <v>1</v>
      </c>
    </row>
    <row r="16" spans="1:17" x14ac:dyDescent="0.25">
      <c r="A16" s="15" t="s">
        <v>16</v>
      </c>
      <c r="B16" s="15" t="s">
        <v>17</v>
      </c>
      <c r="C16" s="15" t="s">
        <v>254</v>
      </c>
      <c r="D16" s="15"/>
      <c r="E16" s="15" t="s">
        <v>255</v>
      </c>
      <c r="F16" s="15" t="s">
        <v>77</v>
      </c>
      <c r="G16" s="16">
        <v>0</v>
      </c>
      <c r="H16" s="16">
        <v>40</v>
      </c>
      <c r="I16" s="16">
        <f>-H16</f>
        <v>-40</v>
      </c>
      <c r="J16" s="15" t="s">
        <v>21</v>
      </c>
      <c r="K16" s="15" t="s">
        <v>21</v>
      </c>
      <c r="L16" s="15" t="s">
        <v>216</v>
      </c>
      <c r="M16" s="15"/>
      <c r="N16" s="15"/>
      <c r="O16" s="15"/>
      <c r="P16" s="15"/>
      <c r="Q16" s="15">
        <v>1</v>
      </c>
    </row>
    <row r="17" spans="1:17" x14ac:dyDescent="0.25">
      <c r="A17" s="15" t="s">
        <v>16</v>
      </c>
      <c r="B17" s="15" t="s">
        <v>17</v>
      </c>
      <c r="C17" s="15" t="s">
        <v>256</v>
      </c>
      <c r="D17" s="15"/>
      <c r="E17" s="15" t="s">
        <v>257</v>
      </c>
      <c r="F17" s="15" t="s">
        <v>77</v>
      </c>
      <c r="G17" s="16">
        <v>1720</v>
      </c>
      <c r="H17" s="16">
        <v>30</v>
      </c>
      <c r="I17" s="16">
        <f>G17-H17</f>
        <v>1690</v>
      </c>
      <c r="J17" s="15" t="s">
        <v>21</v>
      </c>
      <c r="K17" s="15" t="s">
        <v>21</v>
      </c>
      <c r="L17" s="15" t="s">
        <v>216</v>
      </c>
      <c r="M17" s="15"/>
      <c r="N17" s="15"/>
      <c r="O17" s="15"/>
      <c r="P17" s="15"/>
      <c r="Q17" s="15">
        <v>1</v>
      </c>
    </row>
    <row r="18" spans="1:17" x14ac:dyDescent="0.25">
      <c r="A18" s="15" t="s">
        <v>16</v>
      </c>
      <c r="B18" s="15" t="s">
        <v>17</v>
      </c>
      <c r="C18" s="15" t="s">
        <v>258</v>
      </c>
      <c r="D18" s="15"/>
      <c r="E18" s="15" t="s">
        <v>259</v>
      </c>
      <c r="F18" s="16">
        <v>12</v>
      </c>
      <c r="G18" s="16">
        <v>50</v>
      </c>
      <c r="H18" s="16">
        <v>50</v>
      </c>
      <c r="I18" s="16">
        <f>G18-H18</f>
        <v>0</v>
      </c>
      <c r="J18" s="15" t="s">
        <v>21</v>
      </c>
      <c r="K18" s="15" t="s">
        <v>21</v>
      </c>
      <c r="L18" s="15" t="s">
        <v>216</v>
      </c>
      <c r="M18" s="15"/>
      <c r="N18" s="15"/>
      <c r="O18" s="15"/>
      <c r="P18" s="15"/>
      <c r="Q18" s="15">
        <v>1</v>
      </c>
    </row>
    <row r="19" spans="1:17" x14ac:dyDescent="0.25">
      <c r="A19" s="15" t="s">
        <v>16</v>
      </c>
      <c r="B19" s="15" t="s">
        <v>17</v>
      </c>
      <c r="C19" s="15" t="s">
        <v>260</v>
      </c>
      <c r="D19" s="15"/>
      <c r="E19" s="15" t="s">
        <v>261</v>
      </c>
      <c r="F19" s="16">
        <v>1</v>
      </c>
      <c r="G19" s="16">
        <v>0</v>
      </c>
      <c r="H19" s="16">
        <v>25</v>
      </c>
      <c r="I19" s="16">
        <f>-H19</f>
        <v>-25</v>
      </c>
      <c r="J19" s="15" t="s">
        <v>135</v>
      </c>
      <c r="K19" s="15" t="s">
        <v>21</v>
      </c>
      <c r="L19" s="15" t="s">
        <v>216</v>
      </c>
      <c r="M19" s="15" t="s">
        <v>126</v>
      </c>
      <c r="N19" s="15"/>
      <c r="O19" s="15"/>
      <c r="P19" s="15"/>
      <c r="Q19" s="15">
        <v>1</v>
      </c>
    </row>
    <row r="20" spans="1:17" x14ac:dyDescent="0.25">
      <c r="A20" s="15"/>
      <c r="B20" s="15" t="s">
        <v>17</v>
      </c>
      <c r="C20" s="15" t="s">
        <v>262</v>
      </c>
      <c r="D20" s="15" t="s">
        <v>263</v>
      </c>
      <c r="E20" s="15" t="s">
        <v>264</v>
      </c>
      <c r="F20" s="16">
        <v>11</v>
      </c>
      <c r="G20" s="16">
        <v>615</v>
      </c>
      <c r="H20" s="16">
        <v>25</v>
      </c>
      <c r="I20" s="16">
        <f t="shared" ref="I20:I25" si="1">G20-H20</f>
        <v>590</v>
      </c>
      <c r="J20" s="15" t="s">
        <v>135</v>
      </c>
      <c r="K20" s="15" t="s">
        <v>21</v>
      </c>
      <c r="L20" s="15" t="s">
        <v>216</v>
      </c>
      <c r="M20" s="15"/>
      <c r="N20" s="15"/>
      <c r="O20" s="15"/>
      <c r="P20" s="15"/>
      <c r="Q20" s="15">
        <v>1</v>
      </c>
    </row>
    <row r="21" spans="1:17" x14ac:dyDescent="0.25">
      <c r="A21" s="15"/>
      <c r="B21" s="15" t="s">
        <v>17</v>
      </c>
      <c r="C21" s="15" t="s">
        <v>265</v>
      </c>
      <c r="D21" s="15" t="s">
        <v>266</v>
      </c>
      <c r="E21" s="15" t="s">
        <v>267</v>
      </c>
      <c r="F21" s="16">
        <v>4</v>
      </c>
      <c r="G21" s="16">
        <v>815</v>
      </c>
      <c r="H21" s="16">
        <v>25</v>
      </c>
      <c r="I21" s="16">
        <f t="shared" si="1"/>
        <v>790</v>
      </c>
      <c r="J21" s="15" t="s">
        <v>135</v>
      </c>
      <c r="K21" s="15" t="s">
        <v>21</v>
      </c>
      <c r="L21" s="15" t="s">
        <v>216</v>
      </c>
      <c r="M21" s="15"/>
      <c r="N21" s="15"/>
      <c r="O21" s="15"/>
      <c r="P21" s="15"/>
      <c r="Q21" s="15">
        <v>1</v>
      </c>
    </row>
    <row r="22" spans="1:17" x14ac:dyDescent="0.25">
      <c r="A22" s="15"/>
      <c r="B22" s="15" t="s">
        <v>17</v>
      </c>
      <c r="C22" s="15" t="s">
        <v>268</v>
      </c>
      <c r="D22" s="15" t="s">
        <v>269</v>
      </c>
      <c r="E22" s="15" t="s">
        <v>270</v>
      </c>
      <c r="F22" s="15" t="s">
        <v>95</v>
      </c>
      <c r="G22" s="16">
        <v>765</v>
      </c>
      <c r="H22" s="16">
        <v>25</v>
      </c>
      <c r="I22" s="16">
        <f t="shared" si="1"/>
        <v>740</v>
      </c>
      <c r="J22" s="15" t="s">
        <v>135</v>
      </c>
      <c r="K22" s="15" t="s">
        <v>21</v>
      </c>
      <c r="L22" s="15" t="s">
        <v>216</v>
      </c>
      <c r="M22" s="15"/>
      <c r="N22" s="15"/>
      <c r="O22" s="15"/>
      <c r="P22" s="15"/>
      <c r="Q22" s="15">
        <v>1</v>
      </c>
    </row>
    <row r="23" spans="1:17" s="2" customFormat="1" x14ac:dyDescent="0.25">
      <c r="A23" s="21"/>
      <c r="B23" s="21" t="s">
        <v>17</v>
      </c>
      <c r="C23" s="21" t="s">
        <v>183</v>
      </c>
      <c r="D23" s="21" t="s">
        <v>184</v>
      </c>
      <c r="E23" s="21" t="s">
        <v>185</v>
      </c>
      <c r="F23" s="22">
        <v>4</v>
      </c>
      <c r="G23" s="22">
        <v>815</v>
      </c>
      <c r="H23" s="22">
        <v>25</v>
      </c>
      <c r="I23" s="22">
        <f t="shared" si="1"/>
        <v>790</v>
      </c>
      <c r="J23" s="21" t="s">
        <v>271</v>
      </c>
      <c r="K23" s="21" t="s">
        <v>21</v>
      </c>
      <c r="L23" s="21" t="s">
        <v>22</v>
      </c>
      <c r="M23" s="21" t="s">
        <v>204</v>
      </c>
      <c r="N23" s="21" t="s">
        <v>272</v>
      </c>
      <c r="O23" s="21" t="s">
        <v>272</v>
      </c>
      <c r="P23" s="21" t="s">
        <v>273</v>
      </c>
      <c r="Q23" s="22">
        <v>1</v>
      </c>
    </row>
    <row r="24" spans="1:17" s="2" customFormat="1" x14ac:dyDescent="0.25">
      <c r="A24" s="21"/>
      <c r="B24" s="21" t="s">
        <v>17</v>
      </c>
      <c r="C24" s="21" t="s">
        <v>274</v>
      </c>
      <c r="D24" s="21" t="s">
        <v>275</v>
      </c>
      <c r="E24" s="21" t="s">
        <v>276</v>
      </c>
      <c r="F24" s="22">
        <v>12</v>
      </c>
      <c r="G24" s="22">
        <v>860</v>
      </c>
      <c r="H24" s="22">
        <v>0</v>
      </c>
      <c r="I24" s="22">
        <f t="shared" si="1"/>
        <v>860</v>
      </c>
      <c r="J24" s="21" t="s">
        <v>271</v>
      </c>
      <c r="K24" s="21" t="s">
        <v>21</v>
      </c>
      <c r="L24" s="21" t="s">
        <v>277</v>
      </c>
      <c r="M24" s="21" t="s">
        <v>204</v>
      </c>
      <c r="N24" s="21" t="s">
        <v>272</v>
      </c>
      <c r="O24" s="21" t="s">
        <v>272</v>
      </c>
      <c r="P24" s="21" t="s">
        <v>273</v>
      </c>
      <c r="Q24" s="22">
        <v>1</v>
      </c>
    </row>
    <row r="25" spans="1:17" s="2" customFormat="1" x14ac:dyDescent="0.25">
      <c r="A25" s="21"/>
      <c r="B25" s="21" t="s">
        <v>17</v>
      </c>
      <c r="C25" s="21" t="s">
        <v>278</v>
      </c>
      <c r="D25" s="21" t="s">
        <v>279</v>
      </c>
      <c r="E25" s="21" t="s">
        <v>280</v>
      </c>
      <c r="F25" s="21" t="s">
        <v>46</v>
      </c>
      <c r="G25" s="22">
        <v>1455</v>
      </c>
      <c r="H25" s="22">
        <v>25</v>
      </c>
      <c r="I25" s="22">
        <f t="shared" si="1"/>
        <v>1430</v>
      </c>
      <c r="J25" s="21" t="s">
        <v>271</v>
      </c>
      <c r="K25" s="21" t="s">
        <v>21</v>
      </c>
      <c r="L25" s="21" t="s">
        <v>281</v>
      </c>
      <c r="M25" s="21" t="s">
        <v>204</v>
      </c>
      <c r="N25" s="21" t="s">
        <v>272</v>
      </c>
      <c r="O25" s="21" t="s">
        <v>272</v>
      </c>
      <c r="P25" s="21" t="s">
        <v>273</v>
      </c>
      <c r="Q25" s="22">
        <v>1</v>
      </c>
    </row>
    <row r="26" spans="1:17" s="2" customFormat="1" x14ac:dyDescent="0.25">
      <c r="A26" s="21"/>
      <c r="B26" s="21" t="s">
        <v>17</v>
      </c>
      <c r="C26" s="21" t="s">
        <v>282</v>
      </c>
      <c r="D26" s="21" t="s">
        <v>283</v>
      </c>
      <c r="E26" s="21" t="s">
        <v>284</v>
      </c>
      <c r="F26" s="22">
        <v>11</v>
      </c>
      <c r="G26" s="22">
        <v>0</v>
      </c>
      <c r="H26" s="22">
        <v>25</v>
      </c>
      <c r="I26" s="22">
        <f>-H26</f>
        <v>-25</v>
      </c>
      <c r="J26" s="21" t="s">
        <v>271</v>
      </c>
      <c r="K26" s="21" t="s">
        <v>21</v>
      </c>
      <c r="L26" s="21" t="s">
        <v>285</v>
      </c>
      <c r="M26" s="21" t="s">
        <v>204</v>
      </c>
      <c r="N26" s="21" t="s">
        <v>272</v>
      </c>
      <c r="O26" s="21" t="s">
        <v>272</v>
      </c>
      <c r="P26" s="21" t="s">
        <v>273</v>
      </c>
      <c r="Q26" s="22">
        <v>1</v>
      </c>
    </row>
    <row r="28" spans="1:17" x14ac:dyDescent="0.25">
      <c r="D28" s="1">
        <f>COUNTA(D3:D26)</f>
        <v>20</v>
      </c>
      <c r="G28" s="1">
        <f t="shared" ref="G28:Q28" si="2">SUBTOTAL(9,G3:G26)</f>
        <v>12990</v>
      </c>
      <c r="H28" s="1">
        <f t="shared" si="2"/>
        <v>655</v>
      </c>
      <c r="I28" s="1">
        <f t="shared" si="2"/>
        <v>12335</v>
      </c>
      <c r="J28" s="1">
        <f t="shared" si="2"/>
        <v>0</v>
      </c>
      <c r="K28" s="1">
        <f t="shared" si="2"/>
        <v>0</v>
      </c>
      <c r="L28" s="1">
        <f t="shared" si="2"/>
        <v>0</v>
      </c>
      <c r="M28" s="1">
        <f t="shared" si="2"/>
        <v>0</v>
      </c>
      <c r="N28" s="1">
        <f t="shared" si="2"/>
        <v>0</v>
      </c>
      <c r="O28" s="1">
        <f t="shared" si="2"/>
        <v>0</v>
      </c>
      <c r="P28" s="1">
        <f t="shared" si="2"/>
        <v>0</v>
      </c>
      <c r="Q28" s="1">
        <f t="shared" si="2"/>
        <v>24</v>
      </c>
    </row>
    <row r="29" spans="1:17" x14ac:dyDescent="0.25">
      <c r="H29">
        <f>-2*17</f>
        <v>-34</v>
      </c>
      <c r="I29">
        <v>25</v>
      </c>
    </row>
    <row r="30" spans="1:17" x14ac:dyDescent="0.25">
      <c r="A30" s="1" t="s">
        <v>17</v>
      </c>
      <c r="C30" s="27" t="s">
        <v>191</v>
      </c>
      <c r="D30" s="27"/>
      <c r="E30" s="4" t="s">
        <v>192</v>
      </c>
      <c r="H30">
        <f>-6*25</f>
        <v>-150</v>
      </c>
      <c r="I30">
        <v>17</v>
      </c>
      <c r="K30" s="11" t="s">
        <v>220</v>
      </c>
      <c r="L30" s="11" t="s">
        <v>193</v>
      </c>
      <c r="M30" s="11" t="s">
        <v>192</v>
      </c>
      <c r="O30" s="4" t="s">
        <v>194</v>
      </c>
    </row>
    <row r="31" spans="1:17" x14ac:dyDescent="0.25">
      <c r="A31" t="s">
        <v>216</v>
      </c>
      <c r="B31" s="3" t="s">
        <v>195</v>
      </c>
      <c r="C31" s="28">
        <f>SUMIFS(I$3:I$26,B$3:B$26,A$30,L$3:L$26,A$31)</f>
        <v>9280</v>
      </c>
      <c r="D31" s="28"/>
      <c r="E31" s="3">
        <f>SUMIFS(Q$3:Q$26,B$3:B$26,A$30,L$3:L$26,A$31)</f>
        <v>20</v>
      </c>
      <c r="F31" t="s">
        <v>196</v>
      </c>
      <c r="H31">
        <f>-1*30</f>
        <v>-30</v>
      </c>
      <c r="I31">
        <v>-17</v>
      </c>
      <c r="K31" t="s">
        <v>197</v>
      </c>
      <c r="L31">
        <f>SUMIFS(G$3:G$26,J$3:J$26,K$30)</f>
        <v>4930</v>
      </c>
      <c r="M31">
        <f>SUMIFS(Q$3:Q$26,J$3:J$26,K$30)-INT(COUNTIFS(J$3:J$26,K$30,M$3:M$26,"*gộp*")/2)</f>
        <v>9</v>
      </c>
      <c r="O31" t="s">
        <v>286</v>
      </c>
      <c r="P31">
        <f>L36</f>
        <v>2401</v>
      </c>
    </row>
    <row r="32" spans="1:17" x14ac:dyDescent="0.25">
      <c r="B32" s="2" t="s">
        <v>199</v>
      </c>
      <c r="C32" s="29">
        <v>0</v>
      </c>
      <c r="D32" s="29"/>
      <c r="K32" t="s">
        <v>200</v>
      </c>
      <c r="L32">
        <f>SUM(H29:H31)</f>
        <v>-214</v>
      </c>
      <c r="M32">
        <f>SUMIFS(Q$3:Q$26,J$3:J$26,K$30)</f>
        <v>9</v>
      </c>
      <c r="O32" t="s">
        <v>20</v>
      </c>
      <c r="P32">
        <f>L44</f>
        <v>35</v>
      </c>
    </row>
    <row r="33" spans="2:16" x14ac:dyDescent="0.25">
      <c r="B33" s="2" t="s">
        <v>201</v>
      </c>
      <c r="C33" s="29">
        <f>-SUMIFS(I$3:I$26,B$3:B$26,A$30,P$3:P$26,"xx",N$3:N$26,"x")</f>
        <v>-3055</v>
      </c>
      <c r="D33" s="29"/>
      <c r="E33" s="2">
        <f>SUMIFS(Q$3:Q$26,B$3:B$26,A$30,P$3:P$26,"xx",N$3:N$26,"x")</f>
        <v>4</v>
      </c>
      <c r="K33" t="s">
        <v>202</v>
      </c>
      <c r="O33" t="s">
        <v>135</v>
      </c>
      <c r="P33">
        <f>L52</f>
        <v>1320</v>
      </c>
    </row>
    <row r="34" spans="2:16" x14ac:dyDescent="0.25">
      <c r="B34" s="4" t="s">
        <v>203</v>
      </c>
      <c r="C34" s="27">
        <f>SUBTOTAL(9,C31:C33)</f>
        <v>6225</v>
      </c>
      <c r="D34" s="27"/>
      <c r="E34">
        <f>E31</f>
        <v>20</v>
      </c>
      <c r="K34" s="2" t="s">
        <v>204</v>
      </c>
      <c r="L34" s="23">
        <v>-2315</v>
      </c>
      <c r="M34" s="23" t="s">
        <v>287</v>
      </c>
      <c r="O34" t="s">
        <v>21</v>
      </c>
      <c r="P34">
        <f>L60</f>
        <v>2488</v>
      </c>
    </row>
    <row r="35" spans="2:16" x14ac:dyDescent="0.25">
      <c r="B35" s="2" t="s">
        <v>205</v>
      </c>
      <c r="C35" s="25"/>
      <c r="D35" s="25"/>
      <c r="K35" s="2" t="s">
        <v>206</v>
      </c>
      <c r="O35" t="s">
        <v>207</v>
      </c>
      <c r="P35">
        <f>-C38</f>
        <v>-6225</v>
      </c>
    </row>
    <row r="36" spans="2:16" x14ac:dyDescent="0.25">
      <c r="B36" s="12" t="s">
        <v>208</v>
      </c>
      <c r="C36" s="25"/>
      <c r="D36" s="25"/>
      <c r="L36" s="13">
        <f>SUBTOTAL(9,L31:L35)</f>
        <v>2401</v>
      </c>
      <c r="M36" s="13">
        <f>M31</f>
        <v>9</v>
      </c>
      <c r="O36" s="4" t="s">
        <v>209</v>
      </c>
      <c r="P36" s="4">
        <f>SUBTOTAL(9,P31:P35)</f>
        <v>19</v>
      </c>
    </row>
    <row r="38" spans="2:16" x14ac:dyDescent="0.25">
      <c r="B38" s="1" t="s">
        <v>210</v>
      </c>
      <c r="C38" s="26">
        <f>C34+C35+C36</f>
        <v>6225</v>
      </c>
      <c r="D38" s="26"/>
      <c r="E38" s="1" t="s">
        <v>211</v>
      </c>
      <c r="K38" s="11" t="s">
        <v>20</v>
      </c>
      <c r="L38" s="11" t="s">
        <v>193</v>
      </c>
      <c r="M38" s="11" t="s">
        <v>192</v>
      </c>
    </row>
    <row r="39" spans="2:16" x14ac:dyDescent="0.25">
      <c r="K39" t="s">
        <v>197</v>
      </c>
      <c r="L39">
        <f>SUMIFS(G$3:G$26,J$3:J$26,K$38)</f>
        <v>60</v>
      </c>
      <c r="M39">
        <f>SUMIFS(Q$3:Q$26,J$3:J$26,K$38)-INT(COUNTIFS(J$3:J$26,K$38,M$3:M$26,"*gộp*")/2)</f>
        <v>1</v>
      </c>
    </row>
    <row r="40" spans="2:16" x14ac:dyDescent="0.25">
      <c r="K40" t="s">
        <v>200</v>
      </c>
      <c r="L40">
        <f>-SUMIFS(H$3:H$26,J$3:J$26,K$38)+M40*5</f>
        <v>-25</v>
      </c>
      <c r="M40">
        <f>SUMIFS(Q$3:Q$26,J$3:J$26,K$38)-INT(COUNTIFS(J$3:J$26,K$38,M$3:M$26,"*gộp*")/2)</f>
        <v>1</v>
      </c>
    </row>
    <row r="41" spans="2:16" x14ac:dyDescent="0.25">
      <c r="K41" t="s">
        <v>202</v>
      </c>
    </row>
    <row r="42" spans="2:16" x14ac:dyDescent="0.25">
      <c r="K42" s="2" t="s">
        <v>204</v>
      </c>
    </row>
    <row r="43" spans="2:16" x14ac:dyDescent="0.25">
      <c r="K43" s="2" t="s">
        <v>206</v>
      </c>
    </row>
    <row r="44" spans="2:16" x14ac:dyDescent="0.25">
      <c r="L44" s="13">
        <f>SUBTOTAL(9,L39:L43)</f>
        <v>35</v>
      </c>
      <c r="M44" s="13">
        <f>M39</f>
        <v>1</v>
      </c>
    </row>
    <row r="46" spans="2:16" x14ac:dyDescent="0.25">
      <c r="K46" s="11" t="s">
        <v>135</v>
      </c>
      <c r="L46" s="11" t="s">
        <v>193</v>
      </c>
      <c r="M46" s="11" t="s">
        <v>192</v>
      </c>
    </row>
    <row r="47" spans="2:16" x14ac:dyDescent="0.25">
      <c r="K47" t="s">
        <v>197</v>
      </c>
      <c r="L47">
        <f>SUMIFS(G$3:G$26,J$3:J$26,K$46)</f>
        <v>2195</v>
      </c>
      <c r="M47">
        <f>SUMIFS(Q$3:Q$26,J$3:J$26,K$46)-INT(COUNTIFS(J$3:J$26,K$46,M$3:M$26,"*gộp*")/2)</f>
        <v>4</v>
      </c>
    </row>
    <row r="48" spans="2:16" x14ac:dyDescent="0.25">
      <c r="K48" t="s">
        <v>200</v>
      </c>
      <c r="L48">
        <f>-SUMIFS(H$3:H$26,J$3:J$26,K$46)+M48*5</f>
        <v>-80</v>
      </c>
      <c r="M48">
        <f>SUMIFS(Q$3:Q$26,J$3:J$26,K$46)-INT(COUNTIFS(J$3:J$26,K$46,M$3:M$26,"*gộp*")/2)</f>
        <v>4</v>
      </c>
    </row>
    <row r="49" spans="11:13" x14ac:dyDescent="0.25">
      <c r="K49" t="s">
        <v>202</v>
      </c>
    </row>
    <row r="50" spans="11:13" x14ac:dyDescent="0.25">
      <c r="K50" s="2" t="s">
        <v>204</v>
      </c>
      <c r="L50" s="23">
        <v>-795</v>
      </c>
      <c r="M50" s="23" t="s">
        <v>288</v>
      </c>
    </row>
    <row r="51" spans="11:13" x14ac:dyDescent="0.25">
      <c r="K51" s="2" t="s">
        <v>206</v>
      </c>
    </row>
    <row r="52" spans="11:13" x14ac:dyDescent="0.25">
      <c r="L52" s="13">
        <f>SUBTOTAL(9,L47:L51)</f>
        <v>1320</v>
      </c>
      <c r="M52" s="13">
        <f>M47</f>
        <v>4</v>
      </c>
    </row>
    <row r="54" spans="11:13" x14ac:dyDescent="0.25">
      <c r="K54" s="11" t="s">
        <v>21</v>
      </c>
      <c r="L54" s="11" t="s">
        <v>193</v>
      </c>
      <c r="M54" s="11" t="s">
        <v>192</v>
      </c>
    </row>
    <row r="55" spans="11:13" x14ac:dyDescent="0.25">
      <c r="K55" t="s">
        <v>197</v>
      </c>
      <c r="L55">
        <f>SUMIFS(G$3:G$26,J$3:J$26,K$54)</f>
        <v>2675</v>
      </c>
      <c r="M55">
        <f>SUMIFS(Q$3:Q$26,J$3:J$26,K$54)-INT(COUNTIFS(J$3:J$26,K$54,M$3:M$26,"*gộp*")/2)</f>
        <v>6</v>
      </c>
    </row>
    <row r="56" spans="11:13" x14ac:dyDescent="0.25">
      <c r="K56" t="s">
        <v>200</v>
      </c>
      <c r="L56">
        <f>-SUMIFS(H$3:H$26,J$3:J$26,K$54)+M56*5</f>
        <v>-155</v>
      </c>
      <c r="M56">
        <f>SUMIFS(Q$3:Q$26,J$3:J$26,K$54)-INT(COUNTIFS(J$3:J$26,K$54,M$3:M$26,"*gộp*")/2)</f>
        <v>6</v>
      </c>
    </row>
    <row r="57" spans="11:13" x14ac:dyDescent="0.25">
      <c r="K57" t="s">
        <v>202</v>
      </c>
      <c r="L57">
        <f>-M57*2</f>
        <v>-32</v>
      </c>
      <c r="M57">
        <f>E34-(COUNTIFS(M$3:M$26,"*gộp*")/2)-COUNTIFS(M$3:M$26,"*đơn trả*")-COUNTIFS(M$3:M$26,"*hàng tỉnh*")</f>
        <v>16</v>
      </c>
    </row>
    <row r="58" spans="11:13" x14ac:dyDescent="0.25">
      <c r="K58" s="2" t="s">
        <v>204</v>
      </c>
    </row>
    <row r="59" spans="11:13" x14ac:dyDescent="0.25">
      <c r="K59" s="2" t="s">
        <v>206</v>
      </c>
    </row>
    <row r="60" spans="11:13" x14ac:dyDescent="0.25">
      <c r="L60" s="13">
        <f>SUBTOTAL(9,L55:L59)</f>
        <v>2488</v>
      </c>
      <c r="M60" s="13">
        <f>M55</f>
        <v>6</v>
      </c>
    </row>
  </sheetData>
  <autoFilter ref="A2:P26" xr:uid="{00000000-0009-0000-0000-000001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81"/>
  <sheetViews>
    <sheetView tabSelected="1" topLeftCell="A44" workbookViewId="0">
      <selection activeCell="E55" sqref="E55"/>
    </sheetView>
  </sheetViews>
  <sheetFormatPr defaultRowHeight="15" x14ac:dyDescent="0.25"/>
  <cols>
    <col min="1" max="1" width="12.7109375" customWidth="1"/>
    <col min="2" max="2" width="17.7109375" customWidth="1"/>
    <col min="3" max="3" width="23.140625" customWidth="1"/>
    <col min="4" max="4" width="9.85546875" customWidth="1"/>
    <col min="5" max="5" width="72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6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5"/>
    </row>
    <row r="3" spans="1:17" s="19" customFormat="1" x14ac:dyDescent="0.25">
      <c r="A3" s="17"/>
      <c r="B3" s="17" t="s">
        <v>17</v>
      </c>
      <c r="C3" s="17" t="s">
        <v>304</v>
      </c>
      <c r="D3" s="17" t="s">
        <v>305</v>
      </c>
      <c r="E3" s="17" t="s">
        <v>306</v>
      </c>
      <c r="F3" s="18">
        <v>7</v>
      </c>
      <c r="G3" s="18">
        <v>30</v>
      </c>
      <c r="H3" s="18">
        <v>30</v>
      </c>
      <c r="I3" s="18">
        <f t="shared" ref="I3:I55" si="0">G3-H3</f>
        <v>0</v>
      </c>
      <c r="J3" s="17" t="s">
        <v>307</v>
      </c>
      <c r="K3" s="17" t="s">
        <v>21</v>
      </c>
      <c r="L3" s="17" t="s">
        <v>302</v>
      </c>
      <c r="M3" s="17" t="s">
        <v>126</v>
      </c>
      <c r="N3" s="17"/>
      <c r="O3" s="17"/>
      <c r="P3" s="17"/>
      <c r="Q3" s="17">
        <v>1</v>
      </c>
    </row>
    <row r="4" spans="1:17" x14ac:dyDescent="0.25">
      <c r="A4" s="15"/>
      <c r="B4" s="15" t="s">
        <v>17</v>
      </c>
      <c r="C4" s="15" t="s">
        <v>311</v>
      </c>
      <c r="D4" s="15" t="s">
        <v>312</v>
      </c>
      <c r="E4" s="15" t="s">
        <v>313</v>
      </c>
      <c r="F4" s="16">
        <v>6</v>
      </c>
      <c r="G4" s="16">
        <v>915</v>
      </c>
      <c r="H4" s="16">
        <v>25</v>
      </c>
      <c r="I4" s="24">
        <f t="shared" si="0"/>
        <v>890</v>
      </c>
      <c r="J4" s="15" t="s">
        <v>307</v>
      </c>
      <c r="K4" s="15" t="s">
        <v>21</v>
      </c>
      <c r="L4" s="15" t="s">
        <v>302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17</v>
      </c>
      <c r="C5" s="15" t="s">
        <v>316</v>
      </c>
      <c r="D5" s="15" t="s">
        <v>317</v>
      </c>
      <c r="E5" s="15" t="s">
        <v>318</v>
      </c>
      <c r="F5" s="16">
        <v>7</v>
      </c>
      <c r="G5" s="16">
        <v>850</v>
      </c>
      <c r="H5" s="16">
        <v>30</v>
      </c>
      <c r="I5" s="24">
        <f t="shared" si="0"/>
        <v>820</v>
      </c>
      <c r="J5" s="15" t="s">
        <v>307</v>
      </c>
      <c r="K5" s="15" t="s">
        <v>21</v>
      </c>
      <c r="L5" s="15" t="s">
        <v>302</v>
      </c>
      <c r="M5" s="15"/>
      <c r="N5" s="15"/>
      <c r="O5" s="15"/>
      <c r="P5" s="15"/>
      <c r="Q5" s="15">
        <v>1</v>
      </c>
    </row>
    <row r="6" spans="1:17" x14ac:dyDescent="0.25">
      <c r="A6" s="15"/>
      <c r="B6" s="15" t="s">
        <v>17</v>
      </c>
      <c r="C6" s="15" t="s">
        <v>322</v>
      </c>
      <c r="D6" s="15" t="s">
        <v>323</v>
      </c>
      <c r="E6" s="15" t="s">
        <v>324</v>
      </c>
      <c r="F6" s="16">
        <v>12</v>
      </c>
      <c r="G6" s="16">
        <v>670</v>
      </c>
      <c r="H6" s="16">
        <v>30</v>
      </c>
      <c r="I6" s="24">
        <f t="shared" si="0"/>
        <v>640</v>
      </c>
      <c r="J6" s="15" t="s">
        <v>307</v>
      </c>
      <c r="K6" s="15" t="s">
        <v>21</v>
      </c>
      <c r="L6" s="15" t="s">
        <v>302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17</v>
      </c>
      <c r="C7" s="15" t="s">
        <v>331</v>
      </c>
      <c r="D7" s="15" t="s">
        <v>332</v>
      </c>
      <c r="E7" s="15" t="s">
        <v>333</v>
      </c>
      <c r="F7" s="15" t="s">
        <v>139</v>
      </c>
      <c r="G7" s="16">
        <v>1515</v>
      </c>
      <c r="H7" s="16">
        <v>35</v>
      </c>
      <c r="I7" s="24">
        <f t="shared" si="0"/>
        <v>1480</v>
      </c>
      <c r="J7" s="15" t="s">
        <v>307</v>
      </c>
      <c r="K7" s="15" t="s">
        <v>21</v>
      </c>
      <c r="L7" s="15" t="s">
        <v>302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17</v>
      </c>
      <c r="C8" s="15" t="s">
        <v>334</v>
      </c>
      <c r="D8" s="15" t="s">
        <v>335</v>
      </c>
      <c r="E8" s="15" t="s">
        <v>336</v>
      </c>
      <c r="F8" s="16">
        <v>8</v>
      </c>
      <c r="G8" s="16">
        <v>690</v>
      </c>
      <c r="H8" s="16">
        <v>30</v>
      </c>
      <c r="I8" s="24">
        <f t="shared" si="0"/>
        <v>660</v>
      </c>
      <c r="J8" s="15" t="s">
        <v>307</v>
      </c>
      <c r="K8" s="15" t="s">
        <v>21</v>
      </c>
      <c r="L8" s="15" t="s">
        <v>302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17</v>
      </c>
      <c r="C9" s="15" t="s">
        <v>343</v>
      </c>
      <c r="D9" s="15" t="s">
        <v>344</v>
      </c>
      <c r="E9" s="15" t="s">
        <v>345</v>
      </c>
      <c r="F9" s="15" t="s">
        <v>95</v>
      </c>
      <c r="G9" s="16">
        <v>1345</v>
      </c>
      <c r="H9" s="16">
        <v>25</v>
      </c>
      <c r="I9" s="24">
        <f t="shared" si="0"/>
        <v>1320</v>
      </c>
      <c r="J9" s="15" t="s">
        <v>307</v>
      </c>
      <c r="K9" s="15" t="s">
        <v>21</v>
      </c>
      <c r="L9" s="15" t="s">
        <v>302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17</v>
      </c>
      <c r="C10" s="15" t="s">
        <v>349</v>
      </c>
      <c r="D10" s="15" t="s">
        <v>350</v>
      </c>
      <c r="E10" s="15" t="s">
        <v>351</v>
      </c>
      <c r="F10" s="15" t="s">
        <v>26</v>
      </c>
      <c r="G10" s="16">
        <v>850</v>
      </c>
      <c r="H10" s="16">
        <v>30</v>
      </c>
      <c r="I10" s="24">
        <f t="shared" si="0"/>
        <v>820</v>
      </c>
      <c r="J10" s="15" t="s">
        <v>307</v>
      </c>
      <c r="K10" s="15" t="s">
        <v>21</v>
      </c>
      <c r="L10" s="15" t="s">
        <v>302</v>
      </c>
      <c r="M10" s="15"/>
      <c r="N10" s="15"/>
      <c r="O10" s="15"/>
      <c r="P10" s="15"/>
      <c r="Q10" s="15">
        <v>1</v>
      </c>
    </row>
    <row r="11" spans="1:17" x14ac:dyDescent="0.25">
      <c r="A11" s="15"/>
      <c r="B11" s="15" t="s">
        <v>17</v>
      </c>
      <c r="C11" s="15" t="s">
        <v>356</v>
      </c>
      <c r="D11" s="15" t="s">
        <v>357</v>
      </c>
      <c r="E11" s="15" t="s">
        <v>358</v>
      </c>
      <c r="F11" s="15" t="s">
        <v>26</v>
      </c>
      <c r="G11" s="16">
        <v>830</v>
      </c>
      <c r="H11" s="16">
        <v>30</v>
      </c>
      <c r="I11" s="24">
        <f t="shared" si="0"/>
        <v>800</v>
      </c>
      <c r="J11" s="15" t="s">
        <v>307</v>
      </c>
      <c r="K11" s="15" t="s">
        <v>21</v>
      </c>
      <c r="L11" s="15" t="s">
        <v>302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17</v>
      </c>
      <c r="C12" s="15" t="s">
        <v>373</v>
      </c>
      <c r="D12" s="15" t="s">
        <v>374</v>
      </c>
      <c r="E12" s="15" t="s">
        <v>375</v>
      </c>
      <c r="F12" s="15" t="s">
        <v>46</v>
      </c>
      <c r="G12" s="16">
        <v>0</v>
      </c>
      <c r="H12" s="16">
        <v>25</v>
      </c>
      <c r="I12" s="24">
        <f t="shared" si="0"/>
        <v>-25</v>
      </c>
      <c r="J12" s="15" t="s">
        <v>307</v>
      </c>
      <c r="K12" s="15" t="s">
        <v>21</v>
      </c>
      <c r="L12" s="15" t="s">
        <v>302</v>
      </c>
      <c r="M12" s="15"/>
      <c r="N12" s="15"/>
      <c r="O12" s="15"/>
      <c r="P12" s="15"/>
      <c r="Q12" s="15">
        <v>1</v>
      </c>
    </row>
    <row r="13" spans="1:17" x14ac:dyDescent="0.25">
      <c r="A13" s="15"/>
      <c r="B13" s="15" t="s">
        <v>17</v>
      </c>
      <c r="C13" s="15" t="s">
        <v>376</v>
      </c>
      <c r="D13" s="15" t="s">
        <v>377</v>
      </c>
      <c r="E13" s="15" t="s">
        <v>378</v>
      </c>
      <c r="F13" s="15" t="s">
        <v>26</v>
      </c>
      <c r="G13" s="16">
        <v>780</v>
      </c>
      <c r="H13" s="16">
        <v>30</v>
      </c>
      <c r="I13" s="24">
        <f t="shared" si="0"/>
        <v>750</v>
      </c>
      <c r="J13" s="15" t="s">
        <v>307</v>
      </c>
      <c r="K13" s="15" t="s">
        <v>21</v>
      </c>
      <c r="L13" s="15" t="s">
        <v>302</v>
      </c>
      <c r="M13" s="15"/>
      <c r="N13" s="15"/>
      <c r="O13" s="15"/>
      <c r="P13" s="15"/>
      <c r="Q13" s="15">
        <v>1</v>
      </c>
    </row>
    <row r="14" spans="1:17" x14ac:dyDescent="0.25">
      <c r="A14" s="15"/>
      <c r="B14" s="15" t="s">
        <v>17</v>
      </c>
      <c r="C14" s="15" t="s">
        <v>381</v>
      </c>
      <c r="D14" s="15" t="s">
        <v>382</v>
      </c>
      <c r="E14" s="15" t="s">
        <v>383</v>
      </c>
      <c r="F14" s="16">
        <v>8</v>
      </c>
      <c r="G14" s="16">
        <v>740</v>
      </c>
      <c r="H14" s="16">
        <v>30</v>
      </c>
      <c r="I14" s="24">
        <f t="shared" si="0"/>
        <v>710</v>
      </c>
      <c r="J14" s="15" t="s">
        <v>307</v>
      </c>
      <c r="K14" s="15" t="s">
        <v>21</v>
      </c>
      <c r="L14" s="15" t="s">
        <v>302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17</v>
      </c>
      <c r="C15" s="15" t="s">
        <v>387</v>
      </c>
      <c r="D15" s="15" t="s">
        <v>388</v>
      </c>
      <c r="E15" s="15" t="s">
        <v>389</v>
      </c>
      <c r="F15" s="15" t="s">
        <v>95</v>
      </c>
      <c r="G15" s="16">
        <v>755</v>
      </c>
      <c r="H15" s="16">
        <v>25</v>
      </c>
      <c r="I15" s="24">
        <f t="shared" si="0"/>
        <v>730</v>
      </c>
      <c r="J15" s="15" t="s">
        <v>307</v>
      </c>
      <c r="K15" s="15" t="s">
        <v>21</v>
      </c>
      <c r="L15" s="15" t="s">
        <v>302</v>
      </c>
      <c r="M15" s="15"/>
      <c r="N15" s="15"/>
      <c r="O15" s="15"/>
      <c r="P15" s="15"/>
      <c r="Q15" s="15">
        <v>1</v>
      </c>
    </row>
    <row r="16" spans="1:17" x14ac:dyDescent="0.25">
      <c r="A16" s="15"/>
      <c r="B16" s="15" t="s">
        <v>17</v>
      </c>
      <c r="C16" s="15" t="s">
        <v>65</v>
      </c>
      <c r="D16" s="15" t="s">
        <v>390</v>
      </c>
      <c r="E16" s="15" t="s">
        <v>67</v>
      </c>
      <c r="F16" s="16">
        <v>12</v>
      </c>
      <c r="G16" s="16">
        <v>770</v>
      </c>
      <c r="H16" s="16">
        <v>30</v>
      </c>
      <c r="I16" s="24">
        <f t="shared" si="0"/>
        <v>740</v>
      </c>
      <c r="J16" s="15" t="s">
        <v>307</v>
      </c>
      <c r="K16" s="15" t="s">
        <v>21</v>
      </c>
      <c r="L16" s="15" t="s">
        <v>302</v>
      </c>
      <c r="M16" s="15"/>
      <c r="N16" s="15"/>
      <c r="O16" s="15"/>
      <c r="P16" s="15"/>
      <c r="Q16" s="15">
        <v>1</v>
      </c>
    </row>
    <row r="17" spans="1:17" x14ac:dyDescent="0.25">
      <c r="A17" s="15"/>
      <c r="B17" s="15" t="s">
        <v>17</v>
      </c>
      <c r="C17" s="15" t="s">
        <v>401</v>
      </c>
      <c r="D17" s="15" t="s">
        <v>402</v>
      </c>
      <c r="E17" s="15" t="s">
        <v>403</v>
      </c>
      <c r="F17" s="15" t="s">
        <v>139</v>
      </c>
      <c r="G17" s="16">
        <v>735</v>
      </c>
      <c r="H17" s="16">
        <v>35</v>
      </c>
      <c r="I17" s="24">
        <f t="shared" si="0"/>
        <v>700</v>
      </c>
      <c r="J17" s="15" t="s">
        <v>307</v>
      </c>
      <c r="K17" s="15" t="s">
        <v>21</v>
      </c>
      <c r="L17" s="15" t="s">
        <v>302</v>
      </c>
      <c r="M17" s="15"/>
      <c r="N17" s="15"/>
      <c r="O17" s="15"/>
      <c r="P17" s="15"/>
      <c r="Q17" s="15">
        <v>1</v>
      </c>
    </row>
    <row r="18" spans="1:17" x14ac:dyDescent="0.25">
      <c r="A18" s="15"/>
      <c r="B18" s="15" t="s">
        <v>17</v>
      </c>
      <c r="C18" s="15" t="s">
        <v>419</v>
      </c>
      <c r="D18" s="15" t="s">
        <v>420</v>
      </c>
      <c r="E18" s="15" t="s">
        <v>421</v>
      </c>
      <c r="F18" s="15" t="s">
        <v>26</v>
      </c>
      <c r="G18" s="16">
        <v>0</v>
      </c>
      <c r="H18" s="16">
        <v>30</v>
      </c>
      <c r="I18" s="24">
        <f t="shared" si="0"/>
        <v>-30</v>
      </c>
      <c r="J18" s="15" t="s">
        <v>307</v>
      </c>
      <c r="K18" s="15" t="s">
        <v>21</v>
      </c>
      <c r="L18" s="15" t="s">
        <v>302</v>
      </c>
      <c r="M18" s="15"/>
      <c r="N18" s="15"/>
      <c r="O18" s="15"/>
      <c r="P18" s="15"/>
      <c r="Q18" s="15">
        <v>1</v>
      </c>
    </row>
    <row r="19" spans="1:17" x14ac:dyDescent="0.25">
      <c r="A19" s="15"/>
      <c r="B19" s="15" t="s">
        <v>17</v>
      </c>
      <c r="C19" s="15" t="s">
        <v>429</v>
      </c>
      <c r="D19" s="15" t="s">
        <v>430</v>
      </c>
      <c r="E19" s="15" t="s">
        <v>431</v>
      </c>
      <c r="F19" s="16">
        <v>8</v>
      </c>
      <c r="G19" s="16">
        <v>690</v>
      </c>
      <c r="H19" s="16">
        <v>30</v>
      </c>
      <c r="I19" s="24">
        <f t="shared" si="0"/>
        <v>660</v>
      </c>
      <c r="J19" s="15" t="s">
        <v>307</v>
      </c>
      <c r="K19" s="15" t="s">
        <v>21</v>
      </c>
      <c r="L19" s="15" t="s">
        <v>302</v>
      </c>
      <c r="M19" s="15"/>
      <c r="N19" s="15"/>
      <c r="O19" s="15"/>
      <c r="P19" s="15"/>
      <c r="Q19" s="15">
        <v>1</v>
      </c>
    </row>
    <row r="20" spans="1:17" x14ac:dyDescent="0.25">
      <c r="A20" s="15" t="s">
        <v>16</v>
      </c>
      <c r="B20" s="15" t="s">
        <v>17</v>
      </c>
      <c r="C20" s="15" t="s">
        <v>435</v>
      </c>
      <c r="D20" s="15"/>
      <c r="E20" s="15" t="s">
        <v>436</v>
      </c>
      <c r="F20" s="15" t="s">
        <v>26</v>
      </c>
      <c r="G20" s="16">
        <v>0</v>
      </c>
      <c r="H20" s="16">
        <v>35</v>
      </c>
      <c r="I20" s="24">
        <f t="shared" si="0"/>
        <v>-35</v>
      </c>
      <c r="J20" s="15" t="s">
        <v>307</v>
      </c>
      <c r="K20" s="15" t="s">
        <v>21</v>
      </c>
      <c r="L20" s="15" t="s">
        <v>302</v>
      </c>
      <c r="M20" s="15"/>
      <c r="N20" s="15"/>
      <c r="O20" s="15"/>
      <c r="P20" s="15"/>
      <c r="Q20" s="15">
        <v>1</v>
      </c>
    </row>
    <row r="21" spans="1:17" s="19" customFormat="1" x14ac:dyDescent="0.25">
      <c r="A21" s="17"/>
      <c r="B21" s="17" t="s">
        <v>17</v>
      </c>
      <c r="C21" s="17" t="s">
        <v>352</v>
      </c>
      <c r="D21" s="17" t="s">
        <v>391</v>
      </c>
      <c r="E21" s="17" t="s">
        <v>354</v>
      </c>
      <c r="F21" s="18">
        <v>2</v>
      </c>
      <c r="G21" s="18">
        <v>120</v>
      </c>
      <c r="H21" s="18">
        <v>60</v>
      </c>
      <c r="I21" s="18">
        <f t="shared" si="0"/>
        <v>60</v>
      </c>
      <c r="J21" s="17" t="s">
        <v>21</v>
      </c>
      <c r="K21" s="17" t="s">
        <v>21</v>
      </c>
      <c r="L21" s="17" t="s">
        <v>302</v>
      </c>
      <c r="M21" s="17" t="s">
        <v>355</v>
      </c>
      <c r="N21" s="17"/>
      <c r="O21" s="17"/>
      <c r="P21" s="17"/>
      <c r="Q21" s="17">
        <v>1</v>
      </c>
    </row>
    <row r="22" spans="1:17" s="19" customFormat="1" x14ac:dyDescent="0.25">
      <c r="A22" s="17"/>
      <c r="B22" s="17" t="s">
        <v>17</v>
      </c>
      <c r="C22" s="17" t="s">
        <v>352</v>
      </c>
      <c r="D22" s="17" t="s">
        <v>353</v>
      </c>
      <c r="E22" s="17" t="s">
        <v>354</v>
      </c>
      <c r="F22" s="18">
        <v>2</v>
      </c>
      <c r="G22" s="18">
        <v>0</v>
      </c>
      <c r="H22" s="18">
        <v>0</v>
      </c>
      <c r="I22" s="18">
        <f t="shared" si="0"/>
        <v>0</v>
      </c>
      <c r="J22" s="17" t="s">
        <v>21</v>
      </c>
      <c r="K22" s="17" t="s">
        <v>21</v>
      </c>
      <c r="L22" s="17" t="s">
        <v>302</v>
      </c>
      <c r="M22" s="17" t="s">
        <v>355</v>
      </c>
      <c r="N22" s="17"/>
      <c r="O22" s="17"/>
      <c r="P22" s="17"/>
      <c r="Q22" s="17">
        <v>1</v>
      </c>
    </row>
    <row r="23" spans="1:17" x14ac:dyDescent="0.25">
      <c r="A23" s="15"/>
      <c r="B23" s="15" t="s">
        <v>17</v>
      </c>
      <c r="C23" s="15" t="s">
        <v>359</v>
      </c>
      <c r="D23" s="15" t="s">
        <v>360</v>
      </c>
      <c r="E23" s="15" t="s">
        <v>361</v>
      </c>
      <c r="F23" s="16">
        <v>2</v>
      </c>
      <c r="G23" s="16">
        <v>1150</v>
      </c>
      <c r="H23" s="16">
        <v>30</v>
      </c>
      <c r="I23" s="24">
        <f t="shared" si="0"/>
        <v>1120</v>
      </c>
      <c r="J23" s="15" t="s">
        <v>21</v>
      </c>
      <c r="K23" s="15" t="s">
        <v>21</v>
      </c>
      <c r="L23" s="15" t="s">
        <v>302</v>
      </c>
      <c r="M23" s="15"/>
      <c r="N23" s="15"/>
      <c r="O23" s="15"/>
      <c r="P23" s="15"/>
      <c r="Q23" s="15">
        <v>1</v>
      </c>
    </row>
    <row r="24" spans="1:17" x14ac:dyDescent="0.25">
      <c r="A24" s="15"/>
      <c r="B24" s="15" t="s">
        <v>17</v>
      </c>
      <c r="C24" s="15" t="s">
        <v>362</v>
      </c>
      <c r="D24" s="15" t="s">
        <v>363</v>
      </c>
      <c r="E24" s="15" t="s">
        <v>364</v>
      </c>
      <c r="F24" s="15" t="s">
        <v>85</v>
      </c>
      <c r="G24" s="16">
        <v>820</v>
      </c>
      <c r="H24" s="16">
        <v>20</v>
      </c>
      <c r="I24" s="24">
        <f t="shared" si="0"/>
        <v>800</v>
      </c>
      <c r="J24" s="15" t="s">
        <v>21</v>
      </c>
      <c r="K24" s="15" t="s">
        <v>21</v>
      </c>
      <c r="L24" s="15" t="s">
        <v>302</v>
      </c>
      <c r="M24" s="15"/>
      <c r="N24" s="15"/>
      <c r="O24" s="15"/>
      <c r="P24" s="15"/>
      <c r="Q24" s="15">
        <v>1</v>
      </c>
    </row>
    <row r="25" spans="1:17" x14ac:dyDescent="0.25">
      <c r="A25" s="15"/>
      <c r="B25" s="15" t="s">
        <v>17</v>
      </c>
      <c r="C25" s="15" t="s">
        <v>384</v>
      </c>
      <c r="D25" s="15" t="s">
        <v>385</v>
      </c>
      <c r="E25" s="15" t="s">
        <v>386</v>
      </c>
      <c r="F25" s="16">
        <v>2</v>
      </c>
      <c r="G25" s="16">
        <v>2120</v>
      </c>
      <c r="H25" s="16">
        <v>35</v>
      </c>
      <c r="I25" s="24">
        <f t="shared" si="0"/>
        <v>2085</v>
      </c>
      <c r="J25" s="15" t="s">
        <v>21</v>
      </c>
      <c r="K25" s="15" t="s">
        <v>21</v>
      </c>
      <c r="L25" s="15" t="s">
        <v>302</v>
      </c>
      <c r="M25" s="20" t="s">
        <v>167</v>
      </c>
      <c r="N25" s="15"/>
      <c r="O25" s="15"/>
      <c r="P25" s="15"/>
      <c r="Q25" s="15">
        <v>1</v>
      </c>
    </row>
    <row r="26" spans="1:17" x14ac:dyDescent="0.25">
      <c r="A26" s="15"/>
      <c r="B26" s="15" t="s">
        <v>17</v>
      </c>
      <c r="C26" s="15" t="s">
        <v>413</v>
      </c>
      <c r="D26" s="15" t="s">
        <v>414</v>
      </c>
      <c r="E26" s="15" t="s">
        <v>415</v>
      </c>
      <c r="F26" s="16">
        <v>12</v>
      </c>
      <c r="G26" s="16">
        <v>0</v>
      </c>
      <c r="H26" s="16">
        <v>30</v>
      </c>
      <c r="I26" s="24">
        <f t="shared" si="0"/>
        <v>-30</v>
      </c>
      <c r="J26" s="15" t="s">
        <v>21</v>
      </c>
      <c r="K26" s="15" t="s">
        <v>21</v>
      </c>
      <c r="L26" s="15" t="s">
        <v>302</v>
      </c>
      <c r="M26" s="15"/>
      <c r="N26" s="15"/>
      <c r="O26" s="15"/>
      <c r="P26" s="15"/>
      <c r="Q26" s="15">
        <v>1</v>
      </c>
    </row>
    <row r="27" spans="1:17" s="19" customFormat="1" x14ac:dyDescent="0.25">
      <c r="A27" s="17"/>
      <c r="B27" s="17" t="s">
        <v>17</v>
      </c>
      <c r="C27" s="17" t="s">
        <v>416</v>
      </c>
      <c r="D27" s="17" t="s">
        <v>417</v>
      </c>
      <c r="E27" s="17" t="s">
        <v>418</v>
      </c>
      <c r="F27" s="17" t="s">
        <v>85</v>
      </c>
      <c r="G27" s="18">
        <v>0</v>
      </c>
      <c r="H27" s="18">
        <v>20</v>
      </c>
      <c r="I27" s="18">
        <f t="shared" si="0"/>
        <v>-20</v>
      </c>
      <c r="J27" s="17" t="s">
        <v>21</v>
      </c>
      <c r="K27" s="17" t="s">
        <v>21</v>
      </c>
      <c r="L27" s="17" t="s">
        <v>302</v>
      </c>
      <c r="M27" s="17" t="s">
        <v>126</v>
      </c>
      <c r="N27" s="17"/>
      <c r="O27" s="17"/>
      <c r="P27" s="17"/>
      <c r="Q27" s="17">
        <v>1</v>
      </c>
    </row>
    <row r="28" spans="1:17" x14ac:dyDescent="0.25">
      <c r="A28" s="15"/>
      <c r="B28" s="15" t="s">
        <v>17</v>
      </c>
      <c r="C28" s="15" t="s">
        <v>422</v>
      </c>
      <c r="D28" s="15" t="s">
        <v>423</v>
      </c>
      <c r="E28" s="15" t="s">
        <v>424</v>
      </c>
      <c r="F28" s="16">
        <v>12</v>
      </c>
      <c r="G28" s="16">
        <v>0</v>
      </c>
      <c r="H28" s="16">
        <v>30</v>
      </c>
      <c r="I28" s="24">
        <f t="shared" si="0"/>
        <v>-30</v>
      </c>
      <c r="J28" s="15" t="s">
        <v>21</v>
      </c>
      <c r="K28" s="15" t="s">
        <v>21</v>
      </c>
      <c r="L28" s="15" t="s">
        <v>302</v>
      </c>
      <c r="M28" s="15"/>
      <c r="N28" s="15"/>
      <c r="O28" s="15"/>
      <c r="P28" s="15"/>
      <c r="Q28" s="15">
        <v>1</v>
      </c>
    </row>
    <row r="29" spans="1:17" x14ac:dyDescent="0.25">
      <c r="A29" s="15"/>
      <c r="B29" s="15" t="s">
        <v>17</v>
      </c>
      <c r="C29" s="15" t="s">
        <v>432</v>
      </c>
      <c r="D29" s="15" t="s">
        <v>433</v>
      </c>
      <c r="E29" s="15" t="s">
        <v>434</v>
      </c>
      <c r="F29" s="15" t="s">
        <v>77</v>
      </c>
      <c r="G29" s="16">
        <v>1165</v>
      </c>
      <c r="H29" s="16">
        <v>25</v>
      </c>
      <c r="I29" s="24">
        <f t="shared" si="0"/>
        <v>1140</v>
      </c>
      <c r="J29" s="15" t="s">
        <v>21</v>
      </c>
      <c r="K29" s="15" t="s">
        <v>21</v>
      </c>
      <c r="L29" s="15" t="s">
        <v>302</v>
      </c>
      <c r="M29" s="15"/>
      <c r="N29" s="15"/>
      <c r="O29" s="15"/>
      <c r="P29" s="15"/>
      <c r="Q29" s="15">
        <v>1</v>
      </c>
    </row>
    <row r="30" spans="1:17" x14ac:dyDescent="0.25">
      <c r="A30" s="15" t="s">
        <v>16</v>
      </c>
      <c r="B30" s="15" t="s">
        <v>17</v>
      </c>
      <c r="C30" s="15" t="s">
        <v>439</v>
      </c>
      <c r="D30" s="15"/>
      <c r="E30" s="15" t="s">
        <v>440</v>
      </c>
      <c r="F30" s="15" t="s">
        <v>77</v>
      </c>
      <c r="G30" s="16">
        <v>30</v>
      </c>
      <c r="H30" s="16">
        <v>30</v>
      </c>
      <c r="I30" s="24">
        <f t="shared" si="0"/>
        <v>0</v>
      </c>
      <c r="J30" s="15" t="s">
        <v>21</v>
      </c>
      <c r="K30" s="15" t="s">
        <v>21</v>
      </c>
      <c r="L30" s="15" t="s">
        <v>302</v>
      </c>
      <c r="M30" s="15"/>
      <c r="N30" s="15"/>
      <c r="O30" s="15"/>
      <c r="P30" s="15"/>
      <c r="Q30" s="15">
        <v>1</v>
      </c>
    </row>
    <row r="31" spans="1:17" x14ac:dyDescent="0.25">
      <c r="A31" s="15" t="s">
        <v>16</v>
      </c>
      <c r="B31" s="15" t="s">
        <v>17</v>
      </c>
      <c r="C31" s="15" t="s">
        <v>441</v>
      </c>
      <c r="D31" s="15"/>
      <c r="E31" s="15" t="s">
        <v>442</v>
      </c>
      <c r="F31" s="15" t="s">
        <v>77</v>
      </c>
      <c r="G31" s="16">
        <v>30</v>
      </c>
      <c r="H31" s="16">
        <v>30</v>
      </c>
      <c r="I31" s="24">
        <f t="shared" si="0"/>
        <v>0</v>
      </c>
      <c r="J31" s="15" t="s">
        <v>21</v>
      </c>
      <c r="K31" s="15" t="s">
        <v>21</v>
      </c>
      <c r="L31" s="15" t="s">
        <v>302</v>
      </c>
      <c r="M31" s="15"/>
      <c r="N31" s="15"/>
      <c r="O31" s="15"/>
      <c r="P31" s="15"/>
      <c r="Q31" s="15">
        <v>1</v>
      </c>
    </row>
    <row r="32" spans="1:17" x14ac:dyDescent="0.25">
      <c r="A32" s="15" t="s">
        <v>16</v>
      </c>
      <c r="B32" s="15" t="s">
        <v>17</v>
      </c>
      <c r="C32" s="15" t="s">
        <v>443</v>
      </c>
      <c r="D32" s="15"/>
      <c r="E32" s="15" t="s">
        <v>444</v>
      </c>
      <c r="F32" s="15" t="s">
        <v>95</v>
      </c>
      <c r="G32" s="16">
        <v>40</v>
      </c>
      <c r="H32" s="16">
        <v>40</v>
      </c>
      <c r="I32" s="24">
        <f t="shared" si="0"/>
        <v>0</v>
      </c>
      <c r="J32" s="15" t="s">
        <v>21</v>
      </c>
      <c r="K32" s="15" t="s">
        <v>21</v>
      </c>
      <c r="L32" s="15" t="s">
        <v>302</v>
      </c>
      <c r="M32" s="15"/>
      <c r="N32" s="15"/>
      <c r="O32" s="15"/>
      <c r="P32" s="15"/>
      <c r="Q32" s="15">
        <v>1</v>
      </c>
    </row>
    <row r="33" spans="1:17" x14ac:dyDescent="0.25">
      <c r="A33" s="15"/>
      <c r="B33" s="15" t="s">
        <v>17</v>
      </c>
      <c r="C33" s="15" t="s">
        <v>299</v>
      </c>
      <c r="D33" s="15" t="s">
        <v>372</v>
      </c>
      <c r="E33" s="15" t="s">
        <v>301</v>
      </c>
      <c r="F33" s="16">
        <v>3</v>
      </c>
      <c r="G33" s="16">
        <v>775</v>
      </c>
      <c r="H33" s="16">
        <v>25</v>
      </c>
      <c r="I33" s="24">
        <f t="shared" si="0"/>
        <v>750</v>
      </c>
      <c r="J33" s="15" t="s">
        <v>135</v>
      </c>
      <c r="K33" s="15" t="s">
        <v>21</v>
      </c>
      <c r="L33" s="15" t="s">
        <v>302</v>
      </c>
      <c r="M33" s="20" t="s">
        <v>303</v>
      </c>
      <c r="N33" s="15"/>
      <c r="O33" s="15"/>
      <c r="P33" s="15"/>
      <c r="Q33" s="15">
        <v>1</v>
      </c>
    </row>
    <row r="34" spans="1:17" x14ac:dyDescent="0.25">
      <c r="A34" s="15"/>
      <c r="B34" s="15" t="s">
        <v>17</v>
      </c>
      <c r="C34" s="15" t="s">
        <v>299</v>
      </c>
      <c r="D34" s="15" t="s">
        <v>300</v>
      </c>
      <c r="E34" s="15" t="s">
        <v>301</v>
      </c>
      <c r="F34" s="16">
        <v>3</v>
      </c>
      <c r="G34" s="16">
        <v>790</v>
      </c>
      <c r="H34" s="16">
        <v>0</v>
      </c>
      <c r="I34" s="24">
        <f t="shared" si="0"/>
        <v>790</v>
      </c>
      <c r="J34" s="15" t="s">
        <v>135</v>
      </c>
      <c r="K34" s="15" t="s">
        <v>21</v>
      </c>
      <c r="L34" s="15" t="s">
        <v>302</v>
      </c>
      <c r="M34" s="20" t="s">
        <v>303</v>
      </c>
      <c r="N34" s="15"/>
      <c r="O34" s="15"/>
      <c r="P34" s="15"/>
      <c r="Q34" s="15">
        <v>1</v>
      </c>
    </row>
    <row r="35" spans="1:17" x14ac:dyDescent="0.25">
      <c r="A35" s="15"/>
      <c r="B35" s="15" t="s">
        <v>17</v>
      </c>
      <c r="C35" s="15" t="s">
        <v>308</v>
      </c>
      <c r="D35" s="15" t="s">
        <v>309</v>
      </c>
      <c r="E35" s="15" t="s">
        <v>310</v>
      </c>
      <c r="F35" s="16">
        <v>4</v>
      </c>
      <c r="G35" s="16">
        <v>535</v>
      </c>
      <c r="H35" s="16">
        <v>25</v>
      </c>
      <c r="I35" s="24">
        <f t="shared" si="0"/>
        <v>510</v>
      </c>
      <c r="J35" s="15" t="s">
        <v>135</v>
      </c>
      <c r="K35" s="15" t="s">
        <v>21</v>
      </c>
      <c r="L35" s="15" t="s">
        <v>302</v>
      </c>
      <c r="M35" s="15"/>
      <c r="N35" s="15"/>
      <c r="O35" s="15"/>
      <c r="P35" s="15"/>
      <c r="Q35" s="15">
        <v>1</v>
      </c>
    </row>
    <row r="36" spans="1:17" x14ac:dyDescent="0.25">
      <c r="A36" s="15"/>
      <c r="B36" s="15" t="s">
        <v>17</v>
      </c>
      <c r="C36" s="15" t="s">
        <v>314</v>
      </c>
      <c r="D36" s="15" t="s">
        <v>315</v>
      </c>
      <c r="E36" s="15" t="s">
        <v>449</v>
      </c>
      <c r="F36" s="16">
        <v>7</v>
      </c>
      <c r="G36" s="16">
        <v>820</v>
      </c>
      <c r="H36" s="16">
        <v>30</v>
      </c>
      <c r="I36" s="24">
        <f t="shared" si="0"/>
        <v>790</v>
      </c>
      <c r="J36" s="15" t="s">
        <v>135</v>
      </c>
      <c r="K36" s="15" t="s">
        <v>21</v>
      </c>
      <c r="L36" s="15" t="s">
        <v>302</v>
      </c>
      <c r="M36" s="15"/>
      <c r="N36" s="15"/>
      <c r="O36" s="15"/>
      <c r="P36" s="15"/>
      <c r="Q36" s="15">
        <v>1</v>
      </c>
    </row>
    <row r="37" spans="1:17" x14ac:dyDescent="0.25">
      <c r="A37" s="15"/>
      <c r="B37" s="15" t="s">
        <v>17</v>
      </c>
      <c r="C37" s="15" t="s">
        <v>319</v>
      </c>
      <c r="D37" s="15" t="s">
        <v>320</v>
      </c>
      <c r="E37" s="15" t="s">
        <v>321</v>
      </c>
      <c r="F37" s="16">
        <v>10</v>
      </c>
      <c r="G37" s="16">
        <v>2620</v>
      </c>
      <c r="H37" s="16">
        <v>30</v>
      </c>
      <c r="I37" s="24">
        <f t="shared" si="0"/>
        <v>2590</v>
      </c>
      <c r="J37" s="15" t="s">
        <v>135</v>
      </c>
      <c r="K37" s="15" t="s">
        <v>21</v>
      </c>
      <c r="L37" s="15" t="s">
        <v>302</v>
      </c>
      <c r="M37" s="20" t="s">
        <v>167</v>
      </c>
      <c r="N37" s="15"/>
      <c r="O37" s="15"/>
      <c r="P37" s="15"/>
      <c r="Q37" s="15">
        <v>1</v>
      </c>
    </row>
    <row r="38" spans="1:17" x14ac:dyDescent="0.25">
      <c r="A38" s="15"/>
      <c r="B38" s="15" t="s">
        <v>17</v>
      </c>
      <c r="C38" s="15" t="s">
        <v>325</v>
      </c>
      <c r="D38" s="15" t="s">
        <v>326</v>
      </c>
      <c r="E38" s="15" t="s">
        <v>327</v>
      </c>
      <c r="F38" s="15" t="s">
        <v>139</v>
      </c>
      <c r="G38" s="16">
        <v>705</v>
      </c>
      <c r="H38" s="16">
        <v>35</v>
      </c>
      <c r="I38" s="24">
        <f t="shared" si="0"/>
        <v>670</v>
      </c>
      <c r="J38" s="15" t="s">
        <v>135</v>
      </c>
      <c r="K38" s="15" t="s">
        <v>21</v>
      </c>
      <c r="L38" s="15" t="s">
        <v>302</v>
      </c>
      <c r="M38" s="15"/>
      <c r="N38" s="15"/>
      <c r="O38" s="15"/>
      <c r="P38" s="15"/>
      <c r="Q38" s="15">
        <v>1</v>
      </c>
    </row>
    <row r="39" spans="1:17" x14ac:dyDescent="0.25">
      <c r="A39" s="15"/>
      <c r="B39" s="15" t="s">
        <v>17</v>
      </c>
      <c r="C39" s="15" t="s">
        <v>328</v>
      </c>
      <c r="D39" s="15" t="s">
        <v>329</v>
      </c>
      <c r="E39" s="15" t="s">
        <v>330</v>
      </c>
      <c r="F39" s="15" t="s">
        <v>95</v>
      </c>
      <c r="G39" s="16">
        <v>2860</v>
      </c>
      <c r="H39" s="16">
        <v>30</v>
      </c>
      <c r="I39" s="24">
        <f t="shared" si="0"/>
        <v>2830</v>
      </c>
      <c r="J39" s="15" t="s">
        <v>135</v>
      </c>
      <c r="K39" s="15" t="s">
        <v>21</v>
      </c>
      <c r="L39" s="15" t="s">
        <v>302</v>
      </c>
      <c r="M39" s="20" t="s">
        <v>167</v>
      </c>
      <c r="N39" s="15"/>
      <c r="O39" s="15"/>
      <c r="P39" s="15"/>
      <c r="Q39" s="15">
        <v>1</v>
      </c>
    </row>
    <row r="40" spans="1:17" x14ac:dyDescent="0.25">
      <c r="A40" s="15"/>
      <c r="B40" s="15" t="s">
        <v>17</v>
      </c>
      <c r="C40" s="15" t="s">
        <v>337</v>
      </c>
      <c r="D40" s="15" t="s">
        <v>338</v>
      </c>
      <c r="E40" s="15" t="s">
        <v>339</v>
      </c>
      <c r="F40" s="16">
        <v>4</v>
      </c>
      <c r="G40" s="16">
        <v>1165</v>
      </c>
      <c r="H40" s="16">
        <v>25</v>
      </c>
      <c r="I40" s="24">
        <f t="shared" si="0"/>
        <v>1140</v>
      </c>
      <c r="J40" s="15" t="s">
        <v>135</v>
      </c>
      <c r="K40" s="15" t="s">
        <v>21</v>
      </c>
      <c r="L40" s="15" t="s">
        <v>302</v>
      </c>
      <c r="M40" s="15"/>
      <c r="N40" s="15"/>
      <c r="O40" s="15"/>
      <c r="P40" s="15"/>
      <c r="Q40" s="15">
        <v>1</v>
      </c>
    </row>
    <row r="41" spans="1:17" x14ac:dyDescent="0.25">
      <c r="A41" s="15"/>
      <c r="B41" s="15" t="s">
        <v>17</v>
      </c>
      <c r="C41" s="15" t="s">
        <v>340</v>
      </c>
      <c r="D41" s="15" t="s">
        <v>341</v>
      </c>
      <c r="E41" s="15" t="s">
        <v>342</v>
      </c>
      <c r="F41" s="16">
        <v>7</v>
      </c>
      <c r="G41" s="16">
        <v>1350</v>
      </c>
      <c r="H41" s="16">
        <v>30</v>
      </c>
      <c r="I41" s="24">
        <f t="shared" si="0"/>
        <v>1320</v>
      </c>
      <c r="J41" s="15" t="s">
        <v>135</v>
      </c>
      <c r="K41" s="15" t="s">
        <v>21</v>
      </c>
      <c r="L41" s="15" t="s">
        <v>302</v>
      </c>
      <c r="M41" s="15"/>
      <c r="N41" s="15"/>
      <c r="O41" s="15"/>
      <c r="P41" s="15"/>
      <c r="Q41" s="15">
        <v>1</v>
      </c>
    </row>
    <row r="42" spans="1:17" x14ac:dyDescent="0.25">
      <c r="A42" s="15"/>
      <c r="B42" s="15" t="s">
        <v>17</v>
      </c>
      <c r="C42" s="15" t="s">
        <v>346</v>
      </c>
      <c r="D42" s="15" t="s">
        <v>347</v>
      </c>
      <c r="E42" s="15" t="s">
        <v>348</v>
      </c>
      <c r="F42" s="15" t="s">
        <v>134</v>
      </c>
      <c r="G42" s="16">
        <v>675</v>
      </c>
      <c r="H42" s="16">
        <v>35</v>
      </c>
      <c r="I42" s="24">
        <f t="shared" si="0"/>
        <v>640</v>
      </c>
      <c r="J42" s="15" t="s">
        <v>135</v>
      </c>
      <c r="K42" s="15" t="s">
        <v>21</v>
      </c>
      <c r="L42" s="15" t="s">
        <v>302</v>
      </c>
      <c r="M42" s="15"/>
      <c r="N42" s="15"/>
      <c r="O42" s="15"/>
      <c r="P42" s="15"/>
      <c r="Q42" s="15">
        <v>1</v>
      </c>
    </row>
    <row r="43" spans="1:17" x14ac:dyDescent="0.25">
      <c r="A43" s="15"/>
      <c r="B43" s="15" t="s">
        <v>17</v>
      </c>
      <c r="C43" s="15" t="s">
        <v>365</v>
      </c>
      <c r="D43" s="15" t="s">
        <v>366</v>
      </c>
      <c r="E43" s="15" t="s">
        <v>367</v>
      </c>
      <c r="F43" s="15" t="s">
        <v>368</v>
      </c>
      <c r="G43" s="16">
        <v>660</v>
      </c>
      <c r="H43" s="16">
        <v>20</v>
      </c>
      <c r="I43" s="24">
        <f t="shared" si="0"/>
        <v>640</v>
      </c>
      <c r="J43" s="15" t="s">
        <v>135</v>
      </c>
      <c r="K43" s="15" t="s">
        <v>21</v>
      </c>
      <c r="L43" s="15" t="s">
        <v>302</v>
      </c>
      <c r="M43" s="15"/>
      <c r="N43" s="15"/>
      <c r="O43" s="15"/>
      <c r="P43" s="15"/>
      <c r="Q43" s="15">
        <v>1</v>
      </c>
    </row>
    <row r="44" spans="1:17" x14ac:dyDescent="0.25">
      <c r="A44" s="15"/>
      <c r="B44" s="15" t="s">
        <v>17</v>
      </c>
      <c r="C44" s="15" t="s">
        <v>369</v>
      </c>
      <c r="D44" s="15" t="s">
        <v>370</v>
      </c>
      <c r="E44" s="15" t="s">
        <v>371</v>
      </c>
      <c r="F44" s="16">
        <v>8</v>
      </c>
      <c r="G44" s="16">
        <v>1430</v>
      </c>
      <c r="H44" s="16">
        <v>30</v>
      </c>
      <c r="I44" s="24">
        <f t="shared" si="0"/>
        <v>1400</v>
      </c>
      <c r="J44" s="15" t="s">
        <v>135</v>
      </c>
      <c r="K44" s="15" t="s">
        <v>21</v>
      </c>
      <c r="L44" s="15" t="s">
        <v>302</v>
      </c>
      <c r="M44" s="15"/>
      <c r="N44" s="15"/>
      <c r="O44" s="15"/>
      <c r="P44" s="15"/>
      <c r="Q44" s="15">
        <v>1</v>
      </c>
    </row>
    <row r="45" spans="1:17" x14ac:dyDescent="0.25">
      <c r="A45" s="15"/>
      <c r="B45" s="15" t="s">
        <v>17</v>
      </c>
      <c r="C45" s="15" t="s">
        <v>131</v>
      </c>
      <c r="D45" s="15" t="s">
        <v>379</v>
      </c>
      <c r="E45" s="15" t="s">
        <v>380</v>
      </c>
      <c r="F45" s="15" t="s">
        <v>134</v>
      </c>
      <c r="G45" s="16">
        <v>855</v>
      </c>
      <c r="H45" s="16">
        <v>35</v>
      </c>
      <c r="I45" s="24">
        <f t="shared" si="0"/>
        <v>820</v>
      </c>
      <c r="J45" s="15" t="s">
        <v>135</v>
      </c>
      <c r="K45" s="15" t="s">
        <v>21</v>
      </c>
      <c r="L45" s="15" t="s">
        <v>302</v>
      </c>
      <c r="M45" s="15"/>
      <c r="N45" s="15"/>
      <c r="O45" s="15"/>
      <c r="P45" s="15"/>
      <c r="Q45" s="15">
        <v>1</v>
      </c>
    </row>
    <row r="46" spans="1:17" x14ac:dyDescent="0.25">
      <c r="A46" s="15"/>
      <c r="B46" s="15" t="s">
        <v>17</v>
      </c>
      <c r="C46" s="15" t="s">
        <v>392</v>
      </c>
      <c r="D46" s="15" t="s">
        <v>393</v>
      </c>
      <c r="E46" s="15" t="s">
        <v>394</v>
      </c>
      <c r="F46" s="16">
        <v>5</v>
      </c>
      <c r="G46" s="16">
        <v>2120</v>
      </c>
      <c r="H46" s="16">
        <v>30</v>
      </c>
      <c r="I46" s="24">
        <f t="shared" si="0"/>
        <v>2090</v>
      </c>
      <c r="J46" s="15" t="s">
        <v>135</v>
      </c>
      <c r="K46" s="15" t="s">
        <v>21</v>
      </c>
      <c r="L46" s="15" t="s">
        <v>302</v>
      </c>
      <c r="M46" s="20" t="s">
        <v>167</v>
      </c>
      <c r="N46" s="15"/>
      <c r="O46" s="15"/>
      <c r="P46" s="15"/>
      <c r="Q46" s="15">
        <v>1</v>
      </c>
    </row>
    <row r="47" spans="1:17" x14ac:dyDescent="0.25">
      <c r="A47" s="15"/>
      <c r="B47" s="15" t="s">
        <v>17</v>
      </c>
      <c r="C47" s="15" t="s">
        <v>395</v>
      </c>
      <c r="D47" s="15" t="s">
        <v>396</v>
      </c>
      <c r="E47" s="15" t="s">
        <v>397</v>
      </c>
      <c r="F47" s="16">
        <v>7</v>
      </c>
      <c r="G47" s="16">
        <v>0</v>
      </c>
      <c r="H47" s="16">
        <v>30</v>
      </c>
      <c r="I47" s="24">
        <f t="shared" si="0"/>
        <v>-30</v>
      </c>
      <c r="J47" s="15" t="s">
        <v>135</v>
      </c>
      <c r="K47" s="15" t="s">
        <v>21</v>
      </c>
      <c r="L47" s="15" t="s">
        <v>302</v>
      </c>
      <c r="M47" s="15"/>
      <c r="N47" s="15"/>
      <c r="O47" s="15"/>
      <c r="P47" s="15"/>
      <c r="Q47" s="15">
        <v>1</v>
      </c>
    </row>
    <row r="48" spans="1:17" x14ac:dyDescent="0.25">
      <c r="A48" s="15"/>
      <c r="B48" s="15" t="s">
        <v>17</v>
      </c>
      <c r="C48" s="15" t="s">
        <v>398</v>
      </c>
      <c r="D48" s="15" t="s">
        <v>399</v>
      </c>
      <c r="E48" s="15" t="s">
        <v>400</v>
      </c>
      <c r="F48" s="16">
        <v>1</v>
      </c>
      <c r="G48" s="16">
        <v>535</v>
      </c>
      <c r="H48" s="16">
        <v>25</v>
      </c>
      <c r="I48" s="24">
        <f t="shared" si="0"/>
        <v>510</v>
      </c>
      <c r="J48" s="15" t="s">
        <v>135</v>
      </c>
      <c r="K48" s="15" t="s">
        <v>21</v>
      </c>
      <c r="L48" s="15" t="s">
        <v>302</v>
      </c>
      <c r="M48" s="15"/>
      <c r="N48" s="15"/>
      <c r="O48" s="15"/>
      <c r="P48" s="15"/>
      <c r="Q48" s="15">
        <v>1</v>
      </c>
    </row>
    <row r="49" spans="1:17" x14ac:dyDescent="0.25">
      <c r="A49" s="15"/>
      <c r="B49" s="15" t="s">
        <v>17</v>
      </c>
      <c r="C49" s="15" t="s">
        <v>404</v>
      </c>
      <c r="D49" s="15" t="s">
        <v>405</v>
      </c>
      <c r="E49" s="15" t="s">
        <v>406</v>
      </c>
      <c r="F49" s="16">
        <v>1</v>
      </c>
      <c r="G49" s="16">
        <v>-180</v>
      </c>
      <c r="H49" s="16">
        <v>25</v>
      </c>
      <c r="I49" s="24">
        <f t="shared" si="0"/>
        <v>-205</v>
      </c>
      <c r="J49" s="15" t="s">
        <v>135</v>
      </c>
      <c r="K49" s="15" t="s">
        <v>21</v>
      </c>
      <c r="L49" s="15" t="s">
        <v>302</v>
      </c>
      <c r="M49" s="20" t="s">
        <v>448</v>
      </c>
      <c r="N49" s="15"/>
      <c r="O49" s="15"/>
      <c r="P49" s="15"/>
      <c r="Q49" s="15">
        <v>1</v>
      </c>
    </row>
    <row r="50" spans="1:17" x14ac:dyDescent="0.25">
      <c r="A50" s="15"/>
      <c r="B50" s="15" t="s">
        <v>17</v>
      </c>
      <c r="C50" s="15" t="s">
        <v>407</v>
      </c>
      <c r="D50" s="15" t="s">
        <v>408</v>
      </c>
      <c r="E50" s="15" t="s">
        <v>409</v>
      </c>
      <c r="F50" s="16">
        <v>4</v>
      </c>
      <c r="G50" s="16">
        <v>1355</v>
      </c>
      <c r="H50" s="16">
        <v>25</v>
      </c>
      <c r="I50" s="24">
        <f t="shared" si="0"/>
        <v>1330</v>
      </c>
      <c r="J50" s="15" t="s">
        <v>135</v>
      </c>
      <c r="K50" s="15" t="s">
        <v>21</v>
      </c>
      <c r="L50" s="15" t="s">
        <v>302</v>
      </c>
      <c r="M50" s="15"/>
      <c r="N50" s="15"/>
      <c r="O50" s="15"/>
      <c r="P50" s="15"/>
      <c r="Q50" s="15">
        <v>1</v>
      </c>
    </row>
    <row r="51" spans="1:17" x14ac:dyDescent="0.25">
      <c r="A51" s="15"/>
      <c r="B51" s="15" t="s">
        <v>17</v>
      </c>
      <c r="C51" s="15" t="s">
        <v>410</v>
      </c>
      <c r="D51" s="15" t="s">
        <v>411</v>
      </c>
      <c r="E51" s="15" t="s">
        <v>412</v>
      </c>
      <c r="F51" s="16">
        <v>7</v>
      </c>
      <c r="G51" s="16">
        <v>1890</v>
      </c>
      <c r="H51" s="16">
        <v>30</v>
      </c>
      <c r="I51" s="24">
        <f t="shared" si="0"/>
        <v>1860</v>
      </c>
      <c r="J51" s="15" t="s">
        <v>135</v>
      </c>
      <c r="K51" s="15" t="s">
        <v>21</v>
      </c>
      <c r="L51" s="15" t="s">
        <v>302</v>
      </c>
      <c r="M51" s="15"/>
      <c r="N51" s="15"/>
      <c r="O51" s="15"/>
      <c r="P51" s="15"/>
      <c r="Q51" s="15">
        <v>1</v>
      </c>
    </row>
    <row r="52" spans="1:17" s="19" customFormat="1" x14ac:dyDescent="0.25">
      <c r="A52" s="17"/>
      <c r="B52" s="17" t="s">
        <v>17</v>
      </c>
      <c r="C52" s="17" t="s">
        <v>171</v>
      </c>
      <c r="D52" s="17" t="s">
        <v>425</v>
      </c>
      <c r="E52" s="17" t="s">
        <v>173</v>
      </c>
      <c r="F52" s="18">
        <v>7</v>
      </c>
      <c r="G52" s="18">
        <v>30</v>
      </c>
      <c r="H52" s="18">
        <v>30</v>
      </c>
      <c r="I52" s="18">
        <f t="shared" si="0"/>
        <v>0</v>
      </c>
      <c r="J52" s="17" t="s">
        <v>135</v>
      </c>
      <c r="K52" s="17" t="s">
        <v>21</v>
      </c>
      <c r="L52" s="17" t="s">
        <v>302</v>
      </c>
      <c r="M52" s="17" t="s">
        <v>126</v>
      </c>
      <c r="N52" s="17"/>
      <c r="O52" s="17"/>
      <c r="P52" s="17"/>
      <c r="Q52" s="17">
        <v>1</v>
      </c>
    </row>
    <row r="53" spans="1:17" x14ac:dyDescent="0.25">
      <c r="A53" s="15"/>
      <c r="B53" s="15" t="s">
        <v>17</v>
      </c>
      <c r="C53" s="15" t="s">
        <v>426</v>
      </c>
      <c r="D53" s="15" t="s">
        <v>427</v>
      </c>
      <c r="E53" s="15" t="s">
        <v>428</v>
      </c>
      <c r="F53" s="16">
        <v>10</v>
      </c>
      <c r="G53" s="16">
        <v>25</v>
      </c>
      <c r="H53" s="16">
        <v>25</v>
      </c>
      <c r="I53" s="24">
        <f t="shared" si="0"/>
        <v>0</v>
      </c>
      <c r="J53" s="15" t="s">
        <v>135</v>
      </c>
      <c r="K53" s="15" t="s">
        <v>21</v>
      </c>
      <c r="L53" s="15" t="s">
        <v>302</v>
      </c>
      <c r="M53" s="15"/>
      <c r="N53" s="15"/>
      <c r="O53" s="15"/>
      <c r="P53" s="15"/>
      <c r="Q53" s="15">
        <v>1</v>
      </c>
    </row>
    <row r="54" spans="1:17" x14ac:dyDescent="0.25">
      <c r="A54" s="15" t="s">
        <v>16</v>
      </c>
      <c r="B54" s="15" t="s">
        <v>17</v>
      </c>
      <c r="C54" s="15" t="s">
        <v>437</v>
      </c>
      <c r="D54" s="15"/>
      <c r="E54" s="15" t="s">
        <v>438</v>
      </c>
      <c r="F54" s="15" t="s">
        <v>95</v>
      </c>
      <c r="G54" s="16">
        <v>750</v>
      </c>
      <c r="H54" s="16">
        <v>30</v>
      </c>
      <c r="I54" s="24">
        <f t="shared" si="0"/>
        <v>720</v>
      </c>
      <c r="J54" s="15" t="s">
        <v>135</v>
      </c>
      <c r="K54" s="15" t="s">
        <v>21</v>
      </c>
      <c r="L54" s="15" t="s">
        <v>302</v>
      </c>
      <c r="M54" s="15"/>
      <c r="N54" s="15"/>
      <c r="O54" s="15"/>
      <c r="P54" s="15"/>
      <c r="Q54" s="15">
        <v>1</v>
      </c>
    </row>
    <row r="55" spans="1:17" x14ac:dyDescent="0.25">
      <c r="A55" s="15" t="s">
        <v>16</v>
      </c>
      <c r="B55" s="15" t="s">
        <v>17</v>
      </c>
      <c r="C55" s="15" t="s">
        <v>445</v>
      </c>
      <c r="D55" s="15"/>
      <c r="E55" s="15" t="s">
        <v>446</v>
      </c>
      <c r="F55" s="16">
        <v>1</v>
      </c>
      <c r="G55" s="16">
        <v>0</v>
      </c>
      <c r="H55" s="16">
        <v>30</v>
      </c>
      <c r="I55" s="24">
        <f t="shared" si="0"/>
        <v>-30</v>
      </c>
      <c r="J55" s="15" t="s">
        <v>135</v>
      </c>
      <c r="K55" s="15" t="s">
        <v>21</v>
      </c>
      <c r="L55" s="15" t="s">
        <v>302</v>
      </c>
      <c r="M55" s="15"/>
      <c r="N55" s="15"/>
      <c r="O55" s="15"/>
      <c r="P55" s="15"/>
      <c r="Q55" s="15">
        <v>1</v>
      </c>
    </row>
    <row r="57" spans="1:17" x14ac:dyDescent="0.25">
      <c r="D57" s="1">
        <f>COUNTA(D3:D55)</f>
        <v>47</v>
      </c>
      <c r="G57" s="1">
        <f t="shared" ref="G57:Q57" si="1">SUBTOTAL(9,G3:G55)</f>
        <v>39405</v>
      </c>
      <c r="H57" s="1">
        <f t="shared" si="1"/>
        <v>1515</v>
      </c>
      <c r="I57" s="1">
        <f t="shared" si="1"/>
        <v>37890</v>
      </c>
      <c r="J57" s="1">
        <f t="shared" si="1"/>
        <v>0</v>
      </c>
      <c r="K57" s="1">
        <f t="shared" si="1"/>
        <v>0</v>
      </c>
      <c r="L57" s="1">
        <f t="shared" si="1"/>
        <v>0</v>
      </c>
      <c r="M57" s="1">
        <f t="shared" si="1"/>
        <v>0</v>
      </c>
      <c r="N57" s="1">
        <f t="shared" si="1"/>
        <v>0</v>
      </c>
      <c r="O57" s="1">
        <f t="shared" si="1"/>
        <v>0</v>
      </c>
      <c r="P57" s="1">
        <f t="shared" si="1"/>
        <v>0</v>
      </c>
      <c r="Q57" s="1">
        <f t="shared" si="1"/>
        <v>53</v>
      </c>
    </row>
    <row r="58" spans="1:17" x14ac:dyDescent="0.25">
      <c r="H58">
        <f>-9*17</f>
        <v>-153</v>
      </c>
    </row>
    <row r="59" spans="1:17" x14ac:dyDescent="0.25">
      <c r="A59" s="1" t="s">
        <v>17</v>
      </c>
      <c r="C59" s="27" t="s">
        <v>191</v>
      </c>
      <c r="D59" s="27"/>
      <c r="E59" s="4" t="s">
        <v>192</v>
      </c>
      <c r="H59">
        <f>-7*25</f>
        <v>-175</v>
      </c>
      <c r="K59" s="11" t="s">
        <v>135</v>
      </c>
      <c r="L59" s="11" t="s">
        <v>193</v>
      </c>
      <c r="M59" s="11" t="s">
        <v>192</v>
      </c>
      <c r="O59" s="4" t="s">
        <v>194</v>
      </c>
    </row>
    <row r="60" spans="1:17" x14ac:dyDescent="0.25">
      <c r="A60" t="s">
        <v>302</v>
      </c>
      <c r="B60" s="3" t="s">
        <v>195</v>
      </c>
      <c r="C60" s="28">
        <f>SUMIFS(I$3:I$55,B$3:B$55,A$59,L$3:L$55,A$60)</f>
        <v>37890</v>
      </c>
      <c r="D60" s="28"/>
      <c r="E60" s="3">
        <f>SUMIFS(Q$3:Q$55,B$3:B$55,A$59,L$3:L$55,A$60)</f>
        <v>53</v>
      </c>
      <c r="F60" t="s">
        <v>196</v>
      </c>
      <c r="H60">
        <f>-2*30</f>
        <v>-60</v>
      </c>
      <c r="K60" t="s">
        <v>197</v>
      </c>
      <c r="L60">
        <f>SUMIFS(G$3:G$55,J$3:J$55,K$59)</f>
        <v>21765</v>
      </c>
      <c r="M60">
        <f>SUMIFS(Q$3:Q$55,J$3:J$55,K$59)-INT(COUNTIFS(J$3:J$55,K$59,M$3:M$55,"*gộp*")/2)</f>
        <v>22</v>
      </c>
      <c r="O60" t="s">
        <v>135</v>
      </c>
      <c r="P60">
        <f>L65</f>
        <v>21245</v>
      </c>
    </row>
    <row r="61" spans="1:17" x14ac:dyDescent="0.25">
      <c r="B61" s="2" t="s">
        <v>199</v>
      </c>
      <c r="C61" s="29">
        <v>0</v>
      </c>
      <c r="D61" s="29"/>
      <c r="K61" t="s">
        <v>200</v>
      </c>
      <c r="L61">
        <f>-SUMIFS(H$3:H$55,J$3:J$55,K$59)+M61*5</f>
        <v>-520</v>
      </c>
      <c r="M61">
        <f>SUMIFS(Q$3:Q$55,J$3:J$55,K$59)-INT(COUNTIFS(J$3:J$55,K$59,M$3:M$55,"*gộp*")/2)</f>
        <v>22</v>
      </c>
      <c r="O61" t="s">
        <v>447</v>
      </c>
      <c r="P61">
        <f>L73</f>
        <v>11777</v>
      </c>
    </row>
    <row r="62" spans="1:17" x14ac:dyDescent="0.25">
      <c r="B62" s="2" t="s">
        <v>201</v>
      </c>
      <c r="C62" s="29">
        <f>-SUMIFS(I$3:I$55,B$3:B$55,A$59,P$3:P$55,"xx",N$3:N$55,"x")</f>
        <v>0</v>
      </c>
      <c r="D62" s="29"/>
      <c r="E62" s="2">
        <f>SUMIFS(Q$3:Q$55,B$3:B$55,A$59,P$3:P$55,"xx",N$3:N$55,"x")</f>
        <v>0</v>
      </c>
      <c r="K62" t="s">
        <v>202</v>
      </c>
      <c r="O62" t="s">
        <v>21</v>
      </c>
      <c r="P62">
        <f>L81</f>
        <v>5078</v>
      </c>
    </row>
    <row r="63" spans="1:17" x14ac:dyDescent="0.25">
      <c r="B63" s="4" t="s">
        <v>203</v>
      </c>
      <c r="C63" s="27">
        <f>SUBTOTAL(9,C60:C62)</f>
        <v>37890</v>
      </c>
      <c r="D63" s="27"/>
      <c r="E63">
        <f>E60</f>
        <v>53</v>
      </c>
      <c r="K63" s="2" t="s">
        <v>204</v>
      </c>
      <c r="O63" t="s">
        <v>207</v>
      </c>
      <c r="P63">
        <f>-C67</f>
        <v>-37890</v>
      </c>
    </row>
    <row r="64" spans="1:17" x14ac:dyDescent="0.25">
      <c r="B64" s="2" t="s">
        <v>205</v>
      </c>
      <c r="C64" s="25"/>
      <c r="D64" s="25"/>
      <c r="K64" s="2" t="s">
        <v>206</v>
      </c>
      <c r="O64" s="4" t="s">
        <v>209</v>
      </c>
      <c r="P64" s="4">
        <f>SUBTOTAL(9,P60:P63)</f>
        <v>210</v>
      </c>
    </row>
    <row r="65" spans="2:13" x14ac:dyDescent="0.25">
      <c r="B65" s="12" t="s">
        <v>208</v>
      </c>
      <c r="C65" s="25"/>
      <c r="D65" s="25"/>
      <c r="L65" s="13">
        <f>SUBTOTAL(9,L60:L64)</f>
        <v>21245</v>
      </c>
      <c r="M65" s="13">
        <f>M60</f>
        <v>22</v>
      </c>
    </row>
    <row r="67" spans="2:13" x14ac:dyDescent="0.25">
      <c r="B67" s="1" t="s">
        <v>210</v>
      </c>
      <c r="C67" s="26">
        <f>C63+C64+C65</f>
        <v>37890</v>
      </c>
      <c r="D67" s="26"/>
      <c r="E67" s="1" t="s">
        <v>211</v>
      </c>
      <c r="K67" s="11" t="s">
        <v>307</v>
      </c>
      <c r="L67" s="11" t="s">
        <v>193</v>
      </c>
      <c r="M67" s="11" t="s">
        <v>192</v>
      </c>
    </row>
    <row r="68" spans="2:13" x14ac:dyDescent="0.25">
      <c r="K68" t="s">
        <v>197</v>
      </c>
      <c r="L68">
        <f>SUMIFS(G$3:G$55,J$3:J$55,K$67)</f>
        <v>12165</v>
      </c>
      <c r="M68">
        <f>SUMIFS(Q$3:Q$55,J$3:J$55,K$67)-INT(COUNTIFS(J$3:J$55,K$67,M$3:M$55,"*gộp*")/2)</f>
        <v>18</v>
      </c>
    </row>
    <row r="69" spans="2:13" x14ac:dyDescent="0.25">
      <c r="K69" t="s">
        <v>200</v>
      </c>
      <c r="L69">
        <f>SUM(H58:H60)</f>
        <v>-388</v>
      </c>
      <c r="M69">
        <f>SUMIFS(Q$3:Q$55,J$3:J$55,K$67)</f>
        <v>18</v>
      </c>
    </row>
    <row r="70" spans="2:13" x14ac:dyDescent="0.25">
      <c r="K70" t="s">
        <v>202</v>
      </c>
    </row>
    <row r="71" spans="2:13" x14ac:dyDescent="0.25">
      <c r="K71" s="2" t="s">
        <v>204</v>
      </c>
    </row>
    <row r="72" spans="2:13" x14ac:dyDescent="0.25">
      <c r="K72" s="2" t="s">
        <v>206</v>
      </c>
    </row>
    <row r="73" spans="2:13" x14ac:dyDescent="0.25">
      <c r="L73" s="13">
        <f>SUBTOTAL(9,L68:L72)</f>
        <v>11777</v>
      </c>
      <c r="M73" s="13">
        <f>M68</f>
        <v>18</v>
      </c>
    </row>
    <row r="75" spans="2:13" x14ac:dyDescent="0.25">
      <c r="K75" s="11" t="s">
        <v>21</v>
      </c>
      <c r="L75" s="11" t="s">
        <v>193</v>
      </c>
      <c r="M75" s="11" t="s">
        <v>192</v>
      </c>
    </row>
    <row r="76" spans="2:13" x14ac:dyDescent="0.25">
      <c r="K76" t="s">
        <v>197</v>
      </c>
      <c r="L76">
        <f>SUMIFS(G$3:G$55,J$3:J$55,K$75)</f>
        <v>5475</v>
      </c>
      <c r="M76">
        <f>SUMIFS(Q$3:Q$55,J$3:J$55,K$75)-INT(COUNTIFS(J$3:J$55,K$75,M$3:M$55,"*gộp*")/2)</f>
        <v>11</v>
      </c>
    </row>
    <row r="77" spans="2:13" x14ac:dyDescent="0.25">
      <c r="K77" t="s">
        <v>200</v>
      </c>
      <c r="L77">
        <f>-SUMIFS(H$3:H$55,J$3:J$55,K$75)+M77*5</f>
        <v>-295</v>
      </c>
      <c r="M77">
        <f>SUMIFS(Q$3:Q$55,J$3:J$55,K$75)-INT(COUNTIFS(J$3:J$55,K$75,M$3:M$55,"*gộp*")/2)</f>
        <v>11</v>
      </c>
    </row>
    <row r="78" spans="2:13" x14ac:dyDescent="0.25">
      <c r="K78" t="s">
        <v>202</v>
      </c>
      <c r="L78">
        <f>-M78*2</f>
        <v>-102</v>
      </c>
      <c r="M78">
        <f>E63-(COUNTIFS(M$3:M$55,"*gộp*")/2)-COUNTIFS(M$3:M$55,"*đơn trả*")-COUNTIFS(M$3:M$55,"*hàng tỉnh*")</f>
        <v>51</v>
      </c>
    </row>
    <row r="79" spans="2:13" x14ac:dyDescent="0.25">
      <c r="K79" s="2" t="s">
        <v>204</v>
      </c>
    </row>
    <row r="80" spans="2:13" x14ac:dyDescent="0.25">
      <c r="K80" s="2" t="s">
        <v>206</v>
      </c>
    </row>
    <row r="81" spans="12:13" x14ac:dyDescent="0.25">
      <c r="L81" s="13">
        <f>SUBTOTAL(9,L76:L80)</f>
        <v>5078</v>
      </c>
      <c r="M81" s="13">
        <f>M76</f>
        <v>11</v>
      </c>
    </row>
  </sheetData>
  <autoFilter ref="A2:P55" xr:uid="{00000000-0009-0000-0000-000003000000}">
    <sortState xmlns:xlrd2="http://schemas.microsoft.com/office/spreadsheetml/2017/richdata2" ref="A3:P55">
      <sortCondition ref="J2:J55"/>
    </sortState>
  </autoFilter>
  <mergeCells count="8">
    <mergeCell ref="C64:D64"/>
    <mergeCell ref="C65:D65"/>
    <mergeCell ref="C67:D67"/>
    <mergeCell ref="C59:D59"/>
    <mergeCell ref="C60:D60"/>
    <mergeCell ref="C61:D61"/>
    <mergeCell ref="C62:D62"/>
    <mergeCell ref="C63:D63"/>
  </mergeCells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2"/>
  <sheetViews>
    <sheetView workbookViewId="0">
      <selection activeCell="B3" sqref="B3:D28"/>
    </sheetView>
  </sheetViews>
  <sheetFormatPr defaultColWidth="9.140625" defaultRowHeight="15" x14ac:dyDescent="0.25"/>
  <cols>
    <col min="1" max="1" width="9.42578125" style="5" bestFit="1" customWidth="1"/>
    <col min="2" max="2" width="10.85546875" style="5" bestFit="1" customWidth="1"/>
    <col min="3" max="3" width="9.42578125" style="5" bestFit="1" customWidth="1"/>
    <col min="4" max="4" width="17.5703125" style="5" bestFit="1" customWidth="1"/>
    <col min="5" max="5" width="15.85546875" style="5" bestFit="1" customWidth="1"/>
    <col min="6" max="6" width="9.140625" style="5" customWidth="1"/>
    <col min="7" max="16384" width="9.140625" style="5"/>
  </cols>
  <sheetData>
    <row r="1" spans="1:5" x14ac:dyDescent="0.25">
      <c r="A1" s="5" t="s">
        <v>289</v>
      </c>
      <c r="B1" s="5">
        <v>2026</v>
      </c>
    </row>
    <row r="2" spans="1:5" x14ac:dyDescent="0.25">
      <c r="A2" s="6" t="s">
        <v>290</v>
      </c>
      <c r="B2" s="6" t="s">
        <v>291</v>
      </c>
      <c r="C2" s="6" t="s">
        <v>292</v>
      </c>
      <c r="D2" s="6" t="s">
        <v>293</v>
      </c>
      <c r="E2" s="6" t="s">
        <v>294</v>
      </c>
    </row>
    <row r="3" spans="1:5" x14ac:dyDescent="0.25">
      <c r="A3" s="7">
        <v>46143</v>
      </c>
      <c r="B3" s="8">
        <f ca="1">IFERROR(COUNTIF(INDIRECT("'"&amp;TEXT(A3,"dd-mm")&amp;"'!L3:L200"),TEXT(A3,"dd-mm")&amp;"-"&amp;B$1),0)</f>
        <v>54</v>
      </c>
      <c r="C3" s="8">
        <f ca="1">IFERROR(COUNTIF(INDIRECT("'"&amp;TEXT(A3,"DD-MM")&amp;"'!M3:M200"),"*gộp*")/2,0)</f>
        <v>0</v>
      </c>
      <c r="D3" s="8" cm="1">
        <f t="array" ref="D3" ca="1">IFERROR(SUM(COUNTIF(INDIRECT("'"&amp;TEXT(A3,"DD-MM")&amp;"'!M3:M200"),{"*đơn trả*","*hàng tỉnh*"})),0)</f>
        <v>0</v>
      </c>
      <c r="E3" s="8">
        <f t="shared" ref="E3:E28" ca="1" si="0">B3-C3-D3</f>
        <v>54</v>
      </c>
    </row>
    <row r="4" spans="1:5" x14ac:dyDescent="0.25">
      <c r="A4" s="7">
        <v>46144</v>
      </c>
      <c r="B4" s="8">
        <f t="shared" ref="B4:B28" ca="1" si="1">IFERROR(COUNTIF(INDIRECT("'"&amp;TEXT(A4,"dd-mm")&amp;"'!L3:L200"),TEXT(A4,"dd-mm")&amp;"-"&amp;B$1),0)</f>
        <v>0</v>
      </c>
      <c r="C4" s="8">
        <f t="shared" ref="C4:C28" ca="1" si="2">IFERROR(COUNTIF(INDIRECT("'"&amp;TEXT(A4,"DD-MM")&amp;"'!M3:M200"),"*gộp*")/2,0)</f>
        <v>0</v>
      </c>
      <c r="D4" s="8" cm="1">
        <f t="array" aca="1" ref="D4" ca="1">IFERROR(SUM(COUNTIF(INDIRECT("'"&amp;TEXT(A4,"DD-MM")&amp;"'!M3:M200"),{"*đơn trả*","*hàng tỉnh*"})),0)</f>
        <v>0</v>
      </c>
      <c r="E4" s="8">
        <f t="shared" ca="1" si="0"/>
        <v>0</v>
      </c>
    </row>
    <row r="5" spans="1:5" x14ac:dyDescent="0.25">
      <c r="A5" s="7">
        <v>46146</v>
      </c>
      <c r="B5" s="8">
        <f t="shared" ca="1" si="1"/>
        <v>20</v>
      </c>
      <c r="C5" s="8">
        <f t="shared" ca="1" si="2"/>
        <v>0</v>
      </c>
      <c r="D5" s="8" cm="1">
        <f t="array" aca="1" ref="D5" ca="1">IFERROR(SUM(COUNTIF(INDIRECT("'"&amp;TEXT(A5,"DD-MM")&amp;"'!M3:M200"),{"*đơn trả*","*hàng tỉnh*"})),0)</f>
        <v>4</v>
      </c>
      <c r="E5" s="8">
        <f t="shared" ca="1" si="0"/>
        <v>16</v>
      </c>
    </row>
    <row r="6" spans="1:5" x14ac:dyDescent="0.25">
      <c r="A6" s="7">
        <v>46147</v>
      </c>
      <c r="B6" s="8">
        <f t="shared" ca="1" si="1"/>
        <v>53</v>
      </c>
      <c r="C6" s="8">
        <f t="shared" ca="1" si="2"/>
        <v>2</v>
      </c>
      <c r="D6" s="8" cm="1">
        <f t="array" aca="1" ref="D6" ca="1">IFERROR(SUM(COUNTIF(INDIRECT("'"&amp;TEXT(A6,"DD-MM")&amp;"'!M3:M200"),{"*đơn trả*","*hàng tỉnh*"})),0)</f>
        <v>0</v>
      </c>
      <c r="E6" s="8">
        <f t="shared" ca="1" si="0"/>
        <v>51</v>
      </c>
    </row>
    <row r="7" spans="1:5" x14ac:dyDescent="0.25">
      <c r="A7" s="7">
        <v>46148</v>
      </c>
      <c r="B7" s="8">
        <f t="shared" ca="1" si="1"/>
        <v>0</v>
      </c>
      <c r="C7" s="8">
        <f t="shared" ca="1" si="2"/>
        <v>0</v>
      </c>
      <c r="D7" s="8" cm="1">
        <f t="array" aca="1" ref="D7" ca="1">IFERROR(SUM(COUNTIF(INDIRECT("'"&amp;TEXT(A7,"DD-MM")&amp;"'!M3:M200"),{"*đơn trả*","*hàng tỉnh*"})),0)</f>
        <v>0</v>
      </c>
      <c r="E7" s="8">
        <f t="shared" ca="1" si="0"/>
        <v>0</v>
      </c>
    </row>
    <row r="8" spans="1:5" x14ac:dyDescent="0.25">
      <c r="A8" s="7">
        <v>46149</v>
      </c>
      <c r="B8" s="8">
        <f t="shared" ca="1" si="1"/>
        <v>0</v>
      </c>
      <c r="C8" s="8">
        <f t="shared" ca="1" si="2"/>
        <v>0</v>
      </c>
      <c r="D8" s="8" cm="1">
        <f t="array" aca="1" ref="D8" ca="1">IFERROR(SUM(COUNTIF(INDIRECT("'"&amp;TEXT(A8,"DD-MM")&amp;"'!M3:M200"),{"*đơn trả*","*hàng tỉnh*"})),0)</f>
        <v>0</v>
      </c>
      <c r="E8" s="8">
        <f t="shared" ca="1" si="0"/>
        <v>0</v>
      </c>
    </row>
    <row r="9" spans="1:5" x14ac:dyDescent="0.25">
      <c r="A9" s="7">
        <v>46150</v>
      </c>
      <c r="B9" s="8">
        <f t="shared" ca="1" si="1"/>
        <v>0</v>
      </c>
      <c r="C9" s="8">
        <f t="shared" ca="1" si="2"/>
        <v>0</v>
      </c>
      <c r="D9" s="8" cm="1">
        <f t="array" aca="1" ref="D9" ca="1">IFERROR(SUM(COUNTIF(INDIRECT("'"&amp;TEXT(A9,"DD-MM")&amp;"'!M3:M200"),{"*đơn trả*","*hàng tỉnh*"})),0)</f>
        <v>0</v>
      </c>
      <c r="E9" s="8">
        <f t="shared" ca="1" si="0"/>
        <v>0</v>
      </c>
    </row>
    <row r="10" spans="1:5" x14ac:dyDescent="0.25">
      <c r="A10" s="7">
        <v>46151</v>
      </c>
      <c r="B10" s="8">
        <f t="shared" ca="1" si="1"/>
        <v>0</v>
      </c>
      <c r="C10" s="8">
        <f t="shared" ca="1" si="2"/>
        <v>0</v>
      </c>
      <c r="D10" s="8" cm="1">
        <f t="array" aca="1" ref="D10" ca="1">IFERROR(SUM(COUNTIF(INDIRECT("'"&amp;TEXT(A10,"DD-MM")&amp;"'!M3:M200"),{"*đơn trả*","*hàng tỉnh*"})),0)</f>
        <v>0</v>
      </c>
      <c r="E10" s="8">
        <f t="shared" ca="1" si="0"/>
        <v>0</v>
      </c>
    </row>
    <row r="11" spans="1:5" x14ac:dyDescent="0.25">
      <c r="A11" s="7">
        <v>46153</v>
      </c>
      <c r="B11" s="8">
        <f t="shared" ca="1" si="1"/>
        <v>0</v>
      </c>
      <c r="C11" s="8">
        <f t="shared" ca="1" si="2"/>
        <v>0</v>
      </c>
      <c r="D11" s="8" cm="1">
        <f t="array" aca="1" ref="D11" ca="1">IFERROR(SUM(COUNTIF(INDIRECT("'"&amp;TEXT(A11,"DD-MM")&amp;"'!M3:M200"),{"*đơn trả*","*hàng tỉnh*"})),0)</f>
        <v>0</v>
      </c>
      <c r="E11" s="8">
        <f t="shared" ca="1" si="0"/>
        <v>0</v>
      </c>
    </row>
    <row r="12" spans="1:5" x14ac:dyDescent="0.25">
      <c r="A12" s="7">
        <v>46154</v>
      </c>
      <c r="B12" s="8">
        <f t="shared" ca="1" si="1"/>
        <v>0</v>
      </c>
      <c r="C12" s="8">
        <f t="shared" ca="1" si="2"/>
        <v>0</v>
      </c>
      <c r="D12" s="8" cm="1">
        <f t="array" aca="1" ref="D12" ca="1">IFERROR(SUM(COUNTIF(INDIRECT("'"&amp;TEXT(A12,"DD-MM")&amp;"'!M3:M200"),{"*đơn trả*","*hàng tỉnh*"})),0)</f>
        <v>0</v>
      </c>
      <c r="E12" s="8">
        <f t="shared" ca="1" si="0"/>
        <v>0</v>
      </c>
    </row>
    <row r="13" spans="1:5" x14ac:dyDescent="0.25">
      <c r="A13" s="7">
        <v>46155</v>
      </c>
      <c r="B13" s="8">
        <f t="shared" ca="1" si="1"/>
        <v>0</v>
      </c>
      <c r="C13" s="8">
        <f t="shared" ca="1" si="2"/>
        <v>0</v>
      </c>
      <c r="D13" s="8" cm="1">
        <f t="array" aca="1" ref="D13" ca="1">IFERROR(SUM(COUNTIF(INDIRECT("'"&amp;TEXT(A13,"DD-MM")&amp;"'!M3:M200"),{"*đơn trả*","*hàng tỉnh*"})),0)</f>
        <v>0</v>
      </c>
      <c r="E13" s="8">
        <f t="shared" ca="1" si="0"/>
        <v>0</v>
      </c>
    </row>
    <row r="14" spans="1:5" x14ac:dyDescent="0.25">
      <c r="A14" s="7">
        <v>46156</v>
      </c>
      <c r="B14" s="8">
        <f t="shared" ca="1" si="1"/>
        <v>0</v>
      </c>
      <c r="C14" s="8">
        <f t="shared" ca="1" si="2"/>
        <v>0</v>
      </c>
      <c r="D14" s="8" cm="1">
        <f t="array" aca="1" ref="D14" ca="1">IFERROR(SUM(COUNTIF(INDIRECT("'"&amp;TEXT(A14,"DD-MM")&amp;"'!M3:M200"),{"*đơn trả*","*hàng tỉnh*"})),0)</f>
        <v>0</v>
      </c>
      <c r="E14" s="8">
        <f t="shared" ca="1" si="0"/>
        <v>0</v>
      </c>
    </row>
    <row r="15" spans="1:5" x14ac:dyDescent="0.25">
      <c r="A15" s="7">
        <v>46157</v>
      </c>
      <c r="B15" s="8">
        <f t="shared" ca="1" si="1"/>
        <v>0</v>
      </c>
      <c r="C15" s="8">
        <f t="shared" ca="1" si="2"/>
        <v>0</v>
      </c>
      <c r="D15" s="8" cm="1">
        <f t="array" aca="1" ref="D15" ca="1">IFERROR(SUM(COUNTIF(INDIRECT("'"&amp;TEXT(A15,"DD-MM")&amp;"'!M3:M200"),{"*đơn trả*","*hàng tỉnh*"})),0)</f>
        <v>0</v>
      </c>
      <c r="E15" s="8">
        <f t="shared" ca="1" si="0"/>
        <v>0</v>
      </c>
    </row>
    <row r="16" spans="1:5" x14ac:dyDescent="0.25">
      <c r="A16" s="7">
        <v>46158</v>
      </c>
      <c r="B16" s="8">
        <f t="shared" ca="1" si="1"/>
        <v>0</v>
      </c>
      <c r="C16" s="8">
        <f t="shared" ca="1" si="2"/>
        <v>0</v>
      </c>
      <c r="D16" s="8" cm="1">
        <f t="array" aca="1" ref="D16" ca="1">IFERROR(SUM(COUNTIF(INDIRECT("'"&amp;TEXT(A16,"DD-MM")&amp;"'!M3:M200"),{"*đơn trả*","*hàng tỉnh*"})),0)</f>
        <v>0</v>
      </c>
      <c r="E16" s="8">
        <f t="shared" ca="1" si="0"/>
        <v>0</v>
      </c>
    </row>
    <row r="17" spans="1:5" x14ac:dyDescent="0.25">
      <c r="A17" s="7">
        <v>46160</v>
      </c>
      <c r="B17" s="8">
        <f t="shared" ca="1" si="1"/>
        <v>0</v>
      </c>
      <c r="C17" s="8">
        <f t="shared" ca="1" si="2"/>
        <v>0</v>
      </c>
      <c r="D17" s="8" cm="1">
        <f t="array" aca="1" ref="D17" ca="1">IFERROR(SUM(COUNTIF(INDIRECT("'"&amp;TEXT(A17,"DD-MM")&amp;"'!M3:M200"),{"*đơn trả*","*hàng tỉnh*"})),0)</f>
        <v>0</v>
      </c>
      <c r="E17" s="8">
        <f t="shared" ca="1" si="0"/>
        <v>0</v>
      </c>
    </row>
    <row r="18" spans="1:5" x14ac:dyDescent="0.25">
      <c r="A18" s="7">
        <v>46161</v>
      </c>
      <c r="B18" s="8">
        <f t="shared" ca="1" si="1"/>
        <v>0</v>
      </c>
      <c r="C18" s="8">
        <f t="shared" ca="1" si="2"/>
        <v>0</v>
      </c>
      <c r="D18" s="8" cm="1">
        <f t="array" aca="1" ref="D18" ca="1">IFERROR(SUM(COUNTIF(INDIRECT("'"&amp;TEXT(A18,"DD-MM")&amp;"'!M3:M200"),{"*đơn trả*","*hàng tỉnh*"})),0)</f>
        <v>0</v>
      </c>
      <c r="E18" s="8">
        <f t="shared" ca="1" si="0"/>
        <v>0</v>
      </c>
    </row>
    <row r="19" spans="1:5" x14ac:dyDescent="0.25">
      <c r="A19" s="7">
        <v>46162</v>
      </c>
      <c r="B19" s="8">
        <f t="shared" ca="1" si="1"/>
        <v>0</v>
      </c>
      <c r="C19" s="8">
        <f t="shared" ca="1" si="2"/>
        <v>0</v>
      </c>
      <c r="D19" s="8" cm="1">
        <f t="array" aca="1" ref="D19" ca="1">IFERROR(SUM(COUNTIF(INDIRECT("'"&amp;TEXT(A19,"DD-MM")&amp;"'!M3:M200"),{"*đơn trả*","*hàng tỉnh*"})),0)</f>
        <v>0</v>
      </c>
      <c r="E19" s="8">
        <f t="shared" ca="1" si="0"/>
        <v>0</v>
      </c>
    </row>
    <row r="20" spans="1:5" x14ac:dyDescent="0.25">
      <c r="A20" s="7">
        <v>46163</v>
      </c>
      <c r="B20" s="8">
        <f t="shared" ca="1" si="1"/>
        <v>0</v>
      </c>
      <c r="C20" s="8">
        <f t="shared" ca="1" si="2"/>
        <v>0</v>
      </c>
      <c r="D20" s="8" cm="1">
        <f t="array" aca="1" ref="D20" ca="1">IFERROR(SUM(COUNTIF(INDIRECT("'"&amp;TEXT(A20,"DD-MM")&amp;"'!M3:M200"),{"*đơn trả*","*hàng tỉnh*"})),0)</f>
        <v>0</v>
      </c>
      <c r="E20" s="8">
        <f t="shared" ca="1" si="0"/>
        <v>0</v>
      </c>
    </row>
    <row r="21" spans="1:5" x14ac:dyDescent="0.25">
      <c r="A21" s="7">
        <v>46164</v>
      </c>
      <c r="B21" s="8">
        <f t="shared" ca="1" si="1"/>
        <v>0</v>
      </c>
      <c r="C21" s="8">
        <f t="shared" ca="1" si="2"/>
        <v>0</v>
      </c>
      <c r="D21" s="8" cm="1">
        <f t="array" aca="1" ref="D21" ca="1">IFERROR(SUM(COUNTIF(INDIRECT("'"&amp;TEXT(A21,"DD-MM")&amp;"'!M3:M200"),{"*đơn trả*","*hàng tỉnh*"})),0)</f>
        <v>0</v>
      </c>
      <c r="E21" s="8">
        <f t="shared" ca="1" si="0"/>
        <v>0</v>
      </c>
    </row>
    <row r="22" spans="1:5" x14ac:dyDescent="0.25">
      <c r="A22" s="7">
        <v>46165</v>
      </c>
      <c r="B22" s="8">
        <f t="shared" ca="1" si="1"/>
        <v>0</v>
      </c>
      <c r="C22" s="8">
        <f t="shared" ca="1" si="2"/>
        <v>0</v>
      </c>
      <c r="D22" s="8" cm="1">
        <f t="array" aca="1" ref="D22" ca="1">IFERROR(SUM(COUNTIF(INDIRECT("'"&amp;TEXT(A22,"DD-MM")&amp;"'!M3:M200"),{"*đơn trả*","*hàng tỉnh*"})),0)</f>
        <v>0</v>
      </c>
      <c r="E22" s="8">
        <f t="shared" ca="1" si="0"/>
        <v>0</v>
      </c>
    </row>
    <row r="23" spans="1:5" x14ac:dyDescent="0.25">
      <c r="A23" s="7">
        <v>46167</v>
      </c>
      <c r="B23" s="8">
        <f t="shared" ca="1" si="1"/>
        <v>0</v>
      </c>
      <c r="C23" s="8">
        <f t="shared" ca="1" si="2"/>
        <v>0</v>
      </c>
      <c r="D23" s="8" cm="1">
        <f t="array" aca="1" ref="D23" ca="1">IFERROR(SUM(COUNTIF(INDIRECT("'"&amp;TEXT(A23,"DD-MM")&amp;"'!M3:M200"),{"*đơn trả*","*hàng tỉnh*"})),0)</f>
        <v>0</v>
      </c>
      <c r="E23" s="8">
        <f t="shared" ca="1" si="0"/>
        <v>0</v>
      </c>
    </row>
    <row r="24" spans="1:5" x14ac:dyDescent="0.25">
      <c r="A24" s="7">
        <v>46168</v>
      </c>
      <c r="B24" s="8">
        <f t="shared" ca="1" si="1"/>
        <v>0</v>
      </c>
      <c r="C24" s="8">
        <f t="shared" ca="1" si="2"/>
        <v>0</v>
      </c>
      <c r="D24" s="8" cm="1">
        <f t="array" aca="1" ref="D24" ca="1">IFERROR(SUM(COUNTIF(INDIRECT("'"&amp;TEXT(A24,"DD-MM")&amp;"'!M3:M200"),{"*đơn trả*","*hàng tỉnh*"})),0)</f>
        <v>0</v>
      </c>
      <c r="E24" s="8">
        <f t="shared" ca="1" si="0"/>
        <v>0</v>
      </c>
    </row>
    <row r="25" spans="1:5" x14ac:dyDescent="0.25">
      <c r="A25" s="7">
        <v>46169</v>
      </c>
      <c r="B25" s="8">
        <f t="shared" ca="1" si="1"/>
        <v>0</v>
      </c>
      <c r="C25" s="8">
        <f t="shared" ca="1" si="2"/>
        <v>0</v>
      </c>
      <c r="D25" s="8" cm="1">
        <f t="array" aca="1" ref="D25" ca="1">IFERROR(SUM(COUNTIF(INDIRECT("'"&amp;TEXT(A25,"DD-MM")&amp;"'!M3:M200"),{"*đơn trả*","*hàng tỉnh*"})),0)</f>
        <v>0</v>
      </c>
      <c r="E25" s="8">
        <f t="shared" ca="1" si="0"/>
        <v>0</v>
      </c>
    </row>
    <row r="26" spans="1:5" x14ac:dyDescent="0.25">
      <c r="A26" s="7">
        <v>46170</v>
      </c>
      <c r="B26" s="8">
        <f t="shared" ca="1" si="1"/>
        <v>0</v>
      </c>
      <c r="C26" s="8">
        <f t="shared" ca="1" si="2"/>
        <v>0</v>
      </c>
      <c r="D26" s="8" cm="1">
        <f t="array" aca="1" ref="D26" ca="1">IFERROR(SUM(COUNTIF(INDIRECT("'"&amp;TEXT(A26,"DD-MM")&amp;"'!M3:M200"),{"*đơn trả*","*hàng tỉnh*"})),0)</f>
        <v>0</v>
      </c>
      <c r="E26" s="8">
        <f t="shared" ca="1" si="0"/>
        <v>0</v>
      </c>
    </row>
    <row r="27" spans="1:5" x14ac:dyDescent="0.25">
      <c r="A27" s="7">
        <v>46171</v>
      </c>
      <c r="B27" s="8">
        <f t="shared" ca="1" si="1"/>
        <v>0</v>
      </c>
      <c r="C27" s="8">
        <f t="shared" ca="1" si="2"/>
        <v>0</v>
      </c>
      <c r="D27" s="8" cm="1">
        <f t="array" aca="1" ref="D27" ca="1">IFERROR(SUM(COUNTIF(INDIRECT("'"&amp;TEXT(A27,"DD-MM")&amp;"'!M3:M200"),{"*đơn trả*","*hàng tỉnh*"})),0)</f>
        <v>0</v>
      </c>
      <c r="E27" s="8">
        <f t="shared" ca="1" si="0"/>
        <v>0</v>
      </c>
    </row>
    <row r="28" spans="1:5" x14ac:dyDescent="0.25">
      <c r="A28" s="7">
        <v>46172</v>
      </c>
      <c r="B28" s="8">
        <f t="shared" ca="1" si="1"/>
        <v>0</v>
      </c>
      <c r="C28" s="8">
        <f t="shared" ca="1" si="2"/>
        <v>0</v>
      </c>
      <c r="D28" s="8" cm="1">
        <f t="array" aca="1" ref="D28" ca="1">IFERROR(SUM(COUNTIF(INDIRECT("'"&amp;TEXT(A28,"DD-MM")&amp;"'!M3:M200"),{"*đơn trả*","*hàng tỉnh*"})),0)</f>
        <v>0</v>
      </c>
      <c r="E28" s="8">
        <f t="shared" ca="1" si="0"/>
        <v>0</v>
      </c>
    </row>
    <row r="29" spans="1:5" x14ac:dyDescent="0.25">
      <c r="D29" s="9" t="s">
        <v>295</v>
      </c>
      <c r="E29" s="9">
        <f ca="1">SUBTOTAL(9,E4:E28)</f>
        <v>67</v>
      </c>
    </row>
    <row r="30" spans="1:5" x14ac:dyDescent="0.25">
      <c r="D30" s="9" t="s">
        <v>296</v>
      </c>
      <c r="E30" s="9" cm="1">
        <f t="array" ref="E30" ca="1">SUMPRODUCT(
    IFERROR(
        SUMIF(
            INDIRECT("'"&amp;TEXT(A4:A28,"dd-mm")&amp;"'!O:O"),
            "tổng",
            INDIRECT("'"&amp;TEXT(A4:A28,"dd-mm")&amp;"'!P:P")
        ),
    0)
)</f>
        <v>229</v>
      </c>
    </row>
    <row r="31" spans="1:5" x14ac:dyDescent="0.25">
      <c r="D31" s="9" t="s">
        <v>297</v>
      </c>
      <c r="E31" s="9">
        <f ca="1">-E29*2</f>
        <v>-134</v>
      </c>
    </row>
    <row r="32" spans="1:5" x14ac:dyDescent="0.25">
      <c r="D32" s="9" t="s">
        <v>298</v>
      </c>
      <c r="E32" s="9">
        <f ca="1">SUBTOTAL(9,E30:E31)</f>
        <v>95</v>
      </c>
    </row>
  </sheetData>
  <autoFilter ref="A2:E28" xr:uid="{00000000-0009-0000-0000-000002000000}"/>
  <phoneticPr fontId="3" type="noConversion"/>
  <conditionalFormatting sqref="C3:D28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01-05</vt:lpstr>
      <vt:lpstr>04-05</vt:lpstr>
      <vt:lpstr>05-05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2026-05-06T05:10:18Z</dcterms:modified>
</cp:coreProperties>
</file>