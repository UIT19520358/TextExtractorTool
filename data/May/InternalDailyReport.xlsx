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5FE06C03-E240-49EA-BD72-E2B30B518A20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01-05" sheetId="7" r:id="rId1"/>
    <sheet name="04-05" sheetId="8" r:id="rId2"/>
    <sheet name="05-05" sheetId="9" r:id="rId3"/>
    <sheet name="06-05" sheetId="10" r:id="rId4"/>
    <sheet name="07-05" sheetId="11" r:id="rId5"/>
    <sheet name="08-05" sheetId="12" r:id="rId6"/>
    <sheet name="Sheet1" sheetId="19" r:id="rId7"/>
  </sheets>
  <definedNames>
    <definedName name="_xlnm._FilterDatabase" localSheetId="0" hidden="1">'01-05'!$A$2:$P$56</definedName>
    <definedName name="_xlnm._FilterDatabase" localSheetId="1" hidden="1">'04-05'!$A$2:$P$26</definedName>
    <definedName name="_xlnm._FilterDatabase" localSheetId="2" hidden="1">'05-05'!$A$2:$P$55</definedName>
    <definedName name="_xlnm._FilterDatabase" localSheetId="3" hidden="1">'06-05'!$A$2:$P$34</definedName>
    <definedName name="_xlnm._FilterDatabase" localSheetId="4" hidden="1">'07-05'!$A$2:$P$36</definedName>
    <definedName name="_xlnm._FilterDatabase" localSheetId="5" hidden="1">'08-05'!$A$2:$P$38</definedName>
    <definedName name="_xlnm._FilterDatabase" localSheetId="6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7" i="12" l="1"/>
  <c r="R33" i="12"/>
  <c r="R30" i="12"/>
  <c r="R29" i="12"/>
  <c r="R28" i="12"/>
  <c r="R21" i="12"/>
  <c r="R19" i="12"/>
  <c r="R13" i="12"/>
  <c r="R9" i="12"/>
  <c r="R7" i="12"/>
  <c r="R4" i="12"/>
  <c r="R3" i="12"/>
  <c r="R5" i="12"/>
  <c r="I3" i="7"/>
  <c r="I4" i="7"/>
  <c r="I5" i="7"/>
  <c r="C61" i="7" s="1"/>
  <c r="C64" i="7" s="1"/>
  <c r="C68" i="7" s="1"/>
  <c r="P65" i="7" s="1"/>
  <c r="I6" i="7"/>
  <c r="I7" i="7"/>
  <c r="I8" i="7"/>
  <c r="I9" i="7"/>
  <c r="R9" i="7"/>
  <c r="I10" i="7"/>
  <c r="I11" i="7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J58" i="7"/>
  <c r="K58" i="7"/>
  <c r="L58" i="7"/>
  <c r="M58" i="7"/>
  <c r="N58" i="7"/>
  <c r="O58" i="7"/>
  <c r="P58" i="7"/>
  <c r="Q58" i="7"/>
  <c r="H59" i="7"/>
  <c r="H60" i="7"/>
  <c r="E61" i="7"/>
  <c r="E64" i="7" s="1"/>
  <c r="M79" i="7" s="1"/>
  <c r="L79" i="7" s="1"/>
  <c r="L61" i="7"/>
  <c r="M61" i="7"/>
  <c r="M66" i="7" s="1"/>
  <c r="L62" i="7"/>
  <c r="M62" i="7"/>
  <c r="C63" i="7"/>
  <c r="E63" i="7"/>
  <c r="L66" i="7"/>
  <c r="P61" i="7" s="1"/>
  <c r="L69" i="7"/>
  <c r="M69" i="7"/>
  <c r="M74" i="7" s="1"/>
  <c r="M70" i="7"/>
  <c r="L70" i="7" s="1"/>
  <c r="L77" i="7"/>
  <c r="M77" i="7"/>
  <c r="L78" i="7"/>
  <c r="M78" i="7"/>
  <c r="M82" i="7"/>
  <c r="L85" i="7"/>
  <c r="M85" i="7"/>
  <c r="M90" i="7" s="1"/>
  <c r="M86" i="7"/>
  <c r="L86" i="7" s="1"/>
  <c r="L90" i="7" s="1"/>
  <c r="P64" i="7" s="1"/>
  <c r="I3" i="8"/>
  <c r="C31" i="8" s="1"/>
  <c r="C34" i="8" s="1"/>
  <c r="C38" i="8" s="1"/>
  <c r="P35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C33" i="8" s="1"/>
  <c r="I26" i="8"/>
  <c r="D28" i="8"/>
  <c r="G28" i="8"/>
  <c r="H28" i="8"/>
  <c r="J28" i="8"/>
  <c r="K28" i="8"/>
  <c r="L28" i="8"/>
  <c r="M28" i="8"/>
  <c r="N28" i="8"/>
  <c r="O28" i="8"/>
  <c r="P28" i="8"/>
  <c r="Q28" i="8"/>
  <c r="H29" i="8"/>
  <c r="L32" i="8" s="1"/>
  <c r="H30" i="8"/>
  <c r="E31" i="8"/>
  <c r="H31" i="8"/>
  <c r="L31" i="8"/>
  <c r="M31" i="8"/>
  <c r="M32" i="8"/>
  <c r="E33" i="8"/>
  <c r="E34" i="8"/>
  <c r="M36" i="8"/>
  <c r="L39" i="8"/>
  <c r="L44" i="8" s="1"/>
  <c r="P32" i="8" s="1"/>
  <c r="M39" i="8"/>
  <c r="L40" i="8"/>
  <c r="M40" i="8"/>
  <c r="M44" i="8"/>
  <c r="L47" i="8"/>
  <c r="M47" i="8"/>
  <c r="M52" i="8" s="1"/>
  <c r="M48" i="8"/>
  <c r="L48" i="8" s="1"/>
  <c r="L55" i="8"/>
  <c r="L60" i="8" s="1"/>
  <c r="P34" i="8" s="1"/>
  <c r="M55" i="8"/>
  <c r="L56" i="8"/>
  <c r="M56" i="8"/>
  <c r="M57" i="8"/>
  <c r="L57" i="8" s="1"/>
  <c r="M60" i="8"/>
  <c r="I3" i="9"/>
  <c r="C60" i="9" s="1"/>
  <c r="C63" i="9" s="1"/>
  <c r="C67" i="9" s="1"/>
  <c r="P63" i="9" s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D57" i="9"/>
  <c r="G57" i="9"/>
  <c r="H57" i="9"/>
  <c r="J57" i="9"/>
  <c r="K57" i="9"/>
  <c r="L57" i="9"/>
  <c r="M57" i="9"/>
  <c r="N57" i="9"/>
  <c r="O57" i="9"/>
  <c r="P57" i="9"/>
  <c r="Q57" i="9"/>
  <c r="H58" i="9"/>
  <c r="H59" i="9"/>
  <c r="L69" i="9" s="1"/>
  <c r="L73" i="9" s="1"/>
  <c r="P61" i="9" s="1"/>
  <c r="E60" i="9"/>
  <c r="H60" i="9"/>
  <c r="L60" i="9"/>
  <c r="M60" i="9"/>
  <c r="M65" i="9" s="1"/>
  <c r="L61" i="9"/>
  <c r="M61" i="9"/>
  <c r="C62" i="9"/>
  <c r="E62" i="9"/>
  <c r="E63" i="9"/>
  <c r="L65" i="9"/>
  <c r="P60" i="9" s="1"/>
  <c r="L68" i="9"/>
  <c r="M68" i="9"/>
  <c r="M69" i="9"/>
  <c r="M73" i="9"/>
  <c r="L76" i="9"/>
  <c r="L81" i="9" s="1"/>
  <c r="P62" i="9" s="1"/>
  <c r="M76" i="9"/>
  <c r="M81" i="9" s="1"/>
  <c r="M77" i="9"/>
  <c r="L77" i="9" s="1"/>
  <c r="M78" i="9"/>
  <c r="L78" i="9" s="1"/>
  <c r="I3" i="10"/>
  <c r="C39" i="10" s="1"/>
  <c r="C42" i="10" s="1"/>
  <c r="C46" i="10" s="1"/>
  <c r="P42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D36" i="10"/>
  <c r="G36" i="10"/>
  <c r="H36" i="10"/>
  <c r="J36" i="10"/>
  <c r="K36" i="10"/>
  <c r="L36" i="10"/>
  <c r="M36" i="10"/>
  <c r="N36" i="10"/>
  <c r="O36" i="10"/>
  <c r="P36" i="10"/>
  <c r="Q36" i="10"/>
  <c r="H37" i="10"/>
  <c r="L56" i="10" s="1"/>
  <c r="L60" i="10" s="1"/>
  <c r="P41" i="10" s="1"/>
  <c r="H38" i="10"/>
  <c r="E39" i="10"/>
  <c r="H39" i="10"/>
  <c r="L39" i="10"/>
  <c r="M39" i="10"/>
  <c r="M44" i="10" s="1"/>
  <c r="M40" i="10"/>
  <c r="L40" i="10" s="1"/>
  <c r="L44" i="10" s="1"/>
  <c r="P39" i="10" s="1"/>
  <c r="C41" i="10"/>
  <c r="E41" i="10"/>
  <c r="E42" i="10"/>
  <c r="M49" i="10" s="1"/>
  <c r="L49" i="10" s="1"/>
  <c r="L47" i="10"/>
  <c r="L52" i="10" s="1"/>
  <c r="P40" i="10" s="1"/>
  <c r="M47" i="10"/>
  <c r="L48" i="10"/>
  <c r="M48" i="10"/>
  <c r="M52" i="10"/>
  <c r="L55" i="10"/>
  <c r="M55" i="10"/>
  <c r="M60" i="10" s="1"/>
  <c r="M56" i="10"/>
  <c r="I3" i="11"/>
  <c r="C41" i="11" s="1"/>
  <c r="C44" i="11" s="1"/>
  <c r="C48" i="11" s="1"/>
  <c r="P45" i="11" s="1"/>
  <c r="I4" i="11"/>
  <c r="I5" i="11"/>
  <c r="R5" i="11"/>
  <c r="I6" i="11"/>
  <c r="I7" i="11"/>
  <c r="I8" i="11"/>
  <c r="I9" i="11"/>
  <c r="R9" i="11"/>
  <c r="I10" i="11"/>
  <c r="I11" i="11"/>
  <c r="I12" i="11"/>
  <c r="I13" i="11"/>
  <c r="R13" i="11"/>
  <c r="I14" i="11"/>
  <c r="I15" i="11"/>
  <c r="I16" i="11"/>
  <c r="R16" i="11"/>
  <c r="I17" i="11"/>
  <c r="R17" i="11"/>
  <c r="I18" i="11"/>
  <c r="I19" i="11"/>
  <c r="R19" i="11"/>
  <c r="I20" i="11"/>
  <c r="R20" i="11"/>
  <c r="I21" i="11"/>
  <c r="I22" i="11"/>
  <c r="R22" i="11"/>
  <c r="I23" i="11"/>
  <c r="I24" i="11"/>
  <c r="I25" i="11"/>
  <c r="I26" i="11"/>
  <c r="I27" i="11"/>
  <c r="R27" i="11"/>
  <c r="I28" i="11"/>
  <c r="I29" i="11"/>
  <c r="I30" i="11"/>
  <c r="I31" i="11"/>
  <c r="R31" i="11"/>
  <c r="I32" i="11"/>
  <c r="I33" i="11"/>
  <c r="I34" i="11"/>
  <c r="R34" i="11"/>
  <c r="I35" i="11"/>
  <c r="R35" i="11"/>
  <c r="I36" i="11"/>
  <c r="R36" i="11"/>
  <c r="D38" i="11"/>
  <c r="G38" i="11"/>
  <c r="H38" i="11"/>
  <c r="J38" i="11"/>
  <c r="K38" i="11"/>
  <c r="L38" i="11"/>
  <c r="M38" i="11"/>
  <c r="N38" i="11"/>
  <c r="O38" i="11"/>
  <c r="P38" i="11"/>
  <c r="Q38" i="11"/>
  <c r="H39" i="11"/>
  <c r="H40" i="11"/>
  <c r="L42" i="11" s="1"/>
  <c r="L46" i="11" s="1"/>
  <c r="P41" i="11" s="1"/>
  <c r="E41" i="11"/>
  <c r="H41" i="11"/>
  <c r="L41" i="11"/>
  <c r="M41" i="11"/>
  <c r="M46" i="11" s="1"/>
  <c r="M42" i="11"/>
  <c r="C43" i="11"/>
  <c r="E43" i="11"/>
  <c r="P43" i="11"/>
  <c r="E44" i="11"/>
  <c r="L49" i="11"/>
  <c r="M49" i="11"/>
  <c r="M50" i="11"/>
  <c r="L50" i="11" s="1"/>
  <c r="L54" i="11" s="1"/>
  <c r="P42" i="11" s="1"/>
  <c r="M54" i="11"/>
  <c r="L57" i="11"/>
  <c r="M57" i="11"/>
  <c r="L58" i="11"/>
  <c r="M58" i="11"/>
  <c r="L62" i="11"/>
  <c r="M62" i="11"/>
  <c r="L65" i="11"/>
  <c r="L70" i="11" s="1"/>
  <c r="P44" i="11" s="1"/>
  <c r="M65" i="11"/>
  <c r="M70" i="11" s="1"/>
  <c r="M66" i="11"/>
  <c r="L66" i="11" s="1"/>
  <c r="M67" i="11"/>
  <c r="L67" i="11" s="1"/>
  <c r="D3" i="19" a="1"/>
  <c r="E30" i="19" a="1"/>
  <c r="I29" i="12"/>
  <c r="I3" i="12"/>
  <c r="I4" i="12"/>
  <c r="I15" i="12"/>
  <c r="I16" i="12"/>
  <c r="I5" i="12"/>
  <c r="I17" i="12"/>
  <c r="I18" i="12"/>
  <c r="I6" i="12"/>
  <c r="I30" i="12"/>
  <c r="I31" i="12"/>
  <c r="I19" i="12"/>
  <c r="I7" i="12"/>
  <c r="I20" i="12"/>
  <c r="I8" i="12"/>
  <c r="I9" i="12"/>
  <c r="I21" i="12"/>
  <c r="I32" i="12"/>
  <c r="I10" i="12"/>
  <c r="I22" i="12"/>
  <c r="I33" i="12"/>
  <c r="I34" i="12"/>
  <c r="I11" i="12"/>
  <c r="I23" i="12"/>
  <c r="I35" i="12"/>
  <c r="I12" i="12"/>
  <c r="I36" i="12"/>
  <c r="I24" i="12"/>
  <c r="I37" i="12"/>
  <c r="I38" i="12"/>
  <c r="I13" i="12"/>
  <c r="I25" i="12"/>
  <c r="I26" i="12"/>
  <c r="I27" i="12"/>
  <c r="I14" i="12"/>
  <c r="I28" i="12"/>
  <c r="D40" i="12"/>
  <c r="G40" i="12"/>
  <c r="H40" i="12"/>
  <c r="J40" i="12"/>
  <c r="K40" i="12"/>
  <c r="L40" i="12"/>
  <c r="M40" i="12"/>
  <c r="N40" i="12"/>
  <c r="O40" i="12"/>
  <c r="P40" i="12"/>
  <c r="Q40" i="12"/>
  <c r="H41" i="12"/>
  <c r="H42" i="12"/>
  <c r="E43" i="12"/>
  <c r="E46" i="12" s="1"/>
  <c r="M61" i="12" s="1"/>
  <c r="L61" i="12" s="1"/>
  <c r="H43" i="12"/>
  <c r="L52" i="12" s="1"/>
  <c r="L43" i="12"/>
  <c r="M43" i="12"/>
  <c r="M48" i="12" s="1"/>
  <c r="M44" i="12"/>
  <c r="L44" i="12" s="1"/>
  <c r="C45" i="12"/>
  <c r="E45" i="12"/>
  <c r="L51" i="12"/>
  <c r="M51" i="12"/>
  <c r="M56" i="12" s="1"/>
  <c r="M52" i="12"/>
  <c r="L59" i="12"/>
  <c r="M59" i="12"/>
  <c r="M64" i="12" s="1"/>
  <c r="M60" i="12"/>
  <c r="L60" i="12" s="1"/>
  <c r="B4" i="19"/>
  <c r="B7" i="19"/>
  <c r="B10" i="19"/>
  <c r="B13" i="19"/>
  <c r="B16" i="19"/>
  <c r="B19" i="19"/>
  <c r="B22" i="19"/>
  <c r="B25" i="19"/>
  <c r="B28" i="19"/>
  <c r="C13" i="19"/>
  <c r="C19" i="19"/>
  <c r="C25" i="19"/>
  <c r="C4" i="19"/>
  <c r="C7" i="19"/>
  <c r="C10" i="19"/>
  <c r="C16" i="19"/>
  <c r="C22" i="19"/>
  <c r="D4" i="19" a="1"/>
  <c r="D7" i="19" a="1"/>
  <c r="D10" i="19" a="1"/>
  <c r="D13" i="19" a="1"/>
  <c r="D16" i="19" a="1"/>
  <c r="C11" i="19"/>
  <c r="C23" i="19"/>
  <c r="D20" i="19" a="1"/>
  <c r="B5" i="19"/>
  <c r="B8" i="19"/>
  <c r="B11" i="19"/>
  <c r="B14" i="19"/>
  <c r="B17" i="19"/>
  <c r="B20" i="19"/>
  <c r="B23" i="19"/>
  <c r="B26" i="19"/>
  <c r="C14" i="19"/>
  <c r="C20" i="19"/>
  <c r="D17" i="19" a="1"/>
  <c r="D27" i="19" a="1"/>
  <c r="C5" i="19"/>
  <c r="C8" i="19"/>
  <c r="C17" i="19"/>
  <c r="C26" i="19"/>
  <c r="D23" i="19" a="1"/>
  <c r="D28" i="19" a="1"/>
  <c r="D5" i="19" a="1"/>
  <c r="D8" i="19" a="1"/>
  <c r="D11" i="19" a="1"/>
  <c r="D14" i="19" a="1"/>
  <c r="D26" i="19" a="1"/>
  <c r="B18" i="19"/>
  <c r="B27" i="19"/>
  <c r="C15" i="19"/>
  <c r="C24" i="19"/>
  <c r="D19" i="19" a="1"/>
  <c r="B6" i="19"/>
  <c r="B12" i="19"/>
  <c r="B15" i="19"/>
  <c r="B21" i="19"/>
  <c r="B24" i="19"/>
  <c r="C12" i="19"/>
  <c r="C21" i="19"/>
  <c r="D22" i="19" a="1"/>
  <c r="C6" i="19"/>
  <c r="C9" i="19"/>
  <c r="C18" i="19"/>
  <c r="C27" i="19"/>
  <c r="C28" i="19"/>
  <c r="D6" i="19" a="1"/>
  <c r="D9" i="19" a="1"/>
  <c r="D12" i="19" a="1"/>
  <c r="D15" i="19" a="1"/>
  <c r="D18" i="19" a="1"/>
  <c r="D21" i="19" a="1"/>
  <c r="D24" i="19" a="1"/>
  <c r="D25" i="19" a="1"/>
  <c r="C3" i="19"/>
  <c r="D3" i="19"/>
  <c r="L48" i="12" l="1"/>
  <c r="P43" i="12" s="1"/>
  <c r="C43" i="12"/>
  <c r="C46" i="12" s="1"/>
  <c r="C50" i="12" s="1"/>
  <c r="P46" i="12" s="1"/>
  <c r="I40" i="12"/>
  <c r="D25" i="19"/>
  <c r="E25" i="19" s="1"/>
  <c r="D24" i="19"/>
  <c r="E24" i="19" s="1"/>
  <c r="D21" i="19"/>
  <c r="E21" i="19" s="1"/>
  <c r="D18" i="19"/>
  <c r="E18" i="19" s="1"/>
  <c r="D15" i="19"/>
  <c r="E15" i="19" s="1"/>
  <c r="D12" i="19"/>
  <c r="E12" i="19" s="1"/>
  <c r="D9" i="19"/>
  <c r="D6" i="19"/>
  <c r="E6" i="19" s="1"/>
  <c r="D22" i="19"/>
  <c r="E22" i="19" s="1"/>
  <c r="D19" i="19"/>
  <c r="E19" i="19" s="1"/>
  <c r="D26" i="19"/>
  <c r="E26" i="19" s="1"/>
  <c r="D14" i="19"/>
  <c r="E14" i="19" s="1"/>
  <c r="D11" i="19"/>
  <c r="E11" i="19" s="1"/>
  <c r="D8" i="19"/>
  <c r="E8" i="19" s="1"/>
  <c r="D5" i="19"/>
  <c r="E5" i="19" s="1"/>
  <c r="D28" i="19"/>
  <c r="E28" i="19" s="1"/>
  <c r="D23" i="19"/>
  <c r="E23" i="19" s="1"/>
  <c r="D27" i="19"/>
  <c r="E27" i="19" s="1"/>
  <c r="D17" i="19"/>
  <c r="E17" i="19" s="1"/>
  <c r="D20" i="19"/>
  <c r="E20" i="19" s="1"/>
  <c r="D16" i="19"/>
  <c r="E16" i="19" s="1"/>
  <c r="D13" i="19"/>
  <c r="E13" i="19" s="1"/>
  <c r="D10" i="19"/>
  <c r="E10" i="19" s="1"/>
  <c r="D7" i="19"/>
  <c r="E7" i="19" s="1"/>
  <c r="D4" i="19"/>
  <c r="E4" i="19" s="1"/>
  <c r="L36" i="8"/>
  <c r="P31" i="8" s="1"/>
  <c r="P36" i="8" s="1"/>
  <c r="L64" i="12"/>
  <c r="P45" i="12" s="1"/>
  <c r="L82" i="7"/>
  <c r="P63" i="7" s="1"/>
  <c r="P64" i="9"/>
  <c r="L52" i="8"/>
  <c r="P33" i="8" s="1"/>
  <c r="L74" i="7"/>
  <c r="P43" i="10"/>
  <c r="L56" i="12"/>
  <c r="P46" i="11"/>
  <c r="I58" i="7"/>
  <c r="I36" i="10"/>
  <c r="I38" i="11"/>
  <c r="I28" i="8"/>
  <c r="I57" i="9"/>
  <c r="B9" i="19"/>
  <c r="B3" i="19"/>
  <c r="P44" i="12" l="1"/>
  <c r="P47" i="12" s="1"/>
  <c r="E9" i="19"/>
  <c r="E29" i="19" s="1"/>
  <c r="E31" i="19" s="1"/>
  <c r="E3" i="19"/>
  <c r="P62" i="7"/>
  <c r="P66" i="7" s="1"/>
  <c r="E30" i="19"/>
  <c r="E32" i="1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<sst xmlns="http://schemas.openxmlformats.org/spreadsheetml/2006/main" count="2184" uniqueCount="735">
  <si>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</si>
  <si>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</si>
  <si>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</si>
  <si>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</si>
  <si>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</si>
  <si>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</si>
  <si>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</si>
  <si>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</si>
  <si>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</si>
  <si>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</si>
  <si>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</si>
  <si>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</si>
  <si>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</si>
  <si>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</si>
  <si>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</si>
  <si>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</si>
  <si>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</si>
  <si>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</si>
  <si>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</si>
  <si>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</si>
  <si>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</si>
  <si>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</si>
  <si>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</si>
  <si>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</si>
  <si>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</si>
  <si>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</si>
  <si>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</si>
  <si>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</si>
  <si>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</si>
  <si>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</si>
  <si>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</si>
  <si>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</si>
  <si>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</si>
  <si>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</si>
  <si>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</si>
  <si>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</si>
  <si>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</si>
  <si>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</si>
  <si>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</si>
  <si>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</si>
  <si>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</si>
  <si>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</si>
  <si>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</si>
  <si>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</si>
  <si>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</si>
  <si>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</si>
  <si>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</si>
  <si>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</si>
  <si>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</si>
  <si>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</si>
  <si>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</si>
  <si>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</si>
  <si>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</si>
  <si>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</si>
  <si>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</si>
  <si>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</si>
  <si>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</si>
  <si>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</si>
  <si>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</si>
  <si>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</si>
  <si>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</si>
  <si>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</si>
  <si>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</si>
  <si>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</si>
  <si>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</si>
  <si>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</si>
  <si>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</si>
  <si>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</si>
  <si>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</si>
  <si>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</si>
  <si>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</si>
  <si>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</si>
  <si>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</si>
  <si>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</si>
  <si>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</si>
  <si>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</si>
  <si>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</si>
  <si>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</si>
  <si>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</si>
  <si>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</si>
  <si>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</si>
  <si>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</si>
  <si>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</si>
  <si>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</si>
  <si>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</si>
  <si>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</si>
  <si>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</si>
  <si>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</si>
  <si>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</si>
  <si>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</si>
  <si>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</si>
  <si>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</si>
  <si>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</si>
  <si>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</si>
  <si>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</si>
  <si>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</si>
  <si>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</si>
  <si>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</si>
  <si>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</si>
  <si>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</si>
  <si>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</si>
  <si>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</si>
  <si>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</si>
  <si>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</si>
  <si>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</si>
  <si>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</si>
  <si>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</si>
  <si>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</si>
  <si>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</si>
  <si>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</si>
  <si>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</si>
  <si>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</si>
  <si>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</si>
  <si>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</si>
  <si>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</si>
  <si>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</si>
  <si>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</si>
  <si>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</si>
  <si>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</si>
  <si>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</si>
  <si>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</si>
  <si>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</si>
  <si>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</si>
  <si>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</si>
  <si>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</si>
  <si>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</si>
  <si>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</si>
  <si>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</si>
  <si>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</si>
  <si>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</si>
  <si>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</si>
  <si>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</si>
  <si>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</si>
  <si>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</si>
  <si>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</si>
  <si>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</si>
  <si>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</si>
  <si>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</si>
  <si>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</si>
  <si>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</si>
  <si>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</si>
  <si>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</si>
  <si>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</si>
  <si>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</si>
  <si>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</si>
  <si>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</si>
  <si>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</si>
  <si>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</si>
  <si>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</si>
  <si>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</si>
  <si>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</si>
  <si>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</si>
  <si>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</si>
  <si>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</si>
  <si>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</si>
  <si>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</si>
  <si>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</si>
  <si>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</si>
  <si>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</si>
  <si>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</si>
  <si>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</si>
  <si>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</si>
  <si>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</si>
  <si>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</si>
  <si>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</si>
  <si>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</si>
  <si>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</si>
  <si>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</si>
  <si>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</si>
  <si>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</si>
  <si>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</si>
  <si>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</si>
  <si>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</si>
  <si>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</si>
  <si>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</si>
  <si>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</si>
  <si>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</si>
  <si>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</si>
  <si>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</si>
  <si>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</si>
  <si>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</si>
  <si>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</si>
  <si>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</si>
  <si>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</si>
  <si>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</si>
  <si>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</si>
  <si>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</si>
  <si>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</si>
  <si>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</si>
  <si>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</si>
  <si>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</si>
  <si>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</si>
  <si>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</si>
  <si>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</si>
  <si>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</si>
  <si>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</si>
  <si>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</si>
  <si>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</si>
  <si>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</si>
  <si>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</si>
  <si>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</si>
  <si>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</si>
  <si>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</si>
  <si>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</si>
  <si>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</si>
  <si>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</si>
  <si>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</si>
  <si>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</si>
  <si>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</si>
  <si>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</si>
  <si>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</si>
  <si>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</si>
  <si>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_col17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</si>
  <si>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</si>
  <si>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</si>
  <si>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</si>
  <si>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</si>
  <si>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</si>
  <si>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</si>
  <si>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</si>
  <si>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</si>
  <si>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</si>
  <si>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</si>
  <si>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</si>
  <si>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</si>
  <si>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</si>
  <si>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</si>
  <si>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</si>
  <si>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</si>
  <si>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</si>
  <si>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</si>
  <si>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</si>
  <si>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</si>
  <si>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</si>
  <si>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</si>
  <si>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</si>
  <si>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</si>
  <si>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</si>
  <si>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</si>
  <si>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</si>
  <si>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</si>
  <si>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</si>
  <si>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</si>
  <si>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</si>
  <si>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</si>
  <si>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</si>
  <si>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</si>
  <si>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</si>
  <si>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</si>
  <si>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</si>
  <si>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</si>
  <si>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</si>
  <si>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</si>
  <si>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</si>
  <si>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</si>
  <si>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</si>
  <si>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</si>
  <si>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</si>
  <si>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</si>
  <si>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</si>
  <si>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</si>
  <si>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</si>
  <si>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</si>
  <si>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</si>
  <si>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</si>
  <si>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</si>
  <si>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</si>
  <si>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</si>
  <si>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</si>
  <si>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</si>
  <si>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</si>
  <si>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luu tra</t>
  </si>
  <si>
    <t>x</t>
  </si>
  <si>
    <t>xx</t>
  </si>
  <si>
    <t>Kim Anh Phạm Nguyễn</t>
  </si>
  <si>
    <t>HD016319</t>
  </si>
  <si>
    <t>240/38/4 Tô ngọc vân, phường Thanh Xuân</t>
  </si>
  <si>
    <t>27-04-2026</t>
  </si>
  <si>
    <t>Nguyễn Hải Phụng</t>
  </si>
  <si>
    <t>HD015693</t>
  </si>
  <si>
    <t>36 bờ bao tận trắng P. Sơn Kỳ (chung cư celedon cổng diamond brilliant block B2)</t>
  </si>
  <si>
    <t>25-04-2026</t>
  </si>
  <si>
    <t>Huong, A20.08</t>
  </si>
  <si>
    <t>HD014420</t>
  </si>
  <si>
    <t>CC Tân Phước lỗ a 153 Lý Thường Kiệt, Phường 7</t>
  </si>
  <si>
    <t>23-04-2026</t>
  </si>
  <si>
    <t>at 04-05</t>
  </si>
  <si>
    <t>3 đơn</t>
  </si>
  <si>
    <t>1 đơn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</si>
  <si>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</si>
  <si>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</si>
  <si>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</si>
  <si>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</si>
  <si>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</si>
  <si>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</si>
  <si>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</si>
  <si>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</si>
  <si>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</si>
  <si>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</si>
  <si>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</si>
  <si>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</si>
  <si>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</si>
  <si>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</si>
  <si>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</si>
  <si>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</si>
  <si>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</si>
  <si>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</si>
  <si>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</si>
  <si>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</si>
  <si>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</si>
  <si>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</si>
  <si>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</si>
  <si>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</si>
  <si>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</si>
  <si>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</si>
  <si>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</si>
  <si>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</si>
  <si>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</si>
  <si>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</si>
  <si>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</si>
  <si>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</si>
  <si>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</si>
  <si>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</si>
  <si>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</si>
  <si>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</si>
  <si>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</si>
  <si>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</si>
  <si>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</si>
  <si>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</si>
  <si>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</si>
  <si>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</si>
  <si>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</si>
  <si>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</si>
  <si>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</si>
  <si>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</si>
  <si>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</si>
  <si>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</si>
  <si>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</si>
  <si>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</si>
  <si>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</si>
  <si>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</si>
  <si>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</si>
  <si>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</si>
  <si>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</si>
  <si>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</si>
  <si>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</si>
  <si>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</si>
  <si>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</si>
  <si>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</si>
  <si>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</si>
  <si>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</si>
  <si>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</si>
  <si>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</si>
  <si>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</si>
  <si>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</si>
  <si>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</si>
  <si>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</si>
  <si>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</si>
  <si>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</si>
  <si>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</si>
  <si>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</si>
  <si>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</si>
  <si>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</si>
  <si>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</si>
  <si>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</si>
  <si>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</si>
  <si>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</si>
  <si>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</si>
  <si>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</si>
  <si>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</si>
  <si>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</si>
  <si>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</si>
  <si>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</si>
  <si>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</si>
  <si>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</si>
  <si>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</si>
  <si>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</si>
  <si>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</si>
  <si>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</si>
  <si>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</si>
  <si>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</si>
  <si>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</si>
  <si>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</si>
  <si>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</si>
  <si>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</si>
  <si>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</si>
  <si>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</si>
  <si>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</si>
  <si>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</si>
  <si>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</si>
  <si>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</si>
  <si>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</si>
  <si>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</si>
  <si>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</si>
  <si>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</si>
  <si>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</si>
  <si>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</si>
  <si>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</si>
  <si>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</si>
  <si>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</si>
  <si>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</si>
  <si>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</si>
  <si>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</si>
  <si>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</si>
  <si>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</si>
  <si>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</si>
  <si>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</si>
  <si>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</si>
  <si>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</si>
  <si>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</si>
  <si>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</si>
  <si>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</si>
  <si>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</si>
  <si>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</si>
  <si>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</si>
  <si>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</si>
  <si>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</si>
  <si>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</si>
  <si>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</si>
  <si>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</si>
  <si>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</si>
  <si>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</si>
  <si>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</si>
  <si>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</si>
  <si>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</si>
  <si>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</si>
  <si>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</si>
  <si>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</si>
  <si>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</si>
  <si>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</si>
  <si>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</si>
  <si>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</si>
  <si>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</si>
  <si>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</si>
  <si>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</si>
  <si>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</si>
  <si>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</si>
  <si>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</si>
  <si>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</si>
  <si>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at 05-05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</si>
  <si>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</si>
  <si>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</si>
  <si>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</si>
  <si>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</si>
  <si>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</si>
  <si>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</si>
  <si>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</si>
  <si>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</si>
  <si>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</si>
  <si>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</si>
  <si>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</si>
  <si>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</si>
  <si>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</si>
  <si>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</si>
  <si>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</si>
  <si>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</si>
  <si>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</si>
  <si>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</si>
  <si>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</si>
  <si>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</si>
  <si>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</si>
  <si>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</si>
  <si>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</si>
  <si>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</si>
  <si>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</si>
  <si>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</si>
  <si>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</si>
  <si>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</si>
  <si>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</si>
  <si>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</si>
  <si>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</si>
  <si>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</si>
  <si>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</si>
  <si>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</si>
  <si>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</si>
  <si>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</si>
  <si>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</si>
  <si>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</si>
  <si>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</si>
  <si>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</si>
  <si>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</si>
  <si>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</si>
  <si>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</si>
  <si>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</si>
  <si>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</si>
  <si>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</si>
  <si>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</si>
  <si>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</si>
  <si>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</si>
  <si>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</si>
  <si>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</si>
  <si>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</si>
  <si>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</si>
  <si>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</si>
  <si>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</si>
  <si>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</si>
  <si>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</si>
  <si>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</si>
  <si>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</si>
  <si>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</si>
  <si>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</si>
  <si>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</si>
  <si>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</si>
  <si>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</si>
  <si>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</si>
  <si>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</si>
  <si>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</si>
  <si>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</si>
  <si>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</si>
  <si>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</si>
  <si>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</si>
  <si>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</si>
  <si>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</si>
  <si>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</si>
  <si>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</si>
  <si>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</si>
  <si>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</si>
  <si>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</si>
  <si>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</si>
  <si>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</si>
  <si>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</si>
  <si>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</si>
  <si>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</si>
  <si>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</si>
  <si>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</si>
  <si>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</si>
  <si>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</si>
  <si>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</si>
  <si>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</si>
  <si>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</si>
  <si>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</si>
  <si>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</si>
  <si>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</si>
  <si>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</si>
  <si>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at 06-05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</si>
  <si>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</si>
  <si>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</si>
  <si>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</si>
  <si>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</si>
  <si>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</si>
  <si>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</si>
  <si>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</si>
  <si>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</si>
  <si>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</si>
  <si>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</si>
  <si>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</si>
  <si>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</si>
  <si>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</si>
  <si>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</si>
  <si>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</si>
  <si>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</si>
  <si>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</si>
  <si>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</si>
  <si>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</si>
  <si>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</si>
  <si>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</si>
  <si>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</si>
  <si>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</si>
  <si>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</si>
  <si>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</si>
  <si>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</si>
  <si>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</si>
  <si>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</si>
  <si>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</si>
  <si>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</si>
  <si>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</si>
  <si>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</si>
  <si>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</si>
  <si>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</si>
  <si>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</si>
  <si>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</si>
  <si>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</si>
  <si>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</si>
  <si>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</si>
  <si>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</si>
  <si>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</si>
  <si>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</si>
  <si>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</si>
  <si>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</si>
  <si>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</si>
  <si>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</si>
  <si>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</si>
  <si>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</si>
  <si>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</si>
  <si>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</si>
  <si>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</si>
  <si>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</si>
  <si>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</si>
  <si>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</si>
  <si>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</si>
  <si>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</si>
  <si>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</si>
  <si>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</si>
  <si>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</si>
  <si>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</si>
  <si>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</si>
  <si>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</si>
  <si>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</si>
  <si>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</si>
  <si>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</si>
  <si>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</si>
  <si>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</si>
  <si>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</si>
  <si>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</si>
  <si>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</si>
  <si>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</si>
  <si>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</si>
  <si>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</si>
  <si>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</si>
  <si>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</si>
  <si>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</si>
  <si>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</si>
  <si>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</si>
  <si>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</si>
  <si>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</si>
  <si>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</si>
  <si>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</si>
  <si>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</si>
  <si>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</si>
  <si>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</si>
  <si>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</si>
  <si>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</si>
  <si>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</si>
  <si>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</si>
  <si>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</si>
  <si>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</si>
  <si>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</si>
  <si>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</si>
  <si>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</si>
  <si>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</si>
  <si>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at 07-05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</si>
  <si>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</si>
  <si>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</si>
  <si>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</si>
  <si>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</si>
  <si>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</si>
  <si>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</si>
  <si>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</si>
  <si>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</si>
  <si>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</si>
  <si>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</si>
  <si>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08-05-2026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</si>
  <si>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</si>
  <si>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</si>
  <si>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</si>
  <si>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</si>
  <si>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</si>
  <si>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Trương Kim Hồng</t>
  </si>
  <si>
    <t>HD019237</t>
  </si>
  <si>
    <t>114/15/14 Phạm Văn Chiêu, P.Thông Tây Hội</t>
  </si>
  <si>
    <t>Thịnh Nguyễn fb Loan Nguyen</t>
  </si>
  <si>
    <t>HD019175</t>
  </si>
  <si>
    <t>20/15 đường số 8 hẻm 20 phường Long Phước</t>
  </si>
  <si>
    <t>Tần Châu Yến Vy</t>
  </si>
  <si>
    <t>HD019113</t>
  </si>
  <si>
    <t>2B Mai Chí Thọ, Enpi, Toà "lạ thường Thủ Thiêm</t>
  </si>
  <si>
    <t>HD019096</t>
  </si>
  <si>
    <t>Nhật Nguyên</t>
  </si>
  <si>
    <t>HD019225</t>
  </si>
  <si>
    <t>Nhà Trọ Mai Anh, Ấp 3, Phước kiển (cuối đường b7)</t>
  </si>
  <si>
    <t>Trân Helen</t>
  </si>
  <si>
    <t>HD019219</t>
  </si>
  <si>
    <t>36/15 Yên Thế, Phường Tân Sơn Hoà, Phường Tân Bình</t>
  </si>
  <si>
    <t>HD019156</t>
  </si>
  <si>
    <t>W3337</t>
  </si>
  <si>
    <t>HD019276</t>
  </si>
  <si>
    <t>375 tân thới hiệp</t>
  </si>
  <si>
    <t>Nguyễn Thị Kim Ngân</t>
  </si>
  <si>
    <t>HD019275</t>
  </si>
  <si>
    <t>Hẻm 218, An dương vương, phường 16</t>
  </si>
  <si>
    <t>Thảo Nguyên Thị Nguyễn</t>
  </si>
  <si>
    <t>HD019222</t>
  </si>
  <si>
    <t>40/18 ấp bắc</t>
  </si>
  <si>
    <t>Mi Mi</t>
  </si>
  <si>
    <t>HD018473</t>
  </si>
  <si>
    <t>2 đường 3643 phạm thế hiển p7</t>
  </si>
  <si>
    <t>Tuyến fb Cỏ Đuôi Già</t>
  </si>
  <si>
    <t>HD019271</t>
  </si>
  <si>
    <t>Minh Nguyệt + Lin Xiao</t>
  </si>
  <si>
    <t>HD019184</t>
  </si>
  <si>
    <t>C16 - Lô C1, đg DD5, Phường Đông Hưng Thuận (Sau chợ An Sương)</t>
  </si>
  <si>
    <t>Trần Hạ Mây</t>
  </si>
  <si>
    <t>HD019227</t>
  </si>
  <si>
    <t>Hòm thư A1.11-14, toà Aqua 1, Vinhomes golden river, số 2 Tôn Đức Thắng, phường Bến Nghé</t>
  </si>
  <si>
    <t>Mai Nguyen</t>
  </si>
  <si>
    <t>HD019299</t>
  </si>
  <si>
    <t>272/21D lê văn quới, phường bình trị đông</t>
  </si>
  <si>
    <t>Hà Chi</t>
  </si>
  <si>
    <t>HD014556</t>
  </si>
  <si>
    <t>1400 Đồng Văn Cống, phường Thạnh Mỹ Lợi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</si>
  <si>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</si>
  <si>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</si>
  <si>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</si>
  <si>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</si>
  <si>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</si>
  <si>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</si>
  <si>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Nguyễn Thị Trà My</t>
  </si>
  <si>
    <t>HD019248</t>
  </si>
  <si>
    <t>325/9 bùi minh trực phường 6</t>
  </si>
  <si>
    <t>Mỷ Ý</t>
  </si>
  <si>
    <t>HD019154</t>
  </si>
  <si>
    <t>137 Hoàng Hoa Thám</t>
  </si>
  <si>
    <t>Kim - fb July Phan</t>
  </si>
  <si>
    <t>HD019137</t>
  </si>
  <si>
    <t>86 Lê Thị Riêng p. Bến Thành</t>
  </si>
  <si>
    <t>Thuy An Dao</t>
  </si>
  <si>
    <t>HD019092</t>
  </si>
  <si>
    <t>Sảnh B2 chung cư Emerald phường Sơn Kỳ</t>
  </si>
  <si>
    <t>Trần Thảo Ngân</t>
  </si>
  <si>
    <t>HD019270</t>
  </si>
  <si>
    <t>Ngân 27-19 block G chung cư eco green, đường nguyễn văn linh, phường tân thuận tây</t>
  </si>
  <si>
    <t>Hoàng Lê Dung</t>
  </si>
  <si>
    <t>HD019266</t>
  </si>
  <si>
    <t>27/24/30 điện biên phủ, F. gia định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</si>
  <si>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</si>
  <si>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</si>
  <si>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</si>
  <si>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</si>
  <si>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</si>
  <si>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</si>
  <si>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HD019293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</si>
  <si>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</si>
  <si>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</si>
  <si>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</si>
  <si>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</si>
  <si>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</si>
  <si>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</si>
  <si>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</si>
  <si>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Ngọc Diệp</t>
  </si>
  <si>
    <t>HD019226</t>
  </si>
  <si>
    <t>Ngọc diệp ak neo chung cư akari 77 đại lộ võ văn kiệt p an lạc</t>
  </si>
  <si>
    <t>Phương liên (jun đặng)</t>
  </si>
  <si>
    <t>HD019311</t>
  </si>
  <si>
    <t>241 đông Hưng Thuận 2 phường Tân Hưng</t>
  </si>
  <si>
    <t>at 08-05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</si>
</sst>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6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31">
    <xf numFmtId="0" fontId="0" fillId="0" borderId="0" xfId="0"/>
    <xf numFmtId="0" fontId="4" fillId="5" borderId="0" xfId="0" applyFont="1" applyFill="1"/>
    <xf numFmtId="0" fontId="0" fillId="0" borderId="0" xfId="0"/>
    <xf numFmtId="0" fontId="5" fillId="0" borderId="0" xfId="0" applyFont="1"/>
    <xf numFmtId="0" fontId="0" fillId="5" borderId="0" xfId="0" applyFill="1"/>
    <xf numFmtId="0" fontId="4" fillId="0" borderId="0" xfId="0" applyFont="1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3" fontId="0" fillId="10" borderId="1" xfId="0" applyNumberFormat="1" applyFill="1" applyBorder="1"/>
    <xf numFmtId="3" fontId="0" fillId="9" borderId="0" xfId="0" applyNumberFormat="1" applyFill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61" workbookViewId="0">
      <selection activeCell="A47" sqref="A47 A47:XFD47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18</v>
      </c>
      <c r="D3" s="20"/>
      <c r="E3" s="20" t="s">
        <v>19</v>
      </c>
      <c r="F3" s="21">
        <v>9</v>
      </c>
      <c r="G3" s="21">
        <v>895</v>
      </c>
      <c r="H3" s="21">
        <v>35</v>
      </c>
      <c r="I3" s="21">
        <f t="shared" ref="I3:I8" si="0">G3-H3</f>
        <v>860</v>
      </c>
      <c r="J3" s="20" t="s">
        <v>20</v>
      </c>
      <c r="K3" s="20" t="s">
        <v>21</v>
      </c>
      <c r="L3" s="20" t="s">
        <v>22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23</v>
      </c>
      <c r="D4" s="20" t="s">
        <v>24</v>
      </c>
      <c r="E4" s="20" t="s">
        <v>25</v>
      </c>
      <c r="F4" s="20" t="s">
        <v>26</v>
      </c>
      <c r="G4" s="21">
        <v>920</v>
      </c>
      <c r="H4" s="21">
        <v>30</v>
      </c>
      <c r="I4" s="21">
        <f t="shared" si="0"/>
        <v>890</v>
      </c>
      <c r="J4" s="20" t="s">
        <v>27</v>
      </c>
      <c r="K4" s="20" t="s">
        <v>21</v>
      </c>
      <c r="L4" s="20" t="s">
        <v>22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28</v>
      </c>
      <c r="D5" s="20" t="s">
        <v>29</v>
      </c>
      <c r="E5" s="20" t="s">
        <v>30</v>
      </c>
      <c r="F5" s="21">
        <v>12</v>
      </c>
      <c r="G5" s="21">
        <v>890</v>
      </c>
      <c r="H5" s="21">
        <v>30</v>
      </c>
      <c r="I5" s="21">
        <f t="shared" si="0"/>
        <v>860</v>
      </c>
      <c r="J5" s="20" t="s">
        <v>27</v>
      </c>
      <c r="K5" s="20" t="s">
        <v>21</v>
      </c>
      <c r="L5" s="20" t="s">
        <v>22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31</v>
      </c>
      <c r="D6" s="20" t="s">
        <v>32</v>
      </c>
      <c r="E6" s="20" t="s">
        <v>33</v>
      </c>
      <c r="F6" s="21">
        <v>12</v>
      </c>
      <c r="G6" s="21">
        <v>380</v>
      </c>
      <c r="H6" s="21">
        <v>30</v>
      </c>
      <c r="I6" s="21">
        <f t="shared" si="0"/>
        <v>350</v>
      </c>
      <c r="J6" s="20" t="s">
        <v>27</v>
      </c>
      <c r="K6" s="20" t="s">
        <v>21</v>
      </c>
      <c r="L6" s="20" t="s">
        <v>22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34</v>
      </c>
      <c r="D7" s="20" t="s">
        <v>35</v>
      </c>
      <c r="E7" s="20" t="s">
        <v>36</v>
      </c>
      <c r="F7" s="21">
        <v>8</v>
      </c>
      <c r="G7" s="21">
        <v>500</v>
      </c>
      <c r="H7" s="21">
        <v>30</v>
      </c>
      <c r="I7" s="21">
        <f t="shared" si="0"/>
        <v>470</v>
      </c>
      <c r="J7" s="20" t="s">
        <v>27</v>
      </c>
      <c r="K7" s="20" t="s">
        <v>21</v>
      </c>
      <c r="L7" s="20" t="s">
        <v>22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37</v>
      </c>
      <c r="D8" s="20" t="s">
        <v>38</v>
      </c>
      <c r="E8" s="20" t="s">
        <v>39</v>
      </c>
      <c r="F8" s="21">
        <v>8</v>
      </c>
      <c r="G8" s="21">
        <v>890</v>
      </c>
      <c r="H8" s="21">
        <v>30</v>
      </c>
      <c r="I8" s="21">
        <f t="shared" si="0"/>
        <v>860</v>
      </c>
      <c r="J8" s="20" t="s">
        <v>27</v>
      </c>
      <c r="K8" s="20" t="s">
        <v>21</v>
      </c>
      <c r="L8" s="20" t="s">
        <v>22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40</v>
      </c>
      <c r="D9" s="20" t="s">
        <v>41</v>
      </c>
      <c r="E9" s="20" t="s">
        <v>42</v>
      </c>
      <c r="F9" s="21">
        <v>12</v>
      </c>
      <c r="G9" s="21">
        <v>0</v>
      </c>
      <c r="H9" s="21">
        <v>30</v>
      </c>
      <c r="I9" s="21">
        <f>-H9</f>
        <v>-30</v>
      </c>
      <c r="J9" s="20" t="s">
        <v>27</v>
      </c>
      <c r="K9" s="20" t="s">
        <v>21</v>
      </c>
      <c r="L9" s="20" t="s">
        <v>22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43</v>
      </c>
      <c r="D10" s="20" t="s">
        <v>44</v>
      </c>
      <c r="E10" s="20" t="s">
        <v>45</v>
      </c>
      <c r="F10" s="20" t="s">
        <v>46</v>
      </c>
      <c r="G10" s="21">
        <v>785</v>
      </c>
      <c r="H10" s="21">
        <v>25</v>
      </c>
      <c r="I10" s="21">
        <f t="shared" ref="I10:I15" si="1">G10-H10</f>
        <v>760</v>
      </c>
      <c r="J10" s="20" t="s">
        <v>27</v>
      </c>
      <c r="K10" s="20" t="s">
        <v>21</v>
      </c>
      <c r="L10" s="20" t="s">
        <v>22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47</v>
      </c>
      <c r="D11" s="20" t="s">
        <v>48</v>
      </c>
      <c r="E11" s="20" t="s">
        <v>49</v>
      </c>
      <c r="F11" s="20" t="s">
        <v>26</v>
      </c>
      <c r="G11" s="21">
        <v>720</v>
      </c>
      <c r="H11" s="21">
        <v>30</v>
      </c>
      <c r="I11" s="21">
        <f t="shared" si="1"/>
        <v>690</v>
      </c>
      <c r="J11" s="20" t="s">
        <v>27</v>
      </c>
      <c r="K11" s="20" t="s">
        <v>21</v>
      </c>
      <c r="L11" s="20" t="s">
        <v>22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50</v>
      </c>
      <c r="D12" s="20" t="s">
        <v>51</v>
      </c>
      <c r="E12" s="20" t="s">
        <v>52</v>
      </c>
      <c r="F12" s="21">
        <v>8</v>
      </c>
      <c r="G12" s="21">
        <v>780</v>
      </c>
      <c r="H12" s="21">
        <v>30</v>
      </c>
      <c r="I12" s="21">
        <f t="shared" si="1"/>
        <v>750</v>
      </c>
      <c r="J12" s="20" t="s">
        <v>27</v>
      </c>
      <c r="K12" s="20" t="s">
        <v>21</v>
      </c>
      <c r="L12" s="20" t="s">
        <v>22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53</v>
      </c>
      <c r="D13" s="20" t="s">
        <v>54</v>
      </c>
      <c r="E13" s="20" t="s">
        <v>55</v>
      </c>
      <c r="F13" s="20" t="s">
        <v>26</v>
      </c>
      <c r="G13" s="21">
        <v>670</v>
      </c>
      <c r="H13" s="21">
        <v>30</v>
      </c>
      <c r="I13" s="21">
        <f t="shared" si="1"/>
        <v>640</v>
      </c>
      <c r="J13" s="20" t="s">
        <v>27</v>
      </c>
      <c r="K13" s="20" t="s">
        <v>21</v>
      </c>
      <c r="L13" s="20" t="s">
        <v>22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56</v>
      </c>
      <c r="D14" s="20" t="s">
        <v>57</v>
      </c>
      <c r="E14" s="20" t="s">
        <v>58</v>
      </c>
      <c r="F14" s="21">
        <v>6</v>
      </c>
      <c r="G14" s="21">
        <v>1445</v>
      </c>
      <c r="H14" s="21">
        <v>25</v>
      </c>
      <c r="I14" s="21">
        <f t="shared" si="1"/>
        <v>1420</v>
      </c>
      <c r="J14" s="20" t="s">
        <v>27</v>
      </c>
      <c r="K14" s="20" t="s">
        <v>21</v>
      </c>
      <c r="L14" s="20" t="s">
        <v>22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59</v>
      </c>
      <c r="D15" s="20" t="s">
        <v>60</v>
      </c>
      <c r="E15" s="20" t="s">
        <v>61</v>
      </c>
      <c r="F15" s="21">
        <v>9</v>
      </c>
      <c r="G15" s="21">
        <v>780</v>
      </c>
      <c r="H15" s="21">
        <v>30</v>
      </c>
      <c r="I15" s="21">
        <f t="shared" si="1"/>
        <v>750</v>
      </c>
      <c r="J15" s="20" t="s">
        <v>27</v>
      </c>
      <c r="K15" s="20" t="s">
        <v>21</v>
      </c>
      <c r="L15" s="20" t="s">
        <v>22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62</v>
      </c>
      <c r="D16" s="20" t="s">
        <v>63</v>
      </c>
      <c r="E16" s="20" t="s">
        <v>64</v>
      </c>
      <c r="F16" s="20" t="s">
        <v>26</v>
      </c>
      <c r="G16" s="21">
        <v>0</v>
      </c>
      <c r="H16" s="21">
        <v>30</v>
      </c>
      <c r="I16" s="21">
        <f>-H16</f>
        <v>-30</v>
      </c>
      <c r="J16" s="20" t="s">
        <v>27</v>
      </c>
      <c r="K16" s="20" t="s">
        <v>21</v>
      </c>
      <c r="L16" s="20" t="s">
        <v>22</v>
      </c>
      <c r="M16" s="20"/>
      <c r="N16" s="20"/>
      <c r="O16" s="20"/>
      <c r="P16" s="20"/>
      <c r="Q16" s="20">
        <v>1</v>
      </c>
      <c r="R16" s="15">
        <f>H16</f>
        <v>30</v>
      </c>
    </row>
    <row r="17" spans="1:18" x14ac:dyDescent="0.25">
      <c r="A17" s="20"/>
      <c r="B17" s="20" t="s">
        <v>17</v>
      </c>
      <c r="C17" s="20" t="s">
        <v>65</v>
      </c>
      <c r="D17" s="20" t="s">
        <v>66</v>
      </c>
      <c r="E17" s="20" t="s">
        <v>67</v>
      </c>
      <c r="F17" s="21">
        <v>12</v>
      </c>
      <c r="G17" s="21">
        <v>690</v>
      </c>
      <c r="H17" s="21">
        <v>30</v>
      </c>
      <c r="I17" s="21">
        <f>G17-H17</f>
        <v>660</v>
      </c>
      <c r="J17" s="20" t="s">
        <v>27</v>
      </c>
      <c r="K17" s="20" t="s">
        <v>21</v>
      </c>
      <c r="L17" s="20" t="s">
        <v>22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68</v>
      </c>
      <c r="D18" s="20" t="s">
        <v>69</v>
      </c>
      <c r="E18" s="20" t="s">
        <v>70</v>
      </c>
      <c r="F18" s="21">
        <v>2</v>
      </c>
      <c r="G18" s="21">
        <v>820</v>
      </c>
      <c r="H18" s="21">
        <v>30</v>
      </c>
      <c r="I18" s="21">
        <f>G18-H18</f>
        <v>790</v>
      </c>
      <c r="J18" s="20" t="s">
        <v>21</v>
      </c>
      <c r="K18" s="20" t="s">
        <v>21</v>
      </c>
      <c r="L18" s="20" t="s">
        <v>22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71</v>
      </c>
      <c r="D19" s="20" t="s">
        <v>72</v>
      </c>
      <c r="E19" s="20" t="s">
        <v>73</v>
      </c>
      <c r="F19" s="21">
        <v>12</v>
      </c>
      <c r="G19" s="21">
        <v>0</v>
      </c>
      <c r="H19" s="21">
        <v>30</v>
      </c>
      <c r="I19" s="21">
        <f>-H19</f>
        <v>-30</v>
      </c>
      <c r="J19" s="20" t="s">
        <v>21</v>
      </c>
      <c r="K19" s="20" t="s">
        <v>21</v>
      </c>
      <c r="L19" s="20" t="s">
        <v>22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74</v>
      </c>
      <c r="D20" s="20" t="s">
        <v>75</v>
      </c>
      <c r="E20" s="20" t="s">
        <v>76</v>
      </c>
      <c r="F20" s="20" t="s">
        <v>77</v>
      </c>
      <c r="G20" s="21">
        <v>0</v>
      </c>
      <c r="H20" s="21">
        <v>40</v>
      </c>
      <c r="I20" s="21">
        <f>-H20</f>
        <v>-40</v>
      </c>
      <c r="J20" s="20" t="s">
        <v>21</v>
      </c>
      <c r="K20" s="20" t="s">
        <v>21</v>
      </c>
      <c r="L20" s="20" t="s">
        <v>22</v>
      </c>
      <c r="M20" s="20"/>
      <c r="N20" s="20"/>
      <c r="O20" s="20"/>
      <c r="P20" s="20"/>
      <c r="Q20" s="20">
        <v>1</v>
      </c>
      <c r="R20" s="15">
        <f>H20</f>
        <v>40</v>
      </c>
    </row>
    <row r="21" spans="1:18" x14ac:dyDescent="0.25">
      <c r="A21" s="20"/>
      <c r="B21" s="20" t="s">
        <v>17</v>
      </c>
      <c r="C21" s="20" t="s">
        <v>78</v>
      </c>
      <c r="D21" s="20" t="s">
        <v>79</v>
      </c>
      <c r="E21" s="20" t="s">
        <v>80</v>
      </c>
      <c r="F21" s="20" t="s">
        <v>81</v>
      </c>
      <c r="G21" s="21">
        <v>690</v>
      </c>
      <c r="H21" s="21">
        <v>30</v>
      </c>
      <c r="I21" s="21">
        <f>G21-H21</f>
        <v>660</v>
      </c>
      <c r="J21" s="20" t="s">
        <v>21</v>
      </c>
      <c r="K21" s="20" t="s">
        <v>21</v>
      </c>
      <c r="L21" s="20" t="s">
        <v>22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82</v>
      </c>
      <c r="D22" s="20" t="s">
        <v>83</v>
      </c>
      <c r="E22" s="20" t="s">
        <v>84</v>
      </c>
      <c r="F22" s="20" t="s">
        <v>85</v>
      </c>
      <c r="G22" s="21">
        <v>660</v>
      </c>
      <c r="H22" s="21">
        <v>20</v>
      </c>
      <c r="I22" s="21">
        <f>G22-H22</f>
        <v>640</v>
      </c>
      <c r="J22" s="20" t="s">
        <v>21</v>
      </c>
      <c r="K22" s="20" t="s">
        <v>21</v>
      </c>
      <c r="L22" s="20" t="s">
        <v>22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86</v>
      </c>
      <c r="D23" s="20" t="s">
        <v>87</v>
      </c>
      <c r="E23" s="20" t="s">
        <v>88</v>
      </c>
      <c r="F23" s="20" t="s">
        <v>77</v>
      </c>
      <c r="G23" s="21">
        <v>375</v>
      </c>
      <c r="H23" s="21">
        <v>25</v>
      </c>
      <c r="I23" s="21">
        <f>G23-H23</f>
        <v>350</v>
      </c>
      <c r="J23" s="20" t="s">
        <v>21</v>
      </c>
      <c r="K23" s="20" t="s">
        <v>21</v>
      </c>
      <c r="L23" s="20" t="s">
        <v>22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89</v>
      </c>
      <c r="D24" s="20" t="s">
        <v>90</v>
      </c>
      <c r="E24" s="20" t="s">
        <v>91</v>
      </c>
      <c r="F24" s="20" t="s">
        <v>77</v>
      </c>
      <c r="G24" s="21">
        <v>0</v>
      </c>
      <c r="H24" s="21">
        <v>25</v>
      </c>
      <c r="I24" s="21">
        <f>-H24</f>
        <v>-25</v>
      </c>
      <c r="J24" s="20" t="s">
        <v>21</v>
      </c>
      <c r="K24" s="20" t="s">
        <v>21</v>
      </c>
      <c r="L24" s="20" t="s">
        <v>22</v>
      </c>
      <c r="M24" s="20"/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92</v>
      </c>
      <c r="D25" s="20" t="s">
        <v>93</v>
      </c>
      <c r="E25" s="20" t="s">
        <v>94</v>
      </c>
      <c r="F25" s="20" t="s">
        <v>95</v>
      </c>
      <c r="G25" s="21">
        <v>725</v>
      </c>
      <c r="H25" s="21">
        <v>25</v>
      </c>
      <c r="I25" s="21">
        <f>G25-H25</f>
        <v>700</v>
      </c>
      <c r="J25" s="20" t="s">
        <v>21</v>
      </c>
      <c r="K25" s="20" t="s">
        <v>21</v>
      </c>
      <c r="L25" s="20" t="s">
        <v>22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96</v>
      </c>
      <c r="D26" s="20" t="s">
        <v>97</v>
      </c>
      <c r="E26" s="20" t="s">
        <v>98</v>
      </c>
      <c r="F26" s="20" t="s">
        <v>77</v>
      </c>
      <c r="G26" s="21">
        <v>0</v>
      </c>
      <c r="H26" s="21">
        <v>25</v>
      </c>
      <c r="I26" s="21">
        <f>-H26</f>
        <v>-25</v>
      </c>
      <c r="J26" s="20" t="s">
        <v>21</v>
      </c>
      <c r="K26" s="20" t="s">
        <v>21</v>
      </c>
      <c r="L26" s="20" t="s">
        <v>22</v>
      </c>
      <c r="M26" s="20"/>
      <c r="N26" s="20"/>
      <c r="O26" s="20"/>
      <c r="P26" s="20"/>
      <c r="Q26" s="20">
        <v>1</v>
      </c>
      <c r="R26" s="15">
        <f>H26</f>
        <v>25</v>
      </c>
    </row>
    <row r="27" spans="1:18" x14ac:dyDescent="0.25">
      <c r="A27" s="20"/>
      <c r="B27" s="20" t="s">
        <v>17</v>
      </c>
      <c r="C27" s="20" t="s">
        <v>99</v>
      </c>
      <c r="D27" s="20" t="s">
        <v>100</v>
      </c>
      <c r="E27" s="20" t="s">
        <v>101</v>
      </c>
      <c r="F27" s="20" t="s">
        <v>77</v>
      </c>
      <c r="G27" s="21">
        <v>1765</v>
      </c>
      <c r="H27" s="21">
        <v>25</v>
      </c>
      <c r="I27" s="21">
        <f>G27-H27</f>
        <v>1740</v>
      </c>
      <c r="J27" s="20" t="s">
        <v>21</v>
      </c>
      <c r="K27" s="20" t="s">
        <v>21</v>
      </c>
      <c r="L27" s="20" t="s">
        <v>22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102</v>
      </c>
      <c r="D28" s="20" t="s">
        <v>103</v>
      </c>
      <c r="E28" s="20" t="s">
        <v>104</v>
      </c>
      <c r="F28" s="20" t="s">
        <v>77</v>
      </c>
      <c r="G28" s="21">
        <v>0</v>
      </c>
      <c r="H28" s="21">
        <v>25</v>
      </c>
      <c r="I28" s="21">
        <f>-H28</f>
        <v>-25</v>
      </c>
      <c r="J28" s="20" t="s">
        <v>21</v>
      </c>
      <c r="K28" s="20" t="s">
        <v>21</v>
      </c>
      <c r="L28" s="20" t="s">
        <v>22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x14ac:dyDescent="0.25">
      <c r="A29" s="20"/>
      <c r="B29" s="20" t="s">
        <v>17</v>
      </c>
      <c r="C29" s="20" t="s">
        <v>105</v>
      </c>
      <c r="D29" s="20" t="s">
        <v>106</v>
      </c>
      <c r="E29" s="20" t="s">
        <v>107</v>
      </c>
      <c r="F29" s="20" t="s">
        <v>77</v>
      </c>
      <c r="G29" s="21">
        <v>765</v>
      </c>
      <c r="H29" s="21">
        <v>25</v>
      </c>
      <c r="I29" s="21">
        <f>G29-H29</f>
        <v>740</v>
      </c>
      <c r="J29" s="20" t="s">
        <v>21</v>
      </c>
      <c r="K29" s="20" t="s">
        <v>21</v>
      </c>
      <c r="L29" s="20" t="s">
        <v>22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108</v>
      </c>
      <c r="D30" s="20" t="s">
        <v>109</v>
      </c>
      <c r="E30" s="20" t="s">
        <v>110</v>
      </c>
      <c r="F30" s="20" t="s">
        <v>81</v>
      </c>
      <c r="G30" s="21">
        <v>820</v>
      </c>
      <c r="H30" s="21">
        <v>30</v>
      </c>
      <c r="I30" s="21">
        <f>G30-H30</f>
        <v>790</v>
      </c>
      <c r="J30" s="20" t="s">
        <v>21</v>
      </c>
      <c r="K30" s="20" t="s">
        <v>21</v>
      </c>
      <c r="L30" s="20" t="s">
        <v>22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111</v>
      </c>
      <c r="D31" s="20" t="s">
        <v>112</v>
      </c>
      <c r="E31" s="20" t="s">
        <v>113</v>
      </c>
      <c r="F31" s="20" t="s">
        <v>85</v>
      </c>
      <c r="G31" s="21">
        <v>740</v>
      </c>
      <c r="H31" s="21">
        <v>20</v>
      </c>
      <c r="I31" s="21">
        <f>G31-H31</f>
        <v>720</v>
      </c>
      <c r="J31" s="20" t="s">
        <v>21</v>
      </c>
      <c r="K31" s="20" t="s">
        <v>21</v>
      </c>
      <c r="L31" s="20" t="s">
        <v>22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114</v>
      </c>
      <c r="D32" s="20" t="s">
        <v>115</v>
      </c>
      <c r="E32" s="20" t="s">
        <v>116</v>
      </c>
      <c r="F32" s="20" t="s">
        <v>85</v>
      </c>
      <c r="G32" s="21">
        <v>770</v>
      </c>
      <c r="H32" s="21">
        <v>20</v>
      </c>
      <c r="I32" s="21">
        <f>G32-H32</f>
        <v>750</v>
      </c>
      <c r="J32" s="20" t="s">
        <v>21</v>
      </c>
      <c r="K32" s="20" t="s">
        <v>21</v>
      </c>
      <c r="L32" s="20" t="s">
        <v>22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117</v>
      </c>
      <c r="D33" s="20" t="s">
        <v>118</v>
      </c>
      <c r="E33" s="20" t="s">
        <v>119</v>
      </c>
      <c r="F33" s="21">
        <v>2</v>
      </c>
      <c r="G33" s="21">
        <v>0</v>
      </c>
      <c r="H33" s="21">
        <v>30</v>
      </c>
      <c r="I33" s="21">
        <f>-H33</f>
        <v>-30</v>
      </c>
      <c r="J33" s="20" t="s">
        <v>21</v>
      </c>
      <c r="K33" s="20" t="s">
        <v>21</v>
      </c>
      <c r="L33" s="20" t="s">
        <v>22</v>
      </c>
      <c r="M33" s="20"/>
      <c r="N33" s="20"/>
      <c r="O33" s="20"/>
      <c r="P33" s="20"/>
      <c r="Q33" s="20">
        <v>1</v>
      </c>
      <c r="R33" s="15">
        <f>H33</f>
        <v>30</v>
      </c>
    </row>
    <row r="34" spans="1:18" x14ac:dyDescent="0.25">
      <c r="A34" s="20"/>
      <c r="B34" s="20" t="s">
        <v>17</v>
      </c>
      <c r="C34" s="20" t="s">
        <v>120</v>
      </c>
      <c r="D34" s="20" t="s">
        <v>121</v>
      </c>
      <c r="E34" s="20" t="s">
        <v>122</v>
      </c>
      <c r="F34" s="20" t="s">
        <v>85</v>
      </c>
      <c r="G34" s="21">
        <v>590</v>
      </c>
      <c r="H34" s="21">
        <v>20</v>
      </c>
      <c r="I34" s="21">
        <f t="shared" ref="I34:I41" si="2">G34-H34</f>
        <v>570</v>
      </c>
      <c r="J34" s="20" t="s">
        <v>21</v>
      </c>
      <c r="K34" s="20" t="s">
        <v>21</v>
      </c>
      <c r="L34" s="20" t="s">
        <v>22</v>
      </c>
      <c r="M34" s="20"/>
      <c r="N34" s="20"/>
      <c r="O34" s="20"/>
      <c r="P34" s="20"/>
      <c r="Q34" s="20">
        <v>1</v>
      </c>
    </row>
    <row r="35" spans="1:18" s="24" customFormat="1" x14ac:dyDescent="0.25">
      <c r="A35" s="22"/>
      <c r="B35" s="22" t="s">
        <v>17</v>
      </c>
      <c r="C35" s="22" t="s">
        <v>123</v>
      </c>
      <c r="D35" s="22" t="s">
        <v>124</v>
      </c>
      <c r="E35" s="22" t="s">
        <v>125</v>
      </c>
      <c r="F35" s="23">
        <v>2</v>
      </c>
      <c r="G35" s="23">
        <v>110</v>
      </c>
      <c r="H35" s="23">
        <v>30</v>
      </c>
      <c r="I35" s="23">
        <f t="shared" si="2"/>
        <v>80</v>
      </c>
      <c r="J35" s="22" t="s">
        <v>21</v>
      </c>
      <c r="K35" s="22" t="s">
        <v>21</v>
      </c>
      <c r="L35" s="22" t="s">
        <v>22</v>
      </c>
      <c r="M35" s="22" t="s">
        <v>126</v>
      </c>
      <c r="N35" s="22"/>
      <c r="O35" s="22"/>
      <c r="P35" s="22"/>
      <c r="Q35" s="22">
        <v>1</v>
      </c>
    </row>
    <row r="36" spans="1:18" x14ac:dyDescent="0.25">
      <c r="A36" s="20" t="s">
        <v>16</v>
      </c>
      <c r="B36" s="20" t="s">
        <v>17</v>
      </c>
      <c r="C36" s="20" t="s">
        <v>127</v>
      </c>
      <c r="D36" s="20"/>
      <c r="E36" s="20" t="s">
        <v>128</v>
      </c>
      <c r="F36" s="20" t="s">
        <v>81</v>
      </c>
      <c r="G36" s="21">
        <v>1165</v>
      </c>
      <c r="H36" s="21">
        <v>35</v>
      </c>
      <c r="I36" s="21">
        <f t="shared" si="2"/>
        <v>1130</v>
      </c>
      <c r="J36" s="20" t="s">
        <v>21</v>
      </c>
      <c r="K36" s="20" t="s">
        <v>21</v>
      </c>
      <c r="L36" s="20" t="s">
        <v>22</v>
      </c>
      <c r="M36" s="20"/>
      <c r="N36" s="20"/>
      <c r="O36" s="20"/>
      <c r="P36" s="20"/>
      <c r="Q36" s="20">
        <v>1</v>
      </c>
    </row>
    <row r="37" spans="1:18" x14ac:dyDescent="0.25">
      <c r="A37" s="20" t="s">
        <v>16</v>
      </c>
      <c r="B37" s="20" t="s">
        <v>17</v>
      </c>
      <c r="C37" s="20" t="s">
        <v>129</v>
      </c>
      <c r="D37" s="20"/>
      <c r="E37" s="20" t="s">
        <v>130</v>
      </c>
      <c r="F37" s="20" t="s">
        <v>77</v>
      </c>
      <c r="G37" s="21">
        <v>2985</v>
      </c>
      <c r="H37" s="21">
        <v>35</v>
      </c>
      <c r="I37" s="21">
        <f t="shared" si="2"/>
        <v>2950</v>
      </c>
      <c r="J37" s="20" t="s">
        <v>21</v>
      </c>
      <c r="K37" s="20" t="s">
        <v>21</v>
      </c>
      <c r="L37" s="20" t="s">
        <v>22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17</v>
      </c>
      <c r="C38" s="20" t="s">
        <v>131</v>
      </c>
      <c r="D38" s="20" t="s">
        <v>132</v>
      </c>
      <c r="E38" s="20" t="s">
        <v>133</v>
      </c>
      <c r="F38" s="20" t="s">
        <v>134</v>
      </c>
      <c r="G38" s="21">
        <v>1145</v>
      </c>
      <c r="H38" s="21">
        <v>35</v>
      </c>
      <c r="I38" s="21">
        <f t="shared" si="2"/>
        <v>1110</v>
      </c>
      <c r="J38" s="20" t="s">
        <v>135</v>
      </c>
      <c r="K38" s="20" t="s">
        <v>21</v>
      </c>
      <c r="L38" s="20" t="s">
        <v>22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17</v>
      </c>
      <c r="C39" s="20" t="s">
        <v>136</v>
      </c>
      <c r="D39" s="20" t="s">
        <v>137</v>
      </c>
      <c r="E39" s="20" t="s">
        <v>138</v>
      </c>
      <c r="F39" s="20" t="s">
        <v>139</v>
      </c>
      <c r="G39" s="21">
        <v>675</v>
      </c>
      <c r="H39" s="21">
        <v>35</v>
      </c>
      <c r="I39" s="21">
        <f t="shared" si="2"/>
        <v>640</v>
      </c>
      <c r="J39" s="20" t="s">
        <v>135</v>
      </c>
      <c r="K39" s="20" t="s">
        <v>21</v>
      </c>
      <c r="L39" s="20" t="s">
        <v>22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17</v>
      </c>
      <c r="C40" s="20" t="s">
        <v>140</v>
      </c>
      <c r="D40" s="20" t="s">
        <v>141</v>
      </c>
      <c r="E40" s="20" t="s">
        <v>142</v>
      </c>
      <c r="F40" s="21">
        <v>5</v>
      </c>
      <c r="G40" s="21">
        <v>785</v>
      </c>
      <c r="H40" s="21">
        <v>25</v>
      </c>
      <c r="I40" s="21">
        <f t="shared" si="2"/>
        <v>760</v>
      </c>
      <c r="J40" s="20" t="s">
        <v>135</v>
      </c>
      <c r="K40" s="20" t="s">
        <v>21</v>
      </c>
      <c r="L40" s="20" t="s">
        <v>22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17</v>
      </c>
      <c r="C41" s="20" t="s">
        <v>143</v>
      </c>
      <c r="D41" s="20" t="s">
        <v>144</v>
      </c>
      <c r="E41" s="20" t="s">
        <v>145</v>
      </c>
      <c r="F41" s="21">
        <v>1</v>
      </c>
      <c r="G41" s="21">
        <v>725</v>
      </c>
      <c r="H41" s="21">
        <v>25</v>
      </c>
      <c r="I41" s="21">
        <f t="shared" si="2"/>
        <v>700</v>
      </c>
      <c r="J41" s="20" t="s">
        <v>135</v>
      </c>
      <c r="K41" s="20" t="s">
        <v>21</v>
      </c>
      <c r="L41" s="20" t="s">
        <v>22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17</v>
      </c>
      <c r="C42" s="20" t="s">
        <v>146</v>
      </c>
      <c r="D42" s="20" t="s">
        <v>147</v>
      </c>
      <c r="E42" s="20" t="s">
        <v>148</v>
      </c>
      <c r="F42" s="21">
        <v>5</v>
      </c>
      <c r="G42" s="21">
        <v>0</v>
      </c>
      <c r="H42" s="21">
        <v>25</v>
      </c>
      <c r="I42" s="21">
        <f>-H42</f>
        <v>-25</v>
      </c>
      <c r="J42" s="20" t="s">
        <v>135</v>
      </c>
      <c r="K42" s="20" t="s">
        <v>21</v>
      </c>
      <c r="L42" s="20" t="s">
        <v>22</v>
      </c>
      <c r="M42" s="20"/>
      <c r="N42" s="20"/>
      <c r="O42" s="20"/>
      <c r="P42" s="20"/>
      <c r="Q42" s="20">
        <v>1</v>
      </c>
      <c r="R42" s="15">
        <f>H42</f>
        <v>25</v>
      </c>
    </row>
    <row r="43" spans="1:18" x14ac:dyDescent="0.25">
      <c r="A43" s="20"/>
      <c r="B43" s="20" t="s">
        <v>17</v>
      </c>
      <c r="C43" s="20" t="s">
        <v>149</v>
      </c>
      <c r="D43" s="20" t="s">
        <v>150</v>
      </c>
      <c r="E43" s="20" t="s">
        <v>151</v>
      </c>
      <c r="F43" s="21">
        <v>3</v>
      </c>
      <c r="G43" s="21">
        <v>1585</v>
      </c>
      <c r="H43" s="21">
        <v>25</v>
      </c>
      <c r="I43" s="21">
        <f>G43-H43</f>
        <v>1560</v>
      </c>
      <c r="J43" s="20" t="s">
        <v>135</v>
      </c>
      <c r="K43" s="20" t="s">
        <v>21</v>
      </c>
      <c r="L43" s="20" t="s">
        <v>22</v>
      </c>
      <c r="M43" s="20"/>
      <c r="N43" s="20"/>
      <c r="O43" s="20"/>
      <c r="P43" s="20"/>
      <c r="Q43" s="20">
        <v>1</v>
      </c>
    </row>
    <row r="44" spans="1:18" x14ac:dyDescent="0.25">
      <c r="A44" s="20"/>
      <c r="B44" s="20" t="s">
        <v>17</v>
      </c>
      <c r="C44" s="20" t="s">
        <v>152</v>
      </c>
      <c r="D44" s="20" t="s">
        <v>153</v>
      </c>
      <c r="E44" s="20" t="s">
        <v>154</v>
      </c>
      <c r="F44" s="21">
        <v>3</v>
      </c>
      <c r="G44" s="21">
        <v>815</v>
      </c>
      <c r="H44" s="21">
        <v>25</v>
      </c>
      <c r="I44" s="21">
        <f>G44-H44</f>
        <v>790</v>
      </c>
      <c r="J44" s="20" t="s">
        <v>135</v>
      </c>
      <c r="K44" s="20" t="s">
        <v>21</v>
      </c>
      <c r="L44" s="20" t="s">
        <v>22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17</v>
      </c>
      <c r="C45" s="20" t="s">
        <v>155</v>
      </c>
      <c r="D45" s="20" t="s">
        <v>156</v>
      </c>
      <c r="E45" s="20" t="s">
        <v>157</v>
      </c>
      <c r="F45" s="21">
        <v>7</v>
      </c>
      <c r="G45" s="21">
        <v>690</v>
      </c>
      <c r="H45" s="21">
        <v>30</v>
      </c>
      <c r="I45" s="21">
        <f>G45-H45</f>
        <v>660</v>
      </c>
      <c r="J45" s="20" t="s">
        <v>135</v>
      </c>
      <c r="K45" s="20" t="s">
        <v>21</v>
      </c>
      <c r="L45" s="20" t="s">
        <v>22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17</v>
      </c>
      <c r="C46" s="20" t="s">
        <v>158</v>
      </c>
      <c r="D46" s="20" t="s">
        <v>159</v>
      </c>
      <c r="E46" s="20" t="s">
        <v>160</v>
      </c>
      <c r="F46" s="20" t="s">
        <v>95</v>
      </c>
      <c r="G46" s="21">
        <v>0</v>
      </c>
      <c r="H46" s="21">
        <v>25</v>
      </c>
      <c r="I46" s="21">
        <f>-H46</f>
        <v>-25</v>
      </c>
      <c r="J46" s="20" t="s">
        <v>135</v>
      </c>
      <c r="K46" s="20" t="s">
        <v>21</v>
      </c>
      <c r="L46" s="20" t="s">
        <v>22</v>
      </c>
      <c r="M46" s="20"/>
      <c r="N46" s="20"/>
      <c r="O46" s="20"/>
      <c r="P46" s="20"/>
      <c r="Q46" s="20">
        <v>1</v>
      </c>
      <c r="R46" s="15">
        <f>H46</f>
        <v>25</v>
      </c>
    </row>
    <row r="47" spans="1:18" s="24" customFormat="1" x14ac:dyDescent="0.25">
      <c r="A47" s="22"/>
      <c r="B47" s="22" t="s">
        <v>17</v>
      </c>
      <c r="C47" s="22" t="s">
        <v>161</v>
      </c>
      <c r="D47" s="22" t="s">
        <v>162</v>
      </c>
      <c r="E47" s="22" t="s">
        <v>163</v>
      </c>
      <c r="F47" s="23">
        <v>7</v>
      </c>
      <c r="G47" s="23">
        <v>60</v>
      </c>
      <c r="H47" s="23">
        <v>30</v>
      </c>
      <c r="I47" s="23">
        <f>G47-H47</f>
        <v>30</v>
      </c>
      <c r="J47" s="22" t="s">
        <v>135</v>
      </c>
      <c r="K47" s="22" t="s">
        <v>21</v>
      </c>
      <c r="L47" s="22" t="s">
        <v>22</v>
      </c>
      <c r="M47" s="22" t="s">
        <v>126</v>
      </c>
      <c r="N47" s="22"/>
      <c r="O47" s="22"/>
      <c r="P47" s="22"/>
      <c r="Q47" s="22">
        <v>1</v>
      </c>
    </row>
    <row r="48" spans="1:18" x14ac:dyDescent="0.25">
      <c r="A48" s="20"/>
      <c r="B48" s="20" t="s">
        <v>17</v>
      </c>
      <c r="C48" s="20" t="s">
        <v>164</v>
      </c>
      <c r="D48" s="20" t="s">
        <v>165</v>
      </c>
      <c r="E48" s="20" t="s">
        <v>166</v>
      </c>
      <c r="F48" s="21">
        <v>1</v>
      </c>
      <c r="G48" s="21">
        <v>2040</v>
      </c>
      <c r="H48" s="21">
        <v>30</v>
      </c>
      <c r="I48" s="21">
        <f>G48-H48</f>
        <v>2010</v>
      </c>
      <c r="J48" s="20" t="s">
        <v>135</v>
      </c>
      <c r="K48" s="20" t="s">
        <v>21</v>
      </c>
      <c r="L48" s="20" t="s">
        <v>22</v>
      </c>
      <c r="M48" s="25" t="s">
        <v>167</v>
      </c>
      <c r="N48" s="20"/>
      <c r="O48" s="20"/>
      <c r="P48" s="20"/>
      <c r="Q48" s="20">
        <v>1</v>
      </c>
      <c r="R48" s="15">
        <f>H48</f>
        <v>30</v>
      </c>
    </row>
    <row r="49" spans="1:18" x14ac:dyDescent="0.25">
      <c r="A49" s="20"/>
      <c r="B49" s="20" t="s">
        <v>17</v>
      </c>
      <c r="C49" s="20" t="s">
        <v>168</v>
      </c>
      <c r="D49" s="20" t="s">
        <v>169</v>
      </c>
      <c r="E49" s="20" t="s">
        <v>170</v>
      </c>
      <c r="F49" s="21">
        <v>7</v>
      </c>
      <c r="G49" s="21">
        <v>1800</v>
      </c>
      <c r="H49" s="21">
        <v>30</v>
      </c>
      <c r="I49" s="21">
        <f>G49-H49</f>
        <v>1770</v>
      </c>
      <c r="J49" s="20" t="s">
        <v>135</v>
      </c>
      <c r="K49" s="20" t="s">
        <v>21</v>
      </c>
      <c r="L49" s="20" t="s">
        <v>22</v>
      </c>
      <c r="M49" s="20"/>
      <c r="N49" s="20"/>
      <c r="O49" s="20"/>
      <c r="P49" s="20"/>
      <c r="Q49" s="20">
        <v>1</v>
      </c>
    </row>
    <row r="50" spans="1:18" x14ac:dyDescent="0.25">
      <c r="A50" s="20"/>
      <c r="B50" s="20" t="s">
        <v>17</v>
      </c>
      <c r="C50" s="20" t="s">
        <v>171</v>
      </c>
      <c r="D50" s="20" t="s">
        <v>172</v>
      </c>
      <c r="E50" s="20" t="s">
        <v>173</v>
      </c>
      <c r="F50" s="21">
        <v>7</v>
      </c>
      <c r="G50" s="21">
        <v>770</v>
      </c>
      <c r="H50" s="21">
        <v>30</v>
      </c>
      <c r="I50" s="21">
        <f>G50-H50</f>
        <v>740</v>
      </c>
      <c r="J50" s="20" t="s">
        <v>135</v>
      </c>
      <c r="K50" s="20" t="s">
        <v>21</v>
      </c>
      <c r="L50" s="20" t="s">
        <v>22</v>
      </c>
      <c r="M50" s="20"/>
      <c r="N50" s="20"/>
      <c r="O50" s="20"/>
      <c r="P50" s="20"/>
      <c r="Q50" s="20">
        <v>1</v>
      </c>
    </row>
    <row r="51" spans="1:18" x14ac:dyDescent="0.25">
      <c r="A51" s="20"/>
      <c r="B51" s="20" t="s">
        <v>17</v>
      </c>
      <c r="C51" s="20" t="s">
        <v>174</v>
      </c>
      <c r="D51" s="20" t="s">
        <v>175</v>
      </c>
      <c r="E51" s="20" t="s">
        <v>176</v>
      </c>
      <c r="F51" s="21">
        <v>7</v>
      </c>
      <c r="G51" s="21">
        <v>770</v>
      </c>
      <c r="H51" s="21">
        <v>30</v>
      </c>
      <c r="I51" s="21">
        <f>G51-H51</f>
        <v>740</v>
      </c>
      <c r="J51" s="20" t="s">
        <v>135</v>
      </c>
      <c r="K51" s="20" t="s">
        <v>21</v>
      </c>
      <c r="L51" s="20" t="s">
        <v>22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17</v>
      </c>
      <c r="C52" s="20" t="s">
        <v>177</v>
      </c>
      <c r="D52" s="20" t="s">
        <v>178</v>
      </c>
      <c r="E52" s="20" t="s">
        <v>179</v>
      </c>
      <c r="F52" s="21">
        <v>8</v>
      </c>
      <c r="G52" s="21">
        <v>0</v>
      </c>
      <c r="H52" s="21">
        <v>25</v>
      </c>
      <c r="I52" s="21">
        <f>-H52</f>
        <v>-25</v>
      </c>
      <c r="J52" s="20" t="s">
        <v>135</v>
      </c>
      <c r="K52" s="20" t="s">
        <v>21</v>
      </c>
      <c r="L52" s="20" t="s">
        <v>22</v>
      </c>
      <c r="M52" s="20"/>
      <c r="N52" s="20"/>
      <c r="O52" s="20"/>
      <c r="P52" s="20"/>
      <c r="Q52" s="20">
        <v>1</v>
      </c>
      <c r="R52" s="15">
        <f>H52</f>
        <v>25</v>
      </c>
    </row>
    <row r="53" spans="1:18" x14ac:dyDescent="0.25">
      <c r="A53" s="20"/>
      <c r="B53" s="20" t="s">
        <v>17</v>
      </c>
      <c r="C53" s="20" t="s">
        <v>180</v>
      </c>
      <c r="D53" s="20" t="s">
        <v>181</v>
      </c>
      <c r="E53" s="20" t="s">
        <v>182</v>
      </c>
      <c r="F53" s="21">
        <v>3</v>
      </c>
      <c r="G53" s="21">
        <v>0</v>
      </c>
      <c r="H53" s="21">
        <v>25</v>
      </c>
      <c r="I53" s="21">
        <f>-H53</f>
        <v>-25</v>
      </c>
      <c r="J53" s="20" t="s">
        <v>135</v>
      </c>
      <c r="K53" s="20" t="s">
        <v>21</v>
      </c>
      <c r="L53" s="20" t="s">
        <v>22</v>
      </c>
      <c r="M53" s="20"/>
      <c r="N53" s="20"/>
      <c r="O53" s="20"/>
      <c r="P53" s="20"/>
      <c r="Q53" s="20">
        <v>1</v>
      </c>
      <c r="R53" s="15">
        <f>H53</f>
        <v>25</v>
      </c>
    </row>
    <row r="54" spans="1:18" x14ac:dyDescent="0.25">
      <c r="A54" s="20"/>
      <c r="B54" s="20" t="s">
        <v>17</v>
      </c>
      <c r="C54" s="20" t="s">
        <v>183</v>
      </c>
      <c r="D54" s="20" t="s">
        <v>184</v>
      </c>
      <c r="E54" s="20" t="s">
        <v>185</v>
      </c>
      <c r="F54" s="21">
        <v>4</v>
      </c>
      <c r="G54" s="21">
        <v>815</v>
      </c>
      <c r="H54" s="21">
        <v>25</v>
      </c>
      <c r="I54" s="21">
        <f>G54-H54</f>
        <v>790</v>
      </c>
      <c r="J54" s="20" t="s">
        <v>135</v>
      </c>
      <c r="K54" s="20" t="s">
        <v>21</v>
      </c>
      <c r="L54" s="20" t="s">
        <v>22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17</v>
      </c>
      <c r="C55" s="20" t="s">
        <v>186</v>
      </c>
      <c r="D55" s="20" t="s">
        <v>187</v>
      </c>
      <c r="E55" s="20" t="s">
        <v>188</v>
      </c>
      <c r="F55" s="21">
        <v>4</v>
      </c>
      <c r="G55" s="21">
        <v>815</v>
      </c>
      <c r="H55" s="21">
        <v>25</v>
      </c>
      <c r="I55" s="21">
        <f>G55-H55</f>
        <v>790</v>
      </c>
      <c r="J55" s="20" t="s">
        <v>135</v>
      </c>
      <c r="K55" s="20" t="s">
        <v>21</v>
      </c>
      <c r="L55" s="20" t="s">
        <v>22</v>
      </c>
      <c r="M55" s="20"/>
      <c r="N55" s="20"/>
      <c r="O55" s="20"/>
      <c r="P55" s="20"/>
      <c r="Q55" s="20">
        <v>1</v>
      </c>
    </row>
    <row r="56" spans="1:18" x14ac:dyDescent="0.25">
      <c r="A56" s="20" t="s">
        <v>16</v>
      </c>
      <c r="B56" s="20" t="s">
        <v>17</v>
      </c>
      <c r="C56" s="20" t="s">
        <v>189</v>
      </c>
      <c r="D56" s="20"/>
      <c r="E56" s="20" t="s">
        <v>190</v>
      </c>
      <c r="F56" s="21">
        <v>5</v>
      </c>
      <c r="G56" s="21">
        <v>0</v>
      </c>
      <c r="H56" s="21">
        <v>30</v>
      </c>
      <c r="I56" s="21">
        <f>-H56</f>
        <v>-30</v>
      </c>
      <c r="J56" s="20" t="s">
        <v>135</v>
      </c>
      <c r="K56" s="20" t="s">
        <v>21</v>
      </c>
      <c r="L56" s="20" t="s">
        <v>22</v>
      </c>
      <c r="M56" s="20"/>
      <c r="N56" s="20"/>
      <c r="O56" s="20"/>
      <c r="P56" s="20"/>
      <c r="Q56" s="20">
        <v>1</v>
      </c>
      <c r="R56" s="15">
        <f>H56</f>
        <v>30</v>
      </c>
    </row>
    <row r="58" spans="1:18" x14ac:dyDescent="0.25">
      <c r="D58" s="6">
        <f>COUNTA(D3:D56)</f>
        <v>50</v>
      </c>
      <c r="G58" s="6">
        <f t="shared" ref="G58:Q58" si="3">SUBTOTAL(9,G3:G56)</f>
        <v>36815</v>
      </c>
      <c r="H58" s="6">
        <f t="shared" si="3"/>
        <v>1520</v>
      </c>
      <c r="I58" s="6">
        <f t="shared" si="3"/>
        <v>35295</v>
      </c>
      <c r="J58" s="6">
        <f t="shared" si="3"/>
        <v>0</v>
      </c>
      <c r="K58" s="6">
        <f t="shared" si="3"/>
        <v>0</v>
      </c>
      <c r="L58" s="6">
        <f t="shared" si="3"/>
        <v>0</v>
      </c>
      <c r="M58" s="6">
        <f t="shared" si="3"/>
        <v>0</v>
      </c>
      <c r="N58" s="6">
        <f t="shared" si="3"/>
        <v>0</v>
      </c>
      <c r="O58" s="6">
        <f t="shared" si="3"/>
        <v>0</v>
      </c>
      <c r="P58" s="6">
        <f t="shared" si="3"/>
        <v>0</v>
      </c>
      <c r="Q58" s="6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6" t="s">
        <v>17</v>
      </c>
      <c r="C60" s="5" t="s">
        <v>191</v>
      </c>
      <c r="D60" s="5"/>
      <c r="E60" s="9" t="s">
        <v>192</v>
      </c>
      <c r="H60">
        <f>-9*25</f>
        <v>-225</v>
      </c>
      <c r="K60" s="16" t="s">
        <v>27</v>
      </c>
      <c r="L60" s="16" t="s">
        <v>193</v>
      </c>
      <c r="M60" s="16" t="s">
        <v>192</v>
      </c>
      <c r="O60" s="9" t="s">
        <v>194</v>
      </c>
    </row>
    <row r="61" spans="1:18" x14ac:dyDescent="0.25">
      <c r="A61" t="s">
        <v>22</v>
      </c>
      <c r="B61" s="8" t="s">
        <v>195</v>
      </c>
      <c r="C61" s="4">
        <f>SUMIFS(I$3:I$56,B$3:B$56,A$60,L$3:L$56,A$61)</f>
        <v>35295</v>
      </c>
      <c r="D61" s="4"/>
      <c r="E61" s="8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7" t="s">
        <v>199</v>
      </c>
      <c r="C62" s="3">
        <v>0</v>
      </c>
      <c r="D62" s="3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13055</v>
      </c>
    </row>
    <row r="63" spans="1:18" x14ac:dyDescent="0.25">
      <c r="B63" s="7" t="s">
        <v>201</v>
      </c>
      <c r="C63" s="3">
        <f>-SUMIFS(I$3:I$56,B$3:B$56,A$60,P$3:P$56,"xx",N$3:N$56,"x")</f>
        <v>0</v>
      </c>
      <c r="D63" s="3"/>
      <c r="E63" s="7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9" t="s">
        <v>203</v>
      </c>
      <c r="C64" s="5">
        <f>SUBTOTAL(9,C61:C63)</f>
        <v>35295</v>
      </c>
      <c r="D64" s="5"/>
      <c r="E64">
        <f>E61</f>
        <v>54</v>
      </c>
      <c r="K64" s="7" t="s">
        <v>204</v>
      </c>
      <c r="O64" t="s">
        <v>20</v>
      </c>
      <c r="P64">
        <f>L90</f>
        <v>865</v>
      </c>
    </row>
    <row r="65" spans="2:16" x14ac:dyDescent="0.25">
      <c r="B65" s="7" t="s">
        <v>205</v>
      </c>
      <c r="C65" s="2"/>
      <c r="D65" s="2"/>
      <c r="K65" s="7" t="s">
        <v>206</v>
      </c>
      <c r="O65" t="s">
        <v>207</v>
      </c>
      <c r="P65">
        <f>-C68</f>
        <v>-35295</v>
      </c>
    </row>
    <row r="66" spans="2:16" x14ac:dyDescent="0.25">
      <c r="B66" s="17" t="s">
        <v>208</v>
      </c>
      <c r="C66" s="2"/>
      <c r="D66" s="2"/>
      <c r="L66" s="18">
        <f>SUBTOTAL(9,L61:L65)</f>
        <v>9140</v>
      </c>
      <c r="M66" s="18">
        <f>M61</f>
        <v>14</v>
      </c>
      <c r="O66" s="9" t="s">
        <v>209</v>
      </c>
      <c r="P66" s="9">
        <f>SUBTOTAL(9,P61:P65)</f>
        <v>192</v>
      </c>
    </row>
    <row r="68" spans="2:16" x14ac:dyDescent="0.25">
      <c r="B68" s="6" t="s">
        <v>210</v>
      </c>
      <c r="C68" s="1">
        <f>C64+C65+C66</f>
        <v>35295</v>
      </c>
      <c r="D68" s="1"/>
      <c r="E68" s="6" t="s">
        <v>211</v>
      </c>
      <c r="K68" s="16" t="s">
        <v>135</v>
      </c>
      <c r="L68" s="16" t="s">
        <v>193</v>
      </c>
      <c r="M68" s="16" t="s">
        <v>192</v>
      </c>
    </row>
    <row r="69" spans="2:16" x14ac:dyDescent="0.25">
      <c r="K69" t="s">
        <v>197</v>
      </c>
      <c r="L69">
        <f>SUMIFS(G$3:G$56,J$3:J$56,K$68)</f>
        <v>13490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7" t="s">
        <v>204</v>
      </c>
    </row>
    <row r="73" spans="2:16" x14ac:dyDescent="0.25">
      <c r="K73" s="7" t="s">
        <v>206</v>
      </c>
    </row>
    <row r="74" spans="2:16" x14ac:dyDescent="0.25">
      <c r="L74" s="18">
        <f>SUBTOTAL(9,L69:L73)</f>
        <v>13055</v>
      </c>
      <c r="M74" s="18">
        <f>M69</f>
        <v>19</v>
      </c>
    </row>
    <row r="76" spans="2:16" x14ac:dyDescent="0.25">
      <c r="K76" s="16" t="s">
        <v>21</v>
      </c>
      <c r="L76" s="16" t="s">
        <v>193</v>
      </c>
      <c r="M76" s="16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7" t="s">
        <v>204</v>
      </c>
    </row>
    <row r="81" spans="11:13" x14ac:dyDescent="0.25">
      <c r="K81" s="7" t="s">
        <v>206</v>
      </c>
    </row>
    <row r="82" spans="11:13" x14ac:dyDescent="0.25">
      <c r="L82" s="18">
        <f>SUBTOTAL(9,L77:L81)</f>
        <v>12427</v>
      </c>
      <c r="M82" s="18">
        <f>M77</f>
        <v>20</v>
      </c>
    </row>
    <row r="84" spans="11:13" x14ac:dyDescent="0.25">
      <c r="K84" s="16" t="s">
        <v>20</v>
      </c>
      <c r="L84" s="16" t="s">
        <v>193</v>
      </c>
      <c r="M84" s="16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7" t="s">
        <v>204</v>
      </c>
    </row>
    <row r="89" spans="11:13" x14ac:dyDescent="0.25">
      <c r="K89" s="7" t="s">
        <v>206</v>
      </c>
    </row>
    <row r="90" spans="11:13" x14ac:dyDescent="0.25">
      <c r="L90" s="18">
        <f>SUBTOTAL(9,L85:L89)</f>
        <v>865</v>
      </c>
      <c r="M90" s="18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60"/>
  <sheetViews>
    <sheetView topLeftCell="A31" workbookViewId="0">
      <selection activeCell="G48" sqref="G48"/>
    </sheetView>
  </sheetViews>
  <sheetFormatPr defaultRowHeight="15" x14ac:dyDescent="0.25"/>
  <cols>
    <col min="1" max="1" width="18.42578125" bestFit="1" customWidth="1"/>
    <col min="2" max="2" width="18" bestFit="1" customWidth="1"/>
    <col min="3" max="3" width="39" bestFit="1" customWidth="1"/>
    <col min="4" max="4" width="9.5703125" bestFit="1" customWidth="1"/>
    <col min="5" max="5" width="73.85546875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28515625" bestFit="1" customWidth="1"/>
    <col min="13" max="13" width="13.7109375" bestFit="1" customWidth="1"/>
    <col min="14" max="14" width="12.140625" bestFit="1" customWidth="1"/>
    <col min="15" max="15" width="13" bestFit="1" customWidth="1"/>
    <col min="16" max="16" width="7" bestFit="1" customWidth="1"/>
    <col min="17" max="17" width="6.5703125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7" x14ac:dyDescent="0.25">
      <c r="A3" s="20"/>
      <c r="B3" s="20" t="s">
        <v>17</v>
      </c>
      <c r="C3" s="20" t="s">
        <v>213</v>
      </c>
      <c r="D3" s="20" t="s">
        <v>214</v>
      </c>
      <c r="E3" s="20" t="s">
        <v>215</v>
      </c>
      <c r="F3" s="21">
        <v>9</v>
      </c>
      <c r="G3" s="21">
        <v>60</v>
      </c>
      <c r="H3" s="21">
        <v>30</v>
      </c>
      <c r="I3" s="21">
        <f>G3-H3</f>
        <v>30</v>
      </c>
      <c r="J3" s="20" t="s">
        <v>20</v>
      </c>
      <c r="K3" s="20" t="s">
        <v>21</v>
      </c>
      <c r="L3" s="20" t="s">
        <v>216</v>
      </c>
      <c r="M3" s="20" t="s">
        <v>167</v>
      </c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217</v>
      </c>
      <c r="D4" s="20" t="s">
        <v>218</v>
      </c>
      <c r="E4" s="20" t="s">
        <v>219</v>
      </c>
      <c r="F4" s="21">
        <v>6</v>
      </c>
      <c r="G4" s="21">
        <v>0</v>
      </c>
      <c r="H4" s="21">
        <v>25</v>
      </c>
      <c r="I4" s="21">
        <f>-H4</f>
        <v>-25</v>
      </c>
      <c r="J4" s="20" t="s">
        <v>220</v>
      </c>
      <c r="K4" s="20" t="s">
        <v>21</v>
      </c>
      <c r="L4" s="20" t="s">
        <v>216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221</v>
      </c>
      <c r="D5" s="20" t="s">
        <v>222</v>
      </c>
      <c r="E5" s="20" t="s">
        <v>223</v>
      </c>
      <c r="F5" s="20" t="s">
        <v>26</v>
      </c>
      <c r="G5" s="21">
        <v>0</v>
      </c>
      <c r="H5" s="21">
        <v>30</v>
      </c>
      <c r="I5" s="21">
        <f>-H5</f>
        <v>-30</v>
      </c>
      <c r="J5" s="20" t="s">
        <v>220</v>
      </c>
      <c r="K5" s="20" t="s">
        <v>21</v>
      </c>
      <c r="L5" s="20" t="s">
        <v>216</v>
      </c>
      <c r="M5" s="20" t="s">
        <v>126</v>
      </c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224</v>
      </c>
      <c r="D6" s="20" t="s">
        <v>225</v>
      </c>
      <c r="E6" s="20" t="s">
        <v>226</v>
      </c>
      <c r="F6" s="20" t="s">
        <v>26</v>
      </c>
      <c r="G6" s="21">
        <v>0</v>
      </c>
      <c r="H6" s="21">
        <v>30</v>
      </c>
      <c r="I6" s="21">
        <f>-H6</f>
        <v>-30</v>
      </c>
      <c r="J6" s="20" t="s">
        <v>220</v>
      </c>
      <c r="K6" s="20" t="s">
        <v>21</v>
      </c>
      <c r="L6" s="20" t="s">
        <v>216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227</v>
      </c>
      <c r="D7" s="20" t="s">
        <v>228</v>
      </c>
      <c r="E7" s="20" t="s">
        <v>229</v>
      </c>
      <c r="F7" s="20" t="s">
        <v>26</v>
      </c>
      <c r="G7" s="21">
        <v>820</v>
      </c>
      <c r="H7" s="21">
        <v>30</v>
      </c>
      <c r="I7" s="21">
        <f t="shared" ref="I7:I12" si="0">G7-H7</f>
        <v>790</v>
      </c>
      <c r="J7" s="20" t="s">
        <v>220</v>
      </c>
      <c r="K7" s="20" t="s">
        <v>21</v>
      </c>
      <c r="L7" s="20" t="s">
        <v>216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230</v>
      </c>
      <c r="D8" s="20" t="s">
        <v>231</v>
      </c>
      <c r="E8" s="20" t="s">
        <v>232</v>
      </c>
      <c r="F8" s="20" t="s">
        <v>134</v>
      </c>
      <c r="G8" s="21">
        <v>35</v>
      </c>
      <c r="H8" s="21">
        <v>35</v>
      </c>
      <c r="I8" s="21">
        <f t="shared" si="0"/>
        <v>0</v>
      </c>
      <c r="J8" s="20" t="s">
        <v>220</v>
      </c>
      <c r="K8" s="20" t="s">
        <v>21</v>
      </c>
      <c r="L8" s="20" t="s">
        <v>216</v>
      </c>
      <c r="M8" s="20" t="s">
        <v>126</v>
      </c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233</v>
      </c>
      <c r="D9" s="20" t="s">
        <v>234</v>
      </c>
      <c r="E9" s="20" t="s">
        <v>235</v>
      </c>
      <c r="F9" s="20" t="s">
        <v>46</v>
      </c>
      <c r="G9" s="21">
        <v>985</v>
      </c>
      <c r="H9" s="21">
        <v>25</v>
      </c>
      <c r="I9" s="21">
        <f t="shared" si="0"/>
        <v>960</v>
      </c>
      <c r="J9" s="20" t="s">
        <v>220</v>
      </c>
      <c r="K9" s="20" t="s">
        <v>21</v>
      </c>
      <c r="L9" s="20" t="s">
        <v>216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236</v>
      </c>
      <c r="D10" s="20" t="s">
        <v>237</v>
      </c>
      <c r="E10" s="20" t="s">
        <v>238</v>
      </c>
      <c r="F10" s="20" t="s">
        <v>26</v>
      </c>
      <c r="G10" s="21">
        <v>1430</v>
      </c>
      <c r="H10" s="21">
        <v>30</v>
      </c>
      <c r="I10" s="21">
        <f t="shared" si="0"/>
        <v>1400</v>
      </c>
      <c r="J10" s="20" t="s">
        <v>220</v>
      </c>
      <c r="K10" s="20" t="s">
        <v>21</v>
      </c>
      <c r="L10" s="20" t="s">
        <v>216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239</v>
      </c>
      <c r="D11" s="20" t="s">
        <v>240</v>
      </c>
      <c r="E11" s="20" t="s">
        <v>241</v>
      </c>
      <c r="F11" s="21">
        <v>12</v>
      </c>
      <c r="G11" s="21">
        <v>890</v>
      </c>
      <c r="H11" s="21">
        <v>30</v>
      </c>
      <c r="I11" s="21">
        <f t="shared" si="0"/>
        <v>860</v>
      </c>
      <c r="J11" s="20" t="s">
        <v>220</v>
      </c>
      <c r="K11" s="20" t="s">
        <v>21</v>
      </c>
      <c r="L11" s="20" t="s">
        <v>216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242</v>
      </c>
      <c r="D12" s="20" t="s">
        <v>243</v>
      </c>
      <c r="E12" s="20" t="s">
        <v>244</v>
      </c>
      <c r="F12" s="20" t="s">
        <v>26</v>
      </c>
      <c r="G12" s="21">
        <v>770</v>
      </c>
      <c r="H12" s="21">
        <v>30</v>
      </c>
      <c r="I12" s="21">
        <f t="shared" si="0"/>
        <v>740</v>
      </c>
      <c r="J12" s="20" t="s">
        <v>220</v>
      </c>
      <c r="K12" s="20" t="s">
        <v>21</v>
      </c>
      <c r="L12" s="20" t="s">
        <v>216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245</v>
      </c>
      <c r="D13" s="20" t="s">
        <v>246</v>
      </c>
      <c r="E13" s="20" t="s">
        <v>247</v>
      </c>
      <c r="F13" s="20" t="s">
        <v>85</v>
      </c>
      <c r="G13" s="21">
        <v>0</v>
      </c>
      <c r="H13" s="21">
        <v>20</v>
      </c>
      <c r="I13" s="21">
        <f>-H13</f>
        <v>-20</v>
      </c>
      <c r="J13" s="20" t="s">
        <v>21</v>
      </c>
      <c r="K13" s="20" t="s">
        <v>21</v>
      </c>
      <c r="L13" s="20" t="s">
        <v>216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248</v>
      </c>
      <c r="D14" s="20" t="s">
        <v>249</v>
      </c>
      <c r="E14" s="20" t="s">
        <v>250</v>
      </c>
      <c r="F14" s="20" t="s">
        <v>77</v>
      </c>
      <c r="G14" s="21">
        <v>905</v>
      </c>
      <c r="H14" s="21">
        <v>25</v>
      </c>
      <c r="I14" s="21">
        <f>G14-H14</f>
        <v>880</v>
      </c>
      <c r="J14" s="20" t="s">
        <v>21</v>
      </c>
      <c r="K14" s="20" t="s">
        <v>21</v>
      </c>
      <c r="L14" s="20" t="s">
        <v>216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251</v>
      </c>
      <c r="D15" s="20" t="s">
        <v>252</v>
      </c>
      <c r="E15" s="20" t="s">
        <v>253</v>
      </c>
      <c r="F15" s="20" t="s">
        <v>85</v>
      </c>
      <c r="G15" s="21">
        <v>0</v>
      </c>
      <c r="H15" s="21">
        <v>20</v>
      </c>
      <c r="I15" s="21">
        <f>-H15</f>
        <v>-20</v>
      </c>
      <c r="J15" s="20" t="s">
        <v>21</v>
      </c>
      <c r="K15" s="20" t="s">
        <v>21</v>
      </c>
      <c r="L15" s="20" t="s">
        <v>216</v>
      </c>
      <c r="M15" s="20"/>
      <c r="N15" s="20"/>
      <c r="O15" s="20"/>
      <c r="P15" s="20"/>
      <c r="Q15" s="20">
        <v>1</v>
      </c>
    </row>
    <row r="16" spans="1:17" x14ac:dyDescent="0.25">
      <c r="A16" s="20" t="s">
        <v>16</v>
      </c>
      <c r="B16" s="20" t="s">
        <v>17</v>
      </c>
      <c r="C16" s="20" t="s">
        <v>254</v>
      </c>
      <c r="D16" s="20"/>
      <c r="E16" s="20" t="s">
        <v>255</v>
      </c>
      <c r="F16" s="20" t="s">
        <v>77</v>
      </c>
      <c r="G16" s="21">
        <v>0</v>
      </c>
      <c r="H16" s="21">
        <v>40</v>
      </c>
      <c r="I16" s="21">
        <f>-H16</f>
        <v>-40</v>
      </c>
      <c r="J16" s="20" t="s">
        <v>21</v>
      </c>
      <c r="K16" s="20" t="s">
        <v>21</v>
      </c>
      <c r="L16" s="20" t="s">
        <v>216</v>
      </c>
      <c r="M16" s="20"/>
      <c r="N16" s="20"/>
      <c r="O16" s="20"/>
      <c r="P16" s="20"/>
      <c r="Q16" s="20">
        <v>1</v>
      </c>
    </row>
    <row r="17" spans="1:17" x14ac:dyDescent="0.25">
      <c r="A17" s="20" t="s">
        <v>16</v>
      </c>
      <c r="B17" s="20" t="s">
        <v>17</v>
      </c>
      <c r="C17" s="20" t="s">
        <v>256</v>
      </c>
      <c r="D17" s="20"/>
      <c r="E17" s="20" t="s">
        <v>257</v>
      </c>
      <c r="F17" s="20" t="s">
        <v>77</v>
      </c>
      <c r="G17" s="21">
        <v>1720</v>
      </c>
      <c r="H17" s="21">
        <v>30</v>
      </c>
      <c r="I17" s="21">
        <f>G17-H17</f>
        <v>1690</v>
      </c>
      <c r="J17" s="20" t="s">
        <v>21</v>
      </c>
      <c r="K17" s="20" t="s">
        <v>21</v>
      </c>
      <c r="L17" s="20" t="s">
        <v>216</v>
      </c>
      <c r="M17" s="20"/>
      <c r="N17" s="20"/>
      <c r="O17" s="20"/>
      <c r="P17" s="20"/>
      <c r="Q17" s="20">
        <v>1</v>
      </c>
    </row>
    <row r="18" spans="1:17" x14ac:dyDescent="0.25">
      <c r="A18" s="20" t="s">
        <v>16</v>
      </c>
      <c r="B18" s="20" t="s">
        <v>17</v>
      </c>
      <c r="C18" s="20" t="s">
        <v>258</v>
      </c>
      <c r="D18" s="20"/>
      <c r="E18" s="20" t="s">
        <v>259</v>
      </c>
      <c r="F18" s="21">
        <v>12</v>
      </c>
      <c r="G18" s="21">
        <v>50</v>
      </c>
      <c r="H18" s="21">
        <v>50</v>
      </c>
      <c r="I18" s="21">
        <f>G18-H18</f>
        <v>0</v>
      </c>
      <c r="J18" s="20" t="s">
        <v>21</v>
      </c>
      <c r="K18" s="20" t="s">
        <v>21</v>
      </c>
      <c r="L18" s="20" t="s">
        <v>216</v>
      </c>
      <c r="M18" s="20"/>
      <c r="N18" s="20"/>
      <c r="O18" s="20"/>
      <c r="P18" s="20"/>
      <c r="Q18" s="20">
        <v>1</v>
      </c>
    </row>
    <row r="19" spans="1:17" x14ac:dyDescent="0.25">
      <c r="A19" s="20" t="s">
        <v>16</v>
      </c>
      <c r="B19" s="20" t="s">
        <v>17</v>
      </c>
      <c r="C19" s="20" t="s">
        <v>260</v>
      </c>
      <c r="D19" s="20"/>
      <c r="E19" s="20" t="s">
        <v>261</v>
      </c>
      <c r="F19" s="21">
        <v>1</v>
      </c>
      <c r="G19" s="21">
        <v>0</v>
      </c>
      <c r="H19" s="21">
        <v>25</v>
      </c>
      <c r="I19" s="21">
        <f>-H19</f>
        <v>-25</v>
      </c>
      <c r="J19" s="20" t="s">
        <v>135</v>
      </c>
      <c r="K19" s="20" t="s">
        <v>21</v>
      </c>
      <c r="L19" s="20" t="s">
        <v>216</v>
      </c>
      <c r="M19" s="20" t="s">
        <v>126</v>
      </c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262</v>
      </c>
      <c r="D20" s="20" t="s">
        <v>263</v>
      </c>
      <c r="E20" s="20" t="s">
        <v>264</v>
      </c>
      <c r="F20" s="21">
        <v>11</v>
      </c>
      <c r="G20" s="21">
        <v>615</v>
      </c>
      <c r="H20" s="21">
        <v>25</v>
      </c>
      <c r="I20" s="21">
        <f t="shared" ref="I20:I25" si="1">G20-H20</f>
        <v>590</v>
      </c>
      <c r="J20" s="20" t="s">
        <v>135</v>
      </c>
      <c r="K20" s="20" t="s">
        <v>21</v>
      </c>
      <c r="L20" s="20" t="s">
        <v>216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265</v>
      </c>
      <c r="D21" s="20" t="s">
        <v>266</v>
      </c>
      <c r="E21" s="20" t="s">
        <v>267</v>
      </c>
      <c r="F21" s="21">
        <v>4</v>
      </c>
      <c r="G21" s="21">
        <v>815</v>
      </c>
      <c r="H21" s="21">
        <v>25</v>
      </c>
      <c r="I21" s="21">
        <f t="shared" si="1"/>
        <v>790</v>
      </c>
      <c r="J21" s="20" t="s">
        <v>135</v>
      </c>
      <c r="K21" s="20" t="s">
        <v>21</v>
      </c>
      <c r="L21" s="20" t="s">
        <v>216</v>
      </c>
      <c r="M21" s="20"/>
      <c r="N21" s="20"/>
      <c r="O21" s="20"/>
      <c r="P21" s="20"/>
      <c r="Q21" s="20">
        <v>1</v>
      </c>
    </row>
    <row r="22" spans="1:17" x14ac:dyDescent="0.25">
      <c r="A22" s="20"/>
      <c r="B22" s="20" t="s">
        <v>17</v>
      </c>
      <c r="C22" s="20" t="s">
        <v>268</v>
      </c>
      <c r="D22" s="20" t="s">
        <v>269</v>
      </c>
      <c r="E22" s="20" t="s">
        <v>270</v>
      </c>
      <c r="F22" s="20" t="s">
        <v>95</v>
      </c>
      <c r="G22" s="21">
        <v>765</v>
      </c>
      <c r="H22" s="21">
        <v>25</v>
      </c>
      <c r="I22" s="21">
        <f t="shared" si="1"/>
        <v>740</v>
      </c>
      <c r="J22" s="20" t="s">
        <v>135</v>
      </c>
      <c r="K22" s="20" t="s">
        <v>21</v>
      </c>
      <c r="L22" s="20" t="s">
        <v>216</v>
      </c>
      <c r="M22" s="20"/>
      <c r="N22" s="20"/>
      <c r="O22" s="20"/>
      <c r="P22" s="20"/>
      <c r="Q22" s="20">
        <v>1</v>
      </c>
    </row>
    <row r="23" spans="1:17" s="7" customFormat="1" x14ac:dyDescent="0.25">
      <c r="A23" s="26"/>
      <c r="B23" s="26" t="s">
        <v>17</v>
      </c>
      <c r="C23" s="26" t="s">
        <v>183</v>
      </c>
      <c r="D23" s="26" t="s">
        <v>184</v>
      </c>
      <c r="E23" s="26" t="s">
        <v>185</v>
      </c>
      <c r="F23" s="27">
        <v>4</v>
      </c>
      <c r="G23" s="27">
        <v>815</v>
      </c>
      <c r="H23" s="27">
        <v>25</v>
      </c>
      <c r="I23" s="27">
        <f t="shared" si="1"/>
        <v>790</v>
      </c>
      <c r="J23" s="26" t="s">
        <v>271</v>
      </c>
      <c r="K23" s="26" t="s">
        <v>21</v>
      </c>
      <c r="L23" s="26" t="s">
        <v>22</v>
      </c>
      <c r="M23" s="26" t="s">
        <v>204</v>
      </c>
      <c r="N23" s="26" t="s">
        <v>272</v>
      </c>
      <c r="O23" s="26" t="s">
        <v>272</v>
      </c>
      <c r="P23" s="26" t="s">
        <v>273</v>
      </c>
      <c r="Q23" s="27">
        <v>1</v>
      </c>
    </row>
    <row r="24" spans="1:17" s="7" customFormat="1" x14ac:dyDescent="0.25">
      <c r="A24" s="26"/>
      <c r="B24" s="26" t="s">
        <v>17</v>
      </c>
      <c r="C24" s="26" t="s">
        <v>274</v>
      </c>
      <c r="D24" s="26" t="s">
        <v>275</v>
      </c>
      <c r="E24" s="26" t="s">
        <v>276</v>
      </c>
      <c r="F24" s="27">
        <v>12</v>
      </c>
      <c r="G24" s="27">
        <v>860</v>
      </c>
      <c r="H24" s="27">
        <v>0</v>
      </c>
      <c r="I24" s="27">
        <f t="shared" si="1"/>
        <v>860</v>
      </c>
      <c r="J24" s="26" t="s">
        <v>271</v>
      </c>
      <c r="K24" s="26" t="s">
        <v>21</v>
      </c>
      <c r="L24" s="26" t="s">
        <v>277</v>
      </c>
      <c r="M24" s="26" t="s">
        <v>204</v>
      </c>
      <c r="N24" s="26" t="s">
        <v>272</v>
      </c>
      <c r="O24" s="26" t="s">
        <v>272</v>
      </c>
      <c r="P24" s="26" t="s">
        <v>273</v>
      </c>
      <c r="Q24" s="27">
        <v>1</v>
      </c>
    </row>
    <row r="25" spans="1:17" s="7" customFormat="1" x14ac:dyDescent="0.25">
      <c r="A25" s="26"/>
      <c r="B25" s="26" t="s">
        <v>17</v>
      </c>
      <c r="C25" s="26" t="s">
        <v>278</v>
      </c>
      <c r="D25" s="26" t="s">
        <v>279</v>
      </c>
      <c r="E25" s="26" t="s">
        <v>280</v>
      </c>
      <c r="F25" s="26" t="s">
        <v>46</v>
      </c>
      <c r="G25" s="27">
        <v>1455</v>
      </c>
      <c r="H25" s="27">
        <v>25</v>
      </c>
      <c r="I25" s="27">
        <f t="shared" si="1"/>
        <v>1430</v>
      </c>
      <c r="J25" s="26" t="s">
        <v>271</v>
      </c>
      <c r="K25" s="26" t="s">
        <v>21</v>
      </c>
      <c r="L25" s="26" t="s">
        <v>281</v>
      </c>
      <c r="M25" s="26" t="s">
        <v>204</v>
      </c>
      <c r="N25" s="26" t="s">
        <v>272</v>
      </c>
      <c r="O25" s="26" t="s">
        <v>272</v>
      </c>
      <c r="P25" s="26" t="s">
        <v>273</v>
      </c>
      <c r="Q25" s="27">
        <v>1</v>
      </c>
    </row>
    <row r="26" spans="1:17" s="7" customFormat="1" x14ac:dyDescent="0.25">
      <c r="A26" s="26"/>
      <c r="B26" s="26" t="s">
        <v>17</v>
      </c>
      <c r="C26" s="26" t="s">
        <v>282</v>
      </c>
      <c r="D26" s="26" t="s">
        <v>283</v>
      </c>
      <c r="E26" s="26" t="s">
        <v>284</v>
      </c>
      <c r="F26" s="27">
        <v>11</v>
      </c>
      <c r="G26" s="27">
        <v>0</v>
      </c>
      <c r="H26" s="27">
        <v>25</v>
      </c>
      <c r="I26" s="27">
        <f>-H26</f>
        <v>-25</v>
      </c>
      <c r="J26" s="26" t="s">
        <v>271</v>
      </c>
      <c r="K26" s="26" t="s">
        <v>21</v>
      </c>
      <c r="L26" s="26" t="s">
        <v>285</v>
      </c>
      <c r="M26" s="26" t="s">
        <v>204</v>
      </c>
      <c r="N26" s="26" t="s">
        <v>272</v>
      </c>
      <c r="O26" s="26" t="s">
        <v>272</v>
      </c>
      <c r="P26" s="26" t="s">
        <v>273</v>
      </c>
      <c r="Q26" s="27">
        <v>1</v>
      </c>
    </row>
    <row r="28" spans="1:17" x14ac:dyDescent="0.25">
      <c r="D28" s="6">
        <f>COUNTA(D3:D26)</f>
        <v>20</v>
      </c>
      <c r="G28" s="6">
        <f t="shared" ref="G28:Q28" si="2">SUBTOTAL(9,G3:G26)</f>
        <v>12990</v>
      </c>
      <c r="H28" s="6">
        <f t="shared" si="2"/>
        <v>655</v>
      </c>
      <c r="I28" s="6">
        <f t="shared" si="2"/>
        <v>12335</v>
      </c>
      <c r="J28" s="6">
        <f t="shared" si="2"/>
        <v>0</v>
      </c>
      <c r="K28" s="6">
        <f t="shared" si="2"/>
        <v>0</v>
      </c>
      <c r="L28" s="6">
        <f t="shared" si="2"/>
        <v>0</v>
      </c>
      <c r="M28" s="6">
        <f t="shared" si="2"/>
        <v>0</v>
      </c>
      <c r="N28" s="6">
        <f t="shared" si="2"/>
        <v>0</v>
      </c>
      <c r="O28" s="6">
        <f t="shared" si="2"/>
        <v>0</v>
      </c>
      <c r="P28" s="6">
        <f t="shared" si="2"/>
        <v>0</v>
      </c>
      <c r="Q28" s="6">
        <f t="shared" si="2"/>
        <v>24</v>
      </c>
    </row>
    <row r="29" spans="1:17" x14ac:dyDescent="0.25">
      <c r="H29">
        <f>-2*17</f>
        <v>-34</v>
      </c>
      <c r="I29">
        <v>25</v>
      </c>
    </row>
    <row r="30" spans="1:17" x14ac:dyDescent="0.25">
      <c r="A30" s="6" t="s">
        <v>17</v>
      </c>
      <c r="C30" s="5" t="s">
        <v>191</v>
      </c>
      <c r="D30" s="5"/>
      <c r="E30" s="9" t="s">
        <v>192</v>
      </c>
      <c r="H30">
        <f>-6*25</f>
        <v>-150</v>
      </c>
      <c r="I30">
        <v>17</v>
      </c>
      <c r="K30" s="16" t="s">
        <v>220</v>
      </c>
      <c r="L30" s="16" t="s">
        <v>193</v>
      </c>
      <c r="M30" s="16" t="s">
        <v>192</v>
      </c>
      <c r="O30" s="9" t="s">
        <v>194</v>
      </c>
    </row>
    <row r="31" spans="1:17" x14ac:dyDescent="0.25">
      <c r="A31" t="s">
        <v>216</v>
      </c>
      <c r="B31" s="8" t="s">
        <v>195</v>
      </c>
      <c r="C31" s="4">
        <f>SUMIFS(I$3:I$26,B$3:B$26,A$30,L$3:L$26,A$31)</f>
        <v>9280</v>
      </c>
      <c r="D31" s="4"/>
      <c r="E31" s="8">
        <f>SUMIFS(Q$3:Q$26,B$3:B$26,A$30,L$3:L$26,A$31)</f>
        <v>20</v>
      </c>
      <c r="F31" t="s">
        <v>196</v>
      </c>
      <c r="H31">
        <f>-1*30</f>
        <v>-30</v>
      </c>
      <c r="I31">
        <v>-17</v>
      </c>
      <c r="K31" t="s">
        <v>197</v>
      </c>
      <c r="L31">
        <f>SUMIFS(G$3:G$26,J$3:J$26,K$30)</f>
        <v>4930</v>
      </c>
      <c r="M31">
        <f>SUMIFS(Q$3:Q$26,J$3:J$26,K$30)-INT(COUNTIFS(J$3:J$26,K$30,M$3:M$26,"*gộp*")/2)</f>
        <v>9</v>
      </c>
      <c r="O31" t="s">
        <v>286</v>
      </c>
      <c r="P31">
        <f>L36</f>
        <v>2401</v>
      </c>
    </row>
    <row r="32" spans="1:17" x14ac:dyDescent="0.25">
      <c r="B32" s="7" t="s">
        <v>199</v>
      </c>
      <c r="C32" s="3">
        <v>0</v>
      </c>
      <c r="D32" s="3"/>
      <c r="K32" t="s">
        <v>200</v>
      </c>
      <c r="L32">
        <f>SUM(H29:H31)</f>
        <v>-214</v>
      </c>
      <c r="M32">
        <f>SUMIFS(Q$3:Q$26,J$3:J$26,K$30)</f>
        <v>9</v>
      </c>
      <c r="O32" t="s">
        <v>20</v>
      </c>
      <c r="P32">
        <f>L44</f>
        <v>35</v>
      </c>
    </row>
    <row r="33" spans="2:16" x14ac:dyDescent="0.25">
      <c r="B33" s="7" t="s">
        <v>201</v>
      </c>
      <c r="C33" s="3">
        <f>-SUMIFS(I$3:I$26,B$3:B$26,A$30,P$3:P$26,"xx",N$3:N$26,"x")</f>
        <v>-3055</v>
      </c>
      <c r="D33" s="3"/>
      <c r="E33" s="7">
        <f>SUMIFS(Q$3:Q$26,B$3:B$26,A$30,P$3:P$26,"xx",N$3:N$26,"x")</f>
        <v>4</v>
      </c>
      <c r="K33" t="s">
        <v>202</v>
      </c>
      <c r="O33" t="s">
        <v>135</v>
      </c>
      <c r="P33">
        <f>L52</f>
        <v>1320</v>
      </c>
    </row>
    <row r="34" spans="2:16" x14ac:dyDescent="0.25">
      <c r="B34" s="9" t="s">
        <v>203</v>
      </c>
      <c r="C34" s="5">
        <f>SUBTOTAL(9,C31:C33)</f>
        <v>6225</v>
      </c>
      <c r="D34" s="5"/>
      <c r="E34">
        <f>E31</f>
        <v>20</v>
      </c>
      <c r="K34" s="7" t="s">
        <v>204</v>
      </c>
      <c r="L34" s="28">
        <v>-2315</v>
      </c>
      <c r="M34" s="28" t="s">
        <v>287</v>
      </c>
      <c r="O34" t="s">
        <v>21</v>
      </c>
      <c r="P34">
        <f>L60</f>
        <v>2488</v>
      </c>
    </row>
    <row r="35" spans="2:16" x14ac:dyDescent="0.25">
      <c r="B35" s="7" t="s">
        <v>205</v>
      </c>
      <c r="C35" s="2"/>
      <c r="D35" s="2"/>
      <c r="K35" s="7" t="s">
        <v>206</v>
      </c>
      <c r="O35" t="s">
        <v>207</v>
      </c>
      <c r="P35">
        <f>-C38</f>
        <v>-6225</v>
      </c>
    </row>
    <row r="36" spans="2:16" x14ac:dyDescent="0.25">
      <c r="B36" s="17" t="s">
        <v>208</v>
      </c>
      <c r="C36" s="2"/>
      <c r="D36" s="2"/>
      <c r="L36" s="18">
        <f>SUBTOTAL(9,L31:L35)</f>
        <v>2401</v>
      </c>
      <c r="M36" s="18">
        <f>M31</f>
        <v>9</v>
      </c>
      <c r="O36" s="9" t="s">
        <v>209</v>
      </c>
      <c r="P36" s="9">
        <f>SUBTOTAL(9,P31:P35)</f>
        <v>19</v>
      </c>
    </row>
    <row r="38" spans="2:16" x14ac:dyDescent="0.25">
      <c r="B38" s="6" t="s">
        <v>210</v>
      </c>
      <c r="C38" s="1">
        <f>C34+C35+C36</f>
        <v>6225</v>
      </c>
      <c r="D38" s="1"/>
      <c r="E38" s="6" t="s">
        <v>211</v>
      </c>
      <c r="K38" s="16" t="s">
        <v>20</v>
      </c>
      <c r="L38" s="16" t="s">
        <v>193</v>
      </c>
      <c r="M38" s="16" t="s">
        <v>192</v>
      </c>
    </row>
    <row r="39" spans="2:16" x14ac:dyDescent="0.25">
      <c r="K39" t="s">
        <v>197</v>
      </c>
      <c r="L39">
        <f>SUMIFS(G$3:G$26,J$3:J$26,K$38)</f>
        <v>60</v>
      </c>
      <c r="M39">
        <f>SUMIFS(Q$3:Q$26,J$3:J$26,K$38)-INT(COUNTIFS(J$3:J$26,K$38,M$3:M$26,"*gộp*")/2)</f>
        <v>1</v>
      </c>
    </row>
    <row r="40" spans="2:16" x14ac:dyDescent="0.25">
      <c r="K40" t="s">
        <v>200</v>
      </c>
      <c r="L40">
        <f>-SUMIFS(H$3:H$26,J$3:J$26,K$38)+M40*5</f>
        <v>-25</v>
      </c>
      <c r="M40">
        <f>SUMIFS(Q$3:Q$26,J$3:J$26,K$38)-INT(COUNTIFS(J$3:J$26,K$38,M$3:M$26,"*gộp*")/2)</f>
        <v>1</v>
      </c>
    </row>
    <row r="41" spans="2:16" x14ac:dyDescent="0.25">
      <c r="K41" t="s">
        <v>202</v>
      </c>
    </row>
    <row r="42" spans="2:16" x14ac:dyDescent="0.25">
      <c r="K42" s="7" t="s">
        <v>204</v>
      </c>
    </row>
    <row r="43" spans="2:16" x14ac:dyDescent="0.25">
      <c r="K43" s="7" t="s">
        <v>206</v>
      </c>
    </row>
    <row r="44" spans="2:16" x14ac:dyDescent="0.25">
      <c r="L44" s="18">
        <f>SUBTOTAL(9,L39:L43)</f>
        <v>35</v>
      </c>
      <c r="M44" s="18">
        <f>M39</f>
        <v>1</v>
      </c>
    </row>
    <row r="46" spans="2:16" x14ac:dyDescent="0.25">
      <c r="K46" s="16" t="s">
        <v>135</v>
      </c>
      <c r="L46" s="16" t="s">
        <v>193</v>
      </c>
      <c r="M46" s="16" t="s">
        <v>192</v>
      </c>
    </row>
    <row r="47" spans="2:16" x14ac:dyDescent="0.25">
      <c r="K47" t="s">
        <v>197</v>
      </c>
      <c r="L47">
        <f>SUMIFS(G$3:G$26,J$3:J$26,K$46)</f>
        <v>2195</v>
      </c>
      <c r="M47">
        <f>SUMIFS(Q$3:Q$26,J$3:J$26,K$46)-INT(COUNTIFS(J$3:J$26,K$46,M$3:M$26,"*gộp*")/2)</f>
        <v>4</v>
      </c>
    </row>
    <row r="48" spans="2:16" x14ac:dyDescent="0.25">
      <c r="K48" t="s">
        <v>200</v>
      </c>
      <c r="L48">
        <f>-SUMIFS(H$3:H$26,J$3:J$26,K$46)+M48*5</f>
        <v>-80</v>
      </c>
      <c r="M48">
        <f>SUMIFS(Q$3:Q$26,J$3:J$26,K$46)-INT(COUNTIFS(J$3:J$26,K$46,M$3:M$26,"*gộp*")/2)</f>
        <v>4</v>
      </c>
    </row>
    <row r="49" spans="11:13" x14ac:dyDescent="0.25">
      <c r="K49" t="s">
        <v>202</v>
      </c>
    </row>
    <row r="50" spans="11:13" x14ac:dyDescent="0.25">
      <c r="K50" s="7" t="s">
        <v>204</v>
      </c>
      <c r="L50" s="28">
        <v>-795</v>
      </c>
      <c r="M50" s="28" t="s">
        <v>288</v>
      </c>
    </row>
    <row r="51" spans="11:13" x14ac:dyDescent="0.25">
      <c r="K51" s="7" t="s">
        <v>206</v>
      </c>
    </row>
    <row r="52" spans="11:13" x14ac:dyDescent="0.25">
      <c r="L52" s="18">
        <f>SUBTOTAL(9,L47:L51)</f>
        <v>1320</v>
      </c>
      <c r="M52" s="18">
        <f>M47</f>
        <v>4</v>
      </c>
    </row>
    <row r="54" spans="11:13" x14ac:dyDescent="0.25">
      <c r="K54" s="16" t="s">
        <v>21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SUMIFS(G$3:G$26,J$3:J$26,K$54)</f>
        <v>2675</v>
      </c>
      <c r="M55">
        <f>SUMIFS(Q$3:Q$26,J$3:J$26,K$54)-INT(COUNTIFS(J$3:J$26,K$54,M$3:M$26,"*gộp*")/2)</f>
        <v>6</v>
      </c>
    </row>
    <row r="56" spans="11:13" x14ac:dyDescent="0.25">
      <c r="K56" t="s">
        <v>200</v>
      </c>
      <c r="L56">
        <f>-SUMIFS(H$3:H$26,J$3:J$26,K$54)+M56*5</f>
        <v>-155</v>
      </c>
      <c r="M56">
        <f>SUMIFS(Q$3:Q$26,J$3:J$26,K$54)-INT(COUNTIFS(J$3:J$26,K$54,M$3:M$26,"*gộp*")/2)</f>
        <v>6</v>
      </c>
    </row>
    <row r="57" spans="11:13" x14ac:dyDescent="0.25">
      <c r="K57" t="s">
        <v>202</v>
      </c>
      <c r="L57">
        <f>-M57*2</f>
        <v>-32</v>
      </c>
      <c r="M57">
        <f>E34-(COUNTIFS(M$3:M$26,"*gộp*")/2)-COUNTIFS(M$3:M$26,"*đơn trả*")-COUNTIFS(M$3:M$26,"*hàng tỉnh*")</f>
        <v>16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2488</v>
      </c>
      <c r="M60" s="18">
        <f>M55</f>
        <v>6</v>
      </c>
    </row>
  </sheetData>
  <autoFilter ref="A2:P26" xr:uid="{00000000-0009-0000-0000-000001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81"/>
  <sheetViews>
    <sheetView topLeftCell="A54" workbookViewId="0">
      <selection activeCell="E65" sqref="E65"/>
    </sheetView>
  </sheetViews>
  <sheetFormatPr defaultRowHeight="15" x14ac:dyDescent="0.25"/>
  <cols>
    <col min="1" max="1" width="12.7109375" customWidth="1"/>
    <col min="2" max="2" width="17.7109375" customWidth="1"/>
    <col min="3" max="3" width="23.140625" customWidth="1"/>
    <col min="4" max="4" width="9.85546875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6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7" s="24" customFormat="1" x14ac:dyDescent="0.25">
      <c r="A3" s="22"/>
      <c r="B3" s="22" t="s">
        <v>17</v>
      </c>
      <c r="C3" s="22" t="s">
        <v>289</v>
      </c>
      <c r="D3" s="22" t="s">
        <v>290</v>
      </c>
      <c r="E3" s="22" t="s">
        <v>291</v>
      </c>
      <c r="F3" s="23">
        <v>7</v>
      </c>
      <c r="G3" s="23">
        <v>30</v>
      </c>
      <c r="H3" s="23">
        <v>30</v>
      </c>
      <c r="I3" s="23">
        <f t="shared" ref="I3:I34" si="0">G3-H3</f>
        <v>0</v>
      </c>
      <c r="J3" s="22" t="s">
        <v>292</v>
      </c>
      <c r="K3" s="22" t="s">
        <v>21</v>
      </c>
      <c r="L3" s="22" t="s">
        <v>293</v>
      </c>
      <c r="M3" s="22" t="s">
        <v>126</v>
      </c>
      <c r="N3" s="22"/>
      <c r="O3" s="22"/>
      <c r="P3" s="22"/>
      <c r="Q3" s="22">
        <v>1</v>
      </c>
    </row>
    <row r="4" spans="1:17" x14ac:dyDescent="0.25">
      <c r="A4" s="20"/>
      <c r="B4" s="20" t="s">
        <v>17</v>
      </c>
      <c r="C4" s="20" t="s">
        <v>294</v>
      </c>
      <c r="D4" s="20" t="s">
        <v>295</v>
      </c>
      <c r="E4" s="20" t="s">
        <v>296</v>
      </c>
      <c r="F4" s="21">
        <v>6</v>
      </c>
      <c r="G4" s="21">
        <v>915</v>
      </c>
      <c r="H4" s="21">
        <v>25</v>
      </c>
      <c r="I4" s="29">
        <f t="shared" si="0"/>
        <v>890</v>
      </c>
      <c r="J4" s="20" t="s">
        <v>292</v>
      </c>
      <c r="K4" s="20" t="s">
        <v>21</v>
      </c>
      <c r="L4" s="20" t="s">
        <v>293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297</v>
      </c>
      <c r="D5" s="20" t="s">
        <v>298</v>
      </c>
      <c r="E5" s="20" t="s">
        <v>299</v>
      </c>
      <c r="F5" s="21">
        <v>7</v>
      </c>
      <c r="G5" s="21">
        <v>850</v>
      </c>
      <c r="H5" s="21">
        <v>30</v>
      </c>
      <c r="I5" s="29">
        <f t="shared" si="0"/>
        <v>820</v>
      </c>
      <c r="J5" s="20" t="s">
        <v>292</v>
      </c>
      <c r="K5" s="20" t="s">
        <v>21</v>
      </c>
      <c r="L5" s="20" t="s">
        <v>293</v>
      </c>
      <c r="M5" s="20"/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300</v>
      </c>
      <c r="D6" s="20" t="s">
        <v>301</v>
      </c>
      <c r="E6" s="20" t="s">
        <v>302</v>
      </c>
      <c r="F6" s="21">
        <v>12</v>
      </c>
      <c r="G6" s="21">
        <v>670</v>
      </c>
      <c r="H6" s="21">
        <v>30</v>
      </c>
      <c r="I6" s="29">
        <f t="shared" si="0"/>
        <v>640</v>
      </c>
      <c r="J6" s="20" t="s">
        <v>292</v>
      </c>
      <c r="K6" s="20" t="s">
        <v>21</v>
      </c>
      <c r="L6" s="20" t="s">
        <v>293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303</v>
      </c>
      <c r="D7" s="20" t="s">
        <v>304</v>
      </c>
      <c r="E7" s="20" t="s">
        <v>305</v>
      </c>
      <c r="F7" s="20" t="s">
        <v>139</v>
      </c>
      <c r="G7" s="21">
        <v>1515</v>
      </c>
      <c r="H7" s="21">
        <v>35</v>
      </c>
      <c r="I7" s="29">
        <f t="shared" si="0"/>
        <v>1480</v>
      </c>
      <c r="J7" s="20" t="s">
        <v>292</v>
      </c>
      <c r="K7" s="20" t="s">
        <v>21</v>
      </c>
      <c r="L7" s="20" t="s">
        <v>293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306</v>
      </c>
      <c r="D8" s="20" t="s">
        <v>307</v>
      </c>
      <c r="E8" s="20" t="s">
        <v>308</v>
      </c>
      <c r="F8" s="21">
        <v>8</v>
      </c>
      <c r="G8" s="21">
        <v>690</v>
      </c>
      <c r="H8" s="21">
        <v>30</v>
      </c>
      <c r="I8" s="29">
        <f t="shared" si="0"/>
        <v>660</v>
      </c>
      <c r="J8" s="20" t="s">
        <v>292</v>
      </c>
      <c r="K8" s="20" t="s">
        <v>21</v>
      </c>
      <c r="L8" s="20" t="s">
        <v>293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309</v>
      </c>
      <c r="D9" s="20" t="s">
        <v>310</v>
      </c>
      <c r="E9" s="20" t="s">
        <v>311</v>
      </c>
      <c r="F9" s="20" t="s">
        <v>95</v>
      </c>
      <c r="G9" s="21">
        <v>1345</v>
      </c>
      <c r="H9" s="21">
        <v>25</v>
      </c>
      <c r="I9" s="29">
        <f t="shared" si="0"/>
        <v>1320</v>
      </c>
      <c r="J9" s="20" t="s">
        <v>292</v>
      </c>
      <c r="K9" s="20" t="s">
        <v>21</v>
      </c>
      <c r="L9" s="20" t="s">
        <v>293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312</v>
      </c>
      <c r="D10" s="20" t="s">
        <v>313</v>
      </c>
      <c r="E10" s="20" t="s">
        <v>314</v>
      </c>
      <c r="F10" s="20" t="s">
        <v>26</v>
      </c>
      <c r="G10" s="21">
        <v>850</v>
      </c>
      <c r="H10" s="21">
        <v>30</v>
      </c>
      <c r="I10" s="29">
        <f t="shared" si="0"/>
        <v>820</v>
      </c>
      <c r="J10" s="20" t="s">
        <v>292</v>
      </c>
      <c r="K10" s="20" t="s">
        <v>21</v>
      </c>
      <c r="L10" s="20" t="s">
        <v>293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315</v>
      </c>
      <c r="D11" s="20" t="s">
        <v>316</v>
      </c>
      <c r="E11" s="20" t="s">
        <v>317</v>
      </c>
      <c r="F11" s="20" t="s">
        <v>26</v>
      </c>
      <c r="G11" s="21">
        <v>830</v>
      </c>
      <c r="H11" s="21">
        <v>30</v>
      </c>
      <c r="I11" s="29">
        <f t="shared" si="0"/>
        <v>800</v>
      </c>
      <c r="J11" s="20" t="s">
        <v>292</v>
      </c>
      <c r="K11" s="20" t="s">
        <v>21</v>
      </c>
      <c r="L11" s="20" t="s">
        <v>293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318</v>
      </c>
      <c r="D12" s="20" t="s">
        <v>319</v>
      </c>
      <c r="E12" s="20" t="s">
        <v>320</v>
      </c>
      <c r="F12" s="20" t="s">
        <v>46</v>
      </c>
      <c r="G12" s="21">
        <v>0</v>
      </c>
      <c r="H12" s="21">
        <v>25</v>
      </c>
      <c r="I12" s="29">
        <f t="shared" si="0"/>
        <v>-25</v>
      </c>
      <c r="J12" s="20" t="s">
        <v>292</v>
      </c>
      <c r="K12" s="20" t="s">
        <v>21</v>
      </c>
      <c r="L12" s="20" t="s">
        <v>293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321</v>
      </c>
      <c r="D13" s="20" t="s">
        <v>322</v>
      </c>
      <c r="E13" s="20" t="s">
        <v>323</v>
      </c>
      <c r="F13" s="20" t="s">
        <v>26</v>
      </c>
      <c r="G13" s="21">
        <v>780</v>
      </c>
      <c r="H13" s="21">
        <v>30</v>
      </c>
      <c r="I13" s="29">
        <f t="shared" si="0"/>
        <v>750</v>
      </c>
      <c r="J13" s="20" t="s">
        <v>292</v>
      </c>
      <c r="K13" s="20" t="s">
        <v>21</v>
      </c>
      <c r="L13" s="20" t="s">
        <v>293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324</v>
      </c>
      <c r="D14" s="20" t="s">
        <v>325</v>
      </c>
      <c r="E14" s="20" t="s">
        <v>326</v>
      </c>
      <c r="F14" s="21">
        <v>8</v>
      </c>
      <c r="G14" s="21">
        <v>740</v>
      </c>
      <c r="H14" s="21">
        <v>30</v>
      </c>
      <c r="I14" s="29">
        <f t="shared" si="0"/>
        <v>710</v>
      </c>
      <c r="J14" s="20" t="s">
        <v>292</v>
      </c>
      <c r="K14" s="20" t="s">
        <v>21</v>
      </c>
      <c r="L14" s="20" t="s">
        <v>293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327</v>
      </c>
      <c r="D15" s="20" t="s">
        <v>328</v>
      </c>
      <c r="E15" s="20" t="s">
        <v>329</v>
      </c>
      <c r="F15" s="20" t="s">
        <v>95</v>
      </c>
      <c r="G15" s="21">
        <v>755</v>
      </c>
      <c r="H15" s="21">
        <v>25</v>
      </c>
      <c r="I15" s="29">
        <f t="shared" si="0"/>
        <v>730</v>
      </c>
      <c r="J15" s="20" t="s">
        <v>292</v>
      </c>
      <c r="K15" s="20" t="s">
        <v>21</v>
      </c>
      <c r="L15" s="20" t="s">
        <v>293</v>
      </c>
      <c r="M15" s="20"/>
      <c r="N15" s="20"/>
      <c r="O15" s="20"/>
      <c r="P15" s="20"/>
      <c r="Q15" s="20">
        <v>1</v>
      </c>
    </row>
    <row r="16" spans="1:17" x14ac:dyDescent="0.25">
      <c r="A16" s="20"/>
      <c r="B16" s="20" t="s">
        <v>17</v>
      </c>
      <c r="C16" s="20" t="s">
        <v>65</v>
      </c>
      <c r="D16" s="20" t="s">
        <v>330</v>
      </c>
      <c r="E16" s="20" t="s">
        <v>67</v>
      </c>
      <c r="F16" s="21">
        <v>12</v>
      </c>
      <c r="G16" s="21">
        <v>770</v>
      </c>
      <c r="H16" s="21">
        <v>30</v>
      </c>
      <c r="I16" s="29">
        <f t="shared" si="0"/>
        <v>740</v>
      </c>
      <c r="J16" s="20" t="s">
        <v>292</v>
      </c>
      <c r="K16" s="20" t="s">
        <v>21</v>
      </c>
      <c r="L16" s="20" t="s">
        <v>293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331</v>
      </c>
      <c r="D17" s="20" t="s">
        <v>332</v>
      </c>
      <c r="E17" s="20" t="s">
        <v>333</v>
      </c>
      <c r="F17" s="20" t="s">
        <v>139</v>
      </c>
      <c r="G17" s="21">
        <v>735</v>
      </c>
      <c r="H17" s="21">
        <v>35</v>
      </c>
      <c r="I17" s="29">
        <f t="shared" si="0"/>
        <v>700</v>
      </c>
      <c r="J17" s="20" t="s">
        <v>292</v>
      </c>
      <c r="K17" s="20" t="s">
        <v>21</v>
      </c>
      <c r="L17" s="20" t="s">
        <v>293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334</v>
      </c>
      <c r="D18" s="20" t="s">
        <v>335</v>
      </c>
      <c r="E18" s="20" t="s">
        <v>336</v>
      </c>
      <c r="F18" s="20" t="s">
        <v>26</v>
      </c>
      <c r="G18" s="21">
        <v>0</v>
      </c>
      <c r="H18" s="21">
        <v>30</v>
      </c>
      <c r="I18" s="29">
        <f t="shared" si="0"/>
        <v>-30</v>
      </c>
      <c r="J18" s="20" t="s">
        <v>292</v>
      </c>
      <c r="K18" s="20" t="s">
        <v>21</v>
      </c>
      <c r="L18" s="20" t="s">
        <v>293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337</v>
      </c>
      <c r="D19" s="20" t="s">
        <v>338</v>
      </c>
      <c r="E19" s="20" t="s">
        <v>339</v>
      </c>
      <c r="F19" s="21">
        <v>8</v>
      </c>
      <c r="G19" s="21">
        <v>690</v>
      </c>
      <c r="H19" s="21">
        <v>30</v>
      </c>
      <c r="I19" s="29">
        <f t="shared" si="0"/>
        <v>660</v>
      </c>
      <c r="J19" s="20" t="s">
        <v>292</v>
      </c>
      <c r="K19" s="20" t="s">
        <v>21</v>
      </c>
      <c r="L19" s="20" t="s">
        <v>293</v>
      </c>
      <c r="M19" s="20"/>
      <c r="N19" s="20"/>
      <c r="O19" s="20"/>
      <c r="P19" s="20"/>
      <c r="Q19" s="20">
        <v>1</v>
      </c>
    </row>
    <row r="20" spans="1:17" x14ac:dyDescent="0.25">
      <c r="A20" s="20" t="s">
        <v>16</v>
      </c>
      <c r="B20" s="20" t="s">
        <v>17</v>
      </c>
      <c r="C20" s="20" t="s">
        <v>340</v>
      </c>
      <c r="D20" s="20"/>
      <c r="E20" s="20" t="s">
        <v>341</v>
      </c>
      <c r="F20" s="20" t="s">
        <v>26</v>
      </c>
      <c r="G20" s="21">
        <v>0</v>
      </c>
      <c r="H20" s="21">
        <v>35</v>
      </c>
      <c r="I20" s="29">
        <f t="shared" si="0"/>
        <v>-35</v>
      </c>
      <c r="J20" s="20" t="s">
        <v>292</v>
      </c>
      <c r="K20" s="20" t="s">
        <v>21</v>
      </c>
      <c r="L20" s="20" t="s">
        <v>293</v>
      </c>
      <c r="M20" s="20"/>
      <c r="N20" s="20"/>
      <c r="O20" s="20"/>
      <c r="P20" s="20"/>
      <c r="Q20" s="20">
        <v>1</v>
      </c>
    </row>
    <row r="21" spans="1:17" s="24" customFormat="1" x14ac:dyDescent="0.25">
      <c r="A21" s="22"/>
      <c r="B21" s="22" t="s">
        <v>17</v>
      </c>
      <c r="C21" s="22" t="s">
        <v>342</v>
      </c>
      <c r="D21" s="22" t="s">
        <v>343</v>
      </c>
      <c r="E21" s="22" t="s">
        <v>344</v>
      </c>
      <c r="F21" s="23">
        <v>2</v>
      </c>
      <c r="G21" s="23">
        <v>120</v>
      </c>
      <c r="H21" s="23">
        <v>60</v>
      </c>
      <c r="I21" s="23">
        <f t="shared" si="0"/>
        <v>60</v>
      </c>
      <c r="J21" s="22" t="s">
        <v>21</v>
      </c>
      <c r="K21" s="22" t="s">
        <v>21</v>
      </c>
      <c r="L21" s="22" t="s">
        <v>293</v>
      </c>
      <c r="M21" s="22" t="s">
        <v>345</v>
      </c>
      <c r="N21" s="22"/>
      <c r="O21" s="22"/>
      <c r="P21" s="22"/>
      <c r="Q21" s="22">
        <v>1</v>
      </c>
    </row>
    <row r="22" spans="1:17" s="24" customFormat="1" x14ac:dyDescent="0.25">
      <c r="A22" s="22"/>
      <c r="B22" s="22" t="s">
        <v>17</v>
      </c>
      <c r="C22" s="22" t="s">
        <v>342</v>
      </c>
      <c r="D22" s="22" t="s">
        <v>346</v>
      </c>
      <c r="E22" s="22" t="s">
        <v>344</v>
      </c>
      <c r="F22" s="23">
        <v>2</v>
      </c>
      <c r="G22" s="23">
        <v>0</v>
      </c>
      <c r="H22" s="23">
        <v>0</v>
      </c>
      <c r="I22" s="23">
        <f t="shared" si="0"/>
        <v>0</v>
      </c>
      <c r="J22" s="22" t="s">
        <v>21</v>
      </c>
      <c r="K22" s="22" t="s">
        <v>21</v>
      </c>
      <c r="L22" s="22" t="s">
        <v>293</v>
      </c>
      <c r="M22" s="22" t="s">
        <v>345</v>
      </c>
      <c r="N22" s="22"/>
      <c r="O22" s="22"/>
      <c r="P22" s="22"/>
      <c r="Q22" s="22">
        <v>1</v>
      </c>
    </row>
    <row r="23" spans="1:17" x14ac:dyDescent="0.25">
      <c r="A23" s="20"/>
      <c r="B23" s="20" t="s">
        <v>17</v>
      </c>
      <c r="C23" s="20" t="s">
        <v>347</v>
      </c>
      <c r="D23" s="20" t="s">
        <v>348</v>
      </c>
      <c r="E23" s="20" t="s">
        <v>349</v>
      </c>
      <c r="F23" s="21">
        <v>2</v>
      </c>
      <c r="G23" s="21">
        <v>1150</v>
      </c>
      <c r="H23" s="21">
        <v>30</v>
      </c>
      <c r="I23" s="29">
        <f t="shared" si="0"/>
        <v>1120</v>
      </c>
      <c r="J23" s="20" t="s">
        <v>21</v>
      </c>
      <c r="K23" s="20" t="s">
        <v>21</v>
      </c>
      <c r="L23" s="20" t="s">
        <v>293</v>
      </c>
      <c r="M23" s="20"/>
      <c r="N23" s="20"/>
      <c r="O23" s="20"/>
      <c r="P23" s="20"/>
      <c r="Q23" s="20">
        <v>1</v>
      </c>
    </row>
    <row r="24" spans="1:17" x14ac:dyDescent="0.25">
      <c r="A24" s="20"/>
      <c r="B24" s="20" t="s">
        <v>17</v>
      </c>
      <c r="C24" s="20" t="s">
        <v>350</v>
      </c>
      <c r="D24" s="20" t="s">
        <v>351</v>
      </c>
      <c r="E24" s="20" t="s">
        <v>352</v>
      </c>
      <c r="F24" s="20" t="s">
        <v>85</v>
      </c>
      <c r="G24" s="21">
        <v>820</v>
      </c>
      <c r="H24" s="21">
        <v>20</v>
      </c>
      <c r="I24" s="29">
        <f t="shared" si="0"/>
        <v>800</v>
      </c>
      <c r="J24" s="20" t="s">
        <v>21</v>
      </c>
      <c r="K24" s="20" t="s">
        <v>21</v>
      </c>
      <c r="L24" s="20" t="s">
        <v>293</v>
      </c>
      <c r="M24" s="20"/>
      <c r="N24" s="20"/>
      <c r="O24" s="20"/>
      <c r="P24" s="20"/>
      <c r="Q24" s="20">
        <v>1</v>
      </c>
    </row>
    <row r="25" spans="1:17" x14ac:dyDescent="0.25">
      <c r="A25" s="20"/>
      <c r="B25" s="20" t="s">
        <v>17</v>
      </c>
      <c r="C25" s="20" t="s">
        <v>353</v>
      </c>
      <c r="D25" s="20" t="s">
        <v>354</v>
      </c>
      <c r="E25" s="20" t="s">
        <v>355</v>
      </c>
      <c r="F25" s="21">
        <v>2</v>
      </c>
      <c r="G25" s="21">
        <v>2120</v>
      </c>
      <c r="H25" s="21">
        <v>35</v>
      </c>
      <c r="I25" s="29">
        <f t="shared" si="0"/>
        <v>2085</v>
      </c>
      <c r="J25" s="20" t="s">
        <v>21</v>
      </c>
      <c r="K25" s="20" t="s">
        <v>21</v>
      </c>
      <c r="L25" s="20" t="s">
        <v>293</v>
      </c>
      <c r="M25" s="25" t="s">
        <v>167</v>
      </c>
      <c r="N25" s="20"/>
      <c r="O25" s="20"/>
      <c r="P25" s="20"/>
      <c r="Q25" s="20">
        <v>1</v>
      </c>
    </row>
    <row r="26" spans="1:17" x14ac:dyDescent="0.25">
      <c r="A26" s="20"/>
      <c r="B26" s="20" t="s">
        <v>17</v>
      </c>
      <c r="C26" s="20" t="s">
        <v>356</v>
      </c>
      <c r="D26" s="20" t="s">
        <v>357</v>
      </c>
      <c r="E26" s="20" t="s">
        <v>358</v>
      </c>
      <c r="F26" s="21">
        <v>12</v>
      </c>
      <c r="G26" s="21">
        <v>0</v>
      </c>
      <c r="H26" s="21">
        <v>30</v>
      </c>
      <c r="I26" s="29">
        <f t="shared" si="0"/>
        <v>-30</v>
      </c>
      <c r="J26" s="20" t="s">
        <v>21</v>
      </c>
      <c r="K26" s="20" t="s">
        <v>21</v>
      </c>
      <c r="L26" s="20" t="s">
        <v>293</v>
      </c>
      <c r="M26" s="20"/>
      <c r="N26" s="20"/>
      <c r="O26" s="20"/>
      <c r="P26" s="20"/>
      <c r="Q26" s="20">
        <v>1</v>
      </c>
    </row>
    <row r="27" spans="1:17" s="24" customFormat="1" x14ac:dyDescent="0.25">
      <c r="A27" s="22"/>
      <c r="B27" s="22" t="s">
        <v>17</v>
      </c>
      <c r="C27" s="22" t="s">
        <v>359</v>
      </c>
      <c r="D27" s="22" t="s">
        <v>360</v>
      </c>
      <c r="E27" s="22" t="s">
        <v>361</v>
      </c>
      <c r="F27" s="22" t="s">
        <v>85</v>
      </c>
      <c r="G27" s="23">
        <v>0</v>
      </c>
      <c r="H27" s="23">
        <v>20</v>
      </c>
      <c r="I27" s="23">
        <f t="shared" si="0"/>
        <v>-20</v>
      </c>
      <c r="J27" s="22" t="s">
        <v>21</v>
      </c>
      <c r="K27" s="22" t="s">
        <v>21</v>
      </c>
      <c r="L27" s="22" t="s">
        <v>293</v>
      </c>
      <c r="M27" s="22" t="s">
        <v>126</v>
      </c>
      <c r="N27" s="22"/>
      <c r="O27" s="22"/>
      <c r="P27" s="22"/>
      <c r="Q27" s="22">
        <v>1</v>
      </c>
    </row>
    <row r="28" spans="1:17" x14ac:dyDescent="0.25">
      <c r="A28" s="20"/>
      <c r="B28" s="20" t="s">
        <v>17</v>
      </c>
      <c r="C28" s="20" t="s">
        <v>362</v>
      </c>
      <c r="D28" s="20" t="s">
        <v>363</v>
      </c>
      <c r="E28" s="20" t="s">
        <v>364</v>
      </c>
      <c r="F28" s="21">
        <v>12</v>
      </c>
      <c r="G28" s="21">
        <v>0</v>
      </c>
      <c r="H28" s="21">
        <v>30</v>
      </c>
      <c r="I28" s="29">
        <f t="shared" si="0"/>
        <v>-30</v>
      </c>
      <c r="J28" s="20" t="s">
        <v>21</v>
      </c>
      <c r="K28" s="20" t="s">
        <v>21</v>
      </c>
      <c r="L28" s="20" t="s">
        <v>293</v>
      </c>
      <c r="M28" s="20"/>
      <c r="N28" s="20"/>
      <c r="O28" s="20"/>
      <c r="P28" s="20"/>
      <c r="Q28" s="20">
        <v>1</v>
      </c>
    </row>
    <row r="29" spans="1:17" x14ac:dyDescent="0.25">
      <c r="A29" s="20"/>
      <c r="B29" s="20" t="s">
        <v>17</v>
      </c>
      <c r="C29" s="20" t="s">
        <v>365</v>
      </c>
      <c r="D29" s="20" t="s">
        <v>366</v>
      </c>
      <c r="E29" s="20" t="s">
        <v>367</v>
      </c>
      <c r="F29" s="20" t="s">
        <v>77</v>
      </c>
      <c r="G29" s="21">
        <v>1165</v>
      </c>
      <c r="H29" s="21">
        <v>25</v>
      </c>
      <c r="I29" s="29">
        <f t="shared" si="0"/>
        <v>1140</v>
      </c>
      <c r="J29" s="20" t="s">
        <v>21</v>
      </c>
      <c r="K29" s="20" t="s">
        <v>21</v>
      </c>
      <c r="L29" s="20" t="s">
        <v>293</v>
      </c>
      <c r="M29" s="20"/>
      <c r="N29" s="20"/>
      <c r="O29" s="20"/>
      <c r="P29" s="20"/>
      <c r="Q29" s="20">
        <v>1</v>
      </c>
    </row>
    <row r="30" spans="1:17" x14ac:dyDescent="0.25">
      <c r="A30" s="20" t="s">
        <v>16</v>
      </c>
      <c r="B30" s="20" t="s">
        <v>17</v>
      </c>
      <c r="C30" s="20" t="s">
        <v>368</v>
      </c>
      <c r="D30" s="20"/>
      <c r="E30" s="20" t="s">
        <v>369</v>
      </c>
      <c r="F30" s="20" t="s">
        <v>77</v>
      </c>
      <c r="G30" s="21">
        <v>30</v>
      </c>
      <c r="H30" s="21">
        <v>30</v>
      </c>
      <c r="I30" s="29">
        <f t="shared" si="0"/>
        <v>0</v>
      </c>
      <c r="J30" s="20" t="s">
        <v>21</v>
      </c>
      <c r="K30" s="20" t="s">
        <v>21</v>
      </c>
      <c r="L30" s="20" t="s">
        <v>293</v>
      </c>
      <c r="M30" s="20"/>
      <c r="N30" s="20"/>
      <c r="O30" s="20"/>
      <c r="P30" s="20"/>
      <c r="Q30" s="20">
        <v>1</v>
      </c>
    </row>
    <row r="31" spans="1:17" x14ac:dyDescent="0.25">
      <c r="A31" s="20" t="s">
        <v>16</v>
      </c>
      <c r="B31" s="20" t="s">
        <v>17</v>
      </c>
      <c r="C31" s="20" t="s">
        <v>370</v>
      </c>
      <c r="D31" s="20"/>
      <c r="E31" s="20" t="s">
        <v>371</v>
      </c>
      <c r="F31" s="20" t="s">
        <v>77</v>
      </c>
      <c r="G31" s="21">
        <v>30</v>
      </c>
      <c r="H31" s="21">
        <v>30</v>
      </c>
      <c r="I31" s="29">
        <f t="shared" si="0"/>
        <v>0</v>
      </c>
      <c r="J31" s="20" t="s">
        <v>21</v>
      </c>
      <c r="K31" s="20" t="s">
        <v>21</v>
      </c>
      <c r="L31" s="20" t="s">
        <v>293</v>
      </c>
      <c r="M31" s="20"/>
      <c r="N31" s="20"/>
      <c r="O31" s="20"/>
      <c r="P31" s="20"/>
      <c r="Q31" s="20">
        <v>1</v>
      </c>
    </row>
    <row r="32" spans="1:17" x14ac:dyDescent="0.25">
      <c r="A32" s="20" t="s">
        <v>16</v>
      </c>
      <c r="B32" s="20" t="s">
        <v>17</v>
      </c>
      <c r="C32" s="20" t="s">
        <v>372</v>
      </c>
      <c r="D32" s="20"/>
      <c r="E32" s="20" t="s">
        <v>373</v>
      </c>
      <c r="F32" s="20" t="s">
        <v>95</v>
      </c>
      <c r="G32" s="21">
        <v>40</v>
      </c>
      <c r="H32" s="21">
        <v>40</v>
      </c>
      <c r="I32" s="29">
        <f t="shared" si="0"/>
        <v>0</v>
      </c>
      <c r="J32" s="20" t="s">
        <v>21</v>
      </c>
      <c r="K32" s="20" t="s">
        <v>21</v>
      </c>
      <c r="L32" s="20" t="s">
        <v>293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374</v>
      </c>
      <c r="D33" s="20" t="s">
        <v>375</v>
      </c>
      <c r="E33" s="20" t="s">
        <v>376</v>
      </c>
      <c r="F33" s="21">
        <v>3</v>
      </c>
      <c r="G33" s="21">
        <v>775</v>
      </c>
      <c r="H33" s="21">
        <v>25</v>
      </c>
      <c r="I33" s="29">
        <f t="shared" si="0"/>
        <v>750</v>
      </c>
      <c r="J33" s="20" t="s">
        <v>135</v>
      </c>
      <c r="K33" s="20" t="s">
        <v>21</v>
      </c>
      <c r="L33" s="20" t="s">
        <v>293</v>
      </c>
      <c r="M33" s="25" t="s">
        <v>377</v>
      </c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374</v>
      </c>
      <c r="D34" s="20" t="s">
        <v>378</v>
      </c>
      <c r="E34" s="20" t="s">
        <v>376</v>
      </c>
      <c r="F34" s="21">
        <v>3</v>
      </c>
      <c r="G34" s="21">
        <v>790</v>
      </c>
      <c r="H34" s="21">
        <v>0</v>
      </c>
      <c r="I34" s="29">
        <f t="shared" si="0"/>
        <v>790</v>
      </c>
      <c r="J34" s="20" t="s">
        <v>135</v>
      </c>
      <c r="K34" s="20" t="s">
        <v>21</v>
      </c>
      <c r="L34" s="20" t="s">
        <v>293</v>
      </c>
      <c r="M34" s="25" t="s">
        <v>377</v>
      </c>
      <c r="N34" s="20"/>
      <c r="O34" s="20"/>
      <c r="P34" s="20"/>
      <c r="Q34" s="20">
        <v>1</v>
      </c>
    </row>
    <row r="35" spans="1:17" x14ac:dyDescent="0.25">
      <c r="A35" s="20"/>
      <c r="B35" s="20" t="s">
        <v>17</v>
      </c>
      <c r="C35" s="20" t="s">
        <v>379</v>
      </c>
      <c r="D35" s="20" t="s">
        <v>380</v>
      </c>
      <c r="E35" s="20" t="s">
        <v>381</v>
      </c>
      <c r="F35" s="21">
        <v>4</v>
      </c>
      <c r="G35" s="21">
        <v>535</v>
      </c>
      <c r="H35" s="21">
        <v>25</v>
      </c>
      <c r="I35" s="29">
        <f t="shared" ref="I35:I66" si="1">G35-H35</f>
        <v>510</v>
      </c>
      <c r="J35" s="20" t="s">
        <v>135</v>
      </c>
      <c r="K35" s="20" t="s">
        <v>21</v>
      </c>
      <c r="L35" s="20" t="s">
        <v>293</v>
      </c>
      <c r="M35" s="20"/>
      <c r="N35" s="20"/>
      <c r="O35" s="20"/>
      <c r="P35" s="20"/>
      <c r="Q35" s="20">
        <v>1</v>
      </c>
    </row>
    <row r="36" spans="1:17" x14ac:dyDescent="0.25">
      <c r="A36" s="20"/>
      <c r="B36" s="20" t="s">
        <v>17</v>
      </c>
      <c r="C36" s="20" t="s">
        <v>382</v>
      </c>
      <c r="D36" s="20" t="s">
        <v>383</v>
      </c>
      <c r="E36" s="20" t="s">
        <v>384</v>
      </c>
      <c r="F36" s="21">
        <v>7</v>
      </c>
      <c r="G36" s="21">
        <v>820</v>
      </c>
      <c r="H36" s="21">
        <v>30</v>
      </c>
      <c r="I36" s="29">
        <f t="shared" si="1"/>
        <v>790</v>
      </c>
      <c r="J36" s="20" t="s">
        <v>135</v>
      </c>
      <c r="K36" s="20" t="s">
        <v>21</v>
      </c>
      <c r="L36" s="20" t="s">
        <v>293</v>
      </c>
      <c r="M36" s="20"/>
      <c r="N36" s="20"/>
      <c r="O36" s="20"/>
      <c r="P36" s="20"/>
      <c r="Q36" s="20">
        <v>1</v>
      </c>
    </row>
    <row r="37" spans="1:17" x14ac:dyDescent="0.25">
      <c r="A37" s="20"/>
      <c r="B37" s="20" t="s">
        <v>17</v>
      </c>
      <c r="C37" s="20" t="s">
        <v>385</v>
      </c>
      <c r="D37" s="20" t="s">
        <v>386</v>
      </c>
      <c r="E37" s="20" t="s">
        <v>387</v>
      </c>
      <c r="F37" s="21">
        <v>10</v>
      </c>
      <c r="G37" s="21">
        <v>2620</v>
      </c>
      <c r="H37" s="21">
        <v>30</v>
      </c>
      <c r="I37" s="29">
        <f t="shared" si="1"/>
        <v>2590</v>
      </c>
      <c r="J37" s="20" t="s">
        <v>135</v>
      </c>
      <c r="K37" s="20" t="s">
        <v>21</v>
      </c>
      <c r="L37" s="20" t="s">
        <v>293</v>
      </c>
      <c r="M37" s="25" t="s">
        <v>167</v>
      </c>
      <c r="N37" s="20"/>
      <c r="O37" s="20"/>
      <c r="P37" s="20"/>
      <c r="Q37" s="20">
        <v>1</v>
      </c>
    </row>
    <row r="38" spans="1:17" x14ac:dyDescent="0.25">
      <c r="A38" s="20"/>
      <c r="B38" s="20" t="s">
        <v>17</v>
      </c>
      <c r="C38" s="20" t="s">
        <v>388</v>
      </c>
      <c r="D38" s="20" t="s">
        <v>389</v>
      </c>
      <c r="E38" s="20" t="s">
        <v>390</v>
      </c>
      <c r="F38" s="20" t="s">
        <v>139</v>
      </c>
      <c r="G38" s="21">
        <v>705</v>
      </c>
      <c r="H38" s="21">
        <v>35</v>
      </c>
      <c r="I38" s="29">
        <f t="shared" si="1"/>
        <v>670</v>
      </c>
      <c r="J38" s="20" t="s">
        <v>135</v>
      </c>
      <c r="K38" s="20" t="s">
        <v>21</v>
      </c>
      <c r="L38" s="20" t="s">
        <v>293</v>
      </c>
      <c r="M38" s="20"/>
      <c r="N38" s="20"/>
      <c r="O38" s="20"/>
      <c r="P38" s="20"/>
      <c r="Q38" s="20">
        <v>1</v>
      </c>
    </row>
    <row r="39" spans="1:17" x14ac:dyDescent="0.25">
      <c r="A39" s="20"/>
      <c r="B39" s="20" t="s">
        <v>17</v>
      </c>
      <c r="C39" s="20" t="s">
        <v>391</v>
      </c>
      <c r="D39" s="20" t="s">
        <v>392</v>
      </c>
      <c r="E39" s="20" t="s">
        <v>393</v>
      </c>
      <c r="F39" s="20" t="s">
        <v>95</v>
      </c>
      <c r="G39" s="21">
        <v>2860</v>
      </c>
      <c r="H39" s="21">
        <v>30</v>
      </c>
      <c r="I39" s="29">
        <f t="shared" si="1"/>
        <v>2830</v>
      </c>
      <c r="J39" s="20" t="s">
        <v>135</v>
      </c>
      <c r="K39" s="20" t="s">
        <v>21</v>
      </c>
      <c r="L39" s="20" t="s">
        <v>293</v>
      </c>
      <c r="M39" s="25" t="s">
        <v>167</v>
      </c>
      <c r="N39" s="20"/>
      <c r="O39" s="20"/>
      <c r="P39" s="20"/>
      <c r="Q39" s="20">
        <v>1</v>
      </c>
    </row>
    <row r="40" spans="1:17" x14ac:dyDescent="0.25">
      <c r="A40" s="20"/>
      <c r="B40" s="20" t="s">
        <v>17</v>
      </c>
      <c r="C40" s="20" t="s">
        <v>394</v>
      </c>
      <c r="D40" s="20" t="s">
        <v>395</v>
      </c>
      <c r="E40" s="20" t="s">
        <v>396</v>
      </c>
      <c r="F40" s="21">
        <v>4</v>
      </c>
      <c r="G40" s="21">
        <v>1165</v>
      </c>
      <c r="H40" s="21">
        <v>25</v>
      </c>
      <c r="I40" s="29">
        <f t="shared" si="1"/>
        <v>1140</v>
      </c>
      <c r="J40" s="20" t="s">
        <v>135</v>
      </c>
      <c r="K40" s="20" t="s">
        <v>21</v>
      </c>
      <c r="L40" s="20" t="s">
        <v>293</v>
      </c>
      <c r="M40" s="20"/>
      <c r="N40" s="20"/>
      <c r="O40" s="20"/>
      <c r="P40" s="20"/>
      <c r="Q40" s="20">
        <v>1</v>
      </c>
    </row>
    <row r="41" spans="1:17" x14ac:dyDescent="0.25">
      <c r="A41" s="20"/>
      <c r="B41" s="20" t="s">
        <v>17</v>
      </c>
      <c r="C41" s="20" t="s">
        <v>397</v>
      </c>
      <c r="D41" s="20" t="s">
        <v>398</v>
      </c>
      <c r="E41" s="20" t="s">
        <v>399</v>
      </c>
      <c r="F41" s="21">
        <v>7</v>
      </c>
      <c r="G41" s="21">
        <v>1350</v>
      </c>
      <c r="H41" s="21">
        <v>30</v>
      </c>
      <c r="I41" s="29">
        <f t="shared" si="1"/>
        <v>1320</v>
      </c>
      <c r="J41" s="20" t="s">
        <v>135</v>
      </c>
      <c r="K41" s="20" t="s">
        <v>21</v>
      </c>
      <c r="L41" s="20" t="s">
        <v>293</v>
      </c>
      <c r="M41" s="20"/>
      <c r="N41" s="20"/>
      <c r="O41" s="20"/>
      <c r="P41" s="20"/>
      <c r="Q41" s="20">
        <v>1</v>
      </c>
    </row>
    <row r="42" spans="1:17" x14ac:dyDescent="0.25">
      <c r="A42" s="20"/>
      <c r="B42" s="20" t="s">
        <v>17</v>
      </c>
      <c r="C42" s="20" t="s">
        <v>400</v>
      </c>
      <c r="D42" s="20" t="s">
        <v>401</v>
      </c>
      <c r="E42" s="20" t="s">
        <v>402</v>
      </c>
      <c r="F42" s="20" t="s">
        <v>134</v>
      </c>
      <c r="G42" s="21">
        <v>675</v>
      </c>
      <c r="H42" s="21">
        <v>35</v>
      </c>
      <c r="I42" s="29">
        <f t="shared" si="1"/>
        <v>640</v>
      </c>
      <c r="J42" s="20" t="s">
        <v>135</v>
      </c>
      <c r="K42" s="20" t="s">
        <v>21</v>
      </c>
      <c r="L42" s="20" t="s">
        <v>293</v>
      </c>
      <c r="M42" s="20"/>
      <c r="N42" s="20"/>
      <c r="O42" s="20"/>
      <c r="P42" s="20"/>
      <c r="Q42" s="20">
        <v>1</v>
      </c>
    </row>
    <row r="43" spans="1:17" x14ac:dyDescent="0.25">
      <c r="A43" s="20"/>
      <c r="B43" s="20" t="s">
        <v>17</v>
      </c>
      <c r="C43" s="20" t="s">
        <v>403</v>
      </c>
      <c r="D43" s="20" t="s">
        <v>404</v>
      </c>
      <c r="E43" s="20" t="s">
        <v>405</v>
      </c>
      <c r="F43" s="20" t="s">
        <v>406</v>
      </c>
      <c r="G43" s="21">
        <v>660</v>
      </c>
      <c r="H43" s="21">
        <v>20</v>
      </c>
      <c r="I43" s="29">
        <f t="shared" si="1"/>
        <v>640</v>
      </c>
      <c r="J43" s="20" t="s">
        <v>135</v>
      </c>
      <c r="K43" s="20" t="s">
        <v>21</v>
      </c>
      <c r="L43" s="20" t="s">
        <v>293</v>
      </c>
      <c r="M43" s="20"/>
      <c r="N43" s="20"/>
      <c r="O43" s="20"/>
      <c r="P43" s="20"/>
      <c r="Q43" s="20">
        <v>1</v>
      </c>
    </row>
    <row r="44" spans="1:17" x14ac:dyDescent="0.25">
      <c r="A44" s="20"/>
      <c r="B44" s="20" t="s">
        <v>17</v>
      </c>
      <c r="C44" s="20" t="s">
        <v>407</v>
      </c>
      <c r="D44" s="20" t="s">
        <v>408</v>
      </c>
      <c r="E44" s="20" t="s">
        <v>409</v>
      </c>
      <c r="F44" s="21">
        <v>8</v>
      </c>
      <c r="G44" s="21">
        <v>1430</v>
      </c>
      <c r="H44" s="21">
        <v>30</v>
      </c>
      <c r="I44" s="29">
        <f t="shared" si="1"/>
        <v>1400</v>
      </c>
      <c r="J44" s="20" t="s">
        <v>135</v>
      </c>
      <c r="K44" s="20" t="s">
        <v>21</v>
      </c>
      <c r="L44" s="20" t="s">
        <v>293</v>
      </c>
      <c r="M44" s="20"/>
      <c r="N44" s="20"/>
      <c r="O44" s="20"/>
      <c r="P44" s="20"/>
      <c r="Q44" s="20">
        <v>1</v>
      </c>
    </row>
    <row r="45" spans="1:17" x14ac:dyDescent="0.25">
      <c r="A45" s="20"/>
      <c r="B45" s="20" t="s">
        <v>17</v>
      </c>
      <c r="C45" s="20" t="s">
        <v>131</v>
      </c>
      <c r="D45" s="20" t="s">
        <v>410</v>
      </c>
      <c r="E45" s="20" t="s">
        <v>411</v>
      </c>
      <c r="F45" s="20" t="s">
        <v>134</v>
      </c>
      <c r="G45" s="21">
        <v>855</v>
      </c>
      <c r="H45" s="21">
        <v>35</v>
      </c>
      <c r="I45" s="29">
        <f t="shared" si="1"/>
        <v>820</v>
      </c>
      <c r="J45" s="20" t="s">
        <v>135</v>
      </c>
      <c r="K45" s="20" t="s">
        <v>21</v>
      </c>
      <c r="L45" s="20" t="s">
        <v>293</v>
      </c>
      <c r="M45" s="20"/>
      <c r="N45" s="20"/>
      <c r="O45" s="20"/>
      <c r="P45" s="20"/>
      <c r="Q45" s="20">
        <v>1</v>
      </c>
    </row>
    <row r="46" spans="1:17" x14ac:dyDescent="0.25">
      <c r="A46" s="20"/>
      <c r="B46" s="20" t="s">
        <v>17</v>
      </c>
      <c r="C46" s="20" t="s">
        <v>412</v>
      </c>
      <c r="D46" s="20" t="s">
        <v>413</v>
      </c>
      <c r="E46" s="20" t="s">
        <v>414</v>
      </c>
      <c r="F46" s="21">
        <v>5</v>
      </c>
      <c r="G46" s="21">
        <v>2120</v>
      </c>
      <c r="H46" s="21">
        <v>30</v>
      </c>
      <c r="I46" s="29">
        <f t="shared" si="1"/>
        <v>2090</v>
      </c>
      <c r="J46" s="20" t="s">
        <v>135</v>
      </c>
      <c r="K46" s="20" t="s">
        <v>21</v>
      </c>
      <c r="L46" s="20" t="s">
        <v>293</v>
      </c>
      <c r="M46" s="25" t="s">
        <v>167</v>
      </c>
      <c r="N46" s="20"/>
      <c r="O46" s="20"/>
      <c r="P46" s="20"/>
      <c r="Q46" s="20">
        <v>1</v>
      </c>
    </row>
    <row r="47" spans="1:17" x14ac:dyDescent="0.25">
      <c r="A47" s="20"/>
      <c r="B47" s="20" t="s">
        <v>17</v>
      </c>
      <c r="C47" s="20" t="s">
        <v>415</v>
      </c>
      <c r="D47" s="20" t="s">
        <v>416</v>
      </c>
      <c r="E47" s="20" t="s">
        <v>417</v>
      </c>
      <c r="F47" s="21">
        <v>7</v>
      </c>
      <c r="G47" s="21">
        <v>0</v>
      </c>
      <c r="H47" s="21">
        <v>30</v>
      </c>
      <c r="I47" s="29">
        <f t="shared" si="1"/>
        <v>-30</v>
      </c>
      <c r="J47" s="20" t="s">
        <v>135</v>
      </c>
      <c r="K47" s="20" t="s">
        <v>21</v>
      </c>
      <c r="L47" s="20" t="s">
        <v>293</v>
      </c>
      <c r="M47" s="20"/>
      <c r="N47" s="20"/>
      <c r="O47" s="20"/>
      <c r="P47" s="20"/>
      <c r="Q47" s="20">
        <v>1</v>
      </c>
    </row>
    <row r="48" spans="1:17" x14ac:dyDescent="0.25">
      <c r="A48" s="20"/>
      <c r="B48" s="20" t="s">
        <v>17</v>
      </c>
      <c r="C48" s="20" t="s">
        <v>418</v>
      </c>
      <c r="D48" s="20" t="s">
        <v>419</v>
      </c>
      <c r="E48" s="20" t="s">
        <v>420</v>
      </c>
      <c r="F48" s="21">
        <v>1</v>
      </c>
      <c r="G48" s="21">
        <v>535</v>
      </c>
      <c r="H48" s="21">
        <v>25</v>
      </c>
      <c r="I48" s="29">
        <f t="shared" si="1"/>
        <v>510</v>
      </c>
      <c r="J48" s="20" t="s">
        <v>135</v>
      </c>
      <c r="K48" s="20" t="s">
        <v>21</v>
      </c>
      <c r="L48" s="20" t="s">
        <v>293</v>
      </c>
      <c r="M48" s="20"/>
      <c r="N48" s="20"/>
      <c r="O48" s="20"/>
      <c r="P48" s="20"/>
      <c r="Q48" s="20">
        <v>1</v>
      </c>
    </row>
    <row r="49" spans="1:17" x14ac:dyDescent="0.25">
      <c r="A49" s="20"/>
      <c r="B49" s="20" t="s">
        <v>17</v>
      </c>
      <c r="C49" s="20" t="s">
        <v>421</v>
      </c>
      <c r="D49" s="20" t="s">
        <v>422</v>
      </c>
      <c r="E49" s="20" t="s">
        <v>423</v>
      </c>
      <c r="F49" s="21">
        <v>1</v>
      </c>
      <c r="G49" s="21">
        <v>-180</v>
      </c>
      <c r="H49" s="21">
        <v>25</v>
      </c>
      <c r="I49" s="29">
        <f t="shared" si="1"/>
        <v>-205</v>
      </c>
      <c r="J49" s="20" t="s">
        <v>135</v>
      </c>
      <c r="K49" s="20" t="s">
        <v>21</v>
      </c>
      <c r="L49" s="20" t="s">
        <v>293</v>
      </c>
      <c r="M49" s="25" t="s">
        <v>424</v>
      </c>
      <c r="N49" s="20"/>
      <c r="O49" s="20"/>
      <c r="P49" s="20"/>
      <c r="Q49" s="20">
        <v>1</v>
      </c>
    </row>
    <row r="50" spans="1:17" x14ac:dyDescent="0.25">
      <c r="A50" s="20"/>
      <c r="B50" s="20" t="s">
        <v>17</v>
      </c>
      <c r="C50" s="20" t="s">
        <v>425</v>
      </c>
      <c r="D50" s="20" t="s">
        <v>426</v>
      </c>
      <c r="E50" s="20" t="s">
        <v>427</v>
      </c>
      <c r="F50" s="21">
        <v>4</v>
      </c>
      <c r="G50" s="21">
        <v>1355</v>
      </c>
      <c r="H50" s="21">
        <v>25</v>
      </c>
      <c r="I50" s="29">
        <f t="shared" si="1"/>
        <v>1330</v>
      </c>
      <c r="J50" s="20" t="s">
        <v>135</v>
      </c>
      <c r="K50" s="20" t="s">
        <v>21</v>
      </c>
      <c r="L50" s="20" t="s">
        <v>293</v>
      </c>
      <c r="M50" s="20"/>
      <c r="N50" s="20"/>
      <c r="O50" s="20"/>
      <c r="P50" s="20"/>
      <c r="Q50" s="20">
        <v>1</v>
      </c>
    </row>
    <row r="51" spans="1:17" x14ac:dyDescent="0.25">
      <c r="A51" s="20"/>
      <c r="B51" s="20" t="s">
        <v>17</v>
      </c>
      <c r="C51" s="20" t="s">
        <v>428</v>
      </c>
      <c r="D51" s="20" t="s">
        <v>429</v>
      </c>
      <c r="E51" s="20" t="s">
        <v>430</v>
      </c>
      <c r="F51" s="21">
        <v>7</v>
      </c>
      <c r="G51" s="21">
        <v>1890</v>
      </c>
      <c r="H51" s="21">
        <v>30</v>
      </c>
      <c r="I51" s="29">
        <f t="shared" si="1"/>
        <v>1860</v>
      </c>
      <c r="J51" s="20" t="s">
        <v>135</v>
      </c>
      <c r="K51" s="20" t="s">
        <v>21</v>
      </c>
      <c r="L51" s="20" t="s">
        <v>293</v>
      </c>
      <c r="M51" s="20"/>
      <c r="N51" s="20"/>
      <c r="O51" s="20"/>
      <c r="P51" s="20"/>
      <c r="Q51" s="20">
        <v>1</v>
      </c>
    </row>
    <row r="52" spans="1:17" s="24" customFormat="1" x14ac:dyDescent="0.25">
      <c r="A52" s="22"/>
      <c r="B52" s="22" t="s">
        <v>17</v>
      </c>
      <c r="C52" s="22" t="s">
        <v>171</v>
      </c>
      <c r="D52" s="22" t="s">
        <v>431</v>
      </c>
      <c r="E52" s="22" t="s">
        <v>173</v>
      </c>
      <c r="F52" s="23">
        <v>7</v>
      </c>
      <c r="G52" s="23">
        <v>30</v>
      </c>
      <c r="H52" s="23">
        <v>30</v>
      </c>
      <c r="I52" s="23">
        <f t="shared" si="1"/>
        <v>0</v>
      </c>
      <c r="J52" s="22" t="s">
        <v>135</v>
      </c>
      <c r="K52" s="22" t="s">
        <v>21</v>
      </c>
      <c r="L52" s="22" t="s">
        <v>293</v>
      </c>
      <c r="M52" s="22" t="s">
        <v>126</v>
      </c>
      <c r="N52" s="22"/>
      <c r="O52" s="22"/>
      <c r="P52" s="22"/>
      <c r="Q52" s="22">
        <v>1</v>
      </c>
    </row>
    <row r="53" spans="1:17" x14ac:dyDescent="0.25">
      <c r="A53" s="20"/>
      <c r="B53" s="20" t="s">
        <v>17</v>
      </c>
      <c r="C53" s="20" t="s">
        <v>432</v>
      </c>
      <c r="D53" s="20" t="s">
        <v>433</v>
      </c>
      <c r="E53" s="20" t="s">
        <v>434</v>
      </c>
      <c r="F53" s="21">
        <v>10</v>
      </c>
      <c r="G53" s="21">
        <v>25</v>
      </c>
      <c r="H53" s="21">
        <v>25</v>
      </c>
      <c r="I53" s="29">
        <f t="shared" si="1"/>
        <v>0</v>
      </c>
      <c r="J53" s="20" t="s">
        <v>135</v>
      </c>
      <c r="K53" s="20" t="s">
        <v>21</v>
      </c>
      <c r="L53" s="20" t="s">
        <v>293</v>
      </c>
      <c r="M53" s="20"/>
      <c r="N53" s="20"/>
      <c r="O53" s="20"/>
      <c r="P53" s="20"/>
      <c r="Q53" s="20">
        <v>1</v>
      </c>
    </row>
    <row r="54" spans="1:17" x14ac:dyDescent="0.25">
      <c r="A54" s="20" t="s">
        <v>16</v>
      </c>
      <c r="B54" s="20" t="s">
        <v>17</v>
      </c>
      <c r="C54" s="20" t="s">
        <v>435</v>
      </c>
      <c r="D54" s="20"/>
      <c r="E54" s="20" t="s">
        <v>436</v>
      </c>
      <c r="F54" s="20" t="s">
        <v>95</v>
      </c>
      <c r="G54" s="21">
        <v>750</v>
      </c>
      <c r="H54" s="21">
        <v>30</v>
      </c>
      <c r="I54" s="29">
        <f t="shared" si="1"/>
        <v>720</v>
      </c>
      <c r="J54" s="20" t="s">
        <v>135</v>
      </c>
      <c r="K54" s="20" t="s">
        <v>21</v>
      </c>
      <c r="L54" s="20" t="s">
        <v>293</v>
      </c>
      <c r="M54" s="20"/>
      <c r="N54" s="20"/>
      <c r="O54" s="20"/>
      <c r="P54" s="20"/>
      <c r="Q54" s="20">
        <v>1</v>
      </c>
    </row>
    <row r="55" spans="1:17" x14ac:dyDescent="0.25">
      <c r="A55" s="20" t="s">
        <v>16</v>
      </c>
      <c r="B55" s="20" t="s">
        <v>17</v>
      </c>
      <c r="C55" s="20" t="s">
        <v>437</v>
      </c>
      <c r="D55" s="20"/>
      <c r="E55" s="20" t="s">
        <v>438</v>
      </c>
      <c r="F55" s="21">
        <v>1</v>
      </c>
      <c r="G55" s="21">
        <v>0</v>
      </c>
      <c r="H55" s="21">
        <v>30</v>
      </c>
      <c r="I55" s="29">
        <f t="shared" si="1"/>
        <v>-30</v>
      </c>
      <c r="J55" s="20" t="s">
        <v>135</v>
      </c>
      <c r="K55" s="20" t="s">
        <v>21</v>
      </c>
      <c r="L55" s="20" t="s">
        <v>293</v>
      </c>
      <c r="M55" s="20"/>
      <c r="N55" s="20"/>
      <c r="O55" s="20"/>
      <c r="P55" s="20"/>
      <c r="Q55" s="20">
        <v>1</v>
      </c>
    </row>
    <row r="57" spans="1:17" x14ac:dyDescent="0.25">
      <c r="D57" s="6">
        <f>COUNTA(D3:D55)</f>
        <v>47</v>
      </c>
      <c r="G57" s="6">
        <f t="shared" ref="G57:Q57" si="2">SUBTOTAL(9,G3:G55)</f>
        <v>39405</v>
      </c>
      <c r="H57" s="6">
        <f t="shared" si="2"/>
        <v>1515</v>
      </c>
      <c r="I57" s="6">
        <f t="shared" si="2"/>
        <v>37890</v>
      </c>
      <c r="J57" s="6">
        <f t="shared" si="2"/>
        <v>0</v>
      </c>
      <c r="K57" s="6">
        <f t="shared" si="2"/>
        <v>0</v>
      </c>
      <c r="L57" s="6">
        <f t="shared" si="2"/>
        <v>0</v>
      </c>
      <c r="M57" s="6">
        <f t="shared" si="2"/>
        <v>0</v>
      </c>
      <c r="N57" s="6">
        <f t="shared" si="2"/>
        <v>0</v>
      </c>
      <c r="O57" s="6">
        <f t="shared" si="2"/>
        <v>0</v>
      </c>
      <c r="P57" s="6">
        <f t="shared" si="2"/>
        <v>0</v>
      </c>
      <c r="Q57" s="6">
        <f t="shared" si="2"/>
        <v>53</v>
      </c>
    </row>
    <row r="58" spans="1:17" x14ac:dyDescent="0.25">
      <c r="H58">
        <f>-9*17</f>
        <v>-153</v>
      </c>
    </row>
    <row r="59" spans="1:17" x14ac:dyDescent="0.25">
      <c r="A59" s="6" t="s">
        <v>17</v>
      </c>
      <c r="C59" s="5" t="s">
        <v>191</v>
      </c>
      <c r="D59" s="5"/>
      <c r="E59" s="9" t="s">
        <v>192</v>
      </c>
      <c r="H59">
        <f>-7*25</f>
        <v>-175</v>
      </c>
      <c r="K59" s="16" t="s">
        <v>135</v>
      </c>
      <c r="L59" s="16" t="s">
        <v>193</v>
      </c>
      <c r="M59" s="16" t="s">
        <v>192</v>
      </c>
      <c r="O59" s="9" t="s">
        <v>194</v>
      </c>
    </row>
    <row r="60" spans="1:17" x14ac:dyDescent="0.25">
      <c r="A60" t="s">
        <v>293</v>
      </c>
      <c r="B60" s="8" t="s">
        <v>195</v>
      </c>
      <c r="C60" s="4">
        <f>SUMIFS(I$3:I$55,B$3:B$55,A$59,L$3:L$55,A$60)</f>
        <v>37890</v>
      </c>
      <c r="D60" s="4"/>
      <c r="E60" s="8">
        <f>SUMIFS(Q$3:Q$55,B$3:B$55,A$59,L$3:L$55,A$60)</f>
        <v>53</v>
      </c>
      <c r="F60" t="s">
        <v>196</v>
      </c>
      <c r="H60">
        <f>-2*30</f>
        <v>-60</v>
      </c>
      <c r="K60" t="s">
        <v>197</v>
      </c>
      <c r="L60">
        <f>SUMIFS(G$3:G$55,J$3:J$55,K$59)</f>
        <v>21765</v>
      </c>
      <c r="M60">
        <f>SUMIFS(Q$3:Q$55,J$3:J$55,K$59)-INT(COUNTIFS(J$3:J$55,K$59,M$3:M$55,"*gộp*")/2)</f>
        <v>22</v>
      </c>
      <c r="O60" t="s">
        <v>135</v>
      </c>
      <c r="P60">
        <f>L65</f>
        <v>21245</v>
      </c>
    </row>
    <row r="61" spans="1:17" x14ac:dyDescent="0.25">
      <c r="B61" s="7" t="s">
        <v>199</v>
      </c>
      <c r="C61" s="3">
        <v>0</v>
      </c>
      <c r="D61" s="3"/>
      <c r="K61" t="s">
        <v>200</v>
      </c>
      <c r="L61">
        <f>-SUMIFS(H$3:H$55,J$3:J$55,K$59)+M61*5</f>
        <v>-520</v>
      </c>
      <c r="M61">
        <f>SUMIFS(Q$3:Q$55,J$3:J$55,K$59)-INT(COUNTIFS(J$3:J$55,K$59,M$3:M$55,"*gộp*")/2)</f>
        <v>22</v>
      </c>
      <c r="O61" t="s">
        <v>439</v>
      </c>
      <c r="P61">
        <f>L73</f>
        <v>11777</v>
      </c>
    </row>
    <row r="62" spans="1:17" x14ac:dyDescent="0.25">
      <c r="B62" s="7" t="s">
        <v>201</v>
      </c>
      <c r="C62" s="3">
        <f>-SUMIFS(I$3:I$55,B$3:B$55,A$59,P$3:P$55,"xx",N$3:N$55,"x")</f>
        <v>0</v>
      </c>
      <c r="D62" s="3"/>
      <c r="E62" s="7">
        <f>SUMIFS(Q$3:Q$55,B$3:B$55,A$59,P$3:P$55,"xx",N$3:N$55,"x")</f>
        <v>0</v>
      </c>
      <c r="K62" t="s">
        <v>202</v>
      </c>
      <c r="O62" t="s">
        <v>21</v>
      </c>
      <c r="P62">
        <f>L81</f>
        <v>5078</v>
      </c>
    </row>
    <row r="63" spans="1:17" x14ac:dyDescent="0.25">
      <c r="B63" s="9" t="s">
        <v>203</v>
      </c>
      <c r="C63" s="5">
        <f>SUBTOTAL(9,C60:C62)</f>
        <v>37890</v>
      </c>
      <c r="D63" s="5"/>
      <c r="E63">
        <f>E60</f>
        <v>53</v>
      </c>
      <c r="K63" s="7" t="s">
        <v>204</v>
      </c>
      <c r="O63" t="s">
        <v>207</v>
      </c>
      <c r="P63">
        <f>-C67</f>
        <v>-37860</v>
      </c>
    </row>
    <row r="64" spans="1:17" x14ac:dyDescent="0.25">
      <c r="B64" s="7" t="s">
        <v>205</v>
      </c>
      <c r="C64" s="2"/>
      <c r="D64" s="2"/>
      <c r="K64" s="7" t="s">
        <v>206</v>
      </c>
      <c r="O64" s="9" t="s">
        <v>209</v>
      </c>
      <c r="P64" s="9">
        <f>SUBTOTAL(9,P60:P63)</f>
        <v>240</v>
      </c>
    </row>
    <row r="65" spans="2:13" x14ac:dyDescent="0.25">
      <c r="B65" s="17" t="s">
        <v>208</v>
      </c>
      <c r="C65" s="2">
        <v>-30</v>
      </c>
      <c r="D65" s="2"/>
      <c r="L65" s="18">
        <f>SUBTOTAL(9,L60:L64)</f>
        <v>21245</v>
      </c>
      <c r="M65" s="18">
        <f>M60</f>
        <v>22</v>
      </c>
    </row>
    <row r="67" spans="2:13" x14ac:dyDescent="0.25">
      <c r="B67" s="6" t="s">
        <v>210</v>
      </c>
      <c r="C67" s="1">
        <f>C63+C64+C65</f>
        <v>37860</v>
      </c>
      <c r="D67" s="1"/>
      <c r="E67" s="6" t="s">
        <v>211</v>
      </c>
      <c r="K67" s="16" t="s">
        <v>292</v>
      </c>
      <c r="L67" s="16" t="s">
        <v>193</v>
      </c>
      <c r="M67" s="16" t="s">
        <v>192</v>
      </c>
    </row>
    <row r="68" spans="2:13" x14ac:dyDescent="0.25">
      <c r="K68" t="s">
        <v>197</v>
      </c>
      <c r="L68">
        <f>SUMIFS(G$3:G$55,J$3:J$55,K$67)</f>
        <v>12165</v>
      </c>
      <c r="M68">
        <f>SUMIFS(Q$3:Q$55,J$3:J$55,K$67)-INT(COUNTIFS(J$3:J$55,K$67,M$3:M$55,"*gộp*")/2)</f>
        <v>18</v>
      </c>
    </row>
    <row r="69" spans="2:13" x14ac:dyDescent="0.25">
      <c r="K69" t="s">
        <v>200</v>
      </c>
      <c r="L69">
        <f>SUM(H58:H60)</f>
        <v>-388</v>
      </c>
      <c r="M69">
        <f>SUMIFS(Q$3:Q$55,J$3:J$55,K$67)</f>
        <v>18</v>
      </c>
    </row>
    <row r="70" spans="2:13" x14ac:dyDescent="0.25">
      <c r="K70" t="s">
        <v>202</v>
      </c>
    </row>
    <row r="71" spans="2:13" x14ac:dyDescent="0.25">
      <c r="K71" s="7" t="s">
        <v>204</v>
      </c>
    </row>
    <row r="72" spans="2:13" x14ac:dyDescent="0.25">
      <c r="K72" s="7" t="s">
        <v>206</v>
      </c>
    </row>
    <row r="73" spans="2:13" x14ac:dyDescent="0.25">
      <c r="L73" s="18">
        <f>SUBTOTAL(9,L68:L72)</f>
        <v>11777</v>
      </c>
      <c r="M73" s="18">
        <f>M68</f>
        <v>18</v>
      </c>
    </row>
    <row r="75" spans="2:13" x14ac:dyDescent="0.25">
      <c r="K75" s="16" t="s">
        <v>21</v>
      </c>
      <c r="L75" s="16" t="s">
        <v>193</v>
      </c>
      <c r="M75" s="16" t="s">
        <v>192</v>
      </c>
    </row>
    <row r="76" spans="2:13" x14ac:dyDescent="0.25">
      <c r="K76" t="s">
        <v>197</v>
      </c>
      <c r="L76">
        <f>SUMIFS(G$3:G$55,J$3:J$55,K$75)</f>
        <v>5475</v>
      </c>
      <c r="M76">
        <f>SUMIFS(Q$3:Q$55,J$3:J$55,K$75)-INT(COUNTIFS(J$3:J$55,K$75,M$3:M$55,"*gộp*")/2)</f>
        <v>11</v>
      </c>
    </row>
    <row r="77" spans="2:13" x14ac:dyDescent="0.25">
      <c r="K77" t="s">
        <v>200</v>
      </c>
      <c r="L77">
        <f>-SUMIFS(H$3:H$55,J$3:J$55,K$75)+M77*5</f>
        <v>-295</v>
      </c>
      <c r="M77">
        <f>SUMIFS(Q$3:Q$55,J$3:J$55,K$75)-INT(COUNTIFS(J$3:J$55,K$75,M$3:M$55,"*gộp*")/2)</f>
        <v>11</v>
      </c>
    </row>
    <row r="78" spans="2:13" x14ac:dyDescent="0.25">
      <c r="K78" t="s">
        <v>202</v>
      </c>
      <c r="L78">
        <f>-M78*2</f>
        <v>-102</v>
      </c>
      <c r="M78">
        <f>E63-(COUNTIFS(M$3:M$55,"*gộp*")/2)-COUNTIFS(M$3:M$55,"*đơn trả*")-COUNTIFS(M$3:M$55,"*hàng tỉnh*")</f>
        <v>51</v>
      </c>
    </row>
    <row r="79" spans="2:13" x14ac:dyDescent="0.25">
      <c r="K79" s="7" t="s">
        <v>204</v>
      </c>
    </row>
    <row r="80" spans="2:13" x14ac:dyDescent="0.25">
      <c r="K80" s="7" t="s">
        <v>206</v>
      </c>
    </row>
    <row r="81" spans="12:13" x14ac:dyDescent="0.25">
      <c r="L81" s="18">
        <f>SUBTOTAL(9,L76:L80)</f>
        <v>5078</v>
      </c>
      <c r="M81" s="18">
        <f>M76</f>
        <v>11</v>
      </c>
    </row>
  </sheetData>
  <autoFilter ref="A2:P55" xr:uid="{00000000-0009-0000-0000-000002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60"/>
  <sheetViews>
    <sheetView topLeftCell="A31" workbookViewId="0">
      <selection activeCell="H48" sqref="H48"/>
    </sheetView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87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7" x14ac:dyDescent="0.25">
      <c r="A3" s="20"/>
      <c r="B3" s="20" t="s">
        <v>17</v>
      </c>
      <c r="C3" s="20" t="s">
        <v>440</v>
      </c>
      <c r="D3" s="20" t="s">
        <v>441</v>
      </c>
      <c r="E3" s="20" t="s">
        <v>442</v>
      </c>
      <c r="F3" s="20" t="s">
        <v>46</v>
      </c>
      <c r="G3" s="21">
        <v>0</v>
      </c>
      <c r="H3" s="21">
        <v>25</v>
      </c>
      <c r="I3" s="21">
        <f t="shared" ref="I3:I34" si="0">G3-H3</f>
        <v>-25</v>
      </c>
      <c r="J3" s="20" t="s">
        <v>443</v>
      </c>
      <c r="K3" s="20" t="s">
        <v>21</v>
      </c>
      <c r="L3" s="20" t="s">
        <v>444</v>
      </c>
      <c r="M3" s="20"/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445</v>
      </c>
      <c r="D4" s="20" t="s">
        <v>446</v>
      </c>
      <c r="E4" s="20" t="s">
        <v>447</v>
      </c>
      <c r="F4" s="21">
        <v>12</v>
      </c>
      <c r="G4" s="21">
        <v>400</v>
      </c>
      <c r="H4" s="21">
        <v>30</v>
      </c>
      <c r="I4" s="21">
        <f t="shared" si="0"/>
        <v>370</v>
      </c>
      <c r="J4" s="20" t="s">
        <v>443</v>
      </c>
      <c r="K4" s="20" t="s">
        <v>21</v>
      </c>
      <c r="L4" s="20" t="s">
        <v>444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448</v>
      </c>
      <c r="D5" s="20" t="s">
        <v>449</v>
      </c>
      <c r="E5" s="20" t="s">
        <v>450</v>
      </c>
      <c r="F5" s="21">
        <v>8</v>
      </c>
      <c r="G5" s="21">
        <v>1060</v>
      </c>
      <c r="H5" s="21">
        <v>30</v>
      </c>
      <c r="I5" s="21">
        <f t="shared" si="0"/>
        <v>1030</v>
      </c>
      <c r="J5" s="20" t="s">
        <v>443</v>
      </c>
      <c r="K5" s="20" t="s">
        <v>21</v>
      </c>
      <c r="L5" s="20" t="s">
        <v>444</v>
      </c>
      <c r="M5" s="20"/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451</v>
      </c>
      <c r="D6" s="20" t="s">
        <v>452</v>
      </c>
      <c r="E6" s="20" t="s">
        <v>453</v>
      </c>
      <c r="F6" s="20" t="s">
        <v>26</v>
      </c>
      <c r="G6" s="21">
        <v>820</v>
      </c>
      <c r="H6" s="21">
        <v>30</v>
      </c>
      <c r="I6" s="21">
        <f t="shared" si="0"/>
        <v>790</v>
      </c>
      <c r="J6" s="20" t="s">
        <v>443</v>
      </c>
      <c r="K6" s="20" t="s">
        <v>21</v>
      </c>
      <c r="L6" s="20" t="s">
        <v>444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454</v>
      </c>
      <c r="D7" s="20" t="s">
        <v>455</v>
      </c>
      <c r="E7" s="20" t="s">
        <v>456</v>
      </c>
      <c r="F7" s="21">
        <v>6</v>
      </c>
      <c r="G7" s="21">
        <v>0</v>
      </c>
      <c r="H7" s="21">
        <v>25</v>
      </c>
      <c r="I7" s="21">
        <f t="shared" si="0"/>
        <v>-25</v>
      </c>
      <c r="J7" s="20" t="s">
        <v>443</v>
      </c>
      <c r="K7" s="20" t="s">
        <v>21</v>
      </c>
      <c r="L7" s="20" t="s">
        <v>444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457</v>
      </c>
      <c r="D8" s="20" t="s">
        <v>458</v>
      </c>
      <c r="E8" s="20" t="s">
        <v>459</v>
      </c>
      <c r="F8" s="20" t="s">
        <v>26</v>
      </c>
      <c r="G8" s="21">
        <v>890</v>
      </c>
      <c r="H8" s="21">
        <v>30</v>
      </c>
      <c r="I8" s="21">
        <f t="shared" si="0"/>
        <v>860</v>
      </c>
      <c r="J8" s="20" t="s">
        <v>443</v>
      </c>
      <c r="K8" s="20" t="s">
        <v>21</v>
      </c>
      <c r="L8" s="20" t="s">
        <v>444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460</v>
      </c>
      <c r="D9" s="20" t="s">
        <v>461</v>
      </c>
      <c r="E9" s="20" t="s">
        <v>462</v>
      </c>
      <c r="F9" s="20" t="s">
        <v>26</v>
      </c>
      <c r="G9" s="21">
        <v>850</v>
      </c>
      <c r="H9" s="21">
        <v>30</v>
      </c>
      <c r="I9" s="21">
        <f t="shared" si="0"/>
        <v>820</v>
      </c>
      <c r="J9" s="20" t="s">
        <v>443</v>
      </c>
      <c r="K9" s="20" t="s">
        <v>21</v>
      </c>
      <c r="L9" s="20" t="s">
        <v>444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463</v>
      </c>
      <c r="D10" s="20" t="s">
        <v>464</v>
      </c>
      <c r="E10" s="20" t="s">
        <v>465</v>
      </c>
      <c r="F10" s="20" t="s">
        <v>139</v>
      </c>
      <c r="G10" s="21">
        <v>855</v>
      </c>
      <c r="H10" s="21">
        <v>35</v>
      </c>
      <c r="I10" s="21">
        <f t="shared" si="0"/>
        <v>820</v>
      </c>
      <c r="J10" s="20" t="s">
        <v>443</v>
      </c>
      <c r="K10" s="20" t="s">
        <v>21</v>
      </c>
      <c r="L10" s="20" t="s">
        <v>444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466</v>
      </c>
      <c r="D11" s="20" t="s">
        <v>467</v>
      </c>
      <c r="E11" s="20" t="s">
        <v>468</v>
      </c>
      <c r="F11" s="20" t="s">
        <v>46</v>
      </c>
      <c r="G11" s="21">
        <v>1175</v>
      </c>
      <c r="H11" s="21">
        <v>25</v>
      </c>
      <c r="I11" s="21">
        <f t="shared" si="0"/>
        <v>1150</v>
      </c>
      <c r="J11" s="20" t="s">
        <v>443</v>
      </c>
      <c r="K11" s="20" t="s">
        <v>21</v>
      </c>
      <c r="L11" s="20" t="s">
        <v>444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469</v>
      </c>
      <c r="D12" s="20" t="s">
        <v>470</v>
      </c>
      <c r="E12" s="20" t="s">
        <v>471</v>
      </c>
      <c r="F12" s="20" t="s">
        <v>95</v>
      </c>
      <c r="G12" s="21">
        <v>715</v>
      </c>
      <c r="H12" s="21">
        <v>25</v>
      </c>
      <c r="I12" s="21">
        <f t="shared" si="0"/>
        <v>690</v>
      </c>
      <c r="J12" s="20" t="s">
        <v>443</v>
      </c>
      <c r="K12" s="20" t="s">
        <v>21</v>
      </c>
      <c r="L12" s="20" t="s">
        <v>444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472</v>
      </c>
      <c r="D13" s="20" t="s">
        <v>473</v>
      </c>
      <c r="E13" s="20" t="s">
        <v>474</v>
      </c>
      <c r="F13" s="21">
        <v>12</v>
      </c>
      <c r="G13" s="21">
        <v>1150</v>
      </c>
      <c r="H13" s="21">
        <v>30</v>
      </c>
      <c r="I13" s="21">
        <f t="shared" si="0"/>
        <v>1120</v>
      </c>
      <c r="J13" s="20" t="s">
        <v>443</v>
      </c>
      <c r="K13" s="20" t="s">
        <v>21</v>
      </c>
      <c r="L13" s="20" t="s">
        <v>444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475</v>
      </c>
      <c r="D14" s="20" t="s">
        <v>476</v>
      </c>
      <c r="E14" s="20" t="s">
        <v>477</v>
      </c>
      <c r="F14" s="20" t="s">
        <v>46</v>
      </c>
      <c r="G14" s="21">
        <v>0</v>
      </c>
      <c r="H14" s="21">
        <v>25</v>
      </c>
      <c r="I14" s="21">
        <f t="shared" si="0"/>
        <v>-25</v>
      </c>
      <c r="J14" s="20" t="s">
        <v>443</v>
      </c>
      <c r="K14" s="20" t="s">
        <v>21</v>
      </c>
      <c r="L14" s="20" t="s">
        <v>444</v>
      </c>
      <c r="M14" s="20"/>
      <c r="N14" s="20"/>
      <c r="O14" s="20"/>
      <c r="P14" s="20"/>
      <c r="Q14" s="20">
        <v>1</v>
      </c>
    </row>
    <row r="15" spans="1:17" s="24" customFormat="1" x14ac:dyDescent="0.25">
      <c r="A15" s="22" t="s">
        <v>16</v>
      </c>
      <c r="B15" s="22" t="s">
        <v>17</v>
      </c>
      <c r="C15" s="22" t="s">
        <v>478</v>
      </c>
      <c r="D15" s="22"/>
      <c r="E15" s="22" t="s">
        <v>479</v>
      </c>
      <c r="F15" s="22" t="s">
        <v>85</v>
      </c>
      <c r="G15" s="23">
        <v>0</v>
      </c>
      <c r="H15" s="23">
        <v>25</v>
      </c>
      <c r="I15" s="23">
        <f t="shared" si="0"/>
        <v>-25</v>
      </c>
      <c r="J15" s="22" t="s">
        <v>21</v>
      </c>
      <c r="K15" s="22" t="s">
        <v>21</v>
      </c>
      <c r="L15" s="22" t="s">
        <v>444</v>
      </c>
      <c r="M15" s="22" t="s">
        <v>126</v>
      </c>
      <c r="N15" s="22"/>
      <c r="O15" s="22"/>
      <c r="P15" s="22"/>
      <c r="Q15" s="22">
        <v>1</v>
      </c>
    </row>
    <row r="16" spans="1:17" x14ac:dyDescent="0.25">
      <c r="A16" s="20"/>
      <c r="B16" s="20" t="s">
        <v>17</v>
      </c>
      <c r="C16" s="20" t="s">
        <v>480</v>
      </c>
      <c r="D16" s="20" t="s">
        <v>481</v>
      </c>
      <c r="E16" s="20" t="s">
        <v>482</v>
      </c>
      <c r="F16" s="20" t="s">
        <v>95</v>
      </c>
      <c r="G16" s="21">
        <v>985</v>
      </c>
      <c r="H16" s="21">
        <v>25</v>
      </c>
      <c r="I16" s="21">
        <f t="shared" si="0"/>
        <v>960</v>
      </c>
      <c r="J16" s="20" t="s">
        <v>21</v>
      </c>
      <c r="K16" s="20" t="s">
        <v>21</v>
      </c>
      <c r="L16" s="20" t="s">
        <v>444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483</v>
      </c>
      <c r="D17" s="20" t="s">
        <v>484</v>
      </c>
      <c r="E17" s="20" t="s">
        <v>485</v>
      </c>
      <c r="F17" s="20" t="s">
        <v>81</v>
      </c>
      <c r="G17" s="21">
        <v>560</v>
      </c>
      <c r="H17" s="21">
        <v>30</v>
      </c>
      <c r="I17" s="21">
        <f t="shared" si="0"/>
        <v>530</v>
      </c>
      <c r="J17" s="20" t="s">
        <v>21</v>
      </c>
      <c r="K17" s="20" t="s">
        <v>21</v>
      </c>
      <c r="L17" s="20" t="s">
        <v>444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486</v>
      </c>
      <c r="D18" s="20" t="s">
        <v>487</v>
      </c>
      <c r="E18" s="20" t="s">
        <v>488</v>
      </c>
      <c r="F18" s="20" t="s">
        <v>95</v>
      </c>
      <c r="G18" s="21">
        <v>815</v>
      </c>
      <c r="H18" s="21">
        <v>25</v>
      </c>
      <c r="I18" s="21">
        <f t="shared" si="0"/>
        <v>790</v>
      </c>
      <c r="J18" s="20" t="s">
        <v>21</v>
      </c>
      <c r="K18" s="20" t="s">
        <v>21</v>
      </c>
      <c r="L18" s="20" t="s">
        <v>444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489</v>
      </c>
      <c r="D19" s="20" t="s">
        <v>490</v>
      </c>
      <c r="E19" s="20" t="s">
        <v>491</v>
      </c>
      <c r="F19" s="20" t="s">
        <v>85</v>
      </c>
      <c r="G19" s="21">
        <v>1140</v>
      </c>
      <c r="H19" s="21">
        <v>20</v>
      </c>
      <c r="I19" s="21">
        <f t="shared" si="0"/>
        <v>1120</v>
      </c>
      <c r="J19" s="20" t="s">
        <v>21</v>
      </c>
      <c r="K19" s="20" t="s">
        <v>21</v>
      </c>
      <c r="L19" s="20" t="s">
        <v>444</v>
      </c>
      <c r="M19" s="20"/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492</v>
      </c>
      <c r="D20" s="20" t="s">
        <v>493</v>
      </c>
      <c r="E20" s="20" t="s">
        <v>494</v>
      </c>
      <c r="F20" s="20" t="s">
        <v>81</v>
      </c>
      <c r="G20" s="21">
        <v>410</v>
      </c>
      <c r="H20" s="21">
        <v>30</v>
      </c>
      <c r="I20" s="21">
        <f t="shared" si="0"/>
        <v>380</v>
      </c>
      <c r="J20" s="20" t="s">
        <v>21</v>
      </c>
      <c r="K20" s="20" t="s">
        <v>21</v>
      </c>
      <c r="L20" s="20" t="s">
        <v>444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495</v>
      </c>
      <c r="D21" s="20" t="s">
        <v>496</v>
      </c>
      <c r="E21" s="20" t="s">
        <v>497</v>
      </c>
      <c r="F21" s="20" t="s">
        <v>77</v>
      </c>
      <c r="G21" s="21">
        <v>0</v>
      </c>
      <c r="H21" s="21">
        <v>25</v>
      </c>
      <c r="I21" s="21">
        <f t="shared" si="0"/>
        <v>-25</v>
      </c>
      <c r="J21" s="20" t="s">
        <v>21</v>
      </c>
      <c r="K21" s="20" t="s">
        <v>21</v>
      </c>
      <c r="L21" s="20" t="s">
        <v>444</v>
      </c>
      <c r="M21" s="20"/>
      <c r="N21" s="20"/>
      <c r="O21" s="20"/>
      <c r="P21" s="20"/>
      <c r="Q21" s="20">
        <v>1</v>
      </c>
    </row>
    <row r="22" spans="1:17" x14ac:dyDescent="0.25">
      <c r="A22" s="20"/>
      <c r="B22" s="20" t="s">
        <v>17</v>
      </c>
      <c r="C22" s="20" t="s">
        <v>498</v>
      </c>
      <c r="D22" s="20" t="s">
        <v>499</v>
      </c>
      <c r="E22" s="20" t="s">
        <v>500</v>
      </c>
      <c r="F22" s="21">
        <v>12</v>
      </c>
      <c r="G22" s="21">
        <v>0</v>
      </c>
      <c r="H22" s="21">
        <v>30</v>
      </c>
      <c r="I22" s="21">
        <f t="shared" si="0"/>
        <v>-30</v>
      </c>
      <c r="J22" s="20" t="s">
        <v>21</v>
      </c>
      <c r="K22" s="20" t="s">
        <v>21</v>
      </c>
      <c r="L22" s="20" t="s">
        <v>444</v>
      </c>
      <c r="M22" s="20"/>
      <c r="N22" s="20"/>
      <c r="O22" s="20"/>
      <c r="P22" s="20"/>
      <c r="Q22" s="20">
        <v>1</v>
      </c>
    </row>
    <row r="23" spans="1:17" x14ac:dyDescent="0.25">
      <c r="A23" s="20"/>
      <c r="B23" s="20" t="s">
        <v>17</v>
      </c>
      <c r="C23" s="20" t="s">
        <v>501</v>
      </c>
      <c r="D23" s="20" t="s">
        <v>502</v>
      </c>
      <c r="E23" s="20" t="s">
        <v>503</v>
      </c>
      <c r="F23" s="21">
        <v>12</v>
      </c>
      <c r="G23" s="21">
        <v>0</v>
      </c>
      <c r="H23" s="21">
        <v>30</v>
      </c>
      <c r="I23" s="21">
        <f t="shared" si="0"/>
        <v>-30</v>
      </c>
      <c r="J23" s="20" t="s">
        <v>21</v>
      </c>
      <c r="K23" s="20" t="s">
        <v>21</v>
      </c>
      <c r="L23" s="20" t="s">
        <v>444</v>
      </c>
      <c r="M23" s="20"/>
      <c r="N23" s="20"/>
      <c r="O23" s="20"/>
      <c r="P23" s="20"/>
      <c r="Q23" s="20">
        <v>1</v>
      </c>
    </row>
    <row r="24" spans="1:17" x14ac:dyDescent="0.25">
      <c r="A24" s="20" t="s">
        <v>16</v>
      </c>
      <c r="B24" s="20" t="s">
        <v>17</v>
      </c>
      <c r="C24" s="20" t="s">
        <v>504</v>
      </c>
      <c r="D24" s="20"/>
      <c r="E24" s="20" t="s">
        <v>505</v>
      </c>
      <c r="F24" s="20" t="s">
        <v>95</v>
      </c>
      <c r="G24" s="21">
        <v>0</v>
      </c>
      <c r="H24" s="21">
        <v>30</v>
      </c>
      <c r="I24" s="21">
        <f t="shared" si="0"/>
        <v>-30</v>
      </c>
      <c r="J24" s="20" t="s">
        <v>135</v>
      </c>
      <c r="K24" s="20" t="s">
        <v>21</v>
      </c>
      <c r="L24" s="20" t="s">
        <v>444</v>
      </c>
      <c r="M24" s="20"/>
      <c r="N24" s="20"/>
      <c r="O24" s="20"/>
      <c r="P24" s="20"/>
      <c r="Q24" s="20">
        <v>1</v>
      </c>
    </row>
    <row r="25" spans="1:17" x14ac:dyDescent="0.25">
      <c r="A25" s="20" t="s">
        <v>16</v>
      </c>
      <c r="B25" s="20" t="s">
        <v>17</v>
      </c>
      <c r="C25" s="20" t="s">
        <v>506</v>
      </c>
      <c r="D25" s="20"/>
      <c r="E25" s="20" t="s">
        <v>507</v>
      </c>
      <c r="F25" s="20" t="s">
        <v>95</v>
      </c>
      <c r="G25" s="21">
        <v>0</v>
      </c>
      <c r="H25" s="21">
        <v>30</v>
      </c>
      <c r="I25" s="21">
        <f t="shared" si="0"/>
        <v>-30</v>
      </c>
      <c r="J25" s="20" t="s">
        <v>135</v>
      </c>
      <c r="K25" s="20" t="s">
        <v>21</v>
      </c>
      <c r="L25" s="20" t="s">
        <v>444</v>
      </c>
      <c r="M25" s="20"/>
      <c r="N25" s="20"/>
      <c r="O25" s="20"/>
      <c r="P25" s="20"/>
      <c r="Q25" s="20">
        <v>1</v>
      </c>
    </row>
    <row r="26" spans="1:17" x14ac:dyDescent="0.25">
      <c r="A26" s="20" t="s">
        <v>16</v>
      </c>
      <c r="B26" s="20" t="s">
        <v>17</v>
      </c>
      <c r="C26" s="20" t="s">
        <v>508</v>
      </c>
      <c r="D26" s="20"/>
      <c r="E26" s="20" t="s">
        <v>509</v>
      </c>
      <c r="F26" s="20" t="s">
        <v>406</v>
      </c>
      <c r="G26" s="21">
        <v>25</v>
      </c>
      <c r="H26" s="21">
        <v>25</v>
      </c>
      <c r="I26" s="21">
        <f t="shared" si="0"/>
        <v>0</v>
      </c>
      <c r="J26" s="20" t="s">
        <v>135</v>
      </c>
      <c r="K26" s="20" t="s">
        <v>21</v>
      </c>
      <c r="L26" s="20" t="s">
        <v>444</v>
      </c>
      <c r="M26" s="20"/>
      <c r="N26" s="20"/>
      <c r="O26" s="20"/>
      <c r="P26" s="20"/>
      <c r="Q26" s="20">
        <v>1</v>
      </c>
    </row>
    <row r="27" spans="1:17" x14ac:dyDescent="0.25">
      <c r="A27" s="20"/>
      <c r="B27" s="20" t="s">
        <v>17</v>
      </c>
      <c r="C27" s="20" t="s">
        <v>510</v>
      </c>
      <c r="D27" s="20" t="s">
        <v>511</v>
      </c>
      <c r="E27" s="20" t="s">
        <v>512</v>
      </c>
      <c r="F27" s="20" t="s">
        <v>406</v>
      </c>
      <c r="G27" s="21">
        <v>4860</v>
      </c>
      <c r="H27" s="21">
        <v>30</v>
      </c>
      <c r="I27" s="21">
        <f t="shared" si="0"/>
        <v>4830</v>
      </c>
      <c r="J27" s="20" t="s">
        <v>135</v>
      </c>
      <c r="K27" s="20" t="s">
        <v>21</v>
      </c>
      <c r="L27" s="20" t="s">
        <v>444</v>
      </c>
      <c r="M27" s="25" t="s">
        <v>167</v>
      </c>
      <c r="N27" s="20"/>
      <c r="O27" s="20"/>
      <c r="P27" s="20"/>
      <c r="Q27" s="20">
        <v>1</v>
      </c>
    </row>
    <row r="28" spans="1:17" x14ac:dyDescent="0.25">
      <c r="A28" s="20"/>
      <c r="B28" s="20" t="s">
        <v>17</v>
      </c>
      <c r="C28" s="20" t="s">
        <v>513</v>
      </c>
      <c r="D28" s="20" t="s">
        <v>514</v>
      </c>
      <c r="E28" s="20" t="s">
        <v>515</v>
      </c>
      <c r="F28" s="21">
        <v>1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444</v>
      </c>
      <c r="M28" s="20"/>
      <c r="N28" s="20"/>
      <c r="O28" s="20"/>
      <c r="P28" s="20"/>
      <c r="Q28" s="20">
        <v>1</v>
      </c>
    </row>
    <row r="29" spans="1:17" x14ac:dyDescent="0.25">
      <c r="A29" s="20"/>
      <c r="B29" s="20" t="s">
        <v>17</v>
      </c>
      <c r="C29" s="20" t="s">
        <v>516</v>
      </c>
      <c r="D29" s="20" t="s">
        <v>517</v>
      </c>
      <c r="E29" s="20" t="s">
        <v>518</v>
      </c>
      <c r="F29" s="20" t="s">
        <v>95</v>
      </c>
      <c r="G29" s="21">
        <v>795</v>
      </c>
      <c r="H29" s="21">
        <v>25</v>
      </c>
      <c r="I29" s="21">
        <f t="shared" si="0"/>
        <v>770</v>
      </c>
      <c r="J29" s="20" t="s">
        <v>135</v>
      </c>
      <c r="K29" s="20" t="s">
        <v>21</v>
      </c>
      <c r="L29" s="20" t="s">
        <v>444</v>
      </c>
      <c r="M29" s="20"/>
      <c r="N29" s="20"/>
      <c r="O29" s="20"/>
      <c r="P29" s="20"/>
      <c r="Q29" s="20">
        <v>1</v>
      </c>
    </row>
    <row r="30" spans="1:17" x14ac:dyDescent="0.25">
      <c r="A30" s="20"/>
      <c r="B30" s="20" t="s">
        <v>17</v>
      </c>
      <c r="C30" s="20" t="s">
        <v>519</v>
      </c>
      <c r="D30" s="20" t="s">
        <v>520</v>
      </c>
      <c r="E30" s="20" t="s">
        <v>521</v>
      </c>
      <c r="F30" s="20" t="s">
        <v>95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444</v>
      </c>
      <c r="M30" s="20"/>
      <c r="N30" s="20"/>
      <c r="O30" s="20"/>
      <c r="P30" s="20"/>
      <c r="Q30" s="20">
        <v>1</v>
      </c>
    </row>
    <row r="31" spans="1:17" s="24" customFormat="1" x14ac:dyDescent="0.25">
      <c r="A31" s="22"/>
      <c r="B31" s="22" t="s">
        <v>17</v>
      </c>
      <c r="C31" s="22" t="s">
        <v>522</v>
      </c>
      <c r="D31" s="22" t="s">
        <v>523</v>
      </c>
      <c r="E31" s="22" t="s">
        <v>524</v>
      </c>
      <c r="F31" s="23">
        <v>5</v>
      </c>
      <c r="G31" s="23">
        <v>25</v>
      </c>
      <c r="H31" s="23">
        <v>25</v>
      </c>
      <c r="I31" s="23">
        <f t="shared" si="0"/>
        <v>0</v>
      </c>
      <c r="J31" s="22" t="s">
        <v>135</v>
      </c>
      <c r="K31" s="22" t="s">
        <v>21</v>
      </c>
      <c r="L31" s="22" t="s">
        <v>444</v>
      </c>
      <c r="M31" s="22" t="s">
        <v>126</v>
      </c>
      <c r="N31" s="22"/>
      <c r="O31" s="22"/>
      <c r="P31" s="22"/>
      <c r="Q31" s="22">
        <v>1</v>
      </c>
    </row>
    <row r="32" spans="1:17" x14ac:dyDescent="0.25">
      <c r="A32" s="20"/>
      <c r="B32" s="20" t="s">
        <v>17</v>
      </c>
      <c r="C32" s="20" t="s">
        <v>525</v>
      </c>
      <c r="D32" s="20" t="s">
        <v>526</v>
      </c>
      <c r="E32" s="20" t="s">
        <v>527</v>
      </c>
      <c r="F32" s="21">
        <v>1</v>
      </c>
      <c r="G32" s="21">
        <v>1475</v>
      </c>
      <c r="H32" s="21">
        <v>25</v>
      </c>
      <c r="I32" s="21">
        <f t="shared" si="0"/>
        <v>1450</v>
      </c>
      <c r="J32" s="20" t="s">
        <v>135</v>
      </c>
      <c r="K32" s="20" t="s">
        <v>21</v>
      </c>
      <c r="L32" s="20" t="s">
        <v>444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528</v>
      </c>
      <c r="D33" s="20" t="s">
        <v>529</v>
      </c>
      <c r="E33" s="20" t="s">
        <v>530</v>
      </c>
      <c r="F33" s="21">
        <v>4</v>
      </c>
      <c r="G33" s="21">
        <v>825</v>
      </c>
      <c r="H33" s="21">
        <v>25</v>
      </c>
      <c r="I33" s="21">
        <f t="shared" si="0"/>
        <v>800</v>
      </c>
      <c r="J33" s="20" t="s">
        <v>135</v>
      </c>
      <c r="K33" s="20" t="s">
        <v>21</v>
      </c>
      <c r="L33" s="20" t="s">
        <v>444</v>
      </c>
      <c r="M33" s="20"/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531</v>
      </c>
      <c r="D34" s="20" t="s">
        <v>532</v>
      </c>
      <c r="E34" s="20" t="s">
        <v>533</v>
      </c>
      <c r="F34" s="20" t="s">
        <v>95</v>
      </c>
      <c r="G34" s="21">
        <v>3370</v>
      </c>
      <c r="H34" s="21">
        <v>30</v>
      </c>
      <c r="I34" s="21">
        <f t="shared" si="0"/>
        <v>3340</v>
      </c>
      <c r="J34" s="20" t="s">
        <v>135</v>
      </c>
      <c r="K34" s="20" t="s">
        <v>21</v>
      </c>
      <c r="L34" s="20" t="s">
        <v>444</v>
      </c>
      <c r="M34" s="25" t="s">
        <v>167</v>
      </c>
      <c r="N34" s="20"/>
      <c r="O34" s="20"/>
      <c r="P34" s="20"/>
      <c r="Q34" s="20">
        <v>1</v>
      </c>
    </row>
    <row r="36" spans="1:17" x14ac:dyDescent="0.25">
      <c r="D36" s="6">
        <f>COUNTA(D3:D34)</f>
        <v>28</v>
      </c>
      <c r="G36" s="6">
        <f t="shared" ref="G36:Q36" si="1">SUBTOTAL(9,G3:G34)</f>
        <v>23200</v>
      </c>
      <c r="H36" s="6">
        <f t="shared" si="1"/>
        <v>875</v>
      </c>
      <c r="I36" s="6">
        <f t="shared" si="1"/>
        <v>22325</v>
      </c>
      <c r="J36" s="6">
        <f t="shared" si="1"/>
        <v>0</v>
      </c>
      <c r="K36" s="6">
        <f t="shared" si="1"/>
        <v>0</v>
      </c>
      <c r="L36" s="6">
        <f t="shared" si="1"/>
        <v>0</v>
      </c>
      <c r="M36" s="6">
        <f t="shared" si="1"/>
        <v>0</v>
      </c>
      <c r="N36" s="6">
        <f t="shared" si="1"/>
        <v>0</v>
      </c>
      <c r="O36" s="6">
        <f t="shared" si="1"/>
        <v>0</v>
      </c>
      <c r="P36" s="6">
        <f t="shared" si="1"/>
        <v>0</v>
      </c>
      <c r="Q36" s="6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6" t="s">
        <v>17</v>
      </c>
      <c r="C38" s="5" t="s">
        <v>191</v>
      </c>
      <c r="D38" s="5"/>
      <c r="E38" s="9" t="s">
        <v>192</v>
      </c>
      <c r="H38">
        <f>-5*25</f>
        <v>-125</v>
      </c>
      <c r="K38" s="16" t="s">
        <v>135</v>
      </c>
      <c r="L38" s="16" t="s">
        <v>193</v>
      </c>
      <c r="M38" s="16" t="s">
        <v>192</v>
      </c>
      <c r="O38" s="9" t="s">
        <v>194</v>
      </c>
    </row>
    <row r="39" spans="1:17" x14ac:dyDescent="0.25">
      <c r="A39" t="s">
        <v>444</v>
      </c>
      <c r="B39" s="8" t="s">
        <v>195</v>
      </c>
      <c r="C39" s="4">
        <f>SUMIFS(I$3:I$34,B$3:B$34,A$38,L$3:L$34,A$39)</f>
        <v>22325</v>
      </c>
      <c r="D39" s="4"/>
      <c r="E39" s="8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11375</v>
      </c>
      <c r="M39">
        <f>SUMIFS(Q$3:Q$34,J$3:J$34,K$38)-INT(COUNTIFS(J$3:J$34,K$38,M$3:M$34,"*gộp*")/2)</f>
        <v>11</v>
      </c>
      <c r="O39" t="s">
        <v>135</v>
      </c>
      <c r="P39">
        <f>L44</f>
        <v>11135</v>
      </c>
    </row>
    <row r="40" spans="1:17" x14ac:dyDescent="0.25">
      <c r="B40" s="7" t="s">
        <v>199</v>
      </c>
      <c r="C40" s="3">
        <v>0</v>
      </c>
      <c r="D40" s="3"/>
      <c r="K40" t="s">
        <v>200</v>
      </c>
      <c r="L40">
        <f>-SUMIFS(H$3:H$34,J$3:J$34,K$38)+M40*5</f>
        <v>-240</v>
      </c>
      <c r="M40">
        <f>SUMIFS(Q$3:Q$34,J$3:J$34,K$38)-INT(COUNTIFS(J$3:J$34,K$38,M$3:M$34,"*gộp*")/2)</f>
        <v>11</v>
      </c>
      <c r="O40" t="s">
        <v>21</v>
      </c>
      <c r="P40">
        <f>L52</f>
        <v>3651</v>
      </c>
    </row>
    <row r="41" spans="1:17" x14ac:dyDescent="0.25">
      <c r="B41" s="7" t="s">
        <v>201</v>
      </c>
      <c r="C41" s="3">
        <f>-SUMIFS(I$3:I$34,B$3:B$34,A$38,P$3:P$34,"xx",N$3:N$34,"x")</f>
        <v>0</v>
      </c>
      <c r="D41" s="3"/>
      <c r="E41" s="7">
        <f>SUMIFS(Q$3:Q$34,B$3:B$34,A$38,P$3:P$34,"xx",N$3:N$34,"x")</f>
        <v>0</v>
      </c>
      <c r="K41" t="s">
        <v>202</v>
      </c>
      <c r="O41" t="s">
        <v>534</v>
      </c>
      <c r="P41">
        <f>L60</f>
        <v>7658</v>
      </c>
    </row>
    <row r="42" spans="1:17" x14ac:dyDescent="0.25">
      <c r="B42" s="9" t="s">
        <v>203</v>
      </c>
      <c r="C42" s="5">
        <f>SUBTOTAL(9,C39:C41)</f>
        <v>22325</v>
      </c>
      <c r="D42" s="5"/>
      <c r="E42">
        <f>E39</f>
        <v>32</v>
      </c>
      <c r="K42" s="7" t="s">
        <v>204</v>
      </c>
      <c r="O42" t="s">
        <v>207</v>
      </c>
      <c r="P42">
        <f>-C46</f>
        <v>-22325</v>
      </c>
    </row>
    <row r="43" spans="1:17" x14ac:dyDescent="0.25">
      <c r="B43" s="7" t="s">
        <v>205</v>
      </c>
      <c r="C43" s="2"/>
      <c r="D43" s="2"/>
      <c r="K43" s="7" t="s">
        <v>206</v>
      </c>
      <c r="O43" s="9" t="s">
        <v>209</v>
      </c>
      <c r="P43" s="9">
        <f>SUBTOTAL(9,P39:P42)</f>
        <v>119</v>
      </c>
    </row>
    <row r="44" spans="1:17" x14ac:dyDescent="0.25">
      <c r="B44" s="17" t="s">
        <v>208</v>
      </c>
      <c r="C44" s="2"/>
      <c r="D44" s="2"/>
      <c r="L44" s="18">
        <f>SUBTOTAL(9,L39:L43)</f>
        <v>11135</v>
      </c>
      <c r="M44" s="18">
        <f>M39</f>
        <v>11</v>
      </c>
    </row>
    <row r="46" spans="1:17" x14ac:dyDescent="0.25">
      <c r="B46" s="6" t="s">
        <v>210</v>
      </c>
      <c r="C46" s="1">
        <f>C42+C43+C44</f>
        <v>22325</v>
      </c>
      <c r="D46" s="1"/>
      <c r="E46" s="6" t="s">
        <v>211</v>
      </c>
      <c r="K46" s="16" t="s">
        <v>21</v>
      </c>
      <c r="L46" s="16" t="s">
        <v>193</v>
      </c>
      <c r="M46" s="16" t="s">
        <v>192</v>
      </c>
    </row>
    <row r="47" spans="1:17" x14ac:dyDescent="0.25">
      <c r="K47" t="s">
        <v>197</v>
      </c>
      <c r="L47">
        <f>SUMIFS(G$3:G$34,J$3:J$34,K$46)</f>
        <v>3910</v>
      </c>
      <c r="M47">
        <f>SUMIFS(Q$3:Q$34,J$3:J$34,K$46)-INT(COUNTIFS(J$3:J$34,K$46,M$3:M$34,"*gộp*")/2)</f>
        <v>9</v>
      </c>
    </row>
    <row r="48" spans="1:17" x14ac:dyDescent="0.25">
      <c r="K48" t="s">
        <v>200</v>
      </c>
      <c r="L48">
        <f>-SUMIFS(H$3:H$34,J$3:J$34,K$46)+M48*5</f>
        <v>-195</v>
      </c>
      <c r="M48">
        <f>SUMIFS(Q$3:Q$34,J$3:J$34,K$46)-INT(COUNTIFS(J$3:J$34,K$46,M$3:M$34,"*gộp*")/2)</f>
        <v>9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7" t="s">
        <v>204</v>
      </c>
    </row>
    <row r="51" spans="11:13" x14ac:dyDescent="0.25">
      <c r="K51" s="7" t="s">
        <v>206</v>
      </c>
    </row>
    <row r="52" spans="11:13" x14ac:dyDescent="0.25">
      <c r="L52" s="18">
        <f>SUBTOTAL(9,L47:L51)</f>
        <v>3651</v>
      </c>
      <c r="M52" s="18">
        <f>M47</f>
        <v>9</v>
      </c>
    </row>
    <row r="54" spans="11:13" x14ac:dyDescent="0.25">
      <c r="K54" s="16" t="s">
        <v>443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SUMIFS(G$3:G$34,J$3:J$34,K$54)</f>
        <v>7915</v>
      </c>
      <c r="M55">
        <f>SUMIFS(Q$3:Q$34,J$3:J$34,K$54)-INT(COUNTIFS(J$3:J$34,K$54,M$3:M$34,"*gộp*")/2)</f>
        <v>12</v>
      </c>
    </row>
    <row r="56" spans="11:13" x14ac:dyDescent="0.25">
      <c r="K56" t="s">
        <v>200</v>
      </c>
      <c r="L56">
        <f>SUM(H37:H39)</f>
        <v>-257</v>
      </c>
      <c r="M56">
        <f>SUMIFS(Q$3:Q$34,J$3:J$34,K$54)</f>
        <v>12</v>
      </c>
    </row>
    <row r="57" spans="11:13" x14ac:dyDescent="0.25">
      <c r="K57" t="s">
        <v>202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7658</v>
      </c>
      <c r="M60" s="18">
        <f>M55</f>
        <v>12</v>
      </c>
    </row>
  </sheetData>
  <autoFilter ref="A2:P34" xr:uid="{00000000-0009-0000-0000-000003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70"/>
  <sheetViews>
    <sheetView workbookViewId="0">
      <selection activeCell="R5" sqref="R5 R5:R35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535</v>
      </c>
      <c r="D3" s="20" t="s">
        <v>536</v>
      </c>
      <c r="E3" s="20" t="s">
        <v>537</v>
      </c>
      <c r="F3" s="21">
        <v>9</v>
      </c>
      <c r="G3" s="21">
        <v>850</v>
      </c>
      <c r="H3" s="21">
        <v>30</v>
      </c>
      <c r="I3" s="21">
        <f t="shared" ref="I3:I16" si="0">G3-H3</f>
        <v>820</v>
      </c>
      <c r="J3" s="20" t="s">
        <v>20</v>
      </c>
      <c r="K3" s="20" t="s">
        <v>21</v>
      </c>
      <c r="L3" s="20" t="s">
        <v>538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539</v>
      </c>
      <c r="D4" s="20" t="s">
        <v>540</v>
      </c>
      <c r="E4" s="20" t="s">
        <v>541</v>
      </c>
      <c r="F4" s="21">
        <v>9</v>
      </c>
      <c r="G4" s="21">
        <v>750</v>
      </c>
      <c r="H4" s="21">
        <v>30</v>
      </c>
      <c r="I4" s="21">
        <f t="shared" si="0"/>
        <v>720</v>
      </c>
      <c r="J4" s="20" t="s">
        <v>20</v>
      </c>
      <c r="K4" s="20" t="s">
        <v>21</v>
      </c>
      <c r="L4" s="20" t="s">
        <v>538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542</v>
      </c>
      <c r="D5" s="20" t="s">
        <v>543</v>
      </c>
      <c r="E5" s="20" t="s">
        <v>544</v>
      </c>
      <c r="F5" s="20" t="s">
        <v>26</v>
      </c>
      <c r="G5" s="21">
        <v>0</v>
      </c>
      <c r="H5" s="21">
        <v>30</v>
      </c>
      <c r="I5" s="21">
        <f t="shared" si="0"/>
        <v>-30</v>
      </c>
      <c r="J5" s="20" t="s">
        <v>545</v>
      </c>
      <c r="K5" s="20" t="s">
        <v>21</v>
      </c>
      <c r="L5" s="20" t="s">
        <v>538</v>
      </c>
      <c r="M5" s="20"/>
      <c r="N5" s="20"/>
      <c r="O5" s="20"/>
      <c r="P5" s="20"/>
      <c r="Q5" s="20">
        <v>1</v>
      </c>
      <c r="R5" s="15">
        <f>H5</f>
        <v>30</v>
      </c>
    </row>
    <row r="6" spans="1:18" x14ac:dyDescent="0.25">
      <c r="A6" s="20"/>
      <c r="B6" s="20" t="s">
        <v>17</v>
      </c>
      <c r="C6" s="20" t="s">
        <v>546</v>
      </c>
      <c r="D6" s="20" t="s">
        <v>547</v>
      </c>
      <c r="E6" s="20" t="s">
        <v>548</v>
      </c>
      <c r="F6" s="20" t="s">
        <v>26</v>
      </c>
      <c r="G6" s="21">
        <v>900</v>
      </c>
      <c r="H6" s="21">
        <v>30</v>
      </c>
      <c r="I6" s="21">
        <f t="shared" si="0"/>
        <v>870</v>
      </c>
      <c r="J6" s="20" t="s">
        <v>545</v>
      </c>
      <c r="K6" s="20" t="s">
        <v>21</v>
      </c>
      <c r="L6" s="20" t="s">
        <v>538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549</v>
      </c>
      <c r="D7" s="20" t="s">
        <v>550</v>
      </c>
      <c r="E7" s="20" t="s">
        <v>551</v>
      </c>
      <c r="F7" s="21">
        <v>6</v>
      </c>
      <c r="G7" s="21">
        <v>775</v>
      </c>
      <c r="H7" s="21">
        <v>25</v>
      </c>
      <c r="I7" s="21">
        <f t="shared" si="0"/>
        <v>750</v>
      </c>
      <c r="J7" s="20" t="s">
        <v>545</v>
      </c>
      <c r="K7" s="20" t="s">
        <v>21</v>
      </c>
      <c r="L7" s="20" t="s">
        <v>538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552</v>
      </c>
      <c r="D8" s="20" t="s">
        <v>553</v>
      </c>
      <c r="E8" s="20" t="s">
        <v>554</v>
      </c>
      <c r="F8" s="21">
        <v>12</v>
      </c>
      <c r="G8" s="21">
        <v>400</v>
      </c>
      <c r="H8" s="21">
        <v>30</v>
      </c>
      <c r="I8" s="21">
        <f t="shared" si="0"/>
        <v>370</v>
      </c>
      <c r="J8" s="20" t="s">
        <v>545</v>
      </c>
      <c r="K8" s="20" t="s">
        <v>21</v>
      </c>
      <c r="L8" s="20" t="s">
        <v>538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555</v>
      </c>
      <c r="D9" s="20" t="s">
        <v>556</v>
      </c>
      <c r="E9" s="20" t="s">
        <v>557</v>
      </c>
      <c r="F9" s="20" t="s">
        <v>95</v>
      </c>
      <c r="G9" s="21">
        <v>0</v>
      </c>
      <c r="H9" s="21">
        <v>25</v>
      </c>
      <c r="I9" s="21">
        <f t="shared" si="0"/>
        <v>-25</v>
      </c>
      <c r="J9" s="20" t="s">
        <v>545</v>
      </c>
      <c r="K9" s="20" t="s">
        <v>21</v>
      </c>
      <c r="L9" s="20" t="s">
        <v>538</v>
      </c>
      <c r="M9" s="20"/>
      <c r="N9" s="20"/>
      <c r="O9" s="20"/>
      <c r="P9" s="20"/>
      <c r="Q9" s="20">
        <v>1</v>
      </c>
      <c r="R9" s="15">
        <f>H9</f>
        <v>25</v>
      </c>
    </row>
    <row r="10" spans="1:18" x14ac:dyDescent="0.25">
      <c r="A10" s="20"/>
      <c r="B10" s="20" t="s">
        <v>17</v>
      </c>
      <c r="C10" s="20" t="s">
        <v>558</v>
      </c>
      <c r="D10" s="20" t="s">
        <v>559</v>
      </c>
      <c r="E10" s="20" t="s">
        <v>560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545</v>
      </c>
      <c r="K10" s="20" t="s">
        <v>21</v>
      </c>
      <c r="L10" s="20" t="s">
        <v>538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561</v>
      </c>
      <c r="D11" s="20" t="s">
        <v>562</v>
      </c>
      <c r="E11" s="20" t="s">
        <v>563</v>
      </c>
      <c r="F11" s="21">
        <v>7</v>
      </c>
      <c r="G11" s="21">
        <v>480</v>
      </c>
      <c r="H11" s="21">
        <v>30</v>
      </c>
      <c r="I11" s="21">
        <f t="shared" si="0"/>
        <v>450</v>
      </c>
      <c r="J11" s="20" t="s">
        <v>545</v>
      </c>
      <c r="K11" s="20" t="s">
        <v>21</v>
      </c>
      <c r="L11" s="20" t="s">
        <v>538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564</v>
      </c>
      <c r="D12" s="20" t="s">
        <v>565</v>
      </c>
      <c r="E12" s="20" t="s">
        <v>566</v>
      </c>
      <c r="F12" s="21">
        <v>1</v>
      </c>
      <c r="G12" s="21">
        <v>1135</v>
      </c>
      <c r="H12" s="21">
        <v>25</v>
      </c>
      <c r="I12" s="21">
        <f t="shared" si="0"/>
        <v>1110</v>
      </c>
      <c r="J12" s="20" t="s">
        <v>545</v>
      </c>
      <c r="K12" s="20" t="s">
        <v>21</v>
      </c>
      <c r="L12" s="20" t="s">
        <v>538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567</v>
      </c>
      <c r="D13" s="20" t="s">
        <v>568</v>
      </c>
      <c r="E13" s="20" t="s">
        <v>569</v>
      </c>
      <c r="F13" s="21">
        <v>8</v>
      </c>
      <c r="G13" s="21">
        <v>0</v>
      </c>
      <c r="H13" s="21">
        <v>30</v>
      </c>
      <c r="I13" s="21">
        <f t="shared" si="0"/>
        <v>-30</v>
      </c>
      <c r="J13" s="20" t="s">
        <v>545</v>
      </c>
      <c r="K13" s="20" t="s">
        <v>21</v>
      </c>
      <c r="L13" s="20" t="s">
        <v>538</v>
      </c>
      <c r="M13" s="20"/>
      <c r="N13" s="20"/>
      <c r="O13" s="20"/>
      <c r="P13" s="20"/>
      <c r="Q13" s="20">
        <v>1</v>
      </c>
      <c r="R13" s="15">
        <f>H13</f>
        <v>30</v>
      </c>
    </row>
    <row r="14" spans="1:18" x14ac:dyDescent="0.25">
      <c r="A14" s="20"/>
      <c r="B14" s="20" t="s">
        <v>17</v>
      </c>
      <c r="C14" s="20" t="s">
        <v>570</v>
      </c>
      <c r="D14" s="20" t="s">
        <v>571</v>
      </c>
      <c r="E14" s="20" t="s">
        <v>572</v>
      </c>
      <c r="F14" s="21">
        <v>7</v>
      </c>
      <c r="G14" s="21">
        <v>670</v>
      </c>
      <c r="H14" s="21">
        <v>30</v>
      </c>
      <c r="I14" s="21">
        <f t="shared" si="0"/>
        <v>640</v>
      </c>
      <c r="J14" s="20" t="s">
        <v>545</v>
      </c>
      <c r="K14" s="20" t="s">
        <v>21</v>
      </c>
      <c r="L14" s="20" t="s">
        <v>538</v>
      </c>
      <c r="M14" s="20"/>
      <c r="N14" s="20"/>
      <c r="O14" s="20"/>
      <c r="P14" s="20"/>
      <c r="Q14" s="20">
        <v>1</v>
      </c>
    </row>
    <row r="15" spans="1:18" s="24" customFormat="1" x14ac:dyDescent="0.25">
      <c r="A15" s="22"/>
      <c r="B15" s="22" t="s">
        <v>17</v>
      </c>
      <c r="C15" s="22" t="s">
        <v>131</v>
      </c>
      <c r="D15" s="22" t="s">
        <v>573</v>
      </c>
      <c r="E15" s="22" t="s">
        <v>574</v>
      </c>
      <c r="F15" s="22" t="s">
        <v>134</v>
      </c>
      <c r="G15" s="23">
        <v>95</v>
      </c>
      <c r="H15" s="23">
        <v>35</v>
      </c>
      <c r="I15" s="23">
        <f t="shared" si="0"/>
        <v>60</v>
      </c>
      <c r="J15" s="22" t="s">
        <v>545</v>
      </c>
      <c r="K15" s="22" t="s">
        <v>21</v>
      </c>
      <c r="L15" s="22" t="s">
        <v>538</v>
      </c>
      <c r="M15" s="22" t="s">
        <v>126</v>
      </c>
      <c r="N15" s="22"/>
      <c r="O15" s="22"/>
      <c r="P15" s="22"/>
      <c r="Q15" s="22">
        <v>1</v>
      </c>
    </row>
    <row r="16" spans="1:18" x14ac:dyDescent="0.25">
      <c r="A16" s="20"/>
      <c r="B16" s="20" t="s">
        <v>17</v>
      </c>
      <c r="C16" s="20" t="s">
        <v>575</v>
      </c>
      <c r="D16" s="20" t="s">
        <v>576</v>
      </c>
      <c r="E16" s="20" t="s">
        <v>577</v>
      </c>
      <c r="F16" s="20" t="s">
        <v>139</v>
      </c>
      <c r="G16" s="21">
        <v>0</v>
      </c>
      <c r="H16" s="21">
        <v>35</v>
      </c>
      <c r="I16" s="21">
        <f t="shared" si="0"/>
        <v>-35</v>
      </c>
      <c r="J16" s="20" t="s">
        <v>545</v>
      </c>
      <c r="K16" s="20" t="s">
        <v>21</v>
      </c>
      <c r="L16" s="20" t="s">
        <v>538</v>
      </c>
      <c r="M16" s="25" t="s">
        <v>377</v>
      </c>
      <c r="N16" s="20"/>
      <c r="O16" s="20"/>
      <c r="P16" s="20"/>
      <c r="Q16" s="20">
        <v>1</v>
      </c>
      <c r="R16" s="15">
        <f>H16</f>
        <v>35</v>
      </c>
    </row>
    <row r="17" spans="1:18" x14ac:dyDescent="0.25">
      <c r="A17" s="20"/>
      <c r="B17" s="20" t="s">
        <v>17</v>
      </c>
      <c r="C17" s="20" t="s">
        <v>575</v>
      </c>
      <c r="D17" s="20" t="s">
        <v>578</v>
      </c>
      <c r="E17" s="20" t="s">
        <v>577</v>
      </c>
      <c r="F17" s="20" t="s">
        <v>139</v>
      </c>
      <c r="G17" s="21">
        <v>0</v>
      </c>
      <c r="H17" s="21">
        <v>0</v>
      </c>
      <c r="I17" s="21">
        <f>H17</f>
        <v>0</v>
      </c>
      <c r="J17" s="20" t="s">
        <v>545</v>
      </c>
      <c r="K17" s="20" t="s">
        <v>21</v>
      </c>
      <c r="L17" s="20" t="s">
        <v>538</v>
      </c>
      <c r="M17" s="25" t="s">
        <v>377</v>
      </c>
      <c r="N17" s="20"/>
      <c r="O17" s="20"/>
      <c r="P17" s="20"/>
      <c r="Q17" s="20">
        <v>1</v>
      </c>
      <c r="R17" s="15">
        <f>H17</f>
        <v>0</v>
      </c>
    </row>
    <row r="18" spans="1:18" x14ac:dyDescent="0.25">
      <c r="A18" s="20"/>
      <c r="B18" s="20" t="s">
        <v>17</v>
      </c>
      <c r="C18" s="20" t="s">
        <v>579</v>
      </c>
      <c r="D18" s="20" t="s">
        <v>580</v>
      </c>
      <c r="E18" s="20" t="s">
        <v>581</v>
      </c>
      <c r="F18" s="21">
        <v>2</v>
      </c>
      <c r="G18" s="21">
        <v>850</v>
      </c>
      <c r="H18" s="21">
        <v>30</v>
      </c>
      <c r="I18" s="21">
        <f t="shared" ref="I18:I36" si="1">G18-H18</f>
        <v>820</v>
      </c>
      <c r="J18" s="20" t="s">
        <v>21</v>
      </c>
      <c r="K18" s="20" t="s">
        <v>21</v>
      </c>
      <c r="L18" s="20" t="s">
        <v>538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582</v>
      </c>
      <c r="D19" s="20" t="s">
        <v>583</v>
      </c>
      <c r="E19" s="20" t="s">
        <v>584</v>
      </c>
      <c r="F19" s="21">
        <v>12</v>
      </c>
      <c r="G19" s="21">
        <v>0</v>
      </c>
      <c r="H19" s="21">
        <v>30</v>
      </c>
      <c r="I19" s="21">
        <f t="shared" si="1"/>
        <v>-30</v>
      </c>
      <c r="J19" s="20" t="s">
        <v>21</v>
      </c>
      <c r="K19" s="20" t="s">
        <v>21</v>
      </c>
      <c r="L19" s="20" t="s">
        <v>538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585</v>
      </c>
      <c r="D20" s="20" t="s">
        <v>586</v>
      </c>
      <c r="E20" s="20" t="s">
        <v>587</v>
      </c>
      <c r="F20" s="20" t="s">
        <v>95</v>
      </c>
      <c r="G20" s="21">
        <v>2200</v>
      </c>
      <c r="H20" s="21">
        <v>30</v>
      </c>
      <c r="I20" s="21">
        <f t="shared" si="1"/>
        <v>2170</v>
      </c>
      <c r="J20" s="20" t="s">
        <v>21</v>
      </c>
      <c r="K20" s="20" t="s">
        <v>21</v>
      </c>
      <c r="L20" s="20" t="s">
        <v>538</v>
      </c>
      <c r="M20" s="25" t="s">
        <v>167</v>
      </c>
      <c r="N20" s="20"/>
      <c r="O20" s="20"/>
      <c r="P20" s="20"/>
      <c r="Q20" s="20">
        <v>1</v>
      </c>
      <c r="R20" s="15">
        <f>H20</f>
        <v>30</v>
      </c>
    </row>
    <row r="21" spans="1:18" x14ac:dyDescent="0.25">
      <c r="A21" s="20"/>
      <c r="B21" s="20" t="s">
        <v>17</v>
      </c>
      <c r="C21" s="20" t="s">
        <v>588</v>
      </c>
      <c r="D21" s="20" t="s">
        <v>589</v>
      </c>
      <c r="E21" s="20" t="s">
        <v>590</v>
      </c>
      <c r="F21" s="20" t="s">
        <v>81</v>
      </c>
      <c r="G21" s="21">
        <v>670</v>
      </c>
      <c r="H21" s="21">
        <v>30</v>
      </c>
      <c r="I21" s="21">
        <f t="shared" si="1"/>
        <v>640</v>
      </c>
      <c r="J21" s="20" t="s">
        <v>21</v>
      </c>
      <c r="K21" s="20" t="s">
        <v>21</v>
      </c>
      <c r="L21" s="20" t="s">
        <v>538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591</v>
      </c>
      <c r="D22" s="20" t="s">
        <v>592</v>
      </c>
      <c r="E22" s="20" t="s">
        <v>593</v>
      </c>
      <c r="F22" s="20" t="s">
        <v>85</v>
      </c>
      <c r="G22" s="21">
        <v>0</v>
      </c>
      <c r="H22" s="21">
        <v>20</v>
      </c>
      <c r="I22" s="21">
        <f t="shared" si="1"/>
        <v>-20</v>
      </c>
      <c r="J22" s="20" t="s">
        <v>21</v>
      </c>
      <c r="K22" s="20" t="s">
        <v>21</v>
      </c>
      <c r="L22" s="20" t="s">
        <v>538</v>
      </c>
      <c r="M22" s="20"/>
      <c r="N22" s="20"/>
      <c r="O22" s="20"/>
      <c r="P22" s="20"/>
      <c r="Q22" s="20">
        <v>1</v>
      </c>
      <c r="R22" s="15">
        <f>H22</f>
        <v>20</v>
      </c>
    </row>
    <row r="23" spans="1:18" x14ac:dyDescent="0.25">
      <c r="A23" s="20"/>
      <c r="B23" s="20" t="s">
        <v>17</v>
      </c>
      <c r="C23" s="20" t="s">
        <v>594</v>
      </c>
      <c r="D23" s="20" t="s">
        <v>595</v>
      </c>
      <c r="E23" s="20" t="s">
        <v>596</v>
      </c>
      <c r="F23" s="21">
        <v>2</v>
      </c>
      <c r="G23" s="21">
        <v>690</v>
      </c>
      <c r="H23" s="21">
        <v>30</v>
      </c>
      <c r="I23" s="21">
        <f t="shared" si="1"/>
        <v>660</v>
      </c>
      <c r="J23" s="20" t="s">
        <v>21</v>
      </c>
      <c r="K23" s="20" t="s">
        <v>21</v>
      </c>
      <c r="L23" s="20" t="s">
        <v>538</v>
      </c>
      <c r="M23" s="20"/>
      <c r="N23" s="20"/>
      <c r="O23" s="20"/>
      <c r="P23" s="20"/>
      <c r="Q23" s="20">
        <v>1</v>
      </c>
    </row>
    <row r="24" spans="1:18" s="24" customFormat="1" x14ac:dyDescent="0.25">
      <c r="A24" s="22"/>
      <c r="B24" s="22" t="s">
        <v>17</v>
      </c>
      <c r="C24" s="22" t="s">
        <v>78</v>
      </c>
      <c r="D24" s="22" t="s">
        <v>597</v>
      </c>
      <c r="E24" s="22" t="s">
        <v>80</v>
      </c>
      <c r="F24" s="22" t="s">
        <v>81</v>
      </c>
      <c r="G24" s="23">
        <v>30</v>
      </c>
      <c r="H24" s="23">
        <v>30</v>
      </c>
      <c r="I24" s="23">
        <f t="shared" si="1"/>
        <v>0</v>
      </c>
      <c r="J24" s="22" t="s">
        <v>21</v>
      </c>
      <c r="K24" s="22" t="s">
        <v>21</v>
      </c>
      <c r="L24" s="22" t="s">
        <v>538</v>
      </c>
      <c r="M24" s="22" t="s">
        <v>126</v>
      </c>
      <c r="N24" s="22"/>
      <c r="O24" s="22"/>
      <c r="P24" s="22"/>
      <c r="Q24" s="22">
        <v>1</v>
      </c>
    </row>
    <row r="25" spans="1:18" x14ac:dyDescent="0.25">
      <c r="A25" s="20"/>
      <c r="B25" s="20" t="s">
        <v>17</v>
      </c>
      <c r="C25" s="20" t="s">
        <v>598</v>
      </c>
      <c r="D25" s="20" t="s">
        <v>599</v>
      </c>
      <c r="E25" s="20" t="s">
        <v>600</v>
      </c>
      <c r="F25" s="20" t="s">
        <v>81</v>
      </c>
      <c r="G25" s="21">
        <v>780</v>
      </c>
      <c r="H25" s="21">
        <v>30</v>
      </c>
      <c r="I25" s="21">
        <f t="shared" si="1"/>
        <v>750</v>
      </c>
      <c r="J25" s="20" t="s">
        <v>21</v>
      </c>
      <c r="K25" s="20" t="s">
        <v>21</v>
      </c>
      <c r="L25" s="20" t="s">
        <v>538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601</v>
      </c>
      <c r="D26" s="20" t="s">
        <v>602</v>
      </c>
      <c r="E26" s="20" t="s">
        <v>603</v>
      </c>
      <c r="F26" s="21">
        <v>2</v>
      </c>
      <c r="G26" s="21">
        <v>850</v>
      </c>
      <c r="H26" s="21">
        <v>30</v>
      </c>
      <c r="I26" s="21">
        <f t="shared" si="1"/>
        <v>820</v>
      </c>
      <c r="J26" s="20" t="s">
        <v>21</v>
      </c>
      <c r="K26" s="20" t="s">
        <v>21</v>
      </c>
      <c r="L26" s="20" t="s">
        <v>538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604</v>
      </c>
      <c r="D27" s="20" t="s">
        <v>605</v>
      </c>
      <c r="E27" s="20" t="s">
        <v>606</v>
      </c>
      <c r="F27" s="20" t="s">
        <v>85</v>
      </c>
      <c r="G27" s="21">
        <v>0</v>
      </c>
      <c r="H27" s="21">
        <v>20</v>
      </c>
      <c r="I27" s="21">
        <f t="shared" si="1"/>
        <v>-20</v>
      </c>
      <c r="J27" s="20" t="s">
        <v>21</v>
      </c>
      <c r="K27" s="20" t="s">
        <v>21</v>
      </c>
      <c r="L27" s="20" t="s">
        <v>538</v>
      </c>
      <c r="M27" s="20"/>
      <c r="N27" s="20"/>
      <c r="O27" s="20"/>
      <c r="P27" s="20"/>
      <c r="Q27" s="20">
        <v>1</v>
      </c>
      <c r="R27" s="15">
        <f>H27</f>
        <v>20</v>
      </c>
    </row>
    <row r="28" spans="1:18" x14ac:dyDescent="0.25">
      <c r="A28" s="20" t="s">
        <v>16</v>
      </c>
      <c r="B28" s="20" t="s">
        <v>17</v>
      </c>
      <c r="C28" s="20" t="s">
        <v>370</v>
      </c>
      <c r="D28" s="20"/>
      <c r="E28" s="20" t="s">
        <v>371</v>
      </c>
      <c r="F28" s="20" t="s">
        <v>77</v>
      </c>
      <c r="G28" s="21">
        <v>30</v>
      </c>
      <c r="H28" s="21">
        <v>30</v>
      </c>
      <c r="I28" s="21">
        <f t="shared" si="1"/>
        <v>0</v>
      </c>
      <c r="J28" s="20" t="s">
        <v>21</v>
      </c>
      <c r="K28" s="20" t="s">
        <v>21</v>
      </c>
      <c r="L28" s="20" t="s">
        <v>538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607</v>
      </c>
      <c r="D29" s="20" t="s">
        <v>608</v>
      </c>
      <c r="E29" s="20" t="s">
        <v>609</v>
      </c>
      <c r="F29" s="21">
        <v>5</v>
      </c>
      <c r="G29" s="21">
        <v>1175</v>
      </c>
      <c r="H29" s="21">
        <v>25</v>
      </c>
      <c r="I29" s="21">
        <f t="shared" si="1"/>
        <v>1150</v>
      </c>
      <c r="J29" s="20" t="s">
        <v>135</v>
      </c>
      <c r="K29" s="20" t="s">
        <v>21</v>
      </c>
      <c r="L29" s="20" t="s">
        <v>538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610</v>
      </c>
      <c r="D30" s="20" t="s">
        <v>611</v>
      </c>
      <c r="E30" s="20" t="s">
        <v>612</v>
      </c>
      <c r="F30" s="21">
        <v>4</v>
      </c>
      <c r="G30" s="21">
        <v>765</v>
      </c>
      <c r="H30" s="21">
        <v>25</v>
      </c>
      <c r="I30" s="21">
        <f t="shared" si="1"/>
        <v>740</v>
      </c>
      <c r="J30" s="20" t="s">
        <v>135</v>
      </c>
      <c r="K30" s="20" t="s">
        <v>21</v>
      </c>
      <c r="L30" s="20" t="s">
        <v>538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613</v>
      </c>
      <c r="D31" s="20" t="s">
        <v>614</v>
      </c>
      <c r="E31" s="20" t="s">
        <v>615</v>
      </c>
      <c r="F31" s="21">
        <v>3</v>
      </c>
      <c r="G31" s="21">
        <v>0</v>
      </c>
      <c r="H31" s="21">
        <v>25</v>
      </c>
      <c r="I31" s="21">
        <f t="shared" si="1"/>
        <v>-25</v>
      </c>
      <c r="J31" s="20" t="s">
        <v>135</v>
      </c>
      <c r="K31" s="20" t="s">
        <v>21</v>
      </c>
      <c r="L31" s="20" t="s">
        <v>538</v>
      </c>
      <c r="M31" s="20"/>
      <c r="N31" s="20"/>
      <c r="O31" s="20"/>
      <c r="P31" s="20"/>
      <c r="Q31" s="20">
        <v>1</v>
      </c>
      <c r="R31" s="15">
        <f>H31</f>
        <v>25</v>
      </c>
    </row>
    <row r="32" spans="1:18" x14ac:dyDescent="0.25">
      <c r="A32" s="20"/>
      <c r="B32" s="20" t="s">
        <v>17</v>
      </c>
      <c r="C32" s="20" t="s">
        <v>616</v>
      </c>
      <c r="D32" s="20" t="s">
        <v>617</v>
      </c>
      <c r="E32" s="20" t="s">
        <v>270</v>
      </c>
      <c r="F32" s="20" t="s">
        <v>95</v>
      </c>
      <c r="G32" s="21">
        <v>685</v>
      </c>
      <c r="H32" s="21">
        <v>25</v>
      </c>
      <c r="I32" s="21">
        <f t="shared" si="1"/>
        <v>660</v>
      </c>
      <c r="J32" s="20" t="s">
        <v>135</v>
      </c>
      <c r="K32" s="20" t="s">
        <v>21</v>
      </c>
      <c r="L32" s="20" t="s">
        <v>538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618</v>
      </c>
      <c r="D33" s="20" t="s">
        <v>619</v>
      </c>
      <c r="E33" s="20" t="s">
        <v>620</v>
      </c>
      <c r="F33" s="21">
        <v>10</v>
      </c>
      <c r="G33" s="21">
        <v>865</v>
      </c>
      <c r="H33" s="21">
        <v>25</v>
      </c>
      <c r="I33" s="21">
        <f t="shared" si="1"/>
        <v>840</v>
      </c>
      <c r="J33" s="20" t="s">
        <v>135</v>
      </c>
      <c r="K33" s="20" t="s">
        <v>21</v>
      </c>
      <c r="L33" s="20" t="s">
        <v>538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17</v>
      </c>
      <c r="C34" s="20" t="s">
        <v>621</v>
      </c>
      <c r="D34" s="20" t="s">
        <v>622</v>
      </c>
      <c r="E34" s="20" t="s">
        <v>623</v>
      </c>
      <c r="F34" s="20" t="s">
        <v>95</v>
      </c>
      <c r="G34" s="21">
        <v>0</v>
      </c>
      <c r="H34" s="21">
        <v>25</v>
      </c>
      <c r="I34" s="21">
        <f t="shared" si="1"/>
        <v>-25</v>
      </c>
      <c r="J34" s="20" t="s">
        <v>135</v>
      </c>
      <c r="K34" s="20" t="s">
        <v>21</v>
      </c>
      <c r="L34" s="20" t="s">
        <v>538</v>
      </c>
      <c r="M34" s="20"/>
      <c r="N34" s="20"/>
      <c r="O34" s="20"/>
      <c r="P34" s="20"/>
      <c r="Q34" s="20">
        <v>1</v>
      </c>
      <c r="R34" s="15">
        <f>H34</f>
        <v>25</v>
      </c>
    </row>
    <row r="35" spans="1:18" x14ac:dyDescent="0.25">
      <c r="A35" s="20"/>
      <c r="B35" s="20" t="s">
        <v>17</v>
      </c>
      <c r="C35" s="20" t="s">
        <v>624</v>
      </c>
      <c r="D35" s="20" t="s">
        <v>625</v>
      </c>
      <c r="E35" s="20" t="s">
        <v>626</v>
      </c>
      <c r="F35" s="21">
        <v>5</v>
      </c>
      <c r="G35" s="21">
        <v>0</v>
      </c>
      <c r="H35" s="21">
        <v>25</v>
      </c>
      <c r="I35" s="21">
        <f t="shared" si="1"/>
        <v>-25</v>
      </c>
      <c r="J35" s="20" t="s">
        <v>135</v>
      </c>
      <c r="K35" s="20" t="s">
        <v>21</v>
      </c>
      <c r="L35" s="20" t="s">
        <v>538</v>
      </c>
      <c r="M35" s="20"/>
      <c r="N35" s="20"/>
      <c r="O35" s="20"/>
      <c r="P35" s="20"/>
      <c r="Q35" s="20">
        <v>1</v>
      </c>
      <c r="R35" s="15">
        <f>H35</f>
        <v>25</v>
      </c>
    </row>
    <row r="36" spans="1:18" x14ac:dyDescent="0.25">
      <c r="A36" s="20"/>
      <c r="B36" s="20" t="s">
        <v>17</v>
      </c>
      <c r="C36" s="20" t="s">
        <v>627</v>
      </c>
      <c r="D36" s="20" t="s">
        <v>628</v>
      </c>
      <c r="E36" s="20" t="s">
        <v>629</v>
      </c>
      <c r="F36" s="21">
        <v>1</v>
      </c>
      <c r="G36" s="21">
        <v>2050</v>
      </c>
      <c r="H36" s="21">
        <v>30</v>
      </c>
      <c r="I36" s="21">
        <f t="shared" si="1"/>
        <v>2020</v>
      </c>
      <c r="J36" s="20" t="s">
        <v>135</v>
      </c>
      <c r="K36" s="20" t="s">
        <v>21</v>
      </c>
      <c r="L36" s="20" t="s">
        <v>538</v>
      </c>
      <c r="M36" s="25" t="s">
        <v>167</v>
      </c>
      <c r="N36" s="20"/>
      <c r="O36" s="20"/>
      <c r="P36" s="20"/>
      <c r="Q36" s="20">
        <v>1</v>
      </c>
      <c r="R36" s="15">
        <f>H36</f>
        <v>30</v>
      </c>
    </row>
    <row r="38" spans="1:18" x14ac:dyDescent="0.25">
      <c r="D38" s="6">
        <f>COUNTA(D3:D36)</f>
        <v>33</v>
      </c>
      <c r="G38" s="6">
        <f t="shared" ref="G38:Q38" si="2">SUBTOTAL(9,G3:G36)</f>
        <v>18545</v>
      </c>
      <c r="H38" s="6">
        <f t="shared" si="2"/>
        <v>930</v>
      </c>
      <c r="I38" s="6">
        <f t="shared" si="2"/>
        <v>17615</v>
      </c>
      <c r="J38" s="6">
        <f t="shared" si="2"/>
        <v>0</v>
      </c>
      <c r="K38" s="6">
        <f t="shared" si="2"/>
        <v>0</v>
      </c>
      <c r="L38" s="6">
        <f t="shared" si="2"/>
        <v>0</v>
      </c>
      <c r="M38" s="6">
        <f t="shared" si="2"/>
        <v>0</v>
      </c>
      <c r="N38" s="6">
        <f t="shared" si="2"/>
        <v>0</v>
      </c>
      <c r="O38" s="6">
        <f t="shared" si="2"/>
        <v>0</v>
      </c>
      <c r="P38" s="6">
        <f t="shared" si="2"/>
        <v>0</v>
      </c>
      <c r="Q38" s="6">
        <f t="shared" si="2"/>
        <v>34</v>
      </c>
    </row>
    <row r="39" spans="1:18" x14ac:dyDescent="0.25">
      <c r="H39">
        <f>-7*17</f>
        <v>-119</v>
      </c>
    </row>
    <row r="40" spans="1:18" x14ac:dyDescent="0.25">
      <c r="A40" s="6" t="s">
        <v>17</v>
      </c>
      <c r="C40" s="5" t="s">
        <v>191</v>
      </c>
      <c r="D40" s="5"/>
      <c r="E40" s="9" t="s">
        <v>192</v>
      </c>
      <c r="H40">
        <f>-3*25</f>
        <v>-75</v>
      </c>
      <c r="K40" s="16" t="s">
        <v>545</v>
      </c>
      <c r="L40" s="16" t="s">
        <v>193</v>
      </c>
      <c r="M40" s="16" t="s">
        <v>192</v>
      </c>
      <c r="O40" s="9" t="s">
        <v>194</v>
      </c>
    </row>
    <row r="41" spans="1:18" x14ac:dyDescent="0.25">
      <c r="A41" t="s">
        <v>538</v>
      </c>
      <c r="B41" s="8" t="s">
        <v>195</v>
      </c>
      <c r="C41" s="4">
        <f>SUMIFS(I$3:I$36,B$3:B$36,A$40,L$3:L$36,A$41)</f>
        <v>17615</v>
      </c>
      <c r="D41" s="4"/>
      <c r="E41" s="8">
        <f>SUMIFS(Q$3:Q$36,B$3:B$36,A$40,L$3:L$36,A$41)</f>
        <v>34</v>
      </c>
      <c r="F41" t="s">
        <v>196</v>
      </c>
      <c r="H41">
        <f>-3*30</f>
        <v>-90</v>
      </c>
      <c r="K41" t="s">
        <v>197</v>
      </c>
      <c r="L41">
        <f>SUMIFS(G$3:G$36,J$3:J$36,K$40)</f>
        <v>5305</v>
      </c>
      <c r="M41">
        <f>SUMIFS(Q$3:Q$36,J$3:J$36,K$40)-INT(COUNTIFS(J$3:J$36,K$40,M$3:M$36,"*gộp*")/2)</f>
        <v>12</v>
      </c>
      <c r="O41" t="s">
        <v>630</v>
      </c>
      <c r="P41">
        <f>L46</f>
        <v>5021</v>
      </c>
    </row>
    <row r="42" spans="1:18" x14ac:dyDescent="0.25">
      <c r="B42" s="7" t="s">
        <v>199</v>
      </c>
      <c r="C42" s="3">
        <v>0</v>
      </c>
      <c r="D42" s="3"/>
      <c r="K42" t="s">
        <v>200</v>
      </c>
      <c r="L42">
        <f>SUM(H39:H41)</f>
        <v>-284</v>
      </c>
      <c r="M42">
        <f>SUMIFS(Q$3:Q$36,J$3:J$36,K$40)-INT(COUNTIFS(J$3:J$36,K$40,M$3:M$36,"*gộp*")/2)</f>
        <v>12</v>
      </c>
      <c r="O42" t="s">
        <v>135</v>
      </c>
      <c r="P42">
        <f>L54</f>
        <v>5375</v>
      </c>
    </row>
    <row r="43" spans="1:18" x14ac:dyDescent="0.25">
      <c r="B43" s="7" t="s">
        <v>201</v>
      </c>
      <c r="C43" s="3">
        <f>-SUMIFS(I$3:I$36,B$3:B$36,A$40,P$3:P$36,"xx",N$3:N$36,"x")</f>
        <v>0</v>
      </c>
      <c r="D43" s="3"/>
      <c r="E43" s="7">
        <f>SUMIFS(Q$3:Q$36,B$3:B$36,A$40,P$3:P$36,"xx",N$3:N$36,"x")</f>
        <v>0</v>
      </c>
      <c r="K43" t="s">
        <v>202</v>
      </c>
      <c r="O43" t="s">
        <v>20</v>
      </c>
      <c r="P43">
        <f>L62</f>
        <v>1550</v>
      </c>
    </row>
    <row r="44" spans="1:18" x14ac:dyDescent="0.25">
      <c r="B44" s="9" t="s">
        <v>203</v>
      </c>
      <c r="C44" s="5">
        <f>SUBTOTAL(9,C41:C43)</f>
        <v>17615</v>
      </c>
      <c r="D44" s="5"/>
      <c r="E44">
        <f>E41</f>
        <v>34</v>
      </c>
      <c r="K44" s="7" t="s">
        <v>204</v>
      </c>
      <c r="O44" t="s">
        <v>21</v>
      </c>
      <c r="P44">
        <f>L70</f>
        <v>5779</v>
      </c>
    </row>
    <row r="45" spans="1:18" x14ac:dyDescent="0.25">
      <c r="B45" s="7" t="s">
        <v>205</v>
      </c>
      <c r="C45" s="2"/>
      <c r="D45" s="2"/>
      <c r="K45" s="7" t="s">
        <v>206</v>
      </c>
      <c r="O45" t="s">
        <v>207</v>
      </c>
      <c r="P45">
        <f>-C48</f>
        <v>-17615</v>
      </c>
    </row>
    <row r="46" spans="1:18" x14ac:dyDescent="0.25">
      <c r="B46" s="17" t="s">
        <v>208</v>
      </c>
      <c r="C46" s="2"/>
      <c r="D46" s="2"/>
      <c r="L46" s="18">
        <f>SUBTOTAL(9,L41:L45)</f>
        <v>5021</v>
      </c>
      <c r="M46" s="18">
        <f>M41</f>
        <v>12</v>
      </c>
      <c r="O46" s="9" t="s">
        <v>209</v>
      </c>
      <c r="P46" s="9">
        <f>SUBTOTAL(9,P41:P45)</f>
        <v>110</v>
      </c>
    </row>
    <row r="48" spans="1:18" x14ac:dyDescent="0.25">
      <c r="B48" s="6" t="s">
        <v>210</v>
      </c>
      <c r="C48" s="1">
        <f>C44+C45+C46</f>
        <v>17615</v>
      </c>
      <c r="D48" s="1"/>
      <c r="E48" s="6" t="s">
        <v>211</v>
      </c>
      <c r="K48" s="16" t="s">
        <v>135</v>
      </c>
      <c r="L48" s="16" t="s">
        <v>193</v>
      </c>
      <c r="M48" s="16" t="s">
        <v>192</v>
      </c>
    </row>
    <row r="49" spans="11:13" x14ac:dyDescent="0.25">
      <c r="K49" t="s">
        <v>197</v>
      </c>
      <c r="L49">
        <f>SUMIFS(G$3:G$36,J$3:J$36,K$48)</f>
        <v>5540</v>
      </c>
      <c r="M49">
        <f>SUMIFS(Q$3:Q$36,J$3:J$36,K$48)-INT(COUNTIFS(J$3:J$36,K$48,M$3:M$36,"*gộp*")/2)</f>
        <v>8</v>
      </c>
    </row>
    <row r="50" spans="11:13" x14ac:dyDescent="0.25">
      <c r="K50" t="s">
        <v>200</v>
      </c>
      <c r="L50">
        <f>-SUMIFS(H$3:H$36,J$3:J$36,K$48)+M50*5</f>
        <v>-165</v>
      </c>
      <c r="M50">
        <f>SUMIFS(Q$3:Q$36,J$3:J$36,K$48)-INT(COUNTIFS(J$3:J$36,K$48,M$3:M$36,"*gộp*")/2)</f>
        <v>8</v>
      </c>
    </row>
    <row r="51" spans="11:13" x14ac:dyDescent="0.25">
      <c r="K51" t="s">
        <v>202</v>
      </c>
    </row>
    <row r="52" spans="11:13" x14ac:dyDescent="0.25">
      <c r="K52" s="7" t="s">
        <v>204</v>
      </c>
    </row>
    <row r="53" spans="11:13" x14ac:dyDescent="0.25">
      <c r="K53" s="7" t="s">
        <v>206</v>
      </c>
    </row>
    <row r="54" spans="11:13" x14ac:dyDescent="0.25">
      <c r="L54" s="18">
        <f>SUBTOTAL(9,L49:L53)</f>
        <v>5375</v>
      </c>
      <c r="M54" s="18">
        <f>M49</f>
        <v>8</v>
      </c>
    </row>
    <row r="56" spans="11:13" x14ac:dyDescent="0.25">
      <c r="K56" s="16" t="s">
        <v>20</v>
      </c>
      <c r="L56" s="16" t="s">
        <v>193</v>
      </c>
      <c r="M56" s="16" t="s">
        <v>192</v>
      </c>
    </row>
    <row r="57" spans="11:13" x14ac:dyDescent="0.25">
      <c r="K57" t="s">
        <v>197</v>
      </c>
      <c r="L57">
        <f>SUMIFS(G$3:G$36,J$3:J$36,K$56)</f>
        <v>1600</v>
      </c>
      <c r="M57">
        <f>SUMIFS(Q$3:Q$36,J$3:J$36,K$56)-INT(COUNTIFS(J$3:J$36,K$56,M$3:M$36,"*gộp*")/2)</f>
        <v>2</v>
      </c>
    </row>
    <row r="58" spans="11:13" x14ac:dyDescent="0.25">
      <c r="K58" t="s">
        <v>200</v>
      </c>
      <c r="L58">
        <f>-SUMIFS(H$3:H$36,J$3:J$36,K$56)+M58*5</f>
        <v>-50</v>
      </c>
      <c r="M58">
        <f>SUMIFS(Q$3:Q$36,J$3:J$36,K$56)-INT(COUNTIFS(J$3:J$36,K$56,M$3:M$36,"*gộp*")/2)</f>
        <v>2</v>
      </c>
    </row>
    <row r="59" spans="11:13" x14ac:dyDescent="0.25">
      <c r="K59" t="s">
        <v>202</v>
      </c>
    </row>
    <row r="60" spans="11:13" x14ac:dyDescent="0.25">
      <c r="K60" s="7" t="s">
        <v>204</v>
      </c>
    </row>
    <row r="61" spans="11:13" x14ac:dyDescent="0.25">
      <c r="K61" s="7" t="s">
        <v>206</v>
      </c>
    </row>
    <row r="62" spans="11:13" x14ac:dyDescent="0.25">
      <c r="L62" s="18">
        <f>SUBTOTAL(9,L57:L61)</f>
        <v>1550</v>
      </c>
      <c r="M62" s="18">
        <f>M57</f>
        <v>2</v>
      </c>
    </row>
    <row r="64" spans="11:13" x14ac:dyDescent="0.25">
      <c r="K64" s="16" t="s">
        <v>21</v>
      </c>
      <c r="L64" s="16" t="s">
        <v>193</v>
      </c>
      <c r="M64" s="16" t="s">
        <v>192</v>
      </c>
    </row>
    <row r="65" spans="11:13" x14ac:dyDescent="0.25">
      <c r="K65" t="s">
        <v>197</v>
      </c>
      <c r="L65">
        <f>SUMIFS(G$3:G$36,J$3:J$36,K$64)</f>
        <v>6100</v>
      </c>
      <c r="M65">
        <f>SUMIFS(Q$3:Q$36,J$3:J$36,K$64)-INT(COUNTIFS(J$3:J$36,K$64,M$3:M$36,"*gộp*")/2)</f>
        <v>11</v>
      </c>
    </row>
    <row r="66" spans="11:13" x14ac:dyDescent="0.25">
      <c r="K66" t="s">
        <v>200</v>
      </c>
      <c r="L66">
        <f>-SUMIFS(H$3:H$36,J$3:J$36,K$64)+M66*5</f>
        <v>-255</v>
      </c>
      <c r="M66">
        <f>SUMIFS(Q$3:Q$36,J$3:J$36,K$64)-INT(COUNTIFS(J$3:J$36,K$64,M$3:M$36,"*gộp*")/2)</f>
        <v>11</v>
      </c>
    </row>
    <row r="67" spans="11:13" x14ac:dyDescent="0.25">
      <c r="K67" t="s">
        <v>202</v>
      </c>
      <c r="L67">
        <f>-M67*2</f>
        <v>-66</v>
      </c>
      <c r="M67">
        <f>E44-(COUNTIFS(M$3:M$36,"*gộp*")/2)-COUNTIFS(M$3:M$36,"*đơn trả*")-COUNTIFS(M$3:M$36,"*hàng tỉnh*")</f>
        <v>33</v>
      </c>
    </row>
    <row r="68" spans="11:13" x14ac:dyDescent="0.25">
      <c r="K68" s="7" t="s">
        <v>204</v>
      </c>
    </row>
    <row r="69" spans="11:13" x14ac:dyDescent="0.25">
      <c r="K69" s="7" t="s">
        <v>206</v>
      </c>
    </row>
    <row r="70" spans="11:13" x14ac:dyDescent="0.25">
      <c r="L70" s="18">
        <f>SUBTOTAL(9,L65:L69)</f>
        <v>5779</v>
      </c>
      <c r="M70" s="18">
        <f>M65</f>
        <v>11</v>
      </c>
    </row>
  </sheetData>
  <autoFilter ref="A2:P36" xr:uid="{00000000-0009-0000-0000-000004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64"/>
  <sheetViews>
    <sheetView tabSelected="1" topLeftCell="D1" workbookViewId="0">
      <selection activeCell="E19" sqref="E19"/>
    </sheetView>
  </sheetViews>
  <sheetFormatPr defaultRowHeight="15" x14ac:dyDescent="0.25"/>
  <cols>
    <col min="1" max="1" width="12.7109375" customWidth="1"/>
    <col min="2" max="2" width="17.7109375" customWidth="1"/>
    <col min="3" max="3" width="46.28515625" customWidth="1"/>
    <col min="4" max="4" width="9.85546875" customWidth="1"/>
    <col min="5" max="5" width="8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642</v>
      </c>
      <c r="D3" s="20"/>
      <c r="E3" s="20" t="s">
        <v>643</v>
      </c>
      <c r="F3" s="21">
        <v>6</v>
      </c>
      <c r="G3" s="21">
        <v>0</v>
      </c>
      <c r="H3" s="21">
        <v>30</v>
      </c>
      <c r="I3" s="21">
        <f>G3-H3</f>
        <v>-30</v>
      </c>
      <c r="J3" s="20" t="s">
        <v>644</v>
      </c>
      <c r="K3" s="20" t="s">
        <v>21</v>
      </c>
      <c r="L3" s="20" t="s">
        <v>641</v>
      </c>
      <c r="M3" s="20"/>
      <c r="N3" s="20"/>
      <c r="O3" s="20"/>
      <c r="P3" s="20"/>
      <c r="Q3" s="20">
        <v>1</v>
      </c>
      <c r="R3" s="15">
        <f>H3</f>
        <v>30</v>
      </c>
    </row>
    <row r="4" spans="1:18" x14ac:dyDescent="0.25">
      <c r="A4" s="20" t="s">
        <v>16</v>
      </c>
      <c r="B4" s="20" t="s">
        <v>17</v>
      </c>
      <c r="C4" s="20" t="s">
        <v>645</v>
      </c>
      <c r="D4" s="20"/>
      <c r="E4" s="20" t="s">
        <v>646</v>
      </c>
      <c r="F4" s="20" t="s">
        <v>26</v>
      </c>
      <c r="G4" s="21">
        <v>0</v>
      </c>
      <c r="H4" s="21">
        <v>35</v>
      </c>
      <c r="I4" s="21">
        <f>G4-H4</f>
        <v>-35</v>
      </c>
      <c r="J4" s="20" t="s">
        <v>644</v>
      </c>
      <c r="K4" s="20" t="s">
        <v>21</v>
      </c>
      <c r="L4" s="20" t="s">
        <v>641</v>
      </c>
      <c r="M4" s="20"/>
      <c r="N4" s="20"/>
      <c r="O4" s="20"/>
      <c r="P4" s="20"/>
      <c r="Q4" s="20">
        <v>1</v>
      </c>
      <c r="R4" s="15">
        <f>H4</f>
        <v>35</v>
      </c>
    </row>
    <row r="5" spans="1:18" x14ac:dyDescent="0.25">
      <c r="A5" s="20"/>
      <c r="B5" s="20" t="s">
        <v>17</v>
      </c>
      <c r="C5" s="20" t="s">
        <v>650</v>
      </c>
      <c r="D5" s="20" t="s">
        <v>651</v>
      </c>
      <c r="E5" s="20" t="s">
        <v>652</v>
      </c>
      <c r="F5" s="21">
        <v>9</v>
      </c>
      <c r="G5" s="21">
        <v>2630</v>
      </c>
      <c r="H5" s="21">
        <v>30</v>
      </c>
      <c r="I5" s="21">
        <f>G5-H5</f>
        <v>2600</v>
      </c>
      <c r="J5" s="20" t="s">
        <v>644</v>
      </c>
      <c r="K5" s="20" t="s">
        <v>21</v>
      </c>
      <c r="L5" s="20" t="s">
        <v>641</v>
      </c>
      <c r="M5" s="25" t="s">
        <v>167</v>
      </c>
      <c r="N5" s="20"/>
      <c r="O5" s="20"/>
      <c r="P5" s="20"/>
      <c r="Q5" s="20">
        <v>1</v>
      </c>
      <c r="R5" s="15">
        <f>H5</f>
        <v>30</v>
      </c>
    </row>
    <row r="6" spans="1:18" x14ac:dyDescent="0.25">
      <c r="A6" s="20"/>
      <c r="B6" s="20" t="s">
        <v>17</v>
      </c>
      <c r="C6" s="20" t="s">
        <v>657</v>
      </c>
      <c r="D6" s="20" t="s">
        <v>658</v>
      </c>
      <c r="E6" s="20" t="s">
        <v>659</v>
      </c>
      <c r="F6" s="20" t="s">
        <v>134</v>
      </c>
      <c r="G6" s="21">
        <v>905</v>
      </c>
      <c r="H6" s="21">
        <v>35</v>
      </c>
      <c r="I6" s="21">
        <f>G6-H6</f>
        <v>870</v>
      </c>
      <c r="J6" s="20" t="s">
        <v>644</v>
      </c>
      <c r="K6" s="20" t="s">
        <v>21</v>
      </c>
      <c r="L6" s="20" t="s">
        <v>641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667</v>
      </c>
      <c r="D7" s="20" t="s">
        <v>668</v>
      </c>
      <c r="E7" s="20" t="s">
        <v>669</v>
      </c>
      <c r="F7" s="21">
        <v>8</v>
      </c>
      <c r="G7" s="21">
        <v>0</v>
      </c>
      <c r="H7" s="21">
        <v>30</v>
      </c>
      <c r="I7" s="21">
        <f>G7-H7</f>
        <v>-30</v>
      </c>
      <c r="J7" s="20" t="s">
        <v>644</v>
      </c>
      <c r="K7" s="20" t="s">
        <v>21</v>
      </c>
      <c r="L7" s="20" t="s">
        <v>641</v>
      </c>
      <c r="M7" s="20"/>
      <c r="N7" s="20"/>
      <c r="O7" s="20"/>
      <c r="P7" s="20"/>
      <c r="Q7" s="20">
        <v>1</v>
      </c>
      <c r="R7" s="15">
        <f>H7</f>
        <v>30</v>
      </c>
    </row>
    <row r="8" spans="1:18" x14ac:dyDescent="0.25">
      <c r="A8" s="20"/>
      <c r="B8" s="20" t="s">
        <v>17</v>
      </c>
      <c r="C8" s="20" t="s">
        <v>673</v>
      </c>
      <c r="D8" s="20" t="s">
        <v>674</v>
      </c>
      <c r="E8" s="20" t="s">
        <v>675</v>
      </c>
      <c r="F8" s="21">
        <v>8</v>
      </c>
      <c r="G8" s="21">
        <v>470</v>
      </c>
      <c r="H8" s="21">
        <v>30</v>
      </c>
      <c r="I8" s="21">
        <f>G8-H8</f>
        <v>440</v>
      </c>
      <c r="J8" s="20" t="s">
        <v>644</v>
      </c>
      <c r="K8" s="20" t="s">
        <v>21</v>
      </c>
      <c r="L8" s="20" t="s">
        <v>641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676</v>
      </c>
      <c r="D9" s="20" t="s">
        <v>677</v>
      </c>
      <c r="E9" s="20" t="s">
        <v>544</v>
      </c>
      <c r="F9" s="20" t="s">
        <v>26</v>
      </c>
      <c r="G9" s="21">
        <v>0</v>
      </c>
      <c r="H9" s="21">
        <v>30</v>
      </c>
      <c r="I9" s="21">
        <f>G9-H9</f>
        <v>-30</v>
      </c>
      <c r="J9" s="20" t="s">
        <v>644</v>
      </c>
      <c r="K9" s="20" t="s">
        <v>21</v>
      </c>
      <c r="L9" s="20" t="s">
        <v>641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684</v>
      </c>
      <c r="D10" s="20" t="s">
        <v>685</v>
      </c>
      <c r="E10" s="20" t="s">
        <v>686</v>
      </c>
      <c r="F10" s="20" t="s">
        <v>26</v>
      </c>
      <c r="G10" s="21">
        <v>980</v>
      </c>
      <c r="H10" s="21">
        <v>30</v>
      </c>
      <c r="I10" s="21">
        <f>G10-H10</f>
        <v>950</v>
      </c>
      <c r="J10" s="20" t="s">
        <v>644</v>
      </c>
      <c r="K10" s="20" t="s">
        <v>21</v>
      </c>
      <c r="L10" s="20" t="s">
        <v>641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696</v>
      </c>
      <c r="D11" s="20" t="s">
        <v>697</v>
      </c>
      <c r="E11" s="20" t="s">
        <v>698</v>
      </c>
      <c r="F11" s="21">
        <v>8</v>
      </c>
      <c r="G11" s="21">
        <v>950</v>
      </c>
      <c r="H11" s="21">
        <v>30</v>
      </c>
      <c r="I11" s="21">
        <f>G11-H11</f>
        <v>920</v>
      </c>
      <c r="J11" s="20" t="s">
        <v>644</v>
      </c>
      <c r="K11" s="20" t="s">
        <v>21</v>
      </c>
      <c r="L11" s="20" t="s">
        <v>641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705</v>
      </c>
      <c r="D12" s="20" t="s">
        <v>706</v>
      </c>
      <c r="E12" s="20" t="s">
        <v>707</v>
      </c>
      <c r="F12" s="20" t="s">
        <v>46</v>
      </c>
      <c r="G12" s="21">
        <v>895</v>
      </c>
      <c r="H12" s="21">
        <v>25</v>
      </c>
      <c r="I12" s="21">
        <f>G12-H12</f>
        <v>870</v>
      </c>
      <c r="J12" s="20" t="s">
        <v>644</v>
      </c>
      <c r="K12" s="20" t="s">
        <v>21</v>
      </c>
      <c r="L12" s="20" t="s">
        <v>641</v>
      </c>
      <c r="M12" s="20"/>
      <c r="N12" s="20"/>
      <c r="O12" s="20"/>
      <c r="P12" s="20"/>
      <c r="Q12" s="20">
        <v>1</v>
      </c>
    </row>
    <row r="13" spans="1:18" s="24" customFormat="1" x14ac:dyDescent="0.25">
      <c r="A13" s="22"/>
      <c r="B13" s="22" t="s">
        <v>17</v>
      </c>
      <c r="C13" s="22" t="s">
        <v>34</v>
      </c>
      <c r="D13" s="22" t="s">
        <v>720</v>
      </c>
      <c r="E13" s="22" t="s">
        <v>36</v>
      </c>
      <c r="F13" s="23">
        <v>8</v>
      </c>
      <c r="G13" s="23">
        <v>0</v>
      </c>
      <c r="H13" s="23">
        <v>30</v>
      </c>
      <c r="I13" s="23">
        <f>G13-H13</f>
        <v>-30</v>
      </c>
      <c r="J13" s="22" t="s">
        <v>644</v>
      </c>
      <c r="K13" s="22" t="s">
        <v>21</v>
      </c>
      <c r="L13" s="22" t="s">
        <v>641</v>
      </c>
      <c r="M13" s="22" t="s">
        <v>126</v>
      </c>
      <c r="N13" s="22"/>
      <c r="O13" s="22"/>
      <c r="P13" s="22"/>
      <c r="Q13" s="22">
        <v>1</v>
      </c>
      <c r="R13" s="30">
        <f>H13</f>
        <v>30</v>
      </c>
    </row>
    <row r="14" spans="1:18" x14ac:dyDescent="0.25">
      <c r="A14" s="20"/>
      <c r="B14" s="20" t="s">
        <v>17</v>
      </c>
      <c r="C14" s="20" t="s">
        <v>728</v>
      </c>
      <c r="D14" s="20" t="s">
        <v>729</v>
      </c>
      <c r="E14" s="20" t="s">
        <v>730</v>
      </c>
      <c r="F14" s="20" t="s">
        <v>26</v>
      </c>
      <c r="G14" s="21">
        <v>670</v>
      </c>
      <c r="H14" s="21">
        <v>30</v>
      </c>
      <c r="I14" s="21">
        <f>G14-H14</f>
        <v>640</v>
      </c>
      <c r="J14" s="20" t="s">
        <v>644</v>
      </c>
      <c r="K14" s="20" t="s">
        <v>21</v>
      </c>
      <c r="L14" s="20" t="s">
        <v>641</v>
      </c>
      <c r="M14" s="20"/>
      <c r="N14" s="20"/>
      <c r="O14" s="20"/>
      <c r="P14" s="20"/>
      <c r="Q14" s="20">
        <v>1</v>
      </c>
    </row>
    <row r="15" spans="1:18" x14ac:dyDescent="0.25">
      <c r="A15" s="20" t="s">
        <v>16</v>
      </c>
      <c r="B15" s="20" t="s">
        <v>17</v>
      </c>
      <c r="C15" s="20" t="s">
        <v>370</v>
      </c>
      <c r="D15" s="20"/>
      <c r="E15" s="20" t="s">
        <v>371</v>
      </c>
      <c r="F15" s="20" t="s">
        <v>77</v>
      </c>
      <c r="G15" s="21">
        <v>30</v>
      </c>
      <c r="H15" s="21">
        <v>30</v>
      </c>
      <c r="I15" s="21">
        <f>G15-H15</f>
        <v>0</v>
      </c>
      <c r="J15" s="20" t="s">
        <v>21</v>
      </c>
      <c r="K15" s="20" t="s">
        <v>21</v>
      </c>
      <c r="L15" s="20" t="s">
        <v>641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647</v>
      </c>
      <c r="D16" s="20" t="s">
        <v>648</v>
      </c>
      <c r="E16" s="20" t="s">
        <v>649</v>
      </c>
      <c r="F16" s="20" t="s">
        <v>77</v>
      </c>
      <c r="G16" s="21">
        <v>565</v>
      </c>
      <c r="H16" s="21">
        <v>25</v>
      </c>
      <c r="I16" s="21">
        <f>G16-H16</f>
        <v>540</v>
      </c>
      <c r="J16" s="20" t="s">
        <v>21</v>
      </c>
      <c r="K16" s="20" t="s">
        <v>21</v>
      </c>
      <c r="L16" s="20" t="s">
        <v>641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653</v>
      </c>
      <c r="D17" s="20" t="s">
        <v>654</v>
      </c>
      <c r="E17" s="20" t="s">
        <v>655</v>
      </c>
      <c r="F17" s="21">
        <v>2</v>
      </c>
      <c r="G17" s="21">
        <v>1670</v>
      </c>
      <c r="H17" s="21">
        <v>30</v>
      </c>
      <c r="I17" s="21">
        <f>G17-H17</f>
        <v>1640</v>
      </c>
      <c r="J17" s="20" t="s">
        <v>21</v>
      </c>
      <c r="K17" s="20" t="s">
        <v>21</v>
      </c>
      <c r="L17" s="20" t="s">
        <v>641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356</v>
      </c>
      <c r="D18" s="20" t="s">
        <v>656</v>
      </c>
      <c r="E18" s="20" t="s">
        <v>358</v>
      </c>
      <c r="F18" s="21">
        <v>12</v>
      </c>
      <c r="G18" s="21">
        <v>741</v>
      </c>
      <c r="H18" s="21">
        <v>30</v>
      </c>
      <c r="I18" s="21">
        <f>G18-H18</f>
        <v>711</v>
      </c>
      <c r="J18" s="20" t="s">
        <v>21</v>
      </c>
      <c r="K18" s="20" t="s">
        <v>21</v>
      </c>
      <c r="L18" s="20" t="s">
        <v>641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664</v>
      </c>
      <c r="D19" s="20" t="s">
        <v>665</v>
      </c>
      <c r="E19" s="20" t="s">
        <v>666</v>
      </c>
      <c r="F19" s="21">
        <v>12</v>
      </c>
      <c r="G19" s="21">
        <v>0</v>
      </c>
      <c r="H19" s="21">
        <v>30</v>
      </c>
      <c r="I19" s="21">
        <f>G19-H19</f>
        <v>-30</v>
      </c>
      <c r="J19" s="20" t="s">
        <v>21</v>
      </c>
      <c r="K19" s="20" t="s">
        <v>21</v>
      </c>
      <c r="L19" s="20" t="s">
        <v>641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670</v>
      </c>
      <c r="D20" s="20" t="s">
        <v>671</v>
      </c>
      <c r="E20" s="20" t="s">
        <v>672</v>
      </c>
      <c r="F20" s="20" t="s">
        <v>95</v>
      </c>
      <c r="G20" s="21">
        <v>805</v>
      </c>
      <c r="H20" s="21">
        <v>25</v>
      </c>
      <c r="I20" s="21">
        <f>G20-H20</f>
        <v>780</v>
      </c>
      <c r="J20" s="20" t="s">
        <v>21</v>
      </c>
      <c r="K20" s="20" t="s">
        <v>21</v>
      </c>
      <c r="L20" s="20" t="s">
        <v>641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678</v>
      </c>
      <c r="D21" s="20" t="s">
        <v>679</v>
      </c>
      <c r="E21" s="20" t="s">
        <v>680</v>
      </c>
      <c r="F21" s="21">
        <v>12</v>
      </c>
      <c r="G21" s="21">
        <v>0</v>
      </c>
      <c r="H21" s="21">
        <v>30</v>
      </c>
      <c r="I21" s="21">
        <f>G21-H21</f>
        <v>-30</v>
      </c>
      <c r="J21" s="20" t="s">
        <v>21</v>
      </c>
      <c r="K21" s="20" t="s">
        <v>21</v>
      </c>
      <c r="L21" s="20" t="s">
        <v>641</v>
      </c>
      <c r="M21" s="20"/>
      <c r="N21" s="20"/>
      <c r="O21" s="20"/>
      <c r="P21" s="20"/>
      <c r="Q21" s="20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687</v>
      </c>
      <c r="D22" s="20" t="s">
        <v>688</v>
      </c>
      <c r="E22" s="20" t="s">
        <v>689</v>
      </c>
      <c r="F22" s="21">
        <v>2</v>
      </c>
      <c r="G22" s="21">
        <v>30</v>
      </c>
      <c r="H22" s="21">
        <v>30</v>
      </c>
      <c r="I22" s="21">
        <f>G22-H22</f>
        <v>0</v>
      </c>
      <c r="J22" s="20" t="s">
        <v>21</v>
      </c>
      <c r="K22" s="20" t="s">
        <v>21</v>
      </c>
      <c r="L22" s="20" t="s">
        <v>641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699</v>
      </c>
      <c r="D23" s="20" t="s">
        <v>700</v>
      </c>
      <c r="E23" s="20" t="s">
        <v>701</v>
      </c>
      <c r="F23" s="20" t="s">
        <v>95</v>
      </c>
      <c r="G23" s="21">
        <v>50</v>
      </c>
      <c r="H23" s="21">
        <v>50</v>
      </c>
      <c r="I23" s="21">
        <f>G23-H23</f>
        <v>0</v>
      </c>
      <c r="J23" s="20" t="s">
        <v>21</v>
      </c>
      <c r="K23" s="20" t="s">
        <v>21</v>
      </c>
      <c r="L23" s="20" t="s">
        <v>641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711</v>
      </c>
      <c r="D24" s="20" t="s">
        <v>712</v>
      </c>
      <c r="E24" s="20" t="s">
        <v>713</v>
      </c>
      <c r="F24" s="20" t="s">
        <v>85</v>
      </c>
      <c r="G24" s="21">
        <v>710</v>
      </c>
      <c r="H24" s="21">
        <v>20</v>
      </c>
      <c r="I24" s="21">
        <f>G24-H24</f>
        <v>690</v>
      </c>
      <c r="J24" s="20" t="s">
        <v>21</v>
      </c>
      <c r="K24" s="20" t="s">
        <v>21</v>
      </c>
      <c r="L24" s="20" t="s">
        <v>641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17</v>
      </c>
      <c r="C25" s="20" t="s">
        <v>721</v>
      </c>
      <c r="D25" s="20" t="s">
        <v>722</v>
      </c>
      <c r="E25" s="20" t="s">
        <v>723</v>
      </c>
      <c r="F25" s="21">
        <v>2</v>
      </c>
      <c r="G25" s="21">
        <v>820</v>
      </c>
      <c r="H25" s="21">
        <v>30</v>
      </c>
      <c r="I25" s="21">
        <f>G25-H25</f>
        <v>790</v>
      </c>
      <c r="J25" s="20" t="s">
        <v>21</v>
      </c>
      <c r="K25" s="20" t="s">
        <v>21</v>
      </c>
      <c r="L25" s="20" t="s">
        <v>641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724</v>
      </c>
      <c r="D26" s="20" t="s">
        <v>725</v>
      </c>
      <c r="E26" s="20" t="s">
        <v>726</v>
      </c>
      <c r="F26" s="20" t="s">
        <v>85</v>
      </c>
      <c r="G26" s="21">
        <v>880</v>
      </c>
      <c r="H26" s="21">
        <v>20</v>
      </c>
      <c r="I26" s="21">
        <f>G26-H26</f>
        <v>860</v>
      </c>
      <c r="J26" s="20" t="s">
        <v>21</v>
      </c>
      <c r="K26" s="20" t="s">
        <v>21</v>
      </c>
      <c r="L26" s="20" t="s">
        <v>641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365</v>
      </c>
      <c r="D27" s="20" t="s">
        <v>727</v>
      </c>
      <c r="E27" s="20" t="s">
        <v>367</v>
      </c>
      <c r="F27" s="20" t="s">
        <v>77</v>
      </c>
      <c r="G27" s="21">
        <v>845</v>
      </c>
      <c r="H27" s="21">
        <v>25</v>
      </c>
      <c r="I27" s="21">
        <f>G27-H27</f>
        <v>820</v>
      </c>
      <c r="J27" s="20" t="s">
        <v>21</v>
      </c>
      <c r="K27" s="20" t="s">
        <v>21</v>
      </c>
      <c r="L27" s="20" t="s">
        <v>641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731</v>
      </c>
      <c r="D28" s="20" t="s">
        <v>732</v>
      </c>
      <c r="E28" s="20" t="s">
        <v>733</v>
      </c>
      <c r="F28" s="21">
        <v>12</v>
      </c>
      <c r="G28" s="21">
        <v>0</v>
      </c>
      <c r="H28" s="21">
        <v>30</v>
      </c>
      <c r="I28" s="21">
        <f>G28-H28</f>
        <v>-30</v>
      </c>
      <c r="J28" s="20" t="s">
        <v>21</v>
      </c>
      <c r="K28" s="20" t="s">
        <v>21</v>
      </c>
      <c r="L28" s="20" t="s">
        <v>641</v>
      </c>
      <c r="M28" s="20"/>
      <c r="N28" s="20"/>
      <c r="O28" s="20"/>
      <c r="P28" s="20"/>
      <c r="Q28" s="20">
        <v>1</v>
      </c>
      <c r="R28" s="15">
        <f t="shared" ref="R28:R30" si="0">H28</f>
        <v>30</v>
      </c>
    </row>
    <row r="29" spans="1:18" x14ac:dyDescent="0.25">
      <c r="A29" s="20" t="s">
        <v>16</v>
      </c>
      <c r="B29" s="20" t="s">
        <v>17</v>
      </c>
      <c r="C29" s="20" t="s">
        <v>437</v>
      </c>
      <c r="D29" s="20"/>
      <c r="E29" s="20" t="s">
        <v>438</v>
      </c>
      <c r="F29" s="21">
        <v>1</v>
      </c>
      <c r="G29" s="21">
        <v>0</v>
      </c>
      <c r="H29" s="21">
        <v>30</v>
      </c>
      <c r="I29" s="21">
        <f>G29-H29</f>
        <v>-30</v>
      </c>
      <c r="J29" s="20" t="s">
        <v>135</v>
      </c>
      <c r="K29" s="20" t="s">
        <v>21</v>
      </c>
      <c r="L29" s="20" t="s">
        <v>641</v>
      </c>
      <c r="M29" s="20"/>
      <c r="N29" s="20"/>
      <c r="O29" s="20"/>
      <c r="P29" s="20"/>
      <c r="Q29" s="20">
        <v>1</v>
      </c>
      <c r="R29" s="15">
        <f t="shared" si="0"/>
        <v>30</v>
      </c>
    </row>
    <row r="30" spans="1:18" x14ac:dyDescent="0.25">
      <c r="A30" s="20"/>
      <c r="B30" s="20" t="s">
        <v>17</v>
      </c>
      <c r="C30" s="20" t="s">
        <v>660</v>
      </c>
      <c r="D30" s="20" t="s">
        <v>661</v>
      </c>
      <c r="E30" s="20" t="s">
        <v>662</v>
      </c>
      <c r="F30" s="20" t="s">
        <v>95</v>
      </c>
      <c r="G30" s="21">
        <v>0</v>
      </c>
      <c r="H30" s="21">
        <v>25</v>
      </c>
      <c r="I30" s="21">
        <f>G30-H30</f>
        <v>-25</v>
      </c>
      <c r="J30" s="20" t="s">
        <v>135</v>
      </c>
      <c r="K30" s="20" t="s">
        <v>21</v>
      </c>
      <c r="L30" s="20" t="s">
        <v>641</v>
      </c>
      <c r="M30" s="20"/>
      <c r="N30" s="20"/>
      <c r="O30" s="20"/>
      <c r="P30" s="20"/>
      <c r="Q30" s="20">
        <v>1</v>
      </c>
      <c r="R30" s="15">
        <f t="shared" si="0"/>
        <v>25</v>
      </c>
    </row>
    <row r="31" spans="1:18" x14ac:dyDescent="0.25">
      <c r="A31" s="20"/>
      <c r="B31" s="20" t="s">
        <v>17</v>
      </c>
      <c r="C31" s="20" t="s">
        <v>183</v>
      </c>
      <c r="D31" s="20" t="s">
        <v>663</v>
      </c>
      <c r="E31" s="20" t="s">
        <v>185</v>
      </c>
      <c r="F31" s="21">
        <v>4</v>
      </c>
      <c r="G31" s="21">
        <v>885</v>
      </c>
      <c r="H31" s="21">
        <v>25</v>
      </c>
      <c r="I31" s="21">
        <f>G31-H31</f>
        <v>860</v>
      </c>
      <c r="J31" s="20" t="s">
        <v>135</v>
      </c>
      <c r="K31" s="20" t="s">
        <v>21</v>
      </c>
      <c r="L31" s="20" t="s">
        <v>641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681</v>
      </c>
      <c r="D32" s="20" t="s">
        <v>682</v>
      </c>
      <c r="E32" s="20" t="s">
        <v>683</v>
      </c>
      <c r="F32" s="21">
        <v>1</v>
      </c>
      <c r="G32" s="21">
        <v>825</v>
      </c>
      <c r="H32" s="21">
        <v>25</v>
      </c>
      <c r="I32" s="21">
        <f>G32-H32</f>
        <v>800</v>
      </c>
      <c r="J32" s="20" t="s">
        <v>135</v>
      </c>
      <c r="K32" s="20" t="s">
        <v>21</v>
      </c>
      <c r="L32" s="20" t="s">
        <v>641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690</v>
      </c>
      <c r="D33" s="20" t="s">
        <v>691</v>
      </c>
      <c r="E33" s="20" t="s">
        <v>692</v>
      </c>
      <c r="F33" s="21">
        <v>10</v>
      </c>
      <c r="G33" s="21">
        <v>0</v>
      </c>
      <c r="H33" s="21">
        <v>25</v>
      </c>
      <c r="I33" s="21">
        <f>G33-H33</f>
        <v>-25</v>
      </c>
      <c r="J33" s="20" t="s">
        <v>135</v>
      </c>
      <c r="K33" s="20" t="s">
        <v>21</v>
      </c>
      <c r="L33" s="20" t="s">
        <v>641</v>
      </c>
      <c r="M33" s="20"/>
      <c r="N33" s="20"/>
      <c r="O33" s="20"/>
      <c r="P33" s="20"/>
      <c r="Q33" s="20">
        <v>1</v>
      </c>
      <c r="R33" s="15">
        <f>H33</f>
        <v>25</v>
      </c>
    </row>
    <row r="34" spans="1:18" x14ac:dyDescent="0.25">
      <c r="A34" s="20"/>
      <c r="B34" s="20" t="s">
        <v>17</v>
      </c>
      <c r="C34" s="20" t="s">
        <v>693</v>
      </c>
      <c r="D34" s="20" t="s">
        <v>694</v>
      </c>
      <c r="E34" s="20" t="s">
        <v>695</v>
      </c>
      <c r="F34" s="21">
        <v>10</v>
      </c>
      <c r="G34" s="21">
        <v>815</v>
      </c>
      <c r="H34" s="21">
        <v>25</v>
      </c>
      <c r="I34" s="21">
        <f>G34-H34</f>
        <v>790</v>
      </c>
      <c r="J34" s="20" t="s">
        <v>135</v>
      </c>
      <c r="K34" s="20" t="s">
        <v>21</v>
      </c>
      <c r="L34" s="20" t="s">
        <v>641</v>
      </c>
      <c r="M34" s="20"/>
      <c r="N34" s="20"/>
      <c r="O34" s="20"/>
      <c r="P34" s="20"/>
      <c r="Q34" s="20">
        <v>1</v>
      </c>
    </row>
    <row r="35" spans="1:18" s="24" customFormat="1" x14ac:dyDescent="0.25">
      <c r="A35" s="22"/>
      <c r="B35" s="22" t="s">
        <v>17</v>
      </c>
      <c r="C35" s="22" t="s">
        <v>702</v>
      </c>
      <c r="D35" s="22" t="s">
        <v>703</v>
      </c>
      <c r="E35" s="22" t="s">
        <v>704</v>
      </c>
      <c r="F35" s="23">
        <v>1</v>
      </c>
      <c r="G35" s="23">
        <v>25</v>
      </c>
      <c r="H35" s="23">
        <v>25</v>
      </c>
      <c r="I35" s="23">
        <f>G35-H35</f>
        <v>0</v>
      </c>
      <c r="J35" s="22" t="s">
        <v>135</v>
      </c>
      <c r="K35" s="22" t="s">
        <v>21</v>
      </c>
      <c r="L35" s="22" t="s">
        <v>641</v>
      </c>
      <c r="M35" s="22" t="s">
        <v>126</v>
      </c>
      <c r="N35" s="22"/>
      <c r="O35" s="22"/>
      <c r="P35" s="22"/>
      <c r="Q35" s="22">
        <v>1</v>
      </c>
    </row>
    <row r="36" spans="1:18" x14ac:dyDescent="0.25">
      <c r="A36" s="20"/>
      <c r="B36" s="20" t="s">
        <v>17</v>
      </c>
      <c r="C36" s="20" t="s">
        <v>708</v>
      </c>
      <c r="D36" s="20" t="s">
        <v>709</v>
      </c>
      <c r="E36" s="20" t="s">
        <v>710</v>
      </c>
      <c r="F36" s="21">
        <v>7</v>
      </c>
      <c r="G36" s="21">
        <v>850</v>
      </c>
      <c r="H36" s="21">
        <v>30</v>
      </c>
      <c r="I36" s="21">
        <f>G36-H36</f>
        <v>820</v>
      </c>
      <c r="J36" s="20" t="s">
        <v>135</v>
      </c>
      <c r="K36" s="20" t="s">
        <v>21</v>
      </c>
      <c r="L36" s="20" t="s">
        <v>641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714</v>
      </c>
      <c r="D37" s="20" t="s">
        <v>715</v>
      </c>
      <c r="E37" s="20" t="s">
        <v>716</v>
      </c>
      <c r="F37" s="21">
        <v>5</v>
      </c>
      <c r="G37" s="21">
        <v>0</v>
      </c>
      <c r="H37" s="21">
        <v>25</v>
      </c>
      <c r="I37" s="21">
        <f>G37-H37</f>
        <v>-25</v>
      </c>
      <c r="J37" s="20" t="s">
        <v>135</v>
      </c>
      <c r="K37" s="20" t="s">
        <v>21</v>
      </c>
      <c r="L37" s="20" t="s">
        <v>641</v>
      </c>
      <c r="M37" s="20"/>
      <c r="N37" s="20"/>
      <c r="O37" s="20"/>
      <c r="P37" s="20"/>
      <c r="Q37" s="20">
        <v>1</v>
      </c>
      <c r="R37" s="15">
        <f>H37</f>
        <v>25</v>
      </c>
    </row>
    <row r="38" spans="1:18" x14ac:dyDescent="0.25">
      <c r="A38" s="20"/>
      <c r="B38" s="20" t="s">
        <v>17</v>
      </c>
      <c r="C38" s="20" t="s">
        <v>717</v>
      </c>
      <c r="D38" s="20" t="s">
        <v>718</v>
      </c>
      <c r="E38" s="20" t="s">
        <v>719</v>
      </c>
      <c r="F38" s="21">
        <v>10</v>
      </c>
      <c r="G38" s="21">
        <v>455</v>
      </c>
      <c r="H38" s="21">
        <v>25</v>
      </c>
      <c r="I38" s="21">
        <f>G38-H38</f>
        <v>430</v>
      </c>
      <c r="J38" s="20" t="s">
        <v>135</v>
      </c>
      <c r="K38" s="20" t="s">
        <v>21</v>
      </c>
      <c r="L38" s="20" t="s">
        <v>641</v>
      </c>
      <c r="M38" s="20"/>
      <c r="N38" s="20"/>
      <c r="O38" s="20"/>
      <c r="P38" s="20"/>
      <c r="Q38" s="20">
        <v>1</v>
      </c>
    </row>
    <row r="40" spans="1:18" x14ac:dyDescent="0.25">
      <c r="D40" s="6">
        <f>COUNTA(D3:D38)</f>
        <v>32</v>
      </c>
      <c r="G40" s="6">
        <f t="shared" ref="G40:Q40" si="1">SUBTOTAL(9,G3:G38)</f>
        <v>18501</v>
      </c>
      <c r="H40" s="6">
        <f t="shared" si="1"/>
        <v>1030</v>
      </c>
      <c r="I40" s="6">
        <f t="shared" si="1"/>
        <v>17471</v>
      </c>
      <c r="J40" s="6">
        <f t="shared" si="1"/>
        <v>0</v>
      </c>
      <c r="K40" s="6">
        <f t="shared" si="1"/>
        <v>0</v>
      </c>
      <c r="L40" s="6">
        <f t="shared" si="1"/>
        <v>0</v>
      </c>
      <c r="M40" s="6">
        <f t="shared" si="1"/>
        <v>0</v>
      </c>
      <c r="N40" s="6">
        <f t="shared" si="1"/>
        <v>0</v>
      </c>
      <c r="O40" s="6">
        <f t="shared" si="1"/>
        <v>0</v>
      </c>
      <c r="P40" s="6">
        <f t="shared" si="1"/>
        <v>0</v>
      </c>
      <c r="Q40" s="6">
        <f t="shared" si="1"/>
        <v>36</v>
      </c>
    </row>
    <row r="41" spans="1:18" x14ac:dyDescent="0.25">
      <c r="H41">
        <f>-6*17</f>
        <v>-102</v>
      </c>
    </row>
    <row r="42" spans="1:18" x14ac:dyDescent="0.25">
      <c r="A42" s="6" t="s">
        <v>17</v>
      </c>
      <c r="C42" s="5" t="s">
        <v>191</v>
      </c>
      <c r="D42" s="5"/>
      <c r="E42" s="9" t="s">
        <v>192</v>
      </c>
      <c r="H42">
        <f>-5*25</f>
        <v>-125</v>
      </c>
      <c r="K42" s="16" t="s">
        <v>135</v>
      </c>
      <c r="L42" s="16" t="s">
        <v>193</v>
      </c>
      <c r="M42" s="16" t="s">
        <v>192</v>
      </c>
      <c r="O42" s="9" t="s">
        <v>194</v>
      </c>
    </row>
    <row r="43" spans="1:18" x14ac:dyDescent="0.25">
      <c r="A43" t="s">
        <v>641</v>
      </c>
      <c r="B43" s="8" t="s">
        <v>195</v>
      </c>
      <c r="C43" s="4">
        <f>SUMIFS(I$3:I$38,B$3:B$38,A$42,L$3:L$38,A$43)</f>
        <v>17471</v>
      </c>
      <c r="D43" s="4"/>
      <c r="E43" s="8">
        <f>SUMIFS(Q$3:Q$38,B$3:B$38,A$42,L$3:L$38,A$43)</f>
        <v>36</v>
      </c>
      <c r="F43" t="s">
        <v>196</v>
      </c>
      <c r="H43">
        <f>-1*30</f>
        <v>-30</v>
      </c>
      <c r="K43" t="s">
        <v>197</v>
      </c>
      <c r="L43">
        <f>SUMIFS(G$3:G$38,J$3:J$38,K$42)</f>
        <v>3855</v>
      </c>
      <c r="M43">
        <f>SUMIFS(Q$3:Q$38,J$3:J$38,K$42)-INT(COUNTIFS(J$3:J$38,K$42,M$3:M$38,"*gộp*")/2)</f>
        <v>10</v>
      </c>
      <c r="O43" t="s">
        <v>135</v>
      </c>
      <c r="P43">
        <f>L48</f>
        <v>3645</v>
      </c>
    </row>
    <row r="44" spans="1:18" x14ac:dyDescent="0.25">
      <c r="B44" s="7" t="s">
        <v>199</v>
      </c>
      <c r="C44" s="3">
        <v>0</v>
      </c>
      <c r="D44" s="3"/>
      <c r="K44" t="s">
        <v>200</v>
      </c>
      <c r="L44">
        <f>-SUMIFS(H$3:H$38,J$3:J$38,K$42)+M44*5</f>
        <v>-210</v>
      </c>
      <c r="M44">
        <f>SUMIFS(Q$3:Q$38,J$3:J$38,K$42)-INT(COUNTIFS(J$3:J$38,K$42,M$3:M$38,"*gộp*")/2)</f>
        <v>10</v>
      </c>
      <c r="O44" t="s">
        <v>734</v>
      </c>
      <c r="P44">
        <f>L56</f>
        <v>7243</v>
      </c>
    </row>
    <row r="45" spans="1:18" x14ac:dyDescent="0.25">
      <c r="B45" s="7" t="s">
        <v>201</v>
      </c>
      <c r="C45" s="3">
        <f>-SUMIFS(I$3:I$38,B$3:B$38,A$42,P$3:P$38,"xx",N$3:N$38,"x")</f>
        <v>0</v>
      </c>
      <c r="D45" s="3"/>
      <c r="E45" s="7">
        <f>SUMIFS(Q$3:Q$38,B$3:B$38,A$42,P$3:P$38,"xx",N$3:N$38,"x")</f>
        <v>0</v>
      </c>
      <c r="K45" t="s">
        <v>202</v>
      </c>
      <c r="O45" t="s">
        <v>21</v>
      </c>
      <c r="P45">
        <f>L64</f>
        <v>6739</v>
      </c>
    </row>
    <row r="46" spans="1:18" x14ac:dyDescent="0.25">
      <c r="B46" s="9" t="s">
        <v>203</v>
      </c>
      <c r="C46" s="5">
        <f>SUBTOTAL(9,C43:C45)</f>
        <v>17471</v>
      </c>
      <c r="D46" s="5"/>
      <c r="E46">
        <f>E43</f>
        <v>36</v>
      </c>
      <c r="K46" s="7" t="s">
        <v>204</v>
      </c>
      <c r="O46" t="s">
        <v>207</v>
      </c>
      <c r="P46">
        <f>-C50</f>
        <v>-17471</v>
      </c>
    </row>
    <row r="47" spans="1:18" x14ac:dyDescent="0.25">
      <c r="B47" s="7" t="s">
        <v>205</v>
      </c>
      <c r="C47" s="2"/>
      <c r="D47" s="2"/>
      <c r="K47" s="7" t="s">
        <v>206</v>
      </c>
      <c r="O47" s="9" t="s">
        <v>209</v>
      </c>
      <c r="P47" s="9">
        <f>SUBTOTAL(9,P43:P46)</f>
        <v>156</v>
      </c>
    </row>
    <row r="48" spans="1:18" x14ac:dyDescent="0.25">
      <c r="B48" s="17" t="s">
        <v>208</v>
      </c>
      <c r="C48" s="2"/>
      <c r="D48" s="2"/>
      <c r="L48" s="18">
        <f>SUBTOTAL(9,L43:L47)</f>
        <v>3645</v>
      </c>
      <c r="M48" s="18">
        <f>M43</f>
        <v>10</v>
      </c>
    </row>
    <row r="50" spans="2:13" x14ac:dyDescent="0.25">
      <c r="B50" s="6" t="s">
        <v>210</v>
      </c>
      <c r="C50" s="1">
        <f>C46+C47+C48</f>
        <v>17471</v>
      </c>
      <c r="D50" s="1"/>
      <c r="E50" s="6" t="s">
        <v>211</v>
      </c>
      <c r="K50" s="16" t="s">
        <v>644</v>
      </c>
      <c r="L50" s="16" t="s">
        <v>193</v>
      </c>
      <c r="M50" s="16" t="s">
        <v>192</v>
      </c>
    </row>
    <row r="51" spans="2:13" x14ac:dyDescent="0.25">
      <c r="K51" t="s">
        <v>197</v>
      </c>
      <c r="L51">
        <f>SUMIFS(G$3:G$38,J$3:J$38,K$50)</f>
        <v>7500</v>
      </c>
      <c r="M51">
        <f>SUMIFS(Q$3:Q$38,J$3:J$38,K$50)-INT(COUNTIFS(J$3:J$38,K$50,M$3:M$38,"*gộp*")/2)</f>
        <v>12</v>
      </c>
    </row>
    <row r="52" spans="2:13" x14ac:dyDescent="0.25">
      <c r="K52" t="s">
        <v>200</v>
      </c>
      <c r="L52">
        <f>SUM(H41:H43)+SUMIFS(H$3:H$38,J$3:J$38,K$50,M$3:M$38,"*gộp*")/2</f>
        <v>-257</v>
      </c>
      <c r="M52">
        <f>SUMIFS(Q$3:Q$38,J$3:J$38,K$50)</f>
        <v>12</v>
      </c>
    </row>
    <row r="53" spans="2:13" x14ac:dyDescent="0.25">
      <c r="K53" t="s">
        <v>202</v>
      </c>
    </row>
    <row r="54" spans="2:13" x14ac:dyDescent="0.25">
      <c r="K54" s="7" t="s">
        <v>204</v>
      </c>
    </row>
    <row r="55" spans="2:13" x14ac:dyDescent="0.25">
      <c r="K55" s="7" t="s">
        <v>206</v>
      </c>
    </row>
    <row r="56" spans="2:13" x14ac:dyDescent="0.25">
      <c r="L56" s="18">
        <f>SUBTOTAL(9,L51:L55)</f>
        <v>7243</v>
      </c>
      <c r="M56" s="18">
        <f>M51</f>
        <v>12</v>
      </c>
    </row>
    <row r="58" spans="2:13" x14ac:dyDescent="0.25">
      <c r="K58" s="16" t="s">
        <v>21</v>
      </c>
      <c r="L58" s="16" t="s">
        <v>193</v>
      </c>
      <c r="M58" s="16" t="s">
        <v>192</v>
      </c>
    </row>
    <row r="59" spans="2:13" x14ac:dyDescent="0.25">
      <c r="K59" t="s">
        <v>197</v>
      </c>
      <c r="L59">
        <f>SUMIFS(G$3:G$38,J$3:J$38,K$58)</f>
        <v>7146</v>
      </c>
      <c r="M59">
        <f>SUMIFS(Q$3:Q$38,J$3:J$38,K$58)-INT(COUNTIFS(J$3:J$38,K$58,M$3:M$38,"*gộp*")/2)</f>
        <v>14</v>
      </c>
    </row>
    <row r="60" spans="2:13" x14ac:dyDescent="0.25">
      <c r="K60" t="s">
        <v>200</v>
      </c>
      <c r="L60">
        <f>-SUMIFS(H$3:H$38,J$3:J$38,K$58)+M60*5</f>
        <v>-335</v>
      </c>
      <c r="M60">
        <f>SUMIFS(Q$3:Q$38,J$3:J$38,K$58)-INT(COUNTIFS(J$3:J$38,K$58,M$3:M$38,"*gộp*")/2)</f>
        <v>14</v>
      </c>
    </row>
    <row r="61" spans="2:13" x14ac:dyDescent="0.25">
      <c r="K61" t="s">
        <v>202</v>
      </c>
      <c r="L61">
        <f>-M61*2</f>
        <v>-72</v>
      </c>
      <c r="M61">
        <f>E46-(COUNTIFS(M$3:M$38,"*gộp*")/2)-COUNTIFS(M$3:M$38,"*đơn trả*")-COUNTIFS(M$3:M$38,"*hàng tỉnh*")</f>
        <v>36</v>
      </c>
    </row>
    <row r="62" spans="2:13" x14ac:dyDescent="0.25">
      <c r="K62" s="7" t="s">
        <v>204</v>
      </c>
    </row>
    <row r="63" spans="2:13" x14ac:dyDescent="0.25">
      <c r="K63" s="7" t="s">
        <v>206</v>
      </c>
    </row>
    <row r="64" spans="2:13" x14ac:dyDescent="0.25">
      <c r="L64" s="18">
        <f>SUBTOTAL(9,L59:L63)</f>
        <v>6739</v>
      </c>
      <c r="M64" s="18">
        <f>M59</f>
        <v>14</v>
      </c>
    </row>
  </sheetData>
  <autoFilter ref="A2:P38" xr:uid="{00000000-0009-0000-0000-000006000000}">
    <sortState xmlns:xlrd2="http://schemas.microsoft.com/office/spreadsheetml/2017/richdata2" ref="A3:P38">
      <sortCondition ref="J2:J38"/>
    </sortState>
  </autoFilter>
  <mergeCells count="8">
    <mergeCell ref="C47:D47"/>
    <mergeCell ref="C48:D48"/>
    <mergeCell ref="C50:D50"/>
    <mergeCell ref="C42:D42"/>
    <mergeCell ref="C43:D43"/>
    <mergeCell ref="C44:D44"/>
    <mergeCell ref="C45:D45"/>
    <mergeCell ref="C46:D46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workbookViewId="0">
      <selection activeCell="B3" sqref="B3"/>
    </sheetView>
  </sheetViews>
  <sheetFormatPr defaultColWidth="9.140625" defaultRowHeight="15" x14ac:dyDescent="0.25"/>
  <cols>
    <col min="1" max="1" width="9.42578125" style="10" bestFit="1" customWidth="1"/>
    <col min="2" max="2" width="10.85546875" style="10" bestFit="1" customWidth="1"/>
    <col min="3" max="3" width="9.42578125" style="10" bestFit="1" customWidth="1"/>
    <col min="4" max="4" width="17.5703125" style="10" bestFit="1" customWidth="1"/>
    <col min="5" max="5" width="15.85546875" style="10" bestFit="1" customWidth="1"/>
    <col min="6" max="6" width="9.140625" style="10" customWidth="1"/>
    <col min="7" max="16384" width="9.140625" style="10"/>
  </cols>
  <sheetData>
    <row r="1" spans="1:5" x14ac:dyDescent="0.25">
      <c r="A1" s="10" t="s">
        <v>631</v>
      </c>
      <c r="B1" s="10">
        <v>2026</v>
      </c>
    </row>
    <row r="2" spans="1:5" x14ac:dyDescent="0.25">
      <c r="A2" s="11" t="s">
        <v>632</v>
      </c>
      <c r="B2" s="11" t="s">
        <v>633</v>
      </c>
      <c r="C2" s="11" t="s">
        <v>634</v>
      </c>
      <c r="D2" s="11" t="s">
        <v>635</v>
      </c>
      <c r="E2" s="11" t="s">
        <v>636</v>
      </c>
    </row>
    <row r="3" spans="1:5" x14ac:dyDescent="0.25">
      <c r="A3" s="12">
        <v>46143</v>
      </c>
      <c r="B3" s="13">
        <f ca="1">IFERROR(COUNTIF(INDIRECT("'"&amp;TEXT(A3,"dd-mm")&amp;"'!L3:L200"),TEXT(A3,"dd-mm")&amp;"-"&amp;B$1),0)</f>
        <v>54</v>
      </c>
      <c r="C3" s="13">
        <f ca="1">IFERROR(COUNTIF(INDIRECT("'"&amp;TEXT(A3,"DD-MM")&amp;"'!M3:M200"),"*gộp*")/2,0)</f>
        <v>0</v>
      </c>
      <c r="D3" s="13" cm="1">
        <f t="array" ref="D3" ca="1">IFERROR(SUM(COUNTIF(INDIRECT("'"&amp;TEXT(A3,"DD-MM")&amp;"'!M3:M200"),{"*đơn trả*","*hàng tỉnh*"})),0)</f>
        <v>0</v>
      </c>
      <c r="E3" s="13">
        <f t="shared" ref="E3:E28" ca="1" si="0">B3-C3-D3</f>
        <v>54</v>
      </c>
    </row>
    <row r="4" spans="1:5" x14ac:dyDescent="0.25">
      <c r="A4" s="12">
        <v>46144</v>
      </c>
      <c r="B4" s="13">
        <f t="shared" ref="B4:B28" ca="1" si="1">IFERROR(COUNTIF(INDIRECT("'"&amp;TEXT(A4,"dd-mm")&amp;"'!L3:L200"),TEXT(A4,"dd-mm")&amp;"-"&amp;B$1),0)</f>
        <v>0</v>
      </c>
      <c r="C4" s="13">
        <f t="shared" ref="C4:C28" ca="1" si="2">IFERROR(COUNTIF(INDIRECT("'"&amp;TEXT(A4,"DD-MM")&amp;"'!M3:M200"),"*gộp*")/2,0)</f>
        <v>0</v>
      </c>
      <c r="D4" s="13" cm="1">
        <f t="array" aca="1" ref="D4" ca="1">IFERROR(SUM(COUNTIF(INDIRECT("'"&amp;TEXT(A4,"DD-MM")&amp;"'!M3:M200"),{"*đơn trả*","*hàng tỉnh*"})),0)</f>
        <v>0</v>
      </c>
      <c r="E4" s="13">
        <f t="shared" ca="1" si="0"/>
        <v>0</v>
      </c>
    </row>
    <row r="5" spans="1:5" x14ac:dyDescent="0.25">
      <c r="A5" s="12">
        <v>46146</v>
      </c>
      <c r="B5" s="13">
        <f t="shared" ca="1" si="1"/>
        <v>20</v>
      </c>
      <c r="C5" s="13">
        <f t="shared" ca="1" si="2"/>
        <v>0</v>
      </c>
      <c r="D5" s="13" cm="1">
        <f t="array" aca="1" ref="D5" ca="1">IFERROR(SUM(COUNTIF(INDIRECT("'"&amp;TEXT(A5,"DD-MM")&amp;"'!M3:M200"),{"*đơn trả*","*hàng tỉnh*"})),0)</f>
        <v>4</v>
      </c>
      <c r="E5" s="13">
        <f t="shared" ca="1" si="0"/>
        <v>16</v>
      </c>
    </row>
    <row r="6" spans="1:5" x14ac:dyDescent="0.25">
      <c r="A6" s="12">
        <v>46147</v>
      </c>
      <c r="B6" s="13">
        <f t="shared" ca="1" si="1"/>
        <v>53</v>
      </c>
      <c r="C6" s="13">
        <f t="shared" ca="1" si="2"/>
        <v>2</v>
      </c>
      <c r="D6" s="13" cm="1">
        <f t="array" aca="1" ref="D6" ca="1">IFERROR(SUM(COUNTIF(INDIRECT("'"&amp;TEXT(A6,"DD-MM")&amp;"'!M3:M200"),{"*đơn trả*","*hàng tỉnh*"})),0)</f>
        <v>0</v>
      </c>
      <c r="E6" s="13">
        <f t="shared" ca="1" si="0"/>
        <v>51</v>
      </c>
    </row>
    <row r="7" spans="1:5" x14ac:dyDescent="0.25">
      <c r="A7" s="12">
        <v>46148</v>
      </c>
      <c r="B7" s="13">
        <f t="shared" ca="1" si="1"/>
        <v>32</v>
      </c>
      <c r="C7" s="13">
        <f t="shared" ca="1" si="2"/>
        <v>0</v>
      </c>
      <c r="D7" s="13" cm="1">
        <f t="array" aca="1" ref="D7" ca="1">IFERROR(SUM(COUNTIF(INDIRECT("'"&amp;TEXT(A7,"DD-MM")&amp;"'!M3:M200"),{"*đơn trả*","*hàng tỉnh*"})),0)</f>
        <v>0</v>
      </c>
      <c r="E7" s="13">
        <f t="shared" ca="1" si="0"/>
        <v>32</v>
      </c>
    </row>
    <row r="8" spans="1:5" x14ac:dyDescent="0.25">
      <c r="A8" s="12">
        <v>46149</v>
      </c>
      <c r="B8" s="13">
        <f t="shared" ca="1" si="1"/>
        <v>34</v>
      </c>
      <c r="C8" s="13">
        <f t="shared" ca="1" si="2"/>
        <v>1</v>
      </c>
      <c r="D8" s="13" cm="1">
        <f t="array" aca="1" ref="D8" ca="1">IFERROR(SUM(COUNTIF(INDIRECT("'"&amp;TEXT(A8,"DD-MM")&amp;"'!M3:M200"),{"*đơn trả*","*hàng tỉnh*"})),0)</f>
        <v>0</v>
      </c>
      <c r="E8" s="13">
        <f t="shared" ca="1" si="0"/>
        <v>33</v>
      </c>
    </row>
    <row r="9" spans="1:5" x14ac:dyDescent="0.25">
      <c r="A9" s="12">
        <v>46150</v>
      </c>
      <c r="B9" s="13">
        <f t="shared" ca="1" si="1"/>
        <v>36</v>
      </c>
      <c r="C9" s="13">
        <f t="shared" ca="1" si="2"/>
        <v>0</v>
      </c>
      <c r="D9" s="13" cm="1">
        <f t="array" aca="1" ref="D9" ca="1">IFERROR(SUM(COUNTIF(INDIRECT("'"&amp;TEXT(A9,"DD-MM")&amp;"'!M3:M200"),{"*đơn trả*","*hàng tỉnh*"})),0)</f>
        <v>0</v>
      </c>
      <c r="E9" s="13">
        <f t="shared" ca="1" si="0"/>
        <v>36</v>
      </c>
    </row>
    <row r="10" spans="1:5" x14ac:dyDescent="0.25">
      <c r="A10" s="12">
        <v>46151</v>
      </c>
      <c r="B10" s="13">
        <f t="shared" ca="1" si="1"/>
        <v>0</v>
      </c>
      <c r="C10" s="13">
        <f t="shared" ca="1" si="2"/>
        <v>0</v>
      </c>
      <c r="D10" s="13" cm="1">
        <f t="array" aca="1" ref="D10" ca="1">IFERROR(SUM(COUNTIF(INDIRECT("'"&amp;TEXT(A10,"DD-MM")&amp;"'!M3:M200"),{"*đơn trả*","*hàng tỉnh*"})),0)</f>
        <v>0</v>
      </c>
      <c r="E10" s="13">
        <f t="shared" ca="1" si="0"/>
        <v>0</v>
      </c>
    </row>
    <row r="11" spans="1:5" x14ac:dyDescent="0.25">
      <c r="A11" s="12">
        <v>46153</v>
      </c>
      <c r="B11" s="13">
        <f t="shared" ca="1" si="1"/>
        <v>0</v>
      </c>
      <c r="C11" s="13">
        <f t="shared" ca="1" si="2"/>
        <v>0</v>
      </c>
      <c r="D11" s="13" cm="1">
        <f t="array" aca="1" ref="D11" ca="1">IFERROR(SUM(COUNTIF(INDIRECT("'"&amp;TEXT(A11,"DD-MM")&amp;"'!M3:M200"),{"*đơn trả*","*hàng tỉnh*"})),0)</f>
        <v>0</v>
      </c>
      <c r="E11" s="13">
        <f t="shared" ca="1" si="0"/>
        <v>0</v>
      </c>
    </row>
    <row r="12" spans="1:5" x14ac:dyDescent="0.25">
      <c r="A12" s="12">
        <v>46154</v>
      </c>
      <c r="B12" s="13">
        <f t="shared" ca="1" si="1"/>
        <v>0</v>
      </c>
      <c r="C12" s="13">
        <f t="shared" ca="1" si="2"/>
        <v>0</v>
      </c>
      <c r="D12" s="13" cm="1">
        <f t="array" aca="1" ref="D12" ca="1">IFERROR(SUM(COUNTIF(INDIRECT("'"&amp;TEXT(A12,"DD-MM")&amp;"'!M3:M200"),{"*đơn trả*","*hàng tỉnh*"})),0)</f>
        <v>0</v>
      </c>
      <c r="E12" s="13">
        <f t="shared" ca="1" si="0"/>
        <v>0</v>
      </c>
    </row>
    <row r="13" spans="1:5" x14ac:dyDescent="0.25">
      <c r="A13" s="12">
        <v>46155</v>
      </c>
      <c r="B13" s="13">
        <f t="shared" ca="1" si="1"/>
        <v>0</v>
      </c>
      <c r="C13" s="13">
        <f t="shared" ca="1" si="2"/>
        <v>0</v>
      </c>
      <c r="D13" s="13" cm="1">
        <f t="array" aca="1" ref="D13" ca="1">IFERROR(SUM(COUNTIF(INDIRECT("'"&amp;TEXT(A13,"DD-MM")&amp;"'!M3:M200"),{"*đơn trả*","*hàng tỉnh*"})),0)</f>
        <v>0</v>
      </c>
      <c r="E13" s="13">
        <f t="shared" ca="1" si="0"/>
        <v>0</v>
      </c>
    </row>
    <row r="14" spans="1:5" x14ac:dyDescent="0.25">
      <c r="A14" s="12">
        <v>46156</v>
      </c>
      <c r="B14" s="13">
        <f t="shared" ca="1" si="1"/>
        <v>0</v>
      </c>
      <c r="C14" s="13">
        <f t="shared" ca="1" si="2"/>
        <v>0</v>
      </c>
      <c r="D14" s="13" cm="1">
        <f t="array" aca="1" ref="D14" ca="1">IFERROR(SUM(COUNTIF(INDIRECT("'"&amp;TEXT(A14,"DD-MM")&amp;"'!M3:M200"),{"*đơn trả*","*hàng tỉnh*"})),0)</f>
        <v>0</v>
      </c>
      <c r="E14" s="13">
        <f t="shared" ca="1" si="0"/>
        <v>0</v>
      </c>
    </row>
    <row r="15" spans="1:5" x14ac:dyDescent="0.25">
      <c r="A15" s="12">
        <v>46157</v>
      </c>
      <c r="B15" s="13">
        <f t="shared" ca="1" si="1"/>
        <v>0</v>
      </c>
      <c r="C15" s="13">
        <f t="shared" ca="1" si="2"/>
        <v>0</v>
      </c>
      <c r="D15" s="13" cm="1">
        <f t="array" aca="1" ref="D15" ca="1">IFERROR(SUM(COUNTIF(INDIRECT("'"&amp;TEXT(A15,"DD-MM")&amp;"'!M3:M200"),{"*đơn trả*","*hàng tỉnh*"})),0)</f>
        <v>0</v>
      </c>
      <c r="E15" s="13">
        <f t="shared" ca="1" si="0"/>
        <v>0</v>
      </c>
    </row>
    <row r="16" spans="1:5" x14ac:dyDescent="0.25">
      <c r="A16" s="12">
        <v>46158</v>
      </c>
      <c r="B16" s="13">
        <f t="shared" ca="1" si="1"/>
        <v>0</v>
      </c>
      <c r="C16" s="13">
        <f t="shared" ca="1" si="2"/>
        <v>0</v>
      </c>
      <c r="D16" s="13" cm="1">
        <f t="array" aca="1" ref="D16" ca="1">IFERROR(SUM(COUNTIF(INDIRECT("'"&amp;TEXT(A16,"DD-MM")&amp;"'!M3:M200"),{"*đơn trả*","*hàng tỉnh*"})),0)</f>
        <v>0</v>
      </c>
      <c r="E16" s="13">
        <f t="shared" ca="1" si="0"/>
        <v>0</v>
      </c>
    </row>
    <row r="17" spans="1:5" x14ac:dyDescent="0.25">
      <c r="A17" s="12">
        <v>46160</v>
      </c>
      <c r="B17" s="13">
        <f t="shared" ca="1" si="1"/>
        <v>0</v>
      </c>
      <c r="C17" s="13">
        <f t="shared" ca="1" si="2"/>
        <v>0</v>
      </c>
      <c r="D17" s="13" cm="1">
        <f t="array" aca="1" ref="D17" ca="1">IFERROR(SUM(COUNTIF(INDIRECT("'"&amp;TEXT(A17,"DD-MM")&amp;"'!M3:M200"),{"*đơn trả*","*hàng tỉnh*"})),0)</f>
        <v>0</v>
      </c>
      <c r="E17" s="13">
        <f t="shared" ca="1" si="0"/>
        <v>0</v>
      </c>
    </row>
    <row r="18" spans="1:5" x14ac:dyDescent="0.25">
      <c r="A18" s="12">
        <v>46161</v>
      </c>
      <c r="B18" s="13">
        <f t="shared" ca="1" si="1"/>
        <v>0</v>
      </c>
      <c r="C18" s="13">
        <f t="shared" ca="1" si="2"/>
        <v>0</v>
      </c>
      <c r="D18" s="13" cm="1">
        <f t="array" aca="1" ref="D18" ca="1">IFERROR(SUM(COUNTIF(INDIRECT("'"&amp;TEXT(A18,"DD-MM")&amp;"'!M3:M200"),{"*đơn trả*","*hàng tỉnh*"})),0)</f>
        <v>0</v>
      </c>
      <c r="E18" s="13">
        <f t="shared" ca="1" si="0"/>
        <v>0</v>
      </c>
    </row>
    <row r="19" spans="1:5" x14ac:dyDescent="0.25">
      <c r="A19" s="12">
        <v>46162</v>
      </c>
      <c r="B19" s="13">
        <f t="shared" ca="1" si="1"/>
        <v>0</v>
      </c>
      <c r="C19" s="13">
        <f t="shared" ca="1" si="2"/>
        <v>0</v>
      </c>
      <c r="D19" s="13" cm="1">
        <f t="array" aca="1" ref="D19" ca="1">IFERROR(SUM(COUNTIF(INDIRECT("'"&amp;TEXT(A19,"DD-MM")&amp;"'!M3:M200"),{"*đơn trả*","*hàng tỉnh*"})),0)</f>
        <v>0</v>
      </c>
      <c r="E19" s="13">
        <f t="shared" ca="1" si="0"/>
        <v>0</v>
      </c>
    </row>
    <row r="20" spans="1:5" x14ac:dyDescent="0.25">
      <c r="A20" s="12">
        <v>46163</v>
      </c>
      <c r="B20" s="13">
        <f t="shared" ca="1" si="1"/>
        <v>0</v>
      </c>
      <c r="C20" s="13">
        <f t="shared" ca="1" si="2"/>
        <v>0</v>
      </c>
      <c r="D20" s="13" cm="1">
        <f t="array" aca="1" ref="D20" ca="1">IFERROR(SUM(COUNTIF(INDIRECT("'"&amp;TEXT(A20,"DD-MM")&amp;"'!M3:M200"),{"*đơn trả*","*hàng tỉnh*"})),0)</f>
        <v>0</v>
      </c>
      <c r="E20" s="13">
        <f t="shared" ca="1" si="0"/>
        <v>0</v>
      </c>
    </row>
    <row r="21" spans="1:5" x14ac:dyDescent="0.25">
      <c r="A21" s="12">
        <v>46164</v>
      </c>
      <c r="B21" s="13">
        <f t="shared" ca="1" si="1"/>
        <v>0</v>
      </c>
      <c r="C21" s="13">
        <f t="shared" ca="1" si="2"/>
        <v>0</v>
      </c>
      <c r="D21" s="13" cm="1">
        <f t="array" aca="1" ref="D21" ca="1">IFERROR(SUM(COUNTIF(INDIRECT("'"&amp;TEXT(A21,"DD-MM")&amp;"'!M3:M200"),{"*đơn trả*","*hàng tỉnh*"})),0)</f>
        <v>0</v>
      </c>
      <c r="E21" s="13">
        <f t="shared" ca="1" si="0"/>
        <v>0</v>
      </c>
    </row>
    <row r="22" spans="1:5" x14ac:dyDescent="0.25">
      <c r="A22" s="12">
        <v>46165</v>
      </c>
      <c r="B22" s="13">
        <f t="shared" ca="1" si="1"/>
        <v>0</v>
      </c>
      <c r="C22" s="13">
        <f t="shared" ca="1" si="2"/>
        <v>0</v>
      </c>
      <c r="D22" s="13" cm="1">
        <f t="array" aca="1" ref="D22" ca="1">IFERROR(SUM(COUNTIF(INDIRECT("'"&amp;TEXT(A22,"DD-MM")&amp;"'!M3:M200"),{"*đơn trả*","*hàng tỉnh*"})),0)</f>
        <v>0</v>
      </c>
      <c r="E22" s="13">
        <f t="shared" ca="1" si="0"/>
        <v>0</v>
      </c>
    </row>
    <row r="23" spans="1:5" x14ac:dyDescent="0.25">
      <c r="A23" s="12">
        <v>46167</v>
      </c>
      <c r="B23" s="13">
        <f t="shared" ca="1" si="1"/>
        <v>0</v>
      </c>
      <c r="C23" s="13">
        <f t="shared" ca="1" si="2"/>
        <v>0</v>
      </c>
      <c r="D23" s="13" cm="1">
        <f t="array" aca="1" ref="D23" ca="1">IFERROR(SUM(COUNTIF(INDIRECT("'"&amp;TEXT(A23,"DD-MM")&amp;"'!M3:M200"),{"*đơn trả*","*hàng tỉnh*"})),0)</f>
        <v>0</v>
      </c>
      <c r="E23" s="13">
        <f t="shared" ca="1" si="0"/>
        <v>0</v>
      </c>
    </row>
    <row r="24" spans="1:5" x14ac:dyDescent="0.25">
      <c r="A24" s="12">
        <v>46168</v>
      </c>
      <c r="B24" s="13">
        <f t="shared" ca="1" si="1"/>
        <v>0</v>
      </c>
      <c r="C24" s="13">
        <f t="shared" ca="1" si="2"/>
        <v>0</v>
      </c>
      <c r="D24" s="13" cm="1">
        <f t="array" aca="1" ref="D24" ca="1">IFERROR(SUM(COUNTIF(INDIRECT("'"&amp;TEXT(A24,"DD-MM")&amp;"'!M3:M200"),{"*đơn trả*","*hàng tỉnh*"})),0)</f>
        <v>0</v>
      </c>
      <c r="E24" s="13">
        <f t="shared" ca="1" si="0"/>
        <v>0</v>
      </c>
    </row>
    <row r="25" spans="1:5" x14ac:dyDescent="0.25">
      <c r="A25" s="12">
        <v>46169</v>
      </c>
      <c r="B25" s="13">
        <f t="shared" ca="1" si="1"/>
        <v>0</v>
      </c>
      <c r="C25" s="13">
        <f t="shared" ca="1" si="2"/>
        <v>0</v>
      </c>
      <c r="D25" s="13" cm="1">
        <f t="array" aca="1" ref="D25" ca="1">IFERROR(SUM(COUNTIF(INDIRECT("'"&amp;TEXT(A25,"DD-MM")&amp;"'!M3:M200"),{"*đơn trả*","*hàng tỉnh*"})),0)</f>
        <v>0</v>
      </c>
      <c r="E25" s="13">
        <f t="shared" ca="1" si="0"/>
        <v>0</v>
      </c>
    </row>
    <row r="26" spans="1:5" x14ac:dyDescent="0.25">
      <c r="A26" s="12">
        <v>46170</v>
      </c>
      <c r="B26" s="13">
        <f t="shared" ca="1" si="1"/>
        <v>0</v>
      </c>
      <c r="C26" s="13">
        <f t="shared" ca="1" si="2"/>
        <v>0</v>
      </c>
      <c r="D26" s="13" cm="1">
        <f t="array" aca="1" ref="D26" ca="1">IFERROR(SUM(COUNTIF(INDIRECT("'"&amp;TEXT(A26,"DD-MM")&amp;"'!M3:M200"),{"*đơn trả*","*hàng tỉnh*"})),0)</f>
        <v>0</v>
      </c>
      <c r="E26" s="13">
        <f t="shared" ca="1" si="0"/>
        <v>0</v>
      </c>
    </row>
    <row r="27" spans="1:5" x14ac:dyDescent="0.25">
      <c r="A27" s="12">
        <v>46171</v>
      </c>
      <c r="B27" s="13">
        <f t="shared" ca="1" si="1"/>
        <v>0</v>
      </c>
      <c r="C27" s="13">
        <f t="shared" ca="1" si="2"/>
        <v>0</v>
      </c>
      <c r="D27" s="13" cm="1">
        <f t="array" aca="1" ref="D27" ca="1">IFERROR(SUM(COUNTIF(INDIRECT("'"&amp;TEXT(A27,"DD-MM")&amp;"'!M3:M200"),{"*đơn trả*","*hàng tỉnh*"})),0)</f>
        <v>0</v>
      </c>
      <c r="E27" s="13">
        <f t="shared" ca="1" si="0"/>
        <v>0</v>
      </c>
    </row>
    <row r="28" spans="1:5" x14ac:dyDescent="0.25">
      <c r="A28" s="12">
        <v>46172</v>
      </c>
      <c r="B28" s="13">
        <f t="shared" ca="1" si="1"/>
        <v>0</v>
      </c>
      <c r="C28" s="13">
        <f t="shared" ca="1" si="2"/>
        <v>0</v>
      </c>
      <c r="D28" s="13" cm="1">
        <f t="array" aca="1" ref="D28" ca="1">IFERROR(SUM(COUNTIF(INDIRECT("'"&amp;TEXT(A28,"DD-MM")&amp;"'!M3:M200"),{"*đơn trả*","*hàng tỉnh*"})),0)</f>
        <v>0</v>
      </c>
      <c r="E28" s="13">
        <f t="shared" ca="1" si="0"/>
        <v>0</v>
      </c>
    </row>
    <row r="29" spans="1:5" x14ac:dyDescent="0.25">
      <c r="D29" s="14" t="s">
        <v>637</v>
      </c>
      <c r="E29" s="14">
        <f ca="1">SUBTOTAL(9,E4:E28)</f>
        <v>168</v>
      </c>
    </row>
    <row r="30" spans="1:5" x14ac:dyDescent="0.25">
      <c r="D30" s="14" t="s">
        <v>638</v>
      </c>
      <c r="E30" s="14" cm="1">
        <f t="array" ref="E30" ca="1">SUMPRODUCT(
    IFERROR(
        SUMIF(
            INDIRECT("'"&amp;TEXT(A4:A28,"dd-mm")&amp;"'!O:O"),
            "tổng",
            INDIRECT("'"&amp;TEXT(A4:A28,"dd-mm")&amp;"'!P:P")
        ),
    0)
)</f>
        <v>644</v>
      </c>
    </row>
    <row r="31" spans="1:5" x14ac:dyDescent="0.25">
      <c r="D31" s="14" t="s">
        <v>639</v>
      </c>
      <c r="E31" s="14">
        <f ca="1">-E29*2</f>
        <v>-336</v>
      </c>
    </row>
    <row r="32" spans="1:5" x14ac:dyDescent="0.25">
      <c r="D32" s="14" t="s">
        <v>640</v>
      </c>
      <c r="E32" s="14">
        <f ca="1">SUBTOTAL(9,E30:E31)</f>
        <v>308</v>
      </c>
    </row>
  </sheetData>
  <autoFilter ref="A2:E28" xr:uid="{00000000-0009-0000-0000-000005000000}"/>
  <phoneticPr fontId="3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01-05</vt:lpstr>
      <vt:lpstr>04-05</vt:lpstr>
      <vt:lpstr>05-05</vt:lpstr>
      <vt:lpstr>06-05</vt:lpstr>
      <vt:lpstr>07-05</vt:lpstr>
      <vt:lpstr>08-05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2026-05-08T09:22:18Z</dcterms:modified>
</cp:coreProperties>
</file>