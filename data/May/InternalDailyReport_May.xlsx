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7270A562-1CF5-4A7B-9C9F-308BF0E37A2F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Sheet1" sheetId="19" r:id="rId8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" i="13" l="1"/>
  <c r="R30" i="13"/>
  <c r="R28" i="13"/>
  <c r="R26" i="13"/>
  <c r="R15" i="13"/>
  <c r="R13" i="13"/>
  <c r="R9" i="13"/>
  <c r="R7" i="13"/>
  <c r="R21" i="13"/>
  <c r="R19" i="13"/>
  <c r="I3" i="7"/>
  <c r="I4" i="7"/>
  <c r="I5" i="7"/>
  <c r="I6" i="7"/>
  <c r="I7" i="7"/>
  <c r="I58" i="7" s="1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E64" i="7" s="1"/>
  <c r="M79" i="7" s="1"/>
  <c r="L79" i="7" s="1"/>
  <c r="L61" i="7"/>
  <c r="M61" i="7"/>
  <c r="M66" i="7" s="1"/>
  <c r="L62" i="7"/>
  <c r="L66" i="7" s="1"/>
  <c r="P61" i="7" s="1"/>
  <c r="M62" i="7"/>
  <c r="C63" i="7"/>
  <c r="E63" i="7"/>
  <c r="L69" i="7"/>
  <c r="M69" i="7"/>
  <c r="M70" i="7"/>
  <c r="L70" i="7" s="1"/>
  <c r="M74" i="7"/>
  <c r="L77" i="7"/>
  <c r="M77" i="7"/>
  <c r="M82" i="7" s="1"/>
  <c r="M78" i="7"/>
  <c r="L78" i="7" s="1"/>
  <c r="L85" i="7"/>
  <c r="M85" i="7"/>
  <c r="M86" i="7"/>
  <c r="L86" i="7" s="1"/>
  <c r="L90" i="7" s="1"/>
  <c r="P64" i="7" s="1"/>
  <c r="M90" i="7"/>
  <c r="I3" i="8"/>
  <c r="I28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H30" i="8"/>
  <c r="C31" i="8"/>
  <c r="C34" i="8" s="1"/>
  <c r="C38" i="8" s="1"/>
  <c r="P35" i="8" s="1"/>
  <c r="E31" i="8"/>
  <c r="H31" i="8"/>
  <c r="L31" i="8"/>
  <c r="M31" i="8"/>
  <c r="L32" i="8"/>
  <c r="L36" i="8" s="1"/>
  <c r="P31" i="8" s="1"/>
  <c r="M32" i="8"/>
  <c r="C33" i="8"/>
  <c r="E33" i="8"/>
  <c r="E34" i="8"/>
  <c r="M36" i="8"/>
  <c r="L39" i="8"/>
  <c r="M39" i="8"/>
  <c r="M44" i="8" s="1"/>
  <c r="M40" i="8"/>
  <c r="L40" i="8" s="1"/>
  <c r="L44" i="8" s="1"/>
  <c r="P32" i="8" s="1"/>
  <c r="L47" i="8"/>
  <c r="M47" i="8"/>
  <c r="M48" i="8"/>
  <c r="L48" i="8" s="1"/>
  <c r="L52" i="8" s="1"/>
  <c r="P33" i="8" s="1"/>
  <c r="M52" i="8"/>
  <c r="L55" i="8"/>
  <c r="L60" i="8" s="1"/>
  <c r="P34" i="8" s="1"/>
  <c r="M55" i="8"/>
  <c r="M60" i="8" s="1"/>
  <c r="M56" i="8"/>
  <c r="L56" i="8" s="1"/>
  <c r="L57" i="8"/>
  <c r="M57" i="8"/>
  <c r="I3" i="9"/>
  <c r="I4" i="9"/>
  <c r="I5" i="9"/>
  <c r="I6" i="9"/>
  <c r="I7" i="9"/>
  <c r="I8" i="9"/>
  <c r="I9" i="9"/>
  <c r="I10" i="9"/>
  <c r="I11" i="9"/>
  <c r="C60" i="9" s="1"/>
  <c r="C63" i="9" s="1"/>
  <c r="C67" i="9" s="1"/>
  <c r="P63" i="9" s="1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I57" i="9"/>
  <c r="J57" i="9"/>
  <c r="K57" i="9"/>
  <c r="L57" i="9"/>
  <c r="M57" i="9"/>
  <c r="N57" i="9"/>
  <c r="O57" i="9"/>
  <c r="P57" i="9"/>
  <c r="Q57" i="9"/>
  <c r="H58" i="9"/>
  <c r="L69" i="9" s="1"/>
  <c r="H59" i="9"/>
  <c r="E60" i="9"/>
  <c r="E63" i="9" s="1"/>
  <c r="M78" i="9" s="1"/>
  <c r="L78" i="9" s="1"/>
  <c r="H60" i="9"/>
  <c r="L60" i="9"/>
  <c r="M60" i="9"/>
  <c r="M65" i="9" s="1"/>
  <c r="M61" i="9"/>
  <c r="L61" i="9" s="1"/>
  <c r="L65" i="9" s="1"/>
  <c r="P60" i="9" s="1"/>
  <c r="C62" i="9"/>
  <c r="E62" i="9"/>
  <c r="L68" i="9"/>
  <c r="M68" i="9"/>
  <c r="M69" i="9"/>
  <c r="M73" i="9"/>
  <c r="L76" i="9"/>
  <c r="M76" i="9"/>
  <c r="M77" i="9"/>
  <c r="L77" i="9" s="1"/>
  <c r="M81" i="9"/>
  <c r="I3" i="10"/>
  <c r="I4" i="10"/>
  <c r="C39" i="10" s="1"/>
  <c r="C42" i="10" s="1"/>
  <c r="C46" i="10" s="1"/>
  <c r="P42" i="10" s="1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E39" i="10"/>
  <c r="H39" i="10"/>
  <c r="L39" i="10"/>
  <c r="L44" i="10" s="1"/>
  <c r="P39" i="10" s="1"/>
  <c r="M39" i="10"/>
  <c r="L40" i="10"/>
  <c r="M40" i="10"/>
  <c r="C41" i="10"/>
  <c r="E41" i="10"/>
  <c r="E42" i="10"/>
  <c r="M44" i="10"/>
  <c r="L47" i="10"/>
  <c r="M47" i="10"/>
  <c r="L48" i="10"/>
  <c r="M48" i="10"/>
  <c r="M49" i="10"/>
  <c r="L49" i="10" s="1"/>
  <c r="L52" i="10" s="1"/>
  <c r="P40" i="10" s="1"/>
  <c r="M52" i="10"/>
  <c r="L55" i="10"/>
  <c r="L60" i="10" s="1"/>
  <c r="P41" i="10" s="1"/>
  <c r="M55" i="10"/>
  <c r="M60" i="10" s="1"/>
  <c r="L56" i="10"/>
  <c r="M56" i="10"/>
  <c r="I3" i="11"/>
  <c r="C41" i="11" s="1"/>
  <c r="C44" i="11" s="1"/>
  <c r="C48" i="11" s="1"/>
  <c r="P45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L42" i="11" s="1"/>
  <c r="E41" i="11"/>
  <c r="H41" i="11"/>
  <c r="L41" i="11"/>
  <c r="L46" i="11" s="1"/>
  <c r="P41" i="11" s="1"/>
  <c r="M41" i="11"/>
  <c r="M42" i="11"/>
  <c r="C43" i="11"/>
  <c r="E43" i="11"/>
  <c r="E44" i="11"/>
  <c r="M46" i="11"/>
  <c r="L49" i="11"/>
  <c r="M49" i="11"/>
  <c r="M54" i="11" s="1"/>
  <c r="M50" i="11"/>
  <c r="L50" i="11" s="1"/>
  <c r="L57" i="11"/>
  <c r="M57" i="11"/>
  <c r="M62" i="11" s="1"/>
  <c r="M58" i="11"/>
  <c r="L58" i="11" s="1"/>
  <c r="L65" i="11"/>
  <c r="M65" i="11"/>
  <c r="M66" i="11"/>
  <c r="L66" i="11" s="1"/>
  <c r="M67" i="11"/>
  <c r="L67" i="11" s="1"/>
  <c r="M70" i="11"/>
  <c r="I3" i="12"/>
  <c r="R3" i="12"/>
  <c r="I4" i="12"/>
  <c r="R4" i="12"/>
  <c r="I5" i="12"/>
  <c r="I41" i="12" s="1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H43" i="12"/>
  <c r="C44" i="12"/>
  <c r="C47" i="12" s="1"/>
  <c r="C51" i="12" s="1"/>
  <c r="P47" i="12" s="1"/>
  <c r="E44" i="12"/>
  <c r="H44" i="12"/>
  <c r="L44" i="12"/>
  <c r="M44" i="12"/>
  <c r="M45" i="12"/>
  <c r="L45" i="12" s="1"/>
  <c r="C46" i="12"/>
  <c r="E46" i="12"/>
  <c r="E47" i="12"/>
  <c r="M49" i="12"/>
  <c r="L52" i="12"/>
  <c r="L57" i="12" s="1"/>
  <c r="P45" i="12" s="1"/>
  <c r="M52" i="12"/>
  <c r="L53" i="12"/>
  <c r="M53" i="12"/>
  <c r="M57" i="12"/>
  <c r="L60" i="12"/>
  <c r="M60" i="12"/>
  <c r="L61" i="12"/>
  <c r="M61" i="12"/>
  <c r="M62" i="12"/>
  <c r="L62" i="12" s="1"/>
  <c r="L65" i="12" s="1"/>
  <c r="P46" i="12" s="1"/>
  <c r="M65" i="12"/>
  <c r="D3" i="19" a="1"/>
  <c r="E30" i="19" a="1"/>
  <c r="I3" i="13"/>
  <c r="I15" i="13"/>
  <c r="I4" i="13"/>
  <c r="I5" i="13"/>
  <c r="I6" i="13"/>
  <c r="I25" i="13"/>
  <c r="I26" i="13"/>
  <c r="I16" i="13"/>
  <c r="I17" i="13"/>
  <c r="I18" i="13"/>
  <c r="I19" i="13"/>
  <c r="I7" i="13"/>
  <c r="I20" i="13"/>
  <c r="I27" i="13"/>
  <c r="I28" i="13"/>
  <c r="I8" i="13"/>
  <c r="I9" i="13"/>
  <c r="I21" i="13"/>
  <c r="I10" i="13"/>
  <c r="I29" i="13"/>
  <c r="I11" i="13"/>
  <c r="I22" i="13"/>
  <c r="I30" i="13"/>
  <c r="I23" i="13"/>
  <c r="I31" i="13"/>
  <c r="I12" i="13"/>
  <c r="I13" i="13"/>
  <c r="I32" i="13"/>
  <c r="I14" i="13"/>
  <c r="I24" i="13"/>
  <c r="I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L39" i="13" s="1"/>
  <c r="H37" i="13"/>
  <c r="E38" i="13"/>
  <c r="E41" i="13" s="1"/>
  <c r="M48" i="13" s="1"/>
  <c r="L48" i="13" s="1"/>
  <c r="H38" i="13"/>
  <c r="L38" i="13"/>
  <c r="M38" i="13"/>
  <c r="M43" i="13" s="1"/>
  <c r="M39" i="13"/>
  <c r="C40" i="13"/>
  <c r="E40" i="13"/>
  <c r="L46" i="13"/>
  <c r="M46" i="13"/>
  <c r="M51" i="13" s="1"/>
  <c r="M47" i="13"/>
  <c r="L47" i="13" s="1"/>
  <c r="L54" i="13"/>
  <c r="M54" i="13"/>
  <c r="M59" i="13" s="1"/>
  <c r="M55" i="13"/>
  <c r="L55" i="13" s="1"/>
  <c r="B4" i="19"/>
  <c r="C7" i="19"/>
  <c r="C23" i="19"/>
  <c r="C5" i="19"/>
  <c r="B6" i="19"/>
  <c r="C21" i="19"/>
  <c r="D27" i="19" a="1"/>
  <c r="B5" i="19"/>
  <c r="B15" i="19"/>
  <c r="C6" i="19"/>
  <c r="D15" i="19" a="1"/>
  <c r="B7" i="19"/>
  <c r="C13" i="19"/>
  <c r="D23" i="19" a="1"/>
  <c r="C8" i="19"/>
  <c r="B12" i="19"/>
  <c r="D21" i="19" a="1"/>
  <c r="D28" i="19" a="1"/>
  <c r="C17" i="19"/>
  <c r="D3" i="19"/>
  <c r="B13" i="19"/>
  <c r="C19" i="19"/>
  <c r="C3" i="19"/>
  <c r="D18" i="19" a="1"/>
  <c r="B16" i="19"/>
  <c r="C25" i="19"/>
  <c r="B8" i="19"/>
  <c r="C26" i="19"/>
  <c r="B18" i="19"/>
  <c r="C15" i="19"/>
  <c r="D24" i="19" a="1"/>
  <c r="B19" i="19"/>
  <c r="D4" i="19" a="1"/>
  <c r="B11" i="19"/>
  <c r="D25" i="19" a="1"/>
  <c r="B21" i="19"/>
  <c r="C24" i="19"/>
  <c r="B17" i="19"/>
  <c r="D5" i="19" a="1"/>
  <c r="D22" i="19" a="1"/>
  <c r="B22" i="19"/>
  <c r="D7" i="19" a="1"/>
  <c r="B27" i="19"/>
  <c r="B24" i="19"/>
  <c r="D20" i="19" a="1"/>
  <c r="B25" i="19"/>
  <c r="D10" i="19" a="1"/>
  <c r="B20" i="19"/>
  <c r="D8" i="19" a="1"/>
  <c r="C9" i="19"/>
  <c r="C28" i="19"/>
  <c r="D13" i="19" a="1"/>
  <c r="B23" i="19"/>
  <c r="D11" i="19" a="1"/>
  <c r="C18" i="19"/>
  <c r="D6" i="19" a="1"/>
  <c r="D16" i="19" a="1"/>
  <c r="B26" i="19"/>
  <c r="D14" i="19" a="1"/>
  <c r="D9" i="19" a="1"/>
  <c r="C11" i="19"/>
  <c r="B9" i="19"/>
  <c r="D12" i="19" a="1"/>
  <c r="D26" i="19" a="1"/>
  <c r="C12" i="19"/>
  <c r="B28" i="19"/>
  <c r="C27" i="19"/>
  <c r="D19" i="19" a="1"/>
  <c r="D17" i="19" a="1"/>
  <c r="B14" i="19"/>
  <c r="C20" i="19"/>
  <c r="C14" i="19"/>
  <c r="C10" i="19"/>
  <c r="C16" i="19"/>
  <c r="C22" i="19"/>
  <c r="C4" i="19"/>
  <c r="L51" i="13" l="1"/>
  <c r="P39" i="13" s="1"/>
  <c r="I35" i="13"/>
  <c r="D28" i="19"/>
  <c r="E28" i="19" s="1"/>
  <c r="D27" i="19"/>
  <c r="E27" i="19" s="1"/>
  <c r="D18" i="19"/>
  <c r="E18" i="19" s="1"/>
  <c r="D15" i="19"/>
  <c r="E15" i="19" s="1"/>
  <c r="D12" i="19"/>
  <c r="E12" i="19" s="1"/>
  <c r="D9" i="19"/>
  <c r="E9" i="19" s="1"/>
  <c r="D6" i="19"/>
  <c r="E6" i="19" s="1"/>
  <c r="D24" i="19"/>
  <c r="E24" i="19" s="1"/>
  <c r="D21" i="19"/>
  <c r="E21" i="19" s="1"/>
  <c r="D22" i="19"/>
  <c r="E22" i="19" s="1"/>
  <c r="D26" i="19"/>
  <c r="E26" i="19" s="1"/>
  <c r="D17" i="19"/>
  <c r="E17" i="19" s="1"/>
  <c r="D14" i="19"/>
  <c r="E14" i="19" s="1"/>
  <c r="D11" i="19"/>
  <c r="E11" i="19" s="1"/>
  <c r="D8" i="19"/>
  <c r="E8" i="19" s="1"/>
  <c r="D5" i="19"/>
  <c r="E5" i="19" s="1"/>
  <c r="D25" i="19"/>
  <c r="E25" i="19" s="1"/>
  <c r="D20" i="19"/>
  <c r="E20" i="19" s="1"/>
  <c r="D23" i="19"/>
  <c r="E23" i="19" s="1"/>
  <c r="D19" i="19"/>
  <c r="E19" i="19" s="1"/>
  <c r="D16" i="19"/>
  <c r="E16" i="19" s="1"/>
  <c r="D13" i="19"/>
  <c r="E13" i="19" s="1"/>
  <c r="D10" i="19"/>
  <c r="D7" i="19"/>
  <c r="E7" i="19" s="1"/>
  <c r="D4" i="19"/>
  <c r="E4" i="19" s="1"/>
  <c r="L82" i="7"/>
  <c r="P63" i="7" s="1"/>
  <c r="L70" i="11"/>
  <c r="P44" i="11" s="1"/>
  <c r="L73" i="9"/>
  <c r="P61" i="9" s="1"/>
  <c r="L74" i="7"/>
  <c r="L81" i="9"/>
  <c r="P62" i="9" s="1"/>
  <c r="L49" i="12"/>
  <c r="P44" i="12" s="1"/>
  <c r="P48" i="12" s="1"/>
  <c r="L43" i="13"/>
  <c r="L54" i="11"/>
  <c r="P42" i="11" s="1"/>
  <c r="P46" i="11" s="1"/>
  <c r="P64" i="9"/>
  <c r="P36" i="8"/>
  <c r="L62" i="11"/>
  <c r="P43" i="11" s="1"/>
  <c r="L59" i="13"/>
  <c r="P40" i="13" s="1"/>
  <c r="P43" i="10"/>
  <c r="I36" i="10"/>
  <c r="I38" i="11"/>
  <c r="C38" i="13"/>
  <c r="C41" i="13" s="1"/>
  <c r="C45" i="13" s="1"/>
  <c r="P41" i="13" s="1"/>
  <c r="B10" i="19"/>
  <c r="B3" i="19"/>
  <c r="E10" i="19" l="1"/>
  <c r="E29" i="19" s="1"/>
  <c r="E31" i="19" s="1"/>
  <c r="P38" i="13"/>
  <c r="P42" i="13" s="1"/>
  <c r="E3" i="19"/>
  <c r="P62" i="7"/>
  <c r="P66" i="7" s="1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<sst xmlns="http://schemas.openxmlformats.org/spreadsheetml/2006/main" count="2495" uniqueCount="819">
  <si>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</si>
  <si>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</si>
  <si>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</si>
  <si>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</si>
  <si>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</si>
  <si>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</si>
  <si>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</si>
  <si>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</si>
  <si>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</si>
  <si>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</si>
  <si>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</si>
  <si>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</si>
  <si>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</si>
  <si>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</si>
  <si>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</si>
  <si>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</si>
  <si>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</si>
  <si>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</si>
  <si>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</si>
  <si>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</si>
  <si>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</si>
  <si>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</si>
  <si>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</si>
  <si>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</si>
  <si>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</si>
  <si>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</si>
  <si>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</si>
  <si>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</si>
  <si>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</si>
  <si>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</si>
  <si>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</si>
  <si>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</si>
  <si>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</si>
  <si>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</si>
  <si>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</si>
  <si>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</si>
  <si>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</si>
  <si>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</si>
  <si>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</si>
  <si>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</si>
  <si>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</si>
  <si>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</si>
  <si>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</si>
  <si>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</si>
  <si>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</si>
  <si>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</si>
  <si>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</si>
  <si>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</si>
  <si>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</si>
  <si>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</si>
  <si>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</si>
  <si>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</si>
  <si>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</si>
  <si>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</si>
  <si>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</si>
  <si>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</si>
  <si>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</si>
  <si>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</si>
  <si>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</si>
  <si>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</si>
  <si>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</si>
  <si>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</si>
  <si>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</si>
  <si>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</si>
  <si>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</si>
  <si>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</si>
  <si>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</si>
  <si>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</si>
  <si>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</si>
  <si>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</si>
  <si>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</si>
  <si>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</si>
  <si>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</si>
  <si>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</si>
  <si>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</si>
  <si>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</si>
  <si>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</si>
  <si>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</si>
  <si>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</si>
  <si>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</si>
  <si>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</si>
  <si>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</si>
  <si>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</si>
  <si>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</si>
  <si>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</si>
  <si>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</si>
  <si>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</si>
  <si>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</si>
  <si>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</si>
  <si>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</si>
  <si>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</si>
  <si>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</si>
  <si>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</si>
  <si>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</si>
  <si>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</si>
  <si>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</si>
  <si>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</si>
  <si>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</si>
  <si>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</si>
  <si>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</si>
  <si>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</si>
  <si>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</si>
  <si>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</si>
  <si>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</si>
  <si>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</si>
  <si>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</si>
  <si>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</si>
  <si>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</si>
  <si>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</si>
  <si>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</si>
  <si>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</si>
  <si>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</si>
  <si>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</si>
  <si>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</si>
  <si>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</si>
  <si>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</si>
  <si>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</si>
  <si>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</si>
  <si>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</si>
  <si>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</si>
  <si>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</si>
  <si>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</si>
  <si>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</si>
  <si>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</si>
  <si>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</si>
  <si>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</si>
  <si>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</si>
  <si>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</si>
  <si>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</si>
  <si>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</si>
  <si>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</si>
  <si>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</si>
  <si>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</si>
  <si>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</si>
  <si>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</si>
  <si>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</si>
  <si>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</si>
  <si>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</si>
  <si>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</si>
  <si>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</si>
  <si>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</si>
  <si>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</si>
  <si>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</si>
  <si>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</si>
  <si>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</si>
  <si>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</si>
  <si>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</si>
  <si>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</si>
  <si>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</si>
  <si>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</si>
  <si>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</si>
  <si>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</si>
  <si>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</si>
  <si>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</si>
  <si>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</si>
  <si>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</si>
  <si>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</si>
  <si>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</si>
  <si>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</si>
  <si>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</si>
  <si>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</si>
  <si>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</si>
  <si>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</si>
  <si>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</si>
  <si>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</si>
  <si>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</si>
  <si>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</si>
  <si>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</si>
  <si>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</si>
  <si>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</si>
  <si>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</si>
  <si>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</si>
  <si>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</si>
  <si>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</si>
  <si>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</si>
  <si>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</si>
  <si>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</si>
  <si>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</si>
  <si>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</si>
  <si>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</si>
  <si>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</si>
  <si>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</si>
  <si>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</si>
  <si>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</si>
  <si>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</si>
  <si>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</si>
  <si>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</si>
  <si>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</si>
  <si>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</si>
  <si>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</si>
  <si>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</si>
  <si>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</si>
  <si>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</si>
  <si>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</si>
  <si>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</si>
  <si>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</si>
  <si>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</si>
  <si>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</si>
  <si>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</si>
  <si>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</si>
  <si>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</si>
  <si>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</si>
  <si>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</si>
  <si>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</si>
  <si>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</si>
  <si>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</si>
  <si>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</si>
  <si>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</si>
  <si>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</si>
  <si>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</si>
  <si>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</si>
  <si>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</si>
  <si>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</si>
  <si>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</si>
  <si>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</si>
  <si>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</si>
  <si>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</si>
  <si>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</si>
  <si>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</si>
  <si>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</si>
  <si>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</si>
  <si>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</si>
  <si>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</si>
  <si>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</si>
  <si>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</si>
  <si>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</si>
  <si>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</si>
  <si>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</si>
  <si>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</si>
  <si>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</si>
  <si>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</si>
  <si>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</si>
  <si>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</si>
  <si>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</si>
  <si>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</si>
  <si>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</si>
  <si>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</si>
  <si>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</si>
  <si>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</si>
  <si>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</si>
  <si>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</si>
  <si>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</si>
  <si>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</si>
  <si>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</si>
  <si>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</si>
  <si>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</si>
  <si>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</si>
  <si>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</si>
  <si>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</si>
  <si>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</si>
  <si>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</si>
  <si>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</si>
  <si>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</si>
  <si>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</si>
  <si>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</si>
  <si>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</si>
  <si>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</si>
  <si>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</si>
  <si>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</si>
  <si>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</si>
  <si>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</si>
  <si>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</si>
  <si>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</si>
  <si>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</si>
  <si>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</si>
  <si>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</si>
  <si>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</si>
  <si>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</si>
  <si>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</si>
  <si>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</si>
  <si>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</si>
  <si>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</si>
  <si>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</si>
  <si>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</si>
  <si>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</si>
  <si>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</si>
  <si>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</si>
  <si>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</si>
  <si>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</si>
  <si>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</si>
  <si>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</si>
  <si>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</si>
  <si>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</si>
  <si>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</si>
  <si>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</si>
  <si>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</si>
  <si>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</si>
  <si>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</si>
  <si>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</si>
  <si>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</si>
  <si>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</si>
  <si>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</si>
  <si>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</si>
  <si>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</si>
  <si>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</si>
  <si>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</si>
  <si>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</si>
  <si>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</si>
  <si>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</si>
  <si>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</si>
  <si>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</si>
  <si>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</si>
  <si>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</si>
  <si>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</si>
  <si>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</si>
  <si>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</si>
  <si>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</si>
  <si>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</si>
  <si>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</si>
  <si>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</si>
  <si>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</si>
  <si>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</si>
  <si>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</si>
  <si>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</si>
  <si>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</si>
  <si>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</si>
  <si>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</si>
  <si>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</si>
  <si>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</si>
  <si>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</si>
  <si>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</si>
  <si>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</si>
  <si>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</si>
  <si>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</si>
  <si>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</si>
  <si>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</si>
  <si>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</si>
  <si>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</si>
  <si>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</si>
  <si>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</si>
  <si>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</si>
  <si>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</si>
  <si>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</si>
  <si>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</si>
  <si>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</si>
  <si>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</si>
  <si>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</si>
  <si>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</si>
  <si>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</si>
  <si>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</si>
  <si>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</si>
  <si>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</si>
  <si>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</si>
  <si>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</si>
  <si>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</si>
  <si>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</si>
  <si>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</si>
  <si>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</si>
  <si>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</si>
  <si>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</si>
  <si>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</si>
  <si>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</si>
  <si>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</si>
  <si>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</si>
  <si>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</si>
  <si>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</si>
  <si>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</si>
  <si>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</si>
  <si>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</si>
  <si>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</si>
  <si>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</si>
  <si>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</si>
  <si>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</si>
  <si>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</si>
  <si>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</si>
  <si>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</si>
  <si>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</si>
  <si>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</si>
  <si>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</si>
  <si>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</si>
  <si>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</si>
  <si>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</si>
  <si>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</si>
  <si>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</si>
  <si>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</si>
  <si>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</si>
  <si>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</si>
  <si>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</si>
  <si>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</si>
  <si>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</si>
  <si>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</si>
  <si>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</si>
  <si>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</si>
  <si>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</si>
  <si>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</si>
  <si>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</si>
  <si>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</si>
  <si>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</si>
  <si>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</si>
  <si>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</si>
  <si>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</si>
  <si>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</si>
  <si>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</si>
  <si>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</si>
  <si>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</si>
  <si>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</si>
  <si>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</si>
  <si>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</si>
  <si>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</si>
  <si>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</si>
  <si>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</si>
  <si>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</si>
  <si>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</si>
  <si>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</si>
  <si>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</si>
  <si>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</si>
  <si>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</si>
  <si>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</si>
  <si>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</si>
  <si>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</si>
  <si>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</si>
  <si>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</si>
  <si>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</si>
  <si>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</si>
  <si>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</si>
  <si>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</si>
  <si>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</si>
  <si>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</si>
  <si>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</si>
  <si>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</si>
  <si>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</si>
  <si>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</si>
  <si>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</si>
  <si>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</si>
  <si>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</si>
  <si>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</si>
  <si>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</si>
  <si>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</si>
  <si>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</si>
  <si>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</si>
  <si>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</si>
  <si>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</si>
  <si>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</si>
  <si>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</si>
  <si>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</si>
  <si>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</si>
  <si>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</si>
  <si>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</si>
  <si>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</si>
  <si>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</si>
  <si>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</si>
  <si>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</si>
  <si>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</si>
  <si>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</si>
  <si>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</si>
  <si>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</si>
  <si>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</si>
  <si>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</si>
  <si>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</si>
  <si>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</si>
  <si>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</si>
  <si>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</si>
  <si>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</si>
  <si>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</si>
  <si>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</si>
  <si>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</si>
  <si>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</si>
  <si>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</si>
  <si>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</si>
  <si>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</si>
  <si>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</si>
  <si>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</si>
  <si>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</si>
  <si>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</si>
  <si>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</si>
  <si>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</si>
  <si>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</si>
  <si>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</si>
  <si>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</si>
  <si>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</si>
  <si>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</si>
  <si>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</si>
  <si>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</si>
  <si>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</si>
  <si>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</si>
  <si>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</si>
  <si>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</si>
  <si>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</si>
  <si>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</si>
  <si>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</si>
  <si>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</si>
  <si>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</si>
  <si>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</si>
  <si>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</si>
  <si>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</si>
  <si>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</si>
  <si>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</si>
  <si>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</si>
  <si>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</si>
  <si>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</si>
  <si>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</si>
  <si>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</si>
  <si>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</si>
  <si>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</si>
  <si>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</si>
  <si>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</si>
  <si>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</si>
  <si>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</si>
  <si>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</si>
  <si>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</si>
  <si>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</si>
  <si>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</si>
  <si>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</si>
  <si>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</si>
  <si>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</si>
  <si>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</si>
  <si>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</si>
  <si>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</si>
  <si>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</si>
  <si>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</si>
  <si>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</si>
  <si>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</si>
  <si>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</si>
  <si>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</si>
  <si>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</si>
  <si>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</si>
  <si>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</si>
  <si>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</si>
  <si>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</si>
  <si>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</si>
  <si>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</si>
  <si>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</si>
  <si>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</si>
  <si>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</si>
  <si>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</si>
  <si>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</si>
  <si>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</si>
  <si>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</si>
  <si>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</si>
  <si>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</si>
  <si>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</si>
  <si>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</si>
  <si>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</si>
  <si>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</si>
  <si>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</si>
  <si>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</si>
  <si>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</si>
  <si>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</si>
  <si>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</si>
  <si>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</si>
  <si>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</si>
  <si>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</si>
  <si>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</si>
  <si>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</si>
  <si>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</si>
  <si>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</si>
  <si>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</si>
  <si>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</si>
  <si>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</si>
  <si>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</si>
  <si>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</si>
  <si>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</si>
  <si>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</si>
  <si>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</si>
  <si>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</si>
  <si>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</si>
  <si>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</si>
  <si>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</si>
  <si>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</si>
  <si>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</si>
  <si>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</si>
  <si>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</si>
  <si>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</si>
  <si>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</si>
  <si>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</si>
  <si>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</si>
  <si>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</si>
  <si>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</si>
  <si>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</si>
  <si>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</si>
  <si>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</si>
  <si>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</si>
  <si>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</si>
  <si>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</si>
  <si>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</si>
  <si>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</si>
  <si>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</si>
  <si>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</si>
  <si>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</si>
  <si>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</si>
  <si>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</si>
  <si>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</si>
  <si>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</si>
  <si>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</si>
  <si>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</si>
  <si>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</si>
  <si>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</si>
  <si>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</si>
  <si>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</si>
  <si>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</si>
  <si>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</si>
  <si>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</si>
  <si>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</si>
  <si>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</si>
  <si>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</si>
  <si>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</si>
  <si>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</si>
  <si>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</si>
  <si>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</si>
  <si>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</si>
  <si>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</si>
  <si>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</si>
  <si>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</si>
  <si>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</si>
  <si>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</si>
  <si>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</si>
  <si>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</si>
  <si>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</si>
  <si>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</si>
  <si>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</si>
  <si>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</si>
  <si>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</si>
  <si>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</si>
  <si>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</si>
  <si>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</si>
  <si>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</si>
  <si>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</si>
  <si>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</si>
  <si>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</si>
  <si>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</si>
  <si>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</si>
  <si>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</si>
  <si>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</si>
  <si>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</si>
  <si>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</si>
  <si>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</si>
  <si>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</si>
  <si>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</si>
  <si>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</si>
  <si>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</si>
  <si>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</si>
  <si>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</si>
  <si>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</si>
  <si>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</si>
  <si>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</si>
  <si>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</si>
  <si>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</si>
  <si>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</si>
  <si>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</si>
  <si>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</si>
  <si>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</si>
  <si>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</si>
  <si>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</si>
  <si>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</si>
  <si>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</si>
  <si>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</si>
  <si>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</si>
  <si>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</si>
  <si>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</si>
  <si>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</si>
  <si>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</si>
  <si>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</si>
  <si>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</si>
  <si>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</si>
  <si>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</si>
  <si>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</si>
  <si>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</si>
  <si>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</si>
  <si>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</si>
  <si>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</si>
  <si>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</si>
  <si>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</si>
  <si>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</si>
  <si>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</si>
  <si>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</si>
  <si>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</si>
  <si>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</si>
  <si>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</si>
  <si>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</si>
  <si>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</si>
  <si>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</si>
  <si>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</si>
  <si>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</si>
  <si>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</si>
  <si>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</si>
  <si>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</si>
  <si>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</si>
  <si>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</si>
  <si>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</si>
  <si>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</si>
  <si>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</si>
  <si>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</si>
  <si>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</si>
  <si>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</si>
  <si>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</si>
  <si>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</si>
  <si>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</si>
  <si>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</si>
  <si>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</si>
  <si>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</si>
  <si>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</si>
  <si>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</si>
  <si>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</si>
  <si>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</si>
  <si>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</si>
  <si>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</si>
  <si>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</si>
  <si>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</si>
  <si>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</si>
  <si>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</si>
  <si>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</si>
  <si>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</si>
  <si>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</si>
  <si>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</si>
  <si>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</si>
  <si>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</si>
  <si>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</si>
  <si>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</si>
  <si>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</si>
  <si>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</si>
  <si>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</si>
  <si>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</si>
  <si>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</si>
  <si>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</si>
  <si>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</si>
  <si>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</si>
  <si>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</si>
  <si>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</si>
  <si>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</si>
  <si>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</si>
  <si>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</si>
  <si>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</si>
  <si>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</si>
  <si>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</si>
  <si>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</si>
  <si>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</si>
  <si>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</si>
  <si>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</si>
  <si>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</si>
  <si>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</si>
  <si>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</si>
  <si>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</si>
  <si>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</si>
  <si>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</si>
  <si>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</si>
  <si>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</si>
  <si>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</si>
  <si>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</si>
  <si>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</si>
  <si>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</si>
  <si>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</si>
  <si>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</si>
  <si>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</si>
  <si>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</si>
  <si>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</si>
  <si>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</si>
  <si>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</si>
  <si>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</si>
  <si>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</si>
  <si>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</si>
  <si>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</si>
  <si>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</si>
  <si>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</si>
  <si>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</si>
  <si>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</si>
  <si>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</si>
  <si>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</si>
  <si>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</si>
  <si>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</si>
  <si>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</si>
  <si>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</si>
  <si>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</si>
  <si>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</si>
  <si>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</si>
  <si>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</si>
  <si>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</si>
  <si>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</si>
  <si>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</si>
  <si>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</si>
  <si>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</si>
  <si>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</si>
  <si>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</si>
  <si>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</si>
  <si>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</si>
  <si>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</si>
  <si>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</si>
  <si>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</si>
  <si>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</si>
  <si>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</si>
  <si>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</si>
  <si>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</si>
  <si>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</si>
  <si>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</si>
  <si>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</si>
  <si>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</si>
  <si>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</si>
  <si>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</si>
  <si>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</si>
  <si>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</si>
  <si>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</si>
  <si>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</si>
  <si>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</si>
  <si>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</si>
  <si>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</si>
  <si>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</si>
  <si>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</si>
  <si>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</si>
  <si>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</si>
  <si>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</si>
  <si>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</si>
  <si>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</si>
  <si>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</si>
  <si>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</si>
  <si>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</si>
  <si>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</si>
  <si>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</si>
  <si>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</si>
  <si>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</si>
  <si>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</si>
  <si>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</si>
  <si>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</si>
  <si>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</si>
  <si>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</si>
  <si>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</si>
  <si>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</si>
  <si>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</si>
  <si>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</si>
  <si>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at 09-05</t>
  </si>
  <si>
    <t>kh ck shop 975k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</si>
</sst>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3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61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30" t="s">
        <v>191</v>
      </c>
      <c r="D60" s="30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31">
        <f>SUMIFS(I$3:I$56,B$3:B$56,A$60,L$3:L$56,A$61)</f>
        <v>35295</v>
      </c>
      <c r="D61" s="31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32">
        <v>0</v>
      </c>
      <c r="D62" s="32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32">
        <f>-SUMIFS(I$3:I$56,B$3:B$56,A$60,P$3:P$56,"xx",N$3:N$56,"x")</f>
        <v>0</v>
      </c>
      <c r="D63" s="32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30">
        <f>SUBTOTAL(9,C61:C63)</f>
        <v>35295</v>
      </c>
      <c r="D64" s="30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28"/>
      <c r="D65" s="28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28"/>
      <c r="D66" s="28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29">
        <f>C64+C65+C66</f>
        <v>35295</v>
      </c>
      <c r="D68" s="29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31" workbookViewId="0">
      <selection activeCell="G48" sqref="G48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30" t="s">
        <v>191</v>
      </c>
      <c r="D30" s="30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31">
        <f>SUMIFS(I$3:I$26,B$3:B$26,A$30,L$3:L$26,A$31)</f>
        <v>9280</v>
      </c>
      <c r="D31" s="31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32">
        <v>0</v>
      </c>
      <c r="D32" s="32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32">
        <f>-SUMIFS(I$3:I$26,B$3:B$26,A$30,P$3:P$26,"xx",N$3:N$26,"x")</f>
        <v>-3055</v>
      </c>
      <c r="D33" s="32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30">
        <f>SUBTOTAL(9,C31:C33)</f>
        <v>6225</v>
      </c>
      <c r="D34" s="30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28"/>
      <c r="D35" s="28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28"/>
      <c r="D36" s="28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29">
        <f>C34+C35+C36</f>
        <v>6225</v>
      </c>
      <c r="D38" s="29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30" t="s">
        <v>191</v>
      </c>
      <c r="D59" s="30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31">
        <f>SUMIFS(I$3:I$55,B$3:B$55,A$59,L$3:L$55,A$60)</f>
        <v>37890</v>
      </c>
      <c r="D60" s="31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32">
        <v>0</v>
      </c>
      <c r="D61" s="32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32">
        <f>-SUMIFS(I$3:I$55,B$3:B$55,A$59,P$3:P$55,"xx",N$3:N$55,"x")</f>
        <v>0</v>
      </c>
      <c r="D62" s="32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30">
        <f>SUBTOTAL(9,C60:C62)</f>
        <v>37890</v>
      </c>
      <c r="D63" s="30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28"/>
      <c r="D64" s="28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28">
        <v>-30</v>
      </c>
      <c r="D65" s="28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29">
        <f>C63+C64+C65</f>
        <v>37860</v>
      </c>
      <c r="D67" s="29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30" t="s">
        <v>191</v>
      </c>
      <c r="D38" s="30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31">
        <f>SUMIFS(I$3:I$34,B$3:B$34,A$38,L$3:L$34,A$39)</f>
        <v>22325</v>
      </c>
      <c r="D39" s="31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32">
        <v>0</v>
      </c>
      <c r="D40" s="32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32">
        <f>-SUMIFS(I$3:I$34,B$3:B$34,A$38,P$3:P$34,"xx",N$3:N$34,"x")</f>
        <v>0</v>
      </c>
      <c r="D41" s="32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30">
        <f>SUBTOTAL(9,C39:C41)</f>
        <v>22325</v>
      </c>
      <c r="D42" s="30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28"/>
      <c r="D43" s="28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28"/>
      <c r="D44" s="28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29">
        <f>C42+C43+C44</f>
        <v>22325</v>
      </c>
      <c r="D46" s="29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workbookViewId="0">
      <selection activeCell="R5" sqref="R5 R5:R3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30" t="s">
        <v>191</v>
      </c>
      <c r="D40" s="30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31">
        <f>SUMIFS(I$3:I$36,B$3:B$36,A$40,L$3:L$36,A$41)</f>
        <v>17615</v>
      </c>
      <c r="D41" s="31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32">
        <v>0</v>
      </c>
      <c r="D42" s="32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32">
        <f>-SUMIFS(I$3:I$36,B$3:B$36,A$40,P$3:P$36,"xx",N$3:N$36,"x")</f>
        <v>0</v>
      </c>
      <c r="D43" s="32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30">
        <f>SUBTOTAL(9,C41:C43)</f>
        <v>17615</v>
      </c>
      <c r="D44" s="30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28"/>
      <c r="D45" s="28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28"/>
      <c r="D46" s="28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29">
        <f>C44+C45+C46</f>
        <v>17615</v>
      </c>
      <c r="D48" s="29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A10" workbookViewId="0">
      <selection activeCell="I42" sqref="I42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30" t="s">
        <v>191</v>
      </c>
      <c r="D43" s="30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31">
        <f>SUMIFS(I$3:I$39,B$3:B$39,A$43,L$3:L$39,A$44)</f>
        <v>17471</v>
      </c>
      <c r="D44" s="31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32">
        <v>0</v>
      </c>
      <c r="D45" s="32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32">
        <f>-SUMIFS(I$3:I$39,B$3:B$39,A$43,P$3:P$39,"xx",N$3:N$39,"x")</f>
        <v>-1980</v>
      </c>
      <c r="D46" s="32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30">
        <f>SUBTOTAL(9,C44:C46)</f>
        <v>15491</v>
      </c>
      <c r="D47" s="30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28"/>
      <c r="D48" s="28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28"/>
      <c r="D49" s="28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29">
        <f>C47+C48+C49</f>
        <v>15491</v>
      </c>
      <c r="D51" s="29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abSelected="1" topLeftCell="A4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740</v>
      </c>
      <c r="D3" s="15"/>
      <c r="E3" s="15" t="s">
        <v>741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742</v>
      </c>
      <c r="K3" s="15" t="s">
        <v>21</v>
      </c>
      <c r="L3" s="15" t="s">
        <v>743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742</v>
      </c>
      <c r="K4" s="15" t="s">
        <v>21</v>
      </c>
      <c r="L4" s="15" t="s">
        <v>743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746</v>
      </c>
      <c r="D5" s="15"/>
      <c r="E5" s="15" t="s">
        <v>747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742</v>
      </c>
      <c r="K5" s="15" t="s">
        <v>21</v>
      </c>
      <c r="L5" s="15" t="s">
        <v>743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748</v>
      </c>
      <c r="D6" s="15"/>
      <c r="E6" s="15" t="s">
        <v>749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742</v>
      </c>
      <c r="K6" s="15" t="s">
        <v>21</v>
      </c>
      <c r="L6" s="15" t="s">
        <v>743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765</v>
      </c>
      <c r="D7" s="15" t="s">
        <v>766</v>
      </c>
      <c r="E7" s="15" t="s">
        <v>767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742</v>
      </c>
      <c r="K7" s="15" t="s">
        <v>21</v>
      </c>
      <c r="L7" s="15" t="s">
        <v>743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777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742</v>
      </c>
      <c r="K8" s="17" t="s">
        <v>21</v>
      </c>
      <c r="L8" s="17" t="s">
        <v>743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778</v>
      </c>
      <c r="D9" s="15" t="s">
        <v>779</v>
      </c>
      <c r="E9" s="15" t="s">
        <v>780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742</v>
      </c>
      <c r="K9" s="15" t="s">
        <v>21</v>
      </c>
      <c r="L9" s="15" t="s">
        <v>743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784</v>
      </c>
      <c r="D10" s="15" t="s">
        <v>785</v>
      </c>
      <c r="E10" s="15" t="s">
        <v>786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742</v>
      </c>
      <c r="K10" s="15" t="s">
        <v>21</v>
      </c>
      <c r="L10" s="15" t="s">
        <v>743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789</v>
      </c>
      <c r="D11" s="15" t="s">
        <v>790</v>
      </c>
      <c r="E11" s="15" t="s">
        <v>791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742</v>
      </c>
      <c r="K11" s="15" t="s">
        <v>21</v>
      </c>
      <c r="L11" s="15" t="s">
        <v>743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801</v>
      </c>
      <c r="D12" s="15" t="s">
        <v>802</v>
      </c>
      <c r="E12" s="15" t="s">
        <v>803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742</v>
      </c>
      <c r="K12" s="15" t="s">
        <v>21</v>
      </c>
      <c r="L12" s="15" t="s">
        <v>743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804</v>
      </c>
      <c r="D13" s="15" t="s">
        <v>805</v>
      </c>
      <c r="E13" s="15" t="s">
        <v>806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742</v>
      </c>
      <c r="K13" s="15" t="s">
        <v>21</v>
      </c>
      <c r="L13" s="15" t="s">
        <v>743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810</v>
      </c>
      <c r="D14" s="15" t="s">
        <v>811</v>
      </c>
      <c r="E14" s="15" t="s">
        <v>812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742</v>
      </c>
      <c r="K14" s="15" t="s">
        <v>21</v>
      </c>
      <c r="L14" s="15" t="s">
        <v>743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744</v>
      </c>
      <c r="D15" s="15"/>
      <c r="E15" s="15" t="s">
        <v>745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743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754</v>
      </c>
      <c r="D16" s="15"/>
      <c r="E16" s="15" t="s">
        <v>755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743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756</v>
      </c>
      <c r="D17" s="15" t="s">
        <v>757</v>
      </c>
      <c r="E17" s="15" t="s">
        <v>758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743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759</v>
      </c>
      <c r="D18" s="15" t="s">
        <v>760</v>
      </c>
      <c r="E18" s="15" t="s">
        <v>761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743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762</v>
      </c>
      <c r="D19" s="15" t="s">
        <v>763</v>
      </c>
      <c r="E19" s="15" t="s">
        <v>764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743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768</v>
      </c>
      <c r="D20" s="15" t="s">
        <v>769</v>
      </c>
      <c r="E20" s="15" t="s">
        <v>770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743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781</v>
      </c>
      <c r="D21" s="15" t="s">
        <v>782</v>
      </c>
      <c r="E21" s="15" t="s">
        <v>783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743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792</v>
      </c>
      <c r="E22" s="15" t="s">
        <v>793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743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797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743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813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743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750</v>
      </c>
      <c r="D25" s="15"/>
      <c r="E25" s="15" t="s">
        <v>751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743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752</v>
      </c>
      <c r="D26" s="15"/>
      <c r="E26" s="15" t="s">
        <v>753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743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771</v>
      </c>
      <c r="D27" s="15" t="s">
        <v>772</v>
      </c>
      <c r="E27" s="15" t="s">
        <v>773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743</v>
      </c>
      <c r="M27" s="20" t="s">
        <v>818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774</v>
      </c>
      <c r="D28" s="15" t="s">
        <v>775</v>
      </c>
      <c r="E28" s="15" t="s">
        <v>776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743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787</v>
      </c>
      <c r="E29" s="17" t="s">
        <v>788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743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794</v>
      </c>
      <c r="D30" s="15" t="s">
        <v>795</v>
      </c>
      <c r="E30" s="15" t="s">
        <v>796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743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798</v>
      </c>
      <c r="D31" s="15" t="s">
        <v>799</v>
      </c>
      <c r="E31" s="15" t="s">
        <v>800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743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807</v>
      </c>
      <c r="D32" s="15" t="s">
        <v>808</v>
      </c>
      <c r="E32" s="15" t="s">
        <v>809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743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814</v>
      </c>
      <c r="D33" s="15" t="s">
        <v>815</v>
      </c>
      <c r="E33" s="15" t="s">
        <v>816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743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30" t="s">
        <v>191</v>
      </c>
      <c r="D37" s="30"/>
      <c r="E37" s="4" t="s">
        <v>192</v>
      </c>
      <c r="H37">
        <f>-5*25</f>
        <v>-125</v>
      </c>
      <c r="K37" s="11" t="s">
        <v>742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743</v>
      </c>
      <c r="B38" s="3" t="s">
        <v>195</v>
      </c>
      <c r="C38" s="31">
        <f>SUMIFS(I$3:I$33,B$3:B$33,A$37,L$3:L$33,A$38)</f>
        <v>27540</v>
      </c>
      <c r="D38" s="31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817</v>
      </c>
      <c r="P38">
        <f>L43</f>
        <v>3183</v>
      </c>
    </row>
    <row r="39" spans="1:18" x14ac:dyDescent="0.25">
      <c r="B39" s="2" t="s">
        <v>199</v>
      </c>
      <c r="C39" s="32">
        <v>0</v>
      </c>
      <c r="D39" s="32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32">
        <f>-SUMIFS(I$3:I$33,B$3:B$33,A$37,P$3:P$33,"xx",N$3:N$33,"x")</f>
        <v>0</v>
      </c>
      <c r="D40" s="32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30">
        <f>SUBTOTAL(9,C38:C40)</f>
        <v>27540</v>
      </c>
      <c r="D41" s="30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28"/>
      <c r="D42" s="28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28"/>
      <c r="D43" s="28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29">
        <f>C41+C42+C43</f>
        <v>27540</v>
      </c>
      <c r="D45" s="29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7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:D3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730</v>
      </c>
      <c r="B1" s="5">
        <v>2026</v>
      </c>
    </row>
    <row r="2" spans="1:5" x14ac:dyDescent="0.25">
      <c r="A2" s="6" t="s">
        <v>731</v>
      </c>
      <c r="B2" s="6" t="s">
        <v>732</v>
      </c>
      <c r="C2" s="6" t="s">
        <v>733</v>
      </c>
      <c r="D2" s="6" t="s">
        <v>734</v>
      </c>
      <c r="E2" s="6" t="s">
        <v>735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8" ca="1" si="0">B3-C3-D3</f>
        <v>54</v>
      </c>
    </row>
    <row r="4" spans="1:5" x14ac:dyDescent="0.25">
      <c r="A4" s="7">
        <v>46144</v>
      </c>
      <c r="B4" s="8">
        <f t="shared" ref="B4:B28" ca="1" si="1">IFERROR(COUNTIF(INDIRECT("'"&amp;TEXT(A4,"dd-mm")&amp;"'!L3:L200"),TEXT(A4,"dd-mm")&amp;"-"&amp;B$1),0)</f>
        <v>0</v>
      </c>
      <c r="C4" s="8">
        <f t="shared" ref="C4:C28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0</v>
      </c>
      <c r="E4" s="8">
        <f t="shared" ca="1" si="0"/>
        <v>0</v>
      </c>
    </row>
    <row r="5" spans="1:5" x14ac:dyDescent="0.25">
      <c r="A5" s="7">
        <v>46146</v>
      </c>
      <c r="B5" s="8">
        <f t="shared" ca="1" si="1"/>
        <v>20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4</v>
      </c>
      <c r="E5" s="8">
        <f t="shared" ca="1" si="0"/>
        <v>16</v>
      </c>
    </row>
    <row r="6" spans="1:5" x14ac:dyDescent="0.25">
      <c r="A6" s="7">
        <v>46147</v>
      </c>
      <c r="B6" s="8">
        <f t="shared" ca="1" si="1"/>
        <v>53</v>
      </c>
      <c r="C6" s="8">
        <f t="shared" ca="1" si="2"/>
        <v>2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51</v>
      </c>
    </row>
    <row r="7" spans="1:5" x14ac:dyDescent="0.25">
      <c r="A7" s="7">
        <v>46148</v>
      </c>
      <c r="B7" s="8">
        <f t="shared" ca="1" si="1"/>
        <v>32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32</v>
      </c>
    </row>
    <row r="8" spans="1:5" x14ac:dyDescent="0.25">
      <c r="A8" s="7">
        <v>46149</v>
      </c>
      <c r="B8" s="8">
        <f t="shared" ca="1" si="1"/>
        <v>34</v>
      </c>
      <c r="C8" s="8">
        <f t="shared" ca="1" si="2"/>
        <v>1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33</v>
      </c>
    </row>
    <row r="9" spans="1:5" x14ac:dyDescent="0.25">
      <c r="A9" s="7">
        <v>46150</v>
      </c>
      <c r="B9" s="8">
        <f t="shared" ca="1" si="1"/>
        <v>36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36</v>
      </c>
    </row>
    <row r="10" spans="1:5" x14ac:dyDescent="0.25">
      <c r="A10" s="7">
        <v>46151</v>
      </c>
      <c r="B10" s="8">
        <f t="shared" ca="1" si="1"/>
        <v>31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0</v>
      </c>
      <c r="E10" s="8">
        <f t="shared" ca="1" si="0"/>
        <v>31</v>
      </c>
    </row>
    <row r="11" spans="1:5" x14ac:dyDescent="0.25">
      <c r="A11" s="7">
        <v>46153</v>
      </c>
      <c r="B11" s="8">
        <f t="shared" ca="1" si="1"/>
        <v>0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0</v>
      </c>
    </row>
    <row r="12" spans="1:5" x14ac:dyDescent="0.25">
      <c r="A12" s="7">
        <v>46154</v>
      </c>
      <c r="B12" s="8">
        <f t="shared" ca="1" si="1"/>
        <v>0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0</v>
      </c>
    </row>
    <row r="13" spans="1:5" x14ac:dyDescent="0.25">
      <c r="A13" s="7">
        <v>46155</v>
      </c>
      <c r="B13" s="8">
        <f t="shared" ca="1" si="1"/>
        <v>0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0</v>
      </c>
    </row>
    <row r="14" spans="1:5" x14ac:dyDescent="0.25">
      <c r="A14" s="7">
        <v>46156</v>
      </c>
      <c r="B14" s="8">
        <f t="shared" ca="1" si="1"/>
        <v>0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46157</v>
      </c>
      <c r="B15" s="8">
        <f t="shared" ca="1" si="1"/>
        <v>0</v>
      </c>
      <c r="C15" s="8">
        <f t="shared" ca="1" si="2"/>
        <v>0</v>
      </c>
      <c r="D15" s="8" cm="1">
        <f t="array" aca="1" ref="D15" ca="1">IFERROR(SUM(COUNTIF(INDIRECT("'"&amp;TEXT(A15,"DD-MM")&amp;"'!M3:M200"),{"*đơn trả*","*hàng tỉnh*"})),0)</f>
        <v>0</v>
      </c>
      <c r="E15" s="8">
        <f t="shared" ca="1" si="0"/>
        <v>0</v>
      </c>
    </row>
    <row r="16" spans="1:5" x14ac:dyDescent="0.25">
      <c r="A16" s="7">
        <v>46158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46160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46161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46162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46163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46164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46165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46167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46168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46169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46170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46171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A28" s="7">
        <v>46172</v>
      </c>
      <c r="B28" s="8">
        <f t="shared" ca="1" si="1"/>
        <v>0</v>
      </c>
      <c r="C28" s="8">
        <f t="shared" ca="1" si="2"/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t="shared" ca="1" si="0"/>
        <v>0</v>
      </c>
    </row>
    <row r="29" spans="1:5" x14ac:dyDescent="0.25">
      <c r="D29" s="9" t="s">
        <v>736</v>
      </c>
      <c r="E29" s="9">
        <f ca="1">SUBTOTAL(9,E4:E28)</f>
        <v>199</v>
      </c>
    </row>
    <row r="30" spans="1:5" x14ac:dyDescent="0.25">
      <c r="D30" s="9" t="s">
        <v>737</v>
      </c>
      <c r="E30" s="9" cm="1">
        <f t="array" ref="E30" ca="1">SUMPRODUCT(
    IFERROR(
        SUMIF(
            INDIRECT("'"&amp;TEXT(A4:A28,"dd-mm")&amp;"'!O:O"),
            "tổng",
            INDIRECT("'"&amp;TEXT(A4:A28,"dd-mm")&amp;"'!P:P")
        ),
    0)
)</f>
        <v>780</v>
      </c>
    </row>
    <row r="31" spans="1:5" x14ac:dyDescent="0.25">
      <c r="D31" s="9" t="s">
        <v>738</v>
      </c>
      <c r="E31" s="9">
        <f ca="1">-E29*2</f>
        <v>-398</v>
      </c>
    </row>
    <row r="32" spans="1:5" x14ac:dyDescent="0.25">
      <c r="D32" s="9" t="s">
        <v>739</v>
      </c>
      <c r="E32" s="9">
        <f ca="1">SUBTOTAL(9,E30:E31)</f>
        <v>382</v>
      </c>
    </row>
  </sheetData>
  <autoFilter ref="A2:E28" xr:uid="{00000000-0009-0000-0000-000006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01-05</vt:lpstr>
      <vt:lpstr>04-05</vt:lpstr>
      <vt:lpstr>05-05</vt:lpstr>
      <vt:lpstr>06-05</vt:lpstr>
      <vt:lpstr>07-05</vt:lpstr>
      <vt:lpstr>08-05</vt:lpstr>
      <vt:lpstr>09-05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2026-05-09T16:12:27Z</dcterms:modified>
</cp:coreProperties>
</file>