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2AA16A2-2E8C-446D-8A45-B5BD1141C83E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Sheet1" sheetId="19" r:id="rId14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21" l="1"/>
  <c r="R39" i="21" l="1"/>
  <c r="R33" i="21"/>
  <c r="R32" i="21"/>
  <c r="R28" i="21"/>
  <c r="R24" i="21"/>
  <c r="R18" i="21"/>
  <c r="R12" i="21"/>
  <c r="R7" i="21"/>
  <c r="R4" i="21"/>
  <c r="R3" i="21"/>
  <c r="R6" i="21"/>
  <c r="H45" i="21"/>
  <c r="H47" i="21"/>
  <c r="I3" i="7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L62" i="7" s="1"/>
  <c r="L66" i="7" s="1"/>
  <c r="P61" i="7" s="1"/>
  <c r="C61" i="7"/>
  <c r="C64" i="7" s="1"/>
  <c r="C68" i="7" s="1"/>
  <c r="P65" i="7" s="1"/>
  <c r="E61" i="7"/>
  <c r="L61" i="7"/>
  <c r="M61" i="7"/>
  <c r="M66" i="7" s="1"/>
  <c r="M62" i="7"/>
  <c r="C63" i="7"/>
  <c r="E63" i="7"/>
  <c r="E64" i="7"/>
  <c r="M79" i="7" s="1"/>
  <c r="L79" i="7" s="1"/>
  <c r="L69" i="7"/>
  <c r="M69" i="7"/>
  <c r="M74" i="7" s="1"/>
  <c r="M70" i="7"/>
  <c r="L70" i="7" s="1"/>
  <c r="L77" i="7"/>
  <c r="L82" i="7" s="1"/>
  <c r="P63" i="7" s="1"/>
  <c r="M77" i="7"/>
  <c r="L78" i="7"/>
  <c r="M78" i="7"/>
  <c r="M82" i="7"/>
  <c r="L85" i="7"/>
  <c r="M85" i="7"/>
  <c r="M90" i="7" s="1"/>
  <c r="M86" i="7"/>
  <c r="L86" i="7" s="1"/>
  <c r="L90" i="7" s="1"/>
  <c r="P64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L36" i="8" s="1"/>
  <c r="P31" i="8" s="1"/>
  <c r="M31" i="8"/>
  <c r="M32" i="8"/>
  <c r="E33" i="8"/>
  <c r="E34" i="8"/>
  <c r="M36" i="8"/>
  <c r="L39" i="8"/>
  <c r="L44" i="8" s="1"/>
  <c r="P32" i="8" s="1"/>
  <c r="M39" i="8"/>
  <c r="M44" i="8" s="1"/>
  <c r="L40" i="8"/>
  <c r="M40" i="8"/>
  <c r="L47" i="8"/>
  <c r="M47" i="8"/>
  <c r="M52" i="8" s="1"/>
  <c r="M48" i="8"/>
  <c r="L48" i="8" s="1"/>
  <c r="L55" i="8"/>
  <c r="L60" i="8" s="1"/>
  <c r="P34" i="8" s="1"/>
  <c r="M55" i="8"/>
  <c r="L56" i="8"/>
  <c r="M56" i="8"/>
  <c r="M57" i="8"/>
  <c r="L57" i="8" s="1"/>
  <c r="M60" i="8"/>
  <c r="I3" i="9"/>
  <c r="I57" i="9" s="1"/>
  <c r="I4" i="9"/>
  <c r="I5" i="9"/>
  <c r="I6" i="9"/>
  <c r="C60" i="9" s="1"/>
  <c r="C63" i="9" s="1"/>
  <c r="C67" i="9" s="1"/>
  <c r="P63" i="9" s="1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L69" i="9" s="1"/>
  <c r="L73" i="9" s="1"/>
  <c r="P61" i="9" s="1"/>
  <c r="E60" i="9"/>
  <c r="H60" i="9"/>
  <c r="L60" i="9"/>
  <c r="M60" i="9"/>
  <c r="M65" i="9" s="1"/>
  <c r="L61" i="9"/>
  <c r="M61" i="9"/>
  <c r="C62" i="9"/>
  <c r="E62" i="9"/>
  <c r="E63" i="9"/>
  <c r="M78" i="9" s="1"/>
  <c r="L78" i="9" s="1"/>
  <c r="L65" i="9"/>
  <c r="P60" i="9" s="1"/>
  <c r="L68" i="9"/>
  <c r="M68" i="9"/>
  <c r="M73" i="9" s="1"/>
  <c r="M69" i="9"/>
  <c r="L76" i="9"/>
  <c r="M76" i="9"/>
  <c r="M77" i="9"/>
  <c r="L77" i="9" s="1"/>
  <c r="M81" i="9"/>
  <c r="I3" i="10"/>
  <c r="C39" i="10" s="1"/>
  <c r="C42" i="10" s="1"/>
  <c r="C46" i="10" s="1"/>
  <c r="P42" i="10" s="1"/>
  <c r="I4" i="10"/>
  <c r="I5" i="10"/>
  <c r="I36" i="10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H39" i="10"/>
  <c r="L56" i="10" s="1"/>
  <c r="L39" i="10"/>
  <c r="M39" i="10"/>
  <c r="M44" i="10" s="1"/>
  <c r="L40" i="10"/>
  <c r="M40" i="10"/>
  <c r="C41" i="10"/>
  <c r="E41" i="10"/>
  <c r="E42" i="10"/>
  <c r="M49" i="10" s="1"/>
  <c r="L49" i="10" s="1"/>
  <c r="L44" i="10"/>
  <c r="P39" i="10" s="1"/>
  <c r="L47" i="10"/>
  <c r="M47" i="10"/>
  <c r="L48" i="10"/>
  <c r="M48" i="10"/>
  <c r="M52" i="10"/>
  <c r="L55" i="10"/>
  <c r="L60" i="10" s="1"/>
  <c r="P41" i="10" s="1"/>
  <c r="M55" i="10"/>
  <c r="M60" i="10" s="1"/>
  <c r="M56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L42" i="11" s="1"/>
  <c r="E41" i="11"/>
  <c r="H41" i="11"/>
  <c r="L41" i="11"/>
  <c r="L46" i="11" s="1"/>
  <c r="P41" i="11" s="1"/>
  <c r="M41" i="11"/>
  <c r="M46" i="11" s="1"/>
  <c r="M42" i="11"/>
  <c r="C43" i="11"/>
  <c r="E43" i="11"/>
  <c r="P43" i="11"/>
  <c r="E44" i="11"/>
  <c r="L49" i="11"/>
  <c r="L54" i="11" s="1"/>
  <c r="P42" i="11" s="1"/>
  <c r="M49" i="11"/>
  <c r="M50" i="11"/>
  <c r="L50" i="11" s="1"/>
  <c r="M54" i="11"/>
  <c r="L57" i="11"/>
  <c r="M57" i="11"/>
  <c r="M62" i="11" s="1"/>
  <c r="L58" i="11"/>
  <c r="M58" i="11"/>
  <c r="L62" i="11"/>
  <c r="L65" i="11"/>
  <c r="L70" i="11" s="1"/>
  <c r="P44" i="11" s="1"/>
  <c r="M65" i="11"/>
  <c r="M66" i="11"/>
  <c r="L66" i="11" s="1"/>
  <c r="M67" i="11"/>
  <c r="L67" i="11" s="1"/>
  <c r="M70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L49" i="12" s="1"/>
  <c r="P44" i="12" s="1"/>
  <c r="M44" i="12"/>
  <c r="M45" i="12"/>
  <c r="L45" i="12" s="1"/>
  <c r="C46" i="12"/>
  <c r="E46" i="12"/>
  <c r="E47" i="12"/>
  <c r="M62" i="12" s="1"/>
  <c r="L62" i="12" s="1"/>
  <c r="M49" i="12"/>
  <c r="L52" i="12"/>
  <c r="M52" i="12"/>
  <c r="M57" i="12" s="1"/>
  <c r="M53" i="12"/>
  <c r="L60" i="12"/>
  <c r="M60" i="12"/>
  <c r="L61" i="12"/>
  <c r="L65" i="12" s="1"/>
  <c r="P46" i="12" s="1"/>
  <c r="M61" i="12"/>
  <c r="M65" i="12"/>
  <c r="I3" i="13"/>
  <c r="C38" i="13" s="1"/>
  <c r="C41" i="13" s="1"/>
  <c r="C45" i="13" s="1"/>
  <c r="P41" i="13" s="1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L39" i="13" s="1"/>
  <c r="E38" i="13"/>
  <c r="H38" i="13"/>
  <c r="L38" i="13"/>
  <c r="L43" i="13" s="1"/>
  <c r="P38" i="13" s="1"/>
  <c r="M38" i="13"/>
  <c r="M43" i="13" s="1"/>
  <c r="M39" i="13"/>
  <c r="C40" i="13"/>
  <c r="E40" i="13"/>
  <c r="E41" i="13"/>
  <c r="M48" i="13" s="1"/>
  <c r="L48" i="13" s="1"/>
  <c r="L46" i="13"/>
  <c r="M46" i="13"/>
  <c r="M51" i="13" s="1"/>
  <c r="L47" i="13"/>
  <c r="L51" i="13" s="1"/>
  <c r="P39" i="13" s="1"/>
  <c r="M47" i="13"/>
  <c r="L54" i="13"/>
  <c r="M54" i="13"/>
  <c r="M59" i="13" s="1"/>
  <c r="M55" i="13"/>
  <c r="L55" i="13" s="1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C69" i="14" s="1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E70" i="14" s="1"/>
  <c r="M85" i="14" s="1"/>
  <c r="L85" i="14" s="1"/>
  <c r="H67" i="14"/>
  <c r="L67" i="14"/>
  <c r="L72" i="14" s="1"/>
  <c r="P67" i="14" s="1"/>
  <c r="M67" i="14"/>
  <c r="M72" i="14" s="1"/>
  <c r="L68" i="14"/>
  <c r="M68" i="14"/>
  <c r="E69" i="14"/>
  <c r="L75" i="14"/>
  <c r="M75" i="14"/>
  <c r="M80" i="14" s="1"/>
  <c r="L76" i="14"/>
  <c r="M76" i="14"/>
  <c r="L80" i="14"/>
  <c r="P68" i="14" s="1"/>
  <c r="L83" i="14"/>
  <c r="M83" i="14"/>
  <c r="L84" i="14"/>
  <c r="M84" i="14"/>
  <c r="M88" i="14"/>
  <c r="I3" i="15"/>
  <c r="C33" i="15" s="1"/>
  <c r="C36" i="15" s="1"/>
  <c r="C40" i="15" s="1"/>
  <c r="P37" i="15" s="1"/>
  <c r="I4" i="15"/>
  <c r="I5" i="15"/>
  <c r="I30" i="15" s="1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E36" i="15" s="1"/>
  <c r="M35" i="15" s="1"/>
  <c r="L35" i="15" s="1"/>
  <c r="L33" i="15"/>
  <c r="M33" i="15"/>
  <c r="M38" i="15" s="1"/>
  <c r="L34" i="15"/>
  <c r="L38" i="15" s="1"/>
  <c r="P33" i="15" s="1"/>
  <c r="M34" i="15"/>
  <c r="C35" i="15"/>
  <c r="E35" i="15"/>
  <c r="L41" i="15"/>
  <c r="M41" i="15"/>
  <c r="M46" i="15" s="1"/>
  <c r="M42" i="15"/>
  <c r="C43" i="15"/>
  <c r="C46" i="15" s="1"/>
  <c r="C50" i="15" s="1"/>
  <c r="E43" i="15"/>
  <c r="E46" i="15" s="1"/>
  <c r="C45" i="15"/>
  <c r="E45" i="15"/>
  <c r="L49" i="15"/>
  <c r="M49" i="15"/>
  <c r="M50" i="15"/>
  <c r="L50" i="15" s="1"/>
  <c r="L55" i="15" s="1"/>
  <c r="P35" i="15" s="1"/>
  <c r="M55" i="15"/>
  <c r="L58" i="15"/>
  <c r="M58" i="15"/>
  <c r="M63" i="15" s="1"/>
  <c r="M59" i="15"/>
  <c r="L59" i="15" s="1"/>
  <c r="L63" i="15" s="1"/>
  <c r="P36" i="15" s="1"/>
  <c r="I3" i="16"/>
  <c r="C40" i="16" s="1"/>
  <c r="C43" i="16" s="1"/>
  <c r="C47" i="16" s="1"/>
  <c r="P43" i="16" s="1"/>
  <c r="I4" i="16"/>
  <c r="I5" i="16"/>
  <c r="I6" i="16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L49" i="16" s="1"/>
  <c r="L53" i="16" s="1"/>
  <c r="P41" i="16" s="1"/>
  <c r="E40" i="16"/>
  <c r="E43" i="16" s="1"/>
  <c r="M58" i="16" s="1"/>
  <c r="L58" i="16" s="1"/>
  <c r="H40" i="16"/>
  <c r="L40" i="16"/>
  <c r="L45" i="16" s="1"/>
  <c r="P40" i="16" s="1"/>
  <c r="M40" i="16"/>
  <c r="M45" i="16" s="1"/>
  <c r="L41" i="16"/>
  <c r="M41" i="16"/>
  <c r="C42" i="16"/>
  <c r="E42" i="16"/>
  <c r="L48" i="16"/>
  <c r="M48" i="16"/>
  <c r="M53" i="16" s="1"/>
  <c r="M49" i="16"/>
  <c r="L56" i="16"/>
  <c r="M56" i="16"/>
  <c r="L57" i="16"/>
  <c r="M57" i="16"/>
  <c r="M61" i="16"/>
  <c r="I3" i="17"/>
  <c r="C44" i="17" s="1"/>
  <c r="C47" i="17" s="1"/>
  <c r="C51" i="17" s="1"/>
  <c r="P48" i="17" s="1"/>
  <c r="I4" i="17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H43" i="17"/>
  <c r="E44" i="17"/>
  <c r="E47" i="17" s="1"/>
  <c r="M46" i="17" s="1"/>
  <c r="L46" i="17" s="1"/>
  <c r="L44" i="17"/>
  <c r="M44" i="17"/>
  <c r="M49" i="17" s="1"/>
  <c r="M45" i="17"/>
  <c r="L45" i="17" s="1"/>
  <c r="L49" i="17" s="1"/>
  <c r="P44" i="17" s="1"/>
  <c r="C46" i="17"/>
  <c r="E46" i="17"/>
  <c r="L52" i="17"/>
  <c r="M52" i="17"/>
  <c r="M57" i="17" s="1"/>
  <c r="M53" i="17"/>
  <c r="L53" i="17" s="1"/>
  <c r="L57" i="17" s="1"/>
  <c r="P45" i="17" s="1"/>
  <c r="L60" i="17"/>
  <c r="M60" i="17"/>
  <c r="M61" i="17"/>
  <c r="M65" i="17"/>
  <c r="L68" i="17"/>
  <c r="M68" i="17"/>
  <c r="M73" i="17" s="1"/>
  <c r="M69" i="17"/>
  <c r="L69" i="17" s="1"/>
  <c r="L73" i="17" s="1"/>
  <c r="P47" i="17" s="1"/>
  <c r="I3" i="20"/>
  <c r="I36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C39" i="20"/>
  <c r="C42" i="20" s="1"/>
  <c r="C46" i="20" s="1"/>
  <c r="P42" i="20" s="1"/>
  <c r="E39" i="20"/>
  <c r="H39" i="20"/>
  <c r="L39" i="20"/>
  <c r="M39" i="20"/>
  <c r="M44" i="20" s="1"/>
  <c r="M40" i="20"/>
  <c r="C41" i="20"/>
  <c r="E41" i="20"/>
  <c r="E42" i="20"/>
  <c r="L47" i="20"/>
  <c r="M47" i="20"/>
  <c r="M48" i="20"/>
  <c r="L48" i="20" s="1"/>
  <c r="M49" i="20"/>
  <c r="L49" i="20" s="1"/>
  <c r="M52" i="20"/>
  <c r="L55" i="20"/>
  <c r="M55" i="20"/>
  <c r="M60" i="20" s="1"/>
  <c r="L56" i="20"/>
  <c r="M56" i="20"/>
  <c r="L60" i="20"/>
  <c r="P41" i="20" s="1"/>
  <c r="D3" i="19" a="1"/>
  <c r="E29" i="19" a="1"/>
  <c r="I17" i="21"/>
  <c r="I3" i="21"/>
  <c r="I18" i="21"/>
  <c r="I19" i="21"/>
  <c r="I4" i="21"/>
  <c r="I32" i="21"/>
  <c r="I20" i="21"/>
  <c r="I5" i="21"/>
  <c r="I21" i="21"/>
  <c r="I22" i="21"/>
  <c r="I6" i="21"/>
  <c r="I34" i="21"/>
  <c r="I8" i="21"/>
  <c r="I35" i="21"/>
  <c r="I23" i="21"/>
  <c r="I24" i="21"/>
  <c r="I9" i="21"/>
  <c r="I25" i="21"/>
  <c r="I10" i="21"/>
  <c r="I12" i="21"/>
  <c r="I7" i="21"/>
  <c r="I13" i="21"/>
  <c r="I14" i="21"/>
  <c r="I15" i="21"/>
  <c r="I16" i="21"/>
  <c r="I11" i="21"/>
  <c r="I36" i="21"/>
  <c r="I26" i="21"/>
  <c r="I33" i="21"/>
  <c r="I37" i="21"/>
  <c r="I27" i="21"/>
  <c r="I38" i="21"/>
  <c r="I28" i="21"/>
  <c r="I39" i="21"/>
  <c r="I29" i="21"/>
  <c r="I30" i="21"/>
  <c r="I31" i="21"/>
  <c r="I41" i="21"/>
  <c r="C49" i="21" s="1"/>
  <c r="I42" i="21"/>
  <c r="D44" i="21"/>
  <c r="G44" i="21"/>
  <c r="H44" i="21"/>
  <c r="J44" i="21"/>
  <c r="K44" i="21"/>
  <c r="L44" i="21"/>
  <c r="M44" i="21"/>
  <c r="N44" i="21"/>
  <c r="O44" i="21"/>
  <c r="P44" i="21"/>
  <c r="Q44" i="21"/>
  <c r="H46" i="21"/>
  <c r="E47" i="21"/>
  <c r="E50" i="21" s="1"/>
  <c r="M49" i="21" s="1"/>
  <c r="L49" i="21" s="1"/>
  <c r="L47" i="21"/>
  <c r="M47" i="21"/>
  <c r="M52" i="21" s="1"/>
  <c r="M48" i="21"/>
  <c r="L48" i="21" s="1"/>
  <c r="E49" i="21"/>
  <c r="L55" i="21"/>
  <c r="L60" i="21" s="1"/>
  <c r="M55" i="21"/>
  <c r="M60" i="21" s="1"/>
  <c r="M56" i="21"/>
  <c r="L63" i="21"/>
  <c r="M63" i="21"/>
  <c r="M68" i="21" s="1"/>
  <c r="M64" i="21"/>
  <c r="L64" i="21" s="1"/>
  <c r="B7" i="19"/>
  <c r="C7" i="19"/>
  <c r="B5" i="19"/>
  <c r="C14" i="19"/>
  <c r="C15" i="19"/>
  <c r="B10" i="19"/>
  <c r="B13" i="19"/>
  <c r="C19" i="19"/>
  <c r="B11" i="19"/>
  <c r="D23" i="19" a="1"/>
  <c r="B6" i="19"/>
  <c r="D6" i="19" a="1"/>
  <c r="B9" i="19"/>
  <c r="D9" i="19" a="1"/>
  <c r="B17" i="19"/>
  <c r="B18" i="19"/>
  <c r="D12" i="19" a="1"/>
  <c r="C12" i="19"/>
  <c r="B16" i="19"/>
  <c r="C25" i="19"/>
  <c r="B14" i="19"/>
  <c r="D5" i="19" a="1"/>
  <c r="D4" i="19" a="1"/>
  <c r="D8" i="19" a="1"/>
  <c r="C11" i="19"/>
  <c r="B19" i="19"/>
  <c r="B22" i="19"/>
  <c r="D7" i="19" a="1"/>
  <c r="B20" i="19"/>
  <c r="D11" i="19" a="1"/>
  <c r="B21" i="19"/>
  <c r="D15" i="19" a="1"/>
  <c r="B23" i="19"/>
  <c r="B24" i="19"/>
  <c r="D18" i="19" a="1"/>
  <c r="D26" i="19" a="1"/>
  <c r="B27" i="19"/>
  <c r="C13" i="19"/>
  <c r="B25" i="19"/>
  <c r="D10" i="19" a="1"/>
  <c r="D14" i="19" a="1"/>
  <c r="D21" i="19" a="1"/>
  <c r="D27" i="19" a="1"/>
  <c r="C20" i="19"/>
  <c r="C10" i="19"/>
  <c r="D13" i="19" a="1"/>
  <c r="C17" i="19"/>
  <c r="D17" i="19" a="1"/>
  <c r="C18" i="19"/>
  <c r="C6" i="19"/>
  <c r="B8" i="19"/>
  <c r="D25" i="19" a="1"/>
  <c r="C16" i="19"/>
  <c r="D16" i="19" a="1"/>
  <c r="C26" i="19"/>
  <c r="D20" i="19" a="1"/>
  <c r="C27" i="19"/>
  <c r="D24" i="19" a="1"/>
  <c r="D22" i="19" a="1"/>
  <c r="C23" i="19"/>
  <c r="C24" i="19"/>
  <c r="C22" i="19"/>
  <c r="C5" i="19"/>
  <c r="D3" i="19"/>
  <c r="D19" i="19" a="1"/>
  <c r="B26" i="19"/>
  <c r="C8" i="19"/>
  <c r="B12" i="19"/>
  <c r="C9" i="19"/>
  <c r="C3" i="19"/>
  <c r="B4" i="19"/>
  <c r="C4" i="19"/>
  <c r="C21" i="19"/>
  <c r="C47" i="21" l="1"/>
  <c r="C50" i="21" s="1"/>
  <c r="C54" i="21" s="1"/>
  <c r="P50" i="21" s="1"/>
  <c r="L56" i="21"/>
  <c r="P48" i="21" s="1"/>
  <c r="I44" i="21"/>
  <c r="L68" i="21"/>
  <c r="P49" i="21" s="1"/>
  <c r="D27" i="19"/>
  <c r="D24" i="19"/>
  <c r="D21" i="19"/>
  <c r="D18" i="19"/>
  <c r="D15" i="19"/>
  <c r="D12" i="19"/>
  <c r="D9" i="19"/>
  <c r="D6" i="19"/>
  <c r="D25" i="19"/>
  <c r="D26" i="19"/>
  <c r="D20" i="19"/>
  <c r="D17" i="19"/>
  <c r="D14" i="19"/>
  <c r="D11" i="19"/>
  <c r="D8" i="19"/>
  <c r="D5" i="19"/>
  <c r="D23" i="19"/>
  <c r="D22" i="19"/>
  <c r="D16" i="19"/>
  <c r="D13" i="19"/>
  <c r="D10" i="19"/>
  <c r="D7" i="19"/>
  <c r="D4" i="19"/>
  <c r="D19" i="19"/>
  <c r="P43" i="20"/>
  <c r="L52" i="10"/>
  <c r="P40" i="10" s="1"/>
  <c r="P43" i="10" s="1"/>
  <c r="L52" i="20"/>
  <c r="P40" i="20" s="1"/>
  <c r="L88" i="14"/>
  <c r="P69" i="14" s="1"/>
  <c r="L65" i="17"/>
  <c r="P46" i="17" s="1"/>
  <c r="P49" i="17" s="1"/>
  <c r="L81" i="9"/>
  <c r="P62" i="9" s="1"/>
  <c r="P64" i="9" s="1"/>
  <c r="L52" i="8"/>
  <c r="L74" i="7"/>
  <c r="L59" i="13"/>
  <c r="P40" i="13" s="1"/>
  <c r="P38" i="15"/>
  <c r="L57" i="12"/>
  <c r="P45" i="12" s="1"/>
  <c r="P48" i="12" s="1"/>
  <c r="L61" i="16"/>
  <c r="P42" i="16" s="1"/>
  <c r="P46" i="11"/>
  <c r="L52" i="21"/>
  <c r="P42" i="13"/>
  <c r="P44" i="16"/>
  <c r="I41" i="17"/>
  <c r="I37" i="16"/>
  <c r="I38" i="11"/>
  <c r="C67" i="14"/>
  <c r="C70" i="14" s="1"/>
  <c r="C74" i="14" s="1"/>
  <c r="P70" i="14" s="1"/>
  <c r="P71" i="14" s="1"/>
  <c r="I41" i="12"/>
  <c r="I28" i="8"/>
  <c r="B3" i="19"/>
  <c r="B15" i="19"/>
  <c r="P47" i="21" l="1"/>
  <c r="P51" i="21" s="1"/>
  <c r="E3" i="19"/>
  <c r="E12" i="19"/>
  <c r="E24" i="19"/>
  <c r="E18" i="19"/>
  <c r="E10" i="19"/>
  <c r="E22" i="19"/>
  <c r="E15" i="19"/>
  <c r="E27" i="19"/>
  <c r="E20" i="19"/>
  <c r="E8" i="19"/>
  <c r="E13" i="19"/>
  <c r="E25" i="19"/>
  <c r="E11" i="19"/>
  <c r="E23" i="19"/>
  <c r="E4" i="19"/>
  <c r="E16" i="19"/>
  <c r="E17" i="19"/>
  <c r="E5" i="19"/>
  <c r="E9" i="19"/>
  <c r="E21" i="19"/>
  <c r="E14" i="19"/>
  <c r="E26" i="19"/>
  <c r="E6" i="19"/>
  <c r="E7" i="19"/>
  <c r="E19" i="19"/>
  <c r="P62" i="7"/>
  <c r="P66" i="7" s="1"/>
  <c r="P33" i="8"/>
  <c r="P36" i="8" s="1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<sst xmlns="http://schemas.openxmlformats.org/spreadsheetml/2006/main" count="4647" uniqueCount="1431">
  <si>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</si>
  <si>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</si>
  <si>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</si>
  <si>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</si>
  <si>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</si>
  <si>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</si>
  <si>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</si>
  <si>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</si>
  <si>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</si>
  <si>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</si>
  <si>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</si>
  <si>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</si>
  <si>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</si>
  <si>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</si>
  <si>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</si>
  <si>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</si>
  <si>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</si>
  <si>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</si>
  <si>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</si>
  <si>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</si>
  <si>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</si>
  <si>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</si>
  <si>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</si>
  <si>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</si>
  <si>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</si>
  <si>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</si>
  <si>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</si>
  <si>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</si>
  <si>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</si>
  <si>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</si>
  <si>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</si>
  <si>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</si>
  <si>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</si>
  <si>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</si>
  <si>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</si>
  <si>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</si>
  <si>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</si>
  <si>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</si>
  <si>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</si>
  <si>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</si>
  <si>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</si>
  <si>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</si>
  <si>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</si>
  <si>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</si>
  <si>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</si>
  <si>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</si>
  <si>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</si>
  <si>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</si>
  <si>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</si>
  <si>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</si>
  <si>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</si>
  <si>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</si>
  <si>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</si>
  <si>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</si>
  <si>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</si>
  <si>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</si>
  <si>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</si>
  <si>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</si>
  <si>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</si>
  <si>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</si>
  <si>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</si>
  <si>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</si>
  <si>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</si>
  <si>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</si>
  <si>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</si>
  <si>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</si>
  <si>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</si>
  <si>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</si>
  <si>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</si>
  <si>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</si>
  <si>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</si>
  <si>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</si>
  <si>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</si>
  <si>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</si>
  <si>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</si>
  <si>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</si>
  <si>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</si>
  <si>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</si>
  <si>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</si>
  <si>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</si>
  <si>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</si>
  <si>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</si>
  <si>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</si>
  <si>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</si>
  <si>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</si>
  <si>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</si>
  <si>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</si>
  <si>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</si>
  <si>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</si>
  <si>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</si>
  <si>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</si>
  <si>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</si>
  <si>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</si>
  <si>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</si>
  <si>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</si>
  <si>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</si>
  <si>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</si>
  <si>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</si>
  <si>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</si>
  <si>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</si>
  <si>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</si>
  <si>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</si>
  <si>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</si>
  <si>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</si>
  <si>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</si>
  <si>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</si>
  <si>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</si>
  <si>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</si>
  <si>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</si>
  <si>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</si>
  <si>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</si>
  <si>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</si>
  <si>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</si>
  <si>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</si>
  <si>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</si>
  <si>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</si>
  <si>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</si>
  <si>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</si>
  <si>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</si>
  <si>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</si>
  <si>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</si>
  <si>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</si>
  <si>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</si>
  <si>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</si>
  <si>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</si>
  <si>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</si>
  <si>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</si>
  <si>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</si>
  <si>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</si>
  <si>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</si>
  <si>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</si>
  <si>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</si>
  <si>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</si>
  <si>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</si>
  <si>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</si>
  <si>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</si>
  <si>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</si>
  <si>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</si>
  <si>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</si>
  <si>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</si>
  <si>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</si>
  <si>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</si>
  <si>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</si>
  <si>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</si>
  <si>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</si>
  <si>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</si>
  <si>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</si>
  <si>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</si>
  <si>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</si>
  <si>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</si>
  <si>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</si>
  <si>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</si>
  <si>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</si>
  <si>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</si>
  <si>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</si>
  <si>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</si>
  <si>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</si>
  <si>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</si>
  <si>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</si>
  <si>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</si>
  <si>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</si>
  <si>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</si>
  <si>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</si>
  <si>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</si>
  <si>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</si>
  <si>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</si>
  <si>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</si>
  <si>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</si>
  <si>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</si>
  <si>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</si>
  <si>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</si>
  <si>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</si>
  <si>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</si>
  <si>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</si>
  <si>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</si>
  <si>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</si>
  <si>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</si>
  <si>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</si>
  <si>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</si>
  <si>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</si>
  <si>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</si>
  <si>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</si>
  <si>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</si>
  <si>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</si>
  <si>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</si>
  <si>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</si>
  <si>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</si>
  <si>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</si>
  <si>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</si>
  <si>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</si>
  <si>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</si>
  <si>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</si>
  <si>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</si>
  <si>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</si>
  <si>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</si>
  <si>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</si>
  <si>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</si>
  <si>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</si>
  <si>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</si>
  <si>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</si>
  <si>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</si>
  <si>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</si>
  <si>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</si>
  <si>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</si>
  <si>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</si>
  <si>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</si>
  <si>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</si>
  <si>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</si>
  <si>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</si>
  <si>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</si>
  <si>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</si>
  <si>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</si>
  <si>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</si>
  <si>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</si>
  <si>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</si>
  <si>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</si>
  <si>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</si>
  <si>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</si>
  <si>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</si>
  <si>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</si>
  <si>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</si>
  <si>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</si>
  <si>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</si>
  <si>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</si>
  <si>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</si>
  <si>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</si>
  <si>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</si>
  <si>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</si>
  <si>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</si>
  <si>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</si>
  <si>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</si>
  <si>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</si>
  <si>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</si>
  <si>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</si>
  <si>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</si>
  <si>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</si>
  <si>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</si>
  <si>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</si>
  <si>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</si>
  <si>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</si>
  <si>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</si>
  <si>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</si>
  <si>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</si>
  <si>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</si>
  <si>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</si>
  <si>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</si>
  <si>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</si>
  <si>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</si>
  <si>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</si>
  <si>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</si>
  <si>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</si>
  <si>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</si>
  <si>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</si>
  <si>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</si>
  <si>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</si>
  <si>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</si>
  <si>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</si>
  <si>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</si>
  <si>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</si>
  <si>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</si>
  <si>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</si>
  <si>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</si>
  <si>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</si>
  <si>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</si>
  <si>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</si>
  <si>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</si>
  <si>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</si>
  <si>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</si>
  <si>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</si>
  <si>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</si>
  <si>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</si>
  <si>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</si>
  <si>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</si>
  <si>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</si>
  <si>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</si>
  <si>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</si>
  <si>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</si>
  <si>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</si>
  <si>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</si>
  <si>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</si>
  <si>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</si>
  <si>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</si>
  <si>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</si>
  <si>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</si>
  <si>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</si>
  <si>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</si>
  <si>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</si>
  <si>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</si>
  <si>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</si>
  <si>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</si>
  <si>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</si>
  <si>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</si>
  <si>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</si>
  <si>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</si>
  <si>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</si>
  <si>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</si>
  <si>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</si>
  <si>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</si>
  <si>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</si>
  <si>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</si>
  <si>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</si>
  <si>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</si>
  <si>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</si>
  <si>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</si>
  <si>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</si>
  <si>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</si>
  <si>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</si>
  <si>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</si>
  <si>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</si>
  <si>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</si>
  <si>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</si>
  <si>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</si>
  <si>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</si>
  <si>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</si>
  <si>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</si>
  <si>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</si>
  <si>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</si>
  <si>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</si>
  <si>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</si>
  <si>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</si>
  <si>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</si>
  <si>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</si>
  <si>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</si>
  <si>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</si>
  <si>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</si>
  <si>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</si>
  <si>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</si>
  <si>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</si>
  <si>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</si>
  <si>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</si>
  <si>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</si>
  <si>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</si>
  <si>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</si>
  <si>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</si>
  <si>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</si>
  <si>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</si>
  <si>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</si>
  <si>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</si>
  <si>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</si>
  <si>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</si>
  <si>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</si>
  <si>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</si>
  <si>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</si>
  <si>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</si>
  <si>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</si>
  <si>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</si>
  <si>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</si>
  <si>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</si>
  <si>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</si>
  <si>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</si>
  <si>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</si>
  <si>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</si>
  <si>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</si>
  <si>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</si>
  <si>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</si>
  <si>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</si>
  <si>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</si>
  <si>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</si>
  <si>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</si>
  <si>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</si>
  <si>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</si>
  <si>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</si>
  <si>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</si>
  <si>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</si>
  <si>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</si>
  <si>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</si>
  <si>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</si>
  <si>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</si>
  <si>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</si>
  <si>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</si>
  <si>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</si>
  <si>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</si>
  <si>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</si>
  <si>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</si>
  <si>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</si>
  <si>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</si>
  <si>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</si>
  <si>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</si>
  <si>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</si>
  <si>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</si>
  <si>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</si>
  <si>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</si>
  <si>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</si>
  <si>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</si>
  <si>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</si>
  <si>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</si>
  <si>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</si>
  <si>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</si>
  <si>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</si>
  <si>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</si>
  <si>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</si>
  <si>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</si>
  <si>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</si>
  <si>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</si>
  <si>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</si>
  <si>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</si>
  <si>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</si>
  <si>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</si>
  <si>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</si>
  <si>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</si>
  <si>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</si>
  <si>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</si>
  <si>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</si>
  <si>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</si>
  <si>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</si>
  <si>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</si>
  <si>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</si>
  <si>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</si>
  <si>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</si>
  <si>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</si>
  <si>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</si>
  <si>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</si>
  <si>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</si>
  <si>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</si>
  <si>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</si>
  <si>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</si>
  <si>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</si>
  <si>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</si>
  <si>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</si>
  <si>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</si>
  <si>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</si>
  <si>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</si>
  <si>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</si>
  <si>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</si>
  <si>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</si>
  <si>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</si>
  <si>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</si>
  <si>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</si>
  <si>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</si>
  <si>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</si>
  <si>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</si>
  <si>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</si>
  <si>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</si>
  <si>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</si>
  <si>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</si>
  <si>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</si>
  <si>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</si>
  <si>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</si>
  <si>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</si>
  <si>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</si>
  <si>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</si>
  <si>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</si>
  <si>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</si>
  <si>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</si>
  <si>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</si>
  <si>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</si>
  <si>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</si>
  <si>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</si>
  <si>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</si>
  <si>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</si>
  <si>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</si>
  <si>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</si>
  <si>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</si>
  <si>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</si>
  <si>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</si>
  <si>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</si>
  <si>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</si>
  <si>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</si>
  <si>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</si>
  <si>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</si>
  <si>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</si>
  <si>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</si>
  <si>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</si>
  <si>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</si>
  <si>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</si>
  <si>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</si>
  <si>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</si>
  <si>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</si>
  <si>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</si>
  <si>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</si>
  <si>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</si>
  <si>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</si>
  <si>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</si>
  <si>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</si>
  <si>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</si>
  <si>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</si>
  <si>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</si>
  <si>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</si>
  <si>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</si>
  <si>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</si>
  <si>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</si>
  <si>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</si>
  <si>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</si>
  <si>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</si>
  <si>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</si>
  <si>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</si>
  <si>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</si>
  <si>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</si>
  <si>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</si>
  <si>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</si>
  <si>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</si>
  <si>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</si>
  <si>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</si>
  <si>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</si>
  <si>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</si>
  <si>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</si>
  <si>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</si>
  <si>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</si>
  <si>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</si>
  <si>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</si>
  <si>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</si>
  <si>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</si>
  <si>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</si>
  <si>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</si>
  <si>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</si>
  <si>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</si>
  <si>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</si>
  <si>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</si>
  <si>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</si>
  <si>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</si>
  <si>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</si>
  <si>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</si>
  <si>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</si>
  <si>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</si>
  <si>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</si>
  <si>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</si>
  <si>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</si>
  <si>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</si>
  <si>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</si>
  <si>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</si>
  <si>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</si>
  <si>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</si>
  <si>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</si>
  <si>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</si>
  <si>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</si>
  <si>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</si>
  <si>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</si>
  <si>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</si>
  <si>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</si>
  <si>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</si>
  <si>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</si>
  <si>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</si>
  <si>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</si>
  <si>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</si>
  <si>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</si>
  <si>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</si>
  <si>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</si>
  <si>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</si>
  <si>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</si>
  <si>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</si>
  <si>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</si>
  <si>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</si>
  <si>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</si>
  <si>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</si>
  <si>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</si>
  <si>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</si>
  <si>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</si>
  <si>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</si>
  <si>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</si>
  <si>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</si>
  <si>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</si>
  <si>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</si>
  <si>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</si>
  <si>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</si>
  <si>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</si>
  <si>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</si>
  <si>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</si>
  <si>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</si>
  <si>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</si>
  <si>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</si>
  <si>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</si>
  <si>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</si>
  <si>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</si>
  <si>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</si>
  <si>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</si>
  <si>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</si>
  <si>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</si>
  <si>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</si>
  <si>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</si>
  <si>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</si>
  <si>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</si>
  <si>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</si>
  <si>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</si>
  <si>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</si>
  <si>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</si>
  <si>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</si>
  <si>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</si>
  <si>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</si>
  <si>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</si>
  <si>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</si>
  <si>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</si>
  <si>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</si>
  <si>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</si>
  <si>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</si>
  <si>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</si>
  <si>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</si>
  <si>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</si>
  <si>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</si>
  <si>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</si>
  <si>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</si>
  <si>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</si>
  <si>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</si>
  <si>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</si>
  <si>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</si>
  <si>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</si>
  <si>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</si>
  <si>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</si>
  <si>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</si>
  <si>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</si>
  <si>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</si>
  <si>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</si>
  <si>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</si>
  <si>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</si>
  <si>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</si>
  <si>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</si>
  <si>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</si>
  <si>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</si>
  <si>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</si>
  <si>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</si>
  <si>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</si>
  <si>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</si>
  <si>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</si>
  <si>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</si>
  <si>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</si>
  <si>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</si>
  <si>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</si>
  <si>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</si>
  <si>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</si>
  <si>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</si>
  <si>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</si>
  <si>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</si>
  <si>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</si>
  <si>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</si>
  <si>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</si>
  <si>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</si>
  <si>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</si>
  <si>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</si>
  <si>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</si>
  <si>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</si>
  <si>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</si>
  <si>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</si>
  <si>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</si>
  <si>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</si>
  <si>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</si>
  <si>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</si>
  <si>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</si>
  <si>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</si>
  <si>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</si>
  <si>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</si>
  <si>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</si>
  <si>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</si>
  <si>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</si>
  <si>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</si>
  <si>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</si>
  <si>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</si>
  <si>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</si>
  <si>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</si>
  <si>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</si>
  <si>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</si>
  <si>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</si>
  <si>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</si>
  <si>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</si>
  <si>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</si>
  <si>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</si>
  <si>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</si>
  <si>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</si>
  <si>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</si>
  <si>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</si>
  <si>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</si>
  <si>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</si>
  <si>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</si>
  <si>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</si>
  <si>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</si>
  <si>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</si>
  <si>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</si>
  <si>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</si>
  <si>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</si>
  <si>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</si>
  <si>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</si>
  <si>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</si>
  <si>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</si>
  <si>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</si>
  <si>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</si>
  <si>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</si>
  <si>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</si>
  <si>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</si>
  <si>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</si>
  <si>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</si>
  <si>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</si>
  <si>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</si>
  <si>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</si>
  <si>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</si>
  <si>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</si>
  <si>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</si>
  <si>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</si>
  <si>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</si>
  <si>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</si>
  <si>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</si>
  <si>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</si>
  <si>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</si>
  <si>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</si>
  <si>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</si>
  <si>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</si>
  <si>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</si>
  <si>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</si>
  <si>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</si>
  <si>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</si>
  <si>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</si>
  <si>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</si>
  <si>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</si>
  <si>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</si>
  <si>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</si>
  <si>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</si>
  <si>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</si>
  <si>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</si>
  <si>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</si>
  <si>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</si>
  <si>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</si>
  <si>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</si>
  <si>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</si>
  <si>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</si>
  <si>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</si>
  <si>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</si>
  <si>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</si>
  <si>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</si>
  <si>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</si>
  <si>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</si>
  <si>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</si>
  <si>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</si>
  <si>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</si>
  <si>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</si>
  <si>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</si>
  <si>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</si>
  <si>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</si>
  <si>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</si>
  <si>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</si>
  <si>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</si>
  <si>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</si>
  <si>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</si>
  <si>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</si>
  <si>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</si>
  <si>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</si>
  <si>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</si>
  <si>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</si>
  <si>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</si>
  <si>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</si>
  <si>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</si>
  <si>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</si>
  <si>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</si>
  <si>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</si>
  <si>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</si>
  <si>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</si>
  <si>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</si>
  <si>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</si>
  <si>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</si>
  <si>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</si>
  <si>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</si>
  <si>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</si>
  <si>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</si>
  <si>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</si>
  <si>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</si>
  <si>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</si>
  <si>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</si>
  <si>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</si>
  <si>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</si>
  <si>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</si>
  <si>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</si>
  <si>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</si>
  <si>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</si>
  <si>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</si>
  <si>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</si>
  <si>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</si>
  <si>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</si>
  <si>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</si>
  <si>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</si>
  <si>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</si>
  <si>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</si>
  <si>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</si>
  <si>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</si>
  <si>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</si>
  <si>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</si>
  <si>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</si>
  <si>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</si>
  <si>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</si>
  <si>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</si>
  <si>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</si>
  <si>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</si>
  <si>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</si>
  <si>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</si>
  <si>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</si>
  <si>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</si>
  <si>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</si>
  <si>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</si>
  <si>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</si>
  <si>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</si>
  <si>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</si>
  <si>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</si>
  <si>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</si>
  <si>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</si>
  <si>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</si>
  <si>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</si>
  <si>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</si>
  <si>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</si>
  <si>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</si>
  <si>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</si>
  <si>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</si>
  <si>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</si>
  <si>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</si>
  <si>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</si>
  <si>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</si>
  <si>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</si>
  <si>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</si>
  <si>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</si>
  <si>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</si>
  <si>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</si>
  <si>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</si>
  <si>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</si>
  <si>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</si>
  <si>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</si>
  <si>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</si>
  <si>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</si>
  <si>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</si>
  <si>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</si>
  <si>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</si>
  <si>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</si>
  <si>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</si>
  <si>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</si>
  <si>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</si>
  <si>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</si>
  <si>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</si>
  <si>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</si>
  <si>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</si>
  <si>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</si>
  <si>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</si>
  <si>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</si>
  <si>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</si>
  <si>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</si>
  <si>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</si>
  <si>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</si>
  <si>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</si>
  <si>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</si>
  <si>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</si>
  <si>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</si>
  <si>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</si>
  <si>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</si>
  <si>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</si>
  <si>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</si>
  <si>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</si>
  <si>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</si>
  <si>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</si>
  <si>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</si>
  <si>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</si>
  <si>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</si>
  <si>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</si>
  <si>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</si>
  <si>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</si>
  <si>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</si>
  <si>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</si>
  <si>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</si>
  <si>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</si>
  <si>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</si>
  <si>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</si>
  <si>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</si>
  <si>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</si>
  <si>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</si>
  <si>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</si>
  <si>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</si>
  <si>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</si>
  <si>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</si>
  <si>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</si>
  <si>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</si>
  <si>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</si>
  <si>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</si>
  <si>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</si>
  <si>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</si>
  <si>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</si>
  <si>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</si>
  <si>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</si>
  <si>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</si>
  <si>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</si>
  <si>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</si>
  <si>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</si>
  <si>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</si>
  <si>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</si>
  <si>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</si>
  <si>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</si>
  <si>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</si>
  <si>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</si>
  <si>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</si>
  <si>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</si>
  <si>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</si>
  <si>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</si>
  <si>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</si>
  <si>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</si>
  <si>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</si>
  <si>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</si>
  <si>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</si>
  <si>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</si>
  <si>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</si>
  <si>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</si>
  <si>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</si>
  <si>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</si>
  <si>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</si>
  <si>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</si>
  <si>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</si>
  <si>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</si>
  <si>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</si>
  <si>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</si>
  <si>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</si>
  <si>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</si>
  <si>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</si>
  <si>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</si>
  <si>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</si>
  <si>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</si>
  <si>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</si>
  <si>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</si>
  <si>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</si>
  <si>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</si>
  <si>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</si>
  <si>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</si>
  <si>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</si>
  <si>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</si>
  <si>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</si>
  <si>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</si>
  <si>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</si>
  <si>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</si>
  <si>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</si>
  <si>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</si>
  <si>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</si>
  <si>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</si>
  <si>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</si>
  <si>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</si>
  <si>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</si>
  <si>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</si>
  <si>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</si>
  <si>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</si>
  <si>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</si>
  <si>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</si>
  <si>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</si>
  <si>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</si>
  <si>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</si>
  <si>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</si>
  <si>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</si>
  <si>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</si>
  <si>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</si>
  <si>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</si>
  <si>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</si>
  <si>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</si>
  <si>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</si>
  <si>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</si>
  <si>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</si>
  <si>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</si>
  <si>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</si>
  <si>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</si>
  <si>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</si>
  <si>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</si>
  <si>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</si>
  <si>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</si>
  <si>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</si>
  <si>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</si>
  <si>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</si>
  <si>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</si>
  <si>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</si>
  <si>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</si>
  <si>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</si>
  <si>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</si>
  <si>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</si>
  <si>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</si>
  <si>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</si>
  <si>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</si>
  <si>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</si>
  <si>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</si>
  <si>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</si>
  <si>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</si>
  <si>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</si>
  <si>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</si>
  <si>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</si>
  <si>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</si>
  <si>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</si>
  <si>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</si>
  <si>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</si>
  <si>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</si>
  <si>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</si>
  <si>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</si>
  <si>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</si>
  <si>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</si>
  <si>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</si>
  <si>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</si>
  <si>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</si>
  <si>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</si>
  <si>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</si>
  <si>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</si>
  <si>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</si>
  <si>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</si>
  <si>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</si>
  <si>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</si>
  <si>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</si>
  <si>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</si>
  <si>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</si>
  <si>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</si>
  <si>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</si>
  <si>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</si>
  <si>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</si>
  <si>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</si>
  <si>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</si>
  <si>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</si>
  <si>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</si>
  <si>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</si>
  <si>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</si>
  <si>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</si>
  <si>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</si>
  <si>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</si>
  <si>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</si>
  <si>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</si>
  <si>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</si>
  <si>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</si>
  <si>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</si>
  <si>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</si>
  <si>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</si>
  <si>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</si>
  <si>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</si>
  <si>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</si>
  <si>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</si>
  <si>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</si>
  <si>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</si>
  <si>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</si>
  <si>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</si>
  <si>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</si>
  <si>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</si>
  <si>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</si>
  <si>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</si>
  <si>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</si>
  <si>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</si>
  <si>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</si>
  <si>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</si>
  <si>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</si>
  <si>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</si>
  <si>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</si>
  <si>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</si>
  <si>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</si>
  <si>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</si>
  <si>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</si>
  <si>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</si>
  <si>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</si>
  <si>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</si>
  <si>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</si>
  <si>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</si>
  <si>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</si>
  <si>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</si>
  <si>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</si>
  <si>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</si>
  <si>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</si>
  <si>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</si>
  <si>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</si>
  <si>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</si>
  <si>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</si>
  <si>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</si>
  <si>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</si>
  <si>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</si>
  <si>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</si>
  <si>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</si>
  <si>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</si>
  <si>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</si>
  <si>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</si>
  <si>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</si>
  <si>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</si>
  <si>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</si>
  <si>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</si>
  <si>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</si>
  <si>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</si>
  <si>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</si>
  <si>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</si>
  <si>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</si>
  <si>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</si>
  <si>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</si>
  <si>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</si>
  <si>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</si>
  <si>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</si>
  <si>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</si>
  <si>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</si>
  <si>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</si>
  <si>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</si>
  <si>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</si>
  <si>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</si>
  <si>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</si>
  <si>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</si>
  <si>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</si>
  <si>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</si>
  <si>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</si>
  <si>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</si>
  <si>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</si>
  <si>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</si>
  <si>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</si>
  <si>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</si>
  <si>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</si>
  <si>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</si>
  <si>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</si>
  <si>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</si>
  <si>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</si>
  <si>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</si>
  <si>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</si>
  <si>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</si>
  <si>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</si>
  <si>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</si>
  <si>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</si>
  <si>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</si>
  <si>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</si>
  <si>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</si>
  <si>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</si>
  <si>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</si>
  <si>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</si>
  <si>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</si>
  <si>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</si>
  <si>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</si>
  <si>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</si>
  <si>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</si>
  <si>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</si>
  <si>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</si>
  <si>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</si>
  <si>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</si>
  <si>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</si>
  <si>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</si>
  <si>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</si>
  <si>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</si>
  <si>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</si>
  <si>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</si>
  <si>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</si>
  <si>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</si>
  <si>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</si>
  <si>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</si>
  <si>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</si>
  <si>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</si>
  <si>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</si>
  <si>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</si>
  <si>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</si>
  <si>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</si>
  <si>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</si>
  <si>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</si>
  <si>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</si>
  <si>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</si>
  <si>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</si>
  <si>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</si>
  <si>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</si>
  <si>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</si>
  <si>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</si>
  <si>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</si>
  <si>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</si>
  <si>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</si>
  <si>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</si>
  <si>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</si>
  <si>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</si>
  <si>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</si>
  <si>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</si>
  <si>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</si>
  <si>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</si>
  <si>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</si>
  <si>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</si>
  <si>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</si>
  <si>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</si>
  <si>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</si>
  <si>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</si>
  <si>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</si>
  <si>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</si>
  <si>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</si>
  <si>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</si>
  <si>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</si>
  <si>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</si>
  <si>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</si>
  <si>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</si>
  <si>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</si>
  <si>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</si>
  <si>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</si>
  <si>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</si>
  <si>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</si>
  <si>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</si>
  <si>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</si>
  <si>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</si>
  <si>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</si>
  <si>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</si>
  <si>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</si>
  <si>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</si>
  <si>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</si>
  <si>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</si>
  <si>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</si>
  <si>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</si>
  <si>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</si>
  <si>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</si>
  <si>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</si>
  <si>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</si>
  <si>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</si>
  <si>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</si>
  <si>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</si>
  <si>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</si>
  <si>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</si>
  <si>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</si>
  <si>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</si>
  <si>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</si>
  <si>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</si>
  <si>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</si>
  <si>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</si>
  <si>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</si>
  <si>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</si>
  <si>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</si>
  <si>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</si>
  <si>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</si>
  <si>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</si>
  <si>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</si>
  <si>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</si>
  <si>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</si>
  <si>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</si>
  <si>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</si>
  <si>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</si>
  <si>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</si>
  <si>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</si>
  <si>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</si>
  <si>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</si>
  <si>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</si>
  <si>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</si>
  <si>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</si>
  <si>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</si>
  <si>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</si>
  <si>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</si>
  <si>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</si>
  <si>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</si>
  <si>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</si>
  <si>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</si>
  <si>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</si>
  <si>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</si>
  <si>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</si>
  <si>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</si>
  <si>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</si>
  <si>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</si>
  <si>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</si>
  <si>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</si>
  <si>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</si>
  <si>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</si>
  <si>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</si>
  <si>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</si>
  <si>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</si>
  <si>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</si>
  <si>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</si>
  <si>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</si>
  <si>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</si>
  <si>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</si>
  <si>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</si>
  <si>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</si>
  <si>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</si>
  <si>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</si>
  <si>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</si>
  <si>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</si>
  <si>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</si>
  <si>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</si>
  <si>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</si>
  <si>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</si>
  <si>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</si>
  <si>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</si>
  <si>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</si>
  <si>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</si>
  <si>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</si>
  <si>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</si>
  <si>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</si>
  <si>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</si>
  <si>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</si>
  <si>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</si>
  <si>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</si>
  <si>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</si>
  <si>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</si>
  <si>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</si>
  <si>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</si>
  <si>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</si>
  <si>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</si>
  <si>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</si>
  <si>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</si>
  <si>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</si>
  <si>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</si>
  <si>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</si>
  <si>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</si>
  <si>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</si>
  <si>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</si>
  <si>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</si>
  <si>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</si>
  <si>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</si>
  <si>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</si>
  <si>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</si>
  <si>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</si>
  <si>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</si>
  <si>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</si>
  <si>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</si>
  <si>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</si>
  <si>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</si>
  <si>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</si>
  <si>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</si>
  <si>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</si>
  <si>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</si>
  <si>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</si>
  <si>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</si>
  <si>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</si>
  <si>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</si>
  <si>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</si>
  <si>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</si>
  <si>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</si>
  <si>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</si>
  <si>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</si>
  <si>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</si>
  <si>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</si>
  <si>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</si>
  <si>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</si>
  <si>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</si>
  <si>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</si>
  <si>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</si>
  <si>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</si>
  <si>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</si>
  <si>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</si>
  <si>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</si>
  <si>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</si>
  <si>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</si>
  <si>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</si>
  <si>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</si>
  <si>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</si>
  <si>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</si>
  <si>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</si>
  <si>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</si>
  <si>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</si>
  <si>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</si>
  <si>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</si>
  <si>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</si>
  <si>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</si>
  <si>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</si>
  <si>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</si>
  <si>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</si>
  <si>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</si>
  <si>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</si>
  <si>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</si>
  <si>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</si>
  <si>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</si>
  <si>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</si>
  <si>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</si>
  <si>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</si>
  <si>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</si>
  <si>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</si>
  <si>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</si>
  <si>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</si>
  <si>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</si>
  <si>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</si>
  <si>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</si>
  <si>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</si>
  <si>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</si>
  <si>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</si>
  <si>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</si>
  <si>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</si>
  <si>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</si>
  <si>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</si>
  <si>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</si>
  <si>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</si>
  <si>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</si>
  <si>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</si>
  <si>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</si>
  <si>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</si>
  <si>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</si>
  <si>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</si>
  <si>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</si>
  <si>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</si>
  <si>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</si>
  <si>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</si>
  <si>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</si>
  <si>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</si>
  <si>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</si>
  <si>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</si>
  <si>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</si>
  <si>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</si>
  <si>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</si>
  <si>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</si>
  <si>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</si>
  <si>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</si>
  <si>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</si>
  <si>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</si>
  <si>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</si>
  <si>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</si>
  <si>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</si>
  <si>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</si>
  <si>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</si>
  <si>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</si>
  <si>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</si>
  <si>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</si>
  <si>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</si>
  <si>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</si>
  <si>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</si>
  <si>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</si>
  <si>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</si>
  <si>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</si>
  <si>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</si>
  <si>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</si>
  <si>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</si>
  <si>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</si>
  <si>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</si>
  <si>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</si>
  <si>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</si>
  <si>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</si>
  <si>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</si>
  <si>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</si>
  <si>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</si>
  <si>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</si>
  <si>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</si>
  <si>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</si>
  <si>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</si>
  <si>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</si>
  <si>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</si>
  <si>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</si>
  <si>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</si>
  <si>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</si>
  <si>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</si>
  <si>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</si>
  <si>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</si>
  <si>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</si>
  <si>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</si>
  <si>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</si>
  <si>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</si>
  <si>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</si>
  <si>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</si>
  <si>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</si>
  <si>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</si>
  <si>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</si>
  <si>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</si>
  <si>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</si>
  <si>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</si>
  <si>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</si>
  <si>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</si>
  <si>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</si>
  <si>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</si>
  <si>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</si>
  <si>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</si>
  <si>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</si>
  <si>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</si>
  <si>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</si>
  <si>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</si>
  <si>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at 16-05</t>
  </si>
  <si>
    <t>Ngọc Phượng</t>
  </si>
  <si>
    <t>HD014928</t>
  </si>
  <si>
    <t>The grand midtown m5 đường số 16 p. Tân Phú</t>
  </si>
  <si>
    <t>AT 24-04</t>
  </si>
  <si>
    <t>24-04-2026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</si>
</sst>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8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5" t="s">
        <v>191</v>
      </c>
      <c r="D60" s="35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6">
        <f>SUMIFS(I$3:I$56,B$3:B$56,A$60,L$3:L$56,A$61)</f>
        <v>35295</v>
      </c>
      <c r="D61" s="36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7">
        <v>0</v>
      </c>
      <c r="D62" s="37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7">
        <f>-SUMIFS(I$3:I$56,B$3:B$56,A$60,P$3:P$56,"xx",N$3:N$56,"x")</f>
        <v>0</v>
      </c>
      <c r="D63" s="37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5">
        <f>SUBTOTAL(9,C61:C63)</f>
        <v>35295</v>
      </c>
      <c r="D64" s="35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3"/>
      <c r="D65" s="33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3"/>
      <c r="D66" s="33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4">
        <f>C64+C65+C66</f>
        <v>35295</v>
      </c>
      <c r="D68" s="34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5" t="s">
        <v>191</v>
      </c>
      <c r="D30" s="35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6">
        <f>SUMIFS(I$3:I$26,B$3:B$26,A$30,L$3:L$26,A$31)</f>
        <v>9280</v>
      </c>
      <c r="D31" s="36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7">
        <v>0</v>
      </c>
      <c r="D32" s="37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7">
        <f>-SUMIFS(I$3:I$26,B$3:B$26,A$30,P$3:P$26,"xx",N$3:N$26,"x")</f>
        <v>-3055</v>
      </c>
      <c r="D33" s="37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5">
        <f>SUBTOTAL(9,C31:C33)</f>
        <v>6225</v>
      </c>
      <c r="D34" s="35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3"/>
      <c r="D35" s="33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3"/>
      <c r="D36" s="33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4">
        <f>C34+C35+C36</f>
        <v>6225</v>
      </c>
      <c r="D38" s="34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5" t="s">
        <v>191</v>
      </c>
      <c r="D59" s="35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6">
        <f>SUMIFS(I$3:I$55,B$3:B$55,A$59,L$3:L$55,A$60)</f>
        <v>37890</v>
      </c>
      <c r="D60" s="36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7">
        <v>0</v>
      </c>
      <c r="D61" s="37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7">
        <f>-SUMIFS(I$3:I$55,B$3:B$55,A$59,P$3:P$55,"xx",N$3:N$55,"x")</f>
        <v>0</v>
      </c>
      <c r="D62" s="37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5">
        <f>SUBTOTAL(9,C60:C62)</f>
        <v>37890</v>
      </c>
      <c r="D63" s="35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3"/>
      <c r="D64" s="33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3">
        <v>-30</v>
      </c>
      <c r="D65" s="33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4">
        <f>C63+C64+C65</f>
        <v>37860</v>
      </c>
      <c r="D67" s="34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5" t="s">
        <v>191</v>
      </c>
      <c r="D38" s="35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6">
        <f>SUMIFS(I$3:I$34,B$3:B$34,A$38,L$3:L$34,A$39)</f>
        <v>22325</v>
      </c>
      <c r="D39" s="36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7">
        <v>0</v>
      </c>
      <c r="D40" s="37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7">
        <f>-SUMIFS(I$3:I$34,B$3:B$34,A$38,P$3:P$34,"xx",N$3:N$34,"x")</f>
        <v>0</v>
      </c>
      <c r="D41" s="37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5">
        <f>SUBTOTAL(9,C39:C41)</f>
        <v>22325</v>
      </c>
      <c r="D42" s="35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3"/>
      <c r="D43" s="33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3"/>
      <c r="D44" s="33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4">
        <f>C42+C43+C44</f>
        <v>22325</v>
      </c>
      <c r="D46" s="34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5" t="s">
        <v>191</v>
      </c>
      <c r="D40" s="35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6">
        <f>SUMIFS(I$3:I$36,B$3:B$36,A$40,L$3:L$36,A$41)</f>
        <v>17615</v>
      </c>
      <c r="D41" s="36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7">
        <v>0</v>
      </c>
      <c r="D42" s="37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7">
        <f>-SUMIFS(I$3:I$36,B$3:B$36,A$40,P$3:P$36,"xx",N$3:N$36,"x")</f>
        <v>0</v>
      </c>
      <c r="D43" s="37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5">
        <f>SUBTOTAL(9,C41:C43)</f>
        <v>17615</v>
      </c>
      <c r="D44" s="35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3"/>
      <c r="D45" s="33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3"/>
      <c r="D46" s="33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4">
        <f>C44+C45+C46</f>
        <v>17615</v>
      </c>
      <c r="D48" s="34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C26" workbookViewId="0">
      <selection activeCell="D39" sqref="D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5" t="s">
        <v>191</v>
      </c>
      <c r="D43" s="35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6">
        <f>SUMIFS(I$3:I$39,B$3:B$39,A$43,L$3:L$39,A$44)</f>
        <v>17471</v>
      </c>
      <c r="D44" s="36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7">
        <v>0</v>
      </c>
      <c r="D45" s="37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7">
        <f>-SUMIFS(I$3:I$39,B$3:B$39,A$43,P$3:P$39,"xx",N$3:N$39,"x")</f>
        <v>-1980</v>
      </c>
      <c r="D46" s="37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5">
        <f>SUBTOTAL(9,C44:C46)</f>
        <v>15491</v>
      </c>
      <c r="D47" s="35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3"/>
      <c r="D48" s="33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3"/>
      <c r="D49" s="33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4">
        <f>C47+C48+C49</f>
        <v>15491</v>
      </c>
      <c r="D51" s="34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5" t="s">
        <v>191</v>
      </c>
      <c r="D37" s="35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6">
        <f>SUMIFS(I$3:I$33,B$3:B$33,A$37,L$3:L$33,A$38)</f>
        <v>27540</v>
      </c>
      <c r="D38" s="36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7">
        <v>0</v>
      </c>
      <c r="D39" s="37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7">
        <f>-SUMIFS(I$3:I$33,B$3:B$33,A$37,P$3:P$33,"xx",N$3:N$33,"x")</f>
        <v>0</v>
      </c>
      <c r="D40" s="37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5">
        <f>SUBTOTAL(9,C38:C40)</f>
        <v>27540</v>
      </c>
      <c r="D41" s="35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3"/>
      <c r="D42" s="33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3"/>
      <c r="D43" s="33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4">
        <f>C41+C42+C43</f>
        <v>27540</v>
      </c>
      <c r="D45" s="34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7" workbookViewId="0">
      <selection activeCell="I66" sqref="I66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5" t="s">
        <v>191</v>
      </c>
      <c r="D66" s="35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6">
        <f>SUMIFS(I$3:I$62,B$3:B$62,A$66,L$3:L$62,A$67)</f>
        <v>38370</v>
      </c>
      <c r="D67" s="36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7">
        <v>0</v>
      </c>
      <c r="D68" s="37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7">
        <f>-SUMIFS(I$3:I$62,B$3:B$62,A$66,P$3:P$62,"xx",N$3:N$62,"x")</f>
        <v>-3360</v>
      </c>
      <c r="D69" s="37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35">
        <f>SUBTOTAL(9,C67:C69)</f>
        <v>35010</v>
      </c>
      <c r="D70" s="35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3"/>
      <c r="D71" s="33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3"/>
      <c r="D72" s="33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4">
        <f>C70+C71+C72</f>
        <v>35010</v>
      </c>
      <c r="D74" s="34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34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5" t="s">
        <v>191</v>
      </c>
      <c r="D32" s="35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36">
        <f>SUMIFS(I$3:I$28,B$3:B$28,A$32,L$3:L$28,A$33)</f>
        <v>17250</v>
      </c>
      <c r="D33" s="36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7">
        <v>0</v>
      </c>
      <c r="D34" s="37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37">
        <f>-SUMIFS(I$3:I$28,B$3:B$28,A$32,P$3:P$28,"xx",N$3:N$28,"x")</f>
        <v>0</v>
      </c>
      <c r="D35" s="37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5">
        <f>SUBTOTAL(9,C33:C35)</f>
        <v>17250</v>
      </c>
      <c r="D36" s="35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3"/>
      <c r="D37" s="33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3"/>
      <c r="D38" s="33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4">
        <f>C36+C37+C38</f>
        <v>17250</v>
      </c>
      <c r="D40" s="34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1" t="s">
        <v>17</v>
      </c>
      <c r="C42" s="35" t="s">
        <v>191</v>
      </c>
      <c r="D42" s="35"/>
      <c r="E42" s="4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3" t="s">
        <v>195</v>
      </c>
      <c r="C43" s="36">
        <f>SUMIFS(I$3:I$28,B$3:B$28,A$42,L$3:L$28,A$43)</f>
        <v>890</v>
      </c>
      <c r="D43" s="36"/>
      <c r="E43" s="3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2" t="s">
        <v>199</v>
      </c>
      <c r="C44" s="37">
        <v>0</v>
      </c>
      <c r="D44" s="37"/>
      <c r="K44" s="2" t="s">
        <v>204</v>
      </c>
    </row>
    <row r="45" spans="1:16" x14ac:dyDescent="0.25">
      <c r="B45" s="2" t="s">
        <v>201</v>
      </c>
      <c r="C45" s="37">
        <f>-SUMIFS(I$3:I$28,B$3:B$28,A$42,P$3:P$28,"xx",N$3:N$28,"x")</f>
        <v>0</v>
      </c>
      <c r="D45" s="37"/>
      <c r="E45" s="2">
        <f>SUMIFS(Q$3:Q$28,B$3:B$28,A$42,P$3:P$28,"xx",N$3:N$28,"x")</f>
        <v>0</v>
      </c>
      <c r="K45" s="2" t="s">
        <v>206</v>
      </c>
    </row>
    <row r="46" spans="1:16" x14ac:dyDescent="0.25">
      <c r="B46" s="4" t="s">
        <v>203</v>
      </c>
      <c r="C46" s="35">
        <f>SUBTOTAL(9,C43:C45)</f>
        <v>890</v>
      </c>
      <c r="D46" s="35"/>
      <c r="E46">
        <f>E43</f>
        <v>1</v>
      </c>
      <c r="L46" s="13">
        <f>SUBTOTAL(9,L41:L45)</f>
        <v>7451</v>
      </c>
      <c r="M46" s="13">
        <f>M41</f>
        <v>10</v>
      </c>
    </row>
    <row r="47" spans="1:16" x14ac:dyDescent="0.25">
      <c r="B47" s="2" t="s">
        <v>205</v>
      </c>
      <c r="C47" s="33"/>
      <c r="D47" s="33"/>
    </row>
    <row r="48" spans="1:16" x14ac:dyDescent="0.25">
      <c r="B48" s="12" t="s">
        <v>208</v>
      </c>
      <c r="C48" s="33"/>
      <c r="D48" s="33"/>
      <c r="K48" s="11" t="s">
        <v>135</v>
      </c>
      <c r="L48" s="11" t="s">
        <v>193</v>
      </c>
      <c r="M48" s="11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1" t="s">
        <v>210</v>
      </c>
      <c r="C50" s="34">
        <f>C46+C47+C48</f>
        <v>890</v>
      </c>
      <c r="D50" s="34"/>
      <c r="E50" s="1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2" t="s">
        <v>204</v>
      </c>
    </row>
    <row r="53" spans="2:13" x14ac:dyDescent="0.25">
      <c r="K53" s="31" t="s">
        <v>206</v>
      </c>
      <c r="L53" s="23"/>
      <c r="M53" s="23"/>
    </row>
    <row r="54" spans="2:13" x14ac:dyDescent="0.25">
      <c r="K54" s="2" t="s">
        <v>1005</v>
      </c>
      <c r="L54" s="23">
        <v>-915</v>
      </c>
      <c r="M54" s="23" t="s">
        <v>288</v>
      </c>
    </row>
    <row r="55" spans="2:13" x14ac:dyDescent="0.25">
      <c r="L55" s="13">
        <f>SUBTOTAL(9,L49:L54)</f>
        <v>3945</v>
      </c>
      <c r="M55" s="13">
        <f>M49</f>
        <v>8</v>
      </c>
    </row>
    <row r="57" spans="2:13" x14ac:dyDescent="0.25">
      <c r="K57" s="11" t="s">
        <v>20</v>
      </c>
      <c r="L57" s="11" t="s">
        <v>193</v>
      </c>
      <c r="M57" s="11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2" t="s">
        <v>204</v>
      </c>
    </row>
    <row r="62" spans="2:13" x14ac:dyDescent="0.25">
      <c r="K62" s="2" t="s">
        <v>206</v>
      </c>
    </row>
    <row r="63" spans="2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32:D32"/>
    <mergeCell ref="C33:D33"/>
    <mergeCell ref="C34:D34"/>
    <mergeCell ref="C35:D35"/>
    <mergeCell ref="C36:D36"/>
    <mergeCell ref="C37:D37"/>
    <mergeCell ref="C38:D38"/>
    <mergeCell ref="C40:D40"/>
    <mergeCell ref="C42:D42"/>
    <mergeCell ref="C43:D43"/>
    <mergeCell ref="C50:D50"/>
    <mergeCell ref="C44:D44"/>
    <mergeCell ref="C45:D45"/>
    <mergeCell ref="C46:D46"/>
    <mergeCell ref="C47:D47"/>
    <mergeCell ref="C48:D48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37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1044</v>
      </c>
      <c r="D3" s="15" t="s">
        <v>1045</v>
      </c>
      <c r="E3" s="15" t="s">
        <v>1046</v>
      </c>
      <c r="F3" s="16">
        <v>7</v>
      </c>
      <c r="G3" s="16">
        <v>980</v>
      </c>
      <c r="H3" s="16">
        <v>30</v>
      </c>
      <c r="I3" s="16">
        <f t="shared" ref="I3:I35" si="0">G3-H3</f>
        <v>950</v>
      </c>
      <c r="J3" s="15" t="s">
        <v>1047</v>
      </c>
      <c r="K3" s="15" t="s">
        <v>21</v>
      </c>
      <c r="L3" s="15" t="s">
        <v>1048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1049</v>
      </c>
      <c r="D4" s="15" t="s">
        <v>1050</v>
      </c>
      <c r="E4" s="15" t="s">
        <v>1051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1047</v>
      </c>
      <c r="K4" s="15" t="s">
        <v>21</v>
      </c>
      <c r="L4" s="15" t="s">
        <v>1048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1052</v>
      </c>
      <c r="D5" s="17" t="s">
        <v>1053</v>
      </c>
      <c r="E5" s="17" t="s">
        <v>1054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1047</v>
      </c>
      <c r="K5" s="17" t="s">
        <v>21</v>
      </c>
      <c r="L5" s="17" t="s">
        <v>1048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1055</v>
      </c>
      <c r="D6" s="15" t="s">
        <v>1056</v>
      </c>
      <c r="E6" s="15" t="s">
        <v>1057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1047</v>
      </c>
      <c r="K6" s="15" t="s">
        <v>21</v>
      </c>
      <c r="L6" s="15" t="s">
        <v>1048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1058</v>
      </c>
      <c r="D7" s="15" t="s">
        <v>1059</v>
      </c>
      <c r="E7" s="15" t="s">
        <v>1060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1047</v>
      </c>
      <c r="K7" s="15" t="s">
        <v>21</v>
      </c>
      <c r="L7" s="15" t="s">
        <v>1048</v>
      </c>
      <c r="M7" s="20" t="s">
        <v>1061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1062</v>
      </c>
      <c r="D8" s="15" t="s">
        <v>1063</v>
      </c>
      <c r="E8" s="15" t="s">
        <v>1064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1047</v>
      </c>
      <c r="K8" s="15" t="s">
        <v>21</v>
      </c>
      <c r="L8" s="15" t="s">
        <v>1048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1065</v>
      </c>
      <c r="D9" s="15" t="s">
        <v>1066</v>
      </c>
      <c r="E9" s="15" t="s">
        <v>1067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1047</v>
      </c>
      <c r="K9" s="15" t="s">
        <v>21</v>
      </c>
      <c r="L9" s="15" t="s">
        <v>1048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1068</v>
      </c>
      <c r="D10" s="15" t="s">
        <v>1069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1047</v>
      </c>
      <c r="K10" s="15" t="s">
        <v>21</v>
      </c>
      <c r="L10" s="15" t="s">
        <v>1048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1070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1047</v>
      </c>
      <c r="K11" s="15" t="s">
        <v>21</v>
      </c>
      <c r="L11" s="15" t="s">
        <v>1048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1071</v>
      </c>
      <c r="D12" s="15" t="s">
        <v>1072</v>
      </c>
      <c r="E12" s="15" t="s">
        <v>1073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1047</v>
      </c>
      <c r="K12" s="15" t="s">
        <v>21</v>
      </c>
      <c r="L12" s="15" t="s">
        <v>1048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1074</v>
      </c>
      <c r="D13" s="15" t="s">
        <v>1075</v>
      </c>
      <c r="E13" s="15" t="s">
        <v>1076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1047</v>
      </c>
      <c r="K13" s="15" t="s">
        <v>21</v>
      </c>
      <c r="L13" s="15" t="s">
        <v>1048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1058</v>
      </c>
      <c r="D14" s="15" t="s">
        <v>1077</v>
      </c>
      <c r="E14" s="15" t="s">
        <v>1078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1047</v>
      </c>
      <c r="K14" s="15" t="s">
        <v>21</v>
      </c>
      <c r="L14" s="15" t="s">
        <v>1048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1079</v>
      </c>
      <c r="D15" s="15"/>
      <c r="E15" s="15" t="s">
        <v>1080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1047</v>
      </c>
      <c r="K15" s="15" t="s">
        <v>21</v>
      </c>
      <c r="L15" s="15" t="s">
        <v>1048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1081</v>
      </c>
      <c r="D16" s="15" t="s">
        <v>1082</v>
      </c>
      <c r="E16" s="15" t="s">
        <v>1083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1048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1084</v>
      </c>
      <c r="D17" s="15" t="s">
        <v>1085</v>
      </c>
      <c r="E17" s="15" t="s">
        <v>1086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1048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1087</v>
      </c>
      <c r="D18" s="15" t="s">
        <v>1088</v>
      </c>
      <c r="E18" s="15" t="s">
        <v>1089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1048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1090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1048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1091</v>
      </c>
      <c r="D20" s="15" t="s">
        <v>1092</v>
      </c>
      <c r="E20" s="15" t="s">
        <v>1093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1048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1094</v>
      </c>
      <c r="D21" s="15" t="s">
        <v>1095</v>
      </c>
      <c r="E21" s="15" t="s">
        <v>1096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1048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1097</v>
      </c>
      <c r="D22" s="15" t="s">
        <v>1098</v>
      </c>
      <c r="E22" s="15" t="s">
        <v>1099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1048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1100</v>
      </c>
      <c r="D23" s="15" t="s">
        <v>1101</v>
      </c>
      <c r="E23" s="15" t="s">
        <v>1102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1048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1103</v>
      </c>
      <c r="D24" s="15" t="s">
        <v>1104</v>
      </c>
      <c r="E24" s="15" t="s">
        <v>1105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1048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 t="shared" si="0"/>
        <v>0</v>
      </c>
      <c r="J25" s="15" t="s">
        <v>21</v>
      </c>
      <c r="K25" s="15" t="s">
        <v>21</v>
      </c>
      <c r="L25" s="15" t="s">
        <v>1048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1106</v>
      </c>
      <c r="F26" s="15" t="s">
        <v>77</v>
      </c>
      <c r="G26" s="16">
        <v>3955</v>
      </c>
      <c r="H26" s="16">
        <v>35</v>
      </c>
      <c r="I26" s="16">
        <f t="shared" si="0"/>
        <v>3920</v>
      </c>
      <c r="J26" s="15" t="s">
        <v>21</v>
      </c>
      <c r="K26" s="15" t="s">
        <v>21</v>
      </c>
      <c r="L26" s="15" t="s">
        <v>1048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1107</v>
      </c>
      <c r="D27" s="15" t="s">
        <v>1108</v>
      </c>
      <c r="E27" s="15" t="s">
        <v>1109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1048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1110</v>
      </c>
      <c r="D28" s="15" t="s">
        <v>1111</v>
      </c>
      <c r="E28" s="15" t="s">
        <v>1112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1048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1113</v>
      </c>
      <c r="D29" s="15" t="s">
        <v>1114</v>
      </c>
      <c r="E29" s="15" t="s">
        <v>1115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1048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1116</v>
      </c>
      <c r="D30" s="15" t="s">
        <v>1117</v>
      </c>
      <c r="E30" s="15" t="s">
        <v>1118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1048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1119</v>
      </c>
      <c r="D31" s="15" t="s">
        <v>1120</v>
      </c>
      <c r="E31" s="15" t="s">
        <v>1121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1048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1122</v>
      </c>
      <c r="D32" s="15" t="s">
        <v>1123</v>
      </c>
      <c r="E32" s="15" t="s">
        <v>1124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1048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1125</v>
      </c>
      <c r="E33" s="15" t="s">
        <v>1126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1048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1127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1048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1128</v>
      </c>
      <c r="D35" s="15" t="s">
        <v>1129</v>
      </c>
      <c r="E35" s="15" t="s">
        <v>1130</v>
      </c>
      <c r="F35" s="16">
        <v>1</v>
      </c>
      <c r="G35" s="16">
        <v>765</v>
      </c>
      <c r="H35" s="16">
        <v>25</v>
      </c>
      <c r="I35" s="16">
        <f t="shared" si="0"/>
        <v>740</v>
      </c>
      <c r="J35" s="15" t="s">
        <v>135</v>
      </c>
      <c r="K35" s="15" t="s">
        <v>21</v>
      </c>
      <c r="L35" s="15" t="s">
        <v>1048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1">SUBTOTAL(9,G3:G35)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35" t="s">
        <v>191</v>
      </c>
      <c r="D39" s="35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1048</v>
      </c>
      <c r="B40" s="3" t="s">
        <v>195</v>
      </c>
      <c r="C40" s="36">
        <f>SUMIFS(I$3:I$35,B$3:B$35,A$39,L$3:L$35,A$40)</f>
        <v>24170</v>
      </c>
      <c r="D40" s="36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37">
        <v>0</v>
      </c>
      <c r="D41" s="37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2" t="s">
        <v>201</v>
      </c>
      <c r="C42" s="37">
        <f>-SUMIFS(I$3:I$35,B$3:B$35,A$39,P$3:P$35,"xx",N$3:N$35,"x")</f>
        <v>0</v>
      </c>
      <c r="D42" s="37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35">
        <f>SUBTOTAL(9,C40:C42)</f>
        <v>24170</v>
      </c>
      <c r="D43" s="35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3"/>
      <c r="D44" s="33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3"/>
      <c r="D45" s="33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4">
        <f>C43+C44+C45</f>
        <v>24170</v>
      </c>
      <c r="D47" s="34"/>
      <c r="E47" s="1" t="s">
        <v>211</v>
      </c>
      <c r="K47" s="11" t="s">
        <v>1047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40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32" t="s">
        <v>15</v>
      </c>
    </row>
    <row r="3" spans="1:18" x14ac:dyDescent="0.25">
      <c r="A3" s="15"/>
      <c r="B3" s="15" t="s">
        <v>17</v>
      </c>
      <c r="C3" s="15" t="s">
        <v>1132</v>
      </c>
      <c r="D3" s="15" t="s">
        <v>1133</v>
      </c>
      <c r="E3" s="15" t="s">
        <v>1134</v>
      </c>
      <c r="F3" s="16">
        <v>9</v>
      </c>
      <c r="G3" s="16">
        <v>980</v>
      </c>
      <c r="H3" s="16">
        <v>30</v>
      </c>
      <c r="I3" s="16">
        <f t="shared" ref="I3:I39" si="0">G3-H3</f>
        <v>950</v>
      </c>
      <c r="J3" s="15" t="s">
        <v>20</v>
      </c>
      <c r="K3" s="15" t="s">
        <v>21</v>
      </c>
      <c r="L3" s="15" t="s">
        <v>1135</v>
      </c>
      <c r="M3" s="15"/>
      <c r="N3" s="15"/>
      <c r="O3" s="15"/>
      <c r="Q3">
        <v>1</v>
      </c>
    </row>
    <row r="4" spans="1:18" x14ac:dyDescent="0.25">
      <c r="A4" s="15"/>
      <c r="B4" s="15" t="s">
        <v>17</v>
      </c>
      <c r="C4" s="15" t="s">
        <v>1136</v>
      </c>
      <c r="D4" s="15" t="s">
        <v>1137</v>
      </c>
      <c r="E4" s="15" t="s">
        <v>1138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1139</v>
      </c>
      <c r="K4" s="15" t="s">
        <v>21</v>
      </c>
      <c r="L4" s="15" t="s">
        <v>1135</v>
      </c>
      <c r="M4" s="15"/>
      <c r="N4" s="15"/>
      <c r="O4" s="15"/>
      <c r="Q4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1140</v>
      </c>
      <c r="D5" s="15" t="s">
        <v>1141</v>
      </c>
      <c r="E5" s="15" t="s">
        <v>1142</v>
      </c>
      <c r="F5" s="16">
        <v>7</v>
      </c>
      <c r="G5" s="16">
        <v>810</v>
      </c>
      <c r="H5" s="16">
        <v>30</v>
      </c>
      <c r="I5" s="16">
        <f t="shared" si="0"/>
        <v>780</v>
      </c>
      <c r="J5" s="15" t="s">
        <v>1139</v>
      </c>
      <c r="K5" s="15" t="s">
        <v>21</v>
      </c>
      <c r="L5" s="15" t="s">
        <v>1135</v>
      </c>
      <c r="M5" s="15"/>
      <c r="N5" s="15"/>
      <c r="O5" s="15"/>
      <c r="Q5">
        <v>1</v>
      </c>
    </row>
    <row r="6" spans="1:18" x14ac:dyDescent="0.25">
      <c r="A6" s="15"/>
      <c r="B6" s="15" t="s">
        <v>17</v>
      </c>
      <c r="C6" s="15" t="s">
        <v>1143</v>
      </c>
      <c r="D6" s="15" t="s">
        <v>1144</v>
      </c>
      <c r="E6" s="15" t="s">
        <v>1145</v>
      </c>
      <c r="F6" s="16">
        <v>8</v>
      </c>
      <c r="G6" s="16">
        <v>1550</v>
      </c>
      <c r="H6" s="16">
        <v>30</v>
      </c>
      <c r="I6" s="16">
        <f t="shared" si="0"/>
        <v>1520</v>
      </c>
      <c r="J6" s="15" t="s">
        <v>1139</v>
      </c>
      <c r="K6" s="15" t="s">
        <v>21</v>
      </c>
      <c r="L6" s="15" t="s">
        <v>1135</v>
      </c>
      <c r="M6" s="15"/>
      <c r="N6" s="15"/>
      <c r="O6" s="15"/>
      <c r="Q6">
        <v>1</v>
      </c>
    </row>
    <row r="7" spans="1:18" x14ac:dyDescent="0.25">
      <c r="A7" s="15"/>
      <c r="B7" s="15" t="s">
        <v>17</v>
      </c>
      <c r="C7" s="15" t="s">
        <v>1146</v>
      </c>
      <c r="D7" s="15" t="s">
        <v>1147</v>
      </c>
      <c r="E7" s="15" t="s">
        <v>1148</v>
      </c>
      <c r="F7" s="15" t="s">
        <v>46</v>
      </c>
      <c r="G7" s="16">
        <v>835</v>
      </c>
      <c r="H7" s="16">
        <v>25</v>
      </c>
      <c r="I7" s="16">
        <f t="shared" si="0"/>
        <v>810</v>
      </c>
      <c r="J7" s="15" t="s">
        <v>1139</v>
      </c>
      <c r="K7" s="15" t="s">
        <v>21</v>
      </c>
      <c r="L7" s="15" t="s">
        <v>1135</v>
      </c>
      <c r="M7" s="15"/>
      <c r="N7" s="15"/>
      <c r="O7" s="15"/>
      <c r="Q7">
        <v>1</v>
      </c>
    </row>
    <row r="8" spans="1:18" x14ac:dyDescent="0.25">
      <c r="A8" s="15"/>
      <c r="B8" s="15" t="s">
        <v>17</v>
      </c>
      <c r="C8" s="15" t="s">
        <v>1149</v>
      </c>
      <c r="D8" s="15" t="s">
        <v>1150</v>
      </c>
      <c r="E8" s="15" t="s">
        <v>1151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1139</v>
      </c>
      <c r="K8" s="15" t="s">
        <v>21</v>
      </c>
      <c r="L8" s="15" t="s">
        <v>1135</v>
      </c>
      <c r="M8" s="15"/>
      <c r="N8" s="15"/>
      <c r="O8" s="15"/>
      <c r="Q8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1152</v>
      </c>
      <c r="D9" s="15" t="s">
        <v>1153</v>
      </c>
      <c r="E9" s="15" t="s">
        <v>1154</v>
      </c>
      <c r="F9" s="15" t="s">
        <v>46</v>
      </c>
      <c r="G9" s="16">
        <v>805</v>
      </c>
      <c r="H9" s="16">
        <v>25</v>
      </c>
      <c r="I9" s="16">
        <f t="shared" si="0"/>
        <v>780</v>
      </c>
      <c r="J9" s="15" t="s">
        <v>1139</v>
      </c>
      <c r="K9" s="15" t="s">
        <v>21</v>
      </c>
      <c r="L9" s="15" t="s">
        <v>1135</v>
      </c>
      <c r="M9" s="15"/>
      <c r="N9" s="15"/>
      <c r="O9" s="15"/>
      <c r="Q9">
        <v>1</v>
      </c>
    </row>
    <row r="10" spans="1:18" x14ac:dyDescent="0.25">
      <c r="A10" s="15"/>
      <c r="B10" s="15" t="s">
        <v>17</v>
      </c>
      <c r="C10" s="15" t="s">
        <v>1155</v>
      </c>
      <c r="D10" s="15" t="s">
        <v>1156</v>
      </c>
      <c r="E10" s="15" t="s">
        <v>1157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1139</v>
      </c>
      <c r="K10" s="15" t="s">
        <v>21</v>
      </c>
      <c r="L10" s="15" t="s">
        <v>1135</v>
      </c>
      <c r="M10" s="15"/>
      <c r="N10" s="15"/>
      <c r="O10" s="15"/>
      <c r="Q10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1158</v>
      </c>
      <c r="D11" s="15" t="s">
        <v>1159</v>
      </c>
      <c r="E11" s="15" t="s">
        <v>1160</v>
      </c>
      <c r="F11" s="15" t="s">
        <v>26</v>
      </c>
      <c r="G11" s="16">
        <v>810</v>
      </c>
      <c r="H11" s="16">
        <v>30</v>
      </c>
      <c r="I11" s="16">
        <f t="shared" si="0"/>
        <v>780</v>
      </c>
      <c r="J11" s="15" t="s">
        <v>1139</v>
      </c>
      <c r="K11" s="15" t="s">
        <v>21</v>
      </c>
      <c r="L11" s="15" t="s">
        <v>1135</v>
      </c>
      <c r="M11" s="15"/>
      <c r="N11" s="15"/>
      <c r="O11" s="15"/>
      <c r="Q11">
        <v>1</v>
      </c>
    </row>
    <row r="12" spans="1:18" x14ac:dyDescent="0.25">
      <c r="A12" s="15"/>
      <c r="B12" s="15" t="s">
        <v>17</v>
      </c>
      <c r="C12" s="15" t="s">
        <v>1161</v>
      </c>
      <c r="D12" s="15" t="s">
        <v>1162</v>
      </c>
      <c r="E12" s="15" t="s">
        <v>1163</v>
      </c>
      <c r="F12" s="16">
        <v>7</v>
      </c>
      <c r="G12" s="16">
        <v>720</v>
      </c>
      <c r="H12" s="16">
        <v>30</v>
      </c>
      <c r="I12" s="16">
        <f t="shared" si="0"/>
        <v>690</v>
      </c>
      <c r="J12" s="15" t="s">
        <v>1139</v>
      </c>
      <c r="K12" s="15" t="s">
        <v>21</v>
      </c>
      <c r="L12" s="15" t="s">
        <v>1135</v>
      </c>
      <c r="M12" s="15"/>
      <c r="N12" s="15"/>
      <c r="O12" s="15"/>
      <c r="Q12">
        <v>1</v>
      </c>
    </row>
    <row r="13" spans="1:18" x14ac:dyDescent="0.25">
      <c r="A13" s="15"/>
      <c r="B13" s="15" t="s">
        <v>17</v>
      </c>
      <c r="C13" s="15" t="s">
        <v>1164</v>
      </c>
      <c r="D13" s="15" t="s">
        <v>1165</v>
      </c>
      <c r="E13" s="15" t="s">
        <v>1166</v>
      </c>
      <c r="F13" s="15" t="s">
        <v>46</v>
      </c>
      <c r="G13" s="16">
        <v>0</v>
      </c>
      <c r="H13" s="16">
        <v>25</v>
      </c>
      <c r="I13" s="16">
        <f t="shared" si="0"/>
        <v>-25</v>
      </c>
      <c r="J13" s="15" t="s">
        <v>1139</v>
      </c>
      <c r="K13" s="15" t="s">
        <v>21</v>
      </c>
      <c r="L13" s="15" t="s">
        <v>1135</v>
      </c>
      <c r="M13" s="15"/>
      <c r="N13" s="15"/>
      <c r="O13" s="15"/>
      <c r="Q13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1167</v>
      </c>
      <c r="D14" s="15" t="s">
        <v>1168</v>
      </c>
      <c r="E14" s="15" t="s">
        <v>1169</v>
      </c>
      <c r="F14" s="16">
        <v>8</v>
      </c>
      <c r="G14" s="16">
        <v>810</v>
      </c>
      <c r="H14" s="16">
        <v>30</v>
      </c>
      <c r="I14" s="16">
        <f t="shared" si="0"/>
        <v>780</v>
      </c>
      <c r="J14" s="15" t="s">
        <v>1139</v>
      </c>
      <c r="K14" s="15" t="s">
        <v>21</v>
      </c>
      <c r="L14" s="15" t="s">
        <v>1135</v>
      </c>
      <c r="M14" s="15"/>
      <c r="N14" s="15"/>
      <c r="O14" s="15"/>
      <c r="Q14">
        <v>1</v>
      </c>
    </row>
    <row r="15" spans="1:18" x14ac:dyDescent="0.25">
      <c r="A15" s="15"/>
      <c r="B15" s="15" t="s">
        <v>17</v>
      </c>
      <c r="C15" s="15" t="s">
        <v>1170</v>
      </c>
      <c r="D15" s="15" t="s">
        <v>1171</v>
      </c>
      <c r="E15" s="15" t="s">
        <v>1172</v>
      </c>
      <c r="F15" s="15" t="s">
        <v>26</v>
      </c>
      <c r="G15" s="16">
        <v>750</v>
      </c>
      <c r="H15" s="16">
        <v>30</v>
      </c>
      <c r="I15" s="16">
        <f t="shared" si="0"/>
        <v>720</v>
      </c>
      <c r="J15" s="15" t="s">
        <v>1139</v>
      </c>
      <c r="K15" s="15" t="s">
        <v>21</v>
      </c>
      <c r="L15" s="15" t="s">
        <v>1135</v>
      </c>
      <c r="M15" s="15"/>
      <c r="N15" s="15"/>
      <c r="O15" s="15"/>
      <c r="Q15">
        <v>1</v>
      </c>
    </row>
    <row r="16" spans="1:18" x14ac:dyDescent="0.25">
      <c r="A16" s="15" t="s">
        <v>16</v>
      </c>
      <c r="B16" s="15" t="s">
        <v>17</v>
      </c>
      <c r="C16" s="15" t="s">
        <v>1173</v>
      </c>
      <c r="D16" s="15"/>
      <c r="E16" s="15" t="s">
        <v>1174</v>
      </c>
      <c r="F16" s="15" t="s">
        <v>95</v>
      </c>
      <c r="G16" s="16">
        <v>0</v>
      </c>
      <c r="H16" s="16">
        <v>40</v>
      </c>
      <c r="I16" s="16">
        <f t="shared" si="0"/>
        <v>-40</v>
      </c>
      <c r="J16" s="15" t="s">
        <v>21</v>
      </c>
      <c r="K16" s="15" t="s">
        <v>21</v>
      </c>
      <c r="L16" s="15" t="s">
        <v>1135</v>
      </c>
      <c r="M16" s="15"/>
      <c r="N16" s="15"/>
      <c r="O16" s="15"/>
      <c r="Q16">
        <v>1</v>
      </c>
      <c r="R16" s="10">
        <f>H16</f>
        <v>40</v>
      </c>
    </row>
    <row r="17" spans="1:18" x14ac:dyDescent="0.25">
      <c r="A17" s="15" t="s">
        <v>16</v>
      </c>
      <c r="B17" s="15" t="s">
        <v>17</v>
      </c>
      <c r="C17" s="15" t="s">
        <v>370</v>
      </c>
      <c r="D17" s="15"/>
      <c r="E17" s="15" t="s">
        <v>1175</v>
      </c>
      <c r="F17" s="15" t="s">
        <v>77</v>
      </c>
      <c r="G17" s="16">
        <v>30</v>
      </c>
      <c r="H17" s="16">
        <v>30</v>
      </c>
      <c r="I17" s="16">
        <f t="shared" si="0"/>
        <v>0</v>
      </c>
      <c r="J17" s="15" t="s">
        <v>21</v>
      </c>
      <c r="K17" s="15" t="s">
        <v>21</v>
      </c>
      <c r="L17" s="15" t="s">
        <v>1135</v>
      </c>
      <c r="M17" s="15"/>
      <c r="N17" s="15"/>
      <c r="O17" s="15"/>
      <c r="Q17">
        <v>1</v>
      </c>
    </row>
    <row r="18" spans="1:18" x14ac:dyDescent="0.25">
      <c r="A18" s="15"/>
      <c r="B18" s="15" t="s">
        <v>17</v>
      </c>
      <c r="C18" s="15" t="s">
        <v>1176</v>
      </c>
      <c r="D18" s="15" t="s">
        <v>1177</v>
      </c>
      <c r="E18" s="15" t="s">
        <v>1178</v>
      </c>
      <c r="F18" s="15" t="s">
        <v>77</v>
      </c>
      <c r="G18" s="16">
        <v>25</v>
      </c>
      <c r="H18" s="16">
        <v>25</v>
      </c>
      <c r="I18" s="16">
        <f t="shared" si="0"/>
        <v>0</v>
      </c>
      <c r="J18" s="15" t="s">
        <v>21</v>
      </c>
      <c r="K18" s="15" t="s">
        <v>21</v>
      </c>
      <c r="L18" s="15" t="s">
        <v>1135</v>
      </c>
      <c r="M18" s="15"/>
      <c r="N18" s="15"/>
      <c r="O18" s="15"/>
      <c r="Q18">
        <v>1</v>
      </c>
    </row>
    <row r="19" spans="1:18" x14ac:dyDescent="0.25">
      <c r="A19" s="15"/>
      <c r="B19" s="15" t="s">
        <v>17</v>
      </c>
      <c r="C19" s="15" t="s">
        <v>809</v>
      </c>
      <c r="D19" s="15" t="s">
        <v>1179</v>
      </c>
      <c r="E19" s="15" t="s">
        <v>811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1135</v>
      </c>
      <c r="M19" s="15"/>
      <c r="N19" s="15"/>
      <c r="O19" s="15"/>
      <c r="Q19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1180</v>
      </c>
      <c r="D20" s="15" t="s">
        <v>1181</v>
      </c>
      <c r="E20" s="15" t="s">
        <v>1182</v>
      </c>
      <c r="F20" s="15" t="s">
        <v>95</v>
      </c>
      <c r="G20" s="16">
        <v>1145</v>
      </c>
      <c r="H20" s="16">
        <v>25</v>
      </c>
      <c r="I20" s="16">
        <f t="shared" si="0"/>
        <v>1120</v>
      </c>
      <c r="J20" s="15" t="s">
        <v>21</v>
      </c>
      <c r="K20" s="15" t="s">
        <v>21</v>
      </c>
      <c r="L20" s="15" t="s">
        <v>1135</v>
      </c>
      <c r="M20" s="15"/>
      <c r="N20" s="15"/>
      <c r="O20" s="15"/>
      <c r="Q20">
        <v>1</v>
      </c>
    </row>
    <row r="21" spans="1:18" x14ac:dyDescent="0.25">
      <c r="A21" s="15"/>
      <c r="B21" s="15" t="s">
        <v>17</v>
      </c>
      <c r="C21" s="15" t="s">
        <v>1183</v>
      </c>
      <c r="D21" s="15" t="s">
        <v>1184</v>
      </c>
      <c r="E21" s="15" t="s">
        <v>1185</v>
      </c>
      <c r="F21" s="15" t="s">
        <v>81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1135</v>
      </c>
      <c r="M21" s="15"/>
      <c r="N21" s="15"/>
      <c r="O21" s="15"/>
      <c r="Q21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1186</v>
      </c>
      <c r="D22" s="15" t="s">
        <v>1187</v>
      </c>
      <c r="E22" s="15" t="s">
        <v>1188</v>
      </c>
      <c r="F22" s="15" t="s">
        <v>85</v>
      </c>
      <c r="G22" s="16">
        <v>660</v>
      </c>
      <c r="H22" s="16">
        <v>20</v>
      </c>
      <c r="I22" s="16">
        <f t="shared" si="0"/>
        <v>640</v>
      </c>
      <c r="J22" s="15" t="s">
        <v>21</v>
      </c>
      <c r="K22" s="15" t="s">
        <v>21</v>
      </c>
      <c r="L22" s="15" t="s">
        <v>1135</v>
      </c>
      <c r="M22" s="15"/>
      <c r="N22" s="15"/>
      <c r="O22" s="15"/>
      <c r="Q22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1189</v>
      </c>
      <c r="E23" s="15" t="s">
        <v>1190</v>
      </c>
      <c r="F23" s="15" t="s">
        <v>85</v>
      </c>
      <c r="G23" s="16">
        <v>800</v>
      </c>
      <c r="H23" s="16">
        <v>20</v>
      </c>
      <c r="I23" s="16">
        <f t="shared" si="0"/>
        <v>780</v>
      </c>
      <c r="J23" s="15" t="s">
        <v>21</v>
      </c>
      <c r="K23" s="15" t="s">
        <v>21</v>
      </c>
      <c r="L23" s="15" t="s">
        <v>1135</v>
      </c>
      <c r="M23" s="15"/>
      <c r="N23" s="15"/>
      <c r="O23" s="15"/>
      <c r="Q23">
        <v>1</v>
      </c>
    </row>
    <row r="24" spans="1:18" x14ac:dyDescent="0.25">
      <c r="A24" s="15"/>
      <c r="B24" s="15" t="s">
        <v>17</v>
      </c>
      <c r="C24" s="15" t="s">
        <v>1191</v>
      </c>
      <c r="D24" s="15" t="s">
        <v>1192</v>
      </c>
      <c r="E24" s="15" t="s">
        <v>1193</v>
      </c>
      <c r="F24" s="15" t="s">
        <v>77</v>
      </c>
      <c r="G24" s="16">
        <v>825</v>
      </c>
      <c r="H24" s="16">
        <v>25</v>
      </c>
      <c r="I24" s="16">
        <f t="shared" si="0"/>
        <v>800</v>
      </c>
      <c r="J24" s="15" t="s">
        <v>21</v>
      </c>
      <c r="K24" s="15" t="s">
        <v>21</v>
      </c>
      <c r="L24" s="15" t="s">
        <v>1135</v>
      </c>
      <c r="M24" s="15"/>
      <c r="N24" s="15"/>
      <c r="O24" s="15"/>
      <c r="Q24">
        <v>1</v>
      </c>
    </row>
    <row r="25" spans="1:18" x14ac:dyDescent="0.25">
      <c r="A25" s="15" t="s">
        <v>16</v>
      </c>
      <c r="B25" s="15" t="s">
        <v>17</v>
      </c>
      <c r="C25" s="15" t="s">
        <v>1194</v>
      </c>
      <c r="D25" s="15"/>
      <c r="E25" s="15" t="s">
        <v>1195</v>
      </c>
      <c r="F25" s="15" t="s">
        <v>95</v>
      </c>
      <c r="G25" s="16">
        <v>0</v>
      </c>
      <c r="H25" s="16">
        <v>40</v>
      </c>
      <c r="I25" s="16">
        <f t="shared" si="0"/>
        <v>-40</v>
      </c>
      <c r="J25" s="15" t="s">
        <v>21</v>
      </c>
      <c r="K25" s="15" t="s">
        <v>21</v>
      </c>
      <c r="L25" s="15" t="s">
        <v>1135</v>
      </c>
      <c r="M25" s="15"/>
      <c r="N25" s="15"/>
      <c r="O25" s="15"/>
      <c r="Q25">
        <v>1</v>
      </c>
      <c r="R25" s="10">
        <f>H25</f>
        <v>40</v>
      </c>
    </row>
    <row r="26" spans="1:18" x14ac:dyDescent="0.25">
      <c r="A26" s="15" t="s">
        <v>16</v>
      </c>
      <c r="B26" s="15" t="s">
        <v>17</v>
      </c>
      <c r="C26" s="15" t="s">
        <v>1196</v>
      </c>
      <c r="D26" s="15"/>
      <c r="E26" s="15" t="s">
        <v>1197</v>
      </c>
      <c r="F26" s="16">
        <v>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1135</v>
      </c>
      <c r="M26" s="15"/>
      <c r="N26" s="15"/>
      <c r="O26" s="15"/>
      <c r="Q26">
        <v>1</v>
      </c>
      <c r="R26" s="10">
        <f>H26</f>
        <v>30</v>
      </c>
    </row>
    <row r="27" spans="1:18" x14ac:dyDescent="0.25">
      <c r="A27" s="15" t="s">
        <v>16</v>
      </c>
      <c r="B27" s="15" t="s">
        <v>17</v>
      </c>
      <c r="C27" s="15" t="s">
        <v>504</v>
      </c>
      <c r="D27" s="15"/>
      <c r="E27" s="15" t="s">
        <v>505</v>
      </c>
      <c r="F27" s="15" t="s">
        <v>95</v>
      </c>
      <c r="G27" s="16">
        <v>0</v>
      </c>
      <c r="H27" s="16">
        <v>30</v>
      </c>
      <c r="I27" s="16">
        <f t="shared" si="0"/>
        <v>-30</v>
      </c>
      <c r="J27" s="15" t="s">
        <v>135</v>
      </c>
      <c r="K27" s="15" t="s">
        <v>21</v>
      </c>
      <c r="L27" s="15" t="s">
        <v>1135</v>
      </c>
      <c r="M27" s="15"/>
      <c r="N27" s="15"/>
      <c r="O27" s="15"/>
      <c r="Q27">
        <v>1</v>
      </c>
      <c r="R27" s="10">
        <f>H27</f>
        <v>30</v>
      </c>
    </row>
    <row r="28" spans="1:18" x14ac:dyDescent="0.25">
      <c r="A28" s="15"/>
      <c r="B28" s="15" t="s">
        <v>17</v>
      </c>
      <c r="C28" s="15" t="s">
        <v>1198</v>
      </c>
      <c r="D28" s="15" t="s">
        <v>1199</v>
      </c>
      <c r="E28" s="15" t="s">
        <v>1200</v>
      </c>
      <c r="F28" s="16">
        <v>10</v>
      </c>
      <c r="G28" s="16">
        <v>805</v>
      </c>
      <c r="H28" s="16">
        <v>25</v>
      </c>
      <c r="I28" s="16">
        <f t="shared" si="0"/>
        <v>780</v>
      </c>
      <c r="J28" s="15" t="s">
        <v>135</v>
      </c>
      <c r="K28" s="15" t="s">
        <v>21</v>
      </c>
      <c r="L28" s="15" t="s">
        <v>1135</v>
      </c>
      <c r="M28" s="15"/>
      <c r="N28" s="15"/>
      <c r="O28" s="15"/>
      <c r="Q28">
        <v>1</v>
      </c>
    </row>
    <row r="29" spans="1:18" x14ac:dyDescent="0.25">
      <c r="A29" s="15"/>
      <c r="B29" s="15" t="s">
        <v>17</v>
      </c>
      <c r="C29" s="15" t="s">
        <v>1201</v>
      </c>
      <c r="D29" s="15" t="s">
        <v>1202</v>
      </c>
      <c r="E29" s="15" t="s">
        <v>1203</v>
      </c>
      <c r="F29" s="16">
        <v>4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1135</v>
      </c>
      <c r="M29" s="15"/>
      <c r="N29" s="15"/>
      <c r="O29" s="15"/>
      <c r="Q29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1204</v>
      </c>
      <c r="D30" s="15" t="s">
        <v>1205</v>
      </c>
      <c r="E30" s="15" t="s">
        <v>1206</v>
      </c>
      <c r="F30" s="15" t="s">
        <v>95</v>
      </c>
      <c r="G30" s="16">
        <v>1655</v>
      </c>
      <c r="H30" s="16">
        <v>25</v>
      </c>
      <c r="I30" s="16">
        <f t="shared" si="0"/>
        <v>1630</v>
      </c>
      <c r="J30" s="15" t="s">
        <v>135</v>
      </c>
      <c r="K30" s="15" t="s">
        <v>21</v>
      </c>
      <c r="L30" s="15" t="s">
        <v>1135</v>
      </c>
      <c r="M30" s="15"/>
      <c r="N30" s="15"/>
      <c r="O30" s="15"/>
      <c r="Q30">
        <v>1</v>
      </c>
    </row>
    <row r="31" spans="1:18" x14ac:dyDescent="0.25">
      <c r="A31" s="15"/>
      <c r="B31" s="15" t="s">
        <v>17</v>
      </c>
      <c r="C31" s="15" t="s">
        <v>1207</v>
      </c>
      <c r="D31" s="15" t="s">
        <v>1208</v>
      </c>
      <c r="E31" s="15" t="s">
        <v>1209</v>
      </c>
      <c r="F31" s="16">
        <v>10</v>
      </c>
      <c r="G31" s="16">
        <v>375</v>
      </c>
      <c r="H31" s="16">
        <v>25</v>
      </c>
      <c r="I31" s="16">
        <f t="shared" si="0"/>
        <v>350</v>
      </c>
      <c r="J31" s="15" t="s">
        <v>135</v>
      </c>
      <c r="K31" s="15" t="s">
        <v>21</v>
      </c>
      <c r="L31" s="15" t="s">
        <v>1135</v>
      </c>
      <c r="M31" s="15"/>
      <c r="N31" s="15"/>
      <c r="O31" s="15"/>
      <c r="Q31">
        <v>1</v>
      </c>
    </row>
    <row r="32" spans="1:18" x14ac:dyDescent="0.25">
      <c r="A32" s="15"/>
      <c r="B32" s="15" t="s">
        <v>17</v>
      </c>
      <c r="C32" s="15" t="s">
        <v>1210</v>
      </c>
      <c r="D32" s="15" t="s">
        <v>1211</v>
      </c>
      <c r="E32" s="15" t="s">
        <v>1212</v>
      </c>
      <c r="F32" s="16">
        <v>4</v>
      </c>
      <c r="G32" s="16">
        <v>1455</v>
      </c>
      <c r="H32" s="16">
        <v>25</v>
      </c>
      <c r="I32" s="16">
        <f t="shared" si="0"/>
        <v>1430</v>
      </c>
      <c r="J32" s="15" t="s">
        <v>135</v>
      </c>
      <c r="K32" s="15" t="s">
        <v>21</v>
      </c>
      <c r="L32" s="15" t="s">
        <v>1135</v>
      </c>
      <c r="M32" s="15"/>
      <c r="N32" s="15"/>
      <c r="O32" s="15"/>
      <c r="Q32">
        <v>1</v>
      </c>
    </row>
    <row r="33" spans="1:18" x14ac:dyDescent="0.25">
      <c r="A33" s="15"/>
      <c r="B33" s="15" t="s">
        <v>17</v>
      </c>
      <c r="C33" s="15" t="s">
        <v>1213</v>
      </c>
      <c r="D33" s="15" t="s">
        <v>1214</v>
      </c>
      <c r="E33" s="15" t="s">
        <v>1215</v>
      </c>
      <c r="F33" s="16">
        <v>5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1135</v>
      </c>
      <c r="M33" s="15"/>
      <c r="N33" s="15"/>
      <c r="O33" s="15"/>
      <c r="Q33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1119</v>
      </c>
      <c r="D34" s="15" t="s">
        <v>1216</v>
      </c>
      <c r="E34" s="15" t="s">
        <v>1121</v>
      </c>
      <c r="F34" s="16">
        <v>3</v>
      </c>
      <c r="G34" s="16">
        <v>715</v>
      </c>
      <c r="H34" s="16">
        <v>25</v>
      </c>
      <c r="I34" s="16">
        <f t="shared" si="0"/>
        <v>690</v>
      </c>
      <c r="J34" s="15" t="s">
        <v>135</v>
      </c>
      <c r="K34" s="15" t="s">
        <v>21</v>
      </c>
      <c r="L34" s="15" t="s">
        <v>1135</v>
      </c>
      <c r="M34" s="15"/>
      <c r="N34" s="15"/>
      <c r="O34" s="15"/>
      <c r="Q34">
        <v>1</v>
      </c>
    </row>
    <row r="35" spans="1:18" x14ac:dyDescent="0.25">
      <c r="A35" s="15"/>
      <c r="B35" s="15" t="s">
        <v>17</v>
      </c>
      <c r="C35" s="15" t="s">
        <v>114</v>
      </c>
      <c r="D35" s="15" t="s">
        <v>1217</v>
      </c>
      <c r="E35" s="15" t="s">
        <v>1218</v>
      </c>
      <c r="F35" s="16">
        <v>10</v>
      </c>
      <c r="G35" s="16">
        <v>895</v>
      </c>
      <c r="H35" s="16">
        <v>25</v>
      </c>
      <c r="I35" s="16">
        <f t="shared" si="0"/>
        <v>870</v>
      </c>
      <c r="J35" s="15" t="s">
        <v>135</v>
      </c>
      <c r="K35" s="15" t="s">
        <v>21</v>
      </c>
      <c r="L35" s="15" t="s">
        <v>1135</v>
      </c>
      <c r="M35" s="15"/>
      <c r="N35" s="15"/>
      <c r="O35" s="15"/>
      <c r="Q35">
        <v>1</v>
      </c>
    </row>
    <row r="36" spans="1:18" x14ac:dyDescent="0.25">
      <c r="A36" s="15"/>
      <c r="B36" s="15" t="s">
        <v>17</v>
      </c>
      <c r="C36" s="15" t="s">
        <v>180</v>
      </c>
      <c r="D36" s="15" t="s">
        <v>1219</v>
      </c>
      <c r="E36" s="15" t="s">
        <v>182</v>
      </c>
      <c r="F36" s="16">
        <v>3</v>
      </c>
      <c r="G36" s="16">
        <v>0</v>
      </c>
      <c r="H36" s="16">
        <v>25</v>
      </c>
      <c r="I36" s="16">
        <f t="shared" si="0"/>
        <v>-25</v>
      </c>
      <c r="J36" s="15" t="s">
        <v>135</v>
      </c>
      <c r="K36" s="15" t="s">
        <v>21</v>
      </c>
      <c r="L36" s="15" t="s">
        <v>1135</v>
      </c>
      <c r="M36" s="15"/>
      <c r="N36" s="15"/>
      <c r="O36" s="15"/>
      <c r="Q36">
        <v>1</v>
      </c>
      <c r="R36" s="10">
        <f>H36</f>
        <v>25</v>
      </c>
    </row>
    <row r="37" spans="1:18" x14ac:dyDescent="0.25">
      <c r="A37" s="15"/>
      <c r="B37" s="15" t="s">
        <v>17</v>
      </c>
      <c r="C37" s="15" t="s">
        <v>1220</v>
      </c>
      <c r="D37" s="15" t="s">
        <v>1221</v>
      </c>
      <c r="E37" s="15" t="s">
        <v>1222</v>
      </c>
      <c r="F37" s="16">
        <v>4</v>
      </c>
      <c r="G37" s="16">
        <v>815</v>
      </c>
      <c r="H37" s="16">
        <v>25</v>
      </c>
      <c r="I37" s="16">
        <f t="shared" si="0"/>
        <v>790</v>
      </c>
      <c r="J37" s="15" t="s">
        <v>135</v>
      </c>
      <c r="K37" s="15" t="s">
        <v>21</v>
      </c>
      <c r="L37" s="15" t="s">
        <v>1135</v>
      </c>
      <c r="M37" s="15"/>
      <c r="N37" s="15"/>
      <c r="O37" s="15"/>
      <c r="Q37">
        <v>1</v>
      </c>
    </row>
    <row r="38" spans="1:18" x14ac:dyDescent="0.25">
      <c r="A38" s="15"/>
      <c r="B38" s="15" t="s">
        <v>17</v>
      </c>
      <c r="C38" s="15" t="s">
        <v>1223</v>
      </c>
      <c r="D38" s="15" t="s">
        <v>1224</v>
      </c>
      <c r="E38" s="15" t="s">
        <v>1225</v>
      </c>
      <c r="F38" s="16">
        <v>4</v>
      </c>
      <c r="G38" s="16">
        <v>3100</v>
      </c>
      <c r="H38" s="16">
        <v>35</v>
      </c>
      <c r="I38" s="16">
        <f t="shared" si="0"/>
        <v>3065</v>
      </c>
      <c r="J38" s="15" t="s">
        <v>135</v>
      </c>
      <c r="K38" s="15" t="s">
        <v>21</v>
      </c>
      <c r="L38" s="15" t="s">
        <v>1135</v>
      </c>
      <c r="M38" s="20" t="s">
        <v>167</v>
      </c>
      <c r="N38" s="15"/>
      <c r="O38" s="15"/>
      <c r="Q38">
        <v>1</v>
      </c>
      <c r="R38" s="10">
        <f>H38</f>
        <v>35</v>
      </c>
    </row>
    <row r="39" spans="1:18" x14ac:dyDescent="0.25">
      <c r="A39" s="15"/>
      <c r="B39" s="15" t="s">
        <v>17</v>
      </c>
      <c r="C39" s="15" t="s">
        <v>1226</v>
      </c>
      <c r="D39" s="15" t="s">
        <v>1227</v>
      </c>
      <c r="E39" s="15" t="s">
        <v>1228</v>
      </c>
      <c r="F39" s="16">
        <v>5</v>
      </c>
      <c r="G39" s="16">
        <v>0</v>
      </c>
      <c r="H39" s="16">
        <v>25</v>
      </c>
      <c r="I39" s="16">
        <f t="shared" si="0"/>
        <v>-25</v>
      </c>
      <c r="J39" s="15" t="s">
        <v>135</v>
      </c>
      <c r="K39" s="15" t="s">
        <v>21</v>
      </c>
      <c r="L39" s="15" t="s">
        <v>1135</v>
      </c>
      <c r="M39" s="20" t="s">
        <v>1229</v>
      </c>
      <c r="N39" s="15"/>
      <c r="O39" s="15"/>
      <c r="Q39">
        <v>1</v>
      </c>
      <c r="R39" s="10">
        <f>H39</f>
        <v>25</v>
      </c>
    </row>
    <row r="41" spans="1:18" x14ac:dyDescent="0.25">
      <c r="D41" s="1">
        <f>COUNTA(D3:D39)</f>
        <v>32</v>
      </c>
      <c r="G41" s="1">
        <f t="shared" ref="G41:Q41" si="1">SUBTOTAL(9,G3:G39)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1" t="s">
        <v>17</v>
      </c>
      <c r="C43" s="35" t="s">
        <v>191</v>
      </c>
      <c r="D43" s="35"/>
      <c r="E43" s="4" t="s">
        <v>192</v>
      </c>
      <c r="H43">
        <f>-5*25</f>
        <v>-125</v>
      </c>
      <c r="K43" s="11" t="s">
        <v>21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1135</v>
      </c>
      <c r="B44" s="3" t="s">
        <v>195</v>
      </c>
      <c r="C44" s="36">
        <f>SUMIFS(I$3:I$39,B$3:B$39,A$43,L$3:L$39,A$44)</f>
        <v>20340</v>
      </c>
      <c r="D44" s="36"/>
      <c r="E44" s="3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2" t="s">
        <v>199</v>
      </c>
      <c r="C45" s="37">
        <v>0</v>
      </c>
      <c r="D45" s="37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2" t="s">
        <v>201</v>
      </c>
      <c r="C46" s="37">
        <f>-SUMIFS(I$3:I$39,B$3:B$39,A$43,P$3:P$39,"xx",N$3:N$39,"x")</f>
        <v>0</v>
      </c>
      <c r="D46" s="37"/>
      <c r="E46" s="2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4" t="s">
        <v>203</v>
      </c>
      <c r="C47" s="35">
        <f>SUBTOTAL(9,C44:C46)</f>
        <v>20340</v>
      </c>
      <c r="D47" s="35"/>
      <c r="E47">
        <f>E44</f>
        <v>37</v>
      </c>
      <c r="K47" s="2" t="s">
        <v>204</v>
      </c>
      <c r="O47" t="s">
        <v>20</v>
      </c>
      <c r="P47">
        <f>L73</f>
        <v>955</v>
      </c>
    </row>
    <row r="48" spans="1:18" x14ac:dyDescent="0.25">
      <c r="B48" s="2" t="s">
        <v>205</v>
      </c>
      <c r="C48" s="33"/>
      <c r="D48" s="33"/>
      <c r="K48" s="2" t="s">
        <v>206</v>
      </c>
      <c r="O48" t="s">
        <v>207</v>
      </c>
      <c r="P48">
        <f>-C51</f>
        <v>-20340</v>
      </c>
    </row>
    <row r="49" spans="2:17" x14ac:dyDescent="0.25">
      <c r="B49" s="12" t="s">
        <v>208</v>
      </c>
      <c r="C49" s="33"/>
      <c r="D49" s="33"/>
      <c r="L49" s="13">
        <f>SUBTOTAL(9,L44:L48)</f>
        <v>3176</v>
      </c>
      <c r="M49" s="13">
        <f>M44</f>
        <v>10</v>
      </c>
      <c r="O49" s="4" t="s">
        <v>209</v>
      </c>
      <c r="P49" s="4">
        <f>SUBTOTAL(9,P44:P48)</f>
        <v>152</v>
      </c>
    </row>
    <row r="51" spans="2:17" x14ac:dyDescent="0.25">
      <c r="B51" s="1" t="s">
        <v>210</v>
      </c>
      <c r="C51" s="34">
        <f>C47+C48+C49</f>
        <v>20340</v>
      </c>
      <c r="D51" s="34"/>
      <c r="E51" s="1" t="s">
        <v>211</v>
      </c>
      <c r="K51" s="11" t="s">
        <v>135</v>
      </c>
      <c r="L51" s="11" t="s">
        <v>193</v>
      </c>
      <c r="M51" s="11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2" t="s">
        <v>204</v>
      </c>
    </row>
    <row r="56" spans="2:17" x14ac:dyDescent="0.25">
      <c r="K56" s="2" t="s">
        <v>206</v>
      </c>
    </row>
    <row r="57" spans="2:17" x14ac:dyDescent="0.25">
      <c r="L57" s="13">
        <f>SUBTOTAL(9,L52:L56)</f>
        <v>9515</v>
      </c>
      <c r="M57" s="13">
        <f>M52</f>
        <v>14</v>
      </c>
    </row>
    <row r="59" spans="2:17" x14ac:dyDescent="0.25">
      <c r="K59" s="11" t="s">
        <v>1139</v>
      </c>
      <c r="L59" s="11" t="s">
        <v>193</v>
      </c>
      <c r="M59" s="11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2" t="s">
        <v>204</v>
      </c>
    </row>
    <row r="64" spans="2:17" x14ac:dyDescent="0.25">
      <c r="K64" s="2" t="s">
        <v>206</v>
      </c>
    </row>
    <row r="65" spans="11:13" x14ac:dyDescent="0.25">
      <c r="L65" s="13">
        <f>SUBTOTAL(9,L60:L64)</f>
        <v>6846</v>
      </c>
      <c r="M65" s="13">
        <f>M60</f>
        <v>12</v>
      </c>
    </row>
    <row r="67" spans="11:13" x14ac:dyDescent="0.25">
      <c r="K67" s="11" t="s">
        <v>20</v>
      </c>
      <c r="L67" s="11" t="s">
        <v>193</v>
      </c>
      <c r="M67" s="11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2" t="s">
        <v>204</v>
      </c>
    </row>
    <row r="72" spans="11:13" x14ac:dyDescent="0.25">
      <c r="K72" s="2" t="s">
        <v>206</v>
      </c>
    </row>
    <row r="73" spans="11:13" x14ac:dyDescent="0.25">
      <c r="L73" s="13">
        <f>SUBTOTAL(9,L68:L72)</f>
        <v>955</v>
      </c>
      <c r="M73" s="13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1232</v>
      </c>
      <c r="D3" s="15"/>
      <c r="E3" s="15" t="s">
        <v>1233</v>
      </c>
      <c r="F3" s="16">
        <v>9</v>
      </c>
      <c r="G3" s="16">
        <v>35</v>
      </c>
      <c r="H3" s="16">
        <v>35</v>
      </c>
      <c r="I3" s="16">
        <f t="shared" ref="I3:I34" si="0">G3-H3</f>
        <v>0</v>
      </c>
      <c r="J3" s="15" t="s">
        <v>20</v>
      </c>
      <c r="K3" s="15" t="s">
        <v>21</v>
      </c>
      <c r="L3" s="15" t="s">
        <v>1234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1235</v>
      </c>
      <c r="D4" s="15" t="s">
        <v>1236</v>
      </c>
      <c r="E4" s="15" t="s">
        <v>1237</v>
      </c>
      <c r="F4" s="16">
        <v>3</v>
      </c>
      <c r="G4" s="16">
        <v>865</v>
      </c>
      <c r="H4" s="16">
        <v>25</v>
      </c>
      <c r="I4" s="16">
        <f t="shared" si="0"/>
        <v>840</v>
      </c>
      <c r="J4" s="15" t="s">
        <v>1238</v>
      </c>
      <c r="K4" s="15" t="s">
        <v>21</v>
      </c>
      <c r="L4" s="15" t="s">
        <v>1234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1239</v>
      </c>
      <c r="D5" s="15" t="s">
        <v>1240</v>
      </c>
      <c r="E5" s="15" t="s">
        <v>1241</v>
      </c>
      <c r="F5" s="16">
        <v>8</v>
      </c>
      <c r="G5" s="16">
        <v>1890</v>
      </c>
      <c r="H5" s="16">
        <v>30</v>
      </c>
      <c r="I5" s="16">
        <f t="shared" si="0"/>
        <v>1860</v>
      </c>
      <c r="J5" s="15" t="s">
        <v>1238</v>
      </c>
      <c r="K5" s="15" t="s">
        <v>21</v>
      </c>
      <c r="L5" s="15" t="s">
        <v>1234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1242</v>
      </c>
      <c r="D6" s="15" t="s">
        <v>1243</v>
      </c>
      <c r="E6" s="15" t="s">
        <v>1244</v>
      </c>
      <c r="F6" s="15" t="s">
        <v>46</v>
      </c>
      <c r="G6" s="16">
        <v>815</v>
      </c>
      <c r="H6" s="16">
        <v>25</v>
      </c>
      <c r="I6" s="16">
        <f t="shared" si="0"/>
        <v>790</v>
      </c>
      <c r="J6" s="15" t="s">
        <v>1238</v>
      </c>
      <c r="K6" s="15" t="s">
        <v>21</v>
      </c>
      <c r="L6" s="15" t="s">
        <v>1234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1245</v>
      </c>
      <c r="D7" s="15" t="s">
        <v>1246</v>
      </c>
      <c r="E7" s="15" t="s">
        <v>1247</v>
      </c>
      <c r="F7" s="16">
        <v>4</v>
      </c>
      <c r="G7" s="16">
        <v>895</v>
      </c>
      <c r="H7" s="16">
        <v>25</v>
      </c>
      <c r="I7" s="16">
        <f t="shared" si="0"/>
        <v>870</v>
      </c>
      <c r="J7" s="15" t="s">
        <v>1238</v>
      </c>
      <c r="K7" s="15" t="s">
        <v>21</v>
      </c>
      <c r="L7" s="15" t="s">
        <v>1234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1248</v>
      </c>
      <c r="D8" s="15" t="s">
        <v>1249</v>
      </c>
      <c r="E8" s="15" t="s">
        <v>1250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1238</v>
      </c>
      <c r="K8" s="15" t="s">
        <v>21</v>
      </c>
      <c r="L8" s="15" t="s">
        <v>1234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233</v>
      </c>
      <c r="D9" s="15" t="s">
        <v>1251</v>
      </c>
      <c r="E9" s="15" t="s">
        <v>235</v>
      </c>
      <c r="F9" s="15" t="s">
        <v>46</v>
      </c>
      <c r="G9" s="16">
        <v>1765</v>
      </c>
      <c r="H9" s="16">
        <v>25</v>
      </c>
      <c r="I9" s="16">
        <f t="shared" si="0"/>
        <v>1740</v>
      </c>
      <c r="J9" s="15" t="s">
        <v>1238</v>
      </c>
      <c r="K9" s="15" t="s">
        <v>21</v>
      </c>
      <c r="L9" s="15" t="s">
        <v>1234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1252</v>
      </c>
      <c r="D10" s="15" t="s">
        <v>1253</v>
      </c>
      <c r="E10" s="15" t="s">
        <v>1254</v>
      </c>
      <c r="F10" s="15" t="s">
        <v>134</v>
      </c>
      <c r="G10" s="16">
        <v>815</v>
      </c>
      <c r="H10" s="16">
        <v>35</v>
      </c>
      <c r="I10" s="16">
        <f t="shared" si="0"/>
        <v>780</v>
      </c>
      <c r="J10" s="15" t="s">
        <v>1238</v>
      </c>
      <c r="K10" s="15" t="s">
        <v>21</v>
      </c>
      <c r="L10" s="15" t="s">
        <v>1234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294</v>
      </c>
      <c r="D11" s="15" t="s">
        <v>1255</v>
      </c>
      <c r="E11" s="15" t="s">
        <v>296</v>
      </c>
      <c r="F11" s="16">
        <v>6</v>
      </c>
      <c r="G11" s="16">
        <v>805</v>
      </c>
      <c r="H11" s="16">
        <v>25</v>
      </c>
      <c r="I11" s="16">
        <f t="shared" si="0"/>
        <v>780</v>
      </c>
      <c r="J11" s="15" t="s">
        <v>1238</v>
      </c>
      <c r="K11" s="15" t="s">
        <v>21</v>
      </c>
      <c r="L11" s="15" t="s">
        <v>1234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1256</v>
      </c>
      <c r="D12" s="15" t="s">
        <v>1257</v>
      </c>
      <c r="E12" s="15" t="s">
        <v>1258</v>
      </c>
      <c r="F12" s="15" t="s">
        <v>26</v>
      </c>
      <c r="G12" s="16">
        <v>690</v>
      </c>
      <c r="H12" s="16">
        <v>30</v>
      </c>
      <c r="I12" s="16">
        <f t="shared" si="0"/>
        <v>660</v>
      </c>
      <c r="J12" s="15" t="s">
        <v>1238</v>
      </c>
      <c r="K12" s="15" t="s">
        <v>21</v>
      </c>
      <c r="L12" s="15" t="s">
        <v>1234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1259</v>
      </c>
      <c r="D13" s="15" t="s">
        <v>1260</v>
      </c>
      <c r="E13" s="15" t="s">
        <v>1261</v>
      </c>
      <c r="F13" s="16">
        <v>7</v>
      </c>
      <c r="G13" s="16">
        <v>1420</v>
      </c>
      <c r="H13" s="16">
        <v>30</v>
      </c>
      <c r="I13" s="16">
        <f t="shared" si="0"/>
        <v>1390</v>
      </c>
      <c r="J13" s="15" t="s">
        <v>1238</v>
      </c>
      <c r="K13" s="15" t="s">
        <v>21</v>
      </c>
      <c r="L13" s="15" t="s">
        <v>1234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1262</v>
      </c>
      <c r="D14" s="15" t="s">
        <v>1263</v>
      </c>
      <c r="E14" s="15" t="s">
        <v>1264</v>
      </c>
      <c r="F14" s="16">
        <v>6</v>
      </c>
      <c r="G14" s="16">
        <v>0</v>
      </c>
      <c r="H14" s="16">
        <v>25</v>
      </c>
      <c r="I14" s="16">
        <f t="shared" si="0"/>
        <v>-25</v>
      </c>
      <c r="J14" s="15" t="s">
        <v>1238</v>
      </c>
      <c r="K14" s="15" t="s">
        <v>21</v>
      </c>
      <c r="L14" s="15" t="s">
        <v>1234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1265</v>
      </c>
      <c r="D15" s="15" t="s">
        <v>1266</v>
      </c>
      <c r="E15" s="15" t="s">
        <v>1267</v>
      </c>
      <c r="F15" s="15" t="s">
        <v>26</v>
      </c>
      <c r="G15" s="16">
        <v>0</v>
      </c>
      <c r="H15" s="16">
        <v>30</v>
      </c>
      <c r="I15" s="16">
        <f t="shared" si="0"/>
        <v>-30</v>
      </c>
      <c r="J15" s="15" t="s">
        <v>1238</v>
      </c>
      <c r="K15" s="15" t="s">
        <v>21</v>
      </c>
      <c r="L15" s="15" t="s">
        <v>1234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1268</v>
      </c>
      <c r="D16" s="15" t="s">
        <v>1269</v>
      </c>
      <c r="E16" s="15" t="s">
        <v>1270</v>
      </c>
      <c r="F16" s="15" t="s">
        <v>26</v>
      </c>
      <c r="G16" s="16">
        <v>1390</v>
      </c>
      <c r="H16" s="16">
        <v>30</v>
      </c>
      <c r="I16" s="16">
        <f t="shared" si="0"/>
        <v>1360</v>
      </c>
      <c r="J16" s="15" t="s">
        <v>1238</v>
      </c>
      <c r="K16" s="15" t="s">
        <v>21</v>
      </c>
      <c r="L16" s="15" t="s">
        <v>1234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1271</v>
      </c>
      <c r="D17" s="15" t="s">
        <v>1272</v>
      </c>
      <c r="E17" s="15" t="s">
        <v>1273</v>
      </c>
      <c r="F17" s="16">
        <v>7</v>
      </c>
      <c r="G17" s="16">
        <v>1630</v>
      </c>
      <c r="H17" s="16">
        <v>30</v>
      </c>
      <c r="I17" s="16">
        <f t="shared" si="0"/>
        <v>1600</v>
      </c>
      <c r="J17" s="15" t="s">
        <v>1238</v>
      </c>
      <c r="K17" s="15" t="s">
        <v>21</v>
      </c>
      <c r="L17" s="15" t="s">
        <v>1234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1274</v>
      </c>
      <c r="D18" s="15" t="s">
        <v>1275</v>
      </c>
      <c r="E18" s="15" t="s">
        <v>1276</v>
      </c>
      <c r="F18" s="16">
        <v>10</v>
      </c>
      <c r="G18" s="16">
        <v>815</v>
      </c>
      <c r="H18" s="16">
        <v>25</v>
      </c>
      <c r="I18" s="16">
        <f t="shared" si="0"/>
        <v>790</v>
      </c>
      <c r="J18" s="15" t="s">
        <v>1238</v>
      </c>
      <c r="K18" s="15" t="s">
        <v>21</v>
      </c>
      <c r="L18" s="15" t="s">
        <v>1234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1277</v>
      </c>
      <c r="D19" s="15" t="s">
        <v>1278</v>
      </c>
      <c r="E19" s="15" t="s">
        <v>1279</v>
      </c>
      <c r="F19" s="15" t="s">
        <v>406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1234</v>
      </c>
      <c r="M19" s="15"/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1280</v>
      </c>
      <c r="D20" s="15" t="s">
        <v>1281</v>
      </c>
      <c r="E20" s="15" t="s">
        <v>1282</v>
      </c>
      <c r="F20" s="16">
        <v>1</v>
      </c>
      <c r="G20" s="16">
        <v>845</v>
      </c>
      <c r="H20" s="16">
        <v>25</v>
      </c>
      <c r="I20" s="16">
        <f t="shared" si="0"/>
        <v>820</v>
      </c>
      <c r="J20" s="15" t="s">
        <v>21</v>
      </c>
      <c r="K20" s="15" t="s">
        <v>21</v>
      </c>
      <c r="L20" s="15" t="s">
        <v>1234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1283</v>
      </c>
      <c r="D21" s="15" t="s">
        <v>1284</v>
      </c>
      <c r="E21" s="15" t="s">
        <v>1285</v>
      </c>
      <c r="F21" s="16">
        <v>12</v>
      </c>
      <c r="G21" s="16">
        <v>0</v>
      </c>
      <c r="H21" s="16">
        <v>40</v>
      </c>
      <c r="I21" s="16">
        <f t="shared" si="0"/>
        <v>-40</v>
      </c>
      <c r="J21" s="15" t="s">
        <v>21</v>
      </c>
      <c r="K21" s="15" t="s">
        <v>21</v>
      </c>
      <c r="L21" s="15" t="s">
        <v>1234</v>
      </c>
      <c r="M21" s="15"/>
      <c r="N21" s="15"/>
      <c r="O21" s="15"/>
      <c r="P21" s="15"/>
      <c r="Q21" s="15">
        <v>1</v>
      </c>
      <c r="R21" s="10">
        <f>H21</f>
        <v>40</v>
      </c>
    </row>
    <row r="22" spans="1:18" x14ac:dyDescent="0.25">
      <c r="A22" s="15"/>
      <c r="B22" s="15" t="s">
        <v>17</v>
      </c>
      <c r="C22" s="15" t="s">
        <v>1286</v>
      </c>
      <c r="D22" s="15" t="s">
        <v>1287</v>
      </c>
      <c r="E22" s="15" t="s">
        <v>1288</v>
      </c>
      <c r="F22" s="15" t="s">
        <v>95</v>
      </c>
      <c r="G22" s="16">
        <v>805</v>
      </c>
      <c r="H22" s="16">
        <v>25</v>
      </c>
      <c r="I22" s="16">
        <f t="shared" si="0"/>
        <v>780</v>
      </c>
      <c r="J22" s="15" t="s">
        <v>21</v>
      </c>
      <c r="K22" s="15" t="s">
        <v>21</v>
      </c>
      <c r="L22" s="15" t="s">
        <v>1234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1289</v>
      </c>
      <c r="D23" s="15" t="s">
        <v>1290</v>
      </c>
      <c r="E23" s="15" t="s">
        <v>1291</v>
      </c>
      <c r="F23" s="15" t="s">
        <v>77</v>
      </c>
      <c r="G23" s="16">
        <v>695</v>
      </c>
      <c r="H23" s="16">
        <v>25</v>
      </c>
      <c r="I23" s="16">
        <f t="shared" si="0"/>
        <v>670</v>
      </c>
      <c r="J23" s="15" t="s">
        <v>21</v>
      </c>
      <c r="K23" s="15" t="s">
        <v>21</v>
      </c>
      <c r="L23" s="15" t="s">
        <v>1234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1292</v>
      </c>
      <c r="D24" s="15" t="s">
        <v>1293</v>
      </c>
      <c r="E24" s="15" t="s">
        <v>500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1234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1294</v>
      </c>
      <c r="D25" s="15" t="s">
        <v>1295</v>
      </c>
      <c r="E25" s="15" t="s">
        <v>1296</v>
      </c>
      <c r="F25" s="15" t="s">
        <v>77</v>
      </c>
      <c r="G25" s="16">
        <v>3600</v>
      </c>
      <c r="H25" s="16">
        <v>35</v>
      </c>
      <c r="I25" s="16">
        <f t="shared" si="0"/>
        <v>3565</v>
      </c>
      <c r="J25" s="15" t="s">
        <v>21</v>
      </c>
      <c r="K25" s="15" t="s">
        <v>21</v>
      </c>
      <c r="L25" s="15" t="s">
        <v>1234</v>
      </c>
      <c r="M25" s="20" t="s">
        <v>167</v>
      </c>
      <c r="N25" s="15"/>
      <c r="O25" s="15"/>
      <c r="P25" s="15"/>
      <c r="Q25" s="15">
        <v>1</v>
      </c>
      <c r="R25" s="10">
        <f>H25</f>
        <v>35</v>
      </c>
    </row>
    <row r="26" spans="1:18" x14ac:dyDescent="0.25">
      <c r="A26" s="15"/>
      <c r="B26" s="15" t="s">
        <v>17</v>
      </c>
      <c r="C26" s="15" t="s">
        <v>1113</v>
      </c>
      <c r="D26" s="15" t="s">
        <v>1297</v>
      </c>
      <c r="E26" s="15" t="s">
        <v>1298</v>
      </c>
      <c r="F26" s="15" t="s">
        <v>95</v>
      </c>
      <c r="G26" s="16">
        <v>25</v>
      </c>
      <c r="H26" s="16">
        <v>25</v>
      </c>
      <c r="I26" s="16">
        <f t="shared" si="0"/>
        <v>0</v>
      </c>
      <c r="J26" s="15" t="s">
        <v>21</v>
      </c>
      <c r="K26" s="15" t="s">
        <v>21</v>
      </c>
      <c r="L26" s="15" t="s">
        <v>1234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1299</v>
      </c>
      <c r="D27" s="15" t="s">
        <v>1300</v>
      </c>
      <c r="E27" s="15" t="s">
        <v>1301</v>
      </c>
      <c r="F27" s="15" t="s">
        <v>406</v>
      </c>
      <c r="G27" s="16">
        <v>660</v>
      </c>
      <c r="H27" s="16">
        <v>20</v>
      </c>
      <c r="I27" s="16">
        <f t="shared" si="0"/>
        <v>640</v>
      </c>
      <c r="J27" s="15" t="s">
        <v>21</v>
      </c>
      <c r="K27" s="15" t="s">
        <v>21</v>
      </c>
      <c r="L27" s="15" t="s">
        <v>1234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1302</v>
      </c>
      <c r="D28" s="15" t="s">
        <v>1303</v>
      </c>
      <c r="E28" s="15" t="s">
        <v>1304</v>
      </c>
      <c r="F28" s="15" t="s">
        <v>95</v>
      </c>
      <c r="G28" s="16">
        <v>985</v>
      </c>
      <c r="H28" s="16">
        <v>25</v>
      </c>
      <c r="I28" s="16">
        <f t="shared" si="0"/>
        <v>960</v>
      </c>
      <c r="J28" s="15" t="s">
        <v>21</v>
      </c>
      <c r="K28" s="15" t="s">
        <v>21</v>
      </c>
      <c r="L28" s="15" t="s">
        <v>1234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1305</v>
      </c>
      <c r="D29" s="15" t="s">
        <v>1306</v>
      </c>
      <c r="E29" s="15" t="s">
        <v>1307</v>
      </c>
      <c r="F29" s="15" t="s">
        <v>77</v>
      </c>
      <c r="G29" s="16">
        <v>1695</v>
      </c>
      <c r="H29" s="16">
        <v>25</v>
      </c>
      <c r="I29" s="16">
        <f t="shared" si="0"/>
        <v>1670</v>
      </c>
      <c r="J29" s="15" t="s">
        <v>21</v>
      </c>
      <c r="K29" s="15" t="s">
        <v>21</v>
      </c>
      <c r="L29" s="15" t="s">
        <v>1234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1308</v>
      </c>
      <c r="D30" s="15" t="s">
        <v>1309</v>
      </c>
      <c r="E30" s="15" t="s">
        <v>1310</v>
      </c>
      <c r="F30" s="15" t="s">
        <v>85</v>
      </c>
      <c r="G30" s="16">
        <v>990</v>
      </c>
      <c r="H30" s="16">
        <v>20</v>
      </c>
      <c r="I30" s="16">
        <f t="shared" si="0"/>
        <v>970</v>
      </c>
      <c r="J30" s="15" t="s">
        <v>21</v>
      </c>
      <c r="K30" s="15" t="s">
        <v>21</v>
      </c>
      <c r="L30" s="15" t="s">
        <v>1234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1311</v>
      </c>
      <c r="D31" s="15" t="s">
        <v>1312</v>
      </c>
      <c r="E31" s="15" t="s">
        <v>1313</v>
      </c>
      <c r="F31" s="15" t="s">
        <v>81</v>
      </c>
      <c r="G31" s="16">
        <v>540</v>
      </c>
      <c r="H31" s="16">
        <v>30</v>
      </c>
      <c r="I31" s="16">
        <f t="shared" si="0"/>
        <v>510</v>
      </c>
      <c r="J31" s="15" t="s">
        <v>21</v>
      </c>
      <c r="K31" s="15" t="s">
        <v>21</v>
      </c>
      <c r="L31" s="15" t="s">
        <v>1234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1314</v>
      </c>
      <c r="D32" s="15" t="s">
        <v>1315</v>
      </c>
      <c r="E32" s="15" t="s">
        <v>1316</v>
      </c>
      <c r="F32" s="16">
        <v>12</v>
      </c>
      <c r="G32" s="16">
        <v>1530</v>
      </c>
      <c r="H32" s="16">
        <v>30</v>
      </c>
      <c r="I32" s="16">
        <f t="shared" si="0"/>
        <v>1500</v>
      </c>
      <c r="J32" s="15" t="s">
        <v>21</v>
      </c>
      <c r="K32" s="15" t="s">
        <v>21</v>
      </c>
      <c r="L32" s="15" t="s">
        <v>1234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1317</v>
      </c>
      <c r="D33" s="15" t="s">
        <v>1318</v>
      </c>
      <c r="E33" s="15" t="s">
        <v>1319</v>
      </c>
      <c r="F33" s="15" t="s">
        <v>95</v>
      </c>
      <c r="G33" s="16">
        <v>765</v>
      </c>
      <c r="H33" s="16">
        <v>25</v>
      </c>
      <c r="I33" s="16">
        <f t="shared" si="0"/>
        <v>740</v>
      </c>
      <c r="J33" s="15" t="s">
        <v>21</v>
      </c>
      <c r="K33" s="15" t="s">
        <v>21</v>
      </c>
      <c r="L33" s="15" t="s">
        <v>1234</v>
      </c>
      <c r="M33" s="15"/>
      <c r="N33" s="15"/>
      <c r="O33" s="15"/>
      <c r="P33" s="15"/>
      <c r="Q33" s="15">
        <v>1</v>
      </c>
    </row>
    <row r="34" spans="1:17" x14ac:dyDescent="0.25">
      <c r="A34" s="15" t="s">
        <v>16</v>
      </c>
      <c r="B34" s="15" t="s">
        <v>17</v>
      </c>
      <c r="C34" s="15" t="s">
        <v>1320</v>
      </c>
      <c r="D34" s="15"/>
      <c r="E34" s="15" t="s">
        <v>1321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21</v>
      </c>
      <c r="K34" s="15" t="s">
        <v>21</v>
      </c>
      <c r="L34" s="15" t="s">
        <v>1234</v>
      </c>
      <c r="M34" s="15"/>
      <c r="N34" s="15"/>
      <c r="O34" s="15"/>
      <c r="P34" s="15"/>
      <c r="Q34" s="15">
        <v>1</v>
      </c>
    </row>
    <row r="36" spans="1:17" x14ac:dyDescent="0.25">
      <c r="D36" s="1">
        <f>COUNTA(D3:D34)</f>
        <v>30</v>
      </c>
      <c r="G36" s="1">
        <f t="shared" ref="G36:Q36" si="1">SUBTOTAL(9,G3:G34)</f>
        <v>26995</v>
      </c>
      <c r="H36" s="1">
        <f t="shared" si="1"/>
        <v>885</v>
      </c>
      <c r="I36" s="1">
        <f t="shared" si="1"/>
        <v>26110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1" t="s">
        <v>17</v>
      </c>
      <c r="C38" s="35" t="s">
        <v>191</v>
      </c>
      <c r="D38" s="35"/>
      <c r="E38" s="4" t="s">
        <v>192</v>
      </c>
      <c r="H38">
        <f>-3*25</f>
        <v>-75</v>
      </c>
      <c r="K38" s="11" t="s">
        <v>1238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1234</v>
      </c>
      <c r="B39" s="3" t="s">
        <v>195</v>
      </c>
      <c r="C39" s="36">
        <f>SUMIFS(I$3:I$34,B$3:B$34,A$38,L$3:L$34,A$39)</f>
        <v>26110</v>
      </c>
      <c r="D39" s="36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2" t="s">
        <v>199</v>
      </c>
      <c r="C40" s="37">
        <v>0</v>
      </c>
      <c r="D40" s="37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2" t="s">
        <v>201</v>
      </c>
      <c r="C41" s="37">
        <f>-SUMIFS(I$3:I$34,B$3:B$34,A$38,P$3:P$34,"xx",N$3:N$34,"x")</f>
        <v>0</v>
      </c>
      <c r="D41" s="37"/>
      <c r="E41" s="2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4" t="s">
        <v>203</v>
      </c>
      <c r="C42" s="35">
        <f>SUBTOTAL(9,C39:C41)</f>
        <v>26110</v>
      </c>
      <c r="D42" s="35"/>
      <c r="E42">
        <f>E39</f>
        <v>32</v>
      </c>
      <c r="K42" s="2" t="s">
        <v>204</v>
      </c>
      <c r="O42" t="s">
        <v>207</v>
      </c>
      <c r="P42">
        <f>-C46</f>
        <v>-26110</v>
      </c>
    </row>
    <row r="43" spans="1:17" x14ac:dyDescent="0.25">
      <c r="B43" s="2" t="s">
        <v>205</v>
      </c>
      <c r="C43" s="33"/>
      <c r="D43" s="33"/>
      <c r="K43" s="2" t="s">
        <v>206</v>
      </c>
      <c r="O43" s="4" t="s">
        <v>209</v>
      </c>
      <c r="P43" s="4">
        <f>SUBTOTAL(9,P39:P42)</f>
        <v>149</v>
      </c>
    </row>
    <row r="44" spans="1:17" x14ac:dyDescent="0.25">
      <c r="B44" s="12" t="s">
        <v>208</v>
      </c>
      <c r="C44" s="33"/>
      <c r="D44" s="33"/>
      <c r="L44" s="13">
        <f>SUBTOTAL(9,L39:L43)</f>
        <v>13503</v>
      </c>
      <c r="M44" s="13">
        <f>M39</f>
        <v>15</v>
      </c>
    </row>
    <row r="46" spans="1:17" x14ac:dyDescent="0.25">
      <c r="B46" s="1" t="s">
        <v>210</v>
      </c>
      <c r="C46" s="34">
        <f>C42+C43+C44</f>
        <v>26110</v>
      </c>
      <c r="D46" s="34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12751</v>
      </c>
      <c r="M52" s="13">
        <f>M47</f>
        <v>16</v>
      </c>
    </row>
    <row r="54" spans="11:13" x14ac:dyDescent="0.25">
      <c r="K54" s="11" t="s">
        <v>20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5</v>
      </c>
      <c r="M60" s="13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abSelected="1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1337</v>
      </c>
      <c r="D3" s="15" t="s">
        <v>1338</v>
      </c>
      <c r="E3" s="15" t="s">
        <v>1339</v>
      </c>
      <c r="F3" s="15" t="s">
        <v>26</v>
      </c>
      <c r="G3" s="16">
        <v>0</v>
      </c>
      <c r="H3" s="16">
        <v>30</v>
      </c>
      <c r="I3" s="16">
        <f t="shared" ref="I3:I42" si="0">G3-H3</f>
        <v>-30</v>
      </c>
      <c r="J3" s="15" t="s">
        <v>1340</v>
      </c>
      <c r="K3" s="15" t="s">
        <v>21</v>
      </c>
      <c r="L3" s="15" t="s">
        <v>1336</v>
      </c>
      <c r="M3" s="20" t="s">
        <v>1341</v>
      </c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/>
      <c r="B4" s="15" t="s">
        <v>17</v>
      </c>
      <c r="C4" s="15" t="s">
        <v>1345</v>
      </c>
      <c r="D4" s="15" t="s">
        <v>1346</v>
      </c>
      <c r="E4" s="15" t="s">
        <v>1347</v>
      </c>
      <c r="F4" s="16">
        <v>8</v>
      </c>
      <c r="G4" s="16">
        <v>0</v>
      </c>
      <c r="H4" s="16">
        <v>25</v>
      </c>
      <c r="I4" s="16">
        <f t="shared" si="0"/>
        <v>-25</v>
      </c>
      <c r="J4" s="15" t="s">
        <v>1340</v>
      </c>
      <c r="K4" s="15" t="s">
        <v>21</v>
      </c>
      <c r="L4" s="15" t="s">
        <v>1336</v>
      </c>
      <c r="M4" s="15"/>
      <c r="N4" s="15"/>
      <c r="O4" s="15"/>
      <c r="P4" s="15"/>
      <c r="Q4" s="15">
        <v>1</v>
      </c>
      <c r="R4" s="10">
        <f>H4</f>
        <v>25</v>
      </c>
    </row>
    <row r="5" spans="1:18" x14ac:dyDescent="0.25">
      <c r="A5" s="15"/>
      <c r="B5" s="15" t="s">
        <v>17</v>
      </c>
      <c r="C5" s="15" t="s">
        <v>1354</v>
      </c>
      <c r="D5" s="15" t="s">
        <v>1355</v>
      </c>
      <c r="E5" s="15" t="s">
        <v>1356</v>
      </c>
      <c r="F5" s="15" t="s">
        <v>1357</v>
      </c>
      <c r="G5" s="16">
        <v>865</v>
      </c>
      <c r="H5" s="16">
        <v>35</v>
      </c>
      <c r="I5" s="16">
        <f t="shared" si="0"/>
        <v>830</v>
      </c>
      <c r="J5" s="15" t="s">
        <v>1340</v>
      </c>
      <c r="K5" s="15" t="s">
        <v>21</v>
      </c>
      <c r="L5" s="15" t="s">
        <v>1336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1364</v>
      </c>
      <c r="D6" s="15" t="s">
        <v>1365</v>
      </c>
      <c r="E6" s="15" t="s">
        <v>1366</v>
      </c>
      <c r="F6" s="15" t="s">
        <v>139</v>
      </c>
      <c r="G6" s="16">
        <v>1135</v>
      </c>
      <c r="H6" s="16">
        <v>35</v>
      </c>
      <c r="I6" s="16">
        <f t="shared" si="0"/>
        <v>1100</v>
      </c>
      <c r="J6" s="15" t="s">
        <v>1340</v>
      </c>
      <c r="K6" s="15" t="s">
        <v>21</v>
      </c>
      <c r="L6" s="15" t="s">
        <v>1336</v>
      </c>
      <c r="M6" s="20" t="s">
        <v>1061</v>
      </c>
      <c r="N6" s="15"/>
      <c r="O6" s="15"/>
      <c r="P6" s="15"/>
      <c r="Q6" s="15">
        <v>1</v>
      </c>
      <c r="R6" s="10">
        <f>H6</f>
        <v>35</v>
      </c>
    </row>
    <row r="7" spans="1:18" x14ac:dyDescent="0.25">
      <c r="A7" s="15"/>
      <c r="B7" s="15" t="s">
        <v>17</v>
      </c>
      <c r="C7" s="15" t="s">
        <v>1392</v>
      </c>
      <c r="D7" s="15" t="s">
        <v>1393</v>
      </c>
      <c r="E7" s="15" t="s">
        <v>1366</v>
      </c>
      <c r="F7" s="15" t="s">
        <v>139</v>
      </c>
      <c r="G7" s="16">
        <v>0</v>
      </c>
      <c r="H7" s="16">
        <v>0</v>
      </c>
      <c r="I7" s="16">
        <f t="shared" si="0"/>
        <v>0</v>
      </c>
      <c r="J7" s="15" t="s">
        <v>1340</v>
      </c>
      <c r="K7" s="15" t="s">
        <v>21</v>
      </c>
      <c r="L7" s="15" t="s">
        <v>1336</v>
      </c>
      <c r="M7" s="20" t="s">
        <v>377</v>
      </c>
      <c r="N7" s="15"/>
      <c r="O7" s="15"/>
      <c r="P7" s="15"/>
      <c r="Q7" s="15">
        <v>1</v>
      </c>
      <c r="R7" s="10">
        <f>H7</f>
        <v>0</v>
      </c>
    </row>
    <row r="8" spans="1:18" x14ac:dyDescent="0.25">
      <c r="A8" s="15"/>
      <c r="B8" s="15" t="s">
        <v>17</v>
      </c>
      <c r="C8" s="15" t="s">
        <v>1370</v>
      </c>
      <c r="D8" s="15" t="s">
        <v>1371</v>
      </c>
      <c r="E8" s="15" t="s">
        <v>1372</v>
      </c>
      <c r="F8" s="16">
        <v>11</v>
      </c>
      <c r="G8" s="16">
        <v>1135</v>
      </c>
      <c r="H8" s="16">
        <v>25</v>
      </c>
      <c r="I8" s="16">
        <f t="shared" si="0"/>
        <v>1110</v>
      </c>
      <c r="J8" s="15" t="s">
        <v>1340</v>
      </c>
      <c r="K8" s="15" t="s">
        <v>21</v>
      </c>
      <c r="L8" s="15" t="s">
        <v>1336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1379</v>
      </c>
      <c r="D9" s="15" t="s">
        <v>1380</v>
      </c>
      <c r="E9" s="15" t="s">
        <v>1381</v>
      </c>
      <c r="F9" s="16">
        <v>7</v>
      </c>
      <c r="G9" s="16">
        <v>470</v>
      </c>
      <c r="H9" s="16">
        <v>30</v>
      </c>
      <c r="I9" s="16">
        <f t="shared" si="0"/>
        <v>440</v>
      </c>
      <c r="J9" s="15" t="s">
        <v>1340</v>
      </c>
      <c r="K9" s="15" t="s">
        <v>21</v>
      </c>
      <c r="L9" s="15" t="s">
        <v>1336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1385</v>
      </c>
      <c r="D10" s="15" t="s">
        <v>1386</v>
      </c>
      <c r="E10" s="15" t="s">
        <v>1387</v>
      </c>
      <c r="F10" s="15" t="s">
        <v>46</v>
      </c>
      <c r="G10" s="16">
        <v>985</v>
      </c>
      <c r="H10" s="16">
        <v>25</v>
      </c>
      <c r="I10" s="16">
        <f t="shared" si="0"/>
        <v>960</v>
      </c>
      <c r="J10" s="15" t="s">
        <v>1340</v>
      </c>
      <c r="K10" s="15" t="s">
        <v>21</v>
      </c>
      <c r="L10" s="15" t="s">
        <v>1336</v>
      </c>
      <c r="M10" s="20" t="s">
        <v>377</v>
      </c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1385</v>
      </c>
      <c r="D11" s="15" t="s">
        <v>1405</v>
      </c>
      <c r="E11" s="15" t="s">
        <v>1406</v>
      </c>
      <c r="F11" s="15" t="s">
        <v>46</v>
      </c>
      <c r="G11" s="16">
        <v>850</v>
      </c>
      <c r="H11" s="16">
        <v>0</v>
      </c>
      <c r="I11" s="16">
        <f t="shared" si="0"/>
        <v>850</v>
      </c>
      <c r="J11" s="15" t="s">
        <v>1340</v>
      </c>
      <c r="K11" s="15" t="s">
        <v>21</v>
      </c>
      <c r="L11" s="15" t="s">
        <v>1336</v>
      </c>
      <c r="M11" s="20" t="s">
        <v>377</v>
      </c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1388</v>
      </c>
      <c r="D12" s="15" t="s">
        <v>1389</v>
      </c>
      <c r="E12" s="15" t="s">
        <v>1390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1340</v>
      </c>
      <c r="K12" s="15" t="s">
        <v>21</v>
      </c>
      <c r="L12" s="15" t="s">
        <v>1336</v>
      </c>
      <c r="M12" s="20" t="s">
        <v>1391</v>
      </c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1394</v>
      </c>
      <c r="D13" s="15" t="s">
        <v>1395</v>
      </c>
      <c r="E13" s="15" t="s">
        <v>1396</v>
      </c>
      <c r="F13" s="16">
        <v>7</v>
      </c>
      <c r="G13" s="16">
        <v>850</v>
      </c>
      <c r="H13" s="16">
        <v>30</v>
      </c>
      <c r="I13" s="16">
        <f t="shared" si="0"/>
        <v>820</v>
      </c>
      <c r="J13" s="15" t="s">
        <v>1340</v>
      </c>
      <c r="K13" s="15" t="s">
        <v>21</v>
      </c>
      <c r="L13" s="15" t="s">
        <v>1336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1397</v>
      </c>
      <c r="D14" s="15" t="s">
        <v>1398</v>
      </c>
      <c r="E14" s="15" t="s">
        <v>1399</v>
      </c>
      <c r="F14" s="16">
        <v>7</v>
      </c>
      <c r="G14" s="16">
        <v>820</v>
      </c>
      <c r="H14" s="16">
        <v>30</v>
      </c>
      <c r="I14" s="16">
        <f t="shared" si="0"/>
        <v>790</v>
      </c>
      <c r="J14" s="15" t="s">
        <v>1340</v>
      </c>
      <c r="K14" s="15" t="s">
        <v>21</v>
      </c>
      <c r="L14" s="15" t="s">
        <v>1336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1400</v>
      </c>
      <c r="D15" s="15" t="s">
        <v>1401</v>
      </c>
      <c r="E15" s="15" t="s">
        <v>1402</v>
      </c>
      <c r="F15" s="16">
        <v>11</v>
      </c>
      <c r="G15" s="16">
        <v>1505</v>
      </c>
      <c r="H15" s="16">
        <v>25</v>
      </c>
      <c r="I15" s="16">
        <f t="shared" si="0"/>
        <v>1480</v>
      </c>
      <c r="J15" s="15" t="s">
        <v>1340</v>
      </c>
      <c r="K15" s="15" t="s">
        <v>21</v>
      </c>
      <c r="L15" s="15" t="s">
        <v>1336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738</v>
      </c>
      <c r="D16" s="15" t="s">
        <v>1403</v>
      </c>
      <c r="E16" s="15" t="s">
        <v>1404</v>
      </c>
      <c r="F16" s="15" t="s">
        <v>46</v>
      </c>
      <c r="G16" s="16">
        <v>725</v>
      </c>
      <c r="H16" s="16">
        <v>25</v>
      </c>
      <c r="I16" s="16">
        <f t="shared" si="0"/>
        <v>700</v>
      </c>
      <c r="J16" s="15" t="s">
        <v>1340</v>
      </c>
      <c r="K16" s="15" t="s">
        <v>21</v>
      </c>
      <c r="L16" s="15" t="s">
        <v>1336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1333</v>
      </c>
      <c r="D17" s="15" t="s">
        <v>1334</v>
      </c>
      <c r="E17" s="15" t="s">
        <v>1335</v>
      </c>
      <c r="F17" s="15" t="s">
        <v>77</v>
      </c>
      <c r="G17" s="16">
        <v>715</v>
      </c>
      <c r="H17" s="16">
        <v>25</v>
      </c>
      <c r="I17" s="16">
        <f t="shared" si="0"/>
        <v>690</v>
      </c>
      <c r="J17" s="15" t="s">
        <v>21</v>
      </c>
      <c r="K17" s="15" t="s">
        <v>21</v>
      </c>
      <c r="L17" s="15" t="s">
        <v>1336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890</v>
      </c>
      <c r="D18" s="15" t="s">
        <v>1342</v>
      </c>
      <c r="E18" s="15" t="s">
        <v>250</v>
      </c>
      <c r="F18" s="15" t="s">
        <v>77</v>
      </c>
      <c r="G18" s="16">
        <v>0</v>
      </c>
      <c r="H18" s="16">
        <v>25</v>
      </c>
      <c r="I18" s="16">
        <f t="shared" si="0"/>
        <v>-25</v>
      </c>
      <c r="J18" s="15" t="s">
        <v>21</v>
      </c>
      <c r="K18" s="15" t="s">
        <v>21</v>
      </c>
      <c r="L18" s="15" t="s">
        <v>1336</v>
      </c>
      <c r="M18" s="15"/>
      <c r="N18" s="15"/>
      <c r="O18" s="15"/>
      <c r="P18" s="15"/>
      <c r="Q18" s="15">
        <v>1</v>
      </c>
      <c r="R18" s="10">
        <f>H18</f>
        <v>25</v>
      </c>
    </row>
    <row r="19" spans="1:18" x14ac:dyDescent="0.25">
      <c r="A19" s="15"/>
      <c r="B19" s="15" t="s">
        <v>17</v>
      </c>
      <c r="C19" s="15" t="s">
        <v>892</v>
      </c>
      <c r="D19" s="15" t="s">
        <v>1343</v>
      </c>
      <c r="E19" s="15" t="s">
        <v>1344</v>
      </c>
      <c r="F19" s="15" t="s">
        <v>81</v>
      </c>
      <c r="G19" s="16">
        <v>380</v>
      </c>
      <c r="H19" s="16">
        <v>30</v>
      </c>
      <c r="I19" s="16">
        <f t="shared" si="0"/>
        <v>350</v>
      </c>
      <c r="J19" s="15" t="s">
        <v>21</v>
      </c>
      <c r="K19" s="15" t="s">
        <v>21</v>
      </c>
      <c r="L19" s="15" t="s">
        <v>1336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1351</v>
      </c>
      <c r="D20" s="15" t="s">
        <v>1352</v>
      </c>
      <c r="E20" s="15" t="s">
        <v>1353</v>
      </c>
      <c r="F20" s="15" t="s">
        <v>85</v>
      </c>
      <c r="G20" s="16">
        <v>810</v>
      </c>
      <c r="H20" s="16">
        <v>20</v>
      </c>
      <c r="I20" s="16">
        <f t="shared" si="0"/>
        <v>790</v>
      </c>
      <c r="J20" s="15" t="s">
        <v>21</v>
      </c>
      <c r="K20" s="15" t="s">
        <v>21</v>
      </c>
      <c r="L20" s="15" t="s">
        <v>1336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1358</v>
      </c>
      <c r="D21" s="15" t="s">
        <v>1359</v>
      </c>
      <c r="E21" s="15" t="s">
        <v>1360</v>
      </c>
      <c r="F21" s="15" t="s">
        <v>81</v>
      </c>
      <c r="G21" s="16">
        <v>820</v>
      </c>
      <c r="H21" s="16">
        <v>30</v>
      </c>
      <c r="I21" s="16">
        <f t="shared" si="0"/>
        <v>790</v>
      </c>
      <c r="J21" s="15" t="s">
        <v>21</v>
      </c>
      <c r="K21" s="15" t="s">
        <v>21</v>
      </c>
      <c r="L21" s="15" t="s">
        <v>1336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1361</v>
      </c>
      <c r="D22" s="15" t="s">
        <v>1362</v>
      </c>
      <c r="E22" s="15" t="s">
        <v>1363</v>
      </c>
      <c r="F22" s="16">
        <v>2</v>
      </c>
      <c r="G22" s="16">
        <v>990</v>
      </c>
      <c r="H22" s="16">
        <v>30</v>
      </c>
      <c r="I22" s="16">
        <f t="shared" si="0"/>
        <v>960</v>
      </c>
      <c r="J22" s="15" t="s">
        <v>21</v>
      </c>
      <c r="K22" s="15" t="s">
        <v>21</v>
      </c>
      <c r="L22" s="15" t="s">
        <v>1336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1376</v>
      </c>
      <c r="E23" s="15" t="s">
        <v>122</v>
      </c>
      <c r="F23" s="15" t="s">
        <v>85</v>
      </c>
      <c r="G23" s="16">
        <v>1770</v>
      </c>
      <c r="H23" s="16">
        <v>20</v>
      </c>
      <c r="I23" s="16">
        <f t="shared" si="0"/>
        <v>1750</v>
      </c>
      <c r="J23" s="15" t="s">
        <v>21</v>
      </c>
      <c r="K23" s="15" t="s">
        <v>21</v>
      </c>
      <c r="L23" s="15" t="s">
        <v>1336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1377</v>
      </c>
      <c r="D24" s="15" t="s">
        <v>1378</v>
      </c>
      <c r="E24" s="15" t="s">
        <v>503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1336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1382</v>
      </c>
      <c r="D25" s="15" t="s">
        <v>1383</v>
      </c>
      <c r="E25" s="15" t="s">
        <v>1384</v>
      </c>
      <c r="F25" s="15" t="s">
        <v>81</v>
      </c>
      <c r="G25" s="16">
        <v>880</v>
      </c>
      <c r="H25" s="16">
        <v>30</v>
      </c>
      <c r="I25" s="16">
        <f t="shared" si="0"/>
        <v>850</v>
      </c>
      <c r="J25" s="15" t="s">
        <v>21</v>
      </c>
      <c r="K25" s="15" t="s">
        <v>21</v>
      </c>
      <c r="L25" s="15" t="s">
        <v>1336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1410</v>
      </c>
      <c r="D26" s="15" t="s">
        <v>1411</v>
      </c>
      <c r="E26" s="15" t="s">
        <v>1412</v>
      </c>
      <c r="F26" s="16">
        <v>12</v>
      </c>
      <c r="G26" s="16">
        <v>880</v>
      </c>
      <c r="H26" s="16">
        <v>30</v>
      </c>
      <c r="I26" s="16">
        <f t="shared" si="0"/>
        <v>850</v>
      </c>
      <c r="J26" s="15" t="s">
        <v>21</v>
      </c>
      <c r="K26" s="15" t="s">
        <v>21</v>
      </c>
      <c r="L26" s="15" t="s">
        <v>1336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1418</v>
      </c>
      <c r="D27" s="15" t="s">
        <v>1419</v>
      </c>
      <c r="E27" s="15" t="s">
        <v>1420</v>
      </c>
      <c r="F27" s="16">
        <v>2</v>
      </c>
      <c r="G27" s="16">
        <v>820</v>
      </c>
      <c r="H27" s="16">
        <v>30</v>
      </c>
      <c r="I27" s="16">
        <f t="shared" si="0"/>
        <v>790</v>
      </c>
      <c r="J27" s="15" t="s">
        <v>21</v>
      </c>
      <c r="K27" s="15" t="s">
        <v>21</v>
      </c>
      <c r="L27" s="15" t="s">
        <v>1336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16</v>
      </c>
      <c r="B28" s="15" t="s">
        <v>17</v>
      </c>
      <c r="C28" s="15" t="s">
        <v>1421</v>
      </c>
      <c r="D28" s="15"/>
      <c r="E28" s="15" t="s">
        <v>1422</v>
      </c>
      <c r="F28" s="16">
        <v>12</v>
      </c>
      <c r="G28" s="16">
        <v>0</v>
      </c>
      <c r="H28" s="16">
        <v>35</v>
      </c>
      <c r="I28" s="16">
        <f t="shared" si="0"/>
        <v>-35</v>
      </c>
      <c r="J28" s="15" t="s">
        <v>21</v>
      </c>
      <c r="K28" s="15" t="s">
        <v>21</v>
      </c>
      <c r="L28" s="15" t="s">
        <v>1336</v>
      </c>
      <c r="M28" s="15"/>
      <c r="N28" s="15"/>
      <c r="O28" s="15"/>
      <c r="P28" s="15"/>
      <c r="Q28" s="15">
        <v>1</v>
      </c>
      <c r="R28" s="10">
        <f>H28</f>
        <v>35</v>
      </c>
    </row>
    <row r="29" spans="1:18" x14ac:dyDescent="0.25">
      <c r="A29" s="15" t="s">
        <v>16</v>
      </c>
      <c r="B29" s="15" t="s">
        <v>17</v>
      </c>
      <c r="C29" s="15" t="s">
        <v>127</v>
      </c>
      <c r="D29" s="15"/>
      <c r="E29" s="15" t="s">
        <v>128</v>
      </c>
      <c r="F29" s="15" t="s">
        <v>81</v>
      </c>
      <c r="G29" s="16">
        <v>865</v>
      </c>
      <c r="H29" s="16">
        <v>35</v>
      </c>
      <c r="I29" s="16">
        <f t="shared" si="0"/>
        <v>830</v>
      </c>
      <c r="J29" s="15" t="s">
        <v>21</v>
      </c>
      <c r="K29" s="15" t="s">
        <v>21</v>
      </c>
      <c r="L29" s="15" t="s">
        <v>1336</v>
      </c>
      <c r="M29" s="15"/>
      <c r="N29" s="15"/>
      <c r="O29" s="15"/>
      <c r="P29" s="15"/>
      <c r="Q29" s="15">
        <v>1</v>
      </c>
    </row>
    <row r="30" spans="1:18" x14ac:dyDescent="0.25">
      <c r="A30" s="15" t="s">
        <v>16</v>
      </c>
      <c r="B30" s="15" t="s">
        <v>17</v>
      </c>
      <c r="C30" s="15" t="s">
        <v>368</v>
      </c>
      <c r="D30" s="15"/>
      <c r="E30" s="15" t="s">
        <v>1424</v>
      </c>
      <c r="F30" s="15" t="s">
        <v>77</v>
      </c>
      <c r="G30" s="16">
        <v>30</v>
      </c>
      <c r="H30" s="16">
        <v>30</v>
      </c>
      <c r="I30" s="16">
        <f t="shared" si="0"/>
        <v>0</v>
      </c>
      <c r="J30" s="15" t="s">
        <v>21</v>
      </c>
      <c r="K30" s="15" t="s">
        <v>21</v>
      </c>
      <c r="L30" s="15" t="s">
        <v>1336</v>
      </c>
      <c r="M30" s="15"/>
      <c r="N30" s="15"/>
      <c r="O30" s="15"/>
      <c r="P30" s="15"/>
      <c r="Q30" s="15">
        <v>1</v>
      </c>
    </row>
    <row r="31" spans="1:18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860</v>
      </c>
      <c r="H31" s="16">
        <v>30</v>
      </c>
      <c r="I31" s="16">
        <f t="shared" si="0"/>
        <v>830</v>
      </c>
      <c r="J31" s="15" t="s">
        <v>21</v>
      </c>
      <c r="K31" s="15" t="s">
        <v>21</v>
      </c>
      <c r="L31" s="15" t="s">
        <v>1336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1348</v>
      </c>
      <c r="D32" s="15" t="s">
        <v>1349</v>
      </c>
      <c r="E32" s="15" t="s">
        <v>1350</v>
      </c>
      <c r="F32" s="16">
        <v>1</v>
      </c>
      <c r="G32" s="16">
        <v>0</v>
      </c>
      <c r="H32" s="16">
        <v>25</v>
      </c>
      <c r="I32" s="16">
        <f t="shared" si="0"/>
        <v>-25</v>
      </c>
      <c r="J32" s="15" t="s">
        <v>135</v>
      </c>
      <c r="K32" s="15" t="s">
        <v>21</v>
      </c>
      <c r="L32" s="15" t="s">
        <v>1336</v>
      </c>
      <c r="M32" s="20" t="s">
        <v>377</v>
      </c>
      <c r="N32" s="15"/>
      <c r="O32" s="15"/>
      <c r="P32" s="15"/>
      <c r="Q32" s="15">
        <v>1</v>
      </c>
      <c r="R32" s="10">
        <f t="shared" ref="R32:R33" si="1">H32</f>
        <v>25</v>
      </c>
    </row>
    <row r="33" spans="1:18" x14ac:dyDescent="0.25">
      <c r="A33" s="15"/>
      <c r="B33" s="15" t="s">
        <v>17</v>
      </c>
      <c r="C33" s="15" t="s">
        <v>1348</v>
      </c>
      <c r="D33" s="15" t="s">
        <v>1413</v>
      </c>
      <c r="E33" s="15" t="s">
        <v>1414</v>
      </c>
      <c r="F33" s="16">
        <v>1</v>
      </c>
      <c r="G33" s="16">
        <v>0</v>
      </c>
      <c r="H33" s="16">
        <v>0</v>
      </c>
      <c r="I33" s="16">
        <f t="shared" si="0"/>
        <v>0</v>
      </c>
      <c r="J33" s="15" t="s">
        <v>135</v>
      </c>
      <c r="K33" s="15" t="s">
        <v>21</v>
      </c>
      <c r="L33" s="15" t="s">
        <v>1336</v>
      </c>
      <c r="M33" s="20" t="s">
        <v>377</v>
      </c>
      <c r="N33" s="15"/>
      <c r="O33" s="15"/>
      <c r="P33" s="15"/>
      <c r="Q33" s="15">
        <v>1</v>
      </c>
      <c r="R33" s="10">
        <f t="shared" si="1"/>
        <v>0</v>
      </c>
    </row>
    <row r="34" spans="1:18" x14ac:dyDescent="0.25">
      <c r="A34" s="15"/>
      <c r="B34" s="15" t="s">
        <v>17</v>
      </c>
      <c r="C34" s="15" t="s">
        <v>1367</v>
      </c>
      <c r="D34" s="15" t="s">
        <v>1368</v>
      </c>
      <c r="E34" s="15" t="s">
        <v>1369</v>
      </c>
      <c r="F34" s="15" t="s">
        <v>406</v>
      </c>
      <c r="G34" s="16">
        <v>780</v>
      </c>
      <c r="H34" s="16">
        <v>20</v>
      </c>
      <c r="I34" s="16">
        <f t="shared" si="0"/>
        <v>760</v>
      </c>
      <c r="J34" s="15" t="s">
        <v>135</v>
      </c>
      <c r="K34" s="15" t="s">
        <v>21</v>
      </c>
      <c r="L34" s="15" t="s">
        <v>1336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1373</v>
      </c>
      <c r="D35" s="15" t="s">
        <v>1374</v>
      </c>
      <c r="E35" s="15" t="s">
        <v>1375</v>
      </c>
      <c r="F35" s="16">
        <v>1</v>
      </c>
      <c r="G35" s="16">
        <v>755</v>
      </c>
      <c r="H35" s="16">
        <v>25</v>
      </c>
      <c r="I35" s="16">
        <f t="shared" si="0"/>
        <v>730</v>
      </c>
      <c r="J35" s="15" t="s">
        <v>135</v>
      </c>
      <c r="K35" s="15" t="s">
        <v>21</v>
      </c>
      <c r="L35" s="15" t="s">
        <v>1336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17</v>
      </c>
      <c r="C36" s="15" t="s">
        <v>1407</v>
      </c>
      <c r="D36" s="15" t="s">
        <v>1408</v>
      </c>
      <c r="E36" s="15" t="s">
        <v>1409</v>
      </c>
      <c r="F36" s="16">
        <v>4</v>
      </c>
      <c r="G36" s="16">
        <v>985</v>
      </c>
      <c r="H36" s="16">
        <v>25</v>
      </c>
      <c r="I36" s="16">
        <f t="shared" si="0"/>
        <v>960</v>
      </c>
      <c r="J36" s="15" t="s">
        <v>135</v>
      </c>
      <c r="K36" s="15" t="s">
        <v>21</v>
      </c>
      <c r="L36" s="15" t="s">
        <v>1336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1415</v>
      </c>
      <c r="D37" s="15" t="s">
        <v>1416</v>
      </c>
      <c r="E37" s="15" t="s">
        <v>1417</v>
      </c>
      <c r="F37" s="16">
        <v>1</v>
      </c>
      <c r="G37" s="16">
        <v>925</v>
      </c>
      <c r="H37" s="16">
        <v>25</v>
      </c>
      <c r="I37" s="16">
        <f t="shared" si="0"/>
        <v>900</v>
      </c>
      <c r="J37" s="15" t="s">
        <v>135</v>
      </c>
      <c r="K37" s="15" t="s">
        <v>21</v>
      </c>
      <c r="L37" s="15" t="s">
        <v>1336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16</v>
      </c>
      <c r="B38" s="15" t="s">
        <v>17</v>
      </c>
      <c r="C38" s="15" t="s">
        <v>508</v>
      </c>
      <c r="D38" s="15"/>
      <c r="E38" s="15" t="s">
        <v>509</v>
      </c>
      <c r="F38" s="15" t="s">
        <v>406</v>
      </c>
      <c r="G38" s="16">
        <v>25</v>
      </c>
      <c r="H38" s="16">
        <v>25</v>
      </c>
      <c r="I38" s="16">
        <f t="shared" si="0"/>
        <v>0</v>
      </c>
      <c r="J38" s="15" t="s">
        <v>135</v>
      </c>
      <c r="K38" s="15" t="s">
        <v>21</v>
      </c>
      <c r="L38" s="15" t="s">
        <v>1336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16</v>
      </c>
      <c r="B39" s="15" t="s">
        <v>17</v>
      </c>
      <c r="C39" s="15" t="s">
        <v>1423</v>
      </c>
      <c r="D39" s="15"/>
      <c r="E39" s="15" t="s">
        <v>1042</v>
      </c>
      <c r="F39" s="16">
        <v>5</v>
      </c>
      <c r="G39" s="16">
        <v>0</v>
      </c>
      <c r="H39" s="16">
        <v>30</v>
      </c>
      <c r="I39" s="16">
        <f t="shared" si="0"/>
        <v>-30</v>
      </c>
      <c r="J39" s="15" t="s">
        <v>135</v>
      </c>
      <c r="K39" s="15" t="s">
        <v>21</v>
      </c>
      <c r="L39" s="15" t="s">
        <v>1336</v>
      </c>
      <c r="M39" s="15"/>
      <c r="N39" s="15"/>
      <c r="O39" s="15"/>
      <c r="P39" s="15"/>
      <c r="Q39" s="15">
        <v>1</v>
      </c>
      <c r="R39" s="10">
        <f>H39</f>
        <v>30</v>
      </c>
    </row>
    <row r="40" spans="1:18" s="2" customFormat="1" x14ac:dyDescent="0.25">
      <c r="A40" s="21"/>
      <c r="B40" s="21" t="s">
        <v>17</v>
      </c>
      <c r="C40" s="21" t="s">
        <v>1426</v>
      </c>
      <c r="D40" s="21" t="s">
        <v>1427</v>
      </c>
      <c r="E40" s="21" t="s">
        <v>1428</v>
      </c>
      <c r="F40" s="22">
        <v>7</v>
      </c>
      <c r="G40" s="22">
        <v>870</v>
      </c>
      <c r="H40" s="22">
        <v>0</v>
      </c>
      <c r="I40" s="22">
        <f>G40-H40</f>
        <v>870</v>
      </c>
      <c r="J40" s="21" t="s">
        <v>1429</v>
      </c>
      <c r="K40" s="21" t="s">
        <v>21</v>
      </c>
      <c r="L40" s="21" t="s">
        <v>1430</v>
      </c>
      <c r="M40" s="21" t="s">
        <v>206</v>
      </c>
      <c r="N40" s="21" t="s">
        <v>272</v>
      </c>
      <c r="O40" s="21" t="s">
        <v>272</v>
      </c>
      <c r="P40" s="21" t="s">
        <v>273</v>
      </c>
      <c r="Q40" s="21">
        <v>1</v>
      </c>
    </row>
    <row r="41" spans="1:18" s="2" customFormat="1" x14ac:dyDescent="0.25">
      <c r="A41" s="21"/>
      <c r="B41" s="21" t="s">
        <v>17</v>
      </c>
      <c r="C41" s="21" t="s">
        <v>1035</v>
      </c>
      <c r="D41" s="21" t="s">
        <v>1036</v>
      </c>
      <c r="E41" s="21" t="s">
        <v>1037</v>
      </c>
      <c r="F41" s="22">
        <v>10</v>
      </c>
      <c r="G41" s="22">
        <v>1145</v>
      </c>
      <c r="H41" s="22">
        <v>25</v>
      </c>
      <c r="I41" s="22">
        <f t="shared" si="0"/>
        <v>1120</v>
      </c>
      <c r="J41" s="21" t="s">
        <v>271</v>
      </c>
      <c r="K41" s="21" t="s">
        <v>21</v>
      </c>
      <c r="L41" s="21" t="s">
        <v>977</v>
      </c>
      <c r="M41" s="21" t="s">
        <v>204</v>
      </c>
      <c r="N41" s="21" t="s">
        <v>272</v>
      </c>
      <c r="O41" s="21" t="s">
        <v>272</v>
      </c>
      <c r="P41" s="21" t="s">
        <v>273</v>
      </c>
      <c r="Q41" s="22">
        <v>1</v>
      </c>
    </row>
    <row r="42" spans="1:18" s="2" customFormat="1" x14ac:dyDescent="0.25">
      <c r="A42" s="21"/>
      <c r="B42" s="21" t="s">
        <v>17</v>
      </c>
      <c r="C42" s="21" t="s">
        <v>1087</v>
      </c>
      <c r="D42" s="21" t="s">
        <v>1088</v>
      </c>
      <c r="E42" s="21" t="s">
        <v>1089</v>
      </c>
      <c r="F42" s="22">
        <v>2</v>
      </c>
      <c r="G42" s="22">
        <v>920</v>
      </c>
      <c r="H42" s="22">
        <v>30</v>
      </c>
      <c r="I42" s="22">
        <f t="shared" si="0"/>
        <v>890</v>
      </c>
      <c r="J42" s="21" t="s">
        <v>271</v>
      </c>
      <c r="K42" s="21" t="s">
        <v>21</v>
      </c>
      <c r="L42" s="21" t="s">
        <v>1048</v>
      </c>
      <c r="M42" s="21" t="s">
        <v>204</v>
      </c>
      <c r="N42" s="21" t="s">
        <v>272</v>
      </c>
      <c r="O42" s="21" t="s">
        <v>272</v>
      </c>
      <c r="P42" s="21" t="s">
        <v>273</v>
      </c>
      <c r="Q42" s="22">
        <v>1</v>
      </c>
    </row>
    <row r="44" spans="1:18" x14ac:dyDescent="0.25">
      <c r="D44" s="1">
        <f>COUNTA(D3:D42)</f>
        <v>34</v>
      </c>
      <c r="G44" s="1">
        <f t="shared" ref="G44:Q44" si="2">SUBTOTAL(9,G3:G42)</f>
        <v>25565</v>
      </c>
      <c r="H44" s="1">
        <f t="shared" si="2"/>
        <v>1005</v>
      </c>
      <c r="I44" s="1">
        <f t="shared" si="2"/>
        <v>24560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</row>
    <row r="45" spans="1:18" x14ac:dyDescent="0.25">
      <c r="H45">
        <f>-9*17</f>
        <v>-153</v>
      </c>
    </row>
    <row r="46" spans="1:18" x14ac:dyDescent="0.25">
      <c r="A46" s="1" t="s">
        <v>17</v>
      </c>
      <c r="C46" s="35" t="s">
        <v>191</v>
      </c>
      <c r="D46" s="35"/>
      <c r="E46" s="4" t="s">
        <v>192</v>
      </c>
      <c r="H46">
        <f>-1*25</f>
        <v>-25</v>
      </c>
      <c r="K46" s="11" t="s">
        <v>21</v>
      </c>
      <c r="L46" s="11" t="s">
        <v>193</v>
      </c>
      <c r="M46" s="11" t="s">
        <v>192</v>
      </c>
      <c r="O46" s="4" t="s">
        <v>194</v>
      </c>
    </row>
    <row r="47" spans="1:18" x14ac:dyDescent="0.25">
      <c r="A47" t="s">
        <v>1336</v>
      </c>
      <c r="B47" s="3" t="s">
        <v>195</v>
      </c>
      <c r="C47" s="36">
        <f>SUMIFS(I$3:I$42,B$3:B$42,A$46,L$3:L$42,A$47)</f>
        <v>21680</v>
      </c>
      <c r="D47" s="36"/>
      <c r="E47" s="3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2" t="s">
        <v>199</v>
      </c>
      <c r="C48" s="37">
        <v>0</v>
      </c>
      <c r="D48" s="37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1425</v>
      </c>
      <c r="P48">
        <f>L60</f>
        <v>8232</v>
      </c>
    </row>
    <row r="49" spans="2:16" x14ac:dyDescent="0.25">
      <c r="B49" s="2" t="s">
        <v>201</v>
      </c>
      <c r="C49" s="37">
        <f>-SUMIFS(I$3:I$42,B$3:B$42,A$46,P$3:P$42,"xx",N$3:N$42,"x")</f>
        <v>-2880</v>
      </c>
      <c r="D49" s="37"/>
      <c r="E49" s="2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4" t="s">
        <v>203</v>
      </c>
      <c r="C50" s="35">
        <f>SUBTOTAL(9,C47:C49)</f>
        <v>18800</v>
      </c>
      <c r="D50" s="35"/>
      <c r="E50">
        <f>E47</f>
        <v>37</v>
      </c>
      <c r="K50" s="2" t="s">
        <v>204</v>
      </c>
      <c r="L50" s="23">
        <v>-895</v>
      </c>
      <c r="M50" s="23" t="s">
        <v>288</v>
      </c>
      <c r="O50" t="s">
        <v>207</v>
      </c>
      <c r="P50">
        <f>-C54</f>
        <v>-18800</v>
      </c>
    </row>
    <row r="51" spans="2:16" x14ac:dyDescent="0.25">
      <c r="B51" s="2" t="s">
        <v>205</v>
      </c>
      <c r="C51" s="33"/>
      <c r="D51" s="33"/>
      <c r="K51" s="2" t="s">
        <v>206</v>
      </c>
      <c r="O51" s="4" t="s">
        <v>209</v>
      </c>
      <c r="P51" s="4">
        <f>SUBTOTAL(9,P47:P50)</f>
        <v>143</v>
      </c>
    </row>
    <row r="52" spans="2:16" x14ac:dyDescent="0.25">
      <c r="B52" s="12" t="s">
        <v>208</v>
      </c>
      <c r="C52" s="33"/>
      <c r="D52" s="33"/>
      <c r="L52" s="13">
        <f>SUBTOTAL(9,L47:L51)</f>
        <v>8506</v>
      </c>
      <c r="M52" s="13">
        <f>M47</f>
        <v>15</v>
      </c>
    </row>
    <row r="54" spans="2:16" x14ac:dyDescent="0.25">
      <c r="B54" s="1" t="s">
        <v>210</v>
      </c>
      <c r="C54" s="34">
        <f>C50+C51+C52</f>
        <v>18800</v>
      </c>
      <c r="D54" s="34"/>
      <c r="E54" s="1" t="s">
        <v>211</v>
      </c>
      <c r="K54" s="11" t="s">
        <v>1340</v>
      </c>
      <c r="L54" s="11" t="s">
        <v>193</v>
      </c>
      <c r="M54" s="11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2" t="s">
        <v>204</v>
      </c>
    </row>
    <row r="59" spans="2:16" x14ac:dyDescent="0.25">
      <c r="K59" s="2" t="s">
        <v>206</v>
      </c>
      <c r="L59" s="23">
        <v>-870</v>
      </c>
      <c r="M59" s="23" t="s">
        <v>288</v>
      </c>
    </row>
    <row r="60" spans="2:16" x14ac:dyDescent="0.25">
      <c r="L60" s="13">
        <f>SUBTOTAL(9,L55:L59)</f>
        <v>8232</v>
      </c>
      <c r="M60" s="13">
        <f>M55</f>
        <v>12</v>
      </c>
    </row>
    <row r="62" spans="2:16" x14ac:dyDescent="0.25">
      <c r="K62" s="11" t="s">
        <v>135</v>
      </c>
      <c r="L62" s="11" t="s">
        <v>193</v>
      </c>
      <c r="M62" s="11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2" t="s">
        <v>204</v>
      </c>
      <c r="L66" s="23">
        <v>-1125</v>
      </c>
      <c r="M66" s="23" t="s">
        <v>288</v>
      </c>
    </row>
    <row r="67" spans="11:13" x14ac:dyDescent="0.25">
      <c r="K67" s="2" t="s">
        <v>206</v>
      </c>
    </row>
    <row r="68" spans="11:13" x14ac:dyDescent="0.25">
      <c r="L68" s="13">
        <f>SUBTOTAL(9,L63:L67)</f>
        <v>2205</v>
      </c>
      <c r="M68" s="13">
        <f>M63</f>
        <v>7</v>
      </c>
    </row>
  </sheetData>
  <autoFilter ref="A2:P42" xr:uid="{00000000-0009-0000-0000-00000D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D3" sqref="D3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1323</v>
      </c>
      <c r="B1" s="5">
        <v>2026</v>
      </c>
    </row>
    <row r="2" spans="1:5" x14ac:dyDescent="0.25">
      <c r="A2" s="6" t="s">
        <v>1324</v>
      </c>
      <c r="B2" s="6" t="s">
        <v>1325</v>
      </c>
      <c r="C2" s="6" t="s">
        <v>1326</v>
      </c>
      <c r="D2" s="6" t="s">
        <v>1327</v>
      </c>
      <c r="E2" s="6" t="s">
        <v>1328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7" ca="1" si="0">B3-C3-D3</f>
        <v>54</v>
      </c>
    </row>
    <row r="4" spans="1:5" x14ac:dyDescent="0.25">
      <c r="A4" s="7">
        <v>46146</v>
      </c>
      <c r="B4" s="8">
        <f t="shared" ref="B4:B27" ca="1" si="1">IFERROR(COUNTIF(INDIRECT("'"&amp;TEXT(A4,"dd-mm")&amp;"'!L3:L200"),TEXT(A4,"dd-mm")&amp;"-"&amp;B$1),0)</f>
        <v>20</v>
      </c>
      <c r="C4" s="8">
        <f t="shared" ref="C4:C27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4</v>
      </c>
      <c r="E4" s="8">
        <f t="shared" ca="1" si="0"/>
        <v>16</v>
      </c>
    </row>
    <row r="5" spans="1:5" x14ac:dyDescent="0.25">
      <c r="A5" s="7">
        <v>46147</v>
      </c>
      <c r="B5" s="8">
        <f t="shared" ca="1" si="1"/>
        <v>53</v>
      </c>
      <c r="C5" s="8">
        <f t="shared" ca="1" si="2"/>
        <v>2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51</v>
      </c>
    </row>
    <row r="6" spans="1:5" x14ac:dyDescent="0.25">
      <c r="A6" s="7">
        <v>46148</v>
      </c>
      <c r="B6" s="8">
        <f t="shared" ca="1" si="1"/>
        <v>32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32</v>
      </c>
    </row>
    <row r="7" spans="1:5" x14ac:dyDescent="0.25">
      <c r="A7" s="7">
        <v>46149</v>
      </c>
      <c r="B7" s="8">
        <f t="shared" ca="1" si="1"/>
        <v>34</v>
      </c>
      <c r="C7" s="8">
        <f t="shared" ca="1" si="2"/>
        <v>1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33</v>
      </c>
    </row>
    <row r="8" spans="1:5" x14ac:dyDescent="0.25">
      <c r="A8" s="7">
        <v>46150</v>
      </c>
      <c r="B8" s="8">
        <f t="shared" ca="1" si="1"/>
        <v>36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36</v>
      </c>
    </row>
    <row r="9" spans="1:5" x14ac:dyDescent="0.25">
      <c r="A9" s="7">
        <v>46151</v>
      </c>
      <c r="B9" s="8">
        <f t="shared" ca="1" si="1"/>
        <v>31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31</v>
      </c>
    </row>
    <row r="10" spans="1:5" x14ac:dyDescent="0.25">
      <c r="A10" s="7">
        <v>46153</v>
      </c>
      <c r="B10" s="8">
        <f t="shared" ca="1" si="1"/>
        <v>56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4</v>
      </c>
      <c r="E10" s="8">
        <f t="shared" ca="1" si="0"/>
        <v>52</v>
      </c>
    </row>
    <row r="11" spans="1:5" x14ac:dyDescent="0.25">
      <c r="A11" s="7">
        <v>46154</v>
      </c>
      <c r="B11" s="8">
        <f t="shared" ca="1" si="1"/>
        <v>25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25</v>
      </c>
    </row>
    <row r="12" spans="1:5" x14ac:dyDescent="0.25">
      <c r="A12" s="7">
        <v>46155</v>
      </c>
      <c r="B12" s="8">
        <f t="shared" ca="1" si="1"/>
        <v>33</v>
      </c>
      <c r="C12" s="8">
        <f t="shared" ca="1" si="2"/>
        <v>1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32</v>
      </c>
    </row>
    <row r="13" spans="1:5" x14ac:dyDescent="0.25">
      <c r="A13" s="7">
        <v>46156</v>
      </c>
      <c r="B13" s="8">
        <f t="shared" ca="1" si="1"/>
        <v>37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37</v>
      </c>
    </row>
    <row r="14" spans="1:5" x14ac:dyDescent="0.25">
      <c r="A14" s="7">
        <v>46157</v>
      </c>
      <c r="B14" s="8">
        <f t="shared" ca="1" si="1"/>
        <v>32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32</v>
      </c>
    </row>
    <row r="15" spans="1:5" x14ac:dyDescent="0.25">
      <c r="A15" s="7">
        <v>46158</v>
      </c>
      <c r="B15" s="8">
        <f t="shared" ca="1" si="1"/>
        <v>37</v>
      </c>
      <c r="C15" s="8">
        <f t="shared" ca="1" si="2"/>
        <v>3</v>
      </c>
      <c r="D15" s="8" cm="1">
        <f t="array" aca="1" ref="D15" ca="1">IFERROR(SUM(COUNTIF(INDIRECT("'"&amp;TEXT(A15,"DD-MM")&amp;"'!M3:M200"),{"*đơn trả*","*hàng tỉnh*"})),0)</f>
        <v>2</v>
      </c>
      <c r="E15" s="8">
        <f t="shared" ca="1" si="0"/>
        <v>32</v>
      </c>
    </row>
    <row r="16" spans="1:5" x14ac:dyDescent="0.25">
      <c r="A16" s="7">
        <v>46160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46161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46162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46163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46164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46165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46167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46168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46169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46170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46171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46172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D28" s="9" t="s">
        <v>1329</v>
      </c>
      <c r="E28" s="9">
        <f ca="1">SUBTOTAL(9,E4:E27)</f>
        <v>409</v>
      </c>
    </row>
    <row r="29" spans="1:5" x14ac:dyDescent="0.25">
      <c r="D29" s="9" t="s">
        <v>1330</v>
      </c>
      <c r="E29" s="9" cm="1">
        <f t="array" ref="E29" ca="1">SUMPRODUCT(
    IFERROR(
        SUMIF(
            INDIRECT("'"&amp;TEXT(A4:A27,"dd-mm")&amp;"'!O:O"),
            "tổng",
            INDIRECT("'"&amp;TEXT(A4:A27,"dd-mm")&amp;"'!P:P")
        ),
    0)
)</f>
        <v>1658</v>
      </c>
    </row>
    <row r="30" spans="1:5" x14ac:dyDescent="0.25">
      <c r="D30" s="9" t="s">
        <v>1331</v>
      </c>
      <c r="E30" s="9">
        <f ca="1">-E28*2</f>
        <v>-818</v>
      </c>
    </row>
    <row r="31" spans="1:5" x14ac:dyDescent="0.25">
      <c r="D31" s="9" t="s">
        <v>1332</v>
      </c>
      <c r="E31" s="9">
        <f ca="1">SUBTOTAL(9,E29:E30)</f>
        <v>840</v>
      </c>
    </row>
  </sheetData>
  <autoFilter ref="A2:E27" xr:uid="{00000000-0009-0000-0000-00000C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2026-05-16T15:36:22Z</dcterms:modified>
</cp:coreProperties>
</file>