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CE927E16-E7A2-4870-9867-931B51DD609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Sheet1" sheetId="19" r:id="rId10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" i="15" l="1"/>
  <c r="R24" i="15"/>
  <c r="R23" i="15"/>
  <c r="R20" i="15"/>
  <c r="R16" i="15"/>
  <c r="R5" i="15"/>
  <c r="R22" i="15"/>
  <c r="I3" i="7"/>
  <c r="I4" i="7"/>
  <c r="I5" i="7"/>
  <c r="I6" i="7"/>
  <c r="I7" i="7"/>
  <c r="I8" i="7"/>
  <c r="I9" i="7"/>
  <c r="R9" i="7"/>
  <c r="I10" i="7"/>
  <c r="C61" i="7" s="1"/>
  <c r="C64" i="7" s="1"/>
  <c r="C68" i="7" s="1"/>
  <c r="P65" i="7" s="1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L62" i="7" s="1"/>
  <c r="L66" i="7" s="1"/>
  <c r="P61" i="7" s="1"/>
  <c r="H60" i="7"/>
  <c r="E61" i="7"/>
  <c r="E64" i="7" s="1"/>
  <c r="M79" i="7" s="1"/>
  <c r="L79" i="7" s="1"/>
  <c r="L61" i="7"/>
  <c r="M61" i="7"/>
  <c r="M66" i="7" s="1"/>
  <c r="M62" i="7"/>
  <c r="C63" i="7"/>
  <c r="E63" i="7"/>
  <c r="L69" i="7"/>
  <c r="M69" i="7"/>
  <c r="M74" i="7" s="1"/>
  <c r="M70" i="7"/>
  <c r="L70" i="7" s="1"/>
  <c r="L74" i="7" s="1"/>
  <c r="P62" i="7" s="1"/>
  <c r="L77" i="7"/>
  <c r="M77" i="7"/>
  <c r="M78" i="7"/>
  <c r="L78" i="7" s="1"/>
  <c r="M82" i="7"/>
  <c r="L85" i="7"/>
  <c r="L90" i="7" s="1"/>
  <c r="P64" i="7" s="1"/>
  <c r="M85" i="7"/>
  <c r="M90" i="7" s="1"/>
  <c r="L86" i="7"/>
  <c r="M86" i="7"/>
  <c r="I3" i="8"/>
  <c r="C31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C33" i="8" s="1"/>
  <c r="I24" i="8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H30" i="8"/>
  <c r="E31" i="8"/>
  <c r="H31" i="8"/>
  <c r="L31" i="8"/>
  <c r="M31" i="8"/>
  <c r="L32" i="8"/>
  <c r="L36" i="8" s="1"/>
  <c r="P31" i="8" s="1"/>
  <c r="M32" i="8"/>
  <c r="E33" i="8"/>
  <c r="E34" i="8"/>
  <c r="M36" i="8"/>
  <c r="L39" i="8"/>
  <c r="M39" i="8"/>
  <c r="M40" i="8"/>
  <c r="L40" i="8" s="1"/>
  <c r="M44" i="8"/>
  <c r="L47" i="8"/>
  <c r="M47" i="8"/>
  <c r="M52" i="8" s="1"/>
  <c r="M48" i="8"/>
  <c r="L48" i="8" s="1"/>
  <c r="L52" i="8" s="1"/>
  <c r="P33" i="8" s="1"/>
  <c r="L55" i="8"/>
  <c r="M55" i="8"/>
  <c r="M60" i="8" s="1"/>
  <c r="M56" i="8"/>
  <c r="L56" i="8" s="1"/>
  <c r="M57" i="8"/>
  <c r="L57" i="8" s="1"/>
  <c r="I3" i="9"/>
  <c r="C60" i="9" s="1"/>
  <c r="C63" i="9" s="1"/>
  <c r="C67" i="9" s="1"/>
  <c r="P63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E60" i="9"/>
  <c r="H60" i="9"/>
  <c r="L60" i="9"/>
  <c r="M60" i="9"/>
  <c r="M61" i="9"/>
  <c r="L61" i="9" s="1"/>
  <c r="L65" i="9" s="1"/>
  <c r="P60" i="9" s="1"/>
  <c r="C62" i="9"/>
  <c r="E62" i="9"/>
  <c r="E63" i="9"/>
  <c r="M65" i="9"/>
  <c r="L68" i="9"/>
  <c r="L73" i="9" s="1"/>
  <c r="P61" i="9" s="1"/>
  <c r="M68" i="9"/>
  <c r="M73" i="9" s="1"/>
  <c r="L69" i="9"/>
  <c r="M69" i="9"/>
  <c r="L76" i="9"/>
  <c r="M76" i="9"/>
  <c r="M81" i="9" s="1"/>
  <c r="M77" i="9"/>
  <c r="L77" i="9" s="1"/>
  <c r="M78" i="9"/>
  <c r="L78" i="9" s="1"/>
  <c r="I3" i="10"/>
  <c r="I36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L56" i="10" s="1"/>
  <c r="L60" i="10" s="1"/>
  <c r="P41" i="10" s="1"/>
  <c r="H38" i="10"/>
  <c r="C39" i="10"/>
  <c r="C42" i="10" s="1"/>
  <c r="C46" i="10" s="1"/>
  <c r="P42" i="10" s="1"/>
  <c r="E39" i="10"/>
  <c r="H39" i="10"/>
  <c r="L39" i="10"/>
  <c r="L44" i="10" s="1"/>
  <c r="P39" i="10" s="1"/>
  <c r="M39" i="10"/>
  <c r="L40" i="10"/>
  <c r="M40" i="10"/>
  <c r="C41" i="10"/>
  <c r="E41" i="10"/>
  <c r="E42" i="10"/>
  <c r="M44" i="10"/>
  <c r="L47" i="10"/>
  <c r="M47" i="10"/>
  <c r="M48" i="10"/>
  <c r="L48" i="10" s="1"/>
  <c r="M49" i="10"/>
  <c r="L49" i="10" s="1"/>
  <c r="M52" i="10"/>
  <c r="L55" i="10"/>
  <c r="M55" i="10"/>
  <c r="M60" i="10" s="1"/>
  <c r="M56" i="10"/>
  <c r="I3" i="11"/>
  <c r="I4" i="11"/>
  <c r="I5" i="11"/>
  <c r="C41" i="11" s="1"/>
  <c r="C44" i="11" s="1"/>
  <c r="C48" i="11" s="1"/>
  <c r="P45" i="11" s="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38" i="11" s="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L42" i="11" s="1"/>
  <c r="L46" i="11" s="1"/>
  <c r="P41" i="11" s="1"/>
  <c r="E41" i="11"/>
  <c r="E44" i="11" s="1"/>
  <c r="M67" i="11" s="1"/>
  <c r="L67" i="11" s="1"/>
  <c r="H41" i="11"/>
  <c r="L41" i="11"/>
  <c r="M41" i="11"/>
  <c r="M46" i="11" s="1"/>
  <c r="M42" i="11"/>
  <c r="C43" i="11"/>
  <c r="E43" i="11"/>
  <c r="L49" i="11"/>
  <c r="M49" i="11"/>
  <c r="M50" i="11"/>
  <c r="L50" i="11" s="1"/>
  <c r="L54" i="11" s="1"/>
  <c r="P42" i="11" s="1"/>
  <c r="M54" i="11"/>
  <c r="L57" i="11"/>
  <c r="L62" i="11" s="1"/>
  <c r="P43" i="11" s="1"/>
  <c r="M57" i="11"/>
  <c r="M62" i="11" s="1"/>
  <c r="L58" i="11"/>
  <c r="M58" i="11"/>
  <c r="L65" i="11"/>
  <c r="M65" i="11"/>
  <c r="M66" i="11"/>
  <c r="L66" i="11" s="1"/>
  <c r="M70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H43" i="12"/>
  <c r="E44" i="12"/>
  <c r="H44" i="12"/>
  <c r="L44" i="12"/>
  <c r="M44" i="12"/>
  <c r="L45" i="12"/>
  <c r="L49" i="12" s="1"/>
  <c r="P44" i="12" s="1"/>
  <c r="M45" i="12"/>
  <c r="C46" i="12"/>
  <c r="E46" i="12"/>
  <c r="E47" i="12"/>
  <c r="M49" i="12"/>
  <c r="L52" i="12"/>
  <c r="L57" i="12" s="1"/>
  <c r="P45" i="12" s="1"/>
  <c r="M52" i="12"/>
  <c r="M57" i="12" s="1"/>
  <c r="L53" i="12"/>
  <c r="M53" i="12"/>
  <c r="L60" i="12"/>
  <c r="L65" i="12" s="1"/>
  <c r="P46" i="12" s="1"/>
  <c r="M60" i="12"/>
  <c r="M61" i="12"/>
  <c r="L61" i="12" s="1"/>
  <c r="M62" i="12"/>
  <c r="L62" i="12" s="1"/>
  <c r="M65" i="12"/>
  <c r="I3" i="13"/>
  <c r="I4" i="13"/>
  <c r="I5" i="13"/>
  <c r="I6" i="13"/>
  <c r="I7" i="13"/>
  <c r="R7" i="13"/>
  <c r="I8" i="13"/>
  <c r="I9" i="13"/>
  <c r="R9" i="13"/>
  <c r="I10" i="13"/>
  <c r="C38" i="13" s="1"/>
  <c r="C41" i="13" s="1"/>
  <c r="C45" i="13" s="1"/>
  <c r="P41" i="13" s="1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H37" i="13"/>
  <c r="L39" i="13" s="1"/>
  <c r="L43" i="13" s="1"/>
  <c r="P38" i="13" s="1"/>
  <c r="E38" i="13"/>
  <c r="E41" i="13" s="1"/>
  <c r="M48" i="13" s="1"/>
  <c r="L48" i="13" s="1"/>
  <c r="L51" i="13" s="1"/>
  <c r="P39" i="13" s="1"/>
  <c r="H38" i="13"/>
  <c r="L38" i="13"/>
  <c r="M38" i="13"/>
  <c r="M43" i="13" s="1"/>
  <c r="M39" i="13"/>
  <c r="C40" i="13"/>
  <c r="E40" i="13"/>
  <c r="L46" i="13"/>
  <c r="M46" i="13"/>
  <c r="L47" i="13"/>
  <c r="M47" i="13"/>
  <c r="M51" i="13"/>
  <c r="L54" i="13"/>
  <c r="L59" i="13" s="1"/>
  <c r="P40" i="13" s="1"/>
  <c r="M54" i="13"/>
  <c r="M59" i="13" s="1"/>
  <c r="L55" i="13"/>
  <c r="M55" i="13"/>
  <c r="I3" i="14"/>
  <c r="I4" i="14"/>
  <c r="I5" i="14"/>
  <c r="I6" i="14"/>
  <c r="I7" i="14"/>
  <c r="I64" i="14" s="1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I66" i="14"/>
  <c r="E67" i="14"/>
  <c r="E70" i="14" s="1"/>
  <c r="M85" i="14" s="1"/>
  <c r="L85" i="14" s="1"/>
  <c r="H67" i="14"/>
  <c r="L76" i="14" s="1"/>
  <c r="L80" i="14" s="1"/>
  <c r="P68" i="14" s="1"/>
  <c r="L67" i="14"/>
  <c r="M67" i="14"/>
  <c r="M72" i="14" s="1"/>
  <c r="M68" i="14"/>
  <c r="L68" i="14" s="1"/>
  <c r="L72" i="14" s="1"/>
  <c r="P67" i="14" s="1"/>
  <c r="C69" i="14"/>
  <c r="E69" i="14"/>
  <c r="L75" i="14"/>
  <c r="M75" i="14"/>
  <c r="M76" i="14"/>
  <c r="M80" i="14"/>
  <c r="L83" i="14"/>
  <c r="M83" i="14"/>
  <c r="M88" i="14" s="1"/>
  <c r="M84" i="14"/>
  <c r="L84" i="14" s="1"/>
  <c r="D3" i="19" a="1"/>
  <c r="E30" i="19" a="1"/>
  <c r="I14" i="15"/>
  <c r="I4" i="15"/>
  <c r="I15" i="15"/>
  <c r="I21" i="15"/>
  <c r="I16" i="15"/>
  <c r="I17" i="15"/>
  <c r="I5" i="15"/>
  <c r="I6" i="15"/>
  <c r="I22" i="15"/>
  <c r="I23" i="15"/>
  <c r="I18" i="15"/>
  <c r="I7" i="15"/>
  <c r="I24" i="15"/>
  <c r="I8" i="15"/>
  <c r="I9" i="15"/>
  <c r="I19" i="15"/>
  <c r="I3" i="15"/>
  <c r="I10" i="15"/>
  <c r="I25" i="15"/>
  <c r="I11" i="15"/>
  <c r="I26" i="15"/>
  <c r="I12" i="15"/>
  <c r="I20" i="15"/>
  <c r="I27" i="15"/>
  <c r="I28" i="15"/>
  <c r="I13" i="15"/>
  <c r="C43" i="15" s="1"/>
  <c r="D30" i="15"/>
  <c r="G30" i="15"/>
  <c r="H30" i="15"/>
  <c r="J30" i="15"/>
  <c r="K30" i="15"/>
  <c r="L30" i="15"/>
  <c r="M30" i="15"/>
  <c r="N30" i="15"/>
  <c r="O30" i="15"/>
  <c r="P30" i="15"/>
  <c r="Q30" i="15"/>
  <c r="H31" i="15"/>
  <c r="L42" i="15" s="1"/>
  <c r="H32" i="15"/>
  <c r="E33" i="15"/>
  <c r="E36" i="15" s="1"/>
  <c r="M35" i="15" s="1"/>
  <c r="L35" i="15" s="1"/>
  <c r="L33" i="15"/>
  <c r="M33" i="15"/>
  <c r="M38" i="15" s="1"/>
  <c r="M34" i="15"/>
  <c r="L34" i="15" s="1"/>
  <c r="C35" i="15"/>
  <c r="E35" i="15"/>
  <c r="L41" i="15"/>
  <c r="M41" i="15"/>
  <c r="M46" i="15" s="1"/>
  <c r="M42" i="15"/>
  <c r="E43" i="15"/>
  <c r="E46" i="15" s="1"/>
  <c r="C45" i="15"/>
  <c r="E45" i="15"/>
  <c r="L49" i="15"/>
  <c r="M49" i="15"/>
  <c r="M55" i="15" s="1"/>
  <c r="M50" i="15"/>
  <c r="L50" i="15" s="1"/>
  <c r="L58" i="15"/>
  <c r="M58" i="15"/>
  <c r="M63" i="15" s="1"/>
  <c r="M59" i="15"/>
  <c r="L59" i="15" s="1"/>
  <c r="L63" i="15" s="1"/>
  <c r="P36" i="15" s="1"/>
  <c r="C9" i="19"/>
  <c r="D22" i="19" a="1"/>
  <c r="C15" i="19"/>
  <c r="C27" i="19"/>
  <c r="D16" i="19" a="1"/>
  <c r="C23" i="19"/>
  <c r="C3" i="19"/>
  <c r="B21" i="19"/>
  <c r="D27" i="19" a="1"/>
  <c r="D8" i="19" a="1"/>
  <c r="C22" i="19"/>
  <c r="C28" i="19"/>
  <c r="D23" i="19" a="1"/>
  <c r="C24" i="19"/>
  <c r="B27" i="19"/>
  <c r="B22" i="19"/>
  <c r="D17" i="19" a="1"/>
  <c r="C10" i="19"/>
  <c r="B4" i="19"/>
  <c r="B10" i="19"/>
  <c r="B17" i="19"/>
  <c r="B26" i="19"/>
  <c r="C25" i="19"/>
  <c r="D26" i="19" a="1"/>
  <c r="C18" i="19"/>
  <c r="D3" i="19"/>
  <c r="C5" i="19"/>
  <c r="B13" i="19"/>
  <c r="D6" i="19" a="1"/>
  <c r="D4" i="19" a="1"/>
  <c r="C13" i="19"/>
  <c r="D28" i="19" a="1"/>
  <c r="C7" i="19"/>
  <c r="D12" i="19" a="1"/>
  <c r="B11" i="19"/>
  <c r="B25" i="19"/>
  <c r="D21" i="19" a="1"/>
  <c r="D14" i="19" a="1"/>
  <c r="C11" i="19"/>
  <c r="B9" i="19"/>
  <c r="C16" i="19"/>
  <c r="B28" i="19"/>
  <c r="B5" i="19"/>
  <c r="C14" i="19"/>
  <c r="D10" i="19" a="1"/>
  <c r="D19" i="19" a="1"/>
  <c r="D25" i="19" a="1"/>
  <c r="C26" i="19"/>
  <c r="B16" i="19"/>
  <c r="B19" i="19"/>
  <c r="C12" i="19"/>
  <c r="C6" i="19"/>
  <c r="C20" i="19"/>
  <c r="B20" i="19"/>
  <c r="D11" i="19" a="1"/>
  <c r="D20" i="19" a="1"/>
  <c r="C19" i="19"/>
  <c r="B8" i="19"/>
  <c r="C17" i="19"/>
  <c r="B24" i="19"/>
  <c r="D15" i="19" a="1"/>
  <c r="D24" i="19" a="1"/>
  <c r="B14" i="19"/>
  <c r="D13" i="19" a="1"/>
  <c r="B7" i="19"/>
  <c r="C8" i="19"/>
  <c r="C21" i="19"/>
  <c r="D7" i="19" a="1"/>
  <c r="D5" i="19" a="1"/>
  <c r="D18" i="19" a="1"/>
  <c r="C4" i="19"/>
  <c r="B18" i="19"/>
  <c r="B6" i="19"/>
  <c r="B23" i="19"/>
  <c r="B15" i="19"/>
  <c r="D9" i="19" a="1"/>
  <c r="I30" i="15" l="1"/>
  <c r="L38" i="15"/>
  <c r="L46" i="15"/>
  <c r="L55" i="15"/>
  <c r="P35" i="15" s="1"/>
  <c r="C46" i="15"/>
  <c r="C50" i="15" s="1"/>
  <c r="C33" i="15"/>
  <c r="C36" i="15" s="1"/>
  <c r="C40" i="15" s="1"/>
  <c r="P37" i="15" s="1"/>
  <c r="D27" i="19"/>
  <c r="E27" i="19" s="1"/>
  <c r="D24" i="19"/>
  <c r="E24" i="19" s="1"/>
  <c r="D21" i="19"/>
  <c r="E21" i="19" s="1"/>
  <c r="D18" i="19"/>
  <c r="E18" i="19" s="1"/>
  <c r="D15" i="19"/>
  <c r="E15" i="19" s="1"/>
  <c r="D12" i="19"/>
  <c r="D9" i="19"/>
  <c r="E9" i="19" s="1"/>
  <c r="D6" i="19"/>
  <c r="E6" i="19" s="1"/>
  <c r="D26" i="19"/>
  <c r="E26" i="19" s="1"/>
  <c r="D23" i="19"/>
  <c r="E23" i="19" s="1"/>
  <c r="D20" i="19"/>
  <c r="E20" i="19" s="1"/>
  <c r="D17" i="19"/>
  <c r="E17" i="19" s="1"/>
  <c r="D14" i="19"/>
  <c r="E14" i="19" s="1"/>
  <c r="D11" i="19"/>
  <c r="E11" i="19" s="1"/>
  <c r="D8" i="19"/>
  <c r="E8" i="19" s="1"/>
  <c r="D5" i="19"/>
  <c r="E5" i="19" s="1"/>
  <c r="D25" i="19"/>
  <c r="E25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D28" i="19"/>
  <c r="E28" i="19" s="1"/>
  <c r="L81" i="9"/>
  <c r="P62" i="9" s="1"/>
  <c r="L70" i="11"/>
  <c r="P44" i="11" s="1"/>
  <c r="L60" i="8"/>
  <c r="P34" i="8" s="1"/>
  <c r="L88" i="14"/>
  <c r="P69" i="14" s="1"/>
  <c r="P71" i="14" s="1"/>
  <c r="L82" i="7"/>
  <c r="L52" i="10"/>
  <c r="P40" i="10" s="1"/>
  <c r="P43" i="10" s="1"/>
  <c r="P64" i="9"/>
  <c r="P48" i="12"/>
  <c r="C34" i="8"/>
  <c r="C38" i="8" s="1"/>
  <c r="P35" i="8" s="1"/>
  <c r="P46" i="11"/>
  <c r="P42" i="13"/>
  <c r="L44" i="8"/>
  <c r="P32" i="8" s="1"/>
  <c r="P36" i="8" s="1"/>
  <c r="I58" i="7"/>
  <c r="C67" i="14"/>
  <c r="C70" i="14" s="1"/>
  <c r="C74" i="14" s="1"/>
  <c r="P70" i="14" s="1"/>
  <c r="I35" i="13"/>
  <c r="I41" i="12"/>
  <c r="I28" i="8"/>
  <c r="I57" i="9"/>
  <c r="B12" i="19"/>
  <c r="B3" i="19"/>
  <c r="P33" i="15" l="1"/>
  <c r="E12" i="19"/>
  <c r="E29" i="19" s="1"/>
  <c r="E31" i="19" s="1"/>
  <c r="P34" i="15"/>
  <c r="P38" i="15" s="1"/>
  <c r="E3" i="19"/>
  <c r="P63" i="7"/>
  <c r="P66" i="7" s="1"/>
  <c r="E30" i="19"/>
  <c r="E32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<sst xmlns="http://schemas.openxmlformats.org/spreadsheetml/2006/main" count="3298" uniqueCount="1054">
  <si>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</si>
  <si>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</si>
  <si>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</si>
  <si>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</si>
  <si>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</si>
  <si>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</si>
  <si>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</si>
  <si>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</si>
  <si>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</si>
  <si>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</si>
  <si>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</si>
  <si>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</si>
  <si>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</si>
  <si>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</si>
  <si>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</si>
  <si>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</si>
  <si>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</si>
  <si>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</si>
  <si>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</si>
  <si>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</si>
  <si>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</si>
  <si>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</si>
  <si>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</si>
  <si>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</si>
  <si>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</si>
  <si>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</si>
  <si>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</si>
  <si>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</si>
  <si>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</si>
  <si>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</si>
  <si>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</si>
  <si>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</si>
  <si>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</si>
  <si>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</si>
  <si>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</si>
  <si>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</si>
  <si>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</si>
  <si>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</si>
  <si>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</si>
  <si>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</si>
  <si>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</si>
  <si>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</si>
  <si>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</si>
  <si>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</si>
  <si>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</si>
  <si>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</si>
  <si>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</si>
  <si>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</si>
  <si>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</si>
  <si>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</si>
  <si>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</si>
  <si>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</si>
  <si>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</si>
  <si>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</si>
  <si>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</si>
  <si>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</si>
  <si>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</si>
  <si>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</si>
  <si>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</si>
  <si>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</si>
  <si>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</si>
  <si>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</si>
  <si>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</si>
  <si>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</si>
  <si>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</si>
  <si>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</si>
  <si>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</si>
  <si>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</si>
  <si>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</si>
  <si>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</si>
  <si>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</si>
  <si>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</si>
  <si>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</si>
  <si>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</si>
  <si>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</si>
  <si>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</si>
  <si>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</si>
  <si>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</si>
  <si>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</si>
  <si>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</si>
  <si>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</si>
  <si>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</si>
  <si>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</si>
  <si>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</si>
  <si>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</si>
  <si>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</si>
  <si>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</si>
  <si>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</si>
  <si>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</si>
  <si>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</si>
  <si>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</si>
  <si>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</si>
  <si>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</si>
  <si>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</si>
  <si>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</si>
  <si>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</si>
  <si>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</si>
  <si>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</si>
  <si>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</si>
  <si>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</si>
  <si>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</si>
  <si>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</si>
  <si>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</si>
  <si>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</si>
  <si>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</si>
  <si>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</si>
  <si>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</si>
  <si>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</si>
  <si>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</si>
  <si>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</si>
  <si>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</si>
  <si>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</si>
  <si>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</si>
  <si>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</si>
  <si>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</si>
  <si>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</si>
  <si>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</si>
  <si>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</si>
  <si>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</si>
  <si>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</si>
  <si>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</si>
  <si>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</si>
  <si>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</si>
  <si>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</si>
  <si>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</si>
  <si>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</si>
  <si>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</si>
  <si>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</si>
  <si>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</si>
  <si>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</si>
  <si>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</si>
  <si>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</si>
  <si>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</si>
  <si>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</si>
  <si>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</si>
  <si>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</si>
  <si>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</si>
  <si>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</si>
  <si>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</si>
  <si>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</si>
  <si>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</si>
  <si>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</si>
  <si>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</si>
  <si>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</si>
  <si>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</si>
  <si>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</si>
  <si>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</si>
  <si>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</si>
  <si>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</si>
  <si>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</si>
  <si>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</si>
  <si>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</si>
  <si>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</si>
  <si>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</si>
  <si>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</si>
  <si>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</si>
  <si>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</si>
  <si>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</si>
  <si>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</si>
  <si>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</si>
  <si>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</si>
  <si>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</si>
  <si>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</si>
  <si>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</si>
  <si>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</si>
  <si>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</si>
  <si>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</si>
  <si>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</si>
  <si>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</si>
  <si>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</si>
  <si>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</si>
  <si>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</si>
  <si>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</si>
  <si>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</si>
  <si>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</si>
  <si>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</si>
  <si>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</si>
  <si>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</si>
  <si>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</si>
  <si>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</si>
  <si>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</si>
  <si>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</si>
  <si>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</si>
  <si>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</si>
  <si>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</si>
  <si>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</si>
  <si>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</si>
  <si>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</si>
  <si>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</si>
  <si>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</si>
  <si>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</si>
  <si>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</si>
  <si>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</si>
  <si>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</si>
  <si>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</si>
  <si>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</si>
  <si>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</si>
  <si>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</si>
  <si>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</si>
  <si>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</si>
  <si>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</si>
  <si>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</si>
  <si>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</si>
  <si>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</si>
  <si>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</si>
  <si>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</si>
  <si>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</si>
  <si>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</si>
  <si>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</si>
  <si>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</si>
  <si>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</si>
  <si>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</si>
  <si>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</si>
  <si>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</si>
  <si>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</si>
  <si>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</si>
  <si>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</si>
  <si>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</si>
  <si>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</si>
  <si>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</si>
  <si>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</si>
  <si>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</si>
  <si>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</si>
  <si>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</si>
  <si>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</si>
  <si>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</si>
  <si>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</si>
  <si>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</si>
  <si>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</si>
  <si>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</si>
  <si>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</si>
  <si>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</si>
  <si>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</si>
  <si>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</si>
  <si>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</si>
  <si>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</si>
  <si>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</si>
  <si>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</si>
  <si>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</si>
  <si>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</si>
  <si>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</si>
  <si>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</si>
  <si>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</si>
  <si>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</si>
  <si>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</si>
  <si>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</si>
  <si>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</si>
  <si>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</si>
  <si>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</si>
  <si>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</si>
  <si>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</si>
  <si>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</si>
  <si>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</si>
  <si>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</si>
  <si>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</si>
  <si>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</si>
  <si>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</si>
  <si>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</si>
  <si>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</si>
  <si>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</si>
  <si>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</si>
  <si>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</si>
  <si>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</si>
  <si>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</si>
  <si>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</si>
  <si>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</si>
  <si>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</si>
  <si>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</si>
  <si>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</si>
  <si>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</si>
  <si>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</si>
  <si>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</si>
  <si>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</si>
  <si>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</si>
  <si>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</si>
  <si>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</si>
  <si>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</si>
  <si>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</si>
  <si>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</si>
  <si>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</si>
  <si>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</si>
  <si>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</si>
  <si>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</si>
  <si>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</si>
  <si>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</si>
  <si>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</si>
  <si>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</si>
  <si>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</si>
  <si>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</si>
  <si>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</si>
  <si>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</si>
  <si>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</si>
  <si>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</si>
  <si>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</si>
  <si>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</si>
  <si>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</si>
  <si>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</si>
  <si>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</si>
  <si>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</si>
  <si>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</si>
  <si>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</si>
  <si>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</si>
  <si>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</si>
  <si>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</si>
  <si>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</si>
  <si>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</si>
  <si>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</si>
  <si>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</si>
  <si>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</si>
  <si>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</si>
  <si>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</si>
  <si>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</si>
  <si>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</si>
  <si>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</si>
  <si>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</si>
  <si>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</si>
  <si>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</si>
  <si>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</si>
  <si>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</si>
  <si>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</si>
  <si>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</si>
  <si>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</si>
  <si>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</si>
  <si>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</si>
  <si>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</si>
  <si>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</si>
  <si>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</si>
  <si>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</si>
  <si>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</si>
  <si>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</si>
  <si>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</si>
  <si>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</si>
  <si>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</si>
  <si>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</si>
  <si>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</si>
  <si>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</si>
  <si>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</si>
  <si>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</si>
  <si>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</si>
  <si>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</si>
  <si>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</si>
  <si>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</si>
  <si>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</si>
  <si>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</si>
  <si>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</si>
  <si>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</si>
  <si>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</si>
  <si>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</si>
  <si>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</si>
  <si>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</si>
  <si>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</si>
  <si>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</si>
  <si>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</si>
  <si>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</si>
  <si>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</si>
  <si>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</si>
  <si>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</si>
  <si>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</si>
  <si>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</si>
  <si>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</si>
  <si>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</si>
  <si>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</si>
  <si>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</si>
  <si>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</si>
  <si>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</si>
  <si>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</si>
  <si>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</si>
  <si>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</si>
  <si>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</si>
  <si>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</si>
  <si>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</si>
  <si>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</si>
  <si>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</si>
  <si>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</si>
  <si>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</si>
  <si>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</si>
  <si>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</si>
  <si>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</si>
  <si>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</si>
  <si>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</si>
  <si>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</si>
  <si>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</si>
  <si>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</si>
  <si>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</si>
  <si>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</si>
  <si>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</si>
  <si>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</si>
  <si>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</si>
  <si>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</si>
  <si>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</si>
  <si>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</si>
  <si>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</si>
  <si>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</si>
  <si>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</si>
  <si>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</si>
  <si>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</si>
  <si>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</si>
  <si>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</si>
  <si>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</si>
  <si>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</si>
  <si>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</si>
  <si>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</si>
  <si>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</si>
  <si>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</si>
  <si>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</si>
  <si>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</si>
  <si>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</si>
  <si>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</si>
  <si>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</si>
  <si>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</si>
  <si>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</si>
  <si>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</si>
  <si>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</si>
  <si>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</si>
  <si>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</si>
  <si>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</si>
  <si>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</si>
  <si>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</si>
  <si>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</si>
  <si>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</si>
  <si>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</si>
  <si>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</si>
  <si>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</si>
  <si>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</si>
  <si>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</si>
  <si>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</si>
  <si>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</si>
  <si>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</si>
  <si>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</si>
  <si>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</si>
  <si>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</si>
  <si>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</si>
  <si>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</si>
  <si>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</si>
  <si>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</si>
  <si>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</si>
  <si>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</si>
  <si>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</si>
  <si>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</si>
  <si>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</si>
  <si>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</si>
  <si>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</si>
  <si>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</si>
  <si>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</si>
  <si>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</si>
  <si>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</si>
  <si>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</si>
  <si>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</si>
  <si>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</si>
  <si>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</si>
  <si>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</si>
  <si>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</si>
  <si>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</si>
  <si>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</si>
  <si>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</si>
  <si>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</si>
  <si>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</si>
  <si>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</si>
  <si>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</si>
  <si>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</si>
  <si>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</si>
  <si>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</si>
  <si>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</si>
  <si>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</si>
  <si>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</si>
  <si>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</si>
  <si>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</si>
  <si>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</si>
  <si>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</si>
  <si>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</si>
  <si>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</si>
  <si>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</si>
  <si>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</si>
  <si>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</si>
  <si>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</si>
  <si>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</si>
  <si>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</si>
  <si>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</si>
  <si>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</si>
  <si>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</si>
  <si>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</si>
  <si>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</si>
  <si>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</si>
  <si>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</si>
  <si>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</si>
  <si>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</si>
  <si>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</si>
  <si>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</si>
  <si>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</si>
  <si>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</si>
  <si>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</si>
  <si>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</si>
  <si>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</si>
  <si>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</si>
  <si>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</si>
  <si>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</si>
  <si>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</si>
  <si>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</si>
  <si>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</si>
  <si>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</si>
  <si>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</si>
  <si>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</si>
  <si>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</si>
  <si>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</si>
  <si>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</si>
  <si>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</si>
  <si>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</si>
  <si>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</si>
  <si>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</si>
  <si>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</si>
  <si>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</si>
  <si>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</si>
  <si>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</si>
  <si>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</si>
  <si>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</si>
  <si>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</si>
  <si>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</si>
  <si>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</si>
  <si>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</si>
  <si>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</si>
  <si>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</si>
  <si>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</si>
  <si>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</si>
  <si>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</si>
  <si>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</si>
  <si>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</si>
  <si>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</si>
  <si>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</si>
  <si>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</si>
  <si>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</si>
  <si>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</si>
  <si>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</si>
  <si>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</si>
  <si>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</si>
  <si>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</si>
  <si>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</si>
  <si>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</si>
  <si>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</si>
  <si>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</si>
  <si>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</si>
  <si>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</si>
  <si>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</si>
  <si>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</si>
  <si>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</si>
  <si>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</si>
  <si>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</si>
  <si>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</si>
  <si>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</si>
  <si>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</si>
  <si>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</si>
  <si>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</si>
  <si>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</si>
  <si>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</si>
  <si>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</si>
  <si>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</si>
  <si>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</si>
  <si>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</si>
  <si>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</si>
  <si>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</si>
  <si>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</si>
  <si>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</si>
  <si>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</si>
  <si>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</si>
  <si>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</si>
  <si>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</si>
  <si>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</si>
  <si>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</si>
  <si>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</si>
  <si>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</si>
  <si>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</si>
  <si>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</si>
  <si>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</si>
  <si>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</si>
  <si>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</si>
  <si>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</si>
  <si>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</si>
  <si>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</si>
  <si>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</si>
  <si>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</si>
  <si>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</si>
  <si>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</si>
  <si>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</si>
  <si>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</si>
  <si>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</si>
  <si>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</si>
  <si>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</si>
  <si>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</si>
  <si>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</si>
  <si>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</si>
  <si>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</si>
  <si>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</si>
  <si>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</si>
  <si>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</si>
  <si>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</si>
  <si>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</si>
  <si>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</si>
  <si>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</si>
  <si>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</si>
  <si>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</si>
  <si>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</si>
  <si>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</si>
  <si>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</si>
  <si>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</si>
  <si>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</si>
  <si>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</si>
  <si>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</si>
  <si>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</si>
  <si>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</si>
  <si>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</si>
  <si>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</si>
  <si>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</si>
  <si>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</si>
  <si>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</si>
  <si>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</si>
  <si>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</si>
  <si>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</si>
  <si>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</si>
  <si>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</si>
  <si>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</si>
  <si>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</si>
  <si>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</si>
  <si>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</si>
  <si>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</si>
  <si>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</si>
  <si>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</si>
  <si>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</si>
  <si>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</si>
  <si>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</si>
  <si>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</si>
  <si>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</si>
  <si>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</si>
  <si>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</si>
  <si>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</si>
  <si>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</si>
  <si>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</si>
  <si>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</si>
  <si>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</si>
  <si>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</si>
  <si>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</si>
  <si>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</si>
  <si>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</si>
  <si>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</si>
  <si>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</si>
  <si>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</si>
  <si>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</si>
  <si>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</si>
  <si>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</si>
  <si>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</si>
  <si>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</si>
  <si>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</si>
  <si>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</si>
  <si>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</si>
  <si>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</si>
  <si>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</si>
  <si>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</si>
  <si>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</si>
  <si>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</si>
  <si>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</si>
  <si>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</si>
  <si>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</si>
  <si>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</si>
  <si>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</si>
  <si>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</si>
  <si>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</si>
  <si>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</si>
  <si>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</si>
  <si>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</si>
  <si>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</si>
  <si>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</si>
  <si>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</si>
  <si>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</si>
  <si>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</si>
  <si>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</si>
  <si>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</si>
  <si>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</si>
  <si>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</si>
  <si>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</si>
  <si>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</si>
  <si>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</si>
  <si>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</si>
  <si>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</si>
  <si>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</si>
  <si>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</si>
  <si>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</si>
  <si>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</si>
  <si>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</si>
  <si>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</si>
  <si>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</si>
  <si>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</si>
  <si>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</si>
  <si>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</si>
  <si>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</si>
  <si>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</si>
  <si>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</si>
  <si>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</si>
  <si>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</si>
  <si>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</si>
  <si>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</si>
  <si>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</si>
  <si>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</si>
  <si>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</si>
  <si>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</si>
  <si>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</si>
  <si>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</si>
  <si>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</si>
  <si>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</si>
  <si>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</si>
  <si>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</si>
  <si>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</si>
  <si>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</si>
  <si>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</si>
  <si>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</si>
  <si>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</si>
  <si>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</si>
  <si>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</si>
  <si>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</si>
  <si>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</si>
  <si>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</si>
  <si>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</si>
  <si>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</si>
  <si>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</si>
  <si>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</si>
  <si>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</si>
  <si>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</si>
  <si>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</si>
  <si>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</si>
  <si>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</si>
  <si>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</si>
  <si>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</si>
  <si>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</si>
  <si>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</si>
  <si>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</si>
  <si>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</si>
  <si>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</si>
  <si>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</si>
  <si>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</si>
  <si>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</si>
  <si>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</si>
  <si>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</si>
  <si>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</si>
  <si>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</si>
  <si>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</si>
  <si>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</si>
  <si>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</si>
  <si>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</si>
  <si>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</si>
  <si>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</si>
  <si>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</si>
  <si>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</si>
  <si>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</si>
  <si>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</si>
  <si>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</si>
  <si>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</si>
  <si>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</si>
  <si>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</si>
  <si>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</si>
  <si>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</si>
  <si>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</si>
  <si>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</si>
  <si>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</si>
  <si>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</si>
  <si>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</si>
  <si>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</si>
  <si>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</si>
  <si>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</si>
  <si>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</si>
  <si>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</si>
  <si>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</si>
  <si>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</si>
  <si>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</si>
  <si>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</si>
  <si>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</si>
  <si>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</si>
  <si>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</si>
  <si>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</si>
  <si>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</si>
  <si>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</si>
  <si>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</si>
  <si>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</si>
  <si>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</si>
  <si>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</si>
  <si>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</si>
  <si>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</si>
  <si>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</si>
  <si>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</si>
  <si>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</si>
  <si>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</si>
  <si>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</si>
  <si>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</si>
  <si>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</si>
  <si>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</si>
  <si>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</si>
  <si>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</si>
  <si>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</si>
  <si>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</si>
  <si>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</si>
  <si>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</si>
  <si>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</si>
  <si>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</si>
  <si>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</si>
  <si>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</si>
  <si>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</si>
  <si>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</si>
  <si>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</si>
  <si>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</si>
  <si>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</si>
  <si>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</si>
  <si>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</si>
  <si>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</si>
  <si>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</si>
  <si>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</si>
  <si>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</si>
  <si>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</si>
  <si>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</si>
  <si>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</si>
  <si>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</si>
  <si>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</si>
  <si>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</si>
  <si>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</si>
  <si>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</si>
  <si>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</si>
  <si>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</si>
  <si>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</si>
  <si>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</si>
  <si>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</si>
  <si>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</si>
  <si>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</si>
  <si>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</si>
  <si>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</si>
  <si>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</si>
  <si>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</si>
  <si>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</si>
  <si>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</si>
  <si>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</si>
  <si>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</si>
  <si>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</si>
  <si>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</si>
  <si>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</si>
  <si>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</si>
  <si>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</si>
  <si>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</si>
  <si>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</si>
  <si>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</si>
  <si>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</si>
  <si>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</si>
  <si>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</si>
  <si>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</si>
  <si>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</si>
  <si>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</si>
  <si>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</si>
  <si>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</si>
  <si>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</si>
  <si>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</si>
  <si>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</si>
  <si>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</si>
  <si>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</si>
  <si>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</si>
  <si>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</si>
  <si>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</si>
  <si>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</si>
  <si>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</si>
  <si>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</si>
  <si>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</si>
  <si>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</si>
  <si>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</si>
  <si>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</si>
  <si>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</si>
  <si>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</si>
  <si>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</si>
  <si>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</si>
  <si>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</si>
  <si>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</si>
  <si>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</si>
  <si>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</si>
  <si>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</si>
  <si>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</si>
  <si>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</si>
  <si>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</si>
  <si>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</si>
  <si>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</si>
  <si>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</si>
  <si>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</si>
  <si>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</si>
  <si>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</si>
  <si>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</si>
  <si>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</si>
  <si>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</si>
  <si>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</si>
  <si>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</si>
  <si>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</si>
  <si>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</si>
  <si>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</si>
  <si>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</si>
  <si>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</si>
  <si>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</si>
  <si>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</si>
  <si>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</si>
  <si>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</si>
  <si>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</si>
  <si>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</si>
  <si>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</si>
  <si>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</si>
  <si>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</si>
  <si>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</si>
  <si>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</si>
  <si>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</si>
  <si>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</si>
  <si>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</si>
  <si>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</si>
  <si>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</si>
  <si>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</si>
  <si>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</si>
  <si>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</si>
  <si>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</si>
  <si>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</si>
  <si>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</si>
  <si>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</si>
  <si>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</si>
  <si>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</si>
  <si>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</si>
  <si>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</si>
  <si>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</si>
  <si>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</si>
  <si>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</si>
  <si>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</si>
  <si>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</si>
  <si>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</si>
  <si>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</si>
  <si>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</si>
  <si>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</si>
  <si>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</si>
  <si>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</si>
  <si>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</si>
  <si>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</si>
  <si>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</si>
  <si>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</si>
  <si>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</si>
  <si>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</si>
  <si>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</si>
  <si>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</si>
  <si>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</si>
  <si>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</si>
  <si>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</si>
  <si>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</si>
  <si>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</si>
  <si>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</si>
  <si>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</si>
  <si>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</si>
  <si>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</si>
  <si>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</si>
  <si>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</si>
  <si>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</si>
  <si>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</si>
  <si>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</si>
  <si>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</si>
  <si>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</si>
  <si>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</si>
  <si>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</si>
  <si>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</si>
  <si>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</si>
  <si>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</si>
  <si>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</si>
  <si>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</si>
  <si>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</si>
  <si>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</si>
  <si>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</si>
  <si>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</si>
  <si>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</si>
  <si>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</si>
  <si>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</si>
  <si>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</si>
  <si>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</si>
  <si>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</si>
  <si>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</si>
  <si>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</si>
  <si>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</si>
  <si>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</si>
  <si>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</si>
  <si>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</si>
  <si>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</si>
  <si>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</si>
  <si>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</si>
  <si>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</si>
  <si>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</si>
  <si>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</si>
  <si>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</si>
  <si>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</si>
  <si>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</si>
  <si>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</si>
  <si>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</si>
  <si>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</si>
  <si>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</si>
  <si>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</si>
  <si>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</si>
  <si>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</si>
  <si>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</si>
  <si>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</si>
  <si>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</si>
  <si>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</si>
  <si>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</si>
  <si>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</si>
  <si>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</si>
  <si>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</si>
  <si>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</si>
  <si>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</si>
  <si>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</si>
  <si>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</si>
  <si>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</si>
  <si>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</si>
  <si>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</si>
  <si>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</si>
  <si>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</si>
  <si>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</si>
  <si>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</si>
  <si>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</si>
  <si>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</si>
  <si>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</si>
  <si>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</si>
  <si>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</si>
  <si>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</si>
  <si>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</si>
  <si>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</si>
  <si>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</si>
  <si>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</si>
  <si>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</si>
  <si>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</si>
  <si>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</si>
  <si>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</si>
  <si>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</si>
  <si>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</si>
  <si>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</si>
  <si>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</si>
  <si>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</si>
  <si>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</si>
  <si>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</si>
  <si>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</si>
  <si>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</si>
  <si>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</si>
  <si>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</si>
  <si>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</si>
  <si>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</si>
  <si>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</si>
  <si>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</si>
  <si>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</si>
  <si>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</si>
  <si>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</si>
  <si>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</si>
  <si>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</si>
  <si>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</si>
  <si>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</si>
  <si>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</si>
  <si>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</si>
  <si>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at 12-05</t>
  </si>
  <si>
    <t>đơn chuyển AT 12-05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</si>
</sst>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9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0" fillId="0" borderId="0" xfId="0" applyBorder="1"/>
    <xf numFmtId="0" fontId="4" fillId="5" borderId="0" xfId="0" applyFont="1" applyFill="1" applyBorder="1"/>
    <xf numFmtId="0" fontId="4" fillId="0" borderId="0" xfId="0" applyFont="1"/>
    <xf numFmtId="0" fontId="0" fillId="5" borderId="0" xfId="0" applyFill="1"/>
    <xf numFmtId="0" fontId="5" fillId="0" borderId="0" xfId="0" applyFont="1"/>
    <xf numFmtId="0" fontId="0" fillId="0" borderId="0" xfId="0"/>
    <xf numFmtId="0" fontId="4" fillId="5" borderId="0" xfId="0" applyFon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A47" sqref="A47 A47:XFD47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34" t="s">
        <v>191</v>
      </c>
      <c r="D60" s="34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35">
        <f>SUMIFS(I$3:I$56,B$3:B$56,A$60,L$3:L$56,A$61)</f>
        <v>35295</v>
      </c>
      <c r="D61" s="35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36">
        <v>0</v>
      </c>
      <c r="D62" s="36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36">
        <f>-SUMIFS(I$3:I$56,B$3:B$56,A$60,P$3:P$56,"xx",N$3:N$56,"x")</f>
        <v>0</v>
      </c>
      <c r="D63" s="36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34">
        <f>SUBTOTAL(9,C61:C63)</f>
        <v>35295</v>
      </c>
      <c r="D64" s="34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37"/>
      <c r="D65" s="37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37"/>
      <c r="D66" s="37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38">
        <f>C64+C65+C66</f>
        <v>35295</v>
      </c>
      <c r="D68" s="38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 I25 I29:I31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34" t="s">
        <v>191</v>
      </c>
      <c r="D30" s="34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35">
        <f>SUMIFS(I$3:I$26,B$3:B$26,A$30,L$3:L$26,A$31)</f>
        <v>9280</v>
      </c>
      <c r="D31" s="35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36">
        <v>0</v>
      </c>
      <c r="D32" s="36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36">
        <f>-SUMIFS(I$3:I$26,B$3:B$26,A$30,P$3:P$26,"xx",N$3:N$26,"x")</f>
        <v>-3055</v>
      </c>
      <c r="D33" s="36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34">
        <f>SUBTOTAL(9,C31:C33)</f>
        <v>6225</v>
      </c>
      <c r="D34" s="34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37"/>
      <c r="D35" s="37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37"/>
      <c r="D36" s="37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38">
        <f>C34+C35+C36</f>
        <v>6225</v>
      </c>
      <c r="D38" s="38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34" t="s">
        <v>191</v>
      </c>
      <c r="D59" s="34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35">
        <f>SUMIFS(I$3:I$55,B$3:B$55,A$59,L$3:L$55,A$60)</f>
        <v>37890</v>
      </c>
      <c r="D60" s="35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36">
        <v>0</v>
      </c>
      <c r="D61" s="36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36">
        <f>-SUMIFS(I$3:I$55,B$3:B$55,A$59,P$3:P$55,"xx",N$3:N$55,"x")</f>
        <v>0</v>
      </c>
      <c r="D62" s="36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34">
        <f>SUBTOTAL(9,C60:C62)</f>
        <v>37890</v>
      </c>
      <c r="D63" s="34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37"/>
      <c r="D64" s="37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37">
        <v>-30</v>
      </c>
      <c r="D65" s="37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38">
        <f>C63+C64+C65</f>
        <v>37860</v>
      </c>
      <c r="D67" s="38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440</v>
      </c>
      <c r="D3" s="15" t="s">
        <v>441</v>
      </c>
      <c r="E3" s="15" t="s">
        <v>442</v>
      </c>
      <c r="F3" s="15" t="s">
        <v>46</v>
      </c>
      <c r="G3" s="16">
        <v>0</v>
      </c>
      <c r="H3" s="16">
        <v>25</v>
      </c>
      <c r="I3" s="16">
        <f t="shared" ref="I3:I34" si="0">G3-H3</f>
        <v>-25</v>
      </c>
      <c r="J3" s="15" t="s">
        <v>443</v>
      </c>
      <c r="K3" s="15" t="s">
        <v>21</v>
      </c>
      <c r="L3" s="15" t="s">
        <v>444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445</v>
      </c>
      <c r="D4" s="15" t="s">
        <v>446</v>
      </c>
      <c r="E4" s="15" t="s">
        <v>447</v>
      </c>
      <c r="F4" s="16">
        <v>12</v>
      </c>
      <c r="G4" s="16">
        <v>400</v>
      </c>
      <c r="H4" s="16">
        <v>30</v>
      </c>
      <c r="I4" s="16">
        <f t="shared" si="0"/>
        <v>370</v>
      </c>
      <c r="J4" s="15" t="s">
        <v>443</v>
      </c>
      <c r="K4" s="15" t="s">
        <v>21</v>
      </c>
      <c r="L4" s="15" t="s">
        <v>444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448</v>
      </c>
      <c r="D5" s="15" t="s">
        <v>449</v>
      </c>
      <c r="E5" s="15" t="s">
        <v>450</v>
      </c>
      <c r="F5" s="16">
        <v>8</v>
      </c>
      <c r="G5" s="16">
        <v>1060</v>
      </c>
      <c r="H5" s="16">
        <v>30</v>
      </c>
      <c r="I5" s="16">
        <f t="shared" si="0"/>
        <v>1030</v>
      </c>
      <c r="J5" s="15" t="s">
        <v>443</v>
      </c>
      <c r="K5" s="15" t="s">
        <v>21</v>
      </c>
      <c r="L5" s="15" t="s">
        <v>444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451</v>
      </c>
      <c r="D6" s="15" t="s">
        <v>452</v>
      </c>
      <c r="E6" s="15" t="s">
        <v>453</v>
      </c>
      <c r="F6" s="15" t="s">
        <v>26</v>
      </c>
      <c r="G6" s="16">
        <v>820</v>
      </c>
      <c r="H6" s="16">
        <v>30</v>
      </c>
      <c r="I6" s="16">
        <f t="shared" si="0"/>
        <v>790</v>
      </c>
      <c r="J6" s="15" t="s">
        <v>443</v>
      </c>
      <c r="K6" s="15" t="s">
        <v>21</v>
      </c>
      <c r="L6" s="15" t="s">
        <v>444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454</v>
      </c>
      <c r="D7" s="15" t="s">
        <v>455</v>
      </c>
      <c r="E7" s="15" t="s">
        <v>456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443</v>
      </c>
      <c r="K7" s="15" t="s">
        <v>21</v>
      </c>
      <c r="L7" s="15" t="s">
        <v>444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457</v>
      </c>
      <c r="D8" s="15" t="s">
        <v>458</v>
      </c>
      <c r="E8" s="15" t="s">
        <v>459</v>
      </c>
      <c r="F8" s="15" t="s">
        <v>26</v>
      </c>
      <c r="G8" s="16">
        <v>890</v>
      </c>
      <c r="H8" s="16">
        <v>30</v>
      </c>
      <c r="I8" s="16">
        <f t="shared" si="0"/>
        <v>860</v>
      </c>
      <c r="J8" s="15" t="s">
        <v>443</v>
      </c>
      <c r="K8" s="15" t="s">
        <v>21</v>
      </c>
      <c r="L8" s="15" t="s">
        <v>444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460</v>
      </c>
      <c r="D9" s="15" t="s">
        <v>461</v>
      </c>
      <c r="E9" s="15" t="s">
        <v>462</v>
      </c>
      <c r="F9" s="15" t="s">
        <v>26</v>
      </c>
      <c r="G9" s="16">
        <v>850</v>
      </c>
      <c r="H9" s="16">
        <v>30</v>
      </c>
      <c r="I9" s="16">
        <f t="shared" si="0"/>
        <v>820</v>
      </c>
      <c r="J9" s="15" t="s">
        <v>443</v>
      </c>
      <c r="K9" s="15" t="s">
        <v>21</v>
      </c>
      <c r="L9" s="15" t="s">
        <v>444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463</v>
      </c>
      <c r="D10" s="15" t="s">
        <v>464</v>
      </c>
      <c r="E10" s="15" t="s">
        <v>465</v>
      </c>
      <c r="F10" s="15" t="s">
        <v>139</v>
      </c>
      <c r="G10" s="16">
        <v>855</v>
      </c>
      <c r="H10" s="16">
        <v>35</v>
      </c>
      <c r="I10" s="16">
        <f t="shared" si="0"/>
        <v>820</v>
      </c>
      <c r="J10" s="15" t="s">
        <v>443</v>
      </c>
      <c r="K10" s="15" t="s">
        <v>21</v>
      </c>
      <c r="L10" s="15" t="s">
        <v>444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466</v>
      </c>
      <c r="D11" s="15" t="s">
        <v>467</v>
      </c>
      <c r="E11" s="15" t="s">
        <v>468</v>
      </c>
      <c r="F11" s="15" t="s">
        <v>46</v>
      </c>
      <c r="G11" s="16">
        <v>1175</v>
      </c>
      <c r="H11" s="16">
        <v>25</v>
      </c>
      <c r="I11" s="16">
        <f t="shared" si="0"/>
        <v>1150</v>
      </c>
      <c r="J11" s="15" t="s">
        <v>443</v>
      </c>
      <c r="K11" s="15" t="s">
        <v>21</v>
      </c>
      <c r="L11" s="15" t="s">
        <v>444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469</v>
      </c>
      <c r="D12" s="15" t="s">
        <v>470</v>
      </c>
      <c r="E12" s="15" t="s">
        <v>471</v>
      </c>
      <c r="F12" s="15" t="s">
        <v>95</v>
      </c>
      <c r="G12" s="16">
        <v>715</v>
      </c>
      <c r="H12" s="16">
        <v>25</v>
      </c>
      <c r="I12" s="16">
        <f t="shared" si="0"/>
        <v>690</v>
      </c>
      <c r="J12" s="15" t="s">
        <v>443</v>
      </c>
      <c r="K12" s="15" t="s">
        <v>21</v>
      </c>
      <c r="L12" s="15" t="s">
        <v>444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472</v>
      </c>
      <c r="D13" s="15" t="s">
        <v>473</v>
      </c>
      <c r="E13" s="15" t="s">
        <v>474</v>
      </c>
      <c r="F13" s="16">
        <v>12</v>
      </c>
      <c r="G13" s="16">
        <v>1150</v>
      </c>
      <c r="H13" s="16">
        <v>30</v>
      </c>
      <c r="I13" s="16">
        <f t="shared" si="0"/>
        <v>1120</v>
      </c>
      <c r="J13" s="15" t="s">
        <v>443</v>
      </c>
      <c r="K13" s="15" t="s">
        <v>21</v>
      </c>
      <c r="L13" s="15" t="s">
        <v>444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475</v>
      </c>
      <c r="D14" s="15" t="s">
        <v>476</v>
      </c>
      <c r="E14" s="15" t="s">
        <v>477</v>
      </c>
      <c r="F14" s="15" t="s">
        <v>46</v>
      </c>
      <c r="G14" s="16">
        <v>0</v>
      </c>
      <c r="H14" s="16">
        <v>25</v>
      </c>
      <c r="I14" s="16">
        <f t="shared" si="0"/>
        <v>-25</v>
      </c>
      <c r="J14" s="15" t="s">
        <v>443</v>
      </c>
      <c r="K14" s="15" t="s">
        <v>21</v>
      </c>
      <c r="L14" s="15" t="s">
        <v>444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478</v>
      </c>
      <c r="D15" s="17"/>
      <c r="E15" s="17" t="s">
        <v>479</v>
      </c>
      <c r="F15" s="17" t="s">
        <v>85</v>
      </c>
      <c r="G15" s="18">
        <v>0</v>
      </c>
      <c r="H15" s="18">
        <v>25</v>
      </c>
      <c r="I15" s="18">
        <f t="shared" si="0"/>
        <v>-25</v>
      </c>
      <c r="J15" s="17" t="s">
        <v>21</v>
      </c>
      <c r="K15" s="17" t="s">
        <v>21</v>
      </c>
      <c r="L15" s="17" t="s">
        <v>444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480</v>
      </c>
      <c r="D16" s="15" t="s">
        <v>481</v>
      </c>
      <c r="E16" s="15" t="s">
        <v>482</v>
      </c>
      <c r="F16" s="15" t="s">
        <v>95</v>
      </c>
      <c r="G16" s="16">
        <v>985</v>
      </c>
      <c r="H16" s="16">
        <v>25</v>
      </c>
      <c r="I16" s="16">
        <f t="shared" si="0"/>
        <v>960</v>
      </c>
      <c r="J16" s="15" t="s">
        <v>21</v>
      </c>
      <c r="K16" s="15" t="s">
        <v>21</v>
      </c>
      <c r="L16" s="15" t="s">
        <v>444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483</v>
      </c>
      <c r="D17" s="15" t="s">
        <v>484</v>
      </c>
      <c r="E17" s="15" t="s">
        <v>485</v>
      </c>
      <c r="F17" s="15" t="s">
        <v>81</v>
      </c>
      <c r="G17" s="16">
        <v>560</v>
      </c>
      <c r="H17" s="16">
        <v>30</v>
      </c>
      <c r="I17" s="16">
        <f t="shared" si="0"/>
        <v>530</v>
      </c>
      <c r="J17" s="15" t="s">
        <v>21</v>
      </c>
      <c r="K17" s="15" t="s">
        <v>21</v>
      </c>
      <c r="L17" s="15" t="s">
        <v>444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486</v>
      </c>
      <c r="D18" s="15" t="s">
        <v>487</v>
      </c>
      <c r="E18" s="15" t="s">
        <v>488</v>
      </c>
      <c r="F18" s="15" t="s">
        <v>95</v>
      </c>
      <c r="G18" s="16">
        <v>815</v>
      </c>
      <c r="H18" s="16">
        <v>25</v>
      </c>
      <c r="I18" s="16">
        <f t="shared" si="0"/>
        <v>790</v>
      </c>
      <c r="J18" s="15" t="s">
        <v>21</v>
      </c>
      <c r="K18" s="15" t="s">
        <v>21</v>
      </c>
      <c r="L18" s="15" t="s">
        <v>444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489</v>
      </c>
      <c r="D19" s="15" t="s">
        <v>490</v>
      </c>
      <c r="E19" s="15" t="s">
        <v>491</v>
      </c>
      <c r="F19" s="15" t="s">
        <v>85</v>
      </c>
      <c r="G19" s="16">
        <v>1140</v>
      </c>
      <c r="H19" s="16">
        <v>20</v>
      </c>
      <c r="I19" s="16">
        <f t="shared" si="0"/>
        <v>1120</v>
      </c>
      <c r="J19" s="15" t="s">
        <v>21</v>
      </c>
      <c r="K19" s="15" t="s">
        <v>21</v>
      </c>
      <c r="L19" s="15" t="s">
        <v>444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492</v>
      </c>
      <c r="D20" s="15" t="s">
        <v>493</v>
      </c>
      <c r="E20" s="15" t="s">
        <v>494</v>
      </c>
      <c r="F20" s="15" t="s">
        <v>81</v>
      </c>
      <c r="G20" s="16">
        <v>410</v>
      </c>
      <c r="H20" s="16">
        <v>30</v>
      </c>
      <c r="I20" s="16">
        <f t="shared" si="0"/>
        <v>380</v>
      </c>
      <c r="J20" s="15" t="s">
        <v>21</v>
      </c>
      <c r="K20" s="15" t="s">
        <v>21</v>
      </c>
      <c r="L20" s="15" t="s">
        <v>444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495</v>
      </c>
      <c r="D21" s="15" t="s">
        <v>496</v>
      </c>
      <c r="E21" s="15" t="s">
        <v>497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444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498</v>
      </c>
      <c r="D22" s="15" t="s">
        <v>499</v>
      </c>
      <c r="E22" s="15" t="s">
        <v>500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444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501</v>
      </c>
      <c r="D23" s="15" t="s">
        <v>502</v>
      </c>
      <c r="E23" s="15" t="s">
        <v>503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444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504</v>
      </c>
      <c r="D24" s="15"/>
      <c r="E24" s="15" t="s">
        <v>505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444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506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444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508</v>
      </c>
      <c r="D26" s="15"/>
      <c r="E26" s="15" t="s">
        <v>509</v>
      </c>
      <c r="F26" s="15" t="s">
        <v>406</v>
      </c>
      <c r="G26" s="16">
        <v>25</v>
      </c>
      <c r="H26" s="16">
        <v>25</v>
      </c>
      <c r="I26" s="16">
        <f t="shared" si="0"/>
        <v>0</v>
      </c>
      <c r="J26" s="15" t="s">
        <v>135</v>
      </c>
      <c r="K26" s="15" t="s">
        <v>21</v>
      </c>
      <c r="L26" s="15" t="s">
        <v>444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510</v>
      </c>
      <c r="D27" s="15" t="s">
        <v>511</v>
      </c>
      <c r="E27" s="15" t="s">
        <v>512</v>
      </c>
      <c r="F27" s="15" t="s">
        <v>406</v>
      </c>
      <c r="G27" s="16">
        <v>4860</v>
      </c>
      <c r="H27" s="16">
        <v>30</v>
      </c>
      <c r="I27" s="16">
        <f t="shared" si="0"/>
        <v>4830</v>
      </c>
      <c r="J27" s="15" t="s">
        <v>135</v>
      </c>
      <c r="K27" s="15" t="s">
        <v>21</v>
      </c>
      <c r="L27" s="15" t="s">
        <v>444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513</v>
      </c>
      <c r="D28" s="15" t="s">
        <v>514</v>
      </c>
      <c r="E28" s="15" t="s">
        <v>515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444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516</v>
      </c>
      <c r="D29" s="15" t="s">
        <v>517</v>
      </c>
      <c r="E29" s="15" t="s">
        <v>518</v>
      </c>
      <c r="F29" s="15" t="s">
        <v>95</v>
      </c>
      <c r="G29" s="16">
        <v>795</v>
      </c>
      <c r="H29" s="16">
        <v>25</v>
      </c>
      <c r="I29" s="16">
        <f t="shared" si="0"/>
        <v>770</v>
      </c>
      <c r="J29" s="15" t="s">
        <v>135</v>
      </c>
      <c r="K29" s="15" t="s">
        <v>21</v>
      </c>
      <c r="L29" s="15" t="s">
        <v>444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519</v>
      </c>
      <c r="D30" s="15" t="s">
        <v>520</v>
      </c>
      <c r="E30" s="15" t="s">
        <v>521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444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522</v>
      </c>
      <c r="D31" s="17" t="s">
        <v>523</v>
      </c>
      <c r="E31" s="17" t="s">
        <v>524</v>
      </c>
      <c r="F31" s="18">
        <v>5</v>
      </c>
      <c r="G31" s="18">
        <v>25</v>
      </c>
      <c r="H31" s="18">
        <v>25</v>
      </c>
      <c r="I31" s="18">
        <f t="shared" si="0"/>
        <v>0</v>
      </c>
      <c r="J31" s="17" t="s">
        <v>135</v>
      </c>
      <c r="K31" s="17" t="s">
        <v>21</v>
      </c>
      <c r="L31" s="17" t="s">
        <v>444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525</v>
      </c>
      <c r="D32" s="15" t="s">
        <v>526</v>
      </c>
      <c r="E32" s="15" t="s">
        <v>527</v>
      </c>
      <c r="F32" s="16">
        <v>1</v>
      </c>
      <c r="G32" s="16">
        <v>1475</v>
      </c>
      <c r="H32" s="16">
        <v>25</v>
      </c>
      <c r="I32" s="16">
        <f t="shared" si="0"/>
        <v>1450</v>
      </c>
      <c r="J32" s="15" t="s">
        <v>135</v>
      </c>
      <c r="K32" s="15" t="s">
        <v>21</v>
      </c>
      <c r="L32" s="15" t="s">
        <v>444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528</v>
      </c>
      <c r="D33" s="15" t="s">
        <v>529</v>
      </c>
      <c r="E33" s="15" t="s">
        <v>530</v>
      </c>
      <c r="F33" s="16">
        <v>4</v>
      </c>
      <c r="G33" s="16">
        <v>825</v>
      </c>
      <c r="H33" s="16">
        <v>25</v>
      </c>
      <c r="I33" s="16">
        <f t="shared" si="0"/>
        <v>800</v>
      </c>
      <c r="J33" s="15" t="s">
        <v>135</v>
      </c>
      <c r="K33" s="15" t="s">
        <v>21</v>
      </c>
      <c r="L33" s="15" t="s">
        <v>444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531</v>
      </c>
      <c r="D34" s="15" t="s">
        <v>532</v>
      </c>
      <c r="E34" s="15" t="s">
        <v>533</v>
      </c>
      <c r="F34" s="15" t="s">
        <v>95</v>
      </c>
      <c r="G34" s="16">
        <v>3370</v>
      </c>
      <c r="H34" s="16">
        <v>30</v>
      </c>
      <c r="I34" s="16">
        <f t="shared" si="0"/>
        <v>3340</v>
      </c>
      <c r="J34" s="15" t="s">
        <v>135</v>
      </c>
      <c r="K34" s="15" t="s">
        <v>21</v>
      </c>
      <c r="L34" s="15" t="s">
        <v>444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1">SUBTOTAL(9,G3:G34)</f>
        <v>23200</v>
      </c>
      <c r="H36" s="1">
        <f t="shared" si="1"/>
        <v>875</v>
      </c>
      <c r="I36" s="1">
        <f t="shared" si="1"/>
        <v>22325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34" t="s">
        <v>191</v>
      </c>
      <c r="D38" s="34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444</v>
      </c>
      <c r="B39" s="3" t="s">
        <v>195</v>
      </c>
      <c r="C39" s="35">
        <f>SUMIFS(I$3:I$34,B$3:B$34,A$38,L$3:L$34,A$39)</f>
        <v>22325</v>
      </c>
      <c r="D39" s="35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36">
        <v>0</v>
      </c>
      <c r="D40" s="36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36">
        <f>-SUMIFS(I$3:I$34,B$3:B$34,A$38,P$3:P$34,"xx",N$3:N$34,"x")</f>
        <v>0</v>
      </c>
      <c r="D41" s="36"/>
      <c r="E41" s="2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4" t="s">
        <v>203</v>
      </c>
      <c r="C42" s="34">
        <f>SUBTOTAL(9,C39:C41)</f>
        <v>22325</v>
      </c>
      <c r="D42" s="34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37"/>
      <c r="D43" s="37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37"/>
      <c r="D44" s="37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38">
        <f>C42+C43+C44</f>
        <v>22325</v>
      </c>
      <c r="D46" s="38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443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 R5:R3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535</v>
      </c>
      <c r="D3" s="15" t="s">
        <v>536</v>
      </c>
      <c r="E3" s="15" t="s">
        <v>537</v>
      </c>
      <c r="F3" s="16">
        <v>9</v>
      </c>
      <c r="G3" s="16">
        <v>850</v>
      </c>
      <c r="H3" s="16">
        <v>30</v>
      </c>
      <c r="I3" s="16">
        <f t="shared" ref="I3:I16" si="0">G3-H3</f>
        <v>820</v>
      </c>
      <c r="J3" s="15" t="s">
        <v>20</v>
      </c>
      <c r="K3" s="15" t="s">
        <v>21</v>
      </c>
      <c r="L3" s="15" t="s">
        <v>538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539</v>
      </c>
      <c r="D4" s="15" t="s">
        <v>540</v>
      </c>
      <c r="E4" s="15" t="s">
        <v>541</v>
      </c>
      <c r="F4" s="16">
        <v>9</v>
      </c>
      <c r="G4" s="16">
        <v>750</v>
      </c>
      <c r="H4" s="16">
        <v>30</v>
      </c>
      <c r="I4" s="16">
        <f t="shared" si="0"/>
        <v>720</v>
      </c>
      <c r="J4" s="15" t="s">
        <v>20</v>
      </c>
      <c r="K4" s="15" t="s">
        <v>21</v>
      </c>
      <c r="L4" s="15" t="s">
        <v>538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542</v>
      </c>
      <c r="D5" s="15" t="s">
        <v>543</v>
      </c>
      <c r="E5" s="15" t="s">
        <v>544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545</v>
      </c>
      <c r="K5" s="15" t="s">
        <v>21</v>
      </c>
      <c r="L5" s="15" t="s">
        <v>538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546</v>
      </c>
      <c r="D6" s="15" t="s">
        <v>547</v>
      </c>
      <c r="E6" s="15" t="s">
        <v>548</v>
      </c>
      <c r="F6" s="15" t="s">
        <v>26</v>
      </c>
      <c r="G6" s="16">
        <v>900</v>
      </c>
      <c r="H6" s="16">
        <v>30</v>
      </c>
      <c r="I6" s="16">
        <f t="shared" si="0"/>
        <v>870</v>
      </c>
      <c r="J6" s="15" t="s">
        <v>545</v>
      </c>
      <c r="K6" s="15" t="s">
        <v>21</v>
      </c>
      <c r="L6" s="15" t="s">
        <v>538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549</v>
      </c>
      <c r="D7" s="15" t="s">
        <v>550</v>
      </c>
      <c r="E7" s="15" t="s">
        <v>551</v>
      </c>
      <c r="F7" s="16">
        <v>6</v>
      </c>
      <c r="G7" s="16">
        <v>775</v>
      </c>
      <c r="H7" s="16">
        <v>25</v>
      </c>
      <c r="I7" s="16">
        <f t="shared" si="0"/>
        <v>750</v>
      </c>
      <c r="J7" s="15" t="s">
        <v>545</v>
      </c>
      <c r="K7" s="15" t="s">
        <v>21</v>
      </c>
      <c r="L7" s="15" t="s">
        <v>538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552</v>
      </c>
      <c r="D8" s="15" t="s">
        <v>553</v>
      </c>
      <c r="E8" s="15" t="s">
        <v>554</v>
      </c>
      <c r="F8" s="16">
        <v>12</v>
      </c>
      <c r="G8" s="16">
        <v>400</v>
      </c>
      <c r="H8" s="16">
        <v>30</v>
      </c>
      <c r="I8" s="16">
        <f t="shared" si="0"/>
        <v>370</v>
      </c>
      <c r="J8" s="15" t="s">
        <v>545</v>
      </c>
      <c r="K8" s="15" t="s">
        <v>21</v>
      </c>
      <c r="L8" s="15" t="s">
        <v>538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555</v>
      </c>
      <c r="D9" s="15" t="s">
        <v>556</v>
      </c>
      <c r="E9" s="15" t="s">
        <v>557</v>
      </c>
      <c r="F9" s="15" t="s">
        <v>95</v>
      </c>
      <c r="G9" s="16">
        <v>0</v>
      </c>
      <c r="H9" s="16">
        <v>25</v>
      </c>
      <c r="I9" s="16">
        <f t="shared" si="0"/>
        <v>-25</v>
      </c>
      <c r="J9" s="15" t="s">
        <v>545</v>
      </c>
      <c r="K9" s="15" t="s">
        <v>21</v>
      </c>
      <c r="L9" s="15" t="s">
        <v>538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558</v>
      </c>
      <c r="D10" s="15" t="s">
        <v>559</v>
      </c>
      <c r="E10" s="15" t="s">
        <v>560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545</v>
      </c>
      <c r="K10" s="15" t="s">
        <v>21</v>
      </c>
      <c r="L10" s="15" t="s">
        <v>538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561</v>
      </c>
      <c r="D11" s="15" t="s">
        <v>562</v>
      </c>
      <c r="E11" s="15" t="s">
        <v>563</v>
      </c>
      <c r="F11" s="16">
        <v>7</v>
      </c>
      <c r="G11" s="16">
        <v>480</v>
      </c>
      <c r="H11" s="16">
        <v>30</v>
      </c>
      <c r="I11" s="16">
        <f t="shared" si="0"/>
        <v>450</v>
      </c>
      <c r="J11" s="15" t="s">
        <v>545</v>
      </c>
      <c r="K11" s="15" t="s">
        <v>21</v>
      </c>
      <c r="L11" s="15" t="s">
        <v>538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564</v>
      </c>
      <c r="D12" s="15" t="s">
        <v>565</v>
      </c>
      <c r="E12" s="15" t="s">
        <v>566</v>
      </c>
      <c r="F12" s="16">
        <v>1</v>
      </c>
      <c r="G12" s="16">
        <v>1135</v>
      </c>
      <c r="H12" s="16">
        <v>25</v>
      </c>
      <c r="I12" s="16">
        <f t="shared" si="0"/>
        <v>1110</v>
      </c>
      <c r="J12" s="15" t="s">
        <v>545</v>
      </c>
      <c r="K12" s="15" t="s">
        <v>21</v>
      </c>
      <c r="L12" s="15" t="s">
        <v>538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567</v>
      </c>
      <c r="D13" s="15" t="s">
        <v>568</v>
      </c>
      <c r="E13" s="15" t="s">
        <v>569</v>
      </c>
      <c r="F13" s="16">
        <v>8</v>
      </c>
      <c r="G13" s="16">
        <v>0</v>
      </c>
      <c r="H13" s="16">
        <v>30</v>
      </c>
      <c r="I13" s="16">
        <f t="shared" si="0"/>
        <v>-30</v>
      </c>
      <c r="J13" s="15" t="s">
        <v>545</v>
      </c>
      <c r="K13" s="15" t="s">
        <v>21</v>
      </c>
      <c r="L13" s="15" t="s">
        <v>538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570</v>
      </c>
      <c r="D14" s="15" t="s">
        <v>571</v>
      </c>
      <c r="E14" s="15" t="s">
        <v>572</v>
      </c>
      <c r="F14" s="16">
        <v>7</v>
      </c>
      <c r="G14" s="16">
        <v>670</v>
      </c>
      <c r="H14" s="16">
        <v>30</v>
      </c>
      <c r="I14" s="16">
        <f t="shared" si="0"/>
        <v>640</v>
      </c>
      <c r="J14" s="15" t="s">
        <v>545</v>
      </c>
      <c r="K14" s="15" t="s">
        <v>21</v>
      </c>
      <c r="L14" s="15" t="s">
        <v>538</v>
      </c>
      <c r="M14" s="15"/>
      <c r="N14" s="15"/>
      <c r="O14" s="15"/>
      <c r="P14" s="15"/>
      <c r="Q14" s="15">
        <v>1</v>
      </c>
    </row>
    <row r="15" spans="1:18" s="19" customFormat="1" x14ac:dyDescent="0.25">
      <c r="A15" s="17"/>
      <c r="B15" s="17" t="s">
        <v>17</v>
      </c>
      <c r="C15" s="17" t="s">
        <v>131</v>
      </c>
      <c r="D15" s="17" t="s">
        <v>573</v>
      </c>
      <c r="E15" s="17" t="s">
        <v>574</v>
      </c>
      <c r="F15" s="17" t="s">
        <v>134</v>
      </c>
      <c r="G15" s="18">
        <v>95</v>
      </c>
      <c r="H15" s="18">
        <v>35</v>
      </c>
      <c r="I15" s="18">
        <f t="shared" si="0"/>
        <v>60</v>
      </c>
      <c r="J15" s="17" t="s">
        <v>545</v>
      </c>
      <c r="K15" s="17" t="s">
        <v>21</v>
      </c>
      <c r="L15" s="17" t="s">
        <v>538</v>
      </c>
      <c r="M15" s="17" t="s">
        <v>126</v>
      </c>
      <c r="N15" s="17"/>
      <c r="O15" s="17"/>
      <c r="P15" s="17"/>
      <c r="Q15" s="17">
        <v>1</v>
      </c>
    </row>
    <row r="16" spans="1:18" x14ac:dyDescent="0.25">
      <c r="A16" s="15"/>
      <c r="B16" s="15" t="s">
        <v>17</v>
      </c>
      <c r="C16" s="15" t="s">
        <v>575</v>
      </c>
      <c r="D16" s="15" t="s">
        <v>576</v>
      </c>
      <c r="E16" s="15" t="s">
        <v>577</v>
      </c>
      <c r="F16" s="15" t="s">
        <v>139</v>
      </c>
      <c r="G16" s="16">
        <v>0</v>
      </c>
      <c r="H16" s="16">
        <v>35</v>
      </c>
      <c r="I16" s="16">
        <f t="shared" si="0"/>
        <v>-35</v>
      </c>
      <c r="J16" s="15" t="s">
        <v>545</v>
      </c>
      <c r="K16" s="15" t="s">
        <v>21</v>
      </c>
      <c r="L16" s="15" t="s">
        <v>538</v>
      </c>
      <c r="M16" s="20" t="s">
        <v>377</v>
      </c>
      <c r="N16" s="15"/>
      <c r="O16" s="15"/>
      <c r="P16" s="15"/>
      <c r="Q16" s="15">
        <v>1</v>
      </c>
      <c r="R16" s="10">
        <f>H16</f>
        <v>35</v>
      </c>
    </row>
    <row r="17" spans="1:18" x14ac:dyDescent="0.25">
      <c r="A17" s="15"/>
      <c r="B17" s="15" t="s">
        <v>17</v>
      </c>
      <c r="C17" s="15" t="s">
        <v>575</v>
      </c>
      <c r="D17" s="15" t="s">
        <v>578</v>
      </c>
      <c r="E17" s="15" t="s">
        <v>577</v>
      </c>
      <c r="F17" s="15" t="s">
        <v>139</v>
      </c>
      <c r="G17" s="16">
        <v>0</v>
      </c>
      <c r="H17" s="16">
        <v>0</v>
      </c>
      <c r="I17" s="16">
        <f>H17</f>
        <v>0</v>
      </c>
      <c r="J17" s="15" t="s">
        <v>545</v>
      </c>
      <c r="K17" s="15" t="s">
        <v>21</v>
      </c>
      <c r="L17" s="15" t="s">
        <v>538</v>
      </c>
      <c r="M17" s="20" t="s">
        <v>377</v>
      </c>
      <c r="N17" s="15"/>
      <c r="O17" s="15"/>
      <c r="P17" s="15"/>
      <c r="Q17" s="15">
        <v>1</v>
      </c>
      <c r="R17" s="10">
        <f>H17</f>
        <v>0</v>
      </c>
    </row>
    <row r="18" spans="1:18" x14ac:dyDescent="0.25">
      <c r="A18" s="15"/>
      <c r="B18" s="15" t="s">
        <v>17</v>
      </c>
      <c r="C18" s="15" t="s">
        <v>579</v>
      </c>
      <c r="D18" s="15" t="s">
        <v>580</v>
      </c>
      <c r="E18" s="15" t="s">
        <v>581</v>
      </c>
      <c r="F18" s="16">
        <v>2</v>
      </c>
      <c r="G18" s="16">
        <v>850</v>
      </c>
      <c r="H18" s="16">
        <v>30</v>
      </c>
      <c r="I18" s="16">
        <f t="shared" ref="I18:I36" si="1">G18-H18</f>
        <v>820</v>
      </c>
      <c r="J18" s="15" t="s">
        <v>21</v>
      </c>
      <c r="K18" s="15" t="s">
        <v>21</v>
      </c>
      <c r="L18" s="15" t="s">
        <v>538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582</v>
      </c>
      <c r="D19" s="15" t="s">
        <v>583</v>
      </c>
      <c r="E19" s="15" t="s">
        <v>584</v>
      </c>
      <c r="F19" s="16">
        <v>12</v>
      </c>
      <c r="G19" s="16">
        <v>0</v>
      </c>
      <c r="H19" s="16">
        <v>30</v>
      </c>
      <c r="I19" s="16">
        <f t="shared" si="1"/>
        <v>-30</v>
      </c>
      <c r="J19" s="15" t="s">
        <v>21</v>
      </c>
      <c r="K19" s="15" t="s">
        <v>21</v>
      </c>
      <c r="L19" s="15" t="s">
        <v>538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585</v>
      </c>
      <c r="D20" s="15" t="s">
        <v>586</v>
      </c>
      <c r="E20" s="15" t="s">
        <v>587</v>
      </c>
      <c r="F20" s="15" t="s">
        <v>95</v>
      </c>
      <c r="G20" s="16">
        <v>2200</v>
      </c>
      <c r="H20" s="16">
        <v>30</v>
      </c>
      <c r="I20" s="16">
        <f t="shared" si="1"/>
        <v>2170</v>
      </c>
      <c r="J20" s="15" t="s">
        <v>21</v>
      </c>
      <c r="K20" s="15" t="s">
        <v>21</v>
      </c>
      <c r="L20" s="15" t="s">
        <v>538</v>
      </c>
      <c r="M20" s="20" t="s">
        <v>167</v>
      </c>
      <c r="N20" s="15"/>
      <c r="O20" s="15"/>
      <c r="P20" s="15"/>
      <c r="Q20" s="15">
        <v>1</v>
      </c>
      <c r="R20" s="10">
        <f>H20</f>
        <v>30</v>
      </c>
    </row>
    <row r="21" spans="1:18" x14ac:dyDescent="0.25">
      <c r="A21" s="15"/>
      <c r="B21" s="15" t="s">
        <v>17</v>
      </c>
      <c r="C21" s="15" t="s">
        <v>588</v>
      </c>
      <c r="D21" s="15" t="s">
        <v>589</v>
      </c>
      <c r="E21" s="15" t="s">
        <v>590</v>
      </c>
      <c r="F21" s="15" t="s">
        <v>81</v>
      </c>
      <c r="G21" s="16">
        <v>670</v>
      </c>
      <c r="H21" s="16">
        <v>30</v>
      </c>
      <c r="I21" s="16">
        <f t="shared" si="1"/>
        <v>640</v>
      </c>
      <c r="J21" s="15" t="s">
        <v>21</v>
      </c>
      <c r="K21" s="15" t="s">
        <v>21</v>
      </c>
      <c r="L21" s="15" t="s">
        <v>538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591</v>
      </c>
      <c r="D22" s="15" t="s">
        <v>592</v>
      </c>
      <c r="E22" s="15" t="s">
        <v>593</v>
      </c>
      <c r="F22" s="15" t="s">
        <v>85</v>
      </c>
      <c r="G22" s="16">
        <v>0</v>
      </c>
      <c r="H22" s="16">
        <v>20</v>
      </c>
      <c r="I22" s="16">
        <f t="shared" si="1"/>
        <v>-20</v>
      </c>
      <c r="J22" s="15" t="s">
        <v>21</v>
      </c>
      <c r="K22" s="15" t="s">
        <v>21</v>
      </c>
      <c r="L22" s="15" t="s">
        <v>538</v>
      </c>
      <c r="M22" s="15"/>
      <c r="N22" s="15"/>
      <c r="O22" s="15"/>
      <c r="P22" s="15"/>
      <c r="Q22" s="15">
        <v>1</v>
      </c>
      <c r="R22" s="10">
        <f>H22</f>
        <v>20</v>
      </c>
    </row>
    <row r="23" spans="1:18" x14ac:dyDescent="0.25">
      <c r="A23" s="15"/>
      <c r="B23" s="15" t="s">
        <v>17</v>
      </c>
      <c r="C23" s="15" t="s">
        <v>594</v>
      </c>
      <c r="D23" s="15" t="s">
        <v>595</v>
      </c>
      <c r="E23" s="15" t="s">
        <v>596</v>
      </c>
      <c r="F23" s="16">
        <v>2</v>
      </c>
      <c r="G23" s="16">
        <v>690</v>
      </c>
      <c r="H23" s="16">
        <v>30</v>
      </c>
      <c r="I23" s="16">
        <f t="shared" si="1"/>
        <v>660</v>
      </c>
      <c r="J23" s="15" t="s">
        <v>21</v>
      </c>
      <c r="K23" s="15" t="s">
        <v>21</v>
      </c>
      <c r="L23" s="15" t="s">
        <v>538</v>
      </c>
      <c r="M23" s="15"/>
      <c r="N23" s="15"/>
      <c r="O23" s="15"/>
      <c r="P23" s="15"/>
      <c r="Q23" s="15">
        <v>1</v>
      </c>
    </row>
    <row r="24" spans="1:18" s="19" customFormat="1" x14ac:dyDescent="0.25">
      <c r="A24" s="17"/>
      <c r="B24" s="17" t="s">
        <v>17</v>
      </c>
      <c r="C24" s="17" t="s">
        <v>78</v>
      </c>
      <c r="D24" s="17" t="s">
        <v>597</v>
      </c>
      <c r="E24" s="17" t="s">
        <v>80</v>
      </c>
      <c r="F24" s="17" t="s">
        <v>81</v>
      </c>
      <c r="G24" s="18">
        <v>30</v>
      </c>
      <c r="H24" s="18">
        <v>30</v>
      </c>
      <c r="I24" s="18">
        <f t="shared" si="1"/>
        <v>0</v>
      </c>
      <c r="J24" s="17" t="s">
        <v>21</v>
      </c>
      <c r="K24" s="17" t="s">
        <v>21</v>
      </c>
      <c r="L24" s="17" t="s">
        <v>538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/>
      <c r="B25" s="15" t="s">
        <v>17</v>
      </c>
      <c r="C25" s="15" t="s">
        <v>598</v>
      </c>
      <c r="D25" s="15" t="s">
        <v>599</v>
      </c>
      <c r="E25" s="15" t="s">
        <v>600</v>
      </c>
      <c r="F25" s="15" t="s">
        <v>81</v>
      </c>
      <c r="G25" s="16">
        <v>780</v>
      </c>
      <c r="H25" s="16">
        <v>30</v>
      </c>
      <c r="I25" s="16">
        <f t="shared" si="1"/>
        <v>750</v>
      </c>
      <c r="J25" s="15" t="s">
        <v>21</v>
      </c>
      <c r="K25" s="15" t="s">
        <v>21</v>
      </c>
      <c r="L25" s="15" t="s">
        <v>538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601</v>
      </c>
      <c r="D26" s="15" t="s">
        <v>602</v>
      </c>
      <c r="E26" s="15" t="s">
        <v>603</v>
      </c>
      <c r="F26" s="16">
        <v>2</v>
      </c>
      <c r="G26" s="16">
        <v>850</v>
      </c>
      <c r="H26" s="16">
        <v>30</v>
      </c>
      <c r="I26" s="16">
        <f t="shared" si="1"/>
        <v>820</v>
      </c>
      <c r="J26" s="15" t="s">
        <v>21</v>
      </c>
      <c r="K26" s="15" t="s">
        <v>21</v>
      </c>
      <c r="L26" s="15" t="s">
        <v>538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604</v>
      </c>
      <c r="D27" s="15" t="s">
        <v>605</v>
      </c>
      <c r="E27" s="15" t="s">
        <v>606</v>
      </c>
      <c r="F27" s="15" t="s">
        <v>85</v>
      </c>
      <c r="G27" s="16">
        <v>0</v>
      </c>
      <c r="H27" s="16">
        <v>20</v>
      </c>
      <c r="I27" s="16">
        <f t="shared" si="1"/>
        <v>-20</v>
      </c>
      <c r="J27" s="15" t="s">
        <v>21</v>
      </c>
      <c r="K27" s="15" t="s">
        <v>21</v>
      </c>
      <c r="L27" s="15" t="s">
        <v>538</v>
      </c>
      <c r="M27" s="15"/>
      <c r="N27" s="15"/>
      <c r="O27" s="15"/>
      <c r="P27" s="15"/>
      <c r="Q27" s="15">
        <v>1</v>
      </c>
      <c r="R27" s="10">
        <f>H27</f>
        <v>20</v>
      </c>
    </row>
    <row r="28" spans="1:18" x14ac:dyDescent="0.25">
      <c r="A28" s="15" t="s">
        <v>16</v>
      </c>
      <c r="B28" s="15" t="s">
        <v>17</v>
      </c>
      <c r="C28" s="15" t="s">
        <v>370</v>
      </c>
      <c r="D28" s="15"/>
      <c r="E28" s="15" t="s">
        <v>371</v>
      </c>
      <c r="F28" s="15" t="s">
        <v>77</v>
      </c>
      <c r="G28" s="16">
        <v>30</v>
      </c>
      <c r="H28" s="16">
        <v>30</v>
      </c>
      <c r="I28" s="16">
        <f t="shared" si="1"/>
        <v>0</v>
      </c>
      <c r="J28" s="15" t="s">
        <v>21</v>
      </c>
      <c r="K28" s="15" t="s">
        <v>21</v>
      </c>
      <c r="L28" s="15" t="s">
        <v>538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607</v>
      </c>
      <c r="D29" s="15" t="s">
        <v>608</v>
      </c>
      <c r="E29" s="15" t="s">
        <v>609</v>
      </c>
      <c r="F29" s="16">
        <v>5</v>
      </c>
      <c r="G29" s="16">
        <v>1175</v>
      </c>
      <c r="H29" s="16">
        <v>25</v>
      </c>
      <c r="I29" s="16">
        <f t="shared" si="1"/>
        <v>1150</v>
      </c>
      <c r="J29" s="15" t="s">
        <v>135</v>
      </c>
      <c r="K29" s="15" t="s">
        <v>21</v>
      </c>
      <c r="L29" s="15" t="s">
        <v>538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610</v>
      </c>
      <c r="D30" s="15" t="s">
        <v>611</v>
      </c>
      <c r="E30" s="15" t="s">
        <v>612</v>
      </c>
      <c r="F30" s="16">
        <v>4</v>
      </c>
      <c r="G30" s="16">
        <v>765</v>
      </c>
      <c r="H30" s="16">
        <v>25</v>
      </c>
      <c r="I30" s="16">
        <f t="shared" si="1"/>
        <v>740</v>
      </c>
      <c r="J30" s="15" t="s">
        <v>135</v>
      </c>
      <c r="K30" s="15" t="s">
        <v>21</v>
      </c>
      <c r="L30" s="15" t="s">
        <v>538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613</v>
      </c>
      <c r="D31" s="15" t="s">
        <v>614</v>
      </c>
      <c r="E31" s="15" t="s">
        <v>615</v>
      </c>
      <c r="F31" s="16">
        <v>3</v>
      </c>
      <c r="G31" s="16">
        <v>0</v>
      </c>
      <c r="H31" s="16">
        <v>25</v>
      </c>
      <c r="I31" s="16">
        <f t="shared" si="1"/>
        <v>-25</v>
      </c>
      <c r="J31" s="15" t="s">
        <v>135</v>
      </c>
      <c r="K31" s="15" t="s">
        <v>21</v>
      </c>
      <c r="L31" s="15" t="s">
        <v>538</v>
      </c>
      <c r="M31" s="15"/>
      <c r="N31" s="15"/>
      <c r="O31" s="15"/>
      <c r="P31" s="15"/>
      <c r="Q31" s="15">
        <v>1</v>
      </c>
      <c r="R31" s="10">
        <f>H31</f>
        <v>25</v>
      </c>
    </row>
    <row r="32" spans="1:18" x14ac:dyDescent="0.25">
      <c r="A32" s="15"/>
      <c r="B32" s="15" t="s">
        <v>17</v>
      </c>
      <c r="C32" s="15" t="s">
        <v>616</v>
      </c>
      <c r="D32" s="15" t="s">
        <v>617</v>
      </c>
      <c r="E32" s="15" t="s">
        <v>270</v>
      </c>
      <c r="F32" s="15" t="s">
        <v>95</v>
      </c>
      <c r="G32" s="16">
        <v>685</v>
      </c>
      <c r="H32" s="16">
        <v>25</v>
      </c>
      <c r="I32" s="16">
        <f t="shared" si="1"/>
        <v>660</v>
      </c>
      <c r="J32" s="15" t="s">
        <v>135</v>
      </c>
      <c r="K32" s="15" t="s">
        <v>21</v>
      </c>
      <c r="L32" s="15" t="s">
        <v>538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618</v>
      </c>
      <c r="D33" s="15" t="s">
        <v>619</v>
      </c>
      <c r="E33" s="15" t="s">
        <v>620</v>
      </c>
      <c r="F33" s="16">
        <v>10</v>
      </c>
      <c r="G33" s="16">
        <v>865</v>
      </c>
      <c r="H33" s="16">
        <v>25</v>
      </c>
      <c r="I33" s="16">
        <f t="shared" si="1"/>
        <v>840</v>
      </c>
      <c r="J33" s="15" t="s">
        <v>135</v>
      </c>
      <c r="K33" s="15" t="s">
        <v>21</v>
      </c>
      <c r="L33" s="15" t="s">
        <v>538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17</v>
      </c>
      <c r="C34" s="15" t="s">
        <v>621</v>
      </c>
      <c r="D34" s="15" t="s">
        <v>622</v>
      </c>
      <c r="E34" s="15" t="s">
        <v>623</v>
      </c>
      <c r="F34" s="15" t="s">
        <v>95</v>
      </c>
      <c r="G34" s="16">
        <v>0</v>
      </c>
      <c r="H34" s="16">
        <v>25</v>
      </c>
      <c r="I34" s="16">
        <f t="shared" si="1"/>
        <v>-25</v>
      </c>
      <c r="J34" s="15" t="s">
        <v>135</v>
      </c>
      <c r="K34" s="15" t="s">
        <v>21</v>
      </c>
      <c r="L34" s="15" t="s">
        <v>538</v>
      </c>
      <c r="M34" s="15"/>
      <c r="N34" s="15"/>
      <c r="O34" s="15"/>
      <c r="P34" s="15"/>
      <c r="Q34" s="15">
        <v>1</v>
      </c>
      <c r="R34" s="10">
        <f>H34</f>
        <v>25</v>
      </c>
    </row>
    <row r="35" spans="1:18" x14ac:dyDescent="0.25">
      <c r="A35" s="15"/>
      <c r="B35" s="15" t="s">
        <v>17</v>
      </c>
      <c r="C35" s="15" t="s">
        <v>624</v>
      </c>
      <c r="D35" s="15" t="s">
        <v>625</v>
      </c>
      <c r="E35" s="15" t="s">
        <v>626</v>
      </c>
      <c r="F35" s="16">
        <v>5</v>
      </c>
      <c r="G35" s="16">
        <v>0</v>
      </c>
      <c r="H35" s="16">
        <v>25</v>
      </c>
      <c r="I35" s="16">
        <f t="shared" si="1"/>
        <v>-25</v>
      </c>
      <c r="J35" s="15" t="s">
        <v>135</v>
      </c>
      <c r="K35" s="15" t="s">
        <v>21</v>
      </c>
      <c r="L35" s="15" t="s">
        <v>538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627</v>
      </c>
      <c r="D36" s="15" t="s">
        <v>628</v>
      </c>
      <c r="E36" s="15" t="s">
        <v>629</v>
      </c>
      <c r="F36" s="16">
        <v>1</v>
      </c>
      <c r="G36" s="16">
        <v>2050</v>
      </c>
      <c r="H36" s="16">
        <v>30</v>
      </c>
      <c r="I36" s="16">
        <f t="shared" si="1"/>
        <v>2020</v>
      </c>
      <c r="J36" s="15" t="s">
        <v>135</v>
      </c>
      <c r="K36" s="15" t="s">
        <v>21</v>
      </c>
      <c r="L36" s="15" t="s">
        <v>538</v>
      </c>
      <c r="M36" s="20" t="s">
        <v>167</v>
      </c>
      <c r="N36" s="15"/>
      <c r="O36" s="15"/>
      <c r="P36" s="15"/>
      <c r="Q36" s="15">
        <v>1</v>
      </c>
      <c r="R36" s="10">
        <f>H36</f>
        <v>30</v>
      </c>
    </row>
    <row r="38" spans="1:18" x14ac:dyDescent="0.25">
      <c r="D38" s="1">
        <f>COUNTA(D3:D36)</f>
        <v>33</v>
      </c>
      <c r="G38" s="1">
        <f t="shared" ref="G38:Q38" si="2">SUBTOTAL(9,G3:G36)</f>
        <v>18545</v>
      </c>
      <c r="H38" s="1">
        <f t="shared" si="2"/>
        <v>930</v>
      </c>
      <c r="I38" s="1">
        <f t="shared" si="2"/>
        <v>17615</v>
      </c>
      <c r="J38" s="1">
        <f t="shared" si="2"/>
        <v>0</v>
      </c>
      <c r="K38" s="1">
        <f t="shared" si="2"/>
        <v>0</v>
      </c>
      <c r="L38" s="1">
        <f t="shared" si="2"/>
        <v>0</v>
      </c>
      <c r="M38" s="1">
        <f t="shared" si="2"/>
        <v>0</v>
      </c>
      <c r="N38" s="1">
        <f t="shared" si="2"/>
        <v>0</v>
      </c>
      <c r="O38" s="1">
        <f t="shared" si="2"/>
        <v>0</v>
      </c>
      <c r="P38" s="1">
        <f t="shared" si="2"/>
        <v>0</v>
      </c>
      <c r="Q38" s="1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1" t="s">
        <v>17</v>
      </c>
      <c r="C40" s="34" t="s">
        <v>191</v>
      </c>
      <c r="D40" s="34"/>
      <c r="E40" s="4" t="s">
        <v>192</v>
      </c>
      <c r="H40">
        <f>-3*25</f>
        <v>-75</v>
      </c>
      <c r="K40" s="11" t="s">
        <v>545</v>
      </c>
      <c r="L40" s="11" t="s">
        <v>193</v>
      </c>
      <c r="M40" s="11" t="s">
        <v>192</v>
      </c>
      <c r="O40" s="4" t="s">
        <v>194</v>
      </c>
    </row>
    <row r="41" spans="1:18" x14ac:dyDescent="0.25">
      <c r="A41" t="s">
        <v>538</v>
      </c>
      <c r="B41" s="3" t="s">
        <v>195</v>
      </c>
      <c r="C41" s="35">
        <f>SUMIFS(I$3:I$36,B$3:B$36,A$40,L$3:L$36,A$41)</f>
        <v>17615</v>
      </c>
      <c r="D41" s="35"/>
      <c r="E41" s="3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2" t="s">
        <v>199</v>
      </c>
      <c r="C42" s="36">
        <v>0</v>
      </c>
      <c r="D42" s="36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2" t="s">
        <v>201</v>
      </c>
      <c r="C43" s="36">
        <f>-SUMIFS(I$3:I$36,B$3:B$36,A$40,P$3:P$36,"xx",N$3:N$36,"x")</f>
        <v>0</v>
      </c>
      <c r="D43" s="36"/>
      <c r="E43" s="2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4" t="s">
        <v>203</v>
      </c>
      <c r="C44" s="34">
        <f>SUBTOTAL(9,C41:C43)</f>
        <v>17615</v>
      </c>
      <c r="D44" s="34"/>
      <c r="E44">
        <f>E41</f>
        <v>34</v>
      </c>
      <c r="K44" s="2" t="s">
        <v>204</v>
      </c>
      <c r="O44" t="s">
        <v>21</v>
      </c>
      <c r="P44">
        <f>L70</f>
        <v>5779</v>
      </c>
    </row>
    <row r="45" spans="1:18" x14ac:dyDescent="0.25">
      <c r="B45" s="2" t="s">
        <v>205</v>
      </c>
      <c r="C45" s="37"/>
      <c r="D45" s="37"/>
      <c r="K45" s="2" t="s">
        <v>206</v>
      </c>
      <c r="O45" t="s">
        <v>207</v>
      </c>
      <c r="P45">
        <f>-C48</f>
        <v>-17615</v>
      </c>
    </row>
    <row r="46" spans="1:18" x14ac:dyDescent="0.25">
      <c r="B46" s="12" t="s">
        <v>208</v>
      </c>
      <c r="C46" s="37"/>
      <c r="D46" s="37"/>
      <c r="L46" s="13">
        <f>SUBTOTAL(9,L41:L45)</f>
        <v>5021</v>
      </c>
      <c r="M46" s="13">
        <f>M41</f>
        <v>12</v>
      </c>
      <c r="O46" s="4" t="s">
        <v>209</v>
      </c>
      <c r="P46" s="4">
        <f>SUBTOTAL(9,P41:P45)</f>
        <v>110</v>
      </c>
    </row>
    <row r="48" spans="1:18" x14ac:dyDescent="0.25">
      <c r="B48" s="1" t="s">
        <v>210</v>
      </c>
      <c r="C48" s="38">
        <f>C44+C45+C46</f>
        <v>17615</v>
      </c>
      <c r="D48" s="38"/>
      <c r="E48" s="1" t="s">
        <v>211</v>
      </c>
      <c r="K48" s="11" t="s">
        <v>135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5375</v>
      </c>
      <c r="M54" s="13">
        <f>M49</f>
        <v>8</v>
      </c>
    </row>
    <row r="56" spans="11:13" x14ac:dyDescent="0.25">
      <c r="K56" s="11" t="s">
        <v>20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1550</v>
      </c>
      <c r="M62" s="13">
        <f>M57</f>
        <v>2</v>
      </c>
    </row>
    <row r="64" spans="11:13" x14ac:dyDescent="0.25">
      <c r="K64" s="11" t="s">
        <v>21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5779</v>
      </c>
      <c r="M70" s="13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A22" workbookViewId="0">
      <selection activeCell="I42" sqref="I42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631</v>
      </c>
      <c r="D3" s="15"/>
      <c r="E3" s="15" t="s">
        <v>632</v>
      </c>
      <c r="F3" s="16">
        <v>6</v>
      </c>
      <c r="G3" s="16">
        <v>0</v>
      </c>
      <c r="H3" s="16">
        <v>30</v>
      </c>
      <c r="I3" s="16">
        <f t="shared" ref="I3:I39" si="0">G3-H3</f>
        <v>-30</v>
      </c>
      <c r="J3" s="15" t="s">
        <v>633</v>
      </c>
      <c r="K3" s="15" t="s">
        <v>21</v>
      </c>
      <c r="L3" s="15" t="s">
        <v>634</v>
      </c>
      <c r="M3" s="15"/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 t="s">
        <v>16</v>
      </c>
      <c r="B4" s="15" t="s">
        <v>17</v>
      </c>
      <c r="C4" s="15" t="s">
        <v>635</v>
      </c>
      <c r="D4" s="15"/>
      <c r="E4" s="15" t="s">
        <v>636</v>
      </c>
      <c r="F4" s="15" t="s">
        <v>26</v>
      </c>
      <c r="G4" s="16">
        <v>0</v>
      </c>
      <c r="H4" s="16">
        <v>35</v>
      </c>
      <c r="I4" s="16">
        <f t="shared" si="0"/>
        <v>-35</v>
      </c>
      <c r="J4" s="15" t="s">
        <v>633</v>
      </c>
      <c r="K4" s="15" t="s">
        <v>21</v>
      </c>
      <c r="L4" s="15" t="s">
        <v>634</v>
      </c>
      <c r="M4" s="15"/>
      <c r="N4" s="15"/>
      <c r="O4" s="15"/>
      <c r="P4" s="15"/>
      <c r="Q4" s="15">
        <v>1</v>
      </c>
      <c r="R4" s="10">
        <f>H4</f>
        <v>35</v>
      </c>
    </row>
    <row r="5" spans="1:18" x14ac:dyDescent="0.25">
      <c r="A5" s="15"/>
      <c r="B5" s="15" t="s">
        <v>17</v>
      </c>
      <c r="C5" s="15" t="s">
        <v>637</v>
      </c>
      <c r="D5" s="15" t="s">
        <v>638</v>
      </c>
      <c r="E5" s="15" t="s">
        <v>639</v>
      </c>
      <c r="F5" s="16">
        <v>9</v>
      </c>
      <c r="G5" s="16">
        <v>2630</v>
      </c>
      <c r="H5" s="16">
        <v>30</v>
      </c>
      <c r="I5" s="16">
        <f t="shared" si="0"/>
        <v>2600</v>
      </c>
      <c r="J5" s="15" t="s">
        <v>633</v>
      </c>
      <c r="K5" s="15" t="s">
        <v>21</v>
      </c>
      <c r="L5" s="15" t="s">
        <v>634</v>
      </c>
      <c r="M5" s="20" t="s">
        <v>167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640</v>
      </c>
      <c r="D6" s="15" t="s">
        <v>641</v>
      </c>
      <c r="E6" s="15" t="s">
        <v>642</v>
      </c>
      <c r="F6" s="15" t="s">
        <v>134</v>
      </c>
      <c r="G6" s="16">
        <v>905</v>
      </c>
      <c r="H6" s="16">
        <v>35</v>
      </c>
      <c r="I6" s="16">
        <f t="shared" si="0"/>
        <v>870</v>
      </c>
      <c r="J6" s="15" t="s">
        <v>633</v>
      </c>
      <c r="K6" s="15" t="s">
        <v>21</v>
      </c>
      <c r="L6" s="15" t="s">
        <v>634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643</v>
      </c>
      <c r="D7" s="15" t="s">
        <v>644</v>
      </c>
      <c r="E7" s="15" t="s">
        <v>645</v>
      </c>
      <c r="F7" s="16">
        <v>8</v>
      </c>
      <c r="G7" s="16">
        <v>0</v>
      </c>
      <c r="H7" s="16">
        <v>30</v>
      </c>
      <c r="I7" s="16">
        <f t="shared" si="0"/>
        <v>-30</v>
      </c>
      <c r="J7" s="15" t="s">
        <v>633</v>
      </c>
      <c r="K7" s="15" t="s">
        <v>21</v>
      </c>
      <c r="L7" s="15" t="s">
        <v>634</v>
      </c>
      <c r="M7" s="15"/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646</v>
      </c>
      <c r="D8" s="15" t="s">
        <v>647</v>
      </c>
      <c r="E8" s="15" t="s">
        <v>648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633</v>
      </c>
      <c r="K8" s="15" t="s">
        <v>21</v>
      </c>
      <c r="L8" s="15" t="s">
        <v>634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649</v>
      </c>
      <c r="D9" s="15" t="s">
        <v>650</v>
      </c>
      <c r="E9" s="15" t="s">
        <v>544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633</v>
      </c>
      <c r="K9" s="15" t="s">
        <v>21</v>
      </c>
      <c r="L9" s="15" t="s">
        <v>634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651</v>
      </c>
      <c r="D10" s="15" t="s">
        <v>652</v>
      </c>
      <c r="E10" s="15" t="s">
        <v>653</v>
      </c>
      <c r="F10" s="15" t="s">
        <v>26</v>
      </c>
      <c r="G10" s="16">
        <v>980</v>
      </c>
      <c r="H10" s="16">
        <v>30</v>
      </c>
      <c r="I10" s="16">
        <f t="shared" si="0"/>
        <v>950</v>
      </c>
      <c r="J10" s="15" t="s">
        <v>633</v>
      </c>
      <c r="K10" s="15" t="s">
        <v>21</v>
      </c>
      <c r="L10" s="15" t="s">
        <v>634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654</v>
      </c>
      <c r="D11" s="15" t="s">
        <v>655</v>
      </c>
      <c r="E11" s="15" t="s">
        <v>656</v>
      </c>
      <c r="F11" s="16">
        <v>8</v>
      </c>
      <c r="G11" s="16">
        <v>950</v>
      </c>
      <c r="H11" s="16">
        <v>30</v>
      </c>
      <c r="I11" s="16">
        <f t="shared" si="0"/>
        <v>920</v>
      </c>
      <c r="J11" s="15" t="s">
        <v>633</v>
      </c>
      <c r="K11" s="15" t="s">
        <v>21</v>
      </c>
      <c r="L11" s="15" t="s">
        <v>634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657</v>
      </c>
      <c r="D12" s="15" t="s">
        <v>658</v>
      </c>
      <c r="E12" s="15" t="s">
        <v>659</v>
      </c>
      <c r="F12" s="15" t="s">
        <v>46</v>
      </c>
      <c r="G12" s="16">
        <v>895</v>
      </c>
      <c r="H12" s="16">
        <v>25</v>
      </c>
      <c r="I12" s="16">
        <f t="shared" si="0"/>
        <v>870</v>
      </c>
      <c r="J12" s="15" t="s">
        <v>633</v>
      </c>
      <c r="K12" s="15" t="s">
        <v>21</v>
      </c>
      <c r="L12" s="15" t="s">
        <v>634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17</v>
      </c>
      <c r="C13" s="17" t="s">
        <v>34</v>
      </c>
      <c r="D13" s="17" t="s">
        <v>660</v>
      </c>
      <c r="E13" s="17" t="s">
        <v>36</v>
      </c>
      <c r="F13" s="18">
        <v>8</v>
      </c>
      <c r="G13" s="18">
        <v>0</v>
      </c>
      <c r="H13" s="18">
        <v>30</v>
      </c>
      <c r="I13" s="18">
        <f t="shared" si="0"/>
        <v>-30</v>
      </c>
      <c r="J13" s="17" t="s">
        <v>633</v>
      </c>
      <c r="K13" s="17" t="s">
        <v>21</v>
      </c>
      <c r="L13" s="17" t="s">
        <v>634</v>
      </c>
      <c r="M13" s="17" t="s">
        <v>126</v>
      </c>
      <c r="N13" s="17"/>
      <c r="O13" s="17"/>
      <c r="P13" s="17"/>
      <c r="Q13" s="17">
        <v>1</v>
      </c>
      <c r="R13" s="25">
        <f>H13</f>
        <v>30</v>
      </c>
    </row>
    <row r="14" spans="1:18" x14ac:dyDescent="0.25">
      <c r="A14" s="15"/>
      <c r="B14" s="15" t="s">
        <v>17</v>
      </c>
      <c r="C14" s="15" t="s">
        <v>661</v>
      </c>
      <c r="D14" s="15" t="s">
        <v>662</v>
      </c>
      <c r="E14" s="15" t="s">
        <v>663</v>
      </c>
      <c r="F14" s="15" t="s">
        <v>26</v>
      </c>
      <c r="G14" s="16">
        <v>670</v>
      </c>
      <c r="H14" s="16">
        <v>30</v>
      </c>
      <c r="I14" s="16">
        <f t="shared" si="0"/>
        <v>640</v>
      </c>
      <c r="J14" s="15" t="s">
        <v>633</v>
      </c>
      <c r="K14" s="15" t="s">
        <v>21</v>
      </c>
      <c r="L14" s="15" t="s">
        <v>634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370</v>
      </c>
      <c r="D15" s="15"/>
      <c r="E15" s="15" t="s">
        <v>371</v>
      </c>
      <c r="F15" s="15" t="s">
        <v>77</v>
      </c>
      <c r="G15" s="16">
        <v>30</v>
      </c>
      <c r="H15" s="16">
        <v>30</v>
      </c>
      <c r="I15" s="16">
        <f t="shared" si="0"/>
        <v>0</v>
      </c>
      <c r="J15" s="15" t="s">
        <v>21</v>
      </c>
      <c r="K15" s="15" t="s">
        <v>21</v>
      </c>
      <c r="L15" s="15" t="s">
        <v>634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664</v>
      </c>
      <c r="D16" s="15" t="s">
        <v>665</v>
      </c>
      <c r="E16" s="15" t="s">
        <v>666</v>
      </c>
      <c r="F16" s="15" t="s">
        <v>77</v>
      </c>
      <c r="G16" s="16">
        <v>565</v>
      </c>
      <c r="H16" s="16">
        <v>25</v>
      </c>
      <c r="I16" s="16">
        <f t="shared" si="0"/>
        <v>540</v>
      </c>
      <c r="J16" s="15" t="s">
        <v>21</v>
      </c>
      <c r="K16" s="15" t="s">
        <v>21</v>
      </c>
      <c r="L16" s="15" t="s">
        <v>634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667</v>
      </c>
      <c r="D17" s="15" t="s">
        <v>668</v>
      </c>
      <c r="E17" s="15" t="s">
        <v>669</v>
      </c>
      <c r="F17" s="16">
        <v>2</v>
      </c>
      <c r="G17" s="16">
        <v>1670</v>
      </c>
      <c r="H17" s="16">
        <v>30</v>
      </c>
      <c r="I17" s="16">
        <f t="shared" si="0"/>
        <v>1640</v>
      </c>
      <c r="J17" s="15" t="s">
        <v>21</v>
      </c>
      <c r="K17" s="15" t="s">
        <v>21</v>
      </c>
      <c r="L17" s="15" t="s">
        <v>634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356</v>
      </c>
      <c r="D18" s="15" t="s">
        <v>670</v>
      </c>
      <c r="E18" s="15" t="s">
        <v>358</v>
      </c>
      <c r="F18" s="16">
        <v>12</v>
      </c>
      <c r="G18" s="16">
        <v>741</v>
      </c>
      <c r="H18" s="16">
        <v>30</v>
      </c>
      <c r="I18" s="16">
        <f t="shared" si="0"/>
        <v>711</v>
      </c>
      <c r="J18" s="15" t="s">
        <v>21</v>
      </c>
      <c r="K18" s="15" t="s">
        <v>21</v>
      </c>
      <c r="L18" s="15" t="s">
        <v>634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671</v>
      </c>
      <c r="D19" s="15" t="s">
        <v>672</v>
      </c>
      <c r="E19" s="15" t="s">
        <v>673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634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674</v>
      </c>
      <c r="D20" s="15" t="s">
        <v>675</v>
      </c>
      <c r="E20" s="15" t="s">
        <v>676</v>
      </c>
      <c r="F20" s="15" t="s">
        <v>95</v>
      </c>
      <c r="G20" s="16">
        <v>805</v>
      </c>
      <c r="H20" s="16">
        <v>25</v>
      </c>
      <c r="I20" s="16">
        <f t="shared" si="0"/>
        <v>780</v>
      </c>
      <c r="J20" s="15" t="s">
        <v>21</v>
      </c>
      <c r="K20" s="15" t="s">
        <v>21</v>
      </c>
      <c r="L20" s="15" t="s">
        <v>634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677</v>
      </c>
      <c r="D21" s="15" t="s">
        <v>678</v>
      </c>
      <c r="E21" s="15" t="s">
        <v>679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634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680</v>
      </c>
      <c r="D22" s="15" t="s">
        <v>681</v>
      </c>
      <c r="E22" s="15" t="s">
        <v>682</v>
      </c>
      <c r="F22" s="16">
        <v>2</v>
      </c>
      <c r="G22" s="16">
        <v>30</v>
      </c>
      <c r="H22" s="16">
        <v>30</v>
      </c>
      <c r="I22" s="16">
        <f t="shared" si="0"/>
        <v>0</v>
      </c>
      <c r="J22" s="15" t="s">
        <v>21</v>
      </c>
      <c r="K22" s="15" t="s">
        <v>21</v>
      </c>
      <c r="L22" s="15" t="s">
        <v>634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683</v>
      </c>
      <c r="D23" s="15" t="s">
        <v>684</v>
      </c>
      <c r="E23" s="15" t="s">
        <v>685</v>
      </c>
      <c r="F23" s="15" t="s">
        <v>95</v>
      </c>
      <c r="G23" s="16">
        <v>50</v>
      </c>
      <c r="H23" s="16">
        <v>50</v>
      </c>
      <c r="I23" s="16">
        <f t="shared" si="0"/>
        <v>0</v>
      </c>
      <c r="J23" s="15" t="s">
        <v>21</v>
      </c>
      <c r="K23" s="15" t="s">
        <v>21</v>
      </c>
      <c r="L23" s="15" t="s">
        <v>634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686</v>
      </c>
      <c r="D24" s="15" t="s">
        <v>687</v>
      </c>
      <c r="E24" s="15" t="s">
        <v>688</v>
      </c>
      <c r="F24" s="15" t="s">
        <v>85</v>
      </c>
      <c r="G24" s="16">
        <v>710</v>
      </c>
      <c r="H24" s="16">
        <v>20</v>
      </c>
      <c r="I24" s="16">
        <f t="shared" si="0"/>
        <v>690</v>
      </c>
      <c r="J24" s="15" t="s">
        <v>21</v>
      </c>
      <c r="K24" s="15" t="s">
        <v>21</v>
      </c>
      <c r="L24" s="15" t="s">
        <v>634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689</v>
      </c>
      <c r="D25" s="15" t="s">
        <v>690</v>
      </c>
      <c r="E25" s="15" t="s">
        <v>691</v>
      </c>
      <c r="F25" s="16">
        <v>2</v>
      </c>
      <c r="G25" s="16">
        <v>820</v>
      </c>
      <c r="H25" s="16">
        <v>30</v>
      </c>
      <c r="I25" s="16">
        <f t="shared" si="0"/>
        <v>790</v>
      </c>
      <c r="J25" s="15" t="s">
        <v>21</v>
      </c>
      <c r="K25" s="15" t="s">
        <v>21</v>
      </c>
      <c r="L25" s="15" t="s">
        <v>634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692</v>
      </c>
      <c r="D26" s="15" t="s">
        <v>693</v>
      </c>
      <c r="E26" s="15" t="s">
        <v>694</v>
      </c>
      <c r="F26" s="15" t="s">
        <v>85</v>
      </c>
      <c r="G26" s="16">
        <v>880</v>
      </c>
      <c r="H26" s="16">
        <v>20</v>
      </c>
      <c r="I26" s="16">
        <f t="shared" si="0"/>
        <v>860</v>
      </c>
      <c r="J26" s="15" t="s">
        <v>21</v>
      </c>
      <c r="K26" s="15" t="s">
        <v>21</v>
      </c>
      <c r="L26" s="15" t="s">
        <v>634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365</v>
      </c>
      <c r="D27" s="15" t="s">
        <v>695</v>
      </c>
      <c r="E27" s="15" t="s">
        <v>367</v>
      </c>
      <c r="F27" s="15" t="s">
        <v>77</v>
      </c>
      <c r="G27" s="16">
        <v>845</v>
      </c>
      <c r="H27" s="16">
        <v>25</v>
      </c>
      <c r="I27" s="16">
        <f t="shared" si="0"/>
        <v>820</v>
      </c>
      <c r="J27" s="15" t="s">
        <v>21</v>
      </c>
      <c r="K27" s="15" t="s">
        <v>21</v>
      </c>
      <c r="L27" s="15" t="s">
        <v>634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696</v>
      </c>
      <c r="D28" s="15" t="s">
        <v>697</v>
      </c>
      <c r="E28" s="15" t="s">
        <v>698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21</v>
      </c>
      <c r="K28" s="15" t="s">
        <v>21</v>
      </c>
      <c r="L28" s="15" t="s">
        <v>634</v>
      </c>
      <c r="M28" s="15"/>
      <c r="N28" s="15"/>
      <c r="O28" s="15"/>
      <c r="P28" s="15"/>
      <c r="Q28" s="15">
        <v>1</v>
      </c>
      <c r="R28" s="10">
        <f>H28</f>
        <v>30</v>
      </c>
    </row>
    <row r="29" spans="1:18" x14ac:dyDescent="0.25">
      <c r="A29" s="15" t="s">
        <v>16</v>
      </c>
      <c r="B29" s="15" t="s">
        <v>17</v>
      </c>
      <c r="C29" s="15" t="s">
        <v>437</v>
      </c>
      <c r="D29" s="15"/>
      <c r="E29" s="15" t="s">
        <v>438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135</v>
      </c>
      <c r="K29" s="15" t="s">
        <v>21</v>
      </c>
      <c r="L29" s="15" t="s">
        <v>634</v>
      </c>
      <c r="M29" s="15"/>
      <c r="N29" s="15"/>
      <c r="O29" s="15"/>
      <c r="P29" s="15"/>
      <c r="Q29" s="15">
        <v>1</v>
      </c>
      <c r="R29" s="10">
        <f>H29</f>
        <v>30</v>
      </c>
    </row>
    <row r="30" spans="1:18" x14ac:dyDescent="0.25">
      <c r="A30" s="15"/>
      <c r="B30" s="15" t="s">
        <v>17</v>
      </c>
      <c r="C30" s="15" t="s">
        <v>699</v>
      </c>
      <c r="D30" s="15" t="s">
        <v>700</v>
      </c>
      <c r="E30" s="15" t="s">
        <v>701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634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183</v>
      </c>
      <c r="D31" s="15" t="s">
        <v>702</v>
      </c>
      <c r="E31" s="15" t="s">
        <v>185</v>
      </c>
      <c r="F31" s="16">
        <v>4</v>
      </c>
      <c r="G31" s="16">
        <v>885</v>
      </c>
      <c r="H31" s="16">
        <v>25</v>
      </c>
      <c r="I31" s="16">
        <f t="shared" si="0"/>
        <v>860</v>
      </c>
      <c r="J31" s="15" t="s">
        <v>135</v>
      </c>
      <c r="K31" s="15" t="s">
        <v>21</v>
      </c>
      <c r="L31" s="15" t="s">
        <v>634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703</v>
      </c>
      <c r="D32" s="15" t="s">
        <v>704</v>
      </c>
      <c r="E32" s="15" t="s">
        <v>705</v>
      </c>
      <c r="F32" s="16">
        <v>1</v>
      </c>
      <c r="G32" s="16">
        <v>825</v>
      </c>
      <c r="H32" s="16">
        <v>25</v>
      </c>
      <c r="I32" s="16">
        <f t="shared" si="0"/>
        <v>800</v>
      </c>
      <c r="J32" s="15" t="s">
        <v>135</v>
      </c>
      <c r="K32" s="15" t="s">
        <v>21</v>
      </c>
      <c r="L32" s="15" t="s">
        <v>634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706</v>
      </c>
      <c r="D33" s="15" t="s">
        <v>707</v>
      </c>
      <c r="E33" s="15" t="s">
        <v>708</v>
      </c>
      <c r="F33" s="16">
        <v>10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634</v>
      </c>
      <c r="M33" s="15"/>
      <c r="N33" s="15"/>
      <c r="O33" s="15"/>
      <c r="P33" s="15"/>
      <c r="Q33" s="15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709</v>
      </c>
      <c r="D34" s="15" t="s">
        <v>710</v>
      </c>
      <c r="E34" s="15" t="s">
        <v>711</v>
      </c>
      <c r="F34" s="16">
        <v>10</v>
      </c>
      <c r="G34" s="16">
        <v>815</v>
      </c>
      <c r="H34" s="16">
        <v>25</v>
      </c>
      <c r="I34" s="16">
        <f t="shared" si="0"/>
        <v>790</v>
      </c>
      <c r="J34" s="15" t="s">
        <v>135</v>
      </c>
      <c r="K34" s="15" t="s">
        <v>21</v>
      </c>
      <c r="L34" s="15" t="s">
        <v>634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712</v>
      </c>
      <c r="D35" s="17" t="s">
        <v>713</v>
      </c>
      <c r="E35" s="17" t="s">
        <v>714</v>
      </c>
      <c r="F35" s="18">
        <v>1</v>
      </c>
      <c r="G35" s="18">
        <v>25</v>
      </c>
      <c r="H35" s="18">
        <v>25</v>
      </c>
      <c r="I35" s="18">
        <f t="shared" si="0"/>
        <v>0</v>
      </c>
      <c r="J35" s="17" t="s">
        <v>135</v>
      </c>
      <c r="K35" s="17" t="s">
        <v>21</v>
      </c>
      <c r="L35" s="17" t="s">
        <v>634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/>
      <c r="B36" s="15" t="s">
        <v>17</v>
      </c>
      <c r="C36" s="15" t="s">
        <v>715</v>
      </c>
      <c r="D36" s="15" t="s">
        <v>716</v>
      </c>
      <c r="E36" s="15" t="s">
        <v>717</v>
      </c>
      <c r="F36" s="16">
        <v>7</v>
      </c>
      <c r="G36" s="16">
        <v>850</v>
      </c>
      <c r="H36" s="16">
        <v>30</v>
      </c>
      <c r="I36" s="16">
        <f t="shared" si="0"/>
        <v>820</v>
      </c>
      <c r="J36" s="15" t="s">
        <v>135</v>
      </c>
      <c r="K36" s="15" t="s">
        <v>21</v>
      </c>
      <c r="L36" s="15" t="s">
        <v>634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718</v>
      </c>
      <c r="D37" s="15" t="s">
        <v>719</v>
      </c>
      <c r="E37" s="15" t="s">
        <v>720</v>
      </c>
      <c r="F37" s="16">
        <v>5</v>
      </c>
      <c r="G37" s="16">
        <v>0</v>
      </c>
      <c r="H37" s="16">
        <v>25</v>
      </c>
      <c r="I37" s="16">
        <f t="shared" si="0"/>
        <v>-25</v>
      </c>
      <c r="J37" s="15" t="s">
        <v>135</v>
      </c>
      <c r="K37" s="15" t="s">
        <v>21</v>
      </c>
      <c r="L37" s="15" t="s">
        <v>634</v>
      </c>
      <c r="M37" s="15"/>
      <c r="N37" s="15"/>
      <c r="O37" s="15"/>
      <c r="P37" s="15"/>
      <c r="Q37" s="15">
        <v>1</v>
      </c>
      <c r="R37" s="10">
        <f>H37</f>
        <v>25</v>
      </c>
    </row>
    <row r="38" spans="1:18" x14ac:dyDescent="0.25">
      <c r="A38" s="15"/>
      <c r="B38" s="15" t="s">
        <v>17</v>
      </c>
      <c r="C38" s="15" t="s">
        <v>721</v>
      </c>
      <c r="D38" s="15" t="s">
        <v>722</v>
      </c>
      <c r="E38" s="15" t="s">
        <v>723</v>
      </c>
      <c r="F38" s="16">
        <v>10</v>
      </c>
      <c r="G38" s="16">
        <v>455</v>
      </c>
      <c r="H38" s="16">
        <v>25</v>
      </c>
      <c r="I38" s="16">
        <f t="shared" si="0"/>
        <v>430</v>
      </c>
      <c r="J38" s="15" t="s">
        <v>135</v>
      </c>
      <c r="K38" s="15" t="s">
        <v>21</v>
      </c>
      <c r="L38" s="15" t="s">
        <v>634</v>
      </c>
      <c r="M38" s="15"/>
      <c r="N38" s="15"/>
      <c r="O38" s="15"/>
      <c r="P38" s="15"/>
      <c r="Q38" s="15">
        <v>1</v>
      </c>
    </row>
    <row r="39" spans="1:18" s="2" customFormat="1" x14ac:dyDescent="0.25">
      <c r="A39" s="21"/>
      <c r="B39" s="21" t="s">
        <v>17</v>
      </c>
      <c r="C39" s="26" t="s">
        <v>724</v>
      </c>
      <c r="D39" s="26" t="s">
        <v>725</v>
      </c>
      <c r="E39" s="26" t="s">
        <v>726</v>
      </c>
      <c r="F39" s="27">
        <v>7</v>
      </c>
      <c r="G39" s="27">
        <v>1980</v>
      </c>
      <c r="H39" s="27">
        <v>0</v>
      </c>
      <c r="I39" s="27">
        <f t="shared" si="0"/>
        <v>1980</v>
      </c>
      <c r="J39" s="26" t="s">
        <v>727</v>
      </c>
      <c r="K39" s="26" t="s">
        <v>21</v>
      </c>
      <c r="L39" s="26" t="s">
        <v>728</v>
      </c>
      <c r="M39" s="21" t="s">
        <v>206</v>
      </c>
      <c r="N39" s="21" t="s">
        <v>272</v>
      </c>
      <c r="O39" s="21" t="s">
        <v>272</v>
      </c>
      <c r="P39" s="21" t="s">
        <v>273</v>
      </c>
      <c r="Q39" s="21">
        <v>1</v>
      </c>
    </row>
    <row r="41" spans="1:18" x14ac:dyDescent="0.25">
      <c r="D41" s="1">
        <f>COUNTA(D3:D39)</f>
        <v>33</v>
      </c>
      <c r="G41" s="1">
        <f t="shared" ref="G41:Q41" si="1">SUBTOTAL(9,G3:G39)</f>
        <v>20481</v>
      </c>
      <c r="H41" s="1">
        <f t="shared" si="1"/>
        <v>1030</v>
      </c>
      <c r="I41" s="1">
        <f t="shared" si="1"/>
        <v>19451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1" t="s">
        <v>17</v>
      </c>
      <c r="C43" s="34" t="s">
        <v>191</v>
      </c>
      <c r="D43" s="34"/>
      <c r="E43" s="4" t="s">
        <v>192</v>
      </c>
      <c r="H43">
        <f>-5*25</f>
        <v>-125</v>
      </c>
      <c r="K43" s="11" t="s">
        <v>135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634</v>
      </c>
      <c r="B44" s="3" t="s">
        <v>195</v>
      </c>
      <c r="C44" s="35">
        <f>SUMIFS(I$3:I$39,B$3:B$39,A$43,L$3:L$39,A$44)</f>
        <v>17471</v>
      </c>
      <c r="D44" s="35"/>
      <c r="E44" s="3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2" t="s">
        <v>199</v>
      </c>
      <c r="C45" s="36">
        <v>0</v>
      </c>
      <c r="D45" s="36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2" t="s">
        <v>201</v>
      </c>
      <c r="C46" s="36">
        <f>-SUMIFS(I$3:I$39,B$3:B$39,A$43,P$3:P$39,"xx",N$3:N$39,"x")</f>
        <v>-1980</v>
      </c>
      <c r="D46" s="36"/>
      <c r="E46" s="2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4" t="s">
        <v>203</v>
      </c>
      <c r="C47" s="34">
        <f>SUBTOTAL(9,C44:C46)</f>
        <v>15491</v>
      </c>
      <c r="D47" s="34"/>
      <c r="E47">
        <f>E44</f>
        <v>36</v>
      </c>
      <c r="K47" s="2" t="s">
        <v>204</v>
      </c>
      <c r="O47" t="s">
        <v>207</v>
      </c>
      <c r="P47">
        <f>-C51</f>
        <v>-15491</v>
      </c>
    </row>
    <row r="48" spans="1:18" x14ac:dyDescent="0.25">
      <c r="B48" s="2" t="s">
        <v>205</v>
      </c>
      <c r="C48" s="37"/>
      <c r="D48" s="37"/>
      <c r="K48" s="2" t="s">
        <v>206</v>
      </c>
      <c r="O48" s="4" t="s">
        <v>209</v>
      </c>
      <c r="P48" s="4">
        <f>SUBTOTAL(9,P44:P47)</f>
        <v>156</v>
      </c>
    </row>
    <row r="49" spans="2:13" x14ac:dyDescent="0.25">
      <c r="B49" s="12" t="s">
        <v>208</v>
      </c>
      <c r="C49" s="37"/>
      <c r="D49" s="37"/>
      <c r="L49" s="13">
        <f>SUBTOTAL(9,L44:L48)</f>
        <v>3645</v>
      </c>
      <c r="M49" s="13">
        <f>M44</f>
        <v>10</v>
      </c>
    </row>
    <row r="51" spans="2:13" x14ac:dyDescent="0.25">
      <c r="B51" s="1" t="s">
        <v>210</v>
      </c>
      <c r="C51" s="38">
        <f>C47+C48+C49</f>
        <v>15491</v>
      </c>
      <c r="D51" s="38"/>
      <c r="E51" s="1" t="s">
        <v>211</v>
      </c>
      <c r="K51" s="11" t="s">
        <v>633</v>
      </c>
      <c r="L51" s="11" t="s">
        <v>193</v>
      </c>
      <c r="M51" s="11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2" t="s">
        <v>204</v>
      </c>
    </row>
    <row r="56" spans="2:13" x14ac:dyDescent="0.25">
      <c r="K56" s="2" t="s">
        <v>206</v>
      </c>
      <c r="L56" s="23">
        <v>-1980</v>
      </c>
      <c r="M56" s="23" t="s">
        <v>288</v>
      </c>
    </row>
    <row r="57" spans="2:13" x14ac:dyDescent="0.25">
      <c r="L57" s="13">
        <f>SUBTOTAL(9,L52:L56)</f>
        <v>5263</v>
      </c>
      <c r="M57" s="13">
        <f>M52</f>
        <v>12</v>
      </c>
    </row>
    <row r="59" spans="2:13" x14ac:dyDescent="0.25">
      <c r="K59" s="11" t="s">
        <v>21</v>
      </c>
      <c r="L59" s="11" t="s">
        <v>193</v>
      </c>
      <c r="M59" s="11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2" t="s">
        <v>204</v>
      </c>
    </row>
    <row r="64" spans="2:13" x14ac:dyDescent="0.25">
      <c r="K64" s="2" t="s">
        <v>206</v>
      </c>
    </row>
    <row r="65" spans="12:13" x14ac:dyDescent="0.25">
      <c r="L65" s="13">
        <f>SUBTOTAL(9,L60:L64)</f>
        <v>6739</v>
      </c>
      <c r="M65" s="13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730</v>
      </c>
      <c r="D3" s="15"/>
      <c r="E3" s="15" t="s">
        <v>731</v>
      </c>
      <c r="F3" s="16">
        <v>8</v>
      </c>
      <c r="G3" s="16">
        <v>30</v>
      </c>
      <c r="H3" s="16">
        <v>30</v>
      </c>
      <c r="I3" s="16">
        <f t="shared" ref="I3:I33" si="0">G3-H3</f>
        <v>0</v>
      </c>
      <c r="J3" s="15" t="s">
        <v>732</v>
      </c>
      <c r="K3" s="15" t="s">
        <v>21</v>
      </c>
      <c r="L3" s="15" t="s">
        <v>733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340</v>
      </c>
      <c r="D4" s="15"/>
      <c r="E4" s="15" t="s">
        <v>636</v>
      </c>
      <c r="F4" s="15" t="s">
        <v>26</v>
      </c>
      <c r="G4" s="16">
        <v>35</v>
      </c>
      <c r="H4" s="16">
        <v>35</v>
      </c>
      <c r="I4" s="16">
        <f t="shared" si="0"/>
        <v>0</v>
      </c>
      <c r="J4" s="15" t="s">
        <v>732</v>
      </c>
      <c r="K4" s="15" t="s">
        <v>21</v>
      </c>
      <c r="L4" s="15" t="s">
        <v>733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734</v>
      </c>
      <c r="D5" s="15"/>
      <c r="E5" s="15" t="s">
        <v>735</v>
      </c>
      <c r="F5" s="16">
        <v>12</v>
      </c>
      <c r="G5" s="16">
        <v>35</v>
      </c>
      <c r="H5" s="16">
        <v>35</v>
      </c>
      <c r="I5" s="16">
        <f t="shared" si="0"/>
        <v>0</v>
      </c>
      <c r="J5" s="15" t="s">
        <v>732</v>
      </c>
      <c r="K5" s="15" t="s">
        <v>21</v>
      </c>
      <c r="L5" s="15" t="s">
        <v>733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736</v>
      </c>
      <c r="D6" s="15"/>
      <c r="E6" s="15" t="s">
        <v>737</v>
      </c>
      <c r="F6" s="16">
        <v>6</v>
      </c>
      <c r="G6" s="16">
        <v>650</v>
      </c>
      <c r="H6" s="16">
        <v>30</v>
      </c>
      <c r="I6" s="16">
        <f t="shared" si="0"/>
        <v>620</v>
      </c>
      <c r="J6" s="15" t="s">
        <v>732</v>
      </c>
      <c r="K6" s="15" t="s">
        <v>21</v>
      </c>
      <c r="L6" s="15" t="s">
        <v>733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738</v>
      </c>
      <c r="D7" s="15" t="s">
        <v>739</v>
      </c>
      <c r="E7" s="15" t="s">
        <v>740</v>
      </c>
      <c r="F7" s="15" t="s">
        <v>46</v>
      </c>
      <c r="G7" s="16">
        <v>0</v>
      </c>
      <c r="H7" s="16">
        <v>25</v>
      </c>
      <c r="I7" s="16">
        <f t="shared" si="0"/>
        <v>-25</v>
      </c>
      <c r="J7" s="15" t="s">
        <v>732</v>
      </c>
      <c r="K7" s="15" t="s">
        <v>21</v>
      </c>
      <c r="L7" s="15" t="s">
        <v>733</v>
      </c>
      <c r="M7" s="15"/>
      <c r="N7" s="15"/>
      <c r="O7" s="15"/>
      <c r="P7" s="15"/>
      <c r="Q7" s="15">
        <v>1</v>
      </c>
      <c r="R7" s="10">
        <f>H7</f>
        <v>25</v>
      </c>
    </row>
    <row r="8" spans="1:18" s="19" customFormat="1" x14ac:dyDescent="0.25">
      <c r="A8" s="17"/>
      <c r="B8" s="17" t="s">
        <v>17</v>
      </c>
      <c r="C8" s="17" t="s">
        <v>131</v>
      </c>
      <c r="D8" s="17" t="s">
        <v>741</v>
      </c>
      <c r="E8" s="17" t="s">
        <v>574</v>
      </c>
      <c r="F8" s="17" t="s">
        <v>134</v>
      </c>
      <c r="G8" s="18">
        <v>35</v>
      </c>
      <c r="H8" s="18">
        <v>35</v>
      </c>
      <c r="I8" s="18">
        <f t="shared" si="0"/>
        <v>0</v>
      </c>
      <c r="J8" s="17" t="s">
        <v>732</v>
      </c>
      <c r="K8" s="17" t="s">
        <v>21</v>
      </c>
      <c r="L8" s="17" t="s">
        <v>733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742</v>
      </c>
      <c r="D9" s="15" t="s">
        <v>743</v>
      </c>
      <c r="E9" s="15" t="s">
        <v>744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732</v>
      </c>
      <c r="K9" s="15" t="s">
        <v>21</v>
      </c>
      <c r="L9" s="15" t="s">
        <v>733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745</v>
      </c>
      <c r="D10" s="15" t="s">
        <v>746</v>
      </c>
      <c r="E10" s="15" t="s">
        <v>747</v>
      </c>
      <c r="F10" s="15" t="s">
        <v>26</v>
      </c>
      <c r="G10" s="16">
        <v>400</v>
      </c>
      <c r="H10" s="16">
        <v>30</v>
      </c>
      <c r="I10" s="16">
        <f t="shared" si="0"/>
        <v>370</v>
      </c>
      <c r="J10" s="15" t="s">
        <v>732</v>
      </c>
      <c r="K10" s="15" t="s">
        <v>21</v>
      </c>
      <c r="L10" s="15" t="s">
        <v>733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748</v>
      </c>
      <c r="D11" s="15" t="s">
        <v>749</v>
      </c>
      <c r="E11" s="15" t="s">
        <v>750</v>
      </c>
      <c r="F11" s="16">
        <v>11</v>
      </c>
      <c r="G11" s="16">
        <v>665</v>
      </c>
      <c r="H11" s="16">
        <v>25</v>
      </c>
      <c r="I11" s="16">
        <f t="shared" si="0"/>
        <v>640</v>
      </c>
      <c r="J11" s="15" t="s">
        <v>732</v>
      </c>
      <c r="K11" s="15" t="s">
        <v>21</v>
      </c>
      <c r="L11" s="15" t="s">
        <v>733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751</v>
      </c>
      <c r="D12" s="15" t="s">
        <v>752</v>
      </c>
      <c r="E12" s="15" t="s">
        <v>753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732</v>
      </c>
      <c r="K12" s="15" t="s">
        <v>21</v>
      </c>
      <c r="L12" s="15" t="s">
        <v>733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754</v>
      </c>
      <c r="D13" s="15" t="s">
        <v>755</v>
      </c>
      <c r="E13" s="15" t="s">
        <v>756</v>
      </c>
      <c r="F13" s="16">
        <v>6</v>
      </c>
      <c r="G13" s="16">
        <v>0</v>
      </c>
      <c r="H13" s="16">
        <v>25</v>
      </c>
      <c r="I13" s="16">
        <f t="shared" si="0"/>
        <v>-25</v>
      </c>
      <c r="J13" s="15" t="s">
        <v>732</v>
      </c>
      <c r="K13" s="15" t="s">
        <v>21</v>
      </c>
      <c r="L13" s="15" t="s">
        <v>733</v>
      </c>
      <c r="M13" s="15"/>
      <c r="N13" s="15"/>
      <c r="O13" s="15"/>
      <c r="P13" s="15"/>
      <c r="Q13" s="15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757</v>
      </c>
      <c r="D14" s="15" t="s">
        <v>758</v>
      </c>
      <c r="E14" s="15" t="s">
        <v>759</v>
      </c>
      <c r="F14" s="16">
        <v>7</v>
      </c>
      <c r="G14" s="16">
        <v>770</v>
      </c>
      <c r="H14" s="16">
        <v>30</v>
      </c>
      <c r="I14" s="16">
        <f t="shared" si="0"/>
        <v>740</v>
      </c>
      <c r="J14" s="15" t="s">
        <v>732</v>
      </c>
      <c r="K14" s="15" t="s">
        <v>21</v>
      </c>
      <c r="L14" s="15" t="s">
        <v>733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760</v>
      </c>
      <c r="D15" s="15"/>
      <c r="E15" s="15" t="s">
        <v>761</v>
      </c>
      <c r="F15" s="15" t="s">
        <v>77</v>
      </c>
      <c r="G15" s="16">
        <v>0</v>
      </c>
      <c r="H15" s="16">
        <v>30</v>
      </c>
      <c r="I15" s="16">
        <f t="shared" si="0"/>
        <v>-30</v>
      </c>
      <c r="J15" s="15" t="s">
        <v>21</v>
      </c>
      <c r="K15" s="15" t="s">
        <v>21</v>
      </c>
      <c r="L15" s="15" t="s">
        <v>733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 t="s">
        <v>16</v>
      </c>
      <c r="B16" s="15" t="s">
        <v>17</v>
      </c>
      <c r="C16" s="15" t="s">
        <v>762</v>
      </c>
      <c r="D16" s="15"/>
      <c r="E16" s="15" t="s">
        <v>763</v>
      </c>
      <c r="F16" s="15" t="s">
        <v>46</v>
      </c>
      <c r="G16" s="16">
        <v>12110</v>
      </c>
      <c r="H16" s="16">
        <v>60</v>
      </c>
      <c r="I16" s="16">
        <f t="shared" si="0"/>
        <v>12050</v>
      </c>
      <c r="J16" s="15" t="s">
        <v>21</v>
      </c>
      <c r="K16" s="15" t="s">
        <v>21</v>
      </c>
      <c r="L16" s="15" t="s">
        <v>733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764</v>
      </c>
      <c r="D17" s="15" t="s">
        <v>765</v>
      </c>
      <c r="E17" s="15" t="s">
        <v>766</v>
      </c>
      <c r="F17" s="15" t="s">
        <v>95</v>
      </c>
      <c r="G17" s="16">
        <v>795</v>
      </c>
      <c r="H17" s="16">
        <v>25</v>
      </c>
      <c r="I17" s="16">
        <f t="shared" si="0"/>
        <v>770</v>
      </c>
      <c r="J17" s="15" t="s">
        <v>21</v>
      </c>
      <c r="K17" s="15" t="s">
        <v>21</v>
      </c>
      <c r="L17" s="15" t="s">
        <v>733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767</v>
      </c>
      <c r="D18" s="15" t="s">
        <v>768</v>
      </c>
      <c r="E18" s="15" t="s">
        <v>769</v>
      </c>
      <c r="F18" s="15" t="s">
        <v>77</v>
      </c>
      <c r="G18" s="16">
        <v>1145</v>
      </c>
      <c r="H18" s="16">
        <v>25</v>
      </c>
      <c r="I18" s="16">
        <f t="shared" si="0"/>
        <v>1120</v>
      </c>
      <c r="J18" s="15" t="s">
        <v>21</v>
      </c>
      <c r="K18" s="15" t="s">
        <v>21</v>
      </c>
      <c r="L18" s="15" t="s">
        <v>733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770</v>
      </c>
      <c r="D19" s="15" t="s">
        <v>771</v>
      </c>
      <c r="E19" s="15" t="s">
        <v>772</v>
      </c>
      <c r="F19" s="15" t="s">
        <v>85</v>
      </c>
      <c r="G19" s="16">
        <v>3640</v>
      </c>
      <c r="H19" s="16">
        <v>30</v>
      </c>
      <c r="I19" s="16">
        <f t="shared" si="0"/>
        <v>3610</v>
      </c>
      <c r="J19" s="15" t="s">
        <v>21</v>
      </c>
      <c r="K19" s="15" t="s">
        <v>21</v>
      </c>
      <c r="L19" s="15" t="s">
        <v>733</v>
      </c>
      <c r="M19" s="20" t="s">
        <v>167</v>
      </c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773</v>
      </c>
      <c r="D20" s="15" t="s">
        <v>774</v>
      </c>
      <c r="E20" s="15" t="s">
        <v>775</v>
      </c>
      <c r="F20" s="16">
        <v>2</v>
      </c>
      <c r="G20" s="16">
        <v>690</v>
      </c>
      <c r="H20" s="16">
        <v>30</v>
      </c>
      <c r="I20" s="16">
        <f t="shared" si="0"/>
        <v>660</v>
      </c>
      <c r="J20" s="15" t="s">
        <v>21</v>
      </c>
      <c r="K20" s="15" t="s">
        <v>21</v>
      </c>
      <c r="L20" s="15" t="s">
        <v>733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776</v>
      </c>
      <c r="D21" s="15" t="s">
        <v>777</v>
      </c>
      <c r="E21" s="15" t="s">
        <v>778</v>
      </c>
      <c r="F21" s="15" t="s">
        <v>95</v>
      </c>
      <c r="G21" s="16">
        <v>2310</v>
      </c>
      <c r="H21" s="16">
        <v>30</v>
      </c>
      <c r="I21" s="16">
        <f t="shared" si="0"/>
        <v>2280</v>
      </c>
      <c r="J21" s="15" t="s">
        <v>21</v>
      </c>
      <c r="K21" s="15" t="s">
        <v>21</v>
      </c>
      <c r="L21" s="15" t="s">
        <v>733</v>
      </c>
      <c r="M21" s="20" t="s">
        <v>167</v>
      </c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248</v>
      </c>
      <c r="D22" s="15" t="s">
        <v>779</v>
      </c>
      <c r="E22" s="15" t="s">
        <v>780</v>
      </c>
      <c r="F22" s="15" t="s">
        <v>77</v>
      </c>
      <c r="G22" s="16">
        <v>395</v>
      </c>
      <c r="H22" s="16">
        <v>25</v>
      </c>
      <c r="I22" s="16">
        <f t="shared" si="0"/>
        <v>370</v>
      </c>
      <c r="J22" s="15" t="s">
        <v>21</v>
      </c>
      <c r="K22" s="15" t="s">
        <v>21</v>
      </c>
      <c r="L22" s="15" t="s">
        <v>733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17</v>
      </c>
      <c r="C23" s="17" t="s">
        <v>692</v>
      </c>
      <c r="D23" s="17" t="s">
        <v>781</v>
      </c>
      <c r="E23" s="17" t="s">
        <v>694</v>
      </c>
      <c r="F23" s="17" t="s">
        <v>85</v>
      </c>
      <c r="G23" s="18">
        <v>200</v>
      </c>
      <c r="H23" s="18">
        <v>20</v>
      </c>
      <c r="I23" s="18">
        <f t="shared" si="0"/>
        <v>180</v>
      </c>
      <c r="J23" s="17" t="s">
        <v>21</v>
      </c>
      <c r="K23" s="17" t="s">
        <v>21</v>
      </c>
      <c r="L23" s="17" t="s">
        <v>733</v>
      </c>
      <c r="M23" s="17" t="s">
        <v>126</v>
      </c>
      <c r="N23" s="17"/>
      <c r="O23" s="17"/>
      <c r="P23" s="17"/>
      <c r="Q23" s="17">
        <v>1</v>
      </c>
    </row>
    <row r="24" spans="1:18" s="19" customFormat="1" x14ac:dyDescent="0.25">
      <c r="A24" s="17"/>
      <c r="B24" s="17" t="s">
        <v>17</v>
      </c>
      <c r="C24" s="17" t="s">
        <v>102</v>
      </c>
      <c r="D24" s="17" t="s">
        <v>782</v>
      </c>
      <c r="E24" s="17" t="s">
        <v>104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21</v>
      </c>
      <c r="K24" s="17" t="s">
        <v>21</v>
      </c>
      <c r="L24" s="17" t="s">
        <v>733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 t="s">
        <v>16</v>
      </c>
      <c r="B25" s="15" t="s">
        <v>17</v>
      </c>
      <c r="C25" s="15" t="s">
        <v>783</v>
      </c>
      <c r="D25" s="15"/>
      <c r="E25" s="15" t="s">
        <v>784</v>
      </c>
      <c r="F25" s="16">
        <v>3</v>
      </c>
      <c r="G25" s="16">
        <v>2070</v>
      </c>
      <c r="H25" s="16">
        <v>30</v>
      </c>
      <c r="I25" s="16">
        <f t="shared" si="0"/>
        <v>2040</v>
      </c>
      <c r="J25" s="15" t="s">
        <v>135</v>
      </c>
      <c r="K25" s="15" t="s">
        <v>21</v>
      </c>
      <c r="L25" s="15" t="s">
        <v>733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785</v>
      </c>
      <c r="D26" s="15"/>
      <c r="E26" s="15" t="s">
        <v>786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733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x14ac:dyDescent="0.25">
      <c r="A27" s="15"/>
      <c r="B27" s="15" t="s">
        <v>17</v>
      </c>
      <c r="C27" s="15" t="s">
        <v>787</v>
      </c>
      <c r="D27" s="15" t="s">
        <v>788</v>
      </c>
      <c r="E27" s="15" t="s">
        <v>789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733</v>
      </c>
      <c r="M27" s="20" t="s">
        <v>790</v>
      </c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791</v>
      </c>
      <c r="D28" s="15" t="s">
        <v>792</v>
      </c>
      <c r="E28" s="15" t="s">
        <v>793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733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s="19" customFormat="1" x14ac:dyDescent="0.25">
      <c r="A29" s="17"/>
      <c r="B29" s="17" t="s">
        <v>17</v>
      </c>
      <c r="C29" s="17" t="s">
        <v>709</v>
      </c>
      <c r="D29" s="17" t="s">
        <v>794</v>
      </c>
      <c r="E29" s="17" t="s">
        <v>795</v>
      </c>
      <c r="F29" s="18">
        <v>10</v>
      </c>
      <c r="G29" s="18">
        <v>25</v>
      </c>
      <c r="H29" s="18">
        <v>25</v>
      </c>
      <c r="I29" s="18">
        <f t="shared" si="0"/>
        <v>0</v>
      </c>
      <c r="J29" s="17" t="s">
        <v>135</v>
      </c>
      <c r="K29" s="17" t="s">
        <v>21</v>
      </c>
      <c r="L29" s="17" t="s">
        <v>733</v>
      </c>
      <c r="M29" s="17" t="s">
        <v>126</v>
      </c>
      <c r="N29" s="17"/>
      <c r="O29" s="17"/>
      <c r="P29" s="17"/>
      <c r="Q29" s="17">
        <v>1</v>
      </c>
    </row>
    <row r="30" spans="1:18" x14ac:dyDescent="0.25">
      <c r="A30" s="15"/>
      <c r="B30" s="15" t="s">
        <v>17</v>
      </c>
      <c r="C30" s="15" t="s">
        <v>796</v>
      </c>
      <c r="D30" s="15" t="s">
        <v>797</v>
      </c>
      <c r="E30" s="15" t="s">
        <v>798</v>
      </c>
      <c r="F30" s="16">
        <v>1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733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799</v>
      </c>
      <c r="D31" s="15" t="s">
        <v>800</v>
      </c>
      <c r="E31" s="15" t="s">
        <v>801</v>
      </c>
      <c r="F31" s="16">
        <v>10</v>
      </c>
      <c r="G31" s="16">
        <v>815</v>
      </c>
      <c r="H31" s="16">
        <v>25</v>
      </c>
      <c r="I31" s="16">
        <f t="shared" si="0"/>
        <v>790</v>
      </c>
      <c r="J31" s="15" t="s">
        <v>135</v>
      </c>
      <c r="K31" s="15" t="s">
        <v>21</v>
      </c>
      <c r="L31" s="15" t="s">
        <v>733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802</v>
      </c>
      <c r="D32" s="15" t="s">
        <v>803</v>
      </c>
      <c r="E32" s="15" t="s">
        <v>804</v>
      </c>
      <c r="F32" s="16">
        <v>5</v>
      </c>
      <c r="G32" s="16">
        <v>775</v>
      </c>
      <c r="H32" s="16">
        <v>25</v>
      </c>
      <c r="I32" s="16">
        <f t="shared" si="0"/>
        <v>750</v>
      </c>
      <c r="J32" s="15" t="s">
        <v>135</v>
      </c>
      <c r="K32" s="15" t="s">
        <v>21</v>
      </c>
      <c r="L32" s="15" t="s">
        <v>733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805</v>
      </c>
      <c r="D33" s="15" t="s">
        <v>806</v>
      </c>
      <c r="E33" s="15" t="s">
        <v>807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733</v>
      </c>
      <c r="M33" s="15"/>
      <c r="N33" s="15"/>
      <c r="O33" s="15"/>
      <c r="P33" s="15"/>
      <c r="Q33" s="15">
        <v>1</v>
      </c>
      <c r="R33" s="10">
        <f>H33</f>
        <v>25</v>
      </c>
    </row>
    <row r="35" spans="1:18" x14ac:dyDescent="0.25">
      <c r="D35" s="1">
        <f>COUNTA(D3:D33)</f>
        <v>23</v>
      </c>
      <c r="G35" s="1">
        <f t="shared" ref="G35:Q35" si="1">SUBTOTAL(9,G3:G33)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1" t="s">
        <v>17</v>
      </c>
      <c r="C37" s="34" t="s">
        <v>191</v>
      </c>
      <c r="D37" s="34"/>
      <c r="E37" s="4" t="s">
        <v>192</v>
      </c>
      <c r="H37">
        <f>-5*25</f>
        <v>-125</v>
      </c>
      <c r="K37" s="11" t="s">
        <v>732</v>
      </c>
      <c r="L37" s="11" t="s">
        <v>193</v>
      </c>
      <c r="M37" s="11" t="s">
        <v>192</v>
      </c>
      <c r="O37" s="4" t="s">
        <v>194</v>
      </c>
    </row>
    <row r="38" spans="1:18" x14ac:dyDescent="0.25">
      <c r="A38" t="s">
        <v>733</v>
      </c>
      <c r="B38" s="3" t="s">
        <v>195</v>
      </c>
      <c r="C38" s="35">
        <f>SUMIFS(I$3:I$33,B$3:B$33,A$37,L$3:L$33,A$38)</f>
        <v>27540</v>
      </c>
      <c r="D38" s="35"/>
      <c r="E38" s="3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2" t="s">
        <v>199</v>
      </c>
      <c r="C39" s="36">
        <v>0</v>
      </c>
      <c r="D39" s="36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2" t="s">
        <v>201</v>
      </c>
      <c r="C40" s="36">
        <f>-SUMIFS(I$3:I$33,B$3:B$33,A$37,P$3:P$33,"xx",N$3:N$33,"x")</f>
        <v>0</v>
      </c>
      <c r="D40" s="36"/>
      <c r="E40" s="2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4" t="s">
        <v>203</v>
      </c>
      <c r="C41" s="34">
        <f>SUBTOTAL(9,C38:C40)</f>
        <v>27540</v>
      </c>
      <c r="D41" s="34"/>
      <c r="E41">
        <f>E38</f>
        <v>31</v>
      </c>
      <c r="K41" s="2" t="s">
        <v>204</v>
      </c>
      <c r="O41" t="s">
        <v>207</v>
      </c>
      <c r="P41">
        <f>-C45</f>
        <v>-27540</v>
      </c>
    </row>
    <row r="42" spans="1:18" x14ac:dyDescent="0.25">
      <c r="B42" s="2" t="s">
        <v>205</v>
      </c>
      <c r="C42" s="37"/>
      <c r="D42" s="37"/>
      <c r="K42" s="2" t="s">
        <v>206</v>
      </c>
      <c r="O42" s="4" t="s">
        <v>209</v>
      </c>
      <c r="P42" s="4">
        <f>SUBTOTAL(9,P38:P41)</f>
        <v>136</v>
      </c>
    </row>
    <row r="43" spans="1:18" x14ac:dyDescent="0.25">
      <c r="B43" s="12" t="s">
        <v>208</v>
      </c>
      <c r="C43" s="37"/>
      <c r="D43" s="37"/>
      <c r="L43" s="13">
        <f>SUBTOTAL(9,L38:L42)</f>
        <v>3183</v>
      </c>
      <c r="M43" s="13">
        <f>M38</f>
        <v>12</v>
      </c>
    </row>
    <row r="45" spans="1:18" x14ac:dyDescent="0.25">
      <c r="B45" s="1" t="s">
        <v>210</v>
      </c>
      <c r="C45" s="38">
        <f>C41+C42+C43</f>
        <v>27540</v>
      </c>
      <c r="D45" s="38"/>
      <c r="E45" s="1" t="s">
        <v>211</v>
      </c>
      <c r="K45" s="11" t="s">
        <v>21</v>
      </c>
      <c r="L45" s="11" t="s">
        <v>193</v>
      </c>
      <c r="M45" s="11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2" t="s">
        <v>204</v>
      </c>
    </row>
    <row r="50" spans="11:13" x14ac:dyDescent="0.25">
      <c r="K50" s="2" t="s">
        <v>206</v>
      </c>
    </row>
    <row r="51" spans="11:13" x14ac:dyDescent="0.25">
      <c r="L51" s="13">
        <f>SUBTOTAL(9,L46:L50)</f>
        <v>20998</v>
      </c>
      <c r="M51" s="13">
        <f>M46</f>
        <v>10</v>
      </c>
    </row>
    <row r="53" spans="11:13" x14ac:dyDescent="0.25">
      <c r="K53" s="11" t="s">
        <v>135</v>
      </c>
      <c r="L53" s="11" t="s">
        <v>193</v>
      </c>
      <c r="M53" s="11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2" t="s">
        <v>204</v>
      </c>
    </row>
    <row r="58" spans="11:13" x14ac:dyDescent="0.25">
      <c r="K58" s="2" t="s">
        <v>206</v>
      </c>
    </row>
    <row r="59" spans="11:13" x14ac:dyDescent="0.25">
      <c r="L59" s="13">
        <f>SUBTOTAL(9,L54:L58)</f>
        <v>3495</v>
      </c>
      <c r="M59" s="13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40" workbookViewId="0">
      <selection activeCell="I73" sqref="I73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809</v>
      </c>
      <c r="D3" s="15" t="s">
        <v>810</v>
      </c>
      <c r="E3" s="15" t="s">
        <v>811</v>
      </c>
      <c r="F3" s="16">
        <v>12</v>
      </c>
      <c r="G3" s="16">
        <v>0</v>
      </c>
      <c r="H3" s="16">
        <v>30</v>
      </c>
      <c r="I3" s="16">
        <f t="shared" ref="I3:I34" si="0">G3-H3</f>
        <v>-30</v>
      </c>
      <c r="J3" s="15" t="s">
        <v>812</v>
      </c>
      <c r="K3" s="15" t="s">
        <v>21</v>
      </c>
      <c r="L3" s="15" t="s">
        <v>813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814</v>
      </c>
      <c r="D4" s="15" t="s">
        <v>815</v>
      </c>
      <c r="E4" s="15" t="s">
        <v>816</v>
      </c>
      <c r="F4" s="16">
        <v>7</v>
      </c>
      <c r="G4" s="16">
        <v>1800</v>
      </c>
      <c r="H4" s="16">
        <v>30</v>
      </c>
      <c r="I4" s="16">
        <f t="shared" si="0"/>
        <v>1770</v>
      </c>
      <c r="J4" s="15" t="s">
        <v>812</v>
      </c>
      <c r="K4" s="15" t="s">
        <v>21</v>
      </c>
      <c r="L4" s="15" t="s">
        <v>813</v>
      </c>
      <c r="M4" s="15"/>
      <c r="N4" s="15"/>
      <c r="O4" s="15"/>
      <c r="P4" s="15"/>
      <c r="Q4" s="15">
        <v>1</v>
      </c>
    </row>
    <row r="5" spans="1:17" s="19" customFormat="1" x14ac:dyDescent="0.25">
      <c r="A5" s="17"/>
      <c r="B5" s="17" t="s">
        <v>17</v>
      </c>
      <c r="C5" s="17" t="s">
        <v>463</v>
      </c>
      <c r="D5" s="17" t="s">
        <v>817</v>
      </c>
      <c r="E5" s="17" t="s">
        <v>818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812</v>
      </c>
      <c r="K5" s="17" t="s">
        <v>21</v>
      </c>
      <c r="L5" s="17" t="s">
        <v>813</v>
      </c>
      <c r="M5" s="17" t="s">
        <v>126</v>
      </c>
      <c r="N5" s="17"/>
      <c r="O5" s="17"/>
      <c r="P5" s="17"/>
      <c r="Q5" s="17">
        <v>1</v>
      </c>
    </row>
    <row r="6" spans="1:17" x14ac:dyDescent="0.25">
      <c r="A6" s="15"/>
      <c r="B6" s="15" t="s">
        <v>17</v>
      </c>
      <c r="C6" s="15" t="s">
        <v>819</v>
      </c>
      <c r="D6" s="15" t="s">
        <v>820</v>
      </c>
      <c r="E6" s="15" t="s">
        <v>821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812</v>
      </c>
      <c r="K6" s="15" t="s">
        <v>21</v>
      </c>
      <c r="L6" s="15" t="s">
        <v>813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822</v>
      </c>
      <c r="D7" s="15" t="s">
        <v>823</v>
      </c>
      <c r="E7" s="15" t="s">
        <v>824</v>
      </c>
      <c r="F7" s="15" t="s">
        <v>26</v>
      </c>
      <c r="G7" s="16">
        <v>790</v>
      </c>
      <c r="H7" s="16">
        <v>30</v>
      </c>
      <c r="I7" s="16">
        <f t="shared" si="0"/>
        <v>760</v>
      </c>
      <c r="J7" s="15" t="s">
        <v>812</v>
      </c>
      <c r="K7" s="15" t="s">
        <v>21</v>
      </c>
      <c r="L7" s="15" t="s">
        <v>813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825</v>
      </c>
      <c r="D8" s="15" t="s">
        <v>826</v>
      </c>
      <c r="E8" s="15" t="s">
        <v>827</v>
      </c>
      <c r="F8" s="16">
        <v>7</v>
      </c>
      <c r="G8" s="16">
        <v>780</v>
      </c>
      <c r="H8" s="16">
        <v>30</v>
      </c>
      <c r="I8" s="16">
        <f t="shared" si="0"/>
        <v>750</v>
      </c>
      <c r="J8" s="15" t="s">
        <v>812</v>
      </c>
      <c r="K8" s="15" t="s">
        <v>21</v>
      </c>
      <c r="L8" s="15" t="s">
        <v>813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828</v>
      </c>
      <c r="D9" s="15" t="s">
        <v>829</v>
      </c>
      <c r="E9" s="15" t="s">
        <v>830</v>
      </c>
      <c r="F9" s="15" t="s">
        <v>26</v>
      </c>
      <c r="G9" s="16">
        <v>1090</v>
      </c>
      <c r="H9" s="16">
        <v>30</v>
      </c>
      <c r="I9" s="16">
        <f t="shared" si="0"/>
        <v>1060</v>
      </c>
      <c r="J9" s="15" t="s">
        <v>812</v>
      </c>
      <c r="K9" s="15" t="s">
        <v>21</v>
      </c>
      <c r="L9" s="15" t="s">
        <v>813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831</v>
      </c>
      <c r="D10" s="15" t="s">
        <v>832</v>
      </c>
      <c r="E10" s="15" t="s">
        <v>833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812</v>
      </c>
      <c r="K10" s="15" t="s">
        <v>21</v>
      </c>
      <c r="L10" s="15" t="s">
        <v>813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834</v>
      </c>
      <c r="D11" s="15" t="s">
        <v>835</v>
      </c>
      <c r="E11" s="15" t="s">
        <v>836</v>
      </c>
      <c r="F11" s="15" t="s">
        <v>134</v>
      </c>
      <c r="G11" s="16">
        <v>1185</v>
      </c>
      <c r="H11" s="16">
        <v>35</v>
      </c>
      <c r="I11" s="16">
        <f t="shared" si="0"/>
        <v>1150</v>
      </c>
      <c r="J11" s="15" t="s">
        <v>812</v>
      </c>
      <c r="K11" s="15" t="s">
        <v>21</v>
      </c>
      <c r="L11" s="15" t="s">
        <v>813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837</v>
      </c>
      <c r="D12" s="15" t="s">
        <v>838</v>
      </c>
      <c r="E12" s="15" t="s">
        <v>839</v>
      </c>
      <c r="F12" s="15" t="s">
        <v>46</v>
      </c>
      <c r="G12" s="16">
        <v>975</v>
      </c>
      <c r="H12" s="16">
        <v>25</v>
      </c>
      <c r="I12" s="16">
        <f t="shared" si="0"/>
        <v>950</v>
      </c>
      <c r="J12" s="15" t="s">
        <v>812</v>
      </c>
      <c r="K12" s="15" t="s">
        <v>21</v>
      </c>
      <c r="L12" s="15" t="s">
        <v>813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840</v>
      </c>
      <c r="D13" s="15" t="s">
        <v>841</v>
      </c>
      <c r="E13" s="15" t="s">
        <v>842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812</v>
      </c>
      <c r="K13" s="15" t="s">
        <v>21</v>
      </c>
      <c r="L13" s="15" t="s">
        <v>813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843</v>
      </c>
      <c r="D14" s="15" t="s">
        <v>844</v>
      </c>
      <c r="E14" s="15" t="s">
        <v>845</v>
      </c>
      <c r="F14" s="15" t="s">
        <v>139</v>
      </c>
      <c r="G14" s="16">
        <v>905</v>
      </c>
      <c r="H14" s="16">
        <v>35</v>
      </c>
      <c r="I14" s="16">
        <f t="shared" si="0"/>
        <v>870</v>
      </c>
      <c r="J14" s="15" t="s">
        <v>812</v>
      </c>
      <c r="K14" s="15" t="s">
        <v>21</v>
      </c>
      <c r="L14" s="15" t="s">
        <v>813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846</v>
      </c>
      <c r="D15" s="15" t="s">
        <v>847</v>
      </c>
      <c r="E15" s="15" t="s">
        <v>848</v>
      </c>
      <c r="F15" s="15" t="s">
        <v>46</v>
      </c>
      <c r="G15" s="16">
        <v>0</v>
      </c>
      <c r="H15" s="16">
        <v>25</v>
      </c>
      <c r="I15" s="16">
        <f t="shared" si="0"/>
        <v>-25</v>
      </c>
      <c r="J15" s="15" t="s">
        <v>812</v>
      </c>
      <c r="K15" s="15" t="s">
        <v>21</v>
      </c>
      <c r="L15" s="15" t="s">
        <v>813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849</v>
      </c>
      <c r="D16" s="15"/>
      <c r="E16" s="15" t="s">
        <v>850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812</v>
      </c>
      <c r="K16" s="15" t="s">
        <v>21</v>
      </c>
      <c r="L16" s="15" t="s">
        <v>813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851</v>
      </c>
      <c r="D17" s="15" t="s">
        <v>852</v>
      </c>
      <c r="E17" s="15" t="s">
        <v>853</v>
      </c>
      <c r="F17" s="16">
        <v>7</v>
      </c>
      <c r="G17" s="16">
        <v>820</v>
      </c>
      <c r="H17" s="16">
        <v>30</v>
      </c>
      <c r="I17" s="16">
        <f t="shared" si="0"/>
        <v>790</v>
      </c>
      <c r="J17" s="15" t="s">
        <v>812</v>
      </c>
      <c r="K17" s="15" t="s">
        <v>21</v>
      </c>
      <c r="L17" s="15" t="s">
        <v>813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854</v>
      </c>
      <c r="D18" s="15" t="s">
        <v>855</v>
      </c>
      <c r="E18" s="15" t="s">
        <v>856</v>
      </c>
      <c r="F18" s="16">
        <v>7</v>
      </c>
      <c r="G18" s="16">
        <v>780</v>
      </c>
      <c r="H18" s="16">
        <v>30</v>
      </c>
      <c r="I18" s="16">
        <f t="shared" si="0"/>
        <v>750</v>
      </c>
      <c r="J18" s="15" t="s">
        <v>812</v>
      </c>
      <c r="K18" s="15" t="s">
        <v>21</v>
      </c>
      <c r="L18" s="15" t="s">
        <v>813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857</v>
      </c>
      <c r="D19" s="15" t="s">
        <v>858</v>
      </c>
      <c r="E19" s="15" t="s">
        <v>859</v>
      </c>
      <c r="F19" s="16">
        <v>8</v>
      </c>
      <c r="G19" s="16">
        <v>890</v>
      </c>
      <c r="H19" s="16">
        <v>30</v>
      </c>
      <c r="I19" s="16">
        <f t="shared" si="0"/>
        <v>860</v>
      </c>
      <c r="J19" s="15" t="s">
        <v>812</v>
      </c>
      <c r="K19" s="15" t="s">
        <v>21</v>
      </c>
      <c r="L19" s="15" t="s">
        <v>813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860</v>
      </c>
      <c r="D20" s="15" t="s">
        <v>861</v>
      </c>
      <c r="E20" s="15" t="s">
        <v>862</v>
      </c>
      <c r="F20" s="16">
        <v>8</v>
      </c>
      <c r="G20" s="16">
        <v>900</v>
      </c>
      <c r="H20" s="16">
        <v>30</v>
      </c>
      <c r="I20" s="16">
        <f t="shared" si="0"/>
        <v>870</v>
      </c>
      <c r="J20" s="15" t="s">
        <v>812</v>
      </c>
      <c r="K20" s="15" t="s">
        <v>21</v>
      </c>
      <c r="L20" s="15" t="s">
        <v>813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863</v>
      </c>
      <c r="D21" s="15" t="s">
        <v>864</v>
      </c>
      <c r="E21" s="15" t="s">
        <v>865</v>
      </c>
      <c r="F21" s="15" t="s">
        <v>46</v>
      </c>
      <c r="G21" s="16">
        <v>845</v>
      </c>
      <c r="H21" s="16">
        <v>25</v>
      </c>
      <c r="I21" s="16">
        <f t="shared" si="0"/>
        <v>820</v>
      </c>
      <c r="J21" s="15" t="s">
        <v>812</v>
      </c>
      <c r="K21" s="15" t="s">
        <v>21</v>
      </c>
      <c r="L21" s="15" t="s">
        <v>813</v>
      </c>
      <c r="M21" s="15"/>
      <c r="N21" s="15"/>
      <c r="O21" s="15"/>
      <c r="P21" s="15"/>
      <c r="Q21" s="15">
        <v>1</v>
      </c>
    </row>
    <row r="22" spans="1:17" s="19" customFormat="1" x14ac:dyDescent="0.25">
      <c r="A22" s="17"/>
      <c r="B22" s="17" t="s">
        <v>17</v>
      </c>
      <c r="C22" s="17" t="s">
        <v>866</v>
      </c>
      <c r="D22" s="17" t="s">
        <v>867</v>
      </c>
      <c r="E22" s="17" t="s">
        <v>868</v>
      </c>
      <c r="F22" s="18">
        <v>7</v>
      </c>
      <c r="G22" s="18">
        <v>30</v>
      </c>
      <c r="H22" s="18">
        <v>30</v>
      </c>
      <c r="I22" s="18">
        <f t="shared" si="0"/>
        <v>0</v>
      </c>
      <c r="J22" s="17" t="s">
        <v>812</v>
      </c>
      <c r="K22" s="17" t="s">
        <v>21</v>
      </c>
      <c r="L22" s="17" t="s">
        <v>813</v>
      </c>
      <c r="M22" s="17" t="s">
        <v>126</v>
      </c>
      <c r="N22" s="17"/>
      <c r="O22" s="17"/>
      <c r="P22" s="17"/>
      <c r="Q22" s="17">
        <v>1</v>
      </c>
    </row>
    <row r="23" spans="1:17" x14ac:dyDescent="0.25">
      <c r="A23" s="15" t="s">
        <v>16</v>
      </c>
      <c r="B23" s="15" t="s">
        <v>17</v>
      </c>
      <c r="C23" s="15" t="s">
        <v>189</v>
      </c>
      <c r="D23" s="15"/>
      <c r="E23" s="15" t="s">
        <v>869</v>
      </c>
      <c r="F23" s="16">
        <v>5</v>
      </c>
      <c r="G23" s="16">
        <v>30</v>
      </c>
      <c r="H23" s="16">
        <v>30</v>
      </c>
      <c r="I23" s="16">
        <f t="shared" si="0"/>
        <v>0</v>
      </c>
      <c r="J23" s="15" t="s">
        <v>812</v>
      </c>
      <c r="K23" s="15" t="s">
        <v>21</v>
      </c>
      <c r="L23" s="15" t="s">
        <v>813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870</v>
      </c>
      <c r="D24" s="15"/>
      <c r="E24" s="15" t="s">
        <v>632</v>
      </c>
      <c r="F24" s="16">
        <v>6</v>
      </c>
      <c r="G24" s="16">
        <v>0</v>
      </c>
      <c r="H24" s="16">
        <v>30</v>
      </c>
      <c r="I24" s="16">
        <f t="shared" si="0"/>
        <v>-30</v>
      </c>
      <c r="J24" s="15" t="s">
        <v>812</v>
      </c>
      <c r="K24" s="15" t="s">
        <v>21</v>
      </c>
      <c r="L24" s="15" t="s">
        <v>813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871</v>
      </c>
      <c r="D25" s="15" t="s">
        <v>872</v>
      </c>
      <c r="E25" s="15" t="s">
        <v>873</v>
      </c>
      <c r="F25" s="15" t="s">
        <v>77</v>
      </c>
      <c r="G25" s="16">
        <v>975</v>
      </c>
      <c r="H25" s="16">
        <v>25</v>
      </c>
      <c r="I25" s="16">
        <f t="shared" si="0"/>
        <v>950</v>
      </c>
      <c r="J25" s="15" t="s">
        <v>21</v>
      </c>
      <c r="K25" s="15" t="s">
        <v>21</v>
      </c>
      <c r="L25" s="15" t="s">
        <v>813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874</v>
      </c>
      <c r="D26" s="15" t="s">
        <v>875</v>
      </c>
      <c r="E26" s="15" t="s">
        <v>876</v>
      </c>
      <c r="F26" s="16">
        <v>2</v>
      </c>
      <c r="G26" s="16">
        <v>850</v>
      </c>
      <c r="H26" s="16">
        <v>30</v>
      </c>
      <c r="I26" s="16">
        <f t="shared" si="0"/>
        <v>820</v>
      </c>
      <c r="J26" s="15" t="s">
        <v>21</v>
      </c>
      <c r="K26" s="15" t="s">
        <v>21</v>
      </c>
      <c r="L26" s="15" t="s">
        <v>813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877</v>
      </c>
      <c r="D27" s="15" t="s">
        <v>878</v>
      </c>
      <c r="E27" s="15" t="s">
        <v>879</v>
      </c>
      <c r="F27" s="16">
        <v>2</v>
      </c>
      <c r="G27" s="16">
        <v>400</v>
      </c>
      <c r="H27" s="16">
        <v>30</v>
      </c>
      <c r="I27" s="16">
        <f t="shared" si="0"/>
        <v>370</v>
      </c>
      <c r="J27" s="15" t="s">
        <v>21</v>
      </c>
      <c r="K27" s="15" t="s">
        <v>21</v>
      </c>
      <c r="L27" s="15" t="s">
        <v>813</v>
      </c>
      <c r="M27" s="15"/>
      <c r="N27" s="15"/>
      <c r="O27" s="15"/>
      <c r="P27" s="15"/>
      <c r="Q27" s="15">
        <v>1</v>
      </c>
    </row>
    <row r="28" spans="1:17" s="19" customFormat="1" x14ac:dyDescent="0.25">
      <c r="A28" s="17"/>
      <c r="B28" s="17" t="s">
        <v>17</v>
      </c>
      <c r="C28" s="17" t="s">
        <v>689</v>
      </c>
      <c r="D28" s="17" t="s">
        <v>880</v>
      </c>
      <c r="E28" s="17" t="s">
        <v>691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21</v>
      </c>
      <c r="K28" s="17" t="s">
        <v>21</v>
      </c>
      <c r="L28" s="17" t="s">
        <v>813</v>
      </c>
      <c r="M28" s="17" t="s">
        <v>126</v>
      </c>
      <c r="N28" s="17"/>
      <c r="O28" s="17"/>
      <c r="P28" s="17"/>
      <c r="Q28" s="17">
        <v>1</v>
      </c>
    </row>
    <row r="29" spans="1:17" x14ac:dyDescent="0.25">
      <c r="A29" s="15"/>
      <c r="B29" s="15" t="s">
        <v>17</v>
      </c>
      <c r="C29" s="15" t="s">
        <v>881</v>
      </c>
      <c r="D29" s="15" t="s">
        <v>882</v>
      </c>
      <c r="E29" s="15" t="s">
        <v>883</v>
      </c>
      <c r="F29" s="15" t="s">
        <v>85</v>
      </c>
      <c r="G29" s="16">
        <v>840</v>
      </c>
      <c r="H29" s="16">
        <v>20</v>
      </c>
      <c r="I29" s="16">
        <f t="shared" si="0"/>
        <v>820</v>
      </c>
      <c r="J29" s="15" t="s">
        <v>21</v>
      </c>
      <c r="K29" s="15" t="s">
        <v>21</v>
      </c>
      <c r="L29" s="15" t="s">
        <v>813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884</v>
      </c>
      <c r="D30" s="15" t="s">
        <v>885</v>
      </c>
      <c r="E30" s="15" t="s">
        <v>886</v>
      </c>
      <c r="F30" s="16">
        <v>2</v>
      </c>
      <c r="G30" s="16">
        <v>790</v>
      </c>
      <c r="H30" s="16">
        <v>30</v>
      </c>
      <c r="I30" s="16">
        <f t="shared" si="0"/>
        <v>760</v>
      </c>
      <c r="J30" s="15" t="s">
        <v>21</v>
      </c>
      <c r="K30" s="15" t="s">
        <v>21</v>
      </c>
      <c r="L30" s="15" t="s">
        <v>813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887</v>
      </c>
      <c r="D31" s="15" t="s">
        <v>888</v>
      </c>
      <c r="E31" s="15" t="s">
        <v>889</v>
      </c>
      <c r="F31" s="15" t="s">
        <v>85</v>
      </c>
      <c r="G31" s="16">
        <v>970</v>
      </c>
      <c r="H31" s="16">
        <v>20</v>
      </c>
      <c r="I31" s="16">
        <f t="shared" si="0"/>
        <v>950</v>
      </c>
      <c r="J31" s="15" t="s">
        <v>21</v>
      </c>
      <c r="K31" s="15" t="s">
        <v>21</v>
      </c>
      <c r="L31" s="15" t="s">
        <v>813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890</v>
      </c>
      <c r="D32" s="15" t="s">
        <v>891</v>
      </c>
      <c r="E32" s="15" t="s">
        <v>250</v>
      </c>
      <c r="F32" s="15" t="s">
        <v>77</v>
      </c>
      <c r="G32" s="16">
        <v>975</v>
      </c>
      <c r="H32" s="16">
        <v>25</v>
      </c>
      <c r="I32" s="16">
        <f t="shared" si="0"/>
        <v>950</v>
      </c>
      <c r="J32" s="15" t="s">
        <v>21</v>
      </c>
      <c r="K32" s="15" t="s">
        <v>21</v>
      </c>
      <c r="L32" s="15" t="s">
        <v>813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892</v>
      </c>
      <c r="D33" s="15" t="s">
        <v>893</v>
      </c>
      <c r="E33" s="15" t="s">
        <v>894</v>
      </c>
      <c r="F33" s="15" t="s">
        <v>81</v>
      </c>
      <c r="G33" s="16">
        <v>890</v>
      </c>
      <c r="H33" s="16">
        <v>30</v>
      </c>
      <c r="I33" s="16">
        <f t="shared" si="0"/>
        <v>860</v>
      </c>
      <c r="J33" s="15" t="s">
        <v>21</v>
      </c>
      <c r="K33" s="15" t="s">
        <v>21</v>
      </c>
      <c r="L33" s="15" t="s">
        <v>813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895</v>
      </c>
      <c r="D34" s="15" t="s">
        <v>896</v>
      </c>
      <c r="E34" s="15" t="s">
        <v>897</v>
      </c>
      <c r="F34" s="15" t="s">
        <v>85</v>
      </c>
      <c r="G34" s="16">
        <v>1300</v>
      </c>
      <c r="H34" s="16">
        <v>20</v>
      </c>
      <c r="I34" s="16">
        <f t="shared" si="0"/>
        <v>1280</v>
      </c>
      <c r="J34" s="15" t="s">
        <v>21</v>
      </c>
      <c r="K34" s="15" t="s">
        <v>21</v>
      </c>
      <c r="L34" s="15" t="s">
        <v>813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898</v>
      </c>
      <c r="D35" s="15" t="s">
        <v>899</v>
      </c>
      <c r="E35" s="15" t="s">
        <v>900</v>
      </c>
      <c r="F35" s="15" t="s">
        <v>81</v>
      </c>
      <c r="G35" s="16">
        <v>750</v>
      </c>
      <c r="H35" s="16">
        <v>30</v>
      </c>
      <c r="I35" s="16">
        <f t="shared" ref="I35:I62" si="1">G35-H35</f>
        <v>720</v>
      </c>
      <c r="J35" s="15" t="s">
        <v>21</v>
      </c>
      <c r="K35" s="15" t="s">
        <v>21</v>
      </c>
      <c r="L35" s="15" t="s">
        <v>813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773</v>
      </c>
      <c r="D36" s="15" t="s">
        <v>901</v>
      </c>
      <c r="E36" s="15" t="s">
        <v>902</v>
      </c>
      <c r="F36" s="16">
        <v>2</v>
      </c>
      <c r="G36" s="16">
        <v>380</v>
      </c>
      <c r="H36" s="16">
        <v>30</v>
      </c>
      <c r="I36" s="16">
        <f t="shared" si="1"/>
        <v>350</v>
      </c>
      <c r="J36" s="15" t="s">
        <v>21</v>
      </c>
      <c r="K36" s="15" t="s">
        <v>21</v>
      </c>
      <c r="L36" s="15" t="s">
        <v>813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903</v>
      </c>
      <c r="D37" s="15" t="s">
        <v>904</v>
      </c>
      <c r="E37" s="15" t="s">
        <v>905</v>
      </c>
      <c r="F37" s="15" t="s">
        <v>85</v>
      </c>
      <c r="G37" s="16">
        <v>0</v>
      </c>
      <c r="H37" s="16">
        <v>20</v>
      </c>
      <c r="I37" s="16">
        <f t="shared" si="1"/>
        <v>-20</v>
      </c>
      <c r="J37" s="15" t="s">
        <v>21</v>
      </c>
      <c r="K37" s="15" t="s">
        <v>21</v>
      </c>
      <c r="L37" s="15" t="s">
        <v>813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906</v>
      </c>
      <c r="D38" s="15" t="s">
        <v>907</v>
      </c>
      <c r="E38" s="15" t="s">
        <v>908</v>
      </c>
      <c r="F38" s="16">
        <v>2</v>
      </c>
      <c r="G38" s="16">
        <v>0</v>
      </c>
      <c r="H38" s="16">
        <v>30</v>
      </c>
      <c r="I38" s="16">
        <f t="shared" si="1"/>
        <v>-30</v>
      </c>
      <c r="J38" s="15" t="s">
        <v>21</v>
      </c>
      <c r="K38" s="15" t="s">
        <v>21</v>
      </c>
      <c r="L38" s="15" t="s">
        <v>813</v>
      </c>
      <c r="M38" s="15"/>
      <c r="N38" s="15"/>
      <c r="O38" s="15"/>
      <c r="P38" s="15"/>
      <c r="Q38" s="15">
        <v>1</v>
      </c>
    </row>
    <row r="39" spans="1:17" x14ac:dyDescent="0.25">
      <c r="A39" s="15" t="s">
        <v>16</v>
      </c>
      <c r="B39" s="15" t="s">
        <v>17</v>
      </c>
      <c r="C39" s="15" t="s">
        <v>909</v>
      </c>
      <c r="D39" s="15"/>
      <c r="E39" s="15" t="s">
        <v>910</v>
      </c>
      <c r="F39" s="15" t="s">
        <v>85</v>
      </c>
      <c r="G39" s="16">
        <v>455</v>
      </c>
      <c r="H39" s="16">
        <v>25</v>
      </c>
      <c r="I39" s="16">
        <f t="shared" si="1"/>
        <v>430</v>
      </c>
      <c r="J39" s="15" t="s">
        <v>21</v>
      </c>
      <c r="K39" s="15" t="s">
        <v>21</v>
      </c>
      <c r="L39" s="15" t="s">
        <v>813</v>
      </c>
      <c r="M39" s="15"/>
      <c r="N39" s="15"/>
      <c r="O39" s="15"/>
      <c r="P39" s="15"/>
      <c r="Q39" s="15">
        <v>1</v>
      </c>
    </row>
    <row r="40" spans="1:17" x14ac:dyDescent="0.25">
      <c r="A40" s="15" t="s">
        <v>16</v>
      </c>
      <c r="B40" s="15" t="s">
        <v>17</v>
      </c>
      <c r="C40" s="15" t="s">
        <v>911</v>
      </c>
      <c r="D40" s="15"/>
      <c r="E40" s="15" t="s">
        <v>912</v>
      </c>
      <c r="F40" s="16">
        <v>2</v>
      </c>
      <c r="G40" s="16">
        <v>1405</v>
      </c>
      <c r="H40" s="16">
        <v>35</v>
      </c>
      <c r="I40" s="16">
        <f t="shared" si="1"/>
        <v>1370</v>
      </c>
      <c r="J40" s="15" t="s">
        <v>21</v>
      </c>
      <c r="K40" s="15" t="s">
        <v>21</v>
      </c>
      <c r="L40" s="15" t="s">
        <v>813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913</v>
      </c>
      <c r="D41" s="15" t="s">
        <v>914</v>
      </c>
      <c r="E41" s="15" t="s">
        <v>915</v>
      </c>
      <c r="F41" s="16">
        <v>10</v>
      </c>
      <c r="G41" s="16">
        <v>685</v>
      </c>
      <c r="H41" s="16">
        <v>25</v>
      </c>
      <c r="I41" s="16">
        <f t="shared" si="1"/>
        <v>660</v>
      </c>
      <c r="J41" s="15" t="s">
        <v>135</v>
      </c>
      <c r="K41" s="15" t="s">
        <v>21</v>
      </c>
      <c r="L41" s="15" t="s">
        <v>813</v>
      </c>
      <c r="M41" s="15"/>
      <c r="N41" s="15"/>
      <c r="O41" s="15"/>
      <c r="P41" s="15"/>
      <c r="Q41" s="15">
        <v>1</v>
      </c>
    </row>
    <row r="42" spans="1:17" s="19" customFormat="1" x14ac:dyDescent="0.25">
      <c r="A42" s="17"/>
      <c r="B42" s="17" t="s">
        <v>17</v>
      </c>
      <c r="C42" s="17" t="s">
        <v>916</v>
      </c>
      <c r="D42" s="17" t="s">
        <v>917</v>
      </c>
      <c r="E42" s="17" t="s">
        <v>918</v>
      </c>
      <c r="F42" s="17" t="s">
        <v>406</v>
      </c>
      <c r="G42" s="18">
        <v>0</v>
      </c>
      <c r="H42" s="18">
        <v>20</v>
      </c>
      <c r="I42" s="18">
        <f t="shared" si="1"/>
        <v>-20</v>
      </c>
      <c r="J42" s="17" t="s">
        <v>135</v>
      </c>
      <c r="K42" s="17" t="s">
        <v>21</v>
      </c>
      <c r="L42" s="17" t="s">
        <v>813</v>
      </c>
      <c r="M42" s="17" t="s">
        <v>126</v>
      </c>
      <c r="N42" s="17"/>
      <c r="O42" s="17"/>
      <c r="P42" s="17"/>
      <c r="Q42" s="17">
        <v>1</v>
      </c>
    </row>
    <row r="43" spans="1:17" x14ac:dyDescent="0.25">
      <c r="A43" s="15"/>
      <c r="B43" s="15" t="s">
        <v>17</v>
      </c>
      <c r="C43" s="15" t="s">
        <v>919</v>
      </c>
      <c r="D43" s="15" t="s">
        <v>920</v>
      </c>
      <c r="E43" s="15" t="s">
        <v>921</v>
      </c>
      <c r="F43" s="15" t="s">
        <v>406</v>
      </c>
      <c r="G43" s="16">
        <v>1060</v>
      </c>
      <c r="H43" s="16">
        <v>20</v>
      </c>
      <c r="I43" s="16">
        <f t="shared" si="1"/>
        <v>1040</v>
      </c>
      <c r="J43" s="15" t="s">
        <v>135</v>
      </c>
      <c r="K43" s="15" t="s">
        <v>21</v>
      </c>
      <c r="L43" s="15" t="s">
        <v>813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922</v>
      </c>
      <c r="D44" s="15" t="s">
        <v>923</v>
      </c>
      <c r="E44" s="15" t="s">
        <v>924</v>
      </c>
      <c r="F44" s="16">
        <v>5</v>
      </c>
      <c r="G44" s="16">
        <v>0</v>
      </c>
      <c r="H44" s="16">
        <v>25</v>
      </c>
      <c r="I44" s="16">
        <f t="shared" si="1"/>
        <v>-25</v>
      </c>
      <c r="J44" s="15" t="s">
        <v>135</v>
      </c>
      <c r="K44" s="15" t="s">
        <v>21</v>
      </c>
      <c r="L44" s="15" t="s">
        <v>813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925</v>
      </c>
      <c r="D45" s="15" t="s">
        <v>926</v>
      </c>
      <c r="E45" s="15" t="s">
        <v>927</v>
      </c>
      <c r="F45" s="16">
        <v>3</v>
      </c>
      <c r="G45" s="16">
        <v>845</v>
      </c>
      <c r="H45" s="16">
        <v>25</v>
      </c>
      <c r="I45" s="16">
        <f t="shared" si="1"/>
        <v>820</v>
      </c>
      <c r="J45" s="15" t="s">
        <v>135</v>
      </c>
      <c r="K45" s="15" t="s">
        <v>21</v>
      </c>
      <c r="L45" s="15" t="s">
        <v>813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928</v>
      </c>
      <c r="D46" s="15" t="s">
        <v>929</v>
      </c>
      <c r="E46" s="15" t="s">
        <v>930</v>
      </c>
      <c r="F46" s="16">
        <v>1</v>
      </c>
      <c r="G46" s="16">
        <v>915</v>
      </c>
      <c r="H46" s="16">
        <v>25</v>
      </c>
      <c r="I46" s="16">
        <f t="shared" si="1"/>
        <v>890</v>
      </c>
      <c r="J46" s="15" t="s">
        <v>135</v>
      </c>
      <c r="K46" s="15" t="s">
        <v>21</v>
      </c>
      <c r="L46" s="15" t="s">
        <v>813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931</v>
      </c>
      <c r="D47" s="15" t="s">
        <v>932</v>
      </c>
      <c r="E47" s="15" t="s">
        <v>933</v>
      </c>
      <c r="F47" s="16">
        <v>1</v>
      </c>
      <c r="G47" s="16">
        <v>1135</v>
      </c>
      <c r="H47" s="16">
        <v>25</v>
      </c>
      <c r="I47" s="16">
        <f t="shared" si="1"/>
        <v>1110</v>
      </c>
      <c r="J47" s="15" t="s">
        <v>135</v>
      </c>
      <c r="K47" s="15" t="s">
        <v>21</v>
      </c>
      <c r="L47" s="15" t="s">
        <v>813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934</v>
      </c>
      <c r="D48" s="15" t="s">
        <v>935</v>
      </c>
      <c r="E48" s="15" t="s">
        <v>936</v>
      </c>
      <c r="F48" s="16">
        <v>4</v>
      </c>
      <c r="G48" s="16">
        <v>1065</v>
      </c>
      <c r="H48" s="16">
        <v>25</v>
      </c>
      <c r="I48" s="16">
        <f t="shared" si="1"/>
        <v>1040</v>
      </c>
      <c r="J48" s="15" t="s">
        <v>135</v>
      </c>
      <c r="K48" s="15" t="s">
        <v>21</v>
      </c>
      <c r="L48" s="15" t="s">
        <v>813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937</v>
      </c>
      <c r="D49" s="15" t="s">
        <v>938</v>
      </c>
      <c r="E49" s="15" t="s">
        <v>939</v>
      </c>
      <c r="F49" s="16">
        <v>4</v>
      </c>
      <c r="G49" s="16">
        <v>465</v>
      </c>
      <c r="H49" s="16">
        <v>25</v>
      </c>
      <c r="I49" s="16">
        <f t="shared" si="1"/>
        <v>440</v>
      </c>
      <c r="J49" s="15" t="s">
        <v>135</v>
      </c>
      <c r="K49" s="15" t="s">
        <v>21</v>
      </c>
      <c r="L49" s="15" t="s">
        <v>813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940</v>
      </c>
      <c r="D50" s="15" t="s">
        <v>941</v>
      </c>
      <c r="E50" s="15" t="s">
        <v>942</v>
      </c>
      <c r="F50" s="16">
        <v>3</v>
      </c>
      <c r="G50" s="16">
        <v>815</v>
      </c>
      <c r="H50" s="16">
        <v>25</v>
      </c>
      <c r="I50" s="16">
        <f t="shared" si="1"/>
        <v>790</v>
      </c>
      <c r="J50" s="15" t="s">
        <v>135</v>
      </c>
      <c r="K50" s="15" t="s">
        <v>21</v>
      </c>
      <c r="L50" s="15" t="s">
        <v>813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943</v>
      </c>
      <c r="D51" s="15" t="s">
        <v>944</v>
      </c>
      <c r="E51" s="15" t="s">
        <v>945</v>
      </c>
      <c r="F51" s="15" t="s">
        <v>95</v>
      </c>
      <c r="G51" s="16">
        <v>845</v>
      </c>
      <c r="H51" s="16">
        <v>25</v>
      </c>
      <c r="I51" s="16">
        <f t="shared" si="1"/>
        <v>820</v>
      </c>
      <c r="J51" s="15" t="s">
        <v>135</v>
      </c>
      <c r="K51" s="15" t="s">
        <v>21</v>
      </c>
      <c r="L51" s="15" t="s">
        <v>813</v>
      </c>
      <c r="M51" s="15"/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946</v>
      </c>
      <c r="D52" s="15" t="s">
        <v>947</v>
      </c>
      <c r="E52" s="15" t="s">
        <v>948</v>
      </c>
      <c r="F52" s="16">
        <v>10</v>
      </c>
      <c r="G52" s="16">
        <v>3360</v>
      </c>
      <c r="H52" s="16">
        <v>35</v>
      </c>
      <c r="I52" s="16">
        <f t="shared" si="1"/>
        <v>3325</v>
      </c>
      <c r="J52" s="15" t="s">
        <v>135</v>
      </c>
      <c r="K52" s="15" t="s">
        <v>21</v>
      </c>
      <c r="L52" s="15" t="s">
        <v>813</v>
      </c>
      <c r="M52" s="20" t="s">
        <v>167</v>
      </c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585</v>
      </c>
      <c r="D53" s="15" t="s">
        <v>949</v>
      </c>
      <c r="E53" s="15" t="s">
        <v>587</v>
      </c>
      <c r="F53" s="15" t="s">
        <v>95</v>
      </c>
      <c r="G53" s="16">
        <v>895</v>
      </c>
      <c r="H53" s="16">
        <v>25</v>
      </c>
      <c r="I53" s="16">
        <f t="shared" si="1"/>
        <v>870</v>
      </c>
      <c r="J53" s="15" t="s">
        <v>135</v>
      </c>
      <c r="K53" s="15" t="s">
        <v>21</v>
      </c>
      <c r="L53" s="15" t="s">
        <v>813</v>
      </c>
      <c r="M53" s="15"/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950</v>
      </c>
      <c r="D54" s="15" t="s">
        <v>951</v>
      </c>
      <c r="E54" s="15" t="s">
        <v>952</v>
      </c>
      <c r="F54" s="15" t="s">
        <v>95</v>
      </c>
      <c r="G54" s="16">
        <v>795</v>
      </c>
      <c r="H54" s="16">
        <v>25</v>
      </c>
      <c r="I54" s="16">
        <f t="shared" si="1"/>
        <v>770</v>
      </c>
      <c r="J54" s="15" t="s">
        <v>135</v>
      </c>
      <c r="K54" s="15" t="s">
        <v>21</v>
      </c>
      <c r="L54" s="15" t="s">
        <v>813</v>
      </c>
      <c r="M54" s="15"/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953</v>
      </c>
      <c r="D55" s="15" t="s">
        <v>954</v>
      </c>
      <c r="E55" s="15" t="s">
        <v>955</v>
      </c>
      <c r="F55" s="16">
        <v>5</v>
      </c>
      <c r="G55" s="16">
        <v>0</v>
      </c>
      <c r="H55" s="16">
        <v>25</v>
      </c>
      <c r="I55" s="16">
        <f t="shared" si="1"/>
        <v>-25</v>
      </c>
      <c r="J55" s="15" t="s">
        <v>135</v>
      </c>
      <c r="K55" s="15" t="s">
        <v>21</v>
      </c>
      <c r="L55" s="15" t="s">
        <v>813</v>
      </c>
      <c r="M55" s="15"/>
      <c r="N55" s="15"/>
      <c r="O55" s="15"/>
      <c r="P55" s="15"/>
      <c r="Q55" s="15">
        <v>1</v>
      </c>
    </row>
    <row r="56" spans="1:17" x14ac:dyDescent="0.25">
      <c r="A56" s="15"/>
      <c r="B56" s="15" t="s">
        <v>17</v>
      </c>
      <c r="C56" s="15" t="s">
        <v>956</v>
      </c>
      <c r="D56" s="15" t="s">
        <v>957</v>
      </c>
      <c r="E56" s="15" t="s">
        <v>958</v>
      </c>
      <c r="F56" s="16">
        <v>1</v>
      </c>
      <c r="G56" s="16">
        <v>865</v>
      </c>
      <c r="H56" s="16">
        <v>25</v>
      </c>
      <c r="I56" s="16">
        <f t="shared" si="1"/>
        <v>840</v>
      </c>
      <c r="J56" s="15" t="s">
        <v>135</v>
      </c>
      <c r="K56" s="15" t="s">
        <v>21</v>
      </c>
      <c r="L56" s="15" t="s">
        <v>813</v>
      </c>
      <c r="M56" s="15"/>
      <c r="N56" s="15"/>
      <c r="O56" s="15"/>
      <c r="P56" s="15"/>
      <c r="Q56" s="15">
        <v>1</v>
      </c>
    </row>
    <row r="57" spans="1:17" x14ac:dyDescent="0.25">
      <c r="A57" s="15"/>
      <c r="B57" s="15" t="s">
        <v>17</v>
      </c>
      <c r="C57" s="15" t="s">
        <v>959</v>
      </c>
      <c r="D57" s="15" t="s">
        <v>960</v>
      </c>
      <c r="E57" s="15" t="s">
        <v>961</v>
      </c>
      <c r="F57" s="15" t="s">
        <v>95</v>
      </c>
      <c r="G57" s="16">
        <v>915</v>
      </c>
      <c r="H57" s="16">
        <v>25</v>
      </c>
      <c r="I57" s="16">
        <f t="shared" si="1"/>
        <v>890</v>
      </c>
      <c r="J57" s="15" t="s">
        <v>135</v>
      </c>
      <c r="K57" s="15" t="s">
        <v>21</v>
      </c>
      <c r="L57" s="15" t="s">
        <v>813</v>
      </c>
      <c r="M57" s="15"/>
      <c r="N57" s="15"/>
      <c r="O57" s="15"/>
      <c r="P57" s="15"/>
      <c r="Q57" s="15">
        <v>1</v>
      </c>
    </row>
    <row r="58" spans="1:17" x14ac:dyDescent="0.25">
      <c r="A58" s="15"/>
      <c r="B58" s="15" t="s">
        <v>17</v>
      </c>
      <c r="C58" s="15" t="s">
        <v>962</v>
      </c>
      <c r="D58" s="15" t="s">
        <v>963</v>
      </c>
      <c r="E58" s="15" t="s">
        <v>964</v>
      </c>
      <c r="F58" s="16">
        <v>4</v>
      </c>
      <c r="G58" s="16">
        <v>715</v>
      </c>
      <c r="H58" s="16">
        <v>25</v>
      </c>
      <c r="I58" s="16">
        <f t="shared" si="1"/>
        <v>690</v>
      </c>
      <c r="J58" s="15" t="s">
        <v>135</v>
      </c>
      <c r="K58" s="15" t="s">
        <v>21</v>
      </c>
      <c r="L58" s="15" t="s">
        <v>813</v>
      </c>
      <c r="M58" s="15"/>
      <c r="N58" s="15"/>
      <c r="O58" s="15"/>
      <c r="P58" s="15"/>
      <c r="Q58" s="15">
        <v>1</v>
      </c>
    </row>
    <row r="59" spans="1:17" s="2" customFormat="1" x14ac:dyDescent="0.25">
      <c r="A59" s="21"/>
      <c r="B59" s="21" t="s">
        <v>17</v>
      </c>
      <c r="C59" s="21" t="s">
        <v>337</v>
      </c>
      <c r="D59" s="21" t="s">
        <v>338</v>
      </c>
      <c r="E59" s="21" t="s">
        <v>339</v>
      </c>
      <c r="F59" s="22">
        <v>8</v>
      </c>
      <c r="G59" s="22">
        <v>690</v>
      </c>
      <c r="H59" s="22">
        <v>30</v>
      </c>
      <c r="I59" s="22">
        <f t="shared" si="1"/>
        <v>660</v>
      </c>
      <c r="J59" s="21" t="s">
        <v>271</v>
      </c>
      <c r="K59" s="21" t="s">
        <v>21</v>
      </c>
      <c r="L59" s="21" t="s">
        <v>293</v>
      </c>
      <c r="M59" s="21" t="s">
        <v>204</v>
      </c>
      <c r="N59" s="21" t="s">
        <v>272</v>
      </c>
      <c r="O59" s="21" t="s">
        <v>272</v>
      </c>
      <c r="P59" s="21" t="s">
        <v>273</v>
      </c>
      <c r="Q59" s="22">
        <v>1</v>
      </c>
    </row>
    <row r="60" spans="1:17" s="2" customFormat="1" x14ac:dyDescent="0.25">
      <c r="A60" s="21"/>
      <c r="B60" s="21" t="s">
        <v>17</v>
      </c>
      <c r="C60" s="21" t="s">
        <v>47</v>
      </c>
      <c r="D60" s="21" t="s">
        <v>48</v>
      </c>
      <c r="E60" s="21" t="s">
        <v>49</v>
      </c>
      <c r="F60" s="21" t="s">
        <v>26</v>
      </c>
      <c r="G60" s="22">
        <v>720</v>
      </c>
      <c r="H60" s="22">
        <v>30</v>
      </c>
      <c r="I60" s="22">
        <f t="shared" si="1"/>
        <v>690</v>
      </c>
      <c r="J60" s="21" t="s">
        <v>271</v>
      </c>
      <c r="K60" s="21" t="s">
        <v>21</v>
      </c>
      <c r="L60" s="21" t="s">
        <v>22</v>
      </c>
      <c r="M60" s="21" t="s">
        <v>204</v>
      </c>
      <c r="N60" s="21" t="s">
        <v>272</v>
      </c>
      <c r="O60" s="21" t="s">
        <v>272</v>
      </c>
      <c r="P60" s="21" t="s">
        <v>273</v>
      </c>
      <c r="Q60" s="22">
        <v>1</v>
      </c>
    </row>
    <row r="61" spans="1:17" s="2" customFormat="1" x14ac:dyDescent="0.25">
      <c r="A61" s="21"/>
      <c r="B61" s="21" t="s">
        <v>17</v>
      </c>
      <c r="C61" s="21" t="s">
        <v>965</v>
      </c>
      <c r="D61" s="21" t="s">
        <v>966</v>
      </c>
      <c r="E61" s="21" t="s">
        <v>967</v>
      </c>
      <c r="F61" s="22">
        <v>7</v>
      </c>
      <c r="G61" s="22">
        <v>690</v>
      </c>
      <c r="H61" s="22">
        <v>30</v>
      </c>
      <c r="I61" s="22">
        <f t="shared" si="1"/>
        <v>660</v>
      </c>
      <c r="J61" s="21" t="s">
        <v>271</v>
      </c>
      <c r="K61" s="21" t="s">
        <v>21</v>
      </c>
      <c r="L61" s="21" t="s">
        <v>285</v>
      </c>
      <c r="M61" s="21" t="s">
        <v>204</v>
      </c>
      <c r="N61" s="21" t="s">
        <v>272</v>
      </c>
      <c r="O61" s="21" t="s">
        <v>272</v>
      </c>
      <c r="P61" s="21" t="s">
        <v>273</v>
      </c>
      <c r="Q61" s="22">
        <v>1</v>
      </c>
    </row>
    <row r="62" spans="1:17" s="2" customFormat="1" x14ac:dyDescent="0.25">
      <c r="A62" s="21"/>
      <c r="B62" s="21" t="s">
        <v>17</v>
      </c>
      <c r="C62" s="21" t="s">
        <v>968</v>
      </c>
      <c r="D62" s="21" t="s">
        <v>969</v>
      </c>
      <c r="E62" s="21" t="s">
        <v>970</v>
      </c>
      <c r="F62" s="22">
        <v>7</v>
      </c>
      <c r="G62" s="22">
        <v>1380</v>
      </c>
      <c r="H62" s="22">
        <v>30</v>
      </c>
      <c r="I62" s="22">
        <f t="shared" si="1"/>
        <v>1350</v>
      </c>
      <c r="J62" s="21" t="s">
        <v>271</v>
      </c>
      <c r="K62" s="21" t="s">
        <v>21</v>
      </c>
      <c r="L62" s="21" t="s">
        <v>971</v>
      </c>
      <c r="M62" s="21" t="s">
        <v>204</v>
      </c>
      <c r="N62" s="21" t="s">
        <v>272</v>
      </c>
      <c r="O62" s="21" t="s">
        <v>272</v>
      </c>
      <c r="P62" s="21" t="s">
        <v>273</v>
      </c>
      <c r="Q62" s="22">
        <v>1</v>
      </c>
    </row>
    <row r="64" spans="1:17" x14ac:dyDescent="0.25">
      <c r="D64" s="1">
        <f>COUNTA(D3:D62)</f>
        <v>55</v>
      </c>
      <c r="G64" s="1">
        <f t="shared" ref="G64:Q64" si="2">SUBTOTAL(9,G3:G62)</f>
        <v>43360</v>
      </c>
      <c r="H64" s="1">
        <f t="shared" si="2"/>
        <v>1660</v>
      </c>
      <c r="I64" s="1">
        <f t="shared" si="2"/>
        <v>41700</v>
      </c>
      <c r="J64" s="1">
        <f t="shared" si="2"/>
        <v>0</v>
      </c>
      <c r="K64" s="1">
        <f t="shared" si="2"/>
        <v>0</v>
      </c>
      <c r="L64" s="1">
        <f t="shared" si="2"/>
        <v>0</v>
      </c>
      <c r="M64" s="1">
        <f t="shared" si="2"/>
        <v>0</v>
      </c>
      <c r="N64" s="1">
        <f t="shared" si="2"/>
        <v>0</v>
      </c>
      <c r="O64" s="1">
        <f t="shared" si="2"/>
        <v>0</v>
      </c>
      <c r="P64" s="1">
        <f t="shared" si="2"/>
        <v>0</v>
      </c>
      <c r="Q64" s="1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1" t="s">
        <v>17</v>
      </c>
      <c r="C66" s="34" t="s">
        <v>191</v>
      </c>
      <c r="D66" s="34"/>
      <c r="E66" s="4" t="s">
        <v>192</v>
      </c>
      <c r="H66">
        <f>-5*25</f>
        <v>-125</v>
      </c>
      <c r="I66">
        <f>3*17</f>
        <v>51</v>
      </c>
      <c r="K66" s="11" t="s">
        <v>135</v>
      </c>
      <c r="L66" s="11" t="s">
        <v>193</v>
      </c>
      <c r="M66" s="11" t="s">
        <v>192</v>
      </c>
      <c r="O66" s="4" t="s">
        <v>194</v>
      </c>
    </row>
    <row r="67" spans="1:16" x14ac:dyDescent="0.25">
      <c r="A67" t="s">
        <v>813</v>
      </c>
      <c r="B67" s="3" t="s">
        <v>195</v>
      </c>
      <c r="C67" s="35">
        <f>SUMIFS(I$3:I$62,B$3:B$62,A$66,L$3:L$62,A$67)</f>
        <v>38340</v>
      </c>
      <c r="D67" s="35"/>
      <c r="E67" s="3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2" t="s">
        <v>199</v>
      </c>
      <c r="C68" s="36">
        <v>0</v>
      </c>
      <c r="D68" s="36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2" t="s">
        <v>201</v>
      </c>
      <c r="C69" s="36">
        <f>-SUMIFS(I$3:I$62,B$3:B$62,A$66,P$3:P$62,"xx",N$3:N$62,"x")</f>
        <v>-3360</v>
      </c>
      <c r="D69" s="36"/>
      <c r="E69" s="2">
        <f>SUMIFS(Q$3:Q$62,B$3:B$62,A$66,P$3:P$62,"xx",N$3:N$62,"x")</f>
        <v>4</v>
      </c>
      <c r="K69" t="s">
        <v>202</v>
      </c>
      <c r="O69" t="s">
        <v>21</v>
      </c>
      <c r="P69">
        <f>L88</f>
        <v>10526</v>
      </c>
    </row>
    <row r="70" spans="1:16" x14ac:dyDescent="0.25">
      <c r="B70" s="4" t="s">
        <v>203</v>
      </c>
      <c r="C70" s="34">
        <f>SUBTOTAL(9,C67:C69)</f>
        <v>34980</v>
      </c>
      <c r="D70" s="34"/>
      <c r="E70">
        <f>E67</f>
        <v>56</v>
      </c>
      <c r="K70" s="2" t="s">
        <v>204</v>
      </c>
      <c r="O70" t="s">
        <v>207</v>
      </c>
      <c r="P70">
        <f>-C74</f>
        <v>-34980</v>
      </c>
    </row>
    <row r="71" spans="1:16" x14ac:dyDescent="0.25">
      <c r="B71" s="2" t="s">
        <v>205</v>
      </c>
      <c r="C71" s="37"/>
      <c r="D71" s="37"/>
      <c r="K71" s="2" t="s">
        <v>206</v>
      </c>
      <c r="O71" s="4" t="s">
        <v>209</v>
      </c>
      <c r="P71" s="4">
        <f>SUBTOTAL(9,P67:P70)</f>
        <v>197</v>
      </c>
    </row>
    <row r="72" spans="1:16" x14ac:dyDescent="0.25">
      <c r="B72" s="12" t="s">
        <v>208</v>
      </c>
      <c r="C72" s="37"/>
      <c r="D72" s="37"/>
      <c r="L72" s="13">
        <f>SUBTOTAL(9,L67:L71)</f>
        <v>15015</v>
      </c>
      <c r="M72" s="13">
        <f>M67</f>
        <v>18</v>
      </c>
    </row>
    <row r="74" spans="1:16" x14ac:dyDescent="0.25">
      <c r="B74" s="1" t="s">
        <v>210</v>
      </c>
      <c r="C74" s="38">
        <f>C70+C71+C72</f>
        <v>34980</v>
      </c>
      <c r="D74" s="38"/>
      <c r="E74" s="1" t="s">
        <v>211</v>
      </c>
      <c r="K74" s="11" t="s">
        <v>812</v>
      </c>
      <c r="L74" s="11" t="s">
        <v>193</v>
      </c>
      <c r="M74" s="11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2" t="s">
        <v>204</v>
      </c>
      <c r="L78" s="23">
        <v>-3436</v>
      </c>
      <c r="M78" s="23" t="s">
        <v>973</v>
      </c>
    </row>
    <row r="79" spans="1:16" x14ac:dyDescent="0.25">
      <c r="K79" s="2" t="s">
        <v>206</v>
      </c>
    </row>
    <row r="80" spans="1:16" x14ac:dyDescent="0.25">
      <c r="L80" s="13">
        <f>SUBTOTAL(9,L75:L79)</f>
        <v>9636</v>
      </c>
      <c r="M80" s="13">
        <f>M75</f>
        <v>22</v>
      </c>
    </row>
    <row r="82" spans="11:13" x14ac:dyDescent="0.25">
      <c r="K82" s="11" t="s">
        <v>21</v>
      </c>
      <c r="L82" s="11" t="s">
        <v>193</v>
      </c>
      <c r="M82" s="11" t="s">
        <v>192</v>
      </c>
    </row>
    <row r="83" spans="11:13" x14ac:dyDescent="0.25">
      <c r="K83" t="s">
        <v>197</v>
      </c>
      <c r="L83">
        <f>SUMIFS(G$3:G$62,J$3:J$62,K$82)</f>
        <v>10980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2" t="s">
        <v>204</v>
      </c>
    </row>
    <row r="87" spans="11:13" x14ac:dyDescent="0.25">
      <c r="K87" s="2" t="s">
        <v>206</v>
      </c>
    </row>
    <row r="88" spans="11:13" x14ac:dyDescent="0.25">
      <c r="L88" s="13">
        <f>SUBTOTAL(9,L83:L87)</f>
        <v>10526</v>
      </c>
      <c r="M88" s="13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abSelected="1" topLeftCell="A13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1032</v>
      </c>
      <c r="D3" s="15" t="s">
        <v>1033</v>
      </c>
      <c r="E3" s="15" t="s">
        <v>1034</v>
      </c>
      <c r="F3" s="16">
        <v>9</v>
      </c>
      <c r="G3" s="16">
        <v>820</v>
      </c>
      <c r="H3" s="16">
        <v>30</v>
      </c>
      <c r="I3" s="16">
        <f t="shared" ref="I3:I28" si="0">G3-H3</f>
        <v>790</v>
      </c>
      <c r="J3" s="15" t="s">
        <v>20</v>
      </c>
      <c r="K3" s="15" t="s">
        <v>21</v>
      </c>
      <c r="L3" s="15" t="s">
        <v>987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988</v>
      </c>
      <c r="D4" s="15" t="s">
        <v>989</v>
      </c>
      <c r="E4" s="15" t="s">
        <v>990</v>
      </c>
      <c r="F4" s="16">
        <v>8</v>
      </c>
      <c r="G4" s="16">
        <v>1020</v>
      </c>
      <c r="H4" s="16">
        <v>30</v>
      </c>
      <c r="I4" s="16">
        <f t="shared" si="0"/>
        <v>990</v>
      </c>
      <c r="J4" s="15" t="s">
        <v>991</v>
      </c>
      <c r="K4" s="15" t="s">
        <v>21</v>
      </c>
      <c r="L4" s="15" t="s">
        <v>987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1004</v>
      </c>
      <c r="D5" s="15" t="s">
        <v>1005</v>
      </c>
      <c r="E5" s="15" t="s">
        <v>1006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991</v>
      </c>
      <c r="K5" s="15" t="s">
        <v>21</v>
      </c>
      <c r="L5" s="15" t="s">
        <v>987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1007</v>
      </c>
      <c r="D6" s="15" t="s">
        <v>1008</v>
      </c>
      <c r="E6" s="15" t="s">
        <v>1009</v>
      </c>
      <c r="F6" s="16">
        <v>7</v>
      </c>
      <c r="G6" s="16">
        <v>400</v>
      </c>
      <c r="H6" s="16">
        <v>30</v>
      </c>
      <c r="I6" s="16">
        <f t="shared" si="0"/>
        <v>370</v>
      </c>
      <c r="J6" s="15" t="s">
        <v>991</v>
      </c>
      <c r="K6" s="15" t="s">
        <v>21</v>
      </c>
      <c r="L6" s="15" t="s">
        <v>987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1018</v>
      </c>
      <c r="D7" s="15" t="s">
        <v>1019</v>
      </c>
      <c r="E7" s="15" t="s">
        <v>1020</v>
      </c>
      <c r="F7" s="15" t="s">
        <v>26</v>
      </c>
      <c r="G7" s="16">
        <v>920</v>
      </c>
      <c r="H7" s="16">
        <v>30</v>
      </c>
      <c r="I7" s="16">
        <f t="shared" si="0"/>
        <v>890</v>
      </c>
      <c r="J7" s="15" t="s">
        <v>991</v>
      </c>
      <c r="K7" s="15" t="s">
        <v>21</v>
      </c>
      <c r="L7" s="15" t="s">
        <v>987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1023</v>
      </c>
      <c r="D8" s="15" t="s">
        <v>1024</v>
      </c>
      <c r="E8" s="15" t="s">
        <v>1025</v>
      </c>
      <c r="F8" s="16">
        <v>7</v>
      </c>
      <c r="G8" s="16">
        <v>920</v>
      </c>
      <c r="H8" s="16">
        <v>30</v>
      </c>
      <c r="I8" s="16">
        <f t="shared" si="0"/>
        <v>890</v>
      </c>
      <c r="J8" s="15" t="s">
        <v>991</v>
      </c>
      <c r="K8" s="15" t="s">
        <v>21</v>
      </c>
      <c r="L8" s="15" t="s">
        <v>987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1026</v>
      </c>
      <c r="D9" s="15" t="s">
        <v>1027</v>
      </c>
      <c r="E9" s="15" t="s">
        <v>1028</v>
      </c>
      <c r="F9" s="16">
        <v>8</v>
      </c>
      <c r="G9" s="16">
        <v>980</v>
      </c>
      <c r="H9" s="16">
        <v>30</v>
      </c>
      <c r="I9" s="16">
        <f t="shared" si="0"/>
        <v>950</v>
      </c>
      <c r="J9" s="15" t="s">
        <v>991</v>
      </c>
      <c r="K9" s="15" t="s">
        <v>21</v>
      </c>
      <c r="L9" s="15" t="s">
        <v>987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549</v>
      </c>
      <c r="D10" s="15" t="s">
        <v>1035</v>
      </c>
      <c r="E10" s="15" t="s">
        <v>1036</v>
      </c>
      <c r="F10" s="16">
        <v>8</v>
      </c>
      <c r="G10" s="16">
        <v>900</v>
      </c>
      <c r="H10" s="16">
        <v>30</v>
      </c>
      <c r="I10" s="16">
        <f t="shared" si="0"/>
        <v>870</v>
      </c>
      <c r="J10" s="15" t="s">
        <v>991</v>
      </c>
      <c r="K10" s="15" t="s">
        <v>21</v>
      </c>
      <c r="L10" s="15" t="s">
        <v>987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1040</v>
      </c>
      <c r="D11" s="15" t="s">
        <v>1041</v>
      </c>
      <c r="E11" s="15" t="s">
        <v>1042</v>
      </c>
      <c r="F11" s="15" t="s">
        <v>26</v>
      </c>
      <c r="G11" s="16">
        <v>670</v>
      </c>
      <c r="H11" s="16">
        <v>30</v>
      </c>
      <c r="I11" s="16">
        <f t="shared" si="0"/>
        <v>640</v>
      </c>
      <c r="J11" s="15" t="s">
        <v>991</v>
      </c>
      <c r="K11" s="15" t="s">
        <v>21</v>
      </c>
      <c r="L11" s="15" t="s">
        <v>987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1046</v>
      </c>
      <c r="D12" s="15" t="s">
        <v>1047</v>
      </c>
      <c r="E12" s="15" t="s">
        <v>1048</v>
      </c>
      <c r="F12" s="15" t="s">
        <v>26</v>
      </c>
      <c r="G12" s="16">
        <v>920</v>
      </c>
      <c r="H12" s="16">
        <v>30</v>
      </c>
      <c r="I12" s="16">
        <f t="shared" si="0"/>
        <v>890</v>
      </c>
      <c r="J12" s="15" t="s">
        <v>991</v>
      </c>
      <c r="K12" s="15" t="s">
        <v>21</v>
      </c>
      <c r="L12" s="15" t="s">
        <v>987</v>
      </c>
      <c r="M12" s="15"/>
      <c r="N12" s="15"/>
      <c r="O12" s="15"/>
      <c r="P12" s="15"/>
      <c r="Q12" s="15">
        <v>1</v>
      </c>
    </row>
    <row r="13" spans="1:18" s="30" customFormat="1" x14ac:dyDescent="0.25">
      <c r="A13" s="28"/>
      <c r="B13" s="28" t="s">
        <v>17</v>
      </c>
      <c r="C13" s="28" t="s">
        <v>959</v>
      </c>
      <c r="D13" s="28" t="s">
        <v>960</v>
      </c>
      <c r="E13" s="28" t="s">
        <v>961</v>
      </c>
      <c r="F13" s="28" t="s">
        <v>95</v>
      </c>
      <c r="G13" s="29">
        <v>915</v>
      </c>
      <c r="H13" s="29">
        <v>25</v>
      </c>
      <c r="I13" s="29">
        <f t="shared" si="0"/>
        <v>890</v>
      </c>
      <c r="J13" s="28" t="s">
        <v>991</v>
      </c>
      <c r="K13" s="28" t="s">
        <v>21</v>
      </c>
      <c r="L13" s="28" t="s">
        <v>813</v>
      </c>
      <c r="M13" s="28" t="s">
        <v>1053</v>
      </c>
      <c r="N13" s="28"/>
      <c r="O13" s="28"/>
      <c r="P13" s="28"/>
      <c r="Q13" s="28">
        <v>1</v>
      </c>
    </row>
    <row r="14" spans="1:18" x14ac:dyDescent="0.25">
      <c r="A14" s="15"/>
      <c r="B14" s="15" t="s">
        <v>17</v>
      </c>
      <c r="C14" s="15" t="s">
        <v>984</v>
      </c>
      <c r="D14" s="15" t="s">
        <v>985</v>
      </c>
      <c r="E14" s="15" t="s">
        <v>986</v>
      </c>
      <c r="F14" s="16">
        <v>2</v>
      </c>
      <c r="G14" s="16">
        <v>1760</v>
      </c>
      <c r="H14" s="16">
        <v>30</v>
      </c>
      <c r="I14" s="16">
        <f t="shared" si="0"/>
        <v>1730</v>
      </c>
      <c r="J14" s="15" t="s">
        <v>21</v>
      </c>
      <c r="K14" s="15" t="s">
        <v>21</v>
      </c>
      <c r="L14" s="15" t="s">
        <v>987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992</v>
      </c>
      <c r="D15" s="15" t="s">
        <v>993</v>
      </c>
      <c r="E15" s="15" t="s">
        <v>994</v>
      </c>
      <c r="F15" s="15" t="s">
        <v>81</v>
      </c>
      <c r="G15" s="16">
        <v>920</v>
      </c>
      <c r="H15" s="16">
        <v>30</v>
      </c>
      <c r="I15" s="16">
        <f t="shared" si="0"/>
        <v>890</v>
      </c>
      <c r="J15" s="15" t="s">
        <v>21</v>
      </c>
      <c r="K15" s="15" t="s">
        <v>21</v>
      </c>
      <c r="L15" s="15" t="s">
        <v>987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998</v>
      </c>
      <c r="D16" s="15" t="s">
        <v>999</v>
      </c>
      <c r="E16" s="15" t="s">
        <v>1000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987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1001</v>
      </c>
      <c r="D17" s="15" t="s">
        <v>1002</v>
      </c>
      <c r="E17" s="15" t="s">
        <v>1003</v>
      </c>
      <c r="F17" s="15" t="s">
        <v>85</v>
      </c>
      <c r="G17" s="16">
        <v>910</v>
      </c>
      <c r="H17" s="16">
        <v>20</v>
      </c>
      <c r="I17" s="16">
        <f t="shared" si="0"/>
        <v>890</v>
      </c>
      <c r="J17" s="15" t="s">
        <v>21</v>
      </c>
      <c r="K17" s="15" t="s">
        <v>21</v>
      </c>
      <c r="L17" s="15" t="s">
        <v>987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1015</v>
      </c>
      <c r="D18" s="15" t="s">
        <v>1016</v>
      </c>
      <c r="E18" s="15" t="s">
        <v>1017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987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1029</v>
      </c>
      <c r="D19" s="15" t="s">
        <v>1030</v>
      </c>
      <c r="E19" s="15" t="s">
        <v>1031</v>
      </c>
      <c r="F19" s="15" t="s">
        <v>95</v>
      </c>
      <c r="G19" s="16">
        <v>865</v>
      </c>
      <c r="H19" s="16">
        <v>25</v>
      </c>
      <c r="I19" s="16">
        <f t="shared" si="0"/>
        <v>840</v>
      </c>
      <c r="J19" s="15" t="s">
        <v>21</v>
      </c>
      <c r="K19" s="15" t="s">
        <v>21</v>
      </c>
      <c r="L19" s="15" t="s">
        <v>987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1049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987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995</v>
      </c>
      <c r="D21" s="15" t="s">
        <v>996</v>
      </c>
      <c r="E21" s="15" t="s">
        <v>997</v>
      </c>
      <c r="F21" s="16">
        <v>1</v>
      </c>
      <c r="G21" s="16">
        <v>975</v>
      </c>
      <c r="H21" s="16">
        <v>25</v>
      </c>
      <c r="I21" s="16">
        <f t="shared" si="0"/>
        <v>950</v>
      </c>
      <c r="J21" s="15" t="s">
        <v>135</v>
      </c>
      <c r="K21" s="15" t="s">
        <v>21</v>
      </c>
      <c r="L21" s="15" t="s">
        <v>987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1010</v>
      </c>
      <c r="D22" s="15" t="s">
        <v>1011</v>
      </c>
      <c r="E22" s="15" t="s">
        <v>1012</v>
      </c>
      <c r="F22" s="16">
        <v>5</v>
      </c>
      <c r="G22" s="16">
        <v>2070</v>
      </c>
      <c r="H22" s="16">
        <v>25</v>
      </c>
      <c r="I22" s="16">
        <f t="shared" si="0"/>
        <v>2045</v>
      </c>
      <c r="J22" s="15" t="s">
        <v>135</v>
      </c>
      <c r="K22" s="15" t="s">
        <v>21</v>
      </c>
      <c r="L22" s="15" t="s">
        <v>987</v>
      </c>
      <c r="M22" s="20" t="s">
        <v>167</v>
      </c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/>
      <c r="B23" s="15" t="s">
        <v>17</v>
      </c>
      <c r="C23" s="15" t="s">
        <v>791</v>
      </c>
      <c r="D23" s="15" t="s">
        <v>1013</v>
      </c>
      <c r="E23" s="15" t="s">
        <v>1014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987</v>
      </c>
      <c r="M23" s="15"/>
      <c r="N23" s="15"/>
      <c r="O23" s="15"/>
      <c r="P23" s="15"/>
      <c r="Q23" s="15">
        <v>1</v>
      </c>
      <c r="R23" s="10">
        <f t="shared" ref="R23:R24" si="1">H23</f>
        <v>25</v>
      </c>
    </row>
    <row r="24" spans="1:18" x14ac:dyDescent="0.25">
      <c r="A24" s="15"/>
      <c r="B24" s="15" t="s">
        <v>17</v>
      </c>
      <c r="C24" s="15" t="s">
        <v>706</v>
      </c>
      <c r="D24" s="15" t="s">
        <v>1021</v>
      </c>
      <c r="E24" s="15" t="s">
        <v>1022</v>
      </c>
      <c r="F24" s="16">
        <v>10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987</v>
      </c>
      <c r="M24" s="15"/>
      <c r="N24" s="15"/>
      <c r="O24" s="15"/>
      <c r="P24" s="15"/>
      <c r="Q24" s="15">
        <v>1</v>
      </c>
      <c r="R24" s="10">
        <f t="shared" si="1"/>
        <v>25</v>
      </c>
    </row>
    <row r="25" spans="1:18" x14ac:dyDescent="0.25">
      <c r="A25" s="15"/>
      <c r="B25" s="15" t="s">
        <v>17</v>
      </c>
      <c r="C25" s="15" t="s">
        <v>1037</v>
      </c>
      <c r="D25" s="15" t="s">
        <v>1038</v>
      </c>
      <c r="E25" s="15" t="s">
        <v>1039</v>
      </c>
      <c r="F25" s="16">
        <v>10</v>
      </c>
      <c r="G25" s="16">
        <v>1145</v>
      </c>
      <c r="H25" s="16">
        <v>25</v>
      </c>
      <c r="I25" s="16">
        <f t="shared" si="0"/>
        <v>1120</v>
      </c>
      <c r="J25" s="15" t="s">
        <v>135</v>
      </c>
      <c r="K25" s="15" t="s">
        <v>21</v>
      </c>
      <c r="L25" s="15" t="s">
        <v>987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1043</v>
      </c>
      <c r="D26" s="15" t="s">
        <v>1044</v>
      </c>
      <c r="E26" s="15" t="s">
        <v>1045</v>
      </c>
      <c r="F26" s="16">
        <v>4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987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16</v>
      </c>
      <c r="B27" s="15" t="s">
        <v>17</v>
      </c>
      <c r="C27" s="15" t="s">
        <v>1050</v>
      </c>
      <c r="D27" s="15"/>
      <c r="E27" s="15" t="s">
        <v>1051</v>
      </c>
      <c r="F27" s="16">
        <v>5</v>
      </c>
      <c r="G27" s="16">
        <v>0</v>
      </c>
      <c r="H27" s="16">
        <v>35</v>
      </c>
      <c r="I27" s="16">
        <f t="shared" si="0"/>
        <v>-35</v>
      </c>
      <c r="J27" s="15" t="s">
        <v>135</v>
      </c>
      <c r="K27" s="15" t="s">
        <v>21</v>
      </c>
      <c r="L27" s="15" t="s">
        <v>987</v>
      </c>
      <c r="M27" s="15"/>
      <c r="N27" s="15"/>
      <c r="O27" s="15"/>
      <c r="P27" s="15"/>
      <c r="Q27" s="15">
        <v>1</v>
      </c>
      <c r="R27" s="10">
        <f>H27</f>
        <v>35</v>
      </c>
    </row>
    <row r="28" spans="1:18" x14ac:dyDescent="0.25">
      <c r="A28" s="15" t="s">
        <v>16</v>
      </c>
      <c r="B28" s="15" t="s">
        <v>17</v>
      </c>
      <c r="C28" s="15" t="s">
        <v>437</v>
      </c>
      <c r="D28" s="15"/>
      <c r="E28" s="15" t="s">
        <v>438</v>
      </c>
      <c r="F28" s="16">
        <v>1</v>
      </c>
      <c r="G28" s="16">
        <v>0</v>
      </c>
      <c r="H28" s="16">
        <v>30</v>
      </c>
      <c r="I28" s="16">
        <f t="shared" si="0"/>
        <v>-30</v>
      </c>
      <c r="J28" s="15" t="s">
        <v>135</v>
      </c>
      <c r="K28" s="15" t="s">
        <v>21</v>
      </c>
      <c r="L28" s="15" t="s">
        <v>987</v>
      </c>
      <c r="M28" s="15"/>
      <c r="N28" s="15"/>
      <c r="O28" s="15"/>
      <c r="P28" s="15"/>
      <c r="Q28" s="15">
        <v>1</v>
      </c>
    </row>
    <row r="29" spans="1:18" x14ac:dyDescent="0.2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x14ac:dyDescent="0.25">
      <c r="A30" s="32"/>
      <c r="B30" s="32"/>
      <c r="C30" s="32"/>
      <c r="D30" s="33">
        <f>COUNTA(D3:D28)</f>
        <v>23</v>
      </c>
      <c r="E30" s="32"/>
      <c r="F30" s="32"/>
      <c r="G30" s="33">
        <f t="shared" ref="G30:Q30" si="2">SUBTOTAL(9,G3:G28)</f>
        <v>18875</v>
      </c>
      <c r="H30" s="33">
        <f t="shared" si="2"/>
        <v>735</v>
      </c>
      <c r="I30" s="33">
        <f t="shared" si="2"/>
        <v>18140</v>
      </c>
      <c r="J30" s="33">
        <f t="shared" si="2"/>
        <v>0</v>
      </c>
      <c r="K30" s="33">
        <f t="shared" si="2"/>
        <v>0</v>
      </c>
      <c r="L30" s="33">
        <f t="shared" si="2"/>
        <v>0</v>
      </c>
      <c r="M30" s="33">
        <f t="shared" si="2"/>
        <v>0</v>
      </c>
      <c r="N30" s="33">
        <f t="shared" si="2"/>
        <v>0</v>
      </c>
      <c r="O30" s="33">
        <f t="shared" si="2"/>
        <v>0</v>
      </c>
      <c r="P30" s="33">
        <f t="shared" si="2"/>
        <v>0</v>
      </c>
      <c r="Q30" s="33">
        <f t="shared" si="2"/>
        <v>26</v>
      </c>
    </row>
    <row r="31" spans="1:18" x14ac:dyDescent="0.25">
      <c r="H31">
        <f>-7*17</f>
        <v>-119</v>
      </c>
    </row>
    <row r="32" spans="1:18" x14ac:dyDescent="0.25">
      <c r="A32" s="1" t="s">
        <v>17</v>
      </c>
      <c r="C32" s="34" t="s">
        <v>191</v>
      </c>
      <c r="D32" s="34"/>
      <c r="E32" s="4" t="s">
        <v>192</v>
      </c>
      <c r="H32">
        <f>-3*25</f>
        <v>-75</v>
      </c>
      <c r="K32" s="11" t="s">
        <v>21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987</v>
      </c>
      <c r="B33" s="3" t="s">
        <v>195</v>
      </c>
      <c r="C33" s="35">
        <f>SUMIFS(I$3:I$28,B$3:B$28,A$32,L$3:L$28,A$33)</f>
        <v>17250</v>
      </c>
      <c r="D33" s="35"/>
      <c r="E33" s="3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2" t="s">
        <v>199</v>
      </c>
      <c r="C34" s="36">
        <v>0</v>
      </c>
      <c r="D34" s="36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1052</v>
      </c>
      <c r="P34">
        <f>L46</f>
        <v>7451</v>
      </c>
    </row>
    <row r="35" spans="1:16" x14ac:dyDescent="0.25">
      <c r="B35" s="2" t="s">
        <v>201</v>
      </c>
      <c r="C35" s="36">
        <f>-SUMIFS(I$3:I$28,B$3:B$28,A$32,P$3:P$28,"xx",N$3:N$28,"x")</f>
        <v>0</v>
      </c>
      <c r="D35" s="36"/>
      <c r="E35" s="2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4" t="s">
        <v>203</v>
      </c>
      <c r="C36" s="34">
        <f>SUBTOTAL(9,C33:C35)</f>
        <v>17250</v>
      </c>
      <c r="D36" s="34"/>
      <c r="E36">
        <f>E33</f>
        <v>25</v>
      </c>
      <c r="K36" s="2" t="s">
        <v>204</v>
      </c>
      <c r="O36" t="s">
        <v>20</v>
      </c>
      <c r="P36">
        <f>L63</f>
        <v>795</v>
      </c>
    </row>
    <row r="37" spans="1:16" x14ac:dyDescent="0.25">
      <c r="B37" s="2" t="s">
        <v>205</v>
      </c>
      <c r="C37" s="37"/>
      <c r="D37" s="37"/>
      <c r="K37" s="2" t="s">
        <v>206</v>
      </c>
      <c r="O37" t="s">
        <v>207</v>
      </c>
      <c r="P37">
        <f>-C40</f>
        <v>-17250</v>
      </c>
    </row>
    <row r="38" spans="1:16" x14ac:dyDescent="0.25">
      <c r="B38" s="12" t="s">
        <v>208</v>
      </c>
      <c r="C38" s="37"/>
      <c r="D38" s="37"/>
      <c r="L38" s="13">
        <f>SUBTOTAL(9,L33:L37)</f>
        <v>5160</v>
      </c>
      <c r="M38" s="13">
        <f>M33</f>
        <v>7</v>
      </c>
      <c r="O38" s="4" t="s">
        <v>209</v>
      </c>
      <c r="P38" s="4">
        <f>SUBTOTAL(9,P33:P37)</f>
        <v>101</v>
      </c>
    </row>
    <row r="40" spans="1:16" x14ac:dyDescent="0.25">
      <c r="B40" s="1" t="s">
        <v>210</v>
      </c>
      <c r="C40" s="38">
        <f>C36+C37+C38</f>
        <v>17250</v>
      </c>
      <c r="D40" s="38"/>
      <c r="E40" s="1" t="s">
        <v>211</v>
      </c>
      <c r="K40" s="11" t="s">
        <v>991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1" t="s">
        <v>17</v>
      </c>
      <c r="C42" s="34" t="s">
        <v>191</v>
      </c>
      <c r="D42" s="34"/>
      <c r="E42" s="4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3" t="s">
        <v>195</v>
      </c>
      <c r="C43" s="35">
        <f>SUMIFS(I$3:I$28,B$3:B$28,A$42,L$3:L$28,A$43)</f>
        <v>890</v>
      </c>
      <c r="D43" s="35"/>
      <c r="E43" s="3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2" t="s">
        <v>199</v>
      </c>
      <c r="C44" s="36">
        <v>0</v>
      </c>
      <c r="D44" s="36"/>
      <c r="K44" s="2" t="s">
        <v>204</v>
      </c>
    </row>
    <row r="45" spans="1:16" x14ac:dyDescent="0.25">
      <c r="B45" s="2" t="s">
        <v>201</v>
      </c>
      <c r="C45" s="36">
        <f>-SUMIFS(I$3:I$28,B$3:B$28,A$42,P$3:P$28,"xx",N$3:N$28,"x")</f>
        <v>0</v>
      </c>
      <c r="D45" s="36"/>
      <c r="E45" s="2">
        <f>SUMIFS(Q$3:Q$28,B$3:B$28,A$42,P$3:P$28,"xx",N$3:N$28,"x")</f>
        <v>0</v>
      </c>
      <c r="K45" s="2" t="s">
        <v>206</v>
      </c>
    </row>
    <row r="46" spans="1:16" x14ac:dyDescent="0.25">
      <c r="B46" s="4" t="s">
        <v>203</v>
      </c>
      <c r="C46" s="34">
        <f>SUBTOTAL(9,C43:C45)</f>
        <v>890</v>
      </c>
      <c r="D46" s="34"/>
      <c r="E46">
        <f>E43</f>
        <v>1</v>
      </c>
      <c r="L46" s="13">
        <f>SUBTOTAL(9,L41:L45)</f>
        <v>7451</v>
      </c>
      <c r="M46" s="13">
        <f>M41</f>
        <v>10</v>
      </c>
    </row>
    <row r="47" spans="1:16" x14ac:dyDescent="0.25">
      <c r="B47" s="2" t="s">
        <v>205</v>
      </c>
      <c r="C47" s="37"/>
      <c r="D47" s="37"/>
    </row>
    <row r="48" spans="1:16" x14ac:dyDescent="0.25">
      <c r="B48" s="12" t="s">
        <v>208</v>
      </c>
      <c r="C48" s="37"/>
      <c r="D48" s="37"/>
      <c r="K48" s="11" t="s">
        <v>135</v>
      </c>
      <c r="L48" s="11" t="s">
        <v>193</v>
      </c>
      <c r="M48" s="11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1" t="s">
        <v>210</v>
      </c>
      <c r="C50" s="38">
        <f>C46+C47+C48</f>
        <v>890</v>
      </c>
      <c r="D50" s="38"/>
      <c r="E50" s="1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2" t="s">
        <v>204</v>
      </c>
    </row>
    <row r="53" spans="2:13" x14ac:dyDescent="0.25">
      <c r="K53" s="31" t="s">
        <v>206</v>
      </c>
      <c r="L53" s="23"/>
      <c r="M53" s="23"/>
    </row>
    <row r="54" spans="2:13" x14ac:dyDescent="0.25">
      <c r="K54" s="2" t="s">
        <v>1053</v>
      </c>
      <c r="L54" s="23">
        <v>-915</v>
      </c>
      <c r="M54" s="23" t="s">
        <v>288</v>
      </c>
    </row>
    <row r="55" spans="2:13" x14ac:dyDescent="0.25">
      <c r="L55" s="13">
        <f>SUBTOTAL(9,L49:L54)</f>
        <v>3945</v>
      </c>
      <c r="M55" s="13">
        <f>M49</f>
        <v>8</v>
      </c>
    </row>
    <row r="57" spans="2:13" x14ac:dyDescent="0.25">
      <c r="K57" s="11" t="s">
        <v>20</v>
      </c>
      <c r="L57" s="11" t="s">
        <v>193</v>
      </c>
      <c r="M57" s="11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2" t="s">
        <v>204</v>
      </c>
    </row>
    <row r="62" spans="2:13" x14ac:dyDescent="0.25">
      <c r="K62" s="2" t="s">
        <v>206</v>
      </c>
    </row>
    <row r="63" spans="2:13" x14ac:dyDescent="0.25">
      <c r="L63" s="13">
        <f>SUBTOTAL(9,L58:L62)</f>
        <v>795</v>
      </c>
      <c r="M63" s="13">
        <f>M58</f>
        <v>1</v>
      </c>
    </row>
  </sheetData>
  <autoFilter ref="A2:P28" xr:uid="{00000000-0009-0000-0000-000009000000}">
    <sortState xmlns:xlrd2="http://schemas.microsoft.com/office/spreadsheetml/2017/richdata2" ref="A3:P28">
      <sortCondition ref="J2:J28"/>
    </sortState>
  </autoFilter>
  <mergeCells count="16">
    <mergeCell ref="C50:D50"/>
    <mergeCell ref="C44:D44"/>
    <mergeCell ref="C45:D45"/>
    <mergeCell ref="C46:D46"/>
    <mergeCell ref="C47:D47"/>
    <mergeCell ref="C48:D48"/>
    <mergeCell ref="C37:D37"/>
    <mergeCell ref="C38:D38"/>
    <mergeCell ref="C40:D40"/>
    <mergeCell ref="C42:D42"/>
    <mergeCell ref="C43:D43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:D3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974</v>
      </c>
      <c r="B1" s="5">
        <v>2026</v>
      </c>
    </row>
    <row r="2" spans="1:5" x14ac:dyDescent="0.25">
      <c r="A2" s="6" t="s">
        <v>975</v>
      </c>
      <c r="B2" s="6" t="s">
        <v>976</v>
      </c>
      <c r="C2" s="6" t="s">
        <v>977</v>
      </c>
      <c r="D2" s="6" t="s">
        <v>978</v>
      </c>
      <c r="E2" s="6" t="s">
        <v>979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8" ca="1" si="0">B3-C3-D3</f>
        <v>54</v>
      </c>
    </row>
    <row r="4" spans="1:5" x14ac:dyDescent="0.25">
      <c r="A4" s="7">
        <v>46144</v>
      </c>
      <c r="B4" s="8">
        <f t="shared" ref="B4:B28" ca="1" si="1">IFERROR(COUNTIF(INDIRECT("'"&amp;TEXT(A4,"dd-mm")&amp;"'!L3:L200"),TEXT(A4,"dd-mm")&amp;"-"&amp;B$1),0)</f>
        <v>0</v>
      </c>
      <c r="C4" s="8">
        <f t="shared" ref="C4:C28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0</v>
      </c>
      <c r="E4" s="8">
        <f t="shared" ca="1" si="0"/>
        <v>0</v>
      </c>
    </row>
    <row r="5" spans="1:5" x14ac:dyDescent="0.25">
      <c r="A5" s="7">
        <v>46146</v>
      </c>
      <c r="B5" s="8">
        <f t="shared" ca="1" si="1"/>
        <v>20</v>
      </c>
      <c r="C5" s="8">
        <f t="shared" ca="1" si="2"/>
        <v>0</v>
      </c>
      <c r="D5" s="8" cm="1">
        <f t="array" aca="1" ref="D5" ca="1">IFERROR(SUM(COUNTIF(INDIRECT("'"&amp;TEXT(A5,"DD-MM")&amp;"'!M3:M200"),{"*đơn trả*","*hàng tỉnh*"})),0)</f>
        <v>4</v>
      </c>
      <c r="E5" s="8">
        <f t="shared" ca="1" si="0"/>
        <v>16</v>
      </c>
    </row>
    <row r="6" spans="1:5" x14ac:dyDescent="0.25">
      <c r="A6" s="7">
        <v>46147</v>
      </c>
      <c r="B6" s="8">
        <f t="shared" ca="1" si="1"/>
        <v>53</v>
      </c>
      <c r="C6" s="8">
        <f t="shared" ca="1" si="2"/>
        <v>2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51</v>
      </c>
    </row>
    <row r="7" spans="1:5" x14ac:dyDescent="0.25">
      <c r="A7" s="7">
        <v>46148</v>
      </c>
      <c r="B7" s="8">
        <f t="shared" ca="1" si="1"/>
        <v>32</v>
      </c>
      <c r="C7" s="8">
        <f t="shared" ca="1" si="2"/>
        <v>0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32</v>
      </c>
    </row>
    <row r="8" spans="1:5" x14ac:dyDescent="0.25">
      <c r="A8" s="7">
        <v>46149</v>
      </c>
      <c r="B8" s="8">
        <f t="shared" ca="1" si="1"/>
        <v>34</v>
      </c>
      <c r="C8" s="8">
        <f t="shared" ca="1" si="2"/>
        <v>1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33</v>
      </c>
    </row>
    <row r="9" spans="1:5" x14ac:dyDescent="0.25">
      <c r="A9" s="7">
        <v>46150</v>
      </c>
      <c r="B9" s="8">
        <f t="shared" ca="1" si="1"/>
        <v>36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36</v>
      </c>
    </row>
    <row r="10" spans="1:5" x14ac:dyDescent="0.25">
      <c r="A10" s="7">
        <v>46151</v>
      </c>
      <c r="B10" s="8">
        <f t="shared" ca="1" si="1"/>
        <v>31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0</v>
      </c>
      <c r="E10" s="8">
        <f t="shared" ca="1" si="0"/>
        <v>31</v>
      </c>
    </row>
    <row r="11" spans="1:5" x14ac:dyDescent="0.25">
      <c r="A11" s="7">
        <v>46153</v>
      </c>
      <c r="B11" s="8">
        <f t="shared" ca="1" si="1"/>
        <v>56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4</v>
      </c>
      <c r="E11" s="8">
        <f t="shared" ca="1" si="0"/>
        <v>52</v>
      </c>
    </row>
    <row r="12" spans="1:5" x14ac:dyDescent="0.25">
      <c r="A12" s="7">
        <v>46154</v>
      </c>
      <c r="B12" s="8">
        <f ca="1">IFERROR(COUNTIF(INDIRECT("'"&amp;TEXT(A12,"dd-mm")&amp;"'!L3:L200"),TEXT(A12,"dd-mm")&amp;"-"&amp;B$1),0)</f>
        <v>25</v>
      </c>
      <c r="C12" s="8">
        <f t="shared" ca="1" si="2"/>
        <v>0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25</v>
      </c>
    </row>
    <row r="13" spans="1:5" x14ac:dyDescent="0.25">
      <c r="A13" s="7">
        <v>46155</v>
      </c>
      <c r="B13" s="8">
        <f t="shared" ca="1" si="1"/>
        <v>0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0</v>
      </c>
    </row>
    <row r="14" spans="1:5" x14ac:dyDescent="0.25">
      <c r="A14" s="7">
        <v>46156</v>
      </c>
      <c r="B14" s="8">
        <f t="shared" ca="1" si="1"/>
        <v>0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0</v>
      </c>
    </row>
    <row r="15" spans="1:5" x14ac:dyDescent="0.25">
      <c r="A15" s="7">
        <v>46157</v>
      </c>
      <c r="B15" s="8">
        <f t="shared" ca="1" si="1"/>
        <v>0</v>
      </c>
      <c r="C15" s="8">
        <f t="shared" ca="1" si="2"/>
        <v>0</v>
      </c>
      <c r="D15" s="8" cm="1">
        <f t="array" aca="1" ref="D15" ca="1">IFERROR(SUM(COUNTIF(INDIRECT("'"&amp;TEXT(A15,"DD-MM")&amp;"'!M3:M200"),{"*đơn trả*","*hàng tỉnh*"})),0)</f>
        <v>0</v>
      </c>
      <c r="E15" s="8">
        <f t="shared" ca="1" si="0"/>
        <v>0</v>
      </c>
    </row>
    <row r="16" spans="1:5" x14ac:dyDescent="0.25">
      <c r="A16" s="7">
        <v>46158</v>
      </c>
      <c r="B16" s="8">
        <f t="shared" ca="1" si="1"/>
        <v>0</v>
      </c>
      <c r="C16" s="8">
        <f t="shared" ca="1" si="2"/>
        <v>0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46160</v>
      </c>
      <c r="B17" s="8">
        <f t="shared" ca="1" si="1"/>
        <v>0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46161</v>
      </c>
      <c r="B18" s="8">
        <f t="shared" ca="1" si="1"/>
        <v>0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0</v>
      </c>
      <c r="E18" s="8">
        <f t="shared" ca="1" si="0"/>
        <v>0</v>
      </c>
    </row>
    <row r="19" spans="1:5" x14ac:dyDescent="0.25">
      <c r="A19" s="7">
        <v>46162</v>
      </c>
      <c r="B19" s="8">
        <f t="shared" ca="1" si="1"/>
        <v>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0</v>
      </c>
    </row>
    <row r="20" spans="1:5" x14ac:dyDescent="0.25">
      <c r="A20" s="7">
        <v>46163</v>
      </c>
      <c r="B20" s="8">
        <f t="shared" ca="1" si="1"/>
        <v>0</v>
      </c>
      <c r="C20" s="8">
        <f t="shared" ca="1" si="2"/>
        <v>0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0</v>
      </c>
    </row>
    <row r="21" spans="1:5" x14ac:dyDescent="0.25">
      <c r="A21" s="7">
        <v>46164</v>
      </c>
      <c r="B21" s="8">
        <f t="shared" ca="1" si="1"/>
        <v>0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46165</v>
      </c>
      <c r="B22" s="8">
        <f t="shared" ca="1" si="1"/>
        <v>0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46167</v>
      </c>
      <c r="B23" s="8">
        <f t="shared" ca="1" si="1"/>
        <v>0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0</v>
      </c>
      <c r="E23" s="8">
        <f t="shared" ca="1" si="0"/>
        <v>0</v>
      </c>
    </row>
    <row r="24" spans="1:5" x14ac:dyDescent="0.25">
      <c r="A24" s="7">
        <v>46168</v>
      </c>
      <c r="B24" s="8">
        <f t="shared" ca="1" si="1"/>
        <v>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46169</v>
      </c>
      <c r="B25" s="8">
        <f t="shared" ca="1" si="1"/>
        <v>0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0</v>
      </c>
    </row>
    <row r="26" spans="1:5" x14ac:dyDescent="0.25">
      <c r="A26" s="7">
        <v>46170</v>
      </c>
      <c r="B26" s="8">
        <f t="shared" ca="1" si="1"/>
        <v>0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46171</v>
      </c>
      <c r="B27" s="8">
        <f t="shared" ca="1" si="1"/>
        <v>0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0</v>
      </c>
      <c r="E27" s="8">
        <f t="shared" ca="1" si="0"/>
        <v>0</v>
      </c>
    </row>
    <row r="28" spans="1:5" x14ac:dyDescent="0.25">
      <c r="A28" s="7">
        <v>46172</v>
      </c>
      <c r="B28" s="8">
        <f t="shared" ca="1" si="1"/>
        <v>0</v>
      </c>
      <c r="C28" s="8">
        <f t="shared" ca="1" si="2"/>
        <v>0</v>
      </c>
      <c r="D28" s="8" cm="1">
        <f t="array" aca="1" ref="D28" ca="1">IFERROR(SUM(COUNTIF(INDIRECT("'"&amp;TEXT(A28,"DD-MM")&amp;"'!M3:M200"),{"*đơn trả*","*hàng tỉnh*"})),0)</f>
        <v>0</v>
      </c>
      <c r="E28" s="8">
        <f t="shared" ca="1" si="0"/>
        <v>0</v>
      </c>
    </row>
    <row r="29" spans="1:5" x14ac:dyDescent="0.25">
      <c r="D29" s="9" t="s">
        <v>980</v>
      </c>
      <c r="E29" s="9">
        <f ca="1">SUBTOTAL(9,E4:E28)</f>
        <v>276</v>
      </c>
    </row>
    <row r="30" spans="1:5" x14ac:dyDescent="0.25">
      <c r="D30" s="9" t="s">
        <v>981</v>
      </c>
      <c r="E30" s="9" cm="1">
        <f t="array" ref="E30" ca="1">SUMPRODUCT(
    IFERROR(
        SUMIF(
            INDIRECT("'"&amp;TEXT(A4:A28,"dd-mm")&amp;"'!O:O"),
            "tổng",
            INDIRECT("'"&amp;TEXT(A4:A28,"dd-mm")&amp;"'!P:P")
        ),
    0)
)</f>
        <v>1078</v>
      </c>
    </row>
    <row r="31" spans="1:5" x14ac:dyDescent="0.25">
      <c r="D31" s="9" t="s">
        <v>982</v>
      </c>
      <c r="E31" s="9">
        <f ca="1">-E29*2</f>
        <v>-552</v>
      </c>
    </row>
    <row r="32" spans="1:5" x14ac:dyDescent="0.25">
      <c r="D32" s="9" t="s">
        <v>983</v>
      </c>
      <c r="E32" s="9">
        <f ca="1">SUBTOTAL(9,E30:E31)</f>
        <v>526</v>
      </c>
    </row>
  </sheetData>
  <autoFilter ref="A2:E28" xr:uid="{00000000-0009-0000-0000-000008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2026-05-12T09:52:55Z</dcterms:modified>
</cp:coreProperties>
</file>