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y\"/>
    </mc:Choice>
  </mc:AlternateContent>
  <xr:revisionPtr revIDLastSave="0" documentId="13_ncr:1_{AA2E20BA-AC9A-46FC-A7BF-907A28B07787}" xr6:coauthVersionLast="47" xr6:coauthVersionMax="47" xr10:uidLastSave="{00000000-0000-0000-0000-000000000000}"/>
  <bookViews>
    <workbookView xWindow="-120" yWindow="-120" windowWidth="29040" windowHeight="15720" firstSheet="1" activeTab="14" xr2:uid="{00000000-000D-0000-FFFF-FFFF00000000}"/>
  </bookViews>
  <sheets>
    <sheet name="01-05" sheetId="7" r:id="rId1"/>
    <sheet name="04-05" sheetId="8" r:id="rId2"/>
    <sheet name="05-05" sheetId="9" r:id="rId3"/>
    <sheet name="06-05" sheetId="10" r:id="rId4"/>
    <sheet name="07-05" sheetId="11" r:id="rId5"/>
    <sheet name="08-05" sheetId="12" r:id="rId6"/>
    <sheet name="09-05" sheetId="13" r:id="rId7"/>
    <sheet name="11-05" sheetId="14" r:id="rId8"/>
    <sheet name="12-05" sheetId="15" r:id="rId9"/>
    <sheet name="13-05" sheetId="16" r:id="rId10"/>
    <sheet name="14-05" sheetId="17" r:id="rId11"/>
    <sheet name="15-05" sheetId="20" r:id="rId12"/>
    <sheet name="16-05" sheetId="21" r:id="rId13"/>
    <sheet name="18-05" sheetId="22" r:id="rId14"/>
    <sheet name="19-05" sheetId="23" r:id="rId15"/>
    <sheet name="Sheet1" sheetId="19" r:id="rId16"/>
  </sheets>
  <definedNames>
    <definedName name="_xlnm._FilterDatabase" localSheetId="0" hidden="1">'01-05'!$A$2:$P$56</definedName>
    <definedName name="_xlnm._FilterDatabase" localSheetId="1" hidden="1">'04-05'!$A$2:$P$26</definedName>
    <definedName name="_xlnm._FilterDatabase" localSheetId="2" hidden="1">'05-05'!$A$2:$P$55</definedName>
    <definedName name="_xlnm._FilterDatabase" localSheetId="3" hidden="1">'06-05'!$A$2:$P$34</definedName>
    <definedName name="_xlnm._FilterDatabase" localSheetId="4" hidden="1">'07-05'!$A$2:$P$36</definedName>
    <definedName name="_xlnm._FilterDatabase" localSheetId="5" hidden="1">'08-05'!$A$2:$P$39</definedName>
    <definedName name="_xlnm._FilterDatabase" localSheetId="6" hidden="1">'09-05'!$A$2:$P$33</definedName>
    <definedName name="_xlnm._FilterDatabase" localSheetId="7" hidden="1">'11-05'!$A$2:$P$62</definedName>
    <definedName name="_xlnm._FilterDatabase" localSheetId="8" hidden="1">'12-05'!$A$2:$P$28</definedName>
    <definedName name="_xlnm._FilterDatabase" localSheetId="9" hidden="1">'13-05'!$A$2:$P$35</definedName>
    <definedName name="_xlnm._FilterDatabase" localSheetId="10" hidden="1">'14-05'!$A$2:$P$39</definedName>
    <definedName name="_xlnm._FilterDatabase" localSheetId="11" hidden="1">'15-05'!$A$2:$P$34</definedName>
    <definedName name="_xlnm._FilterDatabase" localSheetId="12" hidden="1">'16-05'!$A$2:$P$42</definedName>
    <definedName name="_xlnm._FilterDatabase" localSheetId="13" hidden="1">'18-05'!$A$2:$P$41</definedName>
    <definedName name="_xlnm._FilterDatabase" localSheetId="14" hidden="1">'19-05'!$A$2:$P$29</definedName>
    <definedName name="_xlnm._FilterDatabase" localSheetId="15" hidden="1">Sheet1!$A$2:$E$27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23" l="1"/>
  <c r="R28" i="23"/>
  <c r="R24" i="23"/>
  <c r="R23" i="23"/>
  <c r="R21" i="23"/>
  <c r="R20" i="23"/>
  <c r="R19" i="23"/>
  <c r="R17" i="23"/>
  <c r="R15" i="23"/>
  <c r="R12" i="23"/>
  <c r="R9" i="23"/>
  <c r="I3" i="7"/>
  <c r="C61" i="7" s="1"/>
  <c r="C64" i="7" s="1"/>
  <c r="C68" i="7" s="1"/>
  <c r="P65" i="7" s="1"/>
  <c r="I4" i="7"/>
  <c r="I5" i="7"/>
  <c r="I6" i="7"/>
  <c r="I7" i="7"/>
  <c r="I8" i="7"/>
  <c r="I9" i="7"/>
  <c r="R9" i="7"/>
  <c r="I10" i="7"/>
  <c r="I11" i="7"/>
  <c r="I12" i="7"/>
  <c r="I13" i="7"/>
  <c r="I14" i="7"/>
  <c r="I15" i="7"/>
  <c r="I16" i="7"/>
  <c r="R16" i="7"/>
  <c r="I17" i="7"/>
  <c r="I18" i="7"/>
  <c r="I19" i="7"/>
  <c r="R19" i="7"/>
  <c r="I20" i="7"/>
  <c r="R20" i="7"/>
  <c r="I21" i="7"/>
  <c r="I22" i="7"/>
  <c r="I23" i="7"/>
  <c r="I24" i="7"/>
  <c r="R24" i="7"/>
  <c r="I25" i="7"/>
  <c r="I26" i="7"/>
  <c r="R26" i="7"/>
  <c r="I27" i="7"/>
  <c r="I28" i="7"/>
  <c r="R28" i="7"/>
  <c r="I29" i="7"/>
  <c r="I30" i="7"/>
  <c r="I31" i="7"/>
  <c r="I32" i="7"/>
  <c r="I33" i="7"/>
  <c r="R33" i="7"/>
  <c r="I34" i="7"/>
  <c r="I35" i="7"/>
  <c r="I36" i="7"/>
  <c r="I37" i="7"/>
  <c r="I38" i="7"/>
  <c r="I39" i="7"/>
  <c r="I40" i="7"/>
  <c r="I41" i="7"/>
  <c r="I42" i="7"/>
  <c r="R42" i="7"/>
  <c r="I43" i="7"/>
  <c r="I44" i="7"/>
  <c r="I45" i="7"/>
  <c r="I46" i="7"/>
  <c r="R46" i="7"/>
  <c r="I47" i="7"/>
  <c r="I48" i="7"/>
  <c r="R48" i="7"/>
  <c r="I49" i="7"/>
  <c r="I50" i="7"/>
  <c r="I51" i="7"/>
  <c r="I52" i="7"/>
  <c r="R52" i="7"/>
  <c r="I53" i="7"/>
  <c r="R53" i="7"/>
  <c r="I54" i="7"/>
  <c r="I55" i="7"/>
  <c r="I56" i="7"/>
  <c r="R56" i="7"/>
  <c r="D58" i="7"/>
  <c r="G58" i="7"/>
  <c r="H58" i="7"/>
  <c r="J58" i="7"/>
  <c r="K58" i="7"/>
  <c r="L58" i="7"/>
  <c r="M58" i="7"/>
  <c r="N58" i="7"/>
  <c r="O58" i="7"/>
  <c r="P58" i="7"/>
  <c r="Q58" i="7"/>
  <c r="H59" i="7"/>
  <c r="L62" i="7" s="1"/>
  <c r="H60" i="7"/>
  <c r="E61" i="7"/>
  <c r="L61" i="7"/>
  <c r="L66" i="7" s="1"/>
  <c r="P61" i="7" s="1"/>
  <c r="M61" i="7"/>
  <c r="M62" i="7"/>
  <c r="C63" i="7"/>
  <c r="E63" i="7"/>
  <c r="E64" i="7"/>
  <c r="M66" i="7"/>
  <c r="L69" i="7"/>
  <c r="L74" i="7" s="1"/>
  <c r="P62" i="7" s="1"/>
  <c r="M69" i="7"/>
  <c r="L70" i="7"/>
  <c r="M70" i="7"/>
  <c r="M74" i="7"/>
  <c r="L77" i="7"/>
  <c r="M77" i="7"/>
  <c r="M82" i="7" s="1"/>
  <c r="M78" i="7"/>
  <c r="L78" i="7" s="1"/>
  <c r="L82" i="7" s="1"/>
  <c r="P63" i="7" s="1"/>
  <c r="L79" i="7"/>
  <c r="M79" i="7"/>
  <c r="L85" i="7"/>
  <c r="M85" i="7"/>
  <c r="L86" i="7"/>
  <c r="L90" i="7" s="1"/>
  <c r="P64" i="7" s="1"/>
  <c r="M86" i="7"/>
  <c r="M90" i="7"/>
  <c r="I3" i="8"/>
  <c r="I4" i="8"/>
  <c r="I28" i="8" s="1"/>
  <c r="I5" i="8"/>
  <c r="I6" i="8"/>
  <c r="I7" i="8"/>
  <c r="C31" i="8" s="1"/>
  <c r="C34" i="8" s="1"/>
  <c r="C38" i="8" s="1"/>
  <c r="P35" i="8" s="1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D28" i="8"/>
  <c r="G28" i="8"/>
  <c r="H28" i="8"/>
  <c r="J28" i="8"/>
  <c r="K28" i="8"/>
  <c r="L28" i="8"/>
  <c r="M28" i="8"/>
  <c r="N28" i="8"/>
  <c r="O28" i="8"/>
  <c r="P28" i="8"/>
  <c r="Q28" i="8"/>
  <c r="H29" i="8"/>
  <c r="H30" i="8"/>
  <c r="E31" i="8"/>
  <c r="H31" i="8"/>
  <c r="L32" i="8" s="1"/>
  <c r="L36" i="8" s="1"/>
  <c r="P31" i="8" s="1"/>
  <c r="L31" i="8"/>
  <c r="M31" i="8"/>
  <c r="M36" i="8" s="1"/>
  <c r="M32" i="8"/>
  <c r="C33" i="8"/>
  <c r="E33" i="8"/>
  <c r="E34" i="8"/>
  <c r="L39" i="8"/>
  <c r="M39" i="8"/>
  <c r="M44" i="8" s="1"/>
  <c r="M40" i="8"/>
  <c r="L40" i="8" s="1"/>
  <c r="L44" i="8" s="1"/>
  <c r="P32" i="8" s="1"/>
  <c r="L47" i="8"/>
  <c r="L52" i="8" s="1"/>
  <c r="P33" i="8" s="1"/>
  <c r="M47" i="8"/>
  <c r="L48" i="8"/>
  <c r="M48" i="8"/>
  <c r="M52" i="8"/>
  <c r="L55" i="8"/>
  <c r="M55" i="8"/>
  <c r="M60" i="8" s="1"/>
  <c r="M56" i="8"/>
  <c r="L56" i="8" s="1"/>
  <c r="L60" i="8" s="1"/>
  <c r="P34" i="8" s="1"/>
  <c r="M57" i="8"/>
  <c r="L57" i="8" s="1"/>
  <c r="I3" i="9"/>
  <c r="I4" i="9"/>
  <c r="I5" i="9"/>
  <c r="C60" i="9" s="1"/>
  <c r="C63" i="9" s="1"/>
  <c r="C67" i="9" s="1"/>
  <c r="P63" i="9" s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D57" i="9"/>
  <c r="G57" i="9"/>
  <c r="H57" i="9"/>
  <c r="J57" i="9"/>
  <c r="K57" i="9"/>
  <c r="L57" i="9"/>
  <c r="M57" i="9"/>
  <c r="N57" i="9"/>
  <c r="O57" i="9"/>
  <c r="P57" i="9"/>
  <c r="Q57" i="9"/>
  <c r="H58" i="9"/>
  <c r="L69" i="9" s="1"/>
  <c r="H59" i="9"/>
  <c r="E60" i="9"/>
  <c r="H60" i="9"/>
  <c r="L60" i="9"/>
  <c r="M60" i="9"/>
  <c r="M61" i="9"/>
  <c r="L61" i="9" s="1"/>
  <c r="C62" i="9"/>
  <c r="E62" i="9"/>
  <c r="E63" i="9"/>
  <c r="M78" i="9" s="1"/>
  <c r="L78" i="9" s="1"/>
  <c r="M65" i="9"/>
  <c r="L68" i="9"/>
  <c r="M68" i="9"/>
  <c r="M69" i="9"/>
  <c r="M73" i="9"/>
  <c r="L76" i="9"/>
  <c r="L81" i="9" s="1"/>
  <c r="P62" i="9" s="1"/>
  <c r="M76" i="9"/>
  <c r="M81" i="9" s="1"/>
  <c r="L77" i="9"/>
  <c r="M77" i="9"/>
  <c r="I3" i="10"/>
  <c r="I4" i="10"/>
  <c r="C39" i="10" s="1"/>
  <c r="C42" i="10" s="1"/>
  <c r="C46" i="10" s="1"/>
  <c r="P42" i="10" s="1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D36" i="10"/>
  <c r="G36" i="10"/>
  <c r="H36" i="10"/>
  <c r="J36" i="10"/>
  <c r="K36" i="10"/>
  <c r="L36" i="10"/>
  <c r="M36" i="10"/>
  <c r="N36" i="10"/>
  <c r="O36" i="10"/>
  <c r="P36" i="10"/>
  <c r="Q36" i="10"/>
  <c r="H37" i="10"/>
  <c r="H38" i="10"/>
  <c r="E39" i="10"/>
  <c r="H39" i="10"/>
  <c r="L39" i="10"/>
  <c r="L44" i="10" s="1"/>
  <c r="P39" i="10" s="1"/>
  <c r="M39" i="10"/>
  <c r="L40" i="10"/>
  <c r="M40" i="10"/>
  <c r="C41" i="10"/>
  <c r="E41" i="10"/>
  <c r="E42" i="10"/>
  <c r="M49" i="10" s="1"/>
  <c r="L49" i="10" s="1"/>
  <c r="M44" i="10"/>
  <c r="L47" i="10"/>
  <c r="M47" i="10"/>
  <c r="M52" i="10" s="1"/>
  <c r="M48" i="10"/>
  <c r="L48" i="10" s="1"/>
  <c r="L55" i="10"/>
  <c r="L60" i="10" s="1"/>
  <c r="P41" i="10" s="1"/>
  <c r="M55" i="10"/>
  <c r="L56" i="10"/>
  <c r="M56" i="10"/>
  <c r="M60" i="10"/>
  <c r="I3" i="11"/>
  <c r="I38" i="11" s="1"/>
  <c r="I4" i="11"/>
  <c r="I5" i="11"/>
  <c r="R5" i="11"/>
  <c r="I6" i="11"/>
  <c r="C41" i="11" s="1"/>
  <c r="C44" i="11" s="1"/>
  <c r="C48" i="11" s="1"/>
  <c r="P45" i="11" s="1"/>
  <c r="I7" i="11"/>
  <c r="I8" i="11"/>
  <c r="I9" i="11"/>
  <c r="R9" i="11"/>
  <c r="I10" i="11"/>
  <c r="I11" i="11"/>
  <c r="I12" i="11"/>
  <c r="I13" i="11"/>
  <c r="R13" i="11"/>
  <c r="I14" i="11"/>
  <c r="I15" i="11"/>
  <c r="I16" i="11"/>
  <c r="R16" i="11"/>
  <c r="I17" i="11"/>
  <c r="R17" i="11"/>
  <c r="I18" i="11"/>
  <c r="I19" i="11"/>
  <c r="R19" i="11"/>
  <c r="I20" i="11"/>
  <c r="R20" i="11"/>
  <c r="I21" i="11"/>
  <c r="I22" i="11"/>
  <c r="R22" i="11"/>
  <c r="I23" i="11"/>
  <c r="I24" i="11"/>
  <c r="I25" i="11"/>
  <c r="I26" i="11"/>
  <c r="I27" i="11"/>
  <c r="R27" i="11"/>
  <c r="I28" i="11"/>
  <c r="I29" i="11"/>
  <c r="I30" i="11"/>
  <c r="I31" i="11"/>
  <c r="R31" i="11"/>
  <c r="I32" i="11"/>
  <c r="I33" i="11"/>
  <c r="I34" i="11"/>
  <c r="R34" i="11"/>
  <c r="I35" i="11"/>
  <c r="R35" i="11"/>
  <c r="I36" i="11"/>
  <c r="R36" i="11"/>
  <c r="D38" i="11"/>
  <c r="G38" i="11"/>
  <c r="H38" i="11"/>
  <c r="J38" i="11"/>
  <c r="K38" i="11"/>
  <c r="L38" i="11"/>
  <c r="M38" i="11"/>
  <c r="N38" i="11"/>
  <c r="O38" i="11"/>
  <c r="P38" i="11"/>
  <c r="Q38" i="11"/>
  <c r="H39" i="11"/>
  <c r="L42" i="11" s="1"/>
  <c r="H40" i="11"/>
  <c r="E41" i="11"/>
  <c r="H41" i="11"/>
  <c r="L41" i="11"/>
  <c r="M41" i="11"/>
  <c r="M42" i="11"/>
  <c r="C43" i="11"/>
  <c r="E43" i="11"/>
  <c r="E44" i="11"/>
  <c r="M46" i="11"/>
  <c r="L49" i="11"/>
  <c r="L54" i="11" s="1"/>
  <c r="P42" i="11" s="1"/>
  <c r="M49" i="11"/>
  <c r="M54" i="11" s="1"/>
  <c r="L50" i="11"/>
  <c r="M50" i="11"/>
  <c r="L57" i="11"/>
  <c r="L62" i="11" s="1"/>
  <c r="P43" i="11" s="1"/>
  <c r="M57" i="11"/>
  <c r="M62" i="11" s="1"/>
  <c r="M58" i="11"/>
  <c r="L58" i="11" s="1"/>
  <c r="L65" i="11"/>
  <c r="L70" i="11" s="1"/>
  <c r="P44" i="11" s="1"/>
  <c r="M65" i="11"/>
  <c r="L66" i="11"/>
  <c r="M66" i="11"/>
  <c r="M67" i="11"/>
  <c r="L67" i="11" s="1"/>
  <c r="M70" i="11"/>
  <c r="I3" i="12"/>
  <c r="R3" i="12"/>
  <c r="I4" i="12"/>
  <c r="R4" i="12"/>
  <c r="I5" i="12"/>
  <c r="I41" i="12" s="1"/>
  <c r="R5" i="12"/>
  <c r="I6" i="12"/>
  <c r="C44" i="12" s="1"/>
  <c r="C47" i="12" s="1"/>
  <c r="C51" i="12" s="1"/>
  <c r="P47" i="12" s="1"/>
  <c r="I7" i="12"/>
  <c r="R7" i="12"/>
  <c r="I8" i="12"/>
  <c r="I9" i="12"/>
  <c r="R9" i="12"/>
  <c r="I10" i="12"/>
  <c r="I11" i="12"/>
  <c r="I12" i="12"/>
  <c r="I13" i="12"/>
  <c r="R13" i="12"/>
  <c r="I14" i="12"/>
  <c r="I15" i="12"/>
  <c r="I16" i="12"/>
  <c r="I17" i="12"/>
  <c r="I18" i="12"/>
  <c r="I19" i="12"/>
  <c r="R19" i="12"/>
  <c r="I20" i="12"/>
  <c r="I21" i="12"/>
  <c r="R21" i="12"/>
  <c r="I22" i="12"/>
  <c r="I23" i="12"/>
  <c r="I24" i="12"/>
  <c r="I25" i="12"/>
  <c r="I26" i="12"/>
  <c r="I27" i="12"/>
  <c r="I28" i="12"/>
  <c r="R28" i="12"/>
  <c r="I29" i="12"/>
  <c r="R29" i="12"/>
  <c r="I30" i="12"/>
  <c r="R30" i="12"/>
  <c r="I31" i="12"/>
  <c r="I32" i="12"/>
  <c r="I33" i="12"/>
  <c r="R33" i="12"/>
  <c r="I34" i="12"/>
  <c r="I35" i="12"/>
  <c r="I36" i="12"/>
  <c r="I37" i="12"/>
  <c r="R37" i="12"/>
  <c r="I38" i="12"/>
  <c r="I39" i="12"/>
  <c r="D41" i="12"/>
  <c r="G41" i="12"/>
  <c r="H41" i="12"/>
  <c r="J41" i="12"/>
  <c r="K41" i="12"/>
  <c r="L41" i="12"/>
  <c r="M41" i="12"/>
  <c r="N41" i="12"/>
  <c r="O41" i="12"/>
  <c r="P41" i="12"/>
  <c r="Q41" i="12"/>
  <c r="H42" i="12"/>
  <c r="H43" i="12"/>
  <c r="E44" i="12"/>
  <c r="H44" i="12"/>
  <c r="L53" i="12" s="1"/>
  <c r="L44" i="12"/>
  <c r="M44" i="12"/>
  <c r="M49" i="12" s="1"/>
  <c r="M45" i="12"/>
  <c r="L45" i="12" s="1"/>
  <c r="L49" i="12" s="1"/>
  <c r="P44" i="12" s="1"/>
  <c r="C46" i="12"/>
  <c r="E46" i="12"/>
  <c r="E47" i="12"/>
  <c r="M62" i="12" s="1"/>
  <c r="L62" i="12" s="1"/>
  <c r="L52" i="12"/>
  <c r="M52" i="12"/>
  <c r="M53" i="12"/>
  <c r="M57" i="12"/>
  <c r="L60" i="12"/>
  <c r="M60" i="12"/>
  <c r="M65" i="12" s="1"/>
  <c r="M61" i="12"/>
  <c r="L61" i="12" s="1"/>
  <c r="I3" i="13"/>
  <c r="C38" i="13" s="1"/>
  <c r="C41" i="13" s="1"/>
  <c r="C45" i="13" s="1"/>
  <c r="P41" i="13" s="1"/>
  <c r="I4" i="13"/>
  <c r="I5" i="13"/>
  <c r="I6" i="13"/>
  <c r="I7" i="13"/>
  <c r="R7" i="13"/>
  <c r="I8" i="13"/>
  <c r="I9" i="13"/>
  <c r="R9" i="13"/>
  <c r="I10" i="13"/>
  <c r="I11" i="13"/>
  <c r="I12" i="13"/>
  <c r="I13" i="13"/>
  <c r="R13" i="13"/>
  <c r="I14" i="13"/>
  <c r="I15" i="13"/>
  <c r="R15" i="13"/>
  <c r="I16" i="13"/>
  <c r="I17" i="13"/>
  <c r="I18" i="13"/>
  <c r="I19" i="13"/>
  <c r="R19" i="13"/>
  <c r="I20" i="13"/>
  <c r="I21" i="13"/>
  <c r="R21" i="13"/>
  <c r="I22" i="13"/>
  <c r="I23" i="13"/>
  <c r="I24" i="13"/>
  <c r="I25" i="13"/>
  <c r="I26" i="13"/>
  <c r="R26" i="13"/>
  <c r="I27" i="13"/>
  <c r="I28" i="13"/>
  <c r="R28" i="13"/>
  <c r="I29" i="13"/>
  <c r="I30" i="13"/>
  <c r="R30" i="13"/>
  <c r="I31" i="13"/>
  <c r="I32" i="13"/>
  <c r="I33" i="13"/>
  <c r="R33" i="13"/>
  <c r="D35" i="13"/>
  <c r="G35" i="13"/>
  <c r="H35" i="13"/>
  <c r="J35" i="13"/>
  <c r="K35" i="13"/>
  <c r="L35" i="13"/>
  <c r="M35" i="13"/>
  <c r="N35" i="13"/>
  <c r="O35" i="13"/>
  <c r="P35" i="13"/>
  <c r="Q35" i="13"/>
  <c r="H36" i="13"/>
  <c r="L39" i="13" s="1"/>
  <c r="H37" i="13"/>
  <c r="E38" i="13"/>
  <c r="H38" i="13"/>
  <c r="L38" i="13"/>
  <c r="L43" i="13" s="1"/>
  <c r="P38" i="13" s="1"/>
  <c r="M38" i="13"/>
  <c r="M39" i="13"/>
  <c r="C40" i="13"/>
  <c r="E40" i="13"/>
  <c r="E41" i="13"/>
  <c r="M43" i="13"/>
  <c r="L46" i="13"/>
  <c r="M46" i="13"/>
  <c r="M51" i="13" s="1"/>
  <c r="M47" i="13"/>
  <c r="L47" i="13" s="1"/>
  <c r="M48" i="13"/>
  <c r="L48" i="13" s="1"/>
  <c r="L54" i="13"/>
  <c r="L59" i="13" s="1"/>
  <c r="P40" i="13" s="1"/>
  <c r="M54" i="13"/>
  <c r="L55" i="13"/>
  <c r="M55" i="13"/>
  <c r="M59" i="13"/>
  <c r="I3" i="14"/>
  <c r="I64" i="14" s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C69" i="14" s="1"/>
  <c r="I60" i="14"/>
  <c r="I61" i="14"/>
  <c r="I62" i="14"/>
  <c r="D64" i="14"/>
  <c r="G64" i="14"/>
  <c r="H64" i="14"/>
  <c r="J64" i="14"/>
  <c r="K64" i="14"/>
  <c r="L64" i="14"/>
  <c r="M64" i="14"/>
  <c r="N64" i="14"/>
  <c r="O64" i="14"/>
  <c r="P64" i="14"/>
  <c r="Q64" i="14"/>
  <c r="H65" i="14"/>
  <c r="H66" i="14"/>
  <c r="L76" i="14" s="1"/>
  <c r="I66" i="14"/>
  <c r="E67" i="14"/>
  <c r="H67" i="14"/>
  <c r="L67" i="14"/>
  <c r="M67" i="14"/>
  <c r="M68" i="14"/>
  <c r="L68" i="14" s="1"/>
  <c r="E69" i="14"/>
  <c r="E70" i="14"/>
  <c r="M85" i="14" s="1"/>
  <c r="L85" i="14" s="1"/>
  <c r="M72" i="14"/>
  <c r="L75" i="14"/>
  <c r="M75" i="14"/>
  <c r="M80" i="14" s="1"/>
  <c r="M76" i="14"/>
  <c r="L83" i="14"/>
  <c r="L88" i="14" s="1"/>
  <c r="P69" i="14" s="1"/>
  <c r="M83" i="14"/>
  <c r="L84" i="14"/>
  <c r="M84" i="14"/>
  <c r="M88" i="14"/>
  <c r="I3" i="15"/>
  <c r="C33" i="15" s="1"/>
  <c r="C36" i="15" s="1"/>
  <c r="C40" i="15" s="1"/>
  <c r="P37" i="15" s="1"/>
  <c r="I4" i="15"/>
  <c r="I30" i="15" s="1"/>
  <c r="I5" i="15"/>
  <c r="R5" i="15"/>
  <c r="I6" i="15"/>
  <c r="I7" i="15"/>
  <c r="I8" i="15"/>
  <c r="I9" i="15"/>
  <c r="I10" i="15"/>
  <c r="I11" i="15"/>
  <c r="I12" i="15"/>
  <c r="I13" i="15"/>
  <c r="I14" i="15"/>
  <c r="I15" i="15"/>
  <c r="I16" i="15"/>
  <c r="R16" i="15"/>
  <c r="I17" i="15"/>
  <c r="I18" i="15"/>
  <c r="I19" i="15"/>
  <c r="I20" i="15"/>
  <c r="R20" i="15"/>
  <c r="I21" i="15"/>
  <c r="I22" i="15"/>
  <c r="R22" i="15"/>
  <c r="I23" i="15"/>
  <c r="R23" i="15"/>
  <c r="I24" i="15"/>
  <c r="R24" i="15"/>
  <c r="I25" i="15"/>
  <c r="I26" i="15"/>
  <c r="I27" i="15"/>
  <c r="R27" i="15"/>
  <c r="I28" i="15"/>
  <c r="D30" i="15"/>
  <c r="G30" i="15"/>
  <c r="H30" i="15"/>
  <c r="J30" i="15"/>
  <c r="K30" i="15"/>
  <c r="L30" i="15"/>
  <c r="M30" i="15"/>
  <c r="N30" i="15"/>
  <c r="O30" i="15"/>
  <c r="P30" i="15"/>
  <c r="Q30" i="15"/>
  <c r="H31" i="15"/>
  <c r="H32" i="15"/>
  <c r="E33" i="15"/>
  <c r="L33" i="15"/>
  <c r="M33" i="15"/>
  <c r="L34" i="15"/>
  <c r="M34" i="15"/>
  <c r="C35" i="15"/>
  <c r="E35" i="15"/>
  <c r="E36" i="15"/>
  <c r="M35" i="15" s="1"/>
  <c r="L35" i="15" s="1"/>
  <c r="M38" i="15"/>
  <c r="L41" i="15"/>
  <c r="L46" i="15" s="1"/>
  <c r="P34" i="15" s="1"/>
  <c r="M41" i="15"/>
  <c r="L42" i="15"/>
  <c r="M42" i="15"/>
  <c r="C43" i="15"/>
  <c r="C46" i="15" s="1"/>
  <c r="C50" i="15" s="1"/>
  <c r="E43" i="15"/>
  <c r="E46" i="15" s="1"/>
  <c r="C45" i="15"/>
  <c r="E45" i="15"/>
  <c r="M46" i="15"/>
  <c r="L49" i="15"/>
  <c r="M49" i="15"/>
  <c r="M50" i="15"/>
  <c r="L50" i="15" s="1"/>
  <c r="L55" i="15" s="1"/>
  <c r="P35" i="15" s="1"/>
  <c r="M55" i="15"/>
  <c r="L58" i="15"/>
  <c r="M58" i="15"/>
  <c r="M59" i="15"/>
  <c r="L59" i="15" s="1"/>
  <c r="M63" i="15"/>
  <c r="I3" i="16"/>
  <c r="I4" i="16"/>
  <c r="I5" i="16"/>
  <c r="C40" i="16" s="1"/>
  <c r="C43" i="16" s="1"/>
  <c r="C47" i="16" s="1"/>
  <c r="P43" i="16" s="1"/>
  <c r="I6" i="16"/>
  <c r="I7" i="16"/>
  <c r="R7" i="16"/>
  <c r="I8" i="16"/>
  <c r="I9" i="16"/>
  <c r="R9" i="16"/>
  <c r="I10" i="16"/>
  <c r="R10" i="16"/>
  <c r="I11" i="16"/>
  <c r="I12" i="16"/>
  <c r="I13" i="16"/>
  <c r="R13" i="16"/>
  <c r="I14" i="16"/>
  <c r="I15" i="16"/>
  <c r="I16" i="16"/>
  <c r="I17" i="16"/>
  <c r="R17" i="16"/>
  <c r="I18" i="16"/>
  <c r="I19" i="16"/>
  <c r="I20" i="16"/>
  <c r="I21" i="16"/>
  <c r="R21" i="16"/>
  <c r="I22" i="16"/>
  <c r="I23" i="16"/>
  <c r="R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D37" i="16"/>
  <c r="G37" i="16"/>
  <c r="H37" i="16"/>
  <c r="J37" i="16"/>
  <c r="K37" i="16"/>
  <c r="L37" i="16"/>
  <c r="M37" i="16"/>
  <c r="N37" i="16"/>
  <c r="O37" i="16"/>
  <c r="P37" i="16"/>
  <c r="Q37" i="16"/>
  <c r="H38" i="16"/>
  <c r="L49" i="16" s="1"/>
  <c r="H39" i="16"/>
  <c r="E40" i="16"/>
  <c r="H40" i="16"/>
  <c r="L40" i="16"/>
  <c r="L45" i="16" s="1"/>
  <c r="P40" i="16" s="1"/>
  <c r="M40" i="16"/>
  <c r="M41" i="16"/>
  <c r="L41" i="16" s="1"/>
  <c r="C42" i="16"/>
  <c r="E42" i="16"/>
  <c r="E43" i="16"/>
  <c r="M58" i="16" s="1"/>
  <c r="L58" i="16" s="1"/>
  <c r="M45" i="16"/>
  <c r="L48" i="16"/>
  <c r="L53" i="16" s="1"/>
  <c r="P41" i="16" s="1"/>
  <c r="M48" i="16"/>
  <c r="M53" i="16" s="1"/>
  <c r="M49" i="16"/>
  <c r="L56" i="16"/>
  <c r="M56" i="16"/>
  <c r="L57" i="16"/>
  <c r="M57" i="16"/>
  <c r="M61" i="16"/>
  <c r="I3" i="17"/>
  <c r="I41" i="17" s="1"/>
  <c r="I4" i="17"/>
  <c r="C44" i="17" s="1"/>
  <c r="C47" i="17" s="1"/>
  <c r="C51" i="17" s="1"/>
  <c r="P48" i="17" s="1"/>
  <c r="R4" i="17"/>
  <c r="I5" i="17"/>
  <c r="I6" i="17"/>
  <c r="I7" i="17"/>
  <c r="I8" i="17"/>
  <c r="R8" i="17"/>
  <c r="I9" i="17"/>
  <c r="I10" i="17"/>
  <c r="R10" i="17"/>
  <c r="I11" i="17"/>
  <c r="I12" i="17"/>
  <c r="I13" i="17"/>
  <c r="R13" i="17"/>
  <c r="I14" i="17"/>
  <c r="I15" i="17"/>
  <c r="I16" i="17"/>
  <c r="R16" i="17"/>
  <c r="I17" i="17"/>
  <c r="I18" i="17"/>
  <c r="I19" i="17"/>
  <c r="R19" i="17"/>
  <c r="I20" i="17"/>
  <c r="I21" i="17"/>
  <c r="R21" i="17"/>
  <c r="I22" i="17"/>
  <c r="I23" i="17"/>
  <c r="I24" i="17"/>
  <c r="I25" i="17"/>
  <c r="R25" i="17"/>
  <c r="I26" i="17"/>
  <c r="R26" i="17"/>
  <c r="I27" i="17"/>
  <c r="R27" i="17"/>
  <c r="I28" i="17"/>
  <c r="I29" i="17"/>
  <c r="R29" i="17"/>
  <c r="I30" i="17"/>
  <c r="I31" i="17"/>
  <c r="I32" i="17"/>
  <c r="I33" i="17"/>
  <c r="R33" i="17"/>
  <c r="I34" i="17"/>
  <c r="I35" i="17"/>
  <c r="I36" i="17"/>
  <c r="R36" i="17"/>
  <c r="I37" i="17"/>
  <c r="I38" i="17"/>
  <c r="R38" i="17"/>
  <c r="I39" i="17"/>
  <c r="R39" i="17"/>
  <c r="D41" i="17"/>
  <c r="G41" i="17"/>
  <c r="H41" i="17"/>
  <c r="J41" i="17"/>
  <c r="K41" i="17"/>
  <c r="L41" i="17"/>
  <c r="M41" i="17"/>
  <c r="N41" i="17"/>
  <c r="O41" i="17"/>
  <c r="P41" i="17"/>
  <c r="Q41" i="17"/>
  <c r="H42" i="17"/>
  <c r="H43" i="17"/>
  <c r="E44" i="17"/>
  <c r="L44" i="17"/>
  <c r="M44" i="17"/>
  <c r="M45" i="17"/>
  <c r="L45" i="17" s="1"/>
  <c r="C46" i="17"/>
  <c r="E46" i="17"/>
  <c r="E47" i="17"/>
  <c r="M46" i="17" s="1"/>
  <c r="L46" i="17" s="1"/>
  <c r="M49" i="17"/>
  <c r="L52" i="17"/>
  <c r="L57" i="17" s="1"/>
  <c r="P45" i="17" s="1"/>
  <c r="M52" i="17"/>
  <c r="M53" i="17"/>
  <c r="L53" i="17" s="1"/>
  <c r="M57" i="17"/>
  <c r="L60" i="17"/>
  <c r="M60" i="17"/>
  <c r="M65" i="17" s="1"/>
  <c r="L61" i="17"/>
  <c r="M61" i="17"/>
  <c r="L65" i="17"/>
  <c r="P46" i="17" s="1"/>
  <c r="L68" i="17"/>
  <c r="M68" i="17"/>
  <c r="M69" i="17"/>
  <c r="L69" i="17" s="1"/>
  <c r="M73" i="17"/>
  <c r="I3" i="20"/>
  <c r="I4" i="20"/>
  <c r="C39" i="20" s="1"/>
  <c r="C42" i="20" s="1"/>
  <c r="C46" i="20" s="1"/>
  <c r="P42" i="20" s="1"/>
  <c r="I5" i="20"/>
  <c r="I36" i="20" s="1"/>
  <c r="I6" i="20"/>
  <c r="I7" i="20"/>
  <c r="I8" i="20"/>
  <c r="R8" i="20"/>
  <c r="I9" i="20"/>
  <c r="I10" i="20"/>
  <c r="I11" i="20"/>
  <c r="I12" i="20"/>
  <c r="I13" i="20"/>
  <c r="I14" i="20"/>
  <c r="R14" i="20"/>
  <c r="I15" i="20"/>
  <c r="R15" i="20"/>
  <c r="I16" i="20"/>
  <c r="I17" i="20"/>
  <c r="I18" i="20"/>
  <c r="I19" i="20"/>
  <c r="R19" i="20"/>
  <c r="I20" i="20"/>
  <c r="I21" i="20"/>
  <c r="R21" i="20"/>
  <c r="I22" i="20"/>
  <c r="I23" i="20"/>
  <c r="I24" i="20"/>
  <c r="R24" i="20"/>
  <c r="I25" i="20"/>
  <c r="R25" i="20"/>
  <c r="I26" i="20"/>
  <c r="I27" i="20"/>
  <c r="I28" i="20"/>
  <c r="I29" i="20"/>
  <c r="I30" i="20"/>
  <c r="I31" i="20"/>
  <c r="I32" i="20"/>
  <c r="I33" i="20"/>
  <c r="I34" i="20"/>
  <c r="D36" i="20"/>
  <c r="G36" i="20"/>
  <c r="H36" i="20"/>
  <c r="J36" i="20"/>
  <c r="K36" i="20"/>
  <c r="L36" i="20"/>
  <c r="M36" i="20"/>
  <c r="N36" i="20"/>
  <c r="O36" i="20"/>
  <c r="P36" i="20"/>
  <c r="Q36" i="20"/>
  <c r="H37" i="20"/>
  <c r="H38" i="20"/>
  <c r="L40" i="20" s="1"/>
  <c r="L44" i="20" s="1"/>
  <c r="P39" i="20" s="1"/>
  <c r="E39" i="20"/>
  <c r="H39" i="20"/>
  <c r="L39" i="20"/>
  <c r="M39" i="20"/>
  <c r="M44" i="20" s="1"/>
  <c r="M40" i="20"/>
  <c r="C41" i="20"/>
  <c r="E41" i="20"/>
  <c r="E42" i="20"/>
  <c r="M49" i="20" s="1"/>
  <c r="L49" i="20" s="1"/>
  <c r="L47" i="20"/>
  <c r="M47" i="20"/>
  <c r="M48" i="20"/>
  <c r="L48" i="20" s="1"/>
  <c r="L52" i="20" s="1"/>
  <c r="P40" i="20" s="1"/>
  <c r="M52" i="20"/>
  <c r="L55" i="20"/>
  <c r="M55" i="20"/>
  <c r="M60" i="20" s="1"/>
  <c r="M56" i="20"/>
  <c r="L56" i="20" s="1"/>
  <c r="I3" i="21"/>
  <c r="I44" i="21" s="1"/>
  <c r="R3" i="21"/>
  <c r="I4" i="21"/>
  <c r="C47" i="21" s="1"/>
  <c r="C50" i="21" s="1"/>
  <c r="C54" i="21" s="1"/>
  <c r="P50" i="21" s="1"/>
  <c r="R4" i="21"/>
  <c r="I5" i="21"/>
  <c r="I6" i="21"/>
  <c r="R6" i="21"/>
  <c r="I7" i="21"/>
  <c r="R7" i="21"/>
  <c r="I8" i="21"/>
  <c r="I9" i="21"/>
  <c r="I10" i="21"/>
  <c r="I11" i="21"/>
  <c r="I12" i="21"/>
  <c r="R12" i="21"/>
  <c r="I13" i="21"/>
  <c r="I14" i="21"/>
  <c r="I15" i="21"/>
  <c r="I16" i="21"/>
  <c r="I17" i="21"/>
  <c r="I18" i="21"/>
  <c r="R18" i="21"/>
  <c r="I19" i="21"/>
  <c r="I20" i="21"/>
  <c r="I21" i="21"/>
  <c r="I22" i="21"/>
  <c r="I23" i="21"/>
  <c r="I24" i="21"/>
  <c r="R24" i="21"/>
  <c r="I25" i="21"/>
  <c r="I26" i="21"/>
  <c r="I27" i="21"/>
  <c r="I28" i="21"/>
  <c r="R28" i="21"/>
  <c r="I29" i="21"/>
  <c r="I30" i="21"/>
  <c r="I31" i="21"/>
  <c r="I32" i="21"/>
  <c r="R32" i="21"/>
  <c r="I33" i="21"/>
  <c r="R33" i="21"/>
  <c r="I34" i="21"/>
  <c r="I35" i="21"/>
  <c r="I36" i="21"/>
  <c r="I37" i="21"/>
  <c r="I38" i="21"/>
  <c r="I39" i="21"/>
  <c r="R39" i="21"/>
  <c r="I40" i="21"/>
  <c r="I41" i="21"/>
  <c r="I42" i="21"/>
  <c r="D44" i="21"/>
  <c r="G44" i="21"/>
  <c r="H44" i="21"/>
  <c r="J44" i="21"/>
  <c r="K44" i="21"/>
  <c r="L44" i="21"/>
  <c r="M44" i="21"/>
  <c r="N44" i="21"/>
  <c r="O44" i="21"/>
  <c r="P44" i="21"/>
  <c r="Q44" i="21"/>
  <c r="H45" i="21"/>
  <c r="H46" i="21"/>
  <c r="E47" i="21"/>
  <c r="E50" i="21" s="1"/>
  <c r="M49" i="21" s="1"/>
  <c r="L49" i="21" s="1"/>
  <c r="H47" i="21"/>
  <c r="L56" i="21" s="1"/>
  <c r="L47" i="21"/>
  <c r="M47" i="21"/>
  <c r="M52" i="21" s="1"/>
  <c r="M48" i="21"/>
  <c r="L48" i="21" s="1"/>
  <c r="C49" i="21"/>
  <c r="E49" i="21"/>
  <c r="L55" i="21"/>
  <c r="L60" i="21" s="1"/>
  <c r="P48" i="21" s="1"/>
  <c r="M55" i="21"/>
  <c r="M56" i="21"/>
  <c r="M60" i="21"/>
  <c r="L63" i="21"/>
  <c r="M63" i="21"/>
  <c r="M68" i="21" s="1"/>
  <c r="M64" i="21"/>
  <c r="L64" i="21" s="1"/>
  <c r="L68" i="21" s="1"/>
  <c r="P49" i="21" s="1"/>
  <c r="I3" i="22"/>
  <c r="I43" i="22" s="1"/>
  <c r="I4" i="22"/>
  <c r="I5" i="22"/>
  <c r="R5" i="22"/>
  <c r="I6" i="22"/>
  <c r="I7" i="22"/>
  <c r="R7" i="22"/>
  <c r="I8" i="22"/>
  <c r="R8" i="22"/>
  <c r="I9" i="22"/>
  <c r="R9" i="22"/>
  <c r="I10" i="22"/>
  <c r="R10" i="22"/>
  <c r="I11" i="22"/>
  <c r="R11" i="22"/>
  <c r="I12" i="22"/>
  <c r="R12" i="22"/>
  <c r="I13" i="22"/>
  <c r="R13" i="22"/>
  <c r="I14" i="22"/>
  <c r="I15" i="22"/>
  <c r="I16" i="22"/>
  <c r="I17" i="22"/>
  <c r="I18" i="22"/>
  <c r="I19" i="22"/>
  <c r="I20" i="22"/>
  <c r="R20" i="22"/>
  <c r="I21" i="22"/>
  <c r="I22" i="22"/>
  <c r="I23" i="22"/>
  <c r="I24" i="22"/>
  <c r="I25" i="22"/>
  <c r="I26" i="22"/>
  <c r="R26" i="22"/>
  <c r="I27" i="22"/>
  <c r="I28" i="22"/>
  <c r="I29" i="22"/>
  <c r="R29" i="22"/>
  <c r="I30" i="22"/>
  <c r="I31" i="22"/>
  <c r="I32" i="22"/>
  <c r="I33" i="22"/>
  <c r="R33" i="22"/>
  <c r="I34" i="22"/>
  <c r="I35" i="22"/>
  <c r="R35" i="22"/>
  <c r="I36" i="22"/>
  <c r="I37" i="22"/>
  <c r="I38" i="22"/>
  <c r="I39" i="22"/>
  <c r="I40" i="22"/>
  <c r="I41" i="22"/>
  <c r="D43" i="22"/>
  <c r="G43" i="22"/>
  <c r="H43" i="22"/>
  <c r="J43" i="22"/>
  <c r="K43" i="22"/>
  <c r="L43" i="22"/>
  <c r="M43" i="22"/>
  <c r="N43" i="22"/>
  <c r="O43" i="22"/>
  <c r="P43" i="22"/>
  <c r="Q43" i="22"/>
  <c r="H44" i="22"/>
  <c r="H45" i="22"/>
  <c r="E46" i="22"/>
  <c r="E49" i="22" s="1"/>
  <c r="M56" i="22" s="1"/>
  <c r="L56" i="22" s="1"/>
  <c r="H46" i="22"/>
  <c r="L46" i="22"/>
  <c r="M46" i="22"/>
  <c r="L47" i="22"/>
  <c r="L51" i="22" s="1"/>
  <c r="P46" i="22" s="1"/>
  <c r="M47" i="22"/>
  <c r="C48" i="22"/>
  <c r="E48" i="22"/>
  <c r="M51" i="22"/>
  <c r="L54" i="22"/>
  <c r="M54" i="22"/>
  <c r="M59" i="22" s="1"/>
  <c r="M55" i="22"/>
  <c r="L55" i="22" s="1"/>
  <c r="L62" i="22"/>
  <c r="L67" i="22" s="1"/>
  <c r="P48" i="22" s="1"/>
  <c r="M62" i="22"/>
  <c r="M67" i="22" s="1"/>
  <c r="L63" i="22"/>
  <c r="M63" i="22"/>
  <c r="L70" i="22"/>
  <c r="M70" i="22"/>
  <c r="M75" i="22" s="1"/>
  <c r="M71" i="22"/>
  <c r="L71" i="22" s="1"/>
  <c r="D3" i="19" a="1"/>
  <c r="E29" i="19" a="1"/>
  <c r="I15" i="23"/>
  <c r="I4" i="23"/>
  <c r="I16" i="23"/>
  <c r="I3" i="23"/>
  <c r="I5" i="23"/>
  <c r="I6" i="23"/>
  <c r="I25" i="23"/>
  <c r="I17" i="23"/>
  <c r="I7" i="23"/>
  <c r="I8" i="23"/>
  <c r="I18" i="23"/>
  <c r="I19" i="23"/>
  <c r="I9" i="23"/>
  <c r="I10" i="23"/>
  <c r="I20" i="23"/>
  <c r="I26" i="23"/>
  <c r="I11" i="23"/>
  <c r="I21" i="23"/>
  <c r="I22" i="23"/>
  <c r="I12" i="23"/>
  <c r="I27" i="23"/>
  <c r="I28" i="23"/>
  <c r="I13" i="23"/>
  <c r="I14" i="23"/>
  <c r="I29" i="23"/>
  <c r="I23" i="23"/>
  <c r="I24" i="23"/>
  <c r="D31" i="23"/>
  <c r="G31" i="23"/>
  <c r="H31" i="23"/>
  <c r="J31" i="23"/>
  <c r="K31" i="23"/>
  <c r="L31" i="23"/>
  <c r="M31" i="23"/>
  <c r="N31" i="23"/>
  <c r="O31" i="23"/>
  <c r="P31" i="23"/>
  <c r="Q31" i="23"/>
  <c r="H32" i="23"/>
  <c r="H33" i="23"/>
  <c r="E34" i="23"/>
  <c r="E37" i="23" s="1"/>
  <c r="M36" i="23" s="1"/>
  <c r="L36" i="23" s="1"/>
  <c r="L34" i="23"/>
  <c r="M34" i="23"/>
  <c r="M39" i="23" s="1"/>
  <c r="M35" i="23"/>
  <c r="L35" i="23" s="1"/>
  <c r="C36" i="23"/>
  <c r="E36" i="23"/>
  <c r="L42" i="23"/>
  <c r="L47" i="23" s="1"/>
  <c r="P35" i="23" s="1"/>
  <c r="M42" i="23"/>
  <c r="M47" i="23" s="1"/>
  <c r="L43" i="23"/>
  <c r="M43" i="23"/>
  <c r="L50" i="23"/>
  <c r="M50" i="23"/>
  <c r="M55" i="23" s="1"/>
  <c r="M51" i="23"/>
  <c r="L51" i="23" s="1"/>
  <c r="L58" i="23"/>
  <c r="M58" i="23"/>
  <c r="M63" i="23" s="1"/>
  <c r="M59" i="23"/>
  <c r="L59" i="23" s="1"/>
  <c r="B4" i="19"/>
  <c r="B7" i="19"/>
  <c r="B10" i="19"/>
  <c r="B13" i="19"/>
  <c r="B16" i="19"/>
  <c r="B19" i="19"/>
  <c r="B22" i="19"/>
  <c r="B25" i="19"/>
  <c r="C13" i="19"/>
  <c r="C19" i="19"/>
  <c r="C25" i="19"/>
  <c r="C4" i="19"/>
  <c r="C7" i="19"/>
  <c r="C10" i="19"/>
  <c r="C16" i="19"/>
  <c r="C22" i="19"/>
  <c r="D4" i="19" a="1"/>
  <c r="D7" i="19" a="1"/>
  <c r="D10" i="19" a="1"/>
  <c r="D13" i="19" a="1"/>
  <c r="D16" i="19" a="1"/>
  <c r="D19" i="19" a="1"/>
  <c r="D22" i="19" a="1"/>
  <c r="D25" i="19" a="1"/>
  <c r="B8" i="19"/>
  <c r="B23" i="19"/>
  <c r="C11" i="19"/>
  <c r="C23" i="19"/>
  <c r="D17" i="19" a="1"/>
  <c r="C27" i="19"/>
  <c r="B5" i="19"/>
  <c r="B11" i="19"/>
  <c r="B14" i="19"/>
  <c r="B20" i="19"/>
  <c r="B26" i="19"/>
  <c r="C17" i="19"/>
  <c r="C26" i="19"/>
  <c r="D26" i="19" a="1"/>
  <c r="C5" i="19"/>
  <c r="C8" i="19"/>
  <c r="C14" i="19"/>
  <c r="C20" i="19"/>
  <c r="D20" i="19" a="1"/>
  <c r="D5" i="19" a="1"/>
  <c r="D8" i="19" a="1"/>
  <c r="D11" i="19" a="1"/>
  <c r="D14" i="19" a="1"/>
  <c r="D23" i="19" a="1"/>
  <c r="B21" i="19"/>
  <c r="C9" i="19"/>
  <c r="C15" i="19"/>
  <c r="C24" i="19"/>
  <c r="B6" i="19"/>
  <c r="B9" i="19"/>
  <c r="B12" i="19"/>
  <c r="B15" i="19"/>
  <c r="B18" i="19"/>
  <c r="B24" i="19"/>
  <c r="B27" i="19"/>
  <c r="C6" i="19"/>
  <c r="C12" i="19"/>
  <c r="C21" i="19"/>
  <c r="C18" i="19"/>
  <c r="D6" i="19" a="1"/>
  <c r="D9" i="19" a="1"/>
  <c r="D12" i="19" a="1"/>
  <c r="D15" i="19" a="1"/>
  <c r="D18" i="19" a="1"/>
  <c r="D21" i="19" a="1"/>
  <c r="D24" i="19" a="1"/>
  <c r="D27" i="19" a="1"/>
  <c r="B3" i="19"/>
  <c r="C3" i="19"/>
  <c r="D3" i="19"/>
  <c r="C34" i="23" l="1"/>
  <c r="C37" i="23" s="1"/>
  <c r="C41" i="23" s="1"/>
  <c r="P38" i="23" s="1"/>
  <c r="I31" i="23"/>
  <c r="L63" i="23"/>
  <c r="P37" i="23" s="1"/>
  <c r="D27" i="19"/>
  <c r="E27" i="19" s="1"/>
  <c r="D24" i="19"/>
  <c r="E24" i="19" s="1"/>
  <c r="D21" i="19"/>
  <c r="E21" i="19" s="1"/>
  <c r="D18" i="19"/>
  <c r="E18" i="19" s="1"/>
  <c r="D15" i="19"/>
  <c r="E15" i="19" s="1"/>
  <c r="D12" i="19"/>
  <c r="E12" i="19" s="1"/>
  <c r="D9" i="19"/>
  <c r="E9" i="19" s="1"/>
  <c r="D6" i="19"/>
  <c r="E6" i="19" s="1"/>
  <c r="D23" i="19"/>
  <c r="E23" i="19" s="1"/>
  <c r="D14" i="19"/>
  <c r="E14" i="19" s="1"/>
  <c r="D11" i="19"/>
  <c r="E11" i="19" s="1"/>
  <c r="D8" i="19"/>
  <c r="E8" i="19" s="1"/>
  <c r="D5" i="19"/>
  <c r="E5" i="19" s="1"/>
  <c r="D20" i="19"/>
  <c r="E20" i="19" s="1"/>
  <c r="D26" i="19"/>
  <c r="E26" i="19" s="1"/>
  <c r="D17" i="19"/>
  <c r="D25" i="19"/>
  <c r="E25" i="19" s="1"/>
  <c r="D22" i="19"/>
  <c r="E22" i="19" s="1"/>
  <c r="D19" i="19"/>
  <c r="E19" i="19" s="1"/>
  <c r="D16" i="19"/>
  <c r="E16" i="19" s="1"/>
  <c r="D13" i="19"/>
  <c r="E13" i="19" s="1"/>
  <c r="D10" i="19"/>
  <c r="E10" i="19" s="1"/>
  <c r="D7" i="19"/>
  <c r="E7" i="19" s="1"/>
  <c r="D4" i="19"/>
  <c r="E4" i="19" s="1"/>
  <c r="E3" i="19"/>
  <c r="L61" i="16"/>
  <c r="P42" i="16" s="1"/>
  <c r="P44" i="16" s="1"/>
  <c r="L65" i="12"/>
  <c r="P46" i="12" s="1"/>
  <c r="P36" i="8"/>
  <c r="P66" i="7"/>
  <c r="L60" i="20"/>
  <c r="P41" i="20" s="1"/>
  <c r="L49" i="17"/>
  <c r="P44" i="17" s="1"/>
  <c r="L80" i="14"/>
  <c r="P68" i="14" s="1"/>
  <c r="L46" i="11"/>
  <c r="P41" i="11" s="1"/>
  <c r="P46" i="11" s="1"/>
  <c r="L59" i="22"/>
  <c r="P47" i="22" s="1"/>
  <c r="P51" i="22" s="1"/>
  <c r="P43" i="20"/>
  <c r="L73" i="9"/>
  <c r="P61" i="9" s="1"/>
  <c r="L52" i="21"/>
  <c r="P47" i="21" s="1"/>
  <c r="P51" i="21" s="1"/>
  <c r="L38" i="15"/>
  <c r="P33" i="15" s="1"/>
  <c r="L57" i="12"/>
  <c r="P45" i="12" s="1"/>
  <c r="L72" i="14"/>
  <c r="P67" i="14" s="1"/>
  <c r="L51" i="13"/>
  <c r="P39" i="13" s="1"/>
  <c r="P42" i="13" s="1"/>
  <c r="P48" i="12"/>
  <c r="L75" i="22"/>
  <c r="P49" i="22" s="1"/>
  <c r="L55" i="23"/>
  <c r="P36" i="23" s="1"/>
  <c r="L39" i="23"/>
  <c r="L73" i="17"/>
  <c r="P47" i="17" s="1"/>
  <c r="L63" i="15"/>
  <c r="P36" i="15" s="1"/>
  <c r="L52" i="10"/>
  <c r="P40" i="10" s="1"/>
  <c r="P43" i="10" s="1"/>
  <c r="L65" i="9"/>
  <c r="P60" i="9" s="1"/>
  <c r="C46" i="22"/>
  <c r="C49" i="22" s="1"/>
  <c r="C53" i="22" s="1"/>
  <c r="P50" i="22" s="1"/>
  <c r="I58" i="7"/>
  <c r="I36" i="10"/>
  <c r="I37" i="16"/>
  <c r="I35" i="13"/>
  <c r="C67" i="14"/>
  <c r="C70" i="14" s="1"/>
  <c r="C74" i="14" s="1"/>
  <c r="P70" i="14" s="1"/>
  <c r="I57" i="9"/>
  <c r="B17" i="19"/>
  <c r="E17" i="19" l="1"/>
  <c r="E28" i="19" s="1"/>
  <c r="E30" i="19" s="1"/>
  <c r="P34" i="23"/>
  <c r="P39" i="23" s="1"/>
  <c r="P49" i="17"/>
  <c r="P71" i="14"/>
  <c r="P64" i="9"/>
  <c r="P38" i="15"/>
  <c r="E29" i="19"/>
  <c r="E31" i="1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<sst xmlns="http://schemas.openxmlformats.org/spreadsheetml/2006/main" count="5282" uniqueCount="1593">
  <si>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</si>
  <si>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</si>
  <si>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</si>
  <si>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</si>
  <si>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</si>
  <si>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</si>
  <si>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</si>
  <si>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</si>
  <si>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</si>
  <si>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</si>
  <si>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</si>
  <si>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</si>
  <si>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</si>
  <si>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</si>
  <si>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</si>
  <si>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</si>
  <si>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hàng sỉ</t>
  </si>
  <si>
    <t>ĐOÀN NGÂN CHÂU</t>
  </si>
  <si>
    <t>MAI CHI</t>
  </si>
  <si>
    <t>toa BS16 - The oasis - vinhome grand park</t>
  </si>
  <si>
    <t>a.quyen</t>
  </si>
  <si>
    <t>c.cuong</t>
  </si>
  <si>
    <t>01-05-2026</t>
  </si>
  <si>
    <t>Thu Lê</t>
  </si>
  <si>
    <t>HD017813</t>
  </si>
  <si>
    <t>293 vành đai trong, P.Bình trị đông B</t>
  </si>
  <si>
    <t>binh tan</t>
  </si>
  <si>
    <t>AT 01-05</t>
  </si>
  <si>
    <t>Như Quỳnh</t>
  </si>
  <si>
    <t>HD017879</t>
  </si>
  <si>
    <t>56/13/18 huỳnh thị hai phường tân chánh hiệp</t>
  </si>
  <si>
    <t>C Thảo Thao Nguyen</t>
  </si>
  <si>
    <t>HD017906</t>
  </si>
  <si>
    <t>111/8B Trường Chinh, phường Đông Hưng Thuận</t>
  </si>
  <si>
    <t>Kim Bình</t>
  </si>
  <si>
    <t>HD018057</t>
  </si>
  <si>
    <t>1253 phạm thế hiển p5</t>
  </si>
  <si>
    <t>Ánh Linh</t>
  </si>
  <si>
    <t>HD018056</t>
  </si>
  <si>
    <t>Toà A chung cư diamond 49C lê quang kim p8</t>
  </si>
  <si>
    <t>W3235</t>
  </si>
  <si>
    <t>HD017713</t>
  </si>
  <si>
    <t>375 tân thới hiệp 21, Tổ 3,Kp3</t>
  </si>
  <si>
    <t>Đỗ Nhi</t>
  </si>
  <si>
    <t>HD017976</t>
  </si>
  <si>
    <t>25/49/15/8 nguyễn minh châu</t>
  </si>
  <si>
    <t>tan phu</t>
  </si>
  <si>
    <t>Nguyễn Thị Khánh Ly</t>
  </si>
  <si>
    <t>HD017945</t>
  </si>
  <si>
    <t>Chung cư akari block 9</t>
  </si>
  <si>
    <t>Võ Thục Trinh</t>
  </si>
  <si>
    <t>HD017966</t>
  </si>
  <si>
    <t>Chung cư Topaz City block A1, 39 Cao Lỗ P4</t>
  </si>
  <si>
    <t>Hang Nguyen fb Bella Nguyen</t>
  </si>
  <si>
    <t>HD018060</t>
  </si>
  <si>
    <t>10/23 chiến lược p bình trị đông</t>
  </si>
  <si>
    <t>Ruby Nguyễn</t>
  </si>
  <si>
    <t>HD018067</t>
  </si>
  <si>
    <t>M37/15 Cư Xá Phú Lâm A Phường 12</t>
  </si>
  <si>
    <t>Diễn Phan</t>
  </si>
  <si>
    <t>HD017789</t>
  </si>
  <si>
    <t>11/26/14 đường nam cao, p tân phú</t>
  </si>
  <si>
    <t>fb Thuyên Quyên</t>
  </si>
  <si>
    <t>HD018007</t>
  </si>
  <si>
    <t>68B/23/1C hương lộ 2, phường bình trị đông A</t>
  </si>
  <si>
    <t>Hoa Tuyết</t>
  </si>
  <si>
    <t>HD017605</t>
  </si>
  <si>
    <t>126A/4 tổ 17 trung mỹ tây</t>
  </si>
  <si>
    <t>ng nhận Duyên Mai</t>
  </si>
  <si>
    <t>HD017665</t>
  </si>
  <si>
    <t>lexington residence block c67 Mai chí thọ An Phú</t>
  </si>
  <si>
    <t>MM QUYNH - GỬI HÀO</t>
  </si>
  <si>
    <t>HD017748</t>
  </si>
  <si>
    <t>22 đường tân thới nhất 1B, khu phố 5, phường Tân Thới Nhất</t>
  </si>
  <si>
    <t>Natalie Truong</t>
  </si>
  <si>
    <t>HD017560</t>
  </si>
  <si>
    <t>189/46A Bạch Đằng P3</t>
  </si>
  <si>
    <t>go vap</t>
  </si>
  <si>
    <t>Tran Thu</t>
  </si>
  <si>
    <t>HD017899</t>
  </si>
  <si>
    <t>76/14/6 duong so 7 linh trung</t>
  </si>
  <si>
    <t>thu duc</t>
  </si>
  <si>
    <t>Tran Thi Thuy Trang</t>
  </si>
  <si>
    <t>HD017894</t>
  </si>
  <si>
    <t>184 nguyễn xí- cc Bắc Đinh Bộ Lĩnh - lô A82 căn cầu thang cuối cùng, Phường 26</t>
  </si>
  <si>
    <t>binh thanh</t>
  </si>
  <si>
    <t>Trần Thảo Na</t>
  </si>
  <si>
    <t>HD018101</t>
  </si>
  <si>
    <t>74/5/47A đường số 9 phường an hội đông</t>
  </si>
  <si>
    <t>Triệu Vy _ Cindy</t>
  </si>
  <si>
    <t>HD017806</t>
  </si>
  <si>
    <t>403 Tân Sơn, p12</t>
  </si>
  <si>
    <t>Nguyễn Ánh Dương</t>
  </si>
  <si>
    <t>HD017964</t>
  </si>
  <si>
    <t>382/3/22 nguyễn thái sơn khu phố 1 phường An Nhơn</t>
  </si>
  <si>
    <t>tan binh</t>
  </si>
  <si>
    <t>Nguyễn bảo trân</t>
  </si>
  <si>
    <t>HD017961</t>
  </si>
  <si>
    <t>68/6 Thống Nhất, p10</t>
  </si>
  <si>
    <t>Thu Thảo</t>
  </si>
  <si>
    <t>HD018090</t>
  </si>
  <si>
    <t>401 /21 phường 8, Nguyễn văn khối</t>
  </si>
  <si>
    <t>Chi</t>
  </si>
  <si>
    <t>HD017710</t>
  </si>
  <si>
    <t>Block B, B607 Chung cư Dreamhome 2 đường số 59, Phường 14</t>
  </si>
  <si>
    <t>Hứa Tuyên</t>
  </si>
  <si>
    <t>HD018021</t>
  </si>
  <si>
    <t>939 Nguyễn kiệm phường Hạnh Thông</t>
  </si>
  <si>
    <t>Mộng Thuý Trảo</t>
  </si>
  <si>
    <t>HD017827</t>
  </si>
  <si>
    <t>53A kha vạn cân, kp1, hiệp bình chánh</t>
  </si>
  <si>
    <t>Ngọc Ánh</t>
  </si>
  <si>
    <t>HD018053</t>
  </si>
  <si>
    <t>236/43/9 điện biên phủ</t>
  </si>
  <si>
    <t>An An</t>
  </si>
  <si>
    <t>HD017441</t>
  </si>
  <si>
    <t>374 Xô viết nghệ tĩnh, P25</t>
  </si>
  <si>
    <t>Ngân Phan</t>
  </si>
  <si>
    <t>HD017688</t>
  </si>
  <si>
    <t>Chung cư Sarina tháp B (Sarina 1B), đường B2, mặt sau đường Hoàng Thế Thiện, Phường An Khánh</t>
  </si>
  <si>
    <t>Mén HM</t>
  </si>
  <si>
    <t>HD017895</t>
  </si>
  <si>
    <t>Toà landmark 2</t>
  </si>
  <si>
    <t>Trúc Phương</t>
  </si>
  <si>
    <t>HD017982</t>
  </si>
  <si>
    <t>Chung cư citiesto, cát lái</t>
  </si>
  <si>
    <t>đổi hàng</t>
  </si>
  <si>
    <t>BOS BMB</t>
  </si>
  <si>
    <t>119 hoàng diệu 2 linh trung</t>
  </si>
  <si>
    <t>jenny bouti</t>
  </si>
  <si>
    <t>401 Quang trung f10</t>
  </si>
  <si>
    <t>Nguyễn Havy</t>
  </si>
  <si>
    <t>HD017867</t>
  </si>
  <si>
    <t>CC The Park Residence, 12 Nguyễn Hữu Thọ, Phước Kiển</t>
  </si>
  <si>
    <t>nha be</t>
  </si>
  <si>
    <t>c.hieu</t>
  </si>
  <si>
    <t>Minơ fb Lê Tú</t>
  </si>
  <si>
    <t>HD017844</t>
  </si>
  <si>
    <t>chung cư Sài Gòn Mia - lock A ) 200 đường số 9A- xã bình hưng</t>
  </si>
  <si>
    <t>binh chanh</t>
  </si>
  <si>
    <t>Phuong Thaoo</t>
  </si>
  <si>
    <t>HD018004</t>
  </si>
  <si>
    <t>12c trần phú p4</t>
  </si>
  <si>
    <t>Trang Lưu</t>
  </si>
  <si>
    <t>HD017868</t>
  </si>
  <si>
    <t>223/2G phạm viết chánh phường nguyễn cư trinh</t>
  </si>
  <si>
    <t>Yun Sokhour D17386666</t>
  </si>
  <si>
    <t>HD017709</t>
  </si>
  <si>
    <t>nhà xe Khải nam</t>
  </si>
  <si>
    <t>Uyên Thư</t>
  </si>
  <si>
    <t>HD017958</t>
  </si>
  <si>
    <t>Nguyễn Đình Chiêu Phường Bàn Cờ</t>
  </si>
  <si>
    <t>Mỹ Kiều</t>
  </si>
  <si>
    <t>HD017795</t>
  </si>
  <si>
    <t>51 lê quý đôn phường xuân hòa</t>
  </si>
  <si>
    <t>Thu Thuỷ</t>
  </si>
  <si>
    <t>HD018074</t>
  </si>
  <si>
    <t>181 đường 79 tân quy</t>
  </si>
  <si>
    <t>Trần Ngọc trang - malaysia - Tuyên</t>
  </si>
  <si>
    <t>HD017715</t>
  </si>
  <si>
    <t>36/15 yên thế, phường 2</t>
  </si>
  <si>
    <t>Yin Nguyễn</t>
  </si>
  <si>
    <t>HD017561</t>
  </si>
  <si>
    <t>116a đường số 16 p tân quy</t>
  </si>
  <si>
    <t>anh phước (đồ của chị yến)</t>
  </si>
  <si>
    <t>HD017832</t>
  </si>
  <si>
    <t>241 lê thánh tôn, p. bến thành</t>
  </si>
  <si>
    <t>shop chịu ship</t>
  </si>
  <si>
    <t>Nhu Thanh</t>
  </si>
  <si>
    <t>HD017793</t>
  </si>
  <si>
    <t>99 D1 Hoàng Trọng Mậu, Him Lam, Tân Hưng</t>
  </si>
  <si>
    <t>Mone Ng</t>
  </si>
  <si>
    <t>HD017667</t>
  </si>
  <si>
    <t>Sky Garden 2 p tân phong PMH</t>
  </si>
  <si>
    <t>Kimmie Van</t>
  </si>
  <si>
    <t>HD017625</t>
  </si>
  <si>
    <t>645/48 đường Trần Xuân Soạn p. Tân Hưng</t>
  </si>
  <si>
    <t>Mai Anh</t>
  </si>
  <si>
    <t>HD017687</t>
  </si>
  <si>
    <t>109/22/14 Dương Bá Trạc p1</t>
  </si>
  <si>
    <t>Ngọc Phạm</t>
  </si>
  <si>
    <t>HD017869</t>
  </si>
  <si>
    <t>80 BÀ HUYỆN THANH QUAN, P.9</t>
  </si>
  <si>
    <t>bảo bảo fb Phương Phương</t>
  </si>
  <si>
    <t>HD017593</t>
  </si>
  <si>
    <t>132 bến vân đồn p5</t>
  </si>
  <si>
    <t>Thao My</t>
  </si>
  <si>
    <t>HD017676</t>
  </si>
  <si>
    <t>346 Bên Vân đồn f1 Chung cư Gold View</t>
  </si>
  <si>
    <t>MAI TRẦN</t>
  </si>
  <si>
    <t>135 hải thượng lãn ông P10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</si>
  <si>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</si>
  <si>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</si>
  <si>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</si>
  <si>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</si>
  <si>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</si>
  <si>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</si>
  <si>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</si>
  <si>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at 01-05</t>
  </si>
  <si>
    <t>Trừ Ship</t>
  </si>
  <si>
    <t>tiền ship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</si>
  <si>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</si>
  <si>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</si>
  <si>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</si>
  <si>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</si>
  <si>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</si>
  <si>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</si>
  <si>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</si>
  <si>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</si>
  <si>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</si>
  <si>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</si>
  <si>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</si>
  <si>
    <t>_col17</t>
  </si>
  <si>
    <t>Hồ Thị Mỹ Hạnh</t>
  </si>
  <si>
    <t>HD018199</t>
  </si>
  <si>
    <t>S3.02 vinhomes garden park long bình</t>
  </si>
  <si>
    <t>04-05-2026</t>
  </si>
  <si>
    <t>Dạ Thảo (Hàng của Thanh đi Malaysia)</t>
  </si>
  <si>
    <t>HD018104</t>
  </si>
  <si>
    <t>66 đường số 17 phường 10</t>
  </si>
  <si>
    <t>AT 04-05</t>
  </si>
  <si>
    <t>hương</t>
  </si>
  <si>
    <t>HD018201</t>
  </si>
  <si>
    <t>97 đường 24A -bình trị đông b</t>
  </si>
  <si>
    <t>Ngọc - fb Nguyễn Mười Ut</t>
  </si>
  <si>
    <t>HD018123</t>
  </si>
  <si>
    <t>45/8 đường số 8 phường bình hưng hòa A</t>
  </si>
  <si>
    <t>Hạnh Huỳnh</t>
  </si>
  <si>
    <t>HD018243</t>
  </si>
  <si>
    <t>42A, đường Mã Lò, phường Bình Trị Đông A</t>
  </si>
  <si>
    <t>Bé Bờm</t>
  </si>
  <si>
    <t>HD018225</t>
  </si>
  <si>
    <t>167/10 Đào Sư Tích, Phước Kiển</t>
  </si>
  <si>
    <t>Quế Trân Nguyễn</t>
  </si>
  <si>
    <t>HD018214</t>
  </si>
  <si>
    <t>145 Nguyễn Cửu Đàm - Tân Sơn Nhì</t>
  </si>
  <si>
    <t>Bé My</t>
  </si>
  <si>
    <t>HD017792</t>
  </si>
  <si>
    <t>304/45 đường số 8 bình hưng hoà a</t>
  </si>
  <si>
    <t>chip chip</t>
  </si>
  <si>
    <t>HD018274</t>
  </si>
  <si>
    <t>71/16 thới an 16</t>
  </si>
  <si>
    <t>My Nguyễn</t>
  </si>
  <si>
    <t>HD018234</t>
  </si>
  <si>
    <t>256/33 liên khu 4 - 5 - Bình Hưng Hòa B</t>
  </si>
  <si>
    <t>Hoàng Trinh</t>
  </si>
  <si>
    <t>HD018238</t>
  </si>
  <si>
    <t>71/1/33.Nguyễn van Thuong p Thạnh mỹ tây</t>
  </si>
  <si>
    <t>chi hương fb Kim Tien Phan</t>
  </si>
  <si>
    <t>HD018239</t>
  </si>
  <si>
    <t>328 đường số 8 thông tây hội</t>
  </si>
  <si>
    <t>Kim Anh</t>
  </si>
  <si>
    <t>HD018216</t>
  </si>
  <si>
    <t>124/83/1 xô viết nghệ tĩnh p21</t>
  </si>
  <si>
    <t>TRANG TRẦN 2</t>
  </si>
  <si>
    <t>1122/23/7 quang trung phường 8</t>
  </si>
  <si>
    <t>Qn Nguyễn</t>
  </si>
  <si>
    <t>189/46a Bạch Đằng, phường Hạnh Thông</t>
  </si>
  <si>
    <t>NIKI VIJANDRE + Air Shipment + Mien Tran</t>
  </si>
  <si>
    <t>14 Lam Thi Ho, Tan Chanh Hiep Ward</t>
  </si>
  <si>
    <t>Ngọc Thủy</t>
  </si>
  <si>
    <t>41 Mạc Đĩnh Chi, đakao, P1</t>
  </si>
  <si>
    <t>Mã Thục Phối</t>
  </si>
  <si>
    <t>HD016561</t>
  </si>
  <si>
    <t>156 hàn hải nguyên f8</t>
  </si>
  <si>
    <t>Ngọc Tuyền</t>
  </si>
  <si>
    <t>HD018193</t>
  </si>
  <si>
    <t>Saigon Royal OT2</t>
  </si>
  <si>
    <t>Người nhận chuột</t>
  </si>
  <si>
    <t>HD018256</t>
  </si>
  <si>
    <t>số 229A Đường bùi thị xuân phường 1</t>
  </si>
  <si>
    <t>luu tra</t>
  </si>
  <si>
    <t>x</t>
  </si>
  <si>
    <t>xx</t>
  </si>
  <si>
    <t>Kim Anh Phạm Nguyễn</t>
  </si>
  <si>
    <t>HD016319</t>
  </si>
  <si>
    <t>240/38/4 Tô ngọc vân, phường Thanh Xuân</t>
  </si>
  <si>
    <t>27-04-2026</t>
  </si>
  <si>
    <t>Nguyễn Hải Phụng</t>
  </si>
  <si>
    <t>HD015693</t>
  </si>
  <si>
    <t>36 bờ bao tận trắng P. Sơn Kỳ (chung cư celedon cổng diamond brilliant block B2)</t>
  </si>
  <si>
    <t>25-04-2026</t>
  </si>
  <si>
    <t>Huong, A20.08</t>
  </si>
  <si>
    <t>HD014420</t>
  </si>
  <si>
    <t>CC Tân Phước lỗ a 153 Lý Thường Kiệt, Phường 7</t>
  </si>
  <si>
    <t>23-04-2026</t>
  </si>
  <si>
    <t>at 04-05</t>
  </si>
  <si>
    <t>3 đơn</t>
  </si>
  <si>
    <t>1 đơn</t>
  </si>
  <si>
    <t>Lan Anh Nguyễn</t>
  </si>
  <si>
    <t>HD018539</t>
  </si>
  <si>
    <t>70 đường số 1 KDC nam long</t>
  </si>
  <si>
    <t>AT 05-05</t>
  </si>
  <si>
    <t>05-05-2026</t>
  </si>
  <si>
    <t>Giáng Hương</t>
  </si>
  <si>
    <t>HD018400</t>
  </si>
  <si>
    <t>111 đường số 10 phường 13</t>
  </si>
  <si>
    <t>Hiểu My</t>
  </si>
  <si>
    <t>HD018563</t>
  </si>
  <si>
    <t>Toà 2, chung cư river panorama, 20 lê thị chợ, phường phú thuận</t>
  </si>
  <si>
    <t>Nhung Bùi</t>
  </si>
  <si>
    <t>H0018373</t>
  </si>
  <si>
    <t>409/108/32/14c huynh thị hai, tân chánh hiệp</t>
  </si>
  <si>
    <t>C. Phương fb Nuory Le</t>
  </si>
  <si>
    <t>HD018435</t>
  </si>
  <si>
    <t>A28/1Dw3 quốc lộ 50 ấp 1 xã bình hưng</t>
  </si>
  <si>
    <t>ny nhỏ</t>
  </si>
  <si>
    <t>HD018341</t>
  </si>
  <si>
    <t>49 le quang kim p8</t>
  </si>
  <si>
    <t>Hoàng Bảo Trân</t>
  </si>
  <si>
    <t>HD018387</t>
  </si>
  <si>
    <t>2/11 đường thiên phước, p9</t>
  </si>
  <si>
    <t>Lê Thị Minh Phượng</t>
  </si>
  <si>
    <t>HD018553</t>
  </si>
  <si>
    <t>155/14 đs 11 bình hưng hoà</t>
  </si>
  <si>
    <t>Tuyết Nhi</t>
  </si>
  <si>
    <t>HD018231</t>
  </si>
  <si>
    <t>100/17 liên khu 1-6 bình trị đông</t>
  </si>
  <si>
    <t>hàng của Đào Ngọc Bích</t>
  </si>
  <si>
    <t>HD018540</t>
  </si>
  <si>
    <t>007 Lộ B chung cư Tây Thạnh, phường Tân Thạnh</t>
  </si>
  <si>
    <t>Việt Anh - fb Hồ Thị Uyên</t>
  </si>
  <si>
    <t>HD018388</t>
  </si>
  <si>
    <t>350/27 Lê Văn Quới, Bình Hưng Hòa A</t>
  </si>
  <si>
    <t>cô dung fb Nini Thach</t>
  </si>
  <si>
    <t>HD018521</t>
  </si>
  <si>
    <t>137/74a âu dương lân - p2</t>
  </si>
  <si>
    <t>Mi Ni</t>
  </si>
  <si>
    <t>HD018437</t>
  </si>
  <si>
    <t>536/32/23 âu cơ</t>
  </si>
  <si>
    <t>HD018486</t>
  </si>
  <si>
    <t>Châu Châu</t>
  </si>
  <si>
    <t>HD018490</t>
  </si>
  <si>
    <t>E3/8 ấp 56 xã vĩnh lộc</t>
  </si>
  <si>
    <t>Thanh Xuân</t>
  </si>
  <si>
    <t>HD018565</t>
  </si>
  <si>
    <t>17/4B Liên khu 5-6 bình hưng hòa b</t>
  </si>
  <si>
    <t>Hồng My</t>
  </si>
  <si>
    <t>HD018549</t>
  </si>
  <si>
    <t>192 Phạm Đức Sơn, Phường 16 (Chung Cư Heaven Riverview - Mỹ Phúc) Block B</t>
  </si>
  <si>
    <t>Nguyễn Minh Hải</t>
  </si>
  <si>
    <t>17 Đường Số 13 Bình Hưng Hoà</t>
  </si>
  <si>
    <t>My Luu</t>
  </si>
  <si>
    <t>HD018546</t>
  </si>
  <si>
    <t>Toà T1, chung cư Vista Verde, số 8 Nguyễn Thanh Sơn, phường Cát Lái</t>
  </si>
  <si>
    <t>gộp, đổi hàng</t>
  </si>
  <si>
    <t>HD018552</t>
  </si>
  <si>
    <t>Thảo</t>
  </si>
  <si>
    <t>HD018440</t>
  </si>
  <si>
    <t>280a12 Lương Đình Của. An Phú</t>
  </si>
  <si>
    <t>Nguyen Diem My</t>
  </si>
  <si>
    <t>HD018321</t>
  </si>
  <si>
    <t>212 lê quang định phường 14</t>
  </si>
  <si>
    <t>Love May</t>
  </si>
  <si>
    <t>HD018311</t>
  </si>
  <si>
    <t>T4 Masteri Đường Số 10, Thảo Điền</t>
  </si>
  <si>
    <t>Đinh Thị Kim Lan</t>
  </si>
  <si>
    <t>HD018306</t>
  </si>
  <si>
    <t>Ngân hàng Tpbank 303 (39/6) Trường Chinh P Tân Thới Nhất</t>
  </si>
  <si>
    <t>Thu Ba DS</t>
  </si>
  <si>
    <t>HD018302</t>
  </si>
  <si>
    <t>395 Bùi Đình Tuý, p14</t>
  </si>
  <si>
    <t>Ivy Dao</t>
  </si>
  <si>
    <t>HD018318</t>
  </si>
  <si>
    <t>238/3 trường chinh, đông hưng thuận</t>
  </si>
  <si>
    <t>Mỹ Ngọc</t>
  </si>
  <si>
    <t>HD018275</t>
  </si>
  <si>
    <t>242 nguyễn oanh, phường gò vấp</t>
  </si>
  <si>
    <t>Ly Clara Selena</t>
  </si>
  <si>
    <t>403 tân sơn p12</t>
  </si>
  <si>
    <t>LISA</t>
  </si>
  <si>
    <t>685 tân sơn phường 12</t>
  </si>
  <si>
    <t>THU TRƯƠNG</t>
  </si>
  <si>
    <t>159/43/5 Đường Bạch Đằng, phường Tân Sơn Hòa</t>
  </si>
  <si>
    <t>Nhung SaLin</t>
  </si>
  <si>
    <t>HD018386</t>
  </si>
  <si>
    <t>19a Trần Quang diệu p13</t>
  </si>
  <si>
    <t>gộp</t>
  </si>
  <si>
    <t>HD018538</t>
  </si>
  <si>
    <t>Trâm Trang</t>
  </si>
  <si>
    <t>HD018328</t>
  </si>
  <si>
    <t>346 bến vân đồn p1</t>
  </si>
  <si>
    <t>Nhi</t>
  </si>
  <si>
    <t>HD018213</t>
  </si>
  <si>
    <t>27 nguyễn hữu thọ (sunrise city toà X1) phường Tân Hưng</t>
  </si>
  <si>
    <t>Trần Thục Oanh</t>
  </si>
  <si>
    <t>HD018532</t>
  </si>
  <si>
    <t>118 đường 3/2, p12</t>
  </si>
  <si>
    <t>Trần Ngọc Thúy</t>
  </si>
  <si>
    <t>HD018516</t>
  </si>
  <si>
    <t>saigon mia block b cổng sau</t>
  </si>
  <si>
    <t>Ngọc Vinh</t>
  </si>
  <si>
    <t>HD018285</t>
  </si>
  <si>
    <t>17-19 Trường Sơn P4</t>
  </si>
  <si>
    <t>Miu miu quỳnh</t>
  </si>
  <si>
    <t>HD018466</t>
  </si>
  <si>
    <t>109 Bến Vân Đồn P9</t>
  </si>
  <si>
    <t>Nguyễn Thị Bảo Loan</t>
  </si>
  <si>
    <t>HD018401</t>
  </si>
  <si>
    <t>tòa b2 chung cư lavida plus số 1181 nguyễn văn linh tân phong</t>
  </si>
  <si>
    <t>Vy Vy</t>
  </si>
  <si>
    <t>HD018348</t>
  </si>
  <si>
    <t>Block B chung cư Sunrise RiverSide, Nguyễn Hữu Thọ, Phước Kiển</t>
  </si>
  <si>
    <t>Ngà Ngọc</t>
  </si>
  <si>
    <t>HD018269</t>
  </si>
  <si>
    <t>85 phan xích long p2</t>
  </si>
  <si>
    <t>phu nhuan</t>
  </si>
  <si>
    <t>Elena Nguyễn</t>
  </si>
  <si>
    <t>HD018325</t>
  </si>
  <si>
    <t>56/41 dương ba trạc, Phường 02</t>
  </si>
  <si>
    <t>HD018494</t>
  </si>
  <si>
    <t>chung cư the park residence, 12 nguyễn hữu thọ phước kien nha be</t>
  </si>
  <si>
    <t>Hoàng Thuý Liên</t>
  </si>
  <si>
    <t>HD017772</t>
  </si>
  <si>
    <t>290 an dương vương phường chợ quán</t>
  </si>
  <si>
    <t>yenchau</t>
  </si>
  <si>
    <t>HD018526</t>
  </si>
  <si>
    <t>Chung cu Horita, lo C, Đường D4, P. Tân Hưng</t>
  </si>
  <si>
    <t>Thư Ánh Võ</t>
  </si>
  <si>
    <t>HD018343</t>
  </si>
  <si>
    <t>5 lê thánh tôn bến nghé</t>
  </si>
  <si>
    <t>Ly Sokny- 012776599</t>
  </si>
  <si>
    <t>HD018248</t>
  </si>
  <si>
    <t>359 phạm ngũ lão</t>
  </si>
  <si>
    <t>shipper ứng tiền cho nhà xe</t>
  </si>
  <si>
    <t>Tuyết</t>
  </si>
  <si>
    <t>HD018429</t>
  </si>
  <si>
    <t>30/18 đường số 6 KP18 Phường Vĩnh Hội</t>
  </si>
  <si>
    <t>Hồng Miên</t>
  </si>
  <si>
    <t>HD018250</t>
  </si>
  <si>
    <t>123 đường số 11 tân kiểng tân quy</t>
  </si>
  <si>
    <t>HD018376</t>
  </si>
  <si>
    <t>Loan Thỏ</t>
  </si>
  <si>
    <t>HD018544</t>
  </si>
  <si>
    <t>81/6 Hồ thị kỷ, phường 1</t>
  </si>
  <si>
    <t>FANG FANG</t>
  </si>
  <si>
    <t>A75/6B/2 Bạch Đằng, Phường 2</t>
  </si>
  <si>
    <t>DARAVIN</t>
  </si>
  <si>
    <t>301 Phạm Ngũ Lão, Phường Phạm Ngũ Lão</t>
  </si>
  <si>
    <t>at 05-05</t>
  </si>
  <si>
    <t>C Phước - fb Yến Nguyễn</t>
  </si>
  <si>
    <t>HD018741</t>
  </si>
  <si>
    <t>Block C 685 Âu Cơ, Chung Cư Oriental Plaza</t>
  </si>
  <si>
    <t>AT 06-05</t>
  </si>
  <si>
    <t>06-05-2026</t>
  </si>
  <si>
    <t>Chi Kim</t>
  </si>
  <si>
    <t>HD018829</t>
  </si>
  <si>
    <t>68A trung mỹ tây 3, phường trung mỹ tây</t>
  </si>
  <si>
    <t>Tăng Ánh Hồng</t>
  </si>
  <si>
    <t>HD018739</t>
  </si>
  <si>
    <t>41a phú định p16</t>
  </si>
  <si>
    <t>Trúc Ly</t>
  </si>
  <si>
    <t>HD018824</t>
  </si>
  <si>
    <t>280 Bình Trị Đông, Phường Bình Trị Đông</t>
  </si>
  <si>
    <t>Jasploy9989 (inst slideincloset)</t>
  </si>
  <si>
    <t>HD018695</t>
  </si>
  <si>
    <t>275/14B1 Đặng Nguyên Cẩn, Phường Phú Lâm (phường 14 cũ)</t>
  </si>
  <si>
    <t>Tên dinh - fb NG Eric 0đ</t>
  </si>
  <si>
    <t>HD018721</t>
  </si>
  <si>
    <t>215 tên lửa, bình trị đông b</t>
  </si>
  <si>
    <t>Phương Như Tiết</t>
  </si>
  <si>
    <t>HD018610</t>
  </si>
  <si>
    <t>8 đường 19 phường Bình Trị Đông B</t>
  </si>
  <si>
    <t>Gia Linh</t>
  </si>
  <si>
    <t>HD018601</t>
  </si>
  <si>
    <t>100 đinh văn ước ấp5 xã hưng long</t>
  </si>
  <si>
    <t>Nam Diep Hung Tue</t>
  </si>
  <si>
    <t>HD018802</t>
  </si>
  <si>
    <t>Chung cư Sơn Kỳ 2 số 37 đường DC 13 p Tây Thạnh</t>
  </si>
  <si>
    <t>Lý Ngọc Khuyên ( 1805) fb Jessy Dang</t>
  </si>
  <si>
    <t>HD018774</t>
  </si>
  <si>
    <t>Toà nhà Bảy Hiền : 9 Phạm Phu Thử, nay phường Bảy Hiền (phuong 11 cũ)</t>
  </si>
  <si>
    <t>Huỳnh Thị Thúy Kiều</t>
  </si>
  <si>
    <t>HD018671</t>
  </si>
  <si>
    <t>Chung cư zentower 34/1 ql1 phường thới an</t>
  </si>
  <si>
    <t>Trân Hoàng Kỳ Châu</t>
  </si>
  <si>
    <t>HD018517</t>
  </si>
  <si>
    <t>Công ty TNHH GỐM sứ Kim Trúc, khu công nghiệp Tân Bình, đường số 3 lô 4, phường Tây Thạnh</t>
  </si>
  <si>
    <t>TEQUILA THAO VY</t>
  </si>
  <si>
    <t>426 nơ trang long</t>
  </si>
  <si>
    <t>Phạm Vui</t>
  </si>
  <si>
    <t>HD018823</t>
  </si>
  <si>
    <t>508/16 trường chinh p13</t>
  </si>
  <si>
    <t>Tâm Như</t>
  </si>
  <si>
    <t>HD018669</t>
  </si>
  <si>
    <t>33 Võ Văn Ngân, P.Linh Chiểu</t>
  </si>
  <si>
    <t>Fb: Vân Nhung</t>
  </si>
  <si>
    <t>HD018780</t>
  </si>
  <si>
    <t>Cty Thế Long Express 27/5 quách văn tuấn, F12</t>
  </si>
  <si>
    <t>thaoquyen tran</t>
  </si>
  <si>
    <t>HD018784</t>
  </si>
  <si>
    <t>21/41 bình lợi p13</t>
  </si>
  <si>
    <t>Hoàng Nhung</t>
  </si>
  <si>
    <t>HD018652</t>
  </si>
  <si>
    <t>Chung cư Sai Gon Avenue - Đường số 11, khu phố 4, phường Tam Bình</t>
  </si>
  <si>
    <t>Hoàng Thúy Triều</t>
  </si>
  <si>
    <t>HD018807</t>
  </si>
  <si>
    <t>477 19 nguyễn văn công p3</t>
  </si>
  <si>
    <t>Charii ( inst chari_importshop )-BN2441</t>
  </si>
  <si>
    <t>HD018456</t>
  </si>
  <si>
    <t>163 Trương Thị Hoa, phường Tân Thới Hiệp</t>
  </si>
  <si>
    <t>BN182 miki chouchou Fb</t>
  </si>
  <si>
    <t>HD018603</t>
  </si>
  <si>
    <t>163 Đường Trương Thị Hoa, phường Tân Thới Hiệp</t>
  </si>
  <si>
    <t>KIM LIÊN</t>
  </si>
  <si>
    <t>25/17/11 CỬU LONG PHƯỜNG 2</t>
  </si>
  <si>
    <t>Su Anh</t>
  </si>
  <si>
    <t>22/40 Yên Thế, P2</t>
  </si>
  <si>
    <t>TOM AG</t>
  </si>
  <si>
    <t>12 HỒ VĂN HUÊ PHƯỜNG 9</t>
  </si>
  <si>
    <t>Tường Vi</t>
  </si>
  <si>
    <t>HD018651</t>
  </si>
  <si>
    <t>325 phan xích long</t>
  </si>
  <si>
    <t>Lê Thảo</t>
  </si>
  <si>
    <t>HD017759</t>
  </si>
  <si>
    <t>3 Đặng Dung, P Tân Định</t>
  </si>
  <si>
    <t>Ánh Tuyết</t>
  </si>
  <si>
    <t>HD018620</t>
  </si>
  <si>
    <t>23 lộc hưng p6</t>
  </si>
  <si>
    <t>Michelle Nguyen (Tu Anh)</t>
  </si>
  <si>
    <t>HD018799</t>
  </si>
  <si>
    <t>19 Yên Thế p.2</t>
  </si>
  <si>
    <t>Thiên Trang</t>
  </si>
  <si>
    <t>HD018668</t>
  </si>
  <si>
    <t>221 trần bình trọng p2</t>
  </si>
  <si>
    <t>Phượng Nhi</t>
  </si>
  <si>
    <t>HD018622</t>
  </si>
  <si>
    <t>35 đặng thị nhu phường Nguyễn thái bình</t>
  </si>
  <si>
    <t>Quỳnh Hương</t>
  </si>
  <si>
    <t>HD018593</t>
  </si>
  <si>
    <t>Saigon Royal Residence, Nguyễn Trường Tộ, phường 13</t>
  </si>
  <si>
    <t>Macie Nguyen</t>
  </si>
  <si>
    <t>HD018621</t>
  </si>
  <si>
    <t>91 Phạm Văn Hai, f3</t>
  </si>
  <si>
    <t>at 06-05</t>
  </si>
  <si>
    <t>Thuỳ Duyên - fb Elyna Tran</t>
  </si>
  <si>
    <t>HD019033</t>
  </si>
  <si>
    <t>Vinhome Grandpark Be3, Nguyễn Xiển, Long Bình</t>
  </si>
  <si>
    <t>07-05-2026</t>
  </si>
  <si>
    <t>Phương Phạm</t>
  </si>
  <si>
    <t>HD018958</t>
  </si>
  <si>
    <t>Bs16A vinhome grand park long bình</t>
  </si>
  <si>
    <t>Tuyến fb Có Đuôi Gà</t>
  </si>
  <si>
    <t>HD019062</t>
  </si>
  <si>
    <t>7/88, Ik 5-6, bình Hưng hoà B</t>
  </si>
  <si>
    <t>AT 07-05</t>
  </si>
  <si>
    <t>Lê Thị Minh Phượng.</t>
  </si>
  <si>
    <t>HD019071</t>
  </si>
  <si>
    <t>155/14 ds 11 bình hưng hoà</t>
  </si>
  <si>
    <t>My Nhung Ly</t>
  </si>
  <si>
    <t>HD019061</t>
  </si>
  <si>
    <t>số 13 đường số 9, P13</t>
  </si>
  <si>
    <t>Chị Phương</t>
  </si>
  <si>
    <t>HD019053</t>
  </si>
  <si>
    <t>984/62 hà huy giáp</t>
  </si>
  <si>
    <t>Nguyễn Kim Dung</t>
  </si>
  <si>
    <t>HD019069</t>
  </si>
  <si>
    <t>40/20 trần văn quang p10</t>
  </si>
  <si>
    <t>Thu Phương</t>
  </si>
  <si>
    <t>HD018907</t>
  </si>
  <si>
    <t>96a đg 79 phường tân quy</t>
  </si>
  <si>
    <t>Uyên Phương ( Trân)</t>
  </si>
  <si>
    <t>HD018834</t>
  </si>
  <si>
    <t>31 Nguyễn Văn Linh, phường Tân Thuận Tây</t>
  </si>
  <si>
    <t>Trần Phương Quỳnh</t>
  </si>
  <si>
    <t>HD018973</t>
  </si>
  <si>
    <t>53 nguyễn thị minh khai, p sài gòn tòa nhà avalon</t>
  </si>
  <si>
    <t>VN ( Allie Biiny)</t>
  </si>
  <si>
    <t>HD018858</t>
  </si>
  <si>
    <t>Phương 1 Street/Buildding Name: \450/28Gdương bá trạc(061771181)</t>
  </si>
  <si>
    <t>Kim Hằng</t>
  </si>
  <si>
    <t>HD018939</t>
  </si>
  <si>
    <t>PARK VIEW APARTMENT R4-10-11, Hưng Gia 1,Đ. Số 2, Tân Phong</t>
  </si>
  <si>
    <t>HD018855</t>
  </si>
  <si>
    <t>chung cư the park residence. 12 nguyễn hữu thọ phước kien</t>
  </si>
  <si>
    <t>Ngọc Hân Nghiêm</t>
  </si>
  <si>
    <t>HD018899</t>
  </si>
  <si>
    <t>124 đường số 9 KDC Bình Hưng, Bình Hưng</t>
  </si>
  <si>
    <t>HD018512</t>
  </si>
  <si>
    <t>Thỏ Selina</t>
  </si>
  <si>
    <t>HD019055</t>
  </si>
  <si>
    <t>Tháp S2 - The sun avenue 28 Mai Chí Thọ, P bình trưng</t>
  </si>
  <si>
    <t>ái quyên mai malaysia</t>
  </si>
  <si>
    <t>HD018836</t>
  </si>
  <si>
    <t>22 Tân Thới Nhất 1B, p. Tân Thới Nhất</t>
  </si>
  <si>
    <t>Trang Lê</t>
  </si>
  <si>
    <t>HD019057</t>
  </si>
  <si>
    <t>8A Sông Thương P2</t>
  </si>
  <si>
    <t>Phạm Thị Bảo Trân</t>
  </si>
  <si>
    <t>HD018909</t>
  </si>
  <si>
    <t>Block B Chung Cư Urban Green, Đường Số 6, Hiệp Bình</t>
  </si>
  <si>
    <t>Thụy Uyên Vũ</t>
  </si>
  <si>
    <t>HD018911</t>
  </si>
  <si>
    <t>Chung cư the manor 2</t>
  </si>
  <si>
    <t>Phương Thúy</t>
  </si>
  <si>
    <t>HD018990</t>
  </si>
  <si>
    <t>33 đường số 5 cát lái</t>
  </si>
  <si>
    <t>HD019025</t>
  </si>
  <si>
    <t>Nguyễn Trang</t>
  </si>
  <si>
    <t>HD018885</t>
  </si>
  <si>
    <t>Chung cư freshca lock b Phường Bình Chiểu</t>
  </si>
  <si>
    <t>Diễm Quỳnh</t>
  </si>
  <si>
    <t>HD019054</t>
  </si>
  <si>
    <t>Masteri thảo điền tháp t3 Thao dien</t>
  </si>
  <si>
    <t>ELLY NGUYỄN - THẮM NGUYÊN</t>
  </si>
  <si>
    <t>HD019058</t>
  </si>
  <si>
    <t>120/3/11 Đăng Thùy Trâm, P13 ( CTY GIA HUY EXPRESS )</t>
  </si>
  <si>
    <t>Lê Thị Quỳnh Yến</t>
  </si>
  <si>
    <t>HD019032</t>
  </si>
  <si>
    <t>82 bạch vân</t>
  </si>
  <si>
    <t>Phương Thảo</t>
  </si>
  <si>
    <t>HD018831</t>
  </si>
  <si>
    <t>504 Nguyễn Tất Thành, phường 18 chung cư Riva Park</t>
  </si>
  <si>
    <t>Huyền</t>
  </si>
  <si>
    <t>HD018987</t>
  </si>
  <si>
    <t>218/10 nam kì khởi nghĩa</t>
  </si>
  <si>
    <t>huyền nguyễn</t>
  </si>
  <si>
    <t>HD016429</t>
  </si>
  <si>
    <t>Trần HUỆ</t>
  </si>
  <si>
    <t>HD018874</t>
  </si>
  <si>
    <t>391 ngô gia tự p2</t>
  </si>
  <si>
    <t>CUS TWO EIGHT EIGHT TWO NINE</t>
  </si>
  <si>
    <t>HD018877</t>
  </si>
  <si>
    <t>270B LÝ THƯỜNG KIỆT KP1 P6</t>
  </si>
  <si>
    <t>hải my fb Bé Hân</t>
  </si>
  <si>
    <t>HD018959</t>
  </si>
  <si>
    <t>31 an bình P6</t>
  </si>
  <si>
    <t>Thanh Thanh Trương</t>
  </si>
  <si>
    <t>HD019041</t>
  </si>
  <si>
    <t>518/24 võ văn kiệt</t>
  </si>
  <si>
    <t>at 07-05</t>
  </si>
  <si>
    <t>VNTH Dịch vụ vận chuyển - NoyNa Thailand Service</t>
  </si>
  <si>
    <t>275/14B1 Đặng Nguyên Cẩn, Phường Phú Lâm</t>
  </si>
  <si>
    <t>AT 08-05</t>
  </si>
  <si>
    <t>08-05-2026</t>
  </si>
  <si>
    <t>Nguyễn Minh Hải (Bow)</t>
  </si>
  <si>
    <t>17 Đường Số 13 Bình Hưng Hòa</t>
  </si>
  <si>
    <t>Thịnh Nguyễn fb Loan Nguyen</t>
  </si>
  <si>
    <t>HD019175</t>
  </si>
  <si>
    <t>20/15 đường số 8 hẻm 20 phường Long Phước</t>
  </si>
  <si>
    <t>Nhật Nguyên</t>
  </si>
  <si>
    <t>HD019225</t>
  </si>
  <si>
    <t>Nhà Trọ Mai Anh, Ấp 3, Phước kiển (cuối đường b7)</t>
  </si>
  <si>
    <t>Nguyễn Thị Kim Ngân</t>
  </si>
  <si>
    <t>HD019275</t>
  </si>
  <si>
    <t>Hẻm 218, An dương vương, phường 16</t>
  </si>
  <si>
    <t>Mi Mi</t>
  </si>
  <si>
    <t>HD018473</t>
  </si>
  <si>
    <t>2 đường 3643 phạm thế hiển p7</t>
  </si>
  <si>
    <t>Tuyến fb Cỏ Đuôi Già</t>
  </si>
  <si>
    <t>HD019271</t>
  </si>
  <si>
    <t>Mai Nguyen</t>
  </si>
  <si>
    <t>HD019299</t>
  </si>
  <si>
    <t>272/21D lê văn quới, phường bình trị đông</t>
  </si>
  <si>
    <t>Nguyễn Thị Trà My</t>
  </si>
  <si>
    <t>HD019248</t>
  </si>
  <si>
    <t>325/9 bùi minh trực phường 6</t>
  </si>
  <si>
    <t>Thuy An Dao</t>
  </si>
  <si>
    <t>HD019092</t>
  </si>
  <si>
    <t>Sảnh B2 chung cư Emerald phường Sơn Kỳ</t>
  </si>
  <si>
    <t>HD019293</t>
  </si>
  <si>
    <t>Ngọc Diệp</t>
  </si>
  <si>
    <t>HD019226</t>
  </si>
  <si>
    <t>Ngọc diệp ak neo chung cư akari 77 đại lộ võ văn kiệt p an lạc</t>
  </si>
  <si>
    <t>Trương Kim Hồng</t>
  </si>
  <si>
    <t>HD019237</t>
  </si>
  <si>
    <t>114/15/14 Phạm Văn Chiêu, P.Thông Tây Hội</t>
  </si>
  <si>
    <t>Tần Châu Yến Vy</t>
  </si>
  <si>
    <t>HD019113</t>
  </si>
  <si>
    <t>2B Mai Chí Thọ, Enpi, Toà "lạ thường Thủ Thiêm</t>
  </si>
  <si>
    <t>HD019096</t>
  </si>
  <si>
    <t>W3337</t>
  </si>
  <si>
    <t>HD019276</t>
  </si>
  <si>
    <t>375 tân thới hiệp</t>
  </si>
  <si>
    <t>Thảo Nguyên Thị Nguyễn</t>
  </si>
  <si>
    <t>HD019222</t>
  </si>
  <si>
    <t>40/18 ấp bắc</t>
  </si>
  <si>
    <t>Minh Nguyệt + Lin Xiao</t>
  </si>
  <si>
    <t>HD019184</t>
  </si>
  <si>
    <t>C16 - Lô C1, đg DD5, Phường Đông Hưng Thuận (Sau chợ An Sương)</t>
  </si>
  <si>
    <t>Hà Chi</t>
  </si>
  <si>
    <t>HD014556</t>
  </si>
  <si>
    <t>1400 Đồng Văn Cống, phường Thạnh Mỹ Lợi</t>
  </si>
  <si>
    <t>Mỷ Ý</t>
  </si>
  <si>
    <t>HD019154</t>
  </si>
  <si>
    <t>137 Hoàng Hoa Thám</t>
  </si>
  <si>
    <t>Hoàng Lê Dung</t>
  </si>
  <si>
    <t>HD019266</t>
  </si>
  <si>
    <t>27/24/30 điện biên phủ, F. gia định</t>
  </si>
  <si>
    <t>Trúc Anh</t>
  </si>
  <si>
    <t>HD018871</t>
  </si>
  <si>
    <t>99 trần não phường an khánh</t>
  </si>
  <si>
    <t>Thuý Đào</t>
  </si>
  <si>
    <t>HD019309</t>
  </si>
  <si>
    <t>53/34/49 bình lợi, p13</t>
  </si>
  <si>
    <t>HD019277</t>
  </si>
  <si>
    <t>Phương liên (jun đặng)</t>
  </si>
  <si>
    <t>HD019311</t>
  </si>
  <si>
    <t>241 đông Hưng Thuận 2 phường Tân Hưng</t>
  </si>
  <si>
    <t>Trân Helen</t>
  </si>
  <si>
    <t>HD019219</t>
  </si>
  <si>
    <t>36/15 Yên Thế, Phường Tân Sơn Hoà, Phường Tân Bình</t>
  </si>
  <si>
    <t>HD019156</t>
  </si>
  <si>
    <t>Trần Hạ Mây</t>
  </si>
  <si>
    <t>HD019227</t>
  </si>
  <si>
    <t>Hòm thư A1.11-14, toà Aqua 1, Vinhomes golden river, số 2 Tôn Đức Thắng, phường Bến Nghé</t>
  </si>
  <si>
    <t>Cô Kiều</t>
  </si>
  <si>
    <t>HD019279</t>
  </si>
  <si>
    <t>59/7 điện biên phủ p10</t>
  </si>
  <si>
    <t>Nguyễn Ái My</t>
  </si>
  <si>
    <t>HD019244</t>
  </si>
  <si>
    <t>702/45/31 điện biên phủ phường 13</t>
  </si>
  <si>
    <t>Kim - fb July Phan</t>
  </si>
  <si>
    <t>HD019137</t>
  </si>
  <si>
    <t>86 Lê Thị Riêng p. Bến Thành</t>
  </si>
  <si>
    <t>Trần Thảo Ngân</t>
  </si>
  <si>
    <t>HD019270</t>
  </si>
  <si>
    <t>Ngân 27-19 block G chung cư eco green, đường nguyễn văn linh, phường tân thuận tây</t>
  </si>
  <si>
    <t>borameyyy 015738168</t>
  </si>
  <si>
    <t>HD019089</t>
  </si>
  <si>
    <t>363-365-367 363 Đi Hung Vương, Phường 9</t>
  </si>
  <si>
    <t>Trần Chi</t>
  </si>
  <si>
    <t>HD019216</t>
  </si>
  <si>
    <t>260 Nguyễn Tiểu La P8</t>
  </si>
  <si>
    <t>Cindy Nguyễn</t>
  </si>
  <si>
    <t>HD017482</t>
  </si>
  <si>
    <t>12/7 đường P - Khu phố Mỹ Tú 2 - P. Tân Hưng</t>
  </si>
  <si>
    <t>AT 29-04</t>
  </si>
  <si>
    <t>29-04-2026</t>
  </si>
  <si>
    <t>at 08-05</t>
  </si>
  <si>
    <t>KIỀU HOANH</t>
  </si>
  <si>
    <t>277 âu dương lân p2</t>
  </si>
  <si>
    <t>AT 09-05</t>
  </si>
  <si>
    <t>09-05-2026</t>
  </si>
  <si>
    <t>THƯƠNG</t>
  </si>
  <si>
    <t>49 TX22, phường Thới An</t>
  </si>
  <si>
    <t>TUYẾT NHI</t>
  </si>
  <si>
    <t>170F Tân Hoà Đông f14</t>
  </si>
  <si>
    <t>Nguyễn Hà</t>
  </si>
  <si>
    <t>HD019502</t>
  </si>
  <si>
    <t>007 Lô B chung cư Tây Thạnh phường Tân Thạnh</t>
  </si>
  <si>
    <t>HD019300</t>
  </si>
  <si>
    <t>Barmey Bori Ev26146</t>
  </si>
  <si>
    <t>HD019327</t>
  </si>
  <si>
    <t>315/18/6 Nhuyễn Thị Tú, Phường Bình Hưng Hòa B</t>
  </si>
  <si>
    <t>Hạnh Trần</t>
  </si>
  <si>
    <t>HD019306</t>
  </si>
  <si>
    <t>Chung cư Tecco, block C, đường Nguyễn Cửu Phủ, phường Tân Tạo</t>
  </si>
  <si>
    <t>Huyền Nhung</t>
  </si>
  <si>
    <t>HD019331</t>
  </si>
  <si>
    <t>910 Nguyễn chí thanh, p4</t>
  </si>
  <si>
    <t>Thu Hà</t>
  </si>
  <si>
    <t>HD019369</t>
  </si>
  <si>
    <t>số 201/12 mã văn lò, p, bình trị đông a</t>
  </si>
  <si>
    <t>Thuý Heri</t>
  </si>
  <si>
    <t>HD019180</t>
  </si>
  <si>
    <t>184/17/35 bãi sậy, phường bình tiên</t>
  </si>
  <si>
    <t>Thy Mai</t>
  </si>
  <si>
    <t>HD019514</t>
  </si>
  <si>
    <t>2 nguyễn văn tưởng, phường tân phú</t>
  </si>
  <si>
    <t>Isabella</t>
  </si>
  <si>
    <t>494/1/12 Le Quang Dinh, P1</t>
  </si>
  <si>
    <t>NGUYỄN MINH DUY</t>
  </si>
  <si>
    <t>90/35 Trần Văn Ơn, Phường Tân Sơn Nhì</t>
  </si>
  <si>
    <t>Thanh Thao</t>
  </si>
  <si>
    <t>HD019454</t>
  </si>
  <si>
    <t>9a8, Chung cư Phúc Yên 1, 31 Phan Huy Ích, p Tân sơn</t>
  </si>
  <si>
    <t>Trang Phan</t>
  </si>
  <si>
    <t>HD019513</t>
  </si>
  <si>
    <t>162/25, Đường Nguyễn Văn Khối, Phường 8</t>
  </si>
  <si>
    <t>Phạm Dung</t>
  </si>
  <si>
    <t>HD019531</t>
  </si>
  <si>
    <t>208 nguyễn hữu cảnh phường 22 chung cư vinhome toà lanmark 5</t>
  </si>
  <si>
    <t>mai anh</t>
  </si>
  <si>
    <t>HD019506</t>
  </si>
  <si>
    <t>Gate 4 - Feliz en vista, 1 trương văn bang, thạnh mỹ lợi 42 Toà cruz - C810</t>
  </si>
  <si>
    <t>Minh Uyên (Kaydis T Ha)</t>
  </si>
  <si>
    <t>HD019522</t>
  </si>
  <si>
    <t>154/4/7, Nguyễn Phúc Chu Phường 15</t>
  </si>
  <si>
    <t>HD019413</t>
  </si>
  <si>
    <t>32B đường số 8 thông tây hội</t>
  </si>
  <si>
    <t>HD019503</t>
  </si>
  <si>
    <t>HD018297</t>
  </si>
  <si>
    <t>SU MO</t>
  </si>
  <si>
    <t>487 le van sy f12</t>
  </si>
  <si>
    <t>NOTE GỬI CHO SU ANH</t>
  </si>
  <si>
    <t>22/40 Yên Thế, P2, Tân Bình</t>
  </si>
  <si>
    <t>Ashley Khin (inst ashley__khin)</t>
  </si>
  <si>
    <t>HD015540</t>
  </si>
  <si>
    <t>100/2A Trần Hưng Đạo</t>
  </si>
  <si>
    <t>kh ck shop 975k</t>
  </si>
  <si>
    <t>Kimchou Try</t>
  </si>
  <si>
    <t>HD019523</t>
  </si>
  <si>
    <t>301 Pham Ngu Lao Street</t>
  </si>
  <si>
    <t>HD019430</t>
  </si>
  <si>
    <t>702/45/31 điện biên phủ phường 10</t>
  </si>
  <si>
    <t>Minh Ngọc</t>
  </si>
  <si>
    <t>HD019516</t>
  </si>
  <si>
    <t>Vincom đồng khởi 45 lý tự trọng căn hộ 2604</t>
  </si>
  <si>
    <t>Lê Nguyễn Nhật Ánh</t>
  </si>
  <si>
    <t>HD019357</t>
  </si>
  <si>
    <t>orchid 1, Hà Đô Centrosa, 118 3/2, phường Hòa Hưng</t>
  </si>
  <si>
    <t>Kim Mese Phan</t>
  </si>
  <si>
    <t>HD019317</t>
  </si>
  <si>
    <t>72 bùi hữu nghĩa p7</t>
  </si>
  <si>
    <t>Hương Giang SHIP GIỜ HÀNH CHÍNH</t>
  </si>
  <si>
    <t>HDO19455</t>
  </si>
  <si>
    <t>92 Nguyễn Trãi, phường Bến Thành</t>
  </si>
  <si>
    <t>at 09-05</t>
  </si>
  <si>
    <t>Minh Nguyệt + Lin Xiao + Hàng Air</t>
  </si>
  <si>
    <t>HD019693</t>
  </si>
  <si>
    <t>C16-17 lô C1, đường DD5, phường Đông Hưng Thuận (ghi chú: sau lưng chợ An Sương)</t>
  </si>
  <si>
    <t>AT 11-05</t>
  </si>
  <si>
    <t>11-05-2026</t>
  </si>
  <si>
    <t>Thúy Kiều</t>
  </si>
  <si>
    <t>HD019818</t>
  </si>
  <si>
    <t>Số 6 mai văn vĩnh tân quy</t>
  </si>
  <si>
    <t>HD019881</t>
  </si>
  <si>
    <t>100.đinh văn ước ấp5 xã hưng long</t>
  </si>
  <si>
    <t>Ruby Cẩm Tú</t>
  </si>
  <si>
    <t>HD019626</t>
  </si>
  <si>
    <t>61 bui diên p4</t>
  </si>
  <si>
    <t>Phương Bình</t>
  </si>
  <si>
    <t>HD019877</t>
  </si>
  <si>
    <t>CC Ehome3, Hồ Học Lãm, An Lạc</t>
  </si>
  <si>
    <t>Nguyễn Thị Ngọc Ngà</t>
  </si>
  <si>
    <t>HD019744</t>
  </si>
  <si>
    <t>38b đường số 12 tân quy</t>
  </si>
  <si>
    <t>Minh Hải ( Ruby Eyelash - Nail )</t>
  </si>
  <si>
    <t>HD019891</t>
  </si>
  <si>
    <t>17 Đường Số 13 Phường Bình Hưng Hòa</t>
  </si>
  <si>
    <t>Đỗ Đông Mi</t>
  </si>
  <si>
    <t>HD019570</t>
  </si>
  <si>
    <t>115 phan huy thuc ptan kieng</t>
  </si>
  <si>
    <t>Nguyễn Cao Kim Anh</t>
  </si>
  <si>
    <t>HD019644</t>
  </si>
  <si>
    <t>264 lê văn lương phước kiểng</t>
  </si>
  <si>
    <t>Trúc Uyên</t>
  </si>
  <si>
    <t>HD019781</t>
  </si>
  <si>
    <t>Trường Ruby Hồng Ngọc, số 4 Lê Quát, Phường Tân Thới Hoà cũ</t>
  </si>
  <si>
    <t>Kaity Hg</t>
  </si>
  <si>
    <t>HD019671</t>
  </si>
  <si>
    <t>6B8/23/1c hương lộ 2, p bình trị đông A</t>
  </si>
  <si>
    <t>Trang Cherry</t>
  </si>
  <si>
    <t>HD019937</t>
  </si>
  <si>
    <t>Chung cư an gia thị trấn Tân túc</t>
  </si>
  <si>
    <t>Thuỳ</t>
  </si>
  <si>
    <t>HD019994</t>
  </si>
  <si>
    <t>24b tân sơn nhì</t>
  </si>
  <si>
    <t>W24130 miki</t>
  </si>
  <si>
    <t>624 Lê Thị Riêng, Thới An</t>
  </si>
  <si>
    <t>Myle Pham</t>
  </si>
  <si>
    <t>HD019988</t>
  </si>
  <si>
    <t>88/29 đường 17, phường Tân thuận Tây</t>
  </si>
  <si>
    <t>Yến Phương</t>
  </si>
  <si>
    <t>HD020005</t>
  </si>
  <si>
    <t>Toà nhà Namn 10 đường số 67 phường tân quy</t>
  </si>
  <si>
    <t>Lê Hữu Nhân</t>
  </si>
  <si>
    <t>HD019980</t>
  </si>
  <si>
    <t>53/3B Mai Hắc Đế, phường Phú Định</t>
  </si>
  <si>
    <t>Anh Thu</t>
  </si>
  <si>
    <t>HD019992</t>
  </si>
  <si>
    <t>157/59/11 Dương Bá Trạc Phường 1</t>
  </si>
  <si>
    <t>Võ Trần Như Bích</t>
  </si>
  <si>
    <t>HD019760</t>
  </si>
  <si>
    <t>Chung cư Richstar 1, sảnh RS1 - 278A Hoà Bình, P. Hiệp Tân</t>
  </si>
  <si>
    <t>Nguyễn Kim Ngân</t>
  </si>
  <si>
    <t>HD019934</t>
  </si>
  <si>
    <t>Lavida Plus, Nguyễn Văn Linh, Tân Phong</t>
  </si>
  <si>
    <t>135 hải thượng lãn Ông P10</t>
  </si>
  <si>
    <t>MIE</t>
  </si>
  <si>
    <t>Phan Nhi</t>
  </si>
  <si>
    <t>HD019796</t>
  </si>
  <si>
    <t>107/189 quang trung, f.10</t>
  </si>
  <si>
    <t>Kiên Thị Thanh Hiền</t>
  </si>
  <si>
    <t>HD019616</t>
  </si>
  <si>
    <t>31 đường số 30 phường cát lái</t>
  </si>
  <si>
    <t>Cẩm Tú</t>
  </si>
  <si>
    <t>HD019735</t>
  </si>
  <si>
    <t>chung cư terrace 21 võ trường toản</t>
  </si>
  <si>
    <t>HD019469</t>
  </si>
  <si>
    <t>Diệu Linh</t>
  </si>
  <si>
    <t>HD019905</t>
  </si>
  <si>
    <t>Vinhomes central park( park 2 -P2) 720a Điện Biên Phủ, Phường 22</t>
  </si>
  <si>
    <t>Mary Tran</t>
  </si>
  <si>
    <t>HD019738</t>
  </si>
  <si>
    <t>9/5 đường số 66 Phường thảo điền</t>
  </si>
  <si>
    <t>Trang Nhung Bui</t>
  </si>
  <si>
    <t>HD019787</t>
  </si>
  <si>
    <t>Toà Golden House - Sunwah Pearl 90 Nguyễn Hữu Cảnh - phường 22</t>
  </si>
  <si>
    <t>chi hương fb Kim Tien Pham</t>
  </si>
  <si>
    <t>HD19599</t>
  </si>
  <si>
    <t>Đỗ Thị Kiều Chinh</t>
  </si>
  <si>
    <t>HD019899</t>
  </si>
  <si>
    <t>42, đường 21,Khu dân cư bình chiểu, P tam binh (chợ đầu mối nông sản thủ đức)</t>
  </si>
  <si>
    <t>Dung Nguyen</t>
  </si>
  <si>
    <t>HD019705</t>
  </si>
  <si>
    <t>15/32/2 võ duy ninh f22</t>
  </si>
  <si>
    <t>Vân Ốc</t>
  </si>
  <si>
    <t>HD019745</t>
  </si>
  <si>
    <t>16 đường 6, p linh chiểu</t>
  </si>
  <si>
    <t>HD019779</t>
  </si>
  <si>
    <t>Gate 4 - Feliz en vista, 1 trương văn bang, thạnh mỹ lợi Toà cruz - C810</t>
  </si>
  <si>
    <t>Nguyễn Thị Thuỳ Trang</t>
  </si>
  <si>
    <t>HD020003</t>
  </si>
  <si>
    <t>41A huỳnh tịnh của p19</t>
  </si>
  <si>
    <t>Hồ Ly</t>
  </si>
  <si>
    <t>HD019939</t>
  </si>
  <si>
    <t>cổng B Cát Lái đường Lê Phụng Hiểu, Cát Lái</t>
  </si>
  <si>
    <t>HƯƠNG TRẦN</t>
  </si>
  <si>
    <t>261/26c chu văn an p12</t>
  </si>
  <si>
    <t>UYÊN MI</t>
  </si>
  <si>
    <t>78 Trần Não, P. An Khánh</t>
  </si>
  <si>
    <t>quyên quyên</t>
  </si>
  <si>
    <t>HD019808</t>
  </si>
  <si>
    <t>89 thành thái diên hồng</t>
  </si>
  <si>
    <t>Na Na</t>
  </si>
  <si>
    <t>HD019683</t>
  </si>
  <si>
    <t>145/11 Nguyễn Văn trỗi</t>
  </si>
  <si>
    <t>Ngô Thị Bích Loan</t>
  </si>
  <si>
    <t>HD019556</t>
  </si>
  <si>
    <t>167 đặng văn ngữ</t>
  </si>
  <si>
    <t>Trần Chi / Yaya Tran</t>
  </si>
  <si>
    <t>HD019782</t>
  </si>
  <si>
    <t>36 sư vạn hạnh p9</t>
  </si>
  <si>
    <t>Nhy Lê</t>
  </si>
  <si>
    <t>HD019780</t>
  </si>
  <si>
    <t>42 nguyễn sơn hà f5</t>
  </si>
  <si>
    <t>Nguyet</t>
  </si>
  <si>
    <t>HD019907</t>
  </si>
  <si>
    <t>Toà nhà lux 6...Vinhomes Golden River (Bason), 2 Nguyễn Hữu Cảnh, P. Bến Nghé</t>
  </si>
  <si>
    <t>Phi Phụng</t>
  </si>
  <si>
    <t>HD019753</t>
  </si>
  <si>
    <t>85 hồ tùng mậu bến nghé</t>
  </si>
  <si>
    <t>Vi Chanel</t>
  </si>
  <si>
    <t>HD019639</t>
  </si>
  <si>
    <t>132 Bến Vân Đồn Chung cư Millennium toà A 22.07</t>
  </si>
  <si>
    <t>Huỳnh Kim</t>
  </si>
  <si>
    <t>HD019764</t>
  </si>
  <si>
    <t>109 bến vân đồn, phường 9</t>
  </si>
  <si>
    <t>Huynh Anh</t>
  </si>
  <si>
    <t>HD019576</t>
  </si>
  <si>
    <t>284 nguyễn thiện thuật</t>
  </si>
  <si>
    <t>Tuyet Nhung Nguyen</t>
  </si>
  <si>
    <t>HD019767</t>
  </si>
  <si>
    <t>36 Lê lai phường Bảy Hiền</t>
  </si>
  <si>
    <t>Chị Dương - fb Lien Phuong Bui</t>
  </si>
  <si>
    <t>HD019733</t>
  </si>
  <si>
    <t>14 Bạch Mã, p15 cư xá bắc hải</t>
  </si>
  <si>
    <t>HD019969</t>
  </si>
  <si>
    <t>Yến Nhi - fb Thanh Thanh</t>
  </si>
  <si>
    <t>HD020012</t>
  </si>
  <si>
    <t>38 Nguyễn Bá Tuyển, P12</t>
  </si>
  <si>
    <t>Ama Bella - zalo</t>
  </si>
  <si>
    <t>HD020009</t>
  </si>
  <si>
    <t>363 Hùng Vương An Đông</t>
  </si>
  <si>
    <t>Titi</t>
  </si>
  <si>
    <t>HD019977</t>
  </si>
  <si>
    <t>196/16 Đề Thám, P. Cầu Ông Lãnh</t>
  </si>
  <si>
    <t>Mỹ Hương</t>
  </si>
  <si>
    <t>HD020008</t>
  </si>
  <si>
    <t>1A Đ. Lý Thường Kiệt, Phường 7</t>
  </si>
  <si>
    <t>Diễm My</t>
  </si>
  <si>
    <t>HD020004</t>
  </si>
  <si>
    <t>174 ton dan p4</t>
  </si>
  <si>
    <t>Thanh Trần</t>
  </si>
  <si>
    <t>HD014525</t>
  </si>
  <si>
    <t>23 Đ. Phú Thuận, Phú Thuận , hcm Sunshine Sky City sảnh A1</t>
  </si>
  <si>
    <t>Bùi Khánh Ngọc</t>
  </si>
  <si>
    <t>HD014022</t>
  </si>
  <si>
    <t>Cc River Panorama 20 Lê Thị Chợ phường Phú Thuận</t>
  </si>
  <si>
    <t>22-04-2026</t>
  </si>
  <si>
    <t>at 11-05</t>
  </si>
  <si>
    <t>4 đơn</t>
  </si>
  <si>
    <t>Thiên Nga</t>
  </si>
  <si>
    <t>HD020151</t>
  </si>
  <si>
    <t>S5.02 Vinhomes grand park, Nguyễn Xiển, Long Mỹ</t>
  </si>
  <si>
    <t>12-05-2026</t>
  </si>
  <si>
    <t>kim xuyến</t>
  </si>
  <si>
    <t>HD019918</t>
  </si>
  <si>
    <t>1002 tạ quang bửu p6</t>
  </si>
  <si>
    <t>AT 12-05</t>
  </si>
  <si>
    <t>Bella Tran (Lê Huy)</t>
  </si>
  <si>
    <t>HD020184</t>
  </si>
  <si>
    <t>67B đường T5, phường Tây Thạnh</t>
  </si>
  <si>
    <t>Phạm Oanh</t>
  </si>
  <si>
    <t>HD020045</t>
  </si>
  <si>
    <t>Cty Eidaikake xưởng 2. đường số 8 phường tân thuận đông đường huỳnh tấn phát kcxtt</t>
  </si>
  <si>
    <t>Trần Thị Kim Phương</t>
  </si>
  <si>
    <t>HD020054</t>
  </si>
  <si>
    <t>1870\1\98\14a tỉnh lộ 10 tân tạo bình tân</t>
  </si>
  <si>
    <t>Hoàng Thị Hồng</t>
  </si>
  <si>
    <t>HD020036</t>
  </si>
  <si>
    <t>Eco green tòa E nguyễn văn linh tân thuận tây</t>
  </si>
  <si>
    <t>Trinh Kim</t>
  </si>
  <si>
    <t>HD020079</t>
  </si>
  <si>
    <t>2117A/9 Phạm Thế Hiển phường 6</t>
  </si>
  <si>
    <t>HD020221</t>
  </si>
  <si>
    <t>90a /10/10 Âu duong lân p3</t>
  </si>
  <si>
    <t>Thu Thủy</t>
  </si>
  <si>
    <t>HD020187</t>
  </si>
  <si>
    <t>287 Kinh Dương Vương, P An Lạc</t>
  </si>
  <si>
    <t>Đoàn Ngọc</t>
  </si>
  <si>
    <t>HD020082</t>
  </si>
  <si>
    <t>137/2 bình long</t>
  </si>
  <si>
    <t>đơn chuyển AT 12-05</t>
  </si>
  <si>
    <t>Thế Diễm</t>
  </si>
  <si>
    <t>HD020049</t>
  </si>
  <si>
    <t>159 Võ Nguyên Giáp, P Thảo Điền Chung cư Masteri Thảo Điền (Tháp 3)</t>
  </si>
  <si>
    <t>Trần Thị Ngọc Trâm</t>
  </si>
  <si>
    <t>HD020123</t>
  </si>
  <si>
    <t>5/1H đường số 11 Bình Thọ</t>
  </si>
  <si>
    <t>Bella</t>
  </si>
  <si>
    <t>HD020155</t>
  </si>
  <si>
    <t>209/8 nguyễn duy cung, P12</t>
  </si>
  <si>
    <t>Lọ Lem</t>
  </si>
  <si>
    <t>HD020148</t>
  </si>
  <si>
    <t>484B no trang long p13</t>
  </si>
  <si>
    <t>Hải Anh</t>
  </si>
  <si>
    <t>HDO1778410597940_472532</t>
  </si>
  <si>
    <t>L-1506, chung cư One Verandah, số 2 Bát Nàn p. Thạnh Mỹ Lợi</t>
  </si>
  <si>
    <t>Hoang Yen</t>
  </si>
  <si>
    <t>HD020081</t>
  </si>
  <si>
    <t>652/7A Cộng Hoà - P13</t>
  </si>
  <si>
    <t>HẠNH NARIN</t>
  </si>
  <si>
    <t>Nguyễn My</t>
  </si>
  <si>
    <t>HD020162</t>
  </si>
  <si>
    <t>Tk18/3 nguyễn cảnh chân p cầu kho</t>
  </si>
  <si>
    <t>Chị Quyên fb An Nhiên</t>
  </si>
  <si>
    <t>HD020066</t>
  </si>
  <si>
    <t>510 Ngô Gia Tự, P.An Đông</t>
  </si>
  <si>
    <t>HD020192</t>
  </si>
  <si>
    <t>#301 Pham Ngu Lao Street</t>
  </si>
  <si>
    <t>HD020091</t>
  </si>
  <si>
    <t>594/7 điện biên phủ p10</t>
  </si>
  <si>
    <t>Tram Hoang Ngoc</t>
  </si>
  <si>
    <t>HD020186</t>
  </si>
  <si>
    <t>105K 15 hồ thị kỷ vườn lài</t>
  </si>
  <si>
    <t>Phương Anh Chu</t>
  </si>
  <si>
    <t>HD020219</t>
  </si>
  <si>
    <t>Chung cư Grand Riverside - 278 Bến Vân Đồn P2</t>
  </si>
  <si>
    <t>Em Na</t>
  </si>
  <si>
    <t>Xe Khải Nam</t>
  </si>
  <si>
    <t>at 12-05</t>
  </si>
  <si>
    <t>Sun Na</t>
  </si>
  <si>
    <t>HD020281</t>
  </si>
  <si>
    <t>Chung cư cardinal court toà B</t>
  </si>
  <si>
    <t>AT 13-05</t>
  </si>
  <si>
    <t>13-05-2026</t>
  </si>
  <si>
    <t>tran Bảo Châu</t>
  </si>
  <si>
    <t>HD020279</t>
  </si>
  <si>
    <t>654/6 lạc long quân p9</t>
  </si>
  <si>
    <t>Kim Nhân</t>
  </si>
  <si>
    <t>HD020448</t>
  </si>
  <si>
    <t>5M1/10 An Hạ</t>
  </si>
  <si>
    <t>Mie Mie</t>
  </si>
  <si>
    <t>HD020255</t>
  </si>
  <si>
    <t>38 đường số 3, phường Tân Phú</t>
  </si>
  <si>
    <t>Nguyễn Thị Kim Thoa</t>
  </si>
  <si>
    <t>HD020457</t>
  </si>
  <si>
    <t>số 25a đường 22 tình hưng hòa a</t>
  </si>
  <si>
    <t>gộp, shop chịu ship</t>
  </si>
  <si>
    <t>Bé Ty - fb Anh Lan</t>
  </si>
  <si>
    <t>HD020293</t>
  </si>
  <si>
    <t>532/3/6 Kinh Dương Vương, Phường An Lạc</t>
  </si>
  <si>
    <t>FB NGUYỄN THỊ TRÚC NGÂN</t>
  </si>
  <si>
    <t>HD020315</t>
  </si>
  <si>
    <t>Số 78 Đường Số 7, P. Bình Hưng Hòa</t>
  </si>
  <si>
    <t>Heng Roza (EV35382)</t>
  </si>
  <si>
    <t>HD019725</t>
  </si>
  <si>
    <t>HD020460</t>
  </si>
  <si>
    <t>Hồng Phấn</t>
  </si>
  <si>
    <t>HD020494</t>
  </si>
  <si>
    <t>Ship Sảnh RS4 chung cư richstar 278 hoà bình, p.phú thạnh</t>
  </si>
  <si>
    <t>Đoàn Kim</t>
  </si>
  <si>
    <t>HD020450</t>
  </si>
  <si>
    <t>Block D, chung cư floria đường số 1, tân hưng</t>
  </si>
  <si>
    <t>HD020509</t>
  </si>
  <si>
    <t>số 25a đường 22 bình hưng hòa a</t>
  </si>
  <si>
    <t>nguyễn minh hải</t>
  </si>
  <si>
    <t>No. 17, Street No. 13, Binh Hung Hoa Ward</t>
  </si>
  <si>
    <t>Roxy Nguyen</t>
  </si>
  <si>
    <t>HD020452</t>
  </si>
  <si>
    <t>965/14c quang Trung, P.14</t>
  </si>
  <si>
    <t>Nho Nhỏ</t>
  </si>
  <si>
    <t>HD020360</t>
  </si>
  <si>
    <t>Số 35 đường 34 phường linh đông</t>
  </si>
  <si>
    <t>Đoan Trang</t>
  </si>
  <si>
    <t>HD020499</t>
  </si>
  <si>
    <t>Chung cư CitiEsto, Đ. 33-CL, Cát Lái, B02-07, Phường Cát Lái</t>
  </si>
  <si>
    <t>HD020451</t>
  </si>
  <si>
    <t>Tâm Vũ</t>
  </si>
  <si>
    <t>HD020429</t>
  </si>
  <si>
    <t>100/40/56 lê văn duyệt, phường gia định (p1 cũ)</t>
  </si>
  <si>
    <t>(phan pham ngô nhi)</t>
  </si>
  <si>
    <t>HD020453</t>
  </si>
  <si>
    <t>403 đường tân sơn - phường an hội tây</t>
  </si>
  <si>
    <t>zalo tuyền hoàng</t>
  </si>
  <si>
    <t>HD020393</t>
  </si>
  <si>
    <t>433/11/2 Lê Đức Thọ, Phường Gò Vấp (phường 17 CŨ)</t>
  </si>
  <si>
    <t>Nytha</t>
  </si>
  <si>
    <t>HD020287</t>
  </si>
  <si>
    <t>392/2 ung văn khiêm p25</t>
  </si>
  <si>
    <t>lindsiepham</t>
  </si>
  <si>
    <t>HD020177</t>
  </si>
  <si>
    <t>landmark 5b vinhomes central park</t>
  </si>
  <si>
    <t>401 quang trung f10</t>
  </si>
  <si>
    <t>huỳnh như</t>
  </si>
  <si>
    <t>HD020300</t>
  </si>
  <si>
    <t>387/12 phan văn trị chợ quán</t>
  </si>
  <si>
    <t>Linh Đan</t>
  </si>
  <si>
    <t>HD020536</t>
  </si>
  <si>
    <t>Saigon Royal; Tháp AP1, 34-35 Bến Vân Đồn, P. 12</t>
  </si>
  <si>
    <t>Thanh Phương</t>
  </si>
  <si>
    <t>HD020444</t>
  </si>
  <si>
    <t>Tòa nhà C22 Building S6 G26, đường C22, Phường 12</t>
  </si>
  <si>
    <t>suz, fb Bei Bei</t>
  </si>
  <si>
    <t>HD020337</t>
  </si>
  <si>
    <t>256- 258 Lý thường kiết p14 (chung cư xi grand) Lock A2</t>
  </si>
  <si>
    <t>Thanh Hương-Hương Missi</t>
  </si>
  <si>
    <t>HD020496</t>
  </si>
  <si>
    <t>215 Nam Kì Khởi Nghĩa Phường Võ Thị Sáu</t>
  </si>
  <si>
    <t>Kim Tuyến</t>
  </si>
  <si>
    <t>HD012977</t>
  </si>
  <si>
    <t>718/3/12 trần hưng đạo p2</t>
  </si>
  <si>
    <t>HD020295</t>
  </si>
  <si>
    <t>36 Lê Lai phường bảy Hiền</t>
  </si>
  <si>
    <t>HD020486</t>
  </si>
  <si>
    <t>Mai Mai</t>
  </si>
  <si>
    <t>HD020230</t>
  </si>
  <si>
    <t>21b lý van phức tân định</t>
  </si>
  <si>
    <t>at 13-05</t>
  </si>
  <si>
    <t>Bé Sarah</t>
  </si>
  <si>
    <t>HD020613</t>
  </si>
  <si>
    <t>Vinhome grand park toà gh2</t>
  </si>
  <si>
    <t>14-05-2026</t>
  </si>
  <si>
    <t>LDVKH</t>
  </si>
  <si>
    <t>HD020852</t>
  </si>
  <si>
    <t>(LDVKH1211714)177C ( Đối diện 93C) Đường Số 1, Phường Hưng Hoà B</t>
  </si>
  <si>
    <t>AT 14-05</t>
  </si>
  <si>
    <t>Lê Ngọc Nhân</t>
  </si>
  <si>
    <t>HD20811</t>
  </si>
  <si>
    <t>192 Phạm đức Sơn, P. Phú Định</t>
  </si>
  <si>
    <t>My My</t>
  </si>
  <si>
    <t>HD020534</t>
  </si>
  <si>
    <t>114 vỏ liêm Sơn, phường Chánh hưng</t>
  </si>
  <si>
    <t>Thùy An</t>
  </si>
  <si>
    <t>HD020806</t>
  </si>
  <si>
    <t>57/16 Phùng Chí Kiên</t>
  </si>
  <si>
    <t>MeyMey EV28641</t>
  </si>
  <si>
    <t>HD020601</t>
  </si>
  <si>
    <t>315/18/6 Nguyễn Thị Tú Bình Hưng Hòa B</t>
  </si>
  <si>
    <t>thanh nhàn - fb Lam Ng</t>
  </si>
  <si>
    <t>HD020612</t>
  </si>
  <si>
    <t>156a Tân quý phường Phú thọ hòa</t>
  </si>
  <si>
    <t>VTS-34309SAK</t>
  </si>
  <si>
    <t>HD020558</t>
  </si>
  <si>
    <t>VTS-34309SAK, 601 QL1A, An Lạc</t>
  </si>
  <si>
    <t>Mỹ Linh</t>
  </si>
  <si>
    <t>HD020896</t>
  </si>
  <si>
    <t>117/4b/15 hồ văn long, tân tạo, gần cây xăng đức lợi phát</t>
  </si>
  <si>
    <t>Hiếu Lee</t>
  </si>
  <si>
    <t>HD020637</t>
  </si>
  <si>
    <t>Chung cu folita him lam</t>
  </si>
  <si>
    <t>Nguyên Hà</t>
  </si>
  <si>
    <t>HD020597</t>
  </si>
  <si>
    <t>007 lô B chung cư Tây Thạnh, phườn Tân Thạnh</t>
  </si>
  <si>
    <t>Thư Thỏ</t>
  </si>
  <si>
    <t>HD020632</t>
  </si>
  <si>
    <t>13 phạm thế hiển phường chánh hưng</t>
  </si>
  <si>
    <t>Uyen Cam Cao</t>
  </si>
  <si>
    <t>HD020895</t>
  </si>
  <si>
    <t>182/8 đường số 6, bình hưng hoà b</t>
  </si>
  <si>
    <t>Bookzan</t>
  </si>
  <si>
    <t>137 phan huy ich p15</t>
  </si>
  <si>
    <t>tân sơn phường 12</t>
  </si>
  <si>
    <t>Anh Thư</t>
  </si>
  <si>
    <t>HD020661</t>
  </si>
  <si>
    <t>số 69 trần quốc tuấn hạnh thông</t>
  </si>
  <si>
    <t>HD020802</t>
  </si>
  <si>
    <t>cát giang</t>
  </si>
  <si>
    <t>HD020867</t>
  </si>
  <si>
    <t>1 ấp bắc</t>
  </si>
  <si>
    <t>Khánh</t>
  </si>
  <si>
    <t>HD020813</t>
  </si>
  <si>
    <t>11 tam bình khu phố 7, phường hiệp bình</t>
  </si>
  <si>
    <t>Linh Anh</t>
  </si>
  <si>
    <t>HD020801</t>
  </si>
  <si>
    <t>208 nguyễn hữu cảnh phường 22</t>
  </si>
  <si>
    <t>HD020548</t>
  </si>
  <si>
    <t>Tòa landmark 2</t>
  </si>
  <si>
    <t>Thảo Ngân Lê</t>
  </si>
  <si>
    <t>HD020823</t>
  </si>
  <si>
    <t>1264/19/8 lê đức thọ, p13</t>
  </si>
  <si>
    <t>THẢO PHẠM</t>
  </si>
  <si>
    <t>NHÀ XE MINH QUỐC</t>
  </si>
  <si>
    <t>LYKA</t>
  </si>
  <si>
    <t>Gửi qua xe Khải Nam 363 Đường Hùng vương P. 9</t>
  </si>
  <si>
    <t>Kim Hân</t>
  </si>
  <si>
    <t>HD020598</t>
  </si>
  <si>
    <t>302 Nguyễn chí thanh p5</t>
  </si>
  <si>
    <t>kim nhung châu</t>
  </si>
  <si>
    <t>HD020804</t>
  </si>
  <si>
    <t>phòng 14.07 chung cư riva park số 504 nguyễn tất thành phường xóm chiếu</t>
  </si>
  <si>
    <t>Ngan Tran</t>
  </si>
  <si>
    <t>HD020814</t>
  </si>
  <si>
    <t>11/39, Nguyễn Văn Mại, Phường Tân Sơn Nhất</t>
  </si>
  <si>
    <t>Cherry Nguyễn</t>
  </si>
  <si>
    <t>HD020793</t>
  </si>
  <si>
    <t>66 hùng vương p1</t>
  </si>
  <si>
    <t>Trâm</t>
  </si>
  <si>
    <t>HD020800</t>
  </si>
  <si>
    <t>132 bến vân đồn p9</t>
  </si>
  <si>
    <t>___det___ insta</t>
  </si>
  <si>
    <t>HD020529</t>
  </si>
  <si>
    <t>363 Hùng Vương,p9</t>
  </si>
  <si>
    <t>HD020687</t>
  </si>
  <si>
    <t>HD020757</t>
  </si>
  <si>
    <t>324/11 lý thường kiệt</t>
  </si>
  <si>
    <t>HD020885</t>
  </si>
  <si>
    <t>Linh Huệ</t>
  </si>
  <si>
    <t>HD020761</t>
  </si>
  <si>
    <t>12 tôn đản</t>
  </si>
  <si>
    <t>Kami - fb Đan Khanh</t>
  </si>
  <si>
    <t>HD020872</t>
  </si>
  <si>
    <t>Chung cư DELASOL, căn A2.09.04, số 1 Tôn Thất Thuyết, P1</t>
  </si>
  <si>
    <t>Elly Nguyễn</t>
  </si>
  <si>
    <t>HD020858</t>
  </si>
  <si>
    <t>431/7b đường Phan Văn Trị phường 7</t>
  </si>
  <si>
    <t>kh ck shop 775k</t>
  </si>
  <si>
    <t>at 14-05</t>
  </si>
  <si>
    <t>S</t>
  </si>
  <si>
    <t>THƯƠNG 1994</t>
  </si>
  <si>
    <t>Tòa S501, Vinhome grand park, Long Thạnh Mỹ</t>
  </si>
  <si>
    <t>15-05-2026</t>
  </si>
  <si>
    <t>Kiên Hoàng Khiêm</t>
  </si>
  <si>
    <t>HD020881</t>
  </si>
  <si>
    <t>531 Điện Biên Phủ P. Bàn Cờ</t>
  </si>
  <si>
    <t>AT 15-05</t>
  </si>
  <si>
    <t>Hồ Nguyễn Quỳnh Như</t>
  </si>
  <si>
    <t>HD020995</t>
  </si>
  <si>
    <t>Central premium lock A 0946374247</t>
  </si>
  <si>
    <t>Người nhận: Vũ Hạ</t>
  </si>
  <si>
    <t>HD020648</t>
  </si>
  <si>
    <t>cầu thang số 2 lô F, chung cư Sơn Kỳ, đường CC5, P. Tây Thạnh</t>
  </si>
  <si>
    <t>Jenny Đoàn</t>
  </si>
  <si>
    <t>HD021013</t>
  </si>
  <si>
    <t>lô m3 chung cư số 1 tôn thất thuyết p1</t>
  </si>
  <si>
    <t>Mứt Dâu</t>
  </si>
  <si>
    <t>HD018064</t>
  </si>
  <si>
    <t>238/14 quốc lộ 50 phường 6</t>
  </si>
  <si>
    <t>HD021101</t>
  </si>
  <si>
    <t>Megan Truong</t>
  </si>
  <si>
    <t>HD020862</t>
  </si>
  <si>
    <t>số nhà 1527/3/1 hẻm 1545 lê văn lương, nhơn đức</t>
  </si>
  <si>
    <t>HD021024</t>
  </si>
  <si>
    <t>Nguyễn Thùy</t>
  </si>
  <si>
    <t>HD021164</t>
  </si>
  <si>
    <t>71/46 gò xoài p bình hưng hoà a</t>
  </si>
  <si>
    <t>Bảo Trân</t>
  </si>
  <si>
    <t>HD021085</t>
  </si>
  <si>
    <t>90a đường 37 Tân Quy</t>
  </si>
  <si>
    <t>Bác Thanh - fb Pé Síu</t>
  </si>
  <si>
    <t>HDO21082</t>
  </si>
  <si>
    <t>566/17 An Duong Vuong p11</t>
  </si>
  <si>
    <t>VTS-51916TNV</t>
  </si>
  <si>
    <t>HD020984</t>
  </si>
  <si>
    <t>601 QL1A, An Lạc</t>
  </si>
  <si>
    <t>coca ( kẹ)</t>
  </si>
  <si>
    <t>HD021127</t>
  </si>
  <si>
    <t>532/3/93 kinh dương vương, Phường an lạc</t>
  </si>
  <si>
    <t>Phương Dung</t>
  </si>
  <si>
    <t>HD020877</t>
  </si>
  <si>
    <t>Sunshine sky city tòa A2</t>
  </si>
  <si>
    <t>Phuong Ho</t>
  </si>
  <si>
    <t>HD021147</t>
  </si>
  <si>
    <t>576a dien bien phu phuong vuon lai</t>
  </si>
  <si>
    <t>Nguyễn Hoài An</t>
  </si>
  <si>
    <t>HD020928</t>
  </si>
  <si>
    <t>15 đặng thai mai p7</t>
  </si>
  <si>
    <t>Trang Nguyên</t>
  </si>
  <si>
    <t>HD021087</t>
  </si>
  <si>
    <t>13c lê thánh tôn</t>
  </si>
  <si>
    <t>W24130 MiKi</t>
  </si>
  <si>
    <t>HD021125</t>
  </si>
  <si>
    <t>64 Lê Thị Riêng</t>
  </si>
  <si>
    <t>Thanh Hà Phạm</t>
  </si>
  <si>
    <t>HD020997</t>
  </si>
  <si>
    <t>29/15 yên thế, p2</t>
  </si>
  <si>
    <t>Binh Hương</t>
  </si>
  <si>
    <t>HD020878</t>
  </si>
  <si>
    <t>13 đươngg 44 phường 14</t>
  </si>
  <si>
    <t>Người Nhận BN2705</t>
  </si>
  <si>
    <t>HD021163</t>
  </si>
  <si>
    <t>Đăng + Hạnh</t>
  </si>
  <si>
    <t>HD021152</t>
  </si>
  <si>
    <t>403 Tân Sơn, P12</t>
  </si>
  <si>
    <t>HD021002</t>
  </si>
  <si>
    <t>Tòa nhà C22 Building Số G26, đường C22, Phường 12</t>
  </si>
  <si>
    <t>Lê Thị Ngọc Vân</t>
  </si>
  <si>
    <t>HD021150</t>
  </si>
  <si>
    <t>34 phùng văn cung p7</t>
  </si>
  <si>
    <t>Huyền Trang</t>
  </si>
  <si>
    <t>HD021153</t>
  </si>
  <si>
    <t>108 hồng hà p2</t>
  </si>
  <si>
    <t>Đức nhận hộ Mimi -87780266</t>
  </si>
  <si>
    <t>HD020538</t>
  </si>
  <si>
    <t>39 an nhơn phương 17</t>
  </si>
  <si>
    <t>Bing Bing</t>
  </si>
  <si>
    <t>HD021129</t>
  </si>
  <si>
    <t>Landmark 5, Vinhome central park, F22</t>
  </si>
  <si>
    <t>Vu Hiếu</t>
  </si>
  <si>
    <t>HD021028</t>
  </si>
  <si>
    <t>Số 10 đuong 18 linh đông</t>
  </si>
  <si>
    <t>ĐÔNG MIÊN malay</t>
  </si>
  <si>
    <t>HD021014</t>
  </si>
  <si>
    <t>22 TÂN THỚI NHẤT 1B, Phường Tân Thới Nhất</t>
  </si>
  <si>
    <t>Daisy</t>
  </si>
  <si>
    <t>HD021054</t>
  </si>
  <si>
    <t>5A Lam Sơn, Phường Tân Sơn Hòa</t>
  </si>
  <si>
    <t>Mr Thế</t>
  </si>
  <si>
    <t>27/5 Quách Văn Tuấn, F12</t>
  </si>
  <si>
    <t>at 15-05</t>
  </si>
  <si>
    <t>yến trinh</t>
  </si>
  <si>
    <t>HD021308</t>
  </si>
  <si>
    <t>321 an dương vương, an lạc, bình tân Chung cư khang điền lộck b</t>
  </si>
  <si>
    <t>AT 16-05</t>
  </si>
  <si>
    <t>16-05-2026</t>
  </si>
  <si>
    <t>kh ck shop 4210k</t>
  </si>
  <si>
    <t>Phạm T. Thảo</t>
  </si>
  <si>
    <t>HD021288</t>
  </si>
  <si>
    <t>63 dương bá trạc p. rạch ông</t>
  </si>
  <si>
    <t>Nhận hành giúp chị phương (ở Úc) fb Phương My</t>
  </si>
  <si>
    <t>HD021421</t>
  </si>
  <si>
    <t>126/5h song hành, tân hiệp</t>
  </si>
  <si>
    <t>hoc mon</t>
  </si>
  <si>
    <t>Trần Bảo Hân (inst tienbaohen17)</t>
  </si>
  <si>
    <t>HD021310</t>
  </si>
  <si>
    <t>E4/25a đường Nguyễn Hữu Trí, khu phố 12, thị trấn Tân Túc</t>
  </si>
  <si>
    <t>Trần Bảo Hân (inst tranbaohan17)</t>
  </si>
  <si>
    <t>HD021309</t>
  </si>
  <si>
    <t>Loan Trần</t>
  </si>
  <si>
    <t>HD021379</t>
  </si>
  <si>
    <t>64/24C hoà bình phường hòa bình</t>
  </si>
  <si>
    <t>Đỗ T. Thu Hồng</t>
  </si>
  <si>
    <t>HD021466</t>
  </si>
  <si>
    <t>Lock A - eco green - nguyễn văn linh</t>
  </si>
  <si>
    <t>Nguyễn Lê</t>
  </si>
  <si>
    <t>HD021425</t>
  </si>
  <si>
    <t>287/1/5 thành công, tân thành</t>
  </si>
  <si>
    <t>HD021282</t>
  </si>
  <si>
    <t>287/1/5 thành công, tấn thành</t>
  </si>
  <si>
    <t>Ngọc Mỹ Kim</t>
  </si>
  <si>
    <t>HD021327</t>
  </si>
  <si>
    <t>Chung cu topaz elite drgon 2c p4 ta quang buu</t>
  </si>
  <si>
    <t>kh ck shop 1820k</t>
  </si>
  <si>
    <t>Cẩm Cẩm</t>
  </si>
  <si>
    <t>HD021193</t>
  </si>
  <si>
    <t>150 Hoàng Trọng Mậu Tân Hưng</t>
  </si>
  <si>
    <t>Sam Sam</t>
  </si>
  <si>
    <t>HD021214</t>
  </si>
  <si>
    <t>Sunrise city view tòa B .33 Nguyễn Hữu Thọ phường tân hưng</t>
  </si>
  <si>
    <t>Ann Ann</t>
  </si>
  <si>
    <t>HD021246</t>
  </si>
  <si>
    <t>172 lê thị bạch cát p11</t>
  </si>
  <si>
    <t>HD021369</t>
  </si>
  <si>
    <t>87/10 trần quang cơ phú thạnh</t>
  </si>
  <si>
    <t>Người nhận: Fb Phương Mai</t>
  </si>
  <si>
    <t>HD020876</t>
  </si>
  <si>
    <t>433/11/2 Lê Đức Thọ, Phường 17</t>
  </si>
  <si>
    <t>HD021355</t>
  </si>
  <si>
    <t>HD021442</t>
  </si>
  <si>
    <t>42, đường 21,Khu dân cư bình chiểu, P tam bình (chợ đầu mối nông sản thủ đức)</t>
  </si>
  <si>
    <t>chị Huyền</t>
  </si>
  <si>
    <t>HĐ021386</t>
  </si>
  <si>
    <t>9B nguyễn xí, phường 26</t>
  </si>
  <si>
    <t>Duyên Duyên</t>
  </si>
  <si>
    <t>HD021253</t>
  </si>
  <si>
    <t>Đường số 9 hẻm 58/36 linh tây</t>
  </si>
  <si>
    <t>Nuong Huynh</t>
  </si>
  <si>
    <t>HD021213</t>
  </si>
  <si>
    <t>67 mai chí thọ phường an phú</t>
  </si>
  <si>
    <t>HD021227</t>
  </si>
  <si>
    <t>BN9663</t>
  </si>
  <si>
    <t>HD021364</t>
  </si>
  <si>
    <t>Khả Di</t>
  </si>
  <si>
    <t>HD021217</t>
  </si>
  <si>
    <t>54A đường số 7, Linh Trung</t>
  </si>
  <si>
    <t>Ánh Hoàng</t>
  </si>
  <si>
    <t>HD021275</t>
  </si>
  <si>
    <t>Stown Tham Lương sảnh B Phường Tân Thới Nhất</t>
  </si>
  <si>
    <t>Huỳnh Phương Mỹ Duyên</t>
  </si>
  <si>
    <t>HD021212</t>
  </si>
  <si>
    <t>21 bis đường số 10, phường bình an</t>
  </si>
  <si>
    <t>Hồng Thắm</t>
  </si>
  <si>
    <t>27 đông hưng thuận 45 tân hưng thuận</t>
  </si>
  <si>
    <t>tân sơn p12</t>
  </si>
  <si>
    <t>VERISKA (YAYANG) - ROOM 104.</t>
  </si>
  <si>
    <t>HD021409</t>
  </si>
  <si>
    <t>Saigon Europe Hotel, Số 207 đường Đề Thám, phường bến Thành</t>
  </si>
  <si>
    <t>HD021185</t>
  </si>
  <si>
    <t>Số 207 đường Đề Thám, phường bến Thành</t>
  </si>
  <si>
    <t>Hiệp fb Đặng Tổ Trinh</t>
  </si>
  <si>
    <t>HD021271</t>
  </si>
  <si>
    <t>Số 3 hoàng minh giám phường đức nhuận</t>
  </si>
  <si>
    <t>Linh Tiêu</t>
  </si>
  <si>
    <t>HD021267</t>
  </si>
  <si>
    <t>97 Ký Con, p. Nguyễn Thái Bình</t>
  </si>
  <si>
    <t>Thien Phu Nguyen</t>
  </si>
  <si>
    <t>HD021468</t>
  </si>
  <si>
    <t>Block B - Chung cư RiverGate Residence 151-155 Bến Vân Đồn, Phường Khánh Hội</t>
  </si>
  <si>
    <t>Mai Sương</t>
  </si>
  <si>
    <t>HD021469</t>
  </si>
  <si>
    <t>55/3 trần đình xu, phường cầu kho</t>
  </si>
  <si>
    <t>Heng Stella</t>
  </si>
  <si>
    <t>Ngọc Phượng</t>
  </si>
  <si>
    <t>HD014928</t>
  </si>
  <si>
    <t>The grand midtown m5 đường số 16 p. Tân Phú</t>
  </si>
  <si>
    <t>AT 24-04</t>
  </si>
  <si>
    <t>24-04-2026</t>
  </si>
  <si>
    <t>at 16-05</t>
  </si>
  <si>
    <t>Quỳnh Nga</t>
  </si>
  <si>
    <t>HD021747</t>
  </si>
  <si>
    <t>56/7 đường Tân Hoà 2 phường Hiệp Phú</t>
  </si>
  <si>
    <t>18-05-2026</t>
  </si>
  <si>
    <t>Hợp Vũ</t>
  </si>
  <si>
    <t>HD021640</t>
  </si>
  <si>
    <t>2A Phan Chu Trinh, P Hiệp Phú</t>
  </si>
  <si>
    <t>AT 18-05</t>
  </si>
  <si>
    <t>HD021621</t>
  </si>
  <si>
    <t>Heng Roza (EV38382)</t>
  </si>
  <si>
    <t>HD020691</t>
  </si>
  <si>
    <t>HD021855</t>
  </si>
  <si>
    <t>Ngọc Hồng Thương</t>
  </si>
  <si>
    <t>HD021553</t>
  </si>
  <si>
    <t>51 đường 81 tân quy</t>
  </si>
  <si>
    <t>PIMVIPA 3883</t>
  </si>
  <si>
    <t>HD021837</t>
  </si>
  <si>
    <t>Gia Tuệ</t>
  </si>
  <si>
    <t>HD021808</t>
  </si>
  <si>
    <t>42/32 trần đại nghĩa, tân tạo a</t>
  </si>
  <si>
    <t>HSM RIDA CHUON</t>
  </si>
  <si>
    <t>HD021615</t>
  </si>
  <si>
    <t>177c đường số 1 bình hưng hòa b</t>
  </si>
  <si>
    <t>Nga Còi</t>
  </si>
  <si>
    <t>Sửa xe Anh Sơn, liên ấp 2,3,4 Vĩnh Lộc A</t>
  </si>
  <si>
    <t>HD021418</t>
  </si>
  <si>
    <t>Central premium lock A</t>
  </si>
  <si>
    <t>Ái Nương</t>
  </si>
  <si>
    <t>HD021666</t>
  </si>
  <si>
    <t>154/33 au dương lân phường 3</t>
  </si>
  <si>
    <t>chị Bích Huyền</t>
  </si>
  <si>
    <t>HD021868</t>
  </si>
  <si>
    <t>Số 4 đường số 22 kdc bình hưng</t>
  </si>
  <si>
    <t>Chị Bích Huyền</t>
  </si>
  <si>
    <t>HD021775</t>
  </si>
  <si>
    <t>số 4 đường số 22 kdc bình hưng</t>
  </si>
  <si>
    <t>Phuong Nguyen</t>
  </si>
  <si>
    <t>HD021530</t>
  </si>
  <si>
    <t>Eco green toà I, HR30710, 39 Nguyễn Văn linh</t>
  </si>
  <si>
    <t>Ngann Lee</t>
  </si>
  <si>
    <t>HD021534</t>
  </si>
  <si>
    <t>360 lạc long quân phường 5 (phường hòa bình)</t>
  </si>
  <si>
    <t>NIKI</t>
  </si>
  <si>
    <t>Nguyễn Thị Mỹ Phúc</t>
  </si>
  <si>
    <t>HD021574</t>
  </si>
  <si>
    <t>nha The Sun Avenue (tòa S5) 28 Mai Chí Thọ, An Phú</t>
  </si>
  <si>
    <t>HD021424</t>
  </si>
  <si>
    <t>Hoàng Trâm Anh</t>
  </si>
  <si>
    <t>HD021810</t>
  </si>
  <si>
    <t>11 Nguyễn Bá Huân phường thảo điền</t>
  </si>
  <si>
    <t>Trúc Nguyễn</t>
  </si>
  <si>
    <t>HD021871</t>
  </si>
  <si>
    <t>38 Đường 6 Linh Chiếu</t>
  </si>
  <si>
    <t>như fb Đặng Tố Trinh</t>
  </si>
  <si>
    <t>HD021866</t>
  </si>
  <si>
    <t>Đối diện 110/42 đường số 5 phường 17</t>
  </si>
  <si>
    <t>Nguyễn Thảo Uyên</t>
  </si>
  <si>
    <t>HD021746</t>
  </si>
  <si>
    <t>15/32/56 võ duy ninh p22</t>
  </si>
  <si>
    <t>HD021539</t>
  </si>
  <si>
    <t>129/34 Nguyễn Văn Công, P. 3</t>
  </si>
  <si>
    <t>MC Phương Nhi</t>
  </si>
  <si>
    <t>HD021829</t>
  </si>
  <si>
    <t>99 Trần Bá Giao An Nhơn</t>
  </si>
  <si>
    <t>Ngân Ngân</t>
  </si>
  <si>
    <t>HD021620</t>
  </si>
  <si>
    <t>74B/148 thống nhất p15</t>
  </si>
  <si>
    <t>Vân Thuỳ</t>
  </si>
  <si>
    <t>HD021612</t>
  </si>
  <si>
    <t>497/73/5 phan văn trị Phường 5</t>
  </si>
  <si>
    <t>SU ANH</t>
  </si>
  <si>
    <t>Hong Nho + NGUYỄN THỊ DIỄM CHI</t>
  </si>
  <si>
    <t>29/7 Yên Thế, Phường 2</t>
  </si>
  <si>
    <t>Gia Huy nhận của ELIS NGUYỄN ( singapore)</t>
  </si>
  <si>
    <t>HD021334</t>
  </si>
  <si>
    <t>2/11 Đường Thiên Phước, Phường 9</t>
  </si>
  <si>
    <t>Ngọc - fb Naila Unner</t>
  </si>
  <si>
    <t>HD021827</t>
  </si>
  <si>
    <t>Rivergate</t>
  </si>
  <si>
    <t>HD021876</t>
  </si>
  <si>
    <t>Ngọc</t>
  </si>
  <si>
    <t>HD021842</t>
  </si>
  <si>
    <t>222 pasteur, phường xuân hòa</t>
  </si>
  <si>
    <t>Thinh HB</t>
  </si>
  <si>
    <t>HD021608</t>
  </si>
  <si>
    <t>17 cô giang, phường cầu ông lãnh</t>
  </si>
  <si>
    <t>Trân Nguyễn</t>
  </si>
  <si>
    <t>HD021600</t>
  </si>
  <si>
    <t>177 Nguyễn Đình Chiểu, p. Xuân Hòa</t>
  </si>
  <si>
    <t>Tô Tô</t>
  </si>
  <si>
    <t>HD021603</t>
  </si>
  <si>
    <t>46 Lê Thị Riêng, phường Bến Thành</t>
  </si>
  <si>
    <t>at 18-05</t>
  </si>
  <si>
    <t>THÁNG 5</t>
  </si>
  <si>
    <t>NGÀY</t>
  </si>
  <si>
    <t>ĐƠN NHẬN</t>
  </si>
  <si>
    <t>ĐƠN GỘP</t>
  </si>
  <si>
    <t>ĐƠN TRẢ</t>
  </si>
  <si>
    <t>ĐƠN GIAO ĐƯỢC</t>
  </si>
  <si>
    <t>Số đơn thành công</t>
  </si>
  <si>
    <t>Doanh thu</t>
  </si>
  <si>
    <t>Lương</t>
  </si>
  <si>
    <t>Lợi nhuận</t>
  </si>
  <si>
    <t>Nguyễn Trương Phương Oanh</t>
  </si>
  <si>
    <t>HD021780</t>
  </si>
  <si>
    <t>125/42/2 Bùi Đình Tuý, phường 14</t>
  </si>
  <si>
    <t>19-05-2026</t>
  </si>
  <si>
    <t>HD021999</t>
  </si>
  <si>
    <t>AT 19-05</t>
  </si>
  <si>
    <t>Bảo Ngân</t>
  </si>
  <si>
    <t>HD021981</t>
  </si>
  <si>
    <t>62 đường 36, Khu đô thị Vạn Phúc</t>
  </si>
  <si>
    <t>YẾN</t>
  </si>
  <si>
    <t>HD022130</t>
  </si>
  <si>
    <t>Số 21 đường 10, khu Khang Điền, P.Phước Long B</t>
  </si>
  <si>
    <t>HD021937</t>
  </si>
  <si>
    <t>Trường Ruby Hồng Ngọc, số 4 Lê Quát, Phường Tân Thới Hoà</t>
  </si>
  <si>
    <t>HD021909</t>
  </si>
  <si>
    <t>Chung cư Tecco, block C, đường Nguyễn Cửu Phú, phường Tân Tạo</t>
  </si>
  <si>
    <t>HD022145</t>
  </si>
  <si>
    <t>chung cư botanica premier block C2 Hồng Hà</t>
  </si>
  <si>
    <t>Trang Gpe / Wang Yu Hua</t>
  </si>
  <si>
    <t>HD021970</t>
  </si>
  <si>
    <t>Số 192 Trần Bá Giao, Phường 5</t>
  </si>
  <si>
    <t>Thiều Phương Nhi</t>
  </si>
  <si>
    <t>HD022153</t>
  </si>
  <si>
    <t>115 Phan Huy Thực, P.Tân Hưng</t>
  </si>
  <si>
    <t>Nguyễn Thị Hà Vy</t>
  </si>
  <si>
    <t>HD021917</t>
  </si>
  <si>
    <t>30/8 trịnh đình thảo p. Hòa Thạnh</t>
  </si>
  <si>
    <t>Khả Hân</t>
  </si>
  <si>
    <t>HD021776</t>
  </si>
  <si>
    <t>10 Tạ Hiện Cát Lái</t>
  </si>
  <si>
    <t>Nguyễn Thị Thương Hoài</t>
  </si>
  <si>
    <t>HD022106</t>
  </si>
  <si>
    <t>32/4/17 khu phố 3, đường 21, phường Cát Lái</t>
  </si>
  <si>
    <t>Nguyễn Võ Thụy Hương (Hoàng Ngân)</t>
  </si>
  <si>
    <t>HD022099</t>
  </si>
  <si>
    <t>Châu Nguyễn</t>
  </si>
  <si>
    <t>HD021967</t>
  </si>
  <si>
    <t>chung cu eco green block H</t>
  </si>
  <si>
    <t>Phạm Ngọc Thương</t>
  </si>
  <si>
    <t>HD022114</t>
  </si>
  <si>
    <t>23/53 Nơ Trang Long, p7</t>
  </si>
  <si>
    <t>Hiền Hiền</t>
  </si>
  <si>
    <t>HD022103</t>
  </si>
  <si>
    <t>163/25/42 Tô Hiến Thành p13</t>
  </si>
  <si>
    <t>Eny Nguyen</t>
  </si>
  <si>
    <t>HD022152</t>
  </si>
  <si>
    <t>362/26 lê văn lương, tân hưng</t>
  </si>
  <si>
    <t>Ngọc Trang</t>
  </si>
  <si>
    <t>HD022158</t>
  </si>
  <si>
    <t>Foxshop 28 Lê Văn Duyệt, P1</t>
  </si>
  <si>
    <t>HD021846</t>
  </si>
  <si>
    <t>Ivy Tran</t>
  </si>
  <si>
    <t>HD021976</t>
  </si>
  <si>
    <t>128/3 Nguyễn Sơn, Phú Thọ Hoà</t>
  </si>
  <si>
    <t>HD022101</t>
  </si>
  <si>
    <t>khun leang 092559972</t>
  </si>
  <si>
    <t>HD021974</t>
  </si>
  <si>
    <t>nhà xe khải nam</t>
  </si>
  <si>
    <t>Ivy Nguyen</t>
  </si>
  <si>
    <t>HD022104</t>
  </si>
  <si>
    <t>296 gia phú p1</t>
  </si>
  <si>
    <t>BELLA TRẦN</t>
  </si>
  <si>
    <t>66đường 17 p10</t>
  </si>
  <si>
    <t>GENY</t>
  </si>
  <si>
    <t>B12 Đ. Bạch Đằng, Phường 2</t>
  </si>
  <si>
    <t>NT Hải Yến</t>
  </si>
  <si>
    <t>123 khu dân cư Tân Tiến, Tân Thới Hiệp</t>
  </si>
  <si>
    <t>LEMONA</t>
  </si>
  <si>
    <t>at 19-05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</si>
</sst>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2" fillId="0" borderId="0"/>
  </cellStyleXfs>
  <cellXfs count="38">
    <xf numFmtId="0" fontId="0" fillId="0" borderId="0" xfId="0"/>
    <xf numFmtId="0" fontId="4" fillId="5" borderId="0" xfId="0" applyFont="1" applyFill="1"/>
    <xf numFmtId="0" fontId="0" fillId="0" borderId="0" xfId="0"/>
    <xf numFmtId="0" fontId="5" fillId="0" borderId="0" xfId="0" applyFont="1"/>
    <xf numFmtId="0" fontId="0" fillId="5" borderId="0" xfId="0" applyFill="1"/>
    <xf numFmtId="0" fontId="4" fillId="0" borderId="0" xfId="0" applyFont="1"/>
    <xf numFmtId="0" fontId="4" fillId="5" borderId="0" xfId="0" applyFont="1" applyFill="1"/>
    <xf numFmtId="0" fontId="5" fillId="0" borderId="0" xfId="0" applyFont="1"/>
    <xf numFmtId="0" fontId="0" fillId="5" borderId="0" xfId="0" applyFill="1"/>
    <xf numFmtId="0" fontId="4" fillId="0" borderId="0" xfId="0" applyFont="1"/>
    <xf numFmtId="0" fontId="1" fillId="0" borderId="0" xfId="1" applyFont="1"/>
    <xf numFmtId="0" fontId="1" fillId="2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0" xfId="0" applyFont="1" applyFill="1"/>
    <xf numFmtId="3" fontId="0" fillId="0" borderId="0" xfId="0" applyNumberFormat="1"/>
    <xf numFmtId="0" fontId="4" fillId="6" borderId="0" xfId="0" applyFont="1" applyFill="1"/>
    <xf numFmtId="0" fontId="0" fillId="7" borderId="0" xfId="0" applyFill="1"/>
    <xf numFmtId="0" fontId="4" fillId="8" borderId="0" xfId="0" applyFont="1" applyFill="1"/>
    <xf numFmtId="0" fontId="4" fillId="4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9" borderId="1" xfId="0" applyFill="1" applyBorder="1"/>
    <xf numFmtId="3" fontId="0" fillId="9" borderId="1" xfId="0" applyNumberFormat="1" applyFill="1" applyBorder="1"/>
    <xf numFmtId="0" fontId="0" fillId="9" borderId="0" xfId="0" applyFill="1"/>
    <xf numFmtId="0" fontId="5" fillId="2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0" fontId="5" fillId="0" borderId="0" xfId="0" applyFont="1" applyAlignment="1">
      <alignment horizontal="right"/>
    </xf>
    <xf numFmtId="3" fontId="0" fillId="10" borderId="1" xfId="0" applyNumberFormat="1" applyFill="1" applyBorder="1"/>
    <xf numFmtId="3" fontId="0" fillId="9" borderId="0" xfId="0" applyNumberFormat="1" applyFill="1"/>
    <xf numFmtId="0" fontId="5" fillId="0" borderId="2" xfId="0" applyFont="1" applyBorder="1"/>
    <xf numFmtId="3" fontId="5" fillId="0" borderId="2" xfId="0" applyNumberFormat="1" applyFont="1" applyBorder="1"/>
    <xf numFmtId="0" fontId="6" fillId="0" borderId="1" xfId="0" applyFont="1" applyBorder="1"/>
    <xf numFmtId="3" fontId="6" fillId="0" borderId="1" xfId="0" applyNumberFormat="1" applyFont="1" applyBorder="1"/>
    <xf numFmtId="0" fontId="6" fillId="0" borderId="0" xfId="0" applyFont="1"/>
    <xf numFmtId="0" fontId="5" fillId="0" borderId="0" xfId="0" applyFont="1" applyAlignment="1">
      <alignment horizontal="left"/>
    </xf>
    <xf numFmtId="0" fontId="4" fillId="4" borderId="0" xfId="0" applyFont="1" applyFill="1"/>
  </cellXfs>
  <cellStyles count="2">
    <cellStyle name="Normal" xfId="0" builtinId="0"/>
    <cellStyle name="Normal 2" xfId="1" xr:uid="{DB72F213-3AF7-4618-B5B3-4068D3F972D7}"/>
  </cellStyles>
  <dxfs count="1">
    <dxf>
      <fill>
        <patternFill patternType="solid">
          <fgColor auto="1"/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90"/>
  <sheetViews>
    <sheetView topLeftCell="A49" workbookViewId="0">
      <selection activeCell="K65" sqref="K65"/>
    </sheetView>
  </sheetViews>
  <sheetFormatPr defaultRowHeight="15" x14ac:dyDescent="0.25"/>
  <cols>
    <col min="1" max="1" width="12.7109375" customWidth="1"/>
    <col min="2" max="2" width="17.7109375" customWidth="1"/>
    <col min="3" max="3" width="31.5703125" customWidth="1"/>
    <col min="4" max="4" width="9.85546875" customWidth="1"/>
    <col min="5" max="5" width="89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 t="s">
        <v>16</v>
      </c>
      <c r="B3" s="20" t="s">
        <v>17</v>
      </c>
      <c r="C3" s="20" t="s">
        <v>18</v>
      </c>
      <c r="D3" s="20"/>
      <c r="E3" s="20" t="s">
        <v>19</v>
      </c>
      <c r="F3" s="21">
        <v>9</v>
      </c>
      <c r="G3" s="21">
        <v>895</v>
      </c>
      <c r="H3" s="21">
        <v>35</v>
      </c>
      <c r="I3" s="21">
        <f t="shared" ref="I3:I8" si="0">G3-H3</f>
        <v>860</v>
      </c>
      <c r="J3" s="20" t="s">
        <v>20</v>
      </c>
      <c r="K3" s="20" t="s">
        <v>21</v>
      </c>
      <c r="L3" s="20" t="s">
        <v>22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23</v>
      </c>
      <c r="D4" s="20" t="s">
        <v>24</v>
      </c>
      <c r="E4" s="20" t="s">
        <v>25</v>
      </c>
      <c r="F4" s="20" t="s">
        <v>26</v>
      </c>
      <c r="G4" s="21">
        <v>920</v>
      </c>
      <c r="H4" s="21">
        <v>30</v>
      </c>
      <c r="I4" s="21">
        <f t="shared" si="0"/>
        <v>890</v>
      </c>
      <c r="J4" s="20" t="s">
        <v>27</v>
      </c>
      <c r="K4" s="20" t="s">
        <v>21</v>
      </c>
      <c r="L4" s="20" t="s">
        <v>22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17</v>
      </c>
      <c r="C5" s="20" t="s">
        <v>28</v>
      </c>
      <c r="D5" s="20" t="s">
        <v>29</v>
      </c>
      <c r="E5" s="20" t="s">
        <v>30</v>
      </c>
      <c r="F5" s="21">
        <v>12</v>
      </c>
      <c r="G5" s="21">
        <v>890</v>
      </c>
      <c r="H5" s="21">
        <v>30</v>
      </c>
      <c r="I5" s="21">
        <f t="shared" si="0"/>
        <v>860</v>
      </c>
      <c r="J5" s="20" t="s">
        <v>27</v>
      </c>
      <c r="K5" s="20" t="s">
        <v>21</v>
      </c>
      <c r="L5" s="20" t="s">
        <v>22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17</v>
      </c>
      <c r="C6" s="20" t="s">
        <v>31</v>
      </c>
      <c r="D6" s="20" t="s">
        <v>32</v>
      </c>
      <c r="E6" s="20" t="s">
        <v>33</v>
      </c>
      <c r="F6" s="21">
        <v>12</v>
      </c>
      <c r="G6" s="21">
        <v>380</v>
      </c>
      <c r="H6" s="21">
        <v>30</v>
      </c>
      <c r="I6" s="21">
        <f t="shared" si="0"/>
        <v>350</v>
      </c>
      <c r="J6" s="20" t="s">
        <v>27</v>
      </c>
      <c r="K6" s="20" t="s">
        <v>21</v>
      </c>
      <c r="L6" s="20" t="s">
        <v>22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34</v>
      </c>
      <c r="D7" s="20" t="s">
        <v>35</v>
      </c>
      <c r="E7" s="20" t="s">
        <v>36</v>
      </c>
      <c r="F7" s="21">
        <v>8</v>
      </c>
      <c r="G7" s="21">
        <v>500</v>
      </c>
      <c r="H7" s="21">
        <v>30</v>
      </c>
      <c r="I7" s="21">
        <f t="shared" si="0"/>
        <v>470</v>
      </c>
      <c r="J7" s="20" t="s">
        <v>27</v>
      </c>
      <c r="K7" s="20" t="s">
        <v>21</v>
      </c>
      <c r="L7" s="20" t="s">
        <v>22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17</v>
      </c>
      <c r="C8" s="20" t="s">
        <v>37</v>
      </c>
      <c r="D8" s="20" t="s">
        <v>38</v>
      </c>
      <c r="E8" s="20" t="s">
        <v>39</v>
      </c>
      <c r="F8" s="21">
        <v>8</v>
      </c>
      <c r="G8" s="21">
        <v>890</v>
      </c>
      <c r="H8" s="21">
        <v>30</v>
      </c>
      <c r="I8" s="21">
        <f t="shared" si="0"/>
        <v>860</v>
      </c>
      <c r="J8" s="20" t="s">
        <v>27</v>
      </c>
      <c r="K8" s="20" t="s">
        <v>21</v>
      </c>
      <c r="L8" s="20" t="s">
        <v>22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40</v>
      </c>
      <c r="D9" s="20" t="s">
        <v>41</v>
      </c>
      <c r="E9" s="20" t="s">
        <v>42</v>
      </c>
      <c r="F9" s="21">
        <v>12</v>
      </c>
      <c r="G9" s="21">
        <v>0</v>
      </c>
      <c r="H9" s="21">
        <v>30</v>
      </c>
      <c r="I9" s="21">
        <f>-H9</f>
        <v>-30</v>
      </c>
      <c r="J9" s="20" t="s">
        <v>27</v>
      </c>
      <c r="K9" s="20" t="s">
        <v>21</v>
      </c>
      <c r="L9" s="20" t="s">
        <v>22</v>
      </c>
      <c r="M9" s="20"/>
      <c r="N9" s="20"/>
      <c r="O9" s="20"/>
      <c r="P9" s="20"/>
      <c r="Q9" s="20">
        <v>1</v>
      </c>
      <c r="R9" s="15">
        <f>H9</f>
        <v>30</v>
      </c>
    </row>
    <row r="10" spans="1:18" x14ac:dyDescent="0.25">
      <c r="A10" s="20"/>
      <c r="B10" s="20" t="s">
        <v>17</v>
      </c>
      <c r="C10" s="20" t="s">
        <v>43</v>
      </c>
      <c r="D10" s="20" t="s">
        <v>44</v>
      </c>
      <c r="E10" s="20" t="s">
        <v>45</v>
      </c>
      <c r="F10" s="20" t="s">
        <v>46</v>
      </c>
      <c r="G10" s="21">
        <v>785</v>
      </c>
      <c r="H10" s="21">
        <v>25</v>
      </c>
      <c r="I10" s="21">
        <f t="shared" ref="I10:I15" si="1">G10-H10</f>
        <v>760</v>
      </c>
      <c r="J10" s="20" t="s">
        <v>27</v>
      </c>
      <c r="K10" s="20" t="s">
        <v>21</v>
      </c>
      <c r="L10" s="20" t="s">
        <v>22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47</v>
      </c>
      <c r="D11" s="20" t="s">
        <v>48</v>
      </c>
      <c r="E11" s="20" t="s">
        <v>49</v>
      </c>
      <c r="F11" s="20" t="s">
        <v>26</v>
      </c>
      <c r="G11" s="21">
        <v>720</v>
      </c>
      <c r="H11" s="21">
        <v>30</v>
      </c>
      <c r="I11" s="21">
        <f t="shared" si="1"/>
        <v>690</v>
      </c>
      <c r="J11" s="20" t="s">
        <v>27</v>
      </c>
      <c r="K11" s="20" t="s">
        <v>21</v>
      </c>
      <c r="L11" s="20" t="s">
        <v>22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50</v>
      </c>
      <c r="D12" s="20" t="s">
        <v>51</v>
      </c>
      <c r="E12" s="20" t="s">
        <v>52</v>
      </c>
      <c r="F12" s="21">
        <v>8</v>
      </c>
      <c r="G12" s="21">
        <v>780</v>
      </c>
      <c r="H12" s="21">
        <v>30</v>
      </c>
      <c r="I12" s="21">
        <f t="shared" si="1"/>
        <v>750</v>
      </c>
      <c r="J12" s="20" t="s">
        <v>27</v>
      </c>
      <c r="K12" s="20" t="s">
        <v>21</v>
      </c>
      <c r="L12" s="20" t="s">
        <v>22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17</v>
      </c>
      <c r="C13" s="20" t="s">
        <v>53</v>
      </c>
      <c r="D13" s="20" t="s">
        <v>54</v>
      </c>
      <c r="E13" s="20" t="s">
        <v>55</v>
      </c>
      <c r="F13" s="20" t="s">
        <v>26</v>
      </c>
      <c r="G13" s="21">
        <v>670</v>
      </c>
      <c r="H13" s="21">
        <v>30</v>
      </c>
      <c r="I13" s="21">
        <f t="shared" si="1"/>
        <v>640</v>
      </c>
      <c r="J13" s="20" t="s">
        <v>27</v>
      </c>
      <c r="K13" s="20" t="s">
        <v>21</v>
      </c>
      <c r="L13" s="20" t="s">
        <v>22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17</v>
      </c>
      <c r="C14" s="20" t="s">
        <v>56</v>
      </c>
      <c r="D14" s="20" t="s">
        <v>57</v>
      </c>
      <c r="E14" s="20" t="s">
        <v>58</v>
      </c>
      <c r="F14" s="21">
        <v>6</v>
      </c>
      <c r="G14" s="21">
        <v>1445</v>
      </c>
      <c r="H14" s="21">
        <v>25</v>
      </c>
      <c r="I14" s="21">
        <f t="shared" si="1"/>
        <v>1420</v>
      </c>
      <c r="J14" s="20" t="s">
        <v>27</v>
      </c>
      <c r="K14" s="20" t="s">
        <v>21</v>
      </c>
      <c r="L14" s="20" t="s">
        <v>22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17</v>
      </c>
      <c r="C15" s="20" t="s">
        <v>59</v>
      </c>
      <c r="D15" s="20" t="s">
        <v>60</v>
      </c>
      <c r="E15" s="20" t="s">
        <v>61</v>
      </c>
      <c r="F15" s="21">
        <v>9</v>
      </c>
      <c r="G15" s="21">
        <v>780</v>
      </c>
      <c r="H15" s="21">
        <v>30</v>
      </c>
      <c r="I15" s="21">
        <f t="shared" si="1"/>
        <v>750</v>
      </c>
      <c r="J15" s="20" t="s">
        <v>27</v>
      </c>
      <c r="K15" s="20" t="s">
        <v>21</v>
      </c>
      <c r="L15" s="20" t="s">
        <v>22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62</v>
      </c>
      <c r="D16" s="20" t="s">
        <v>63</v>
      </c>
      <c r="E16" s="20" t="s">
        <v>64</v>
      </c>
      <c r="F16" s="20" t="s">
        <v>26</v>
      </c>
      <c r="G16" s="21">
        <v>0</v>
      </c>
      <c r="H16" s="21">
        <v>30</v>
      </c>
      <c r="I16" s="21">
        <f>-H16</f>
        <v>-30</v>
      </c>
      <c r="J16" s="20" t="s">
        <v>27</v>
      </c>
      <c r="K16" s="20" t="s">
        <v>21</v>
      </c>
      <c r="L16" s="20" t="s">
        <v>22</v>
      </c>
      <c r="M16" s="20"/>
      <c r="N16" s="20"/>
      <c r="O16" s="20"/>
      <c r="P16" s="20"/>
      <c r="Q16" s="20">
        <v>1</v>
      </c>
      <c r="R16" s="15">
        <f>H16</f>
        <v>30</v>
      </c>
    </row>
    <row r="17" spans="1:18" x14ac:dyDescent="0.25">
      <c r="A17" s="20"/>
      <c r="B17" s="20" t="s">
        <v>17</v>
      </c>
      <c r="C17" s="20" t="s">
        <v>65</v>
      </c>
      <c r="D17" s="20" t="s">
        <v>66</v>
      </c>
      <c r="E17" s="20" t="s">
        <v>67</v>
      </c>
      <c r="F17" s="21">
        <v>12</v>
      </c>
      <c r="G17" s="21">
        <v>690</v>
      </c>
      <c r="H17" s="21">
        <v>30</v>
      </c>
      <c r="I17" s="21">
        <f>G17-H17</f>
        <v>660</v>
      </c>
      <c r="J17" s="20" t="s">
        <v>27</v>
      </c>
      <c r="K17" s="20" t="s">
        <v>21</v>
      </c>
      <c r="L17" s="20" t="s">
        <v>22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68</v>
      </c>
      <c r="D18" s="20" t="s">
        <v>69</v>
      </c>
      <c r="E18" s="20" t="s">
        <v>70</v>
      </c>
      <c r="F18" s="21">
        <v>2</v>
      </c>
      <c r="G18" s="21">
        <v>820</v>
      </c>
      <c r="H18" s="21">
        <v>30</v>
      </c>
      <c r="I18" s="21">
        <f>G18-H18</f>
        <v>790</v>
      </c>
      <c r="J18" s="20" t="s">
        <v>21</v>
      </c>
      <c r="K18" s="20" t="s">
        <v>21</v>
      </c>
      <c r="L18" s="20" t="s">
        <v>22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71</v>
      </c>
      <c r="D19" s="20" t="s">
        <v>72</v>
      </c>
      <c r="E19" s="20" t="s">
        <v>73</v>
      </c>
      <c r="F19" s="21">
        <v>12</v>
      </c>
      <c r="G19" s="21">
        <v>0</v>
      </c>
      <c r="H19" s="21">
        <v>30</v>
      </c>
      <c r="I19" s="21">
        <f>-H19</f>
        <v>-30</v>
      </c>
      <c r="J19" s="20" t="s">
        <v>21</v>
      </c>
      <c r="K19" s="20" t="s">
        <v>21</v>
      </c>
      <c r="L19" s="20" t="s">
        <v>22</v>
      </c>
      <c r="M19" s="20"/>
      <c r="N19" s="20"/>
      <c r="O19" s="20"/>
      <c r="P19" s="20"/>
      <c r="Q19" s="20">
        <v>1</v>
      </c>
      <c r="R19" s="15">
        <f>H19</f>
        <v>30</v>
      </c>
    </row>
    <row r="20" spans="1:18" x14ac:dyDescent="0.25">
      <c r="A20" s="20"/>
      <c r="B20" s="20" t="s">
        <v>17</v>
      </c>
      <c r="C20" s="20" t="s">
        <v>74</v>
      </c>
      <c r="D20" s="20" t="s">
        <v>75</v>
      </c>
      <c r="E20" s="20" t="s">
        <v>76</v>
      </c>
      <c r="F20" s="20" t="s">
        <v>77</v>
      </c>
      <c r="G20" s="21">
        <v>0</v>
      </c>
      <c r="H20" s="21">
        <v>40</v>
      </c>
      <c r="I20" s="21">
        <f>-H20</f>
        <v>-40</v>
      </c>
      <c r="J20" s="20" t="s">
        <v>21</v>
      </c>
      <c r="K20" s="20" t="s">
        <v>21</v>
      </c>
      <c r="L20" s="20" t="s">
        <v>22</v>
      </c>
      <c r="M20" s="20"/>
      <c r="N20" s="20"/>
      <c r="O20" s="20"/>
      <c r="P20" s="20"/>
      <c r="Q20" s="20">
        <v>1</v>
      </c>
      <c r="R20" s="15">
        <f>H20</f>
        <v>40</v>
      </c>
    </row>
    <row r="21" spans="1:18" x14ac:dyDescent="0.25">
      <c r="A21" s="20"/>
      <c r="B21" s="20" t="s">
        <v>17</v>
      </c>
      <c r="C21" s="20" t="s">
        <v>78</v>
      </c>
      <c r="D21" s="20" t="s">
        <v>79</v>
      </c>
      <c r="E21" s="20" t="s">
        <v>80</v>
      </c>
      <c r="F21" s="20" t="s">
        <v>81</v>
      </c>
      <c r="G21" s="21">
        <v>690</v>
      </c>
      <c r="H21" s="21">
        <v>30</v>
      </c>
      <c r="I21" s="21">
        <f>G21-H21</f>
        <v>660</v>
      </c>
      <c r="J21" s="20" t="s">
        <v>21</v>
      </c>
      <c r="K21" s="20" t="s">
        <v>21</v>
      </c>
      <c r="L21" s="20" t="s">
        <v>22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17</v>
      </c>
      <c r="C22" s="20" t="s">
        <v>82</v>
      </c>
      <c r="D22" s="20" t="s">
        <v>83</v>
      </c>
      <c r="E22" s="20" t="s">
        <v>84</v>
      </c>
      <c r="F22" s="20" t="s">
        <v>85</v>
      </c>
      <c r="G22" s="21">
        <v>660</v>
      </c>
      <c r="H22" s="21">
        <v>20</v>
      </c>
      <c r="I22" s="21">
        <f>G22-H22</f>
        <v>640</v>
      </c>
      <c r="J22" s="20" t="s">
        <v>21</v>
      </c>
      <c r="K22" s="20" t="s">
        <v>21</v>
      </c>
      <c r="L22" s="20" t="s">
        <v>22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86</v>
      </c>
      <c r="D23" s="20" t="s">
        <v>87</v>
      </c>
      <c r="E23" s="20" t="s">
        <v>88</v>
      </c>
      <c r="F23" s="20" t="s">
        <v>77</v>
      </c>
      <c r="G23" s="21">
        <v>375</v>
      </c>
      <c r="H23" s="21">
        <v>25</v>
      </c>
      <c r="I23" s="21">
        <f>G23-H23</f>
        <v>350</v>
      </c>
      <c r="J23" s="20" t="s">
        <v>21</v>
      </c>
      <c r="K23" s="20" t="s">
        <v>21</v>
      </c>
      <c r="L23" s="20" t="s">
        <v>22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17</v>
      </c>
      <c r="C24" s="20" t="s">
        <v>89</v>
      </c>
      <c r="D24" s="20" t="s">
        <v>90</v>
      </c>
      <c r="E24" s="20" t="s">
        <v>91</v>
      </c>
      <c r="F24" s="20" t="s">
        <v>77</v>
      </c>
      <c r="G24" s="21">
        <v>0</v>
      </c>
      <c r="H24" s="21">
        <v>25</v>
      </c>
      <c r="I24" s="21">
        <f>-H24</f>
        <v>-25</v>
      </c>
      <c r="J24" s="20" t="s">
        <v>21</v>
      </c>
      <c r="K24" s="20" t="s">
        <v>21</v>
      </c>
      <c r="L24" s="20" t="s">
        <v>22</v>
      </c>
      <c r="M24" s="20"/>
      <c r="N24" s="20"/>
      <c r="O24" s="20"/>
      <c r="P24" s="20"/>
      <c r="Q24" s="20">
        <v>1</v>
      </c>
      <c r="R24" s="15">
        <f>H24</f>
        <v>25</v>
      </c>
    </row>
    <row r="25" spans="1:18" x14ac:dyDescent="0.25">
      <c r="A25" s="20"/>
      <c r="B25" s="20" t="s">
        <v>17</v>
      </c>
      <c r="C25" s="20" t="s">
        <v>92</v>
      </c>
      <c r="D25" s="20" t="s">
        <v>93</v>
      </c>
      <c r="E25" s="20" t="s">
        <v>94</v>
      </c>
      <c r="F25" s="20" t="s">
        <v>95</v>
      </c>
      <c r="G25" s="21">
        <v>725</v>
      </c>
      <c r="H25" s="21">
        <v>25</v>
      </c>
      <c r="I25" s="21">
        <f>G25-H25</f>
        <v>700</v>
      </c>
      <c r="J25" s="20" t="s">
        <v>21</v>
      </c>
      <c r="K25" s="20" t="s">
        <v>21</v>
      </c>
      <c r="L25" s="20" t="s">
        <v>22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96</v>
      </c>
      <c r="D26" s="20" t="s">
        <v>97</v>
      </c>
      <c r="E26" s="20" t="s">
        <v>98</v>
      </c>
      <c r="F26" s="20" t="s">
        <v>77</v>
      </c>
      <c r="G26" s="21">
        <v>0</v>
      </c>
      <c r="H26" s="21">
        <v>25</v>
      </c>
      <c r="I26" s="21">
        <f>-H26</f>
        <v>-25</v>
      </c>
      <c r="J26" s="20" t="s">
        <v>21</v>
      </c>
      <c r="K26" s="20" t="s">
        <v>21</v>
      </c>
      <c r="L26" s="20" t="s">
        <v>22</v>
      </c>
      <c r="M26" s="20"/>
      <c r="N26" s="20"/>
      <c r="O26" s="20"/>
      <c r="P26" s="20"/>
      <c r="Q26" s="20">
        <v>1</v>
      </c>
      <c r="R26" s="15">
        <f>H26</f>
        <v>25</v>
      </c>
    </row>
    <row r="27" spans="1:18" x14ac:dyDescent="0.25">
      <c r="A27" s="20"/>
      <c r="B27" s="20" t="s">
        <v>17</v>
      </c>
      <c r="C27" s="20" t="s">
        <v>99</v>
      </c>
      <c r="D27" s="20" t="s">
        <v>100</v>
      </c>
      <c r="E27" s="20" t="s">
        <v>101</v>
      </c>
      <c r="F27" s="20" t="s">
        <v>77</v>
      </c>
      <c r="G27" s="21">
        <v>1765</v>
      </c>
      <c r="H27" s="21">
        <v>25</v>
      </c>
      <c r="I27" s="21">
        <f>G27-H27</f>
        <v>1740</v>
      </c>
      <c r="J27" s="20" t="s">
        <v>21</v>
      </c>
      <c r="K27" s="20" t="s">
        <v>21</v>
      </c>
      <c r="L27" s="20" t="s">
        <v>22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17</v>
      </c>
      <c r="C28" s="20" t="s">
        <v>102</v>
      </c>
      <c r="D28" s="20" t="s">
        <v>103</v>
      </c>
      <c r="E28" s="20" t="s">
        <v>104</v>
      </c>
      <c r="F28" s="20" t="s">
        <v>77</v>
      </c>
      <c r="G28" s="21">
        <v>0</v>
      </c>
      <c r="H28" s="21">
        <v>25</v>
      </c>
      <c r="I28" s="21">
        <f>-H28</f>
        <v>-25</v>
      </c>
      <c r="J28" s="20" t="s">
        <v>21</v>
      </c>
      <c r="K28" s="20" t="s">
        <v>21</v>
      </c>
      <c r="L28" s="20" t="s">
        <v>22</v>
      </c>
      <c r="M28" s="20"/>
      <c r="N28" s="20"/>
      <c r="O28" s="20"/>
      <c r="P28" s="20"/>
      <c r="Q28" s="20">
        <v>1</v>
      </c>
      <c r="R28" s="15">
        <f>H28</f>
        <v>25</v>
      </c>
    </row>
    <row r="29" spans="1:18" x14ac:dyDescent="0.25">
      <c r="A29" s="20"/>
      <c r="B29" s="20" t="s">
        <v>17</v>
      </c>
      <c r="C29" s="20" t="s">
        <v>105</v>
      </c>
      <c r="D29" s="20" t="s">
        <v>106</v>
      </c>
      <c r="E29" s="20" t="s">
        <v>107</v>
      </c>
      <c r="F29" s="20" t="s">
        <v>77</v>
      </c>
      <c r="G29" s="21">
        <v>765</v>
      </c>
      <c r="H29" s="21">
        <v>25</v>
      </c>
      <c r="I29" s="21">
        <f>G29-H29</f>
        <v>740</v>
      </c>
      <c r="J29" s="20" t="s">
        <v>21</v>
      </c>
      <c r="K29" s="20" t="s">
        <v>21</v>
      </c>
      <c r="L29" s="20" t="s">
        <v>22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17</v>
      </c>
      <c r="C30" s="20" t="s">
        <v>108</v>
      </c>
      <c r="D30" s="20" t="s">
        <v>109</v>
      </c>
      <c r="E30" s="20" t="s">
        <v>110</v>
      </c>
      <c r="F30" s="20" t="s">
        <v>81</v>
      </c>
      <c r="G30" s="21">
        <v>820</v>
      </c>
      <c r="H30" s="21">
        <v>30</v>
      </c>
      <c r="I30" s="21">
        <f>G30-H30</f>
        <v>790</v>
      </c>
      <c r="J30" s="20" t="s">
        <v>21</v>
      </c>
      <c r="K30" s="20" t="s">
        <v>21</v>
      </c>
      <c r="L30" s="20" t="s">
        <v>22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17</v>
      </c>
      <c r="C31" s="20" t="s">
        <v>111</v>
      </c>
      <c r="D31" s="20" t="s">
        <v>112</v>
      </c>
      <c r="E31" s="20" t="s">
        <v>113</v>
      </c>
      <c r="F31" s="20" t="s">
        <v>85</v>
      </c>
      <c r="G31" s="21">
        <v>740</v>
      </c>
      <c r="H31" s="21">
        <v>20</v>
      </c>
      <c r="I31" s="21">
        <f>G31-H31</f>
        <v>720</v>
      </c>
      <c r="J31" s="20" t="s">
        <v>21</v>
      </c>
      <c r="K31" s="20" t="s">
        <v>21</v>
      </c>
      <c r="L31" s="20" t="s">
        <v>22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114</v>
      </c>
      <c r="D32" s="20" t="s">
        <v>115</v>
      </c>
      <c r="E32" s="20" t="s">
        <v>116</v>
      </c>
      <c r="F32" s="20" t="s">
        <v>85</v>
      </c>
      <c r="G32" s="21">
        <v>770</v>
      </c>
      <c r="H32" s="21">
        <v>20</v>
      </c>
      <c r="I32" s="21">
        <f>G32-H32</f>
        <v>750</v>
      </c>
      <c r="J32" s="20" t="s">
        <v>21</v>
      </c>
      <c r="K32" s="20" t="s">
        <v>21</v>
      </c>
      <c r="L32" s="20" t="s">
        <v>22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17</v>
      </c>
      <c r="C33" s="20" t="s">
        <v>117</v>
      </c>
      <c r="D33" s="20" t="s">
        <v>118</v>
      </c>
      <c r="E33" s="20" t="s">
        <v>119</v>
      </c>
      <c r="F33" s="21">
        <v>2</v>
      </c>
      <c r="G33" s="21">
        <v>0</v>
      </c>
      <c r="H33" s="21">
        <v>30</v>
      </c>
      <c r="I33" s="21">
        <f>-H33</f>
        <v>-30</v>
      </c>
      <c r="J33" s="20" t="s">
        <v>21</v>
      </c>
      <c r="K33" s="20" t="s">
        <v>21</v>
      </c>
      <c r="L33" s="20" t="s">
        <v>22</v>
      </c>
      <c r="M33" s="20"/>
      <c r="N33" s="20"/>
      <c r="O33" s="20"/>
      <c r="P33" s="20"/>
      <c r="Q33" s="20">
        <v>1</v>
      </c>
      <c r="R33" s="15">
        <f>H33</f>
        <v>30</v>
      </c>
    </row>
    <row r="34" spans="1:18" x14ac:dyDescent="0.25">
      <c r="A34" s="20"/>
      <c r="B34" s="20" t="s">
        <v>17</v>
      </c>
      <c r="C34" s="20" t="s">
        <v>120</v>
      </c>
      <c r="D34" s="20" t="s">
        <v>121</v>
      </c>
      <c r="E34" s="20" t="s">
        <v>122</v>
      </c>
      <c r="F34" s="20" t="s">
        <v>85</v>
      </c>
      <c r="G34" s="21">
        <v>590</v>
      </c>
      <c r="H34" s="21">
        <v>20</v>
      </c>
      <c r="I34" s="21">
        <f t="shared" ref="I34:I41" si="2">G34-H34</f>
        <v>570</v>
      </c>
      <c r="J34" s="20" t="s">
        <v>21</v>
      </c>
      <c r="K34" s="20" t="s">
        <v>21</v>
      </c>
      <c r="L34" s="20" t="s">
        <v>22</v>
      </c>
      <c r="M34" s="20"/>
      <c r="N34" s="20"/>
      <c r="O34" s="20"/>
      <c r="P34" s="20"/>
      <c r="Q34" s="20">
        <v>1</v>
      </c>
    </row>
    <row r="35" spans="1:18" s="24" customFormat="1" x14ac:dyDescent="0.25">
      <c r="A35" s="22"/>
      <c r="B35" s="22" t="s">
        <v>17</v>
      </c>
      <c r="C35" s="22" t="s">
        <v>123</v>
      </c>
      <c r="D35" s="22" t="s">
        <v>124</v>
      </c>
      <c r="E35" s="22" t="s">
        <v>125</v>
      </c>
      <c r="F35" s="23">
        <v>2</v>
      </c>
      <c r="G35" s="23">
        <v>110</v>
      </c>
      <c r="H35" s="23">
        <v>30</v>
      </c>
      <c r="I35" s="23">
        <f t="shared" si="2"/>
        <v>80</v>
      </c>
      <c r="J35" s="22" t="s">
        <v>21</v>
      </c>
      <c r="K35" s="22" t="s">
        <v>21</v>
      </c>
      <c r="L35" s="22" t="s">
        <v>22</v>
      </c>
      <c r="M35" s="22" t="s">
        <v>126</v>
      </c>
      <c r="N35" s="22"/>
      <c r="O35" s="22"/>
      <c r="P35" s="22"/>
      <c r="Q35" s="22">
        <v>1</v>
      </c>
    </row>
    <row r="36" spans="1:18" x14ac:dyDescent="0.25">
      <c r="A36" s="20" t="s">
        <v>16</v>
      </c>
      <c r="B36" s="20" t="s">
        <v>17</v>
      </c>
      <c r="C36" s="20" t="s">
        <v>127</v>
      </c>
      <c r="D36" s="20"/>
      <c r="E36" s="20" t="s">
        <v>128</v>
      </c>
      <c r="F36" s="20" t="s">
        <v>81</v>
      </c>
      <c r="G36" s="21">
        <v>1165</v>
      </c>
      <c r="H36" s="21">
        <v>35</v>
      </c>
      <c r="I36" s="21">
        <f t="shared" si="2"/>
        <v>1130</v>
      </c>
      <c r="J36" s="20" t="s">
        <v>21</v>
      </c>
      <c r="K36" s="20" t="s">
        <v>21</v>
      </c>
      <c r="L36" s="20" t="s">
        <v>22</v>
      </c>
      <c r="M36" s="20"/>
      <c r="N36" s="20"/>
      <c r="O36" s="20"/>
      <c r="P36" s="20"/>
      <c r="Q36" s="20">
        <v>1</v>
      </c>
    </row>
    <row r="37" spans="1:18" x14ac:dyDescent="0.25">
      <c r="A37" s="20" t="s">
        <v>16</v>
      </c>
      <c r="B37" s="20" t="s">
        <v>17</v>
      </c>
      <c r="C37" s="20" t="s">
        <v>129</v>
      </c>
      <c r="D37" s="20"/>
      <c r="E37" s="20" t="s">
        <v>130</v>
      </c>
      <c r="F37" s="20" t="s">
        <v>77</v>
      </c>
      <c r="G37" s="21">
        <v>2985</v>
      </c>
      <c r="H37" s="21">
        <v>35</v>
      </c>
      <c r="I37" s="21">
        <f t="shared" si="2"/>
        <v>2950</v>
      </c>
      <c r="J37" s="20" t="s">
        <v>21</v>
      </c>
      <c r="K37" s="20" t="s">
        <v>21</v>
      </c>
      <c r="L37" s="20" t="s">
        <v>22</v>
      </c>
      <c r="M37" s="20"/>
      <c r="N37" s="20"/>
      <c r="O37" s="20"/>
      <c r="P37" s="20"/>
      <c r="Q37" s="20">
        <v>1</v>
      </c>
    </row>
    <row r="38" spans="1:18" x14ac:dyDescent="0.25">
      <c r="A38" s="20"/>
      <c r="B38" s="20" t="s">
        <v>17</v>
      </c>
      <c r="C38" s="20" t="s">
        <v>131</v>
      </c>
      <c r="D38" s="20" t="s">
        <v>132</v>
      </c>
      <c r="E38" s="20" t="s">
        <v>133</v>
      </c>
      <c r="F38" s="20" t="s">
        <v>134</v>
      </c>
      <c r="G38" s="21">
        <v>1145</v>
      </c>
      <c r="H38" s="21">
        <v>35</v>
      </c>
      <c r="I38" s="21">
        <f t="shared" si="2"/>
        <v>1110</v>
      </c>
      <c r="J38" s="20" t="s">
        <v>135</v>
      </c>
      <c r="K38" s="20" t="s">
        <v>21</v>
      </c>
      <c r="L38" s="20" t="s">
        <v>22</v>
      </c>
      <c r="M38" s="20"/>
      <c r="N38" s="20"/>
      <c r="O38" s="20"/>
      <c r="P38" s="20"/>
      <c r="Q38" s="20">
        <v>1</v>
      </c>
    </row>
    <row r="39" spans="1:18" x14ac:dyDescent="0.25">
      <c r="A39" s="20"/>
      <c r="B39" s="20" t="s">
        <v>17</v>
      </c>
      <c r="C39" s="20" t="s">
        <v>136</v>
      </c>
      <c r="D39" s="20" t="s">
        <v>137</v>
      </c>
      <c r="E39" s="20" t="s">
        <v>138</v>
      </c>
      <c r="F39" s="20" t="s">
        <v>139</v>
      </c>
      <c r="G39" s="21">
        <v>675</v>
      </c>
      <c r="H39" s="21">
        <v>35</v>
      </c>
      <c r="I39" s="21">
        <f t="shared" si="2"/>
        <v>640</v>
      </c>
      <c r="J39" s="20" t="s">
        <v>135</v>
      </c>
      <c r="K39" s="20" t="s">
        <v>21</v>
      </c>
      <c r="L39" s="20" t="s">
        <v>22</v>
      </c>
      <c r="M39" s="20"/>
      <c r="N39" s="20"/>
      <c r="O39" s="20"/>
      <c r="P39" s="20"/>
      <c r="Q39" s="20">
        <v>1</v>
      </c>
    </row>
    <row r="40" spans="1:18" x14ac:dyDescent="0.25">
      <c r="A40" s="20"/>
      <c r="B40" s="20" t="s">
        <v>17</v>
      </c>
      <c r="C40" s="20" t="s">
        <v>140</v>
      </c>
      <c r="D40" s="20" t="s">
        <v>141</v>
      </c>
      <c r="E40" s="20" t="s">
        <v>142</v>
      </c>
      <c r="F40" s="21">
        <v>5</v>
      </c>
      <c r="G40" s="21">
        <v>785</v>
      </c>
      <c r="H40" s="21">
        <v>25</v>
      </c>
      <c r="I40" s="21">
        <f t="shared" si="2"/>
        <v>760</v>
      </c>
      <c r="J40" s="20" t="s">
        <v>135</v>
      </c>
      <c r="K40" s="20" t="s">
        <v>21</v>
      </c>
      <c r="L40" s="20" t="s">
        <v>22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17</v>
      </c>
      <c r="C41" s="20" t="s">
        <v>143</v>
      </c>
      <c r="D41" s="20" t="s">
        <v>144</v>
      </c>
      <c r="E41" s="20" t="s">
        <v>145</v>
      </c>
      <c r="F41" s="21">
        <v>1</v>
      </c>
      <c r="G41" s="21">
        <v>725</v>
      </c>
      <c r="H41" s="21">
        <v>25</v>
      </c>
      <c r="I41" s="21">
        <f t="shared" si="2"/>
        <v>700</v>
      </c>
      <c r="J41" s="20" t="s">
        <v>135</v>
      </c>
      <c r="K41" s="20" t="s">
        <v>21</v>
      </c>
      <c r="L41" s="20" t="s">
        <v>22</v>
      </c>
      <c r="M41" s="20"/>
      <c r="N41" s="20"/>
      <c r="O41" s="20"/>
      <c r="P41" s="20"/>
      <c r="Q41" s="20">
        <v>1</v>
      </c>
    </row>
    <row r="42" spans="1:18" x14ac:dyDescent="0.25">
      <c r="A42" s="20"/>
      <c r="B42" s="20" t="s">
        <v>17</v>
      </c>
      <c r="C42" s="20" t="s">
        <v>146</v>
      </c>
      <c r="D42" s="20" t="s">
        <v>147</v>
      </c>
      <c r="E42" s="20" t="s">
        <v>148</v>
      </c>
      <c r="F42" s="21">
        <v>5</v>
      </c>
      <c r="G42" s="21">
        <v>0</v>
      </c>
      <c r="H42" s="21">
        <v>25</v>
      </c>
      <c r="I42" s="21">
        <f>-H42</f>
        <v>-25</v>
      </c>
      <c r="J42" s="20" t="s">
        <v>135</v>
      </c>
      <c r="K42" s="20" t="s">
        <v>21</v>
      </c>
      <c r="L42" s="20" t="s">
        <v>22</v>
      </c>
      <c r="M42" s="20"/>
      <c r="N42" s="20"/>
      <c r="O42" s="20"/>
      <c r="P42" s="20"/>
      <c r="Q42" s="20">
        <v>1</v>
      </c>
      <c r="R42" s="15">
        <f>H42</f>
        <v>25</v>
      </c>
    </row>
    <row r="43" spans="1:18" x14ac:dyDescent="0.25">
      <c r="A43" s="20"/>
      <c r="B43" s="20" t="s">
        <v>17</v>
      </c>
      <c r="C43" s="20" t="s">
        <v>149</v>
      </c>
      <c r="D43" s="20" t="s">
        <v>150</v>
      </c>
      <c r="E43" s="20" t="s">
        <v>151</v>
      </c>
      <c r="F43" s="21">
        <v>3</v>
      </c>
      <c r="G43" s="21">
        <v>1585</v>
      </c>
      <c r="H43" s="21">
        <v>25</v>
      </c>
      <c r="I43" s="21">
        <f>G43-H43</f>
        <v>1560</v>
      </c>
      <c r="J43" s="20" t="s">
        <v>135</v>
      </c>
      <c r="K43" s="20" t="s">
        <v>21</v>
      </c>
      <c r="L43" s="20" t="s">
        <v>22</v>
      </c>
      <c r="M43" s="20"/>
      <c r="N43" s="20"/>
      <c r="O43" s="20"/>
      <c r="P43" s="20"/>
      <c r="Q43" s="20">
        <v>1</v>
      </c>
    </row>
    <row r="44" spans="1:18" x14ac:dyDescent="0.25">
      <c r="A44" s="20"/>
      <c r="B44" s="20" t="s">
        <v>17</v>
      </c>
      <c r="C44" s="20" t="s">
        <v>152</v>
      </c>
      <c r="D44" s="20" t="s">
        <v>153</v>
      </c>
      <c r="E44" s="20" t="s">
        <v>154</v>
      </c>
      <c r="F44" s="21">
        <v>3</v>
      </c>
      <c r="G44" s="21">
        <v>815</v>
      </c>
      <c r="H44" s="21">
        <v>25</v>
      </c>
      <c r="I44" s="21">
        <f>G44-H44</f>
        <v>790</v>
      </c>
      <c r="J44" s="20" t="s">
        <v>135</v>
      </c>
      <c r="K44" s="20" t="s">
        <v>21</v>
      </c>
      <c r="L44" s="20" t="s">
        <v>22</v>
      </c>
      <c r="M44" s="20"/>
      <c r="N44" s="20"/>
      <c r="O44" s="20"/>
      <c r="P44" s="20"/>
      <c r="Q44" s="20">
        <v>1</v>
      </c>
    </row>
    <row r="45" spans="1:18" x14ac:dyDescent="0.25">
      <c r="A45" s="20"/>
      <c r="B45" s="20" t="s">
        <v>17</v>
      </c>
      <c r="C45" s="20" t="s">
        <v>155</v>
      </c>
      <c r="D45" s="20" t="s">
        <v>156</v>
      </c>
      <c r="E45" s="20" t="s">
        <v>157</v>
      </c>
      <c r="F45" s="21">
        <v>7</v>
      </c>
      <c r="G45" s="21">
        <v>690</v>
      </c>
      <c r="H45" s="21">
        <v>30</v>
      </c>
      <c r="I45" s="21">
        <f>G45-H45</f>
        <v>660</v>
      </c>
      <c r="J45" s="20" t="s">
        <v>135</v>
      </c>
      <c r="K45" s="20" t="s">
        <v>21</v>
      </c>
      <c r="L45" s="20" t="s">
        <v>22</v>
      </c>
      <c r="M45" s="20"/>
      <c r="N45" s="20"/>
      <c r="O45" s="20"/>
      <c r="P45" s="20"/>
      <c r="Q45" s="20">
        <v>1</v>
      </c>
    </row>
    <row r="46" spans="1:18" x14ac:dyDescent="0.25">
      <c r="A46" s="20"/>
      <c r="B46" s="20" t="s">
        <v>17</v>
      </c>
      <c r="C46" s="20" t="s">
        <v>158</v>
      </c>
      <c r="D46" s="20" t="s">
        <v>159</v>
      </c>
      <c r="E46" s="20" t="s">
        <v>160</v>
      </c>
      <c r="F46" s="20" t="s">
        <v>95</v>
      </c>
      <c r="G46" s="21">
        <v>0</v>
      </c>
      <c r="H46" s="21">
        <v>25</v>
      </c>
      <c r="I46" s="21">
        <f>-H46</f>
        <v>-25</v>
      </c>
      <c r="J46" s="20" t="s">
        <v>135</v>
      </c>
      <c r="K46" s="20" t="s">
        <v>21</v>
      </c>
      <c r="L46" s="20" t="s">
        <v>22</v>
      </c>
      <c r="M46" s="20"/>
      <c r="N46" s="20"/>
      <c r="O46" s="20"/>
      <c r="P46" s="20"/>
      <c r="Q46" s="20">
        <v>1</v>
      </c>
      <c r="R46" s="15">
        <f>H46</f>
        <v>25</v>
      </c>
    </row>
    <row r="47" spans="1:18" s="24" customFormat="1" x14ac:dyDescent="0.25">
      <c r="A47" s="22"/>
      <c r="B47" s="22" t="s">
        <v>17</v>
      </c>
      <c r="C47" s="22" t="s">
        <v>161</v>
      </c>
      <c r="D47" s="22" t="s">
        <v>162</v>
      </c>
      <c r="E47" s="22" t="s">
        <v>163</v>
      </c>
      <c r="F47" s="23">
        <v>7</v>
      </c>
      <c r="G47" s="23">
        <v>60</v>
      </c>
      <c r="H47" s="23">
        <v>30</v>
      </c>
      <c r="I47" s="23">
        <f>G47-H47</f>
        <v>30</v>
      </c>
      <c r="J47" s="22" t="s">
        <v>135</v>
      </c>
      <c r="K47" s="22" t="s">
        <v>21</v>
      </c>
      <c r="L47" s="22" t="s">
        <v>22</v>
      </c>
      <c r="M47" s="22" t="s">
        <v>126</v>
      </c>
      <c r="N47" s="22"/>
      <c r="O47" s="22"/>
      <c r="P47" s="22"/>
      <c r="Q47" s="22">
        <v>1</v>
      </c>
    </row>
    <row r="48" spans="1:18" x14ac:dyDescent="0.25">
      <c r="A48" s="20"/>
      <c r="B48" s="20" t="s">
        <v>17</v>
      </c>
      <c r="C48" s="20" t="s">
        <v>164</v>
      </c>
      <c r="D48" s="20" t="s">
        <v>165</v>
      </c>
      <c r="E48" s="20" t="s">
        <v>166</v>
      </c>
      <c r="F48" s="21">
        <v>1</v>
      </c>
      <c r="G48" s="21">
        <v>2040</v>
      </c>
      <c r="H48" s="21">
        <v>30</v>
      </c>
      <c r="I48" s="21">
        <f>G48-H48</f>
        <v>2010</v>
      </c>
      <c r="J48" s="20" t="s">
        <v>135</v>
      </c>
      <c r="K48" s="20" t="s">
        <v>21</v>
      </c>
      <c r="L48" s="20" t="s">
        <v>22</v>
      </c>
      <c r="M48" s="25" t="s">
        <v>167</v>
      </c>
      <c r="N48" s="20"/>
      <c r="O48" s="20"/>
      <c r="P48" s="20"/>
      <c r="Q48" s="20">
        <v>1</v>
      </c>
      <c r="R48" s="15">
        <f>H48</f>
        <v>30</v>
      </c>
    </row>
    <row r="49" spans="1:18" x14ac:dyDescent="0.25">
      <c r="A49" s="20"/>
      <c r="B49" s="20" t="s">
        <v>17</v>
      </c>
      <c r="C49" s="20" t="s">
        <v>168</v>
      </c>
      <c r="D49" s="20" t="s">
        <v>169</v>
      </c>
      <c r="E49" s="20" t="s">
        <v>170</v>
      </c>
      <c r="F49" s="21">
        <v>7</v>
      </c>
      <c r="G49" s="21">
        <v>1800</v>
      </c>
      <c r="H49" s="21">
        <v>30</v>
      </c>
      <c r="I49" s="21">
        <f>G49-H49</f>
        <v>1770</v>
      </c>
      <c r="J49" s="20" t="s">
        <v>135</v>
      </c>
      <c r="K49" s="20" t="s">
        <v>21</v>
      </c>
      <c r="L49" s="20" t="s">
        <v>22</v>
      </c>
      <c r="M49" s="20"/>
      <c r="N49" s="20"/>
      <c r="O49" s="20"/>
      <c r="P49" s="20"/>
      <c r="Q49" s="20">
        <v>1</v>
      </c>
    </row>
    <row r="50" spans="1:18" x14ac:dyDescent="0.25">
      <c r="A50" s="20"/>
      <c r="B50" s="20" t="s">
        <v>17</v>
      </c>
      <c r="C50" s="20" t="s">
        <v>171</v>
      </c>
      <c r="D50" s="20" t="s">
        <v>172</v>
      </c>
      <c r="E50" s="20" t="s">
        <v>173</v>
      </c>
      <c r="F50" s="21">
        <v>7</v>
      </c>
      <c r="G50" s="21">
        <v>770</v>
      </c>
      <c r="H50" s="21">
        <v>30</v>
      </c>
      <c r="I50" s="21">
        <f>G50-H50</f>
        <v>740</v>
      </c>
      <c r="J50" s="20" t="s">
        <v>135</v>
      </c>
      <c r="K50" s="20" t="s">
        <v>21</v>
      </c>
      <c r="L50" s="20" t="s">
        <v>22</v>
      </c>
      <c r="M50" s="20"/>
      <c r="N50" s="20"/>
      <c r="O50" s="20"/>
      <c r="P50" s="20"/>
      <c r="Q50" s="20">
        <v>1</v>
      </c>
    </row>
    <row r="51" spans="1:18" x14ac:dyDescent="0.25">
      <c r="A51" s="20"/>
      <c r="B51" s="20" t="s">
        <v>17</v>
      </c>
      <c r="C51" s="20" t="s">
        <v>174</v>
      </c>
      <c r="D51" s="20" t="s">
        <v>175</v>
      </c>
      <c r="E51" s="20" t="s">
        <v>176</v>
      </c>
      <c r="F51" s="21">
        <v>7</v>
      </c>
      <c r="G51" s="21">
        <v>770</v>
      </c>
      <c r="H51" s="21">
        <v>30</v>
      </c>
      <c r="I51" s="21">
        <f>G51-H51</f>
        <v>740</v>
      </c>
      <c r="J51" s="20" t="s">
        <v>135</v>
      </c>
      <c r="K51" s="20" t="s">
        <v>21</v>
      </c>
      <c r="L51" s="20" t="s">
        <v>22</v>
      </c>
      <c r="M51" s="20"/>
      <c r="N51" s="20"/>
      <c r="O51" s="20"/>
      <c r="P51" s="20"/>
      <c r="Q51" s="20">
        <v>1</v>
      </c>
    </row>
    <row r="52" spans="1:18" x14ac:dyDescent="0.25">
      <c r="A52" s="20"/>
      <c r="B52" s="20" t="s">
        <v>17</v>
      </c>
      <c r="C52" s="20" t="s">
        <v>177</v>
      </c>
      <c r="D52" s="20" t="s">
        <v>178</v>
      </c>
      <c r="E52" s="20" t="s">
        <v>179</v>
      </c>
      <c r="F52" s="21">
        <v>8</v>
      </c>
      <c r="G52" s="21">
        <v>0</v>
      </c>
      <c r="H52" s="21">
        <v>25</v>
      </c>
      <c r="I52" s="21">
        <f>-H52</f>
        <v>-25</v>
      </c>
      <c r="J52" s="20" t="s">
        <v>135</v>
      </c>
      <c r="K52" s="20" t="s">
        <v>21</v>
      </c>
      <c r="L52" s="20" t="s">
        <v>22</v>
      </c>
      <c r="M52" s="20"/>
      <c r="N52" s="20"/>
      <c r="O52" s="20"/>
      <c r="P52" s="20"/>
      <c r="Q52" s="20">
        <v>1</v>
      </c>
      <c r="R52" s="15">
        <f>H52</f>
        <v>25</v>
      </c>
    </row>
    <row r="53" spans="1:18" x14ac:dyDescent="0.25">
      <c r="A53" s="20"/>
      <c r="B53" s="20" t="s">
        <v>17</v>
      </c>
      <c r="C53" s="20" t="s">
        <v>180</v>
      </c>
      <c r="D53" s="20" t="s">
        <v>181</v>
      </c>
      <c r="E53" s="20" t="s">
        <v>182</v>
      </c>
      <c r="F53" s="21">
        <v>3</v>
      </c>
      <c r="G53" s="21">
        <v>0</v>
      </c>
      <c r="H53" s="21">
        <v>25</v>
      </c>
      <c r="I53" s="21">
        <f>-H53</f>
        <v>-25</v>
      </c>
      <c r="J53" s="20" t="s">
        <v>135</v>
      </c>
      <c r="K53" s="20" t="s">
        <v>21</v>
      </c>
      <c r="L53" s="20" t="s">
        <v>22</v>
      </c>
      <c r="M53" s="20"/>
      <c r="N53" s="20"/>
      <c r="O53" s="20"/>
      <c r="P53" s="20"/>
      <c r="Q53" s="20">
        <v>1</v>
      </c>
      <c r="R53" s="15">
        <f>H53</f>
        <v>25</v>
      </c>
    </row>
    <row r="54" spans="1:18" x14ac:dyDescent="0.25">
      <c r="A54" s="20"/>
      <c r="B54" s="20" t="s">
        <v>17</v>
      </c>
      <c r="C54" s="20" t="s">
        <v>183</v>
      </c>
      <c r="D54" s="20" t="s">
        <v>184</v>
      </c>
      <c r="E54" s="20" t="s">
        <v>185</v>
      </c>
      <c r="F54" s="21">
        <v>4</v>
      </c>
      <c r="G54" s="21">
        <v>815</v>
      </c>
      <c r="H54" s="21">
        <v>25</v>
      </c>
      <c r="I54" s="21">
        <f>G54-H54</f>
        <v>790</v>
      </c>
      <c r="J54" s="20" t="s">
        <v>135</v>
      </c>
      <c r="K54" s="20" t="s">
        <v>21</v>
      </c>
      <c r="L54" s="20" t="s">
        <v>22</v>
      </c>
      <c r="M54" s="20"/>
      <c r="N54" s="20"/>
      <c r="O54" s="20"/>
      <c r="P54" s="20"/>
      <c r="Q54" s="20">
        <v>1</v>
      </c>
    </row>
    <row r="55" spans="1:18" x14ac:dyDescent="0.25">
      <c r="A55" s="20"/>
      <c r="B55" s="20" t="s">
        <v>17</v>
      </c>
      <c r="C55" s="20" t="s">
        <v>186</v>
      </c>
      <c r="D55" s="20" t="s">
        <v>187</v>
      </c>
      <c r="E55" s="20" t="s">
        <v>188</v>
      </c>
      <c r="F55" s="21">
        <v>4</v>
      </c>
      <c r="G55" s="21">
        <v>815</v>
      </c>
      <c r="H55" s="21">
        <v>25</v>
      </c>
      <c r="I55" s="21">
        <f>G55-H55</f>
        <v>790</v>
      </c>
      <c r="J55" s="20" t="s">
        <v>135</v>
      </c>
      <c r="K55" s="20" t="s">
        <v>21</v>
      </c>
      <c r="L55" s="20" t="s">
        <v>22</v>
      </c>
      <c r="M55" s="20"/>
      <c r="N55" s="20"/>
      <c r="O55" s="20"/>
      <c r="P55" s="20"/>
      <c r="Q55" s="20">
        <v>1</v>
      </c>
    </row>
    <row r="56" spans="1:18" x14ac:dyDescent="0.25">
      <c r="A56" s="20" t="s">
        <v>16</v>
      </c>
      <c r="B56" s="20" t="s">
        <v>17</v>
      </c>
      <c r="C56" s="20" t="s">
        <v>189</v>
      </c>
      <c r="D56" s="20"/>
      <c r="E56" s="20" t="s">
        <v>190</v>
      </c>
      <c r="F56" s="21">
        <v>5</v>
      </c>
      <c r="G56" s="21">
        <v>0</v>
      </c>
      <c r="H56" s="21">
        <v>30</v>
      </c>
      <c r="I56" s="21">
        <f>-H56</f>
        <v>-30</v>
      </c>
      <c r="J56" s="20" t="s">
        <v>135</v>
      </c>
      <c r="K56" s="20" t="s">
        <v>21</v>
      </c>
      <c r="L56" s="20" t="s">
        <v>22</v>
      </c>
      <c r="M56" s="20"/>
      <c r="N56" s="20"/>
      <c r="O56" s="20"/>
      <c r="P56" s="20"/>
      <c r="Q56" s="20">
        <v>1</v>
      </c>
      <c r="R56" s="15">
        <f>H56</f>
        <v>30</v>
      </c>
    </row>
    <row r="58" spans="1:18" x14ac:dyDescent="0.25">
      <c r="D58" s="6">
        <f>COUNTA(D3:D56)</f>
        <v>50</v>
      </c>
      <c r="G58" s="6">
        <f t="shared" ref="G58:Q58" si="3">SUBTOTAL(9,G3:G56)</f>
        <v>36815</v>
      </c>
      <c r="H58" s="6">
        <f t="shared" si="3"/>
        <v>1520</v>
      </c>
      <c r="I58" s="6">
        <f t="shared" si="3"/>
        <v>35295</v>
      </c>
      <c r="J58" s="6">
        <f t="shared" si="3"/>
        <v>0</v>
      </c>
      <c r="K58" s="6">
        <f t="shared" si="3"/>
        <v>0</v>
      </c>
      <c r="L58" s="6">
        <f t="shared" si="3"/>
        <v>0</v>
      </c>
      <c r="M58" s="6">
        <f t="shared" si="3"/>
        <v>0</v>
      </c>
      <c r="N58" s="6">
        <f t="shared" si="3"/>
        <v>0</v>
      </c>
      <c r="O58" s="6">
        <f t="shared" si="3"/>
        <v>0</v>
      </c>
      <c r="P58" s="6">
        <f t="shared" si="3"/>
        <v>0</v>
      </c>
      <c r="Q58" s="6">
        <f t="shared" si="3"/>
        <v>54</v>
      </c>
    </row>
    <row r="59" spans="1:18" x14ac:dyDescent="0.25">
      <c r="H59">
        <f>-5*17</f>
        <v>-85</v>
      </c>
    </row>
    <row r="60" spans="1:18" x14ac:dyDescent="0.25">
      <c r="A60" s="6" t="s">
        <v>17</v>
      </c>
      <c r="C60" s="5" t="s">
        <v>191</v>
      </c>
      <c r="D60" s="5"/>
      <c r="E60" s="9" t="s">
        <v>192</v>
      </c>
      <c r="H60">
        <f>-9*25</f>
        <v>-225</v>
      </c>
      <c r="K60" s="16" t="s">
        <v>27</v>
      </c>
      <c r="L60" s="16" t="s">
        <v>193</v>
      </c>
      <c r="M60" s="16" t="s">
        <v>192</v>
      </c>
      <c r="O60" s="9" t="s">
        <v>194</v>
      </c>
    </row>
    <row r="61" spans="1:18" x14ac:dyDescent="0.25">
      <c r="A61" t="s">
        <v>22</v>
      </c>
      <c r="B61" s="8" t="s">
        <v>195</v>
      </c>
      <c r="C61" s="4">
        <f>SUMIFS(I$3:I$56,B$3:B$56,A$60,L$3:L$56,A$61)</f>
        <v>35295</v>
      </c>
      <c r="D61" s="4"/>
      <c r="E61" s="8">
        <f>SUMIFS(Q$3:Q$56,B$3:B$56,A$60,L$3:L$56,A$61)</f>
        <v>54</v>
      </c>
      <c r="F61" t="s">
        <v>196</v>
      </c>
      <c r="K61" t="s">
        <v>197</v>
      </c>
      <c r="L61">
        <f>SUMIFS(G$3:G$56,J$3:J$56,K$60)</f>
        <v>9450</v>
      </c>
      <c r="M61">
        <f>SUMIFS(Q$3:Q$56,J$3:J$56,K$60)-INT(COUNTIFS(J$3:J$56,K$60,M$3:M$56,"*gộp*")/2)</f>
        <v>14</v>
      </c>
      <c r="O61" t="s">
        <v>198</v>
      </c>
      <c r="P61">
        <f>L66</f>
        <v>9140</v>
      </c>
    </row>
    <row r="62" spans="1:18" x14ac:dyDescent="0.25">
      <c r="B62" s="7" t="s">
        <v>199</v>
      </c>
      <c r="C62" s="3">
        <v>0</v>
      </c>
      <c r="D62" s="3"/>
      <c r="K62" t="s">
        <v>200</v>
      </c>
      <c r="L62">
        <f>SUM(H59:H60)</f>
        <v>-310</v>
      </c>
      <c r="M62">
        <f>SUMIFS(Q$3:Q$56,J$3:J$56,K$60)</f>
        <v>14</v>
      </c>
      <c r="O62" t="s">
        <v>135</v>
      </c>
      <c r="P62">
        <f>L74</f>
        <v>13055</v>
      </c>
    </row>
    <row r="63" spans="1:18" x14ac:dyDescent="0.25">
      <c r="B63" s="7" t="s">
        <v>201</v>
      </c>
      <c r="C63" s="3">
        <f>-SUMIFS(I$3:I$56,B$3:B$56,A$60,P$3:P$56,"xx",N$3:N$56,"x")</f>
        <v>0</v>
      </c>
      <c r="D63" s="3"/>
      <c r="E63" s="7">
        <f>SUMIFS(Q$3:Q$56,B$3:B$56,A$60,P$3:P$56,"xx",N$3:N$56,"x")</f>
        <v>0</v>
      </c>
      <c r="K63" t="s">
        <v>202</v>
      </c>
      <c r="O63" t="s">
        <v>21</v>
      </c>
      <c r="P63">
        <f>L82</f>
        <v>12427</v>
      </c>
    </row>
    <row r="64" spans="1:18" x14ac:dyDescent="0.25">
      <c r="B64" s="9" t="s">
        <v>203</v>
      </c>
      <c r="C64" s="5">
        <f>SUBTOTAL(9,C61:C63)</f>
        <v>35295</v>
      </c>
      <c r="D64" s="5"/>
      <c r="E64">
        <f>E61</f>
        <v>54</v>
      </c>
      <c r="K64" s="7" t="s">
        <v>204</v>
      </c>
      <c r="O64" t="s">
        <v>20</v>
      </c>
      <c r="P64">
        <f>L90</f>
        <v>865</v>
      </c>
    </row>
    <row r="65" spans="2:16" x14ac:dyDescent="0.25">
      <c r="B65" s="7" t="s">
        <v>205</v>
      </c>
      <c r="C65" s="2"/>
      <c r="D65" s="2"/>
      <c r="K65" s="7" t="s">
        <v>206</v>
      </c>
      <c r="O65" t="s">
        <v>207</v>
      </c>
      <c r="P65">
        <f>-C68</f>
        <v>-35295</v>
      </c>
    </row>
    <row r="66" spans="2:16" x14ac:dyDescent="0.25">
      <c r="B66" s="17" t="s">
        <v>208</v>
      </c>
      <c r="C66" s="2"/>
      <c r="D66" s="2"/>
      <c r="L66" s="18">
        <f>SUBTOTAL(9,L61:L65)</f>
        <v>9140</v>
      </c>
      <c r="M66" s="18">
        <f>M61</f>
        <v>14</v>
      </c>
      <c r="O66" s="9" t="s">
        <v>209</v>
      </c>
      <c r="P66" s="9">
        <f>SUBTOTAL(9,P61:P65)</f>
        <v>192</v>
      </c>
    </row>
    <row r="68" spans="2:16" x14ac:dyDescent="0.25">
      <c r="B68" s="6" t="s">
        <v>210</v>
      </c>
      <c r="C68" s="1">
        <f>C64+C65+C66</f>
        <v>35295</v>
      </c>
      <c r="D68" s="1"/>
      <c r="E68" s="6" t="s">
        <v>211</v>
      </c>
      <c r="K68" s="16" t="s">
        <v>135</v>
      </c>
      <c r="L68" s="16" t="s">
        <v>193</v>
      </c>
      <c r="M68" s="16" t="s">
        <v>192</v>
      </c>
    </row>
    <row r="69" spans="2:16" x14ac:dyDescent="0.25">
      <c r="K69" t="s">
        <v>197</v>
      </c>
      <c r="L69">
        <f>SUMIFS(G$3:G$56,J$3:J$56,K$68)</f>
        <v>13490</v>
      </c>
      <c r="M69">
        <f>SUMIFS(Q$3:Q$56,J$3:J$56,K$68)-INT(COUNTIFS(J$3:J$56,K$68,M$3:M$56,"*gộp*")/2)</f>
        <v>19</v>
      </c>
    </row>
    <row r="70" spans="2:16" x14ac:dyDescent="0.25">
      <c r="K70" t="s">
        <v>200</v>
      </c>
      <c r="L70">
        <f>-SUMIFS(H$3:H$56,J$3:J$56,K$68)+M70*5</f>
        <v>-435</v>
      </c>
      <c r="M70">
        <f>SUMIFS(Q$3:Q$56,J$3:J$56,K$68)-INT(COUNTIFS(J$3:J$56,K$68,M$3:M$56,"*gộp*")/2)</f>
        <v>19</v>
      </c>
    </row>
    <row r="71" spans="2:16" x14ac:dyDescent="0.25">
      <c r="K71" t="s">
        <v>202</v>
      </c>
    </row>
    <row r="72" spans="2:16" x14ac:dyDescent="0.25">
      <c r="K72" s="7" t="s">
        <v>204</v>
      </c>
    </row>
    <row r="73" spans="2:16" x14ac:dyDescent="0.25">
      <c r="K73" s="7" t="s">
        <v>206</v>
      </c>
    </row>
    <row r="74" spans="2:16" x14ac:dyDescent="0.25">
      <c r="L74" s="18">
        <f>SUBTOTAL(9,L69:L73)</f>
        <v>13055</v>
      </c>
      <c r="M74" s="18">
        <f>M69</f>
        <v>19</v>
      </c>
    </row>
    <row r="76" spans="2:16" x14ac:dyDescent="0.25">
      <c r="K76" s="16" t="s">
        <v>21</v>
      </c>
      <c r="L76" s="16" t="s">
        <v>193</v>
      </c>
      <c r="M76" s="16" t="s">
        <v>192</v>
      </c>
    </row>
    <row r="77" spans="2:16" x14ac:dyDescent="0.25">
      <c r="K77" t="s">
        <v>197</v>
      </c>
      <c r="L77">
        <f>SUMIFS(G$3:G$56,J$3:J$56,K$76)</f>
        <v>12980</v>
      </c>
      <c r="M77">
        <f>SUMIFS(Q$3:Q$56,J$3:J$56,K$76)-INT(COUNTIFS(J$3:J$56,K$76,M$3:M$56,"*gộp*")/2)</f>
        <v>20</v>
      </c>
    </row>
    <row r="78" spans="2:16" x14ac:dyDescent="0.25">
      <c r="K78" t="s">
        <v>200</v>
      </c>
      <c r="L78">
        <f>-SUMIFS(H$3:H$56,J$3:J$56,K$76)+M78*5</f>
        <v>-445</v>
      </c>
      <c r="M78">
        <f>SUMIFS(Q$3:Q$56,J$3:J$56,K$76)-INT(COUNTIFS(J$3:J$56,K$76,M$3:M$56,"*gộp*")/2)</f>
        <v>20</v>
      </c>
    </row>
    <row r="79" spans="2:16" x14ac:dyDescent="0.25">
      <c r="K79" t="s">
        <v>202</v>
      </c>
      <c r="L79">
        <f>-M79*2</f>
        <v>-108</v>
      </c>
      <c r="M79">
        <f>E64-(COUNTIFS(M$3:M$56,"*gộp*")/2)-COUNTIFS(M$3:M$56,"*đơn trả*")-COUNTIFS(M$3:M$56,"*hàng tỉnh*")</f>
        <v>54</v>
      </c>
    </row>
    <row r="80" spans="2:16" x14ac:dyDescent="0.25">
      <c r="K80" s="7" t="s">
        <v>204</v>
      </c>
    </row>
    <row r="81" spans="11:13" x14ac:dyDescent="0.25">
      <c r="K81" s="7" t="s">
        <v>206</v>
      </c>
    </row>
    <row r="82" spans="11:13" x14ac:dyDescent="0.25">
      <c r="L82" s="18">
        <f>SUBTOTAL(9,L77:L81)</f>
        <v>12427</v>
      </c>
      <c r="M82" s="18">
        <f>M77</f>
        <v>20</v>
      </c>
    </row>
    <row r="84" spans="11:13" x14ac:dyDescent="0.25">
      <c r="K84" s="16" t="s">
        <v>20</v>
      </c>
      <c r="L84" s="16" t="s">
        <v>193</v>
      </c>
      <c r="M84" s="16" t="s">
        <v>192</v>
      </c>
    </row>
    <row r="85" spans="11:13" x14ac:dyDescent="0.25">
      <c r="K85" t="s">
        <v>197</v>
      </c>
      <c r="L85">
        <f>SUMIFS(G$3:G$56,J$3:J$56,K$84)</f>
        <v>895</v>
      </c>
      <c r="M85">
        <f>SUMIFS(Q$3:Q$56,J$3:J$56,K$84)-INT(COUNTIFS(J$3:J$56,K$84,M$3:M$56,"*gộp*")/2)</f>
        <v>1</v>
      </c>
    </row>
    <row r="86" spans="11:13" x14ac:dyDescent="0.25">
      <c r="K86" t="s">
        <v>200</v>
      </c>
      <c r="L86">
        <f>-SUMIFS(H$3:H$56,J$3:J$56,K$84)+M86*5</f>
        <v>-30</v>
      </c>
      <c r="M86">
        <f>SUMIFS(Q$3:Q$56,J$3:J$56,K$84)-INT(COUNTIFS(J$3:J$56,K$84,M$3:M$56,"*gộp*")/2)</f>
        <v>1</v>
      </c>
    </row>
    <row r="87" spans="11:13" x14ac:dyDescent="0.25">
      <c r="K87" t="s">
        <v>202</v>
      </c>
    </row>
    <row r="88" spans="11:13" x14ac:dyDescent="0.25">
      <c r="K88" s="7" t="s">
        <v>204</v>
      </c>
    </row>
    <row r="89" spans="11:13" x14ac:dyDescent="0.25">
      <c r="K89" s="7" t="s">
        <v>206</v>
      </c>
    </row>
    <row r="90" spans="11:13" x14ac:dyDescent="0.25">
      <c r="L90" s="18">
        <f>SUBTOTAL(9,L85:L89)</f>
        <v>865</v>
      </c>
      <c r="M90" s="18">
        <f>M85</f>
        <v>1</v>
      </c>
    </row>
  </sheetData>
  <autoFilter ref="A2:P56" xr:uid="{00000000-0009-0000-0000-000000000000}">
    <sortState xmlns:xlrd2="http://schemas.microsoft.com/office/spreadsheetml/2017/richdata2" ref="A3:P56">
      <sortCondition ref="J2:J56"/>
    </sortState>
  </autoFilter>
  <mergeCells count="8">
    <mergeCell ref="C65:D65"/>
    <mergeCell ref="C66:D66"/>
    <mergeCell ref="C68:D68"/>
    <mergeCell ref="C60:D60"/>
    <mergeCell ref="C61:D61"/>
    <mergeCell ref="C62:D62"/>
    <mergeCell ref="C63:D63"/>
    <mergeCell ref="C64:D64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60"/>
  <sheetViews>
    <sheetView topLeftCell="A16" workbookViewId="0">
      <selection activeCell="I24" sqref="I24"/>
    </sheetView>
  </sheetViews>
  <sheetFormatPr defaultRowHeight="15" x14ac:dyDescent="0.25"/>
  <cols>
    <col min="1" max="1" width="18.42578125" bestFit="1" customWidth="1"/>
    <col min="2" max="2" width="18" bestFit="1" customWidth="1"/>
    <col min="3" max="3" width="39" bestFit="1" customWidth="1"/>
    <col min="4" max="4" width="9.5703125" bestFit="1" customWidth="1"/>
    <col min="5" max="5" width="73.85546875" customWidth="1"/>
    <col min="6" max="6" width="10.5703125" bestFit="1" customWidth="1"/>
    <col min="7" max="7" width="11.42578125" bestFit="1" customWidth="1"/>
    <col min="8" max="8" width="11.7109375" bestFit="1" customWidth="1"/>
    <col min="9" max="9" width="13.140625" bestFit="1" customWidth="1"/>
    <col min="10" max="10" width="12.140625" bestFit="1" customWidth="1"/>
    <col min="11" max="11" width="16.7109375" bestFit="1" customWidth="1"/>
    <col min="12" max="12" width="12.28515625" bestFit="1" customWidth="1"/>
    <col min="13" max="13" width="13.7109375" bestFit="1" customWidth="1"/>
    <col min="14" max="14" width="12.140625" bestFit="1" customWidth="1"/>
    <col min="15" max="15" width="13" bestFit="1" customWidth="1"/>
    <col min="16" max="16" width="7" bestFit="1" customWidth="1"/>
    <col min="17" max="17" width="6.5703125" bestFit="1" customWidth="1"/>
  </cols>
  <sheetData>
    <row r="2" spans="1:17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212</v>
      </c>
    </row>
    <row r="3" spans="1:17" x14ac:dyDescent="0.25">
      <c r="A3" s="20"/>
      <c r="B3" s="20" t="s">
        <v>17</v>
      </c>
      <c r="C3" s="20" t="s">
        <v>213</v>
      </c>
      <c r="D3" s="20" t="s">
        <v>214</v>
      </c>
      <c r="E3" s="20" t="s">
        <v>215</v>
      </c>
      <c r="F3" s="21">
        <v>9</v>
      </c>
      <c r="G3" s="21">
        <v>60</v>
      </c>
      <c r="H3" s="21">
        <v>30</v>
      </c>
      <c r="I3" s="21">
        <f>G3-H3</f>
        <v>30</v>
      </c>
      <c r="J3" s="20" t="s">
        <v>20</v>
      </c>
      <c r="K3" s="20" t="s">
        <v>21</v>
      </c>
      <c r="L3" s="20" t="s">
        <v>216</v>
      </c>
      <c r="M3" s="20" t="s">
        <v>167</v>
      </c>
      <c r="N3" s="20"/>
      <c r="O3" s="20"/>
      <c r="P3" s="20"/>
      <c r="Q3" s="20">
        <v>1</v>
      </c>
    </row>
    <row r="4" spans="1:17" x14ac:dyDescent="0.25">
      <c r="A4" s="20"/>
      <c r="B4" s="20" t="s">
        <v>17</v>
      </c>
      <c r="C4" s="20" t="s">
        <v>217</v>
      </c>
      <c r="D4" s="20" t="s">
        <v>218</v>
      </c>
      <c r="E4" s="20" t="s">
        <v>219</v>
      </c>
      <c r="F4" s="21">
        <v>6</v>
      </c>
      <c r="G4" s="21">
        <v>0</v>
      </c>
      <c r="H4" s="21">
        <v>25</v>
      </c>
      <c r="I4" s="21">
        <f>-H4</f>
        <v>-25</v>
      </c>
      <c r="J4" s="20" t="s">
        <v>220</v>
      </c>
      <c r="K4" s="20" t="s">
        <v>21</v>
      </c>
      <c r="L4" s="20" t="s">
        <v>216</v>
      </c>
      <c r="M4" s="20"/>
      <c r="N4" s="20"/>
      <c r="O4" s="20"/>
      <c r="P4" s="20"/>
      <c r="Q4" s="20">
        <v>1</v>
      </c>
    </row>
    <row r="5" spans="1:17" x14ac:dyDescent="0.25">
      <c r="A5" s="20"/>
      <c r="B5" s="20" t="s">
        <v>17</v>
      </c>
      <c r="C5" s="20" t="s">
        <v>221</v>
      </c>
      <c r="D5" s="20" t="s">
        <v>222</v>
      </c>
      <c r="E5" s="20" t="s">
        <v>223</v>
      </c>
      <c r="F5" s="20" t="s">
        <v>26</v>
      </c>
      <c r="G5" s="21">
        <v>0</v>
      </c>
      <c r="H5" s="21">
        <v>30</v>
      </c>
      <c r="I5" s="21">
        <f>-H5</f>
        <v>-30</v>
      </c>
      <c r="J5" s="20" t="s">
        <v>220</v>
      </c>
      <c r="K5" s="20" t="s">
        <v>21</v>
      </c>
      <c r="L5" s="20" t="s">
        <v>216</v>
      </c>
      <c r="M5" s="20" t="s">
        <v>126</v>
      </c>
      <c r="N5" s="20"/>
      <c r="O5" s="20"/>
      <c r="P5" s="20"/>
      <c r="Q5" s="20">
        <v>1</v>
      </c>
    </row>
    <row r="6" spans="1:17" x14ac:dyDescent="0.25">
      <c r="A6" s="20"/>
      <c r="B6" s="20" t="s">
        <v>17</v>
      </c>
      <c r="C6" s="20" t="s">
        <v>224</v>
      </c>
      <c r="D6" s="20" t="s">
        <v>225</v>
      </c>
      <c r="E6" s="20" t="s">
        <v>226</v>
      </c>
      <c r="F6" s="20" t="s">
        <v>26</v>
      </c>
      <c r="G6" s="21">
        <v>0</v>
      </c>
      <c r="H6" s="21">
        <v>30</v>
      </c>
      <c r="I6" s="21">
        <f>-H6</f>
        <v>-30</v>
      </c>
      <c r="J6" s="20" t="s">
        <v>220</v>
      </c>
      <c r="K6" s="20" t="s">
        <v>21</v>
      </c>
      <c r="L6" s="20" t="s">
        <v>216</v>
      </c>
      <c r="M6" s="20"/>
      <c r="N6" s="20"/>
      <c r="O6" s="20"/>
      <c r="P6" s="20"/>
      <c r="Q6" s="20">
        <v>1</v>
      </c>
    </row>
    <row r="7" spans="1:17" x14ac:dyDescent="0.25">
      <c r="A7" s="20"/>
      <c r="B7" s="20" t="s">
        <v>17</v>
      </c>
      <c r="C7" s="20" t="s">
        <v>227</v>
      </c>
      <c r="D7" s="20" t="s">
        <v>228</v>
      </c>
      <c r="E7" s="20" t="s">
        <v>229</v>
      </c>
      <c r="F7" s="20" t="s">
        <v>26</v>
      </c>
      <c r="G7" s="21">
        <v>820</v>
      </c>
      <c r="H7" s="21">
        <v>30</v>
      </c>
      <c r="I7" s="21">
        <f t="shared" ref="I7:I12" si="0">G7-H7</f>
        <v>790</v>
      </c>
      <c r="J7" s="20" t="s">
        <v>220</v>
      </c>
      <c r="K7" s="20" t="s">
        <v>21</v>
      </c>
      <c r="L7" s="20" t="s">
        <v>216</v>
      </c>
      <c r="M7" s="20"/>
      <c r="N7" s="20"/>
      <c r="O7" s="20"/>
      <c r="P7" s="20"/>
      <c r="Q7" s="20">
        <v>1</v>
      </c>
    </row>
    <row r="8" spans="1:17" x14ac:dyDescent="0.25">
      <c r="A8" s="20"/>
      <c r="B8" s="20" t="s">
        <v>17</v>
      </c>
      <c r="C8" s="20" t="s">
        <v>230</v>
      </c>
      <c r="D8" s="20" t="s">
        <v>231</v>
      </c>
      <c r="E8" s="20" t="s">
        <v>232</v>
      </c>
      <c r="F8" s="20" t="s">
        <v>134</v>
      </c>
      <c r="G8" s="21">
        <v>35</v>
      </c>
      <c r="H8" s="21">
        <v>35</v>
      </c>
      <c r="I8" s="21">
        <f t="shared" si="0"/>
        <v>0</v>
      </c>
      <c r="J8" s="20" t="s">
        <v>220</v>
      </c>
      <c r="K8" s="20" t="s">
        <v>21</v>
      </c>
      <c r="L8" s="20" t="s">
        <v>216</v>
      </c>
      <c r="M8" s="20" t="s">
        <v>126</v>
      </c>
      <c r="N8" s="20"/>
      <c r="O8" s="20"/>
      <c r="P8" s="20"/>
      <c r="Q8" s="20">
        <v>1</v>
      </c>
    </row>
    <row r="9" spans="1:17" x14ac:dyDescent="0.25">
      <c r="A9" s="20"/>
      <c r="B9" s="20" t="s">
        <v>17</v>
      </c>
      <c r="C9" s="20" t="s">
        <v>233</v>
      </c>
      <c r="D9" s="20" t="s">
        <v>234</v>
      </c>
      <c r="E9" s="20" t="s">
        <v>235</v>
      </c>
      <c r="F9" s="20" t="s">
        <v>46</v>
      </c>
      <c r="G9" s="21">
        <v>985</v>
      </c>
      <c r="H9" s="21">
        <v>25</v>
      </c>
      <c r="I9" s="21">
        <f t="shared" si="0"/>
        <v>960</v>
      </c>
      <c r="J9" s="20" t="s">
        <v>220</v>
      </c>
      <c r="K9" s="20" t="s">
        <v>21</v>
      </c>
      <c r="L9" s="20" t="s">
        <v>216</v>
      </c>
      <c r="M9" s="20"/>
      <c r="N9" s="20"/>
      <c r="O9" s="20"/>
      <c r="P9" s="20"/>
      <c r="Q9" s="20">
        <v>1</v>
      </c>
    </row>
    <row r="10" spans="1:17" x14ac:dyDescent="0.25">
      <c r="A10" s="20"/>
      <c r="B10" s="20" t="s">
        <v>17</v>
      </c>
      <c r="C10" s="20" t="s">
        <v>236</v>
      </c>
      <c r="D10" s="20" t="s">
        <v>237</v>
      </c>
      <c r="E10" s="20" t="s">
        <v>238</v>
      </c>
      <c r="F10" s="20" t="s">
        <v>26</v>
      </c>
      <c r="G10" s="21">
        <v>1430</v>
      </c>
      <c r="H10" s="21">
        <v>30</v>
      </c>
      <c r="I10" s="21">
        <f t="shared" si="0"/>
        <v>1400</v>
      </c>
      <c r="J10" s="20" t="s">
        <v>220</v>
      </c>
      <c r="K10" s="20" t="s">
        <v>21</v>
      </c>
      <c r="L10" s="20" t="s">
        <v>216</v>
      </c>
      <c r="M10" s="20"/>
      <c r="N10" s="20"/>
      <c r="O10" s="20"/>
      <c r="P10" s="20"/>
      <c r="Q10" s="20">
        <v>1</v>
      </c>
    </row>
    <row r="11" spans="1:17" x14ac:dyDescent="0.25">
      <c r="A11" s="20"/>
      <c r="B11" s="20" t="s">
        <v>17</v>
      </c>
      <c r="C11" s="20" t="s">
        <v>239</v>
      </c>
      <c r="D11" s="20" t="s">
        <v>240</v>
      </c>
      <c r="E11" s="20" t="s">
        <v>241</v>
      </c>
      <c r="F11" s="21">
        <v>12</v>
      </c>
      <c r="G11" s="21">
        <v>890</v>
      </c>
      <c r="H11" s="21">
        <v>30</v>
      </c>
      <c r="I11" s="21">
        <f t="shared" si="0"/>
        <v>860</v>
      </c>
      <c r="J11" s="20" t="s">
        <v>220</v>
      </c>
      <c r="K11" s="20" t="s">
        <v>21</v>
      </c>
      <c r="L11" s="20" t="s">
        <v>216</v>
      </c>
      <c r="M11" s="20"/>
      <c r="N11" s="20"/>
      <c r="O11" s="20"/>
      <c r="P11" s="20"/>
      <c r="Q11" s="20">
        <v>1</v>
      </c>
    </row>
    <row r="12" spans="1:17" x14ac:dyDescent="0.25">
      <c r="A12" s="20"/>
      <c r="B12" s="20" t="s">
        <v>17</v>
      </c>
      <c r="C12" s="20" t="s">
        <v>242</v>
      </c>
      <c r="D12" s="20" t="s">
        <v>243</v>
      </c>
      <c r="E12" s="20" t="s">
        <v>244</v>
      </c>
      <c r="F12" s="20" t="s">
        <v>26</v>
      </c>
      <c r="G12" s="21">
        <v>770</v>
      </c>
      <c r="H12" s="21">
        <v>30</v>
      </c>
      <c r="I12" s="21">
        <f t="shared" si="0"/>
        <v>740</v>
      </c>
      <c r="J12" s="20" t="s">
        <v>220</v>
      </c>
      <c r="K12" s="20" t="s">
        <v>21</v>
      </c>
      <c r="L12" s="20" t="s">
        <v>216</v>
      </c>
      <c r="M12" s="20"/>
      <c r="N12" s="20"/>
      <c r="O12" s="20"/>
      <c r="P12" s="20"/>
      <c r="Q12" s="20">
        <v>1</v>
      </c>
    </row>
    <row r="13" spans="1:17" x14ac:dyDescent="0.25">
      <c r="A13" s="20"/>
      <c r="B13" s="20" t="s">
        <v>17</v>
      </c>
      <c r="C13" s="20" t="s">
        <v>245</v>
      </c>
      <c r="D13" s="20" t="s">
        <v>246</v>
      </c>
      <c r="E13" s="20" t="s">
        <v>247</v>
      </c>
      <c r="F13" s="20" t="s">
        <v>85</v>
      </c>
      <c r="G13" s="21">
        <v>0</v>
      </c>
      <c r="H13" s="21">
        <v>20</v>
      </c>
      <c r="I13" s="21">
        <f>-H13</f>
        <v>-20</v>
      </c>
      <c r="J13" s="20" t="s">
        <v>21</v>
      </c>
      <c r="K13" s="20" t="s">
        <v>21</v>
      </c>
      <c r="L13" s="20" t="s">
        <v>216</v>
      </c>
      <c r="M13" s="20"/>
      <c r="N13" s="20"/>
      <c r="O13" s="20"/>
      <c r="P13" s="20"/>
      <c r="Q13" s="20">
        <v>1</v>
      </c>
    </row>
    <row r="14" spans="1:17" x14ac:dyDescent="0.25">
      <c r="A14" s="20"/>
      <c r="B14" s="20" t="s">
        <v>17</v>
      </c>
      <c r="C14" s="20" t="s">
        <v>248</v>
      </c>
      <c r="D14" s="20" t="s">
        <v>249</v>
      </c>
      <c r="E14" s="20" t="s">
        <v>250</v>
      </c>
      <c r="F14" s="20" t="s">
        <v>77</v>
      </c>
      <c r="G14" s="21">
        <v>905</v>
      </c>
      <c r="H14" s="21">
        <v>25</v>
      </c>
      <c r="I14" s="21">
        <f>G14-H14</f>
        <v>880</v>
      </c>
      <c r="J14" s="20" t="s">
        <v>21</v>
      </c>
      <c r="K14" s="20" t="s">
        <v>21</v>
      </c>
      <c r="L14" s="20" t="s">
        <v>216</v>
      </c>
      <c r="M14" s="20"/>
      <c r="N14" s="20"/>
      <c r="O14" s="20"/>
      <c r="P14" s="20"/>
      <c r="Q14" s="20">
        <v>1</v>
      </c>
    </row>
    <row r="15" spans="1:17" x14ac:dyDescent="0.25">
      <c r="A15" s="20"/>
      <c r="B15" s="20" t="s">
        <v>17</v>
      </c>
      <c r="C15" s="20" t="s">
        <v>251</v>
      </c>
      <c r="D15" s="20" t="s">
        <v>252</v>
      </c>
      <c r="E15" s="20" t="s">
        <v>253</v>
      </c>
      <c r="F15" s="20" t="s">
        <v>85</v>
      </c>
      <c r="G15" s="21">
        <v>0</v>
      </c>
      <c r="H15" s="21">
        <v>20</v>
      </c>
      <c r="I15" s="21">
        <f>-H15</f>
        <v>-20</v>
      </c>
      <c r="J15" s="20" t="s">
        <v>21</v>
      </c>
      <c r="K15" s="20" t="s">
        <v>21</v>
      </c>
      <c r="L15" s="20" t="s">
        <v>216</v>
      </c>
      <c r="M15" s="20"/>
      <c r="N15" s="20"/>
      <c r="O15" s="20"/>
      <c r="P15" s="20"/>
      <c r="Q15" s="20">
        <v>1</v>
      </c>
    </row>
    <row r="16" spans="1:17" x14ac:dyDescent="0.25">
      <c r="A16" s="20" t="s">
        <v>16</v>
      </c>
      <c r="B16" s="20" t="s">
        <v>17</v>
      </c>
      <c r="C16" s="20" t="s">
        <v>254</v>
      </c>
      <c r="D16" s="20"/>
      <c r="E16" s="20" t="s">
        <v>255</v>
      </c>
      <c r="F16" s="20" t="s">
        <v>77</v>
      </c>
      <c r="G16" s="21">
        <v>0</v>
      </c>
      <c r="H16" s="21">
        <v>40</v>
      </c>
      <c r="I16" s="21">
        <f>-H16</f>
        <v>-40</v>
      </c>
      <c r="J16" s="20" t="s">
        <v>21</v>
      </c>
      <c r="K16" s="20" t="s">
        <v>21</v>
      </c>
      <c r="L16" s="20" t="s">
        <v>216</v>
      </c>
      <c r="M16" s="20"/>
      <c r="N16" s="20"/>
      <c r="O16" s="20"/>
      <c r="P16" s="20"/>
      <c r="Q16" s="20">
        <v>1</v>
      </c>
    </row>
    <row r="17" spans="1:17" x14ac:dyDescent="0.25">
      <c r="A17" s="20" t="s">
        <v>16</v>
      </c>
      <c r="B17" s="20" t="s">
        <v>17</v>
      </c>
      <c r="C17" s="20" t="s">
        <v>256</v>
      </c>
      <c r="D17" s="20"/>
      <c r="E17" s="20" t="s">
        <v>257</v>
      </c>
      <c r="F17" s="20" t="s">
        <v>77</v>
      </c>
      <c r="G17" s="21">
        <v>1720</v>
      </c>
      <c r="H17" s="21">
        <v>30</v>
      </c>
      <c r="I17" s="21">
        <f>G17-H17</f>
        <v>1690</v>
      </c>
      <c r="J17" s="20" t="s">
        <v>21</v>
      </c>
      <c r="K17" s="20" t="s">
        <v>21</v>
      </c>
      <c r="L17" s="20" t="s">
        <v>216</v>
      </c>
      <c r="M17" s="20"/>
      <c r="N17" s="20"/>
      <c r="O17" s="20"/>
      <c r="P17" s="20"/>
      <c r="Q17" s="20">
        <v>1</v>
      </c>
    </row>
    <row r="18" spans="1:17" x14ac:dyDescent="0.25">
      <c r="A18" s="20" t="s">
        <v>16</v>
      </c>
      <c r="B18" s="20" t="s">
        <v>17</v>
      </c>
      <c r="C18" s="20" t="s">
        <v>258</v>
      </c>
      <c r="D18" s="20"/>
      <c r="E18" s="20" t="s">
        <v>259</v>
      </c>
      <c r="F18" s="21">
        <v>12</v>
      </c>
      <c r="G18" s="21">
        <v>50</v>
      </c>
      <c r="H18" s="21">
        <v>50</v>
      </c>
      <c r="I18" s="21">
        <f>G18-H18</f>
        <v>0</v>
      </c>
      <c r="J18" s="20" t="s">
        <v>21</v>
      </c>
      <c r="K18" s="20" t="s">
        <v>21</v>
      </c>
      <c r="L18" s="20" t="s">
        <v>216</v>
      </c>
      <c r="M18" s="20"/>
      <c r="N18" s="20"/>
      <c r="O18" s="20"/>
      <c r="P18" s="20"/>
      <c r="Q18" s="20">
        <v>1</v>
      </c>
    </row>
    <row r="19" spans="1:17" x14ac:dyDescent="0.25">
      <c r="A19" s="20" t="s">
        <v>16</v>
      </c>
      <c r="B19" s="20" t="s">
        <v>17</v>
      </c>
      <c r="C19" s="20" t="s">
        <v>260</v>
      </c>
      <c r="D19" s="20"/>
      <c r="E19" s="20" t="s">
        <v>261</v>
      </c>
      <c r="F19" s="21">
        <v>1</v>
      </c>
      <c r="G19" s="21">
        <v>0</v>
      </c>
      <c r="H19" s="21">
        <v>25</v>
      </c>
      <c r="I19" s="21">
        <f>-H19</f>
        <v>-25</v>
      </c>
      <c r="J19" s="20" t="s">
        <v>135</v>
      </c>
      <c r="K19" s="20" t="s">
        <v>21</v>
      </c>
      <c r="L19" s="20" t="s">
        <v>216</v>
      </c>
      <c r="M19" s="20" t="s">
        <v>126</v>
      </c>
      <c r="N19" s="20"/>
      <c r="O19" s="20"/>
      <c r="P19" s="20"/>
      <c r="Q19" s="20">
        <v>1</v>
      </c>
    </row>
    <row r="20" spans="1:17" x14ac:dyDescent="0.25">
      <c r="A20" s="20"/>
      <c r="B20" s="20" t="s">
        <v>17</v>
      </c>
      <c r="C20" s="20" t="s">
        <v>262</v>
      </c>
      <c r="D20" s="20" t="s">
        <v>263</v>
      </c>
      <c r="E20" s="20" t="s">
        <v>264</v>
      </c>
      <c r="F20" s="21">
        <v>11</v>
      </c>
      <c r="G20" s="21">
        <v>615</v>
      </c>
      <c r="H20" s="21">
        <v>25</v>
      </c>
      <c r="I20" s="21">
        <f t="shared" ref="I20:I25" si="1">G20-H20</f>
        <v>590</v>
      </c>
      <c r="J20" s="20" t="s">
        <v>135</v>
      </c>
      <c r="K20" s="20" t="s">
        <v>21</v>
      </c>
      <c r="L20" s="20" t="s">
        <v>216</v>
      </c>
      <c r="M20" s="20"/>
      <c r="N20" s="20"/>
      <c r="O20" s="20"/>
      <c r="P20" s="20"/>
      <c r="Q20" s="20">
        <v>1</v>
      </c>
    </row>
    <row r="21" spans="1:17" x14ac:dyDescent="0.25">
      <c r="A21" s="20"/>
      <c r="B21" s="20" t="s">
        <v>17</v>
      </c>
      <c r="C21" s="20" t="s">
        <v>265</v>
      </c>
      <c r="D21" s="20" t="s">
        <v>266</v>
      </c>
      <c r="E21" s="20" t="s">
        <v>267</v>
      </c>
      <c r="F21" s="21">
        <v>4</v>
      </c>
      <c r="G21" s="21">
        <v>815</v>
      </c>
      <c r="H21" s="21">
        <v>25</v>
      </c>
      <c r="I21" s="21">
        <f t="shared" si="1"/>
        <v>790</v>
      </c>
      <c r="J21" s="20" t="s">
        <v>135</v>
      </c>
      <c r="K21" s="20" t="s">
        <v>21</v>
      </c>
      <c r="L21" s="20" t="s">
        <v>216</v>
      </c>
      <c r="M21" s="20"/>
      <c r="N21" s="20"/>
      <c r="O21" s="20"/>
      <c r="P21" s="20"/>
      <c r="Q21" s="20">
        <v>1</v>
      </c>
    </row>
    <row r="22" spans="1:17" x14ac:dyDescent="0.25">
      <c r="A22" s="20"/>
      <c r="B22" s="20" t="s">
        <v>17</v>
      </c>
      <c r="C22" s="20" t="s">
        <v>268</v>
      </c>
      <c r="D22" s="20" t="s">
        <v>269</v>
      </c>
      <c r="E22" s="20" t="s">
        <v>270</v>
      </c>
      <c r="F22" s="20" t="s">
        <v>95</v>
      </c>
      <c r="G22" s="21">
        <v>765</v>
      </c>
      <c r="H22" s="21">
        <v>25</v>
      </c>
      <c r="I22" s="21">
        <f t="shared" si="1"/>
        <v>740</v>
      </c>
      <c r="J22" s="20" t="s">
        <v>135</v>
      </c>
      <c r="K22" s="20" t="s">
        <v>21</v>
      </c>
      <c r="L22" s="20" t="s">
        <v>216</v>
      </c>
      <c r="M22" s="20"/>
      <c r="N22" s="20"/>
      <c r="O22" s="20"/>
      <c r="P22" s="20"/>
      <c r="Q22" s="20">
        <v>1</v>
      </c>
    </row>
    <row r="23" spans="1:17" s="7" customFormat="1" x14ac:dyDescent="0.25">
      <c r="A23" s="26"/>
      <c r="B23" s="26" t="s">
        <v>17</v>
      </c>
      <c r="C23" s="26" t="s">
        <v>183</v>
      </c>
      <c r="D23" s="26" t="s">
        <v>184</v>
      </c>
      <c r="E23" s="26" t="s">
        <v>185</v>
      </c>
      <c r="F23" s="27">
        <v>4</v>
      </c>
      <c r="G23" s="27">
        <v>815</v>
      </c>
      <c r="H23" s="27">
        <v>25</v>
      </c>
      <c r="I23" s="27">
        <f t="shared" si="1"/>
        <v>790</v>
      </c>
      <c r="J23" s="26" t="s">
        <v>271</v>
      </c>
      <c r="K23" s="26" t="s">
        <v>21</v>
      </c>
      <c r="L23" s="26" t="s">
        <v>22</v>
      </c>
      <c r="M23" s="26" t="s">
        <v>204</v>
      </c>
      <c r="N23" s="26" t="s">
        <v>272</v>
      </c>
      <c r="O23" s="26" t="s">
        <v>272</v>
      </c>
      <c r="P23" s="26" t="s">
        <v>273</v>
      </c>
      <c r="Q23" s="27">
        <v>1</v>
      </c>
    </row>
    <row r="24" spans="1:17" s="7" customFormat="1" x14ac:dyDescent="0.25">
      <c r="A24" s="26"/>
      <c r="B24" s="26" t="s">
        <v>17</v>
      </c>
      <c r="C24" s="26" t="s">
        <v>274</v>
      </c>
      <c r="D24" s="26" t="s">
        <v>275</v>
      </c>
      <c r="E24" s="26" t="s">
        <v>276</v>
      </c>
      <c r="F24" s="27">
        <v>12</v>
      </c>
      <c r="G24" s="27">
        <v>860</v>
      </c>
      <c r="H24" s="27">
        <v>0</v>
      </c>
      <c r="I24" s="27">
        <f t="shared" si="1"/>
        <v>860</v>
      </c>
      <c r="J24" s="26" t="s">
        <v>271</v>
      </c>
      <c r="K24" s="26" t="s">
        <v>21</v>
      </c>
      <c r="L24" s="26" t="s">
        <v>277</v>
      </c>
      <c r="M24" s="26" t="s">
        <v>204</v>
      </c>
      <c r="N24" s="26" t="s">
        <v>272</v>
      </c>
      <c r="O24" s="26" t="s">
        <v>272</v>
      </c>
      <c r="P24" s="26" t="s">
        <v>273</v>
      </c>
      <c r="Q24" s="27">
        <v>1</v>
      </c>
    </row>
    <row r="25" spans="1:17" s="7" customFormat="1" x14ac:dyDescent="0.25">
      <c r="A25" s="26"/>
      <c r="B25" s="26" t="s">
        <v>17</v>
      </c>
      <c r="C25" s="26" t="s">
        <v>278</v>
      </c>
      <c r="D25" s="26" t="s">
        <v>279</v>
      </c>
      <c r="E25" s="26" t="s">
        <v>280</v>
      </c>
      <c r="F25" s="26" t="s">
        <v>46</v>
      </c>
      <c r="G25" s="27">
        <v>1455</v>
      </c>
      <c r="H25" s="27">
        <v>25</v>
      </c>
      <c r="I25" s="27">
        <f t="shared" si="1"/>
        <v>1430</v>
      </c>
      <c r="J25" s="26" t="s">
        <v>271</v>
      </c>
      <c r="K25" s="26" t="s">
        <v>21</v>
      </c>
      <c r="L25" s="26" t="s">
        <v>281</v>
      </c>
      <c r="M25" s="26" t="s">
        <v>204</v>
      </c>
      <c r="N25" s="26" t="s">
        <v>272</v>
      </c>
      <c r="O25" s="26" t="s">
        <v>272</v>
      </c>
      <c r="P25" s="26" t="s">
        <v>273</v>
      </c>
      <c r="Q25" s="27">
        <v>1</v>
      </c>
    </row>
    <row r="26" spans="1:17" s="7" customFormat="1" x14ac:dyDescent="0.25">
      <c r="A26" s="26"/>
      <c r="B26" s="26" t="s">
        <v>17</v>
      </c>
      <c r="C26" s="26" t="s">
        <v>282</v>
      </c>
      <c r="D26" s="26" t="s">
        <v>283</v>
      </c>
      <c r="E26" s="26" t="s">
        <v>284</v>
      </c>
      <c r="F26" s="27">
        <v>11</v>
      </c>
      <c r="G26" s="27">
        <v>0</v>
      </c>
      <c r="H26" s="27">
        <v>25</v>
      </c>
      <c r="I26" s="27">
        <f>-H26</f>
        <v>-25</v>
      </c>
      <c r="J26" s="26" t="s">
        <v>271</v>
      </c>
      <c r="K26" s="26" t="s">
        <v>21</v>
      </c>
      <c r="L26" s="26" t="s">
        <v>285</v>
      </c>
      <c r="M26" s="26" t="s">
        <v>204</v>
      </c>
      <c r="N26" s="26" t="s">
        <v>272</v>
      </c>
      <c r="O26" s="26" t="s">
        <v>272</v>
      </c>
      <c r="P26" s="26" t="s">
        <v>273</v>
      </c>
      <c r="Q26" s="27">
        <v>1</v>
      </c>
    </row>
    <row r="28" spans="1:17" x14ac:dyDescent="0.25">
      <c r="D28" s="6">
        <f>COUNTA(D3:D26)</f>
        <v>20</v>
      </c>
      <c r="G28" s="6">
        <f t="shared" ref="G28:Q28" si="2">SUBTOTAL(9,G3:G26)</f>
        <v>12990</v>
      </c>
      <c r="H28" s="6">
        <f t="shared" si="2"/>
        <v>655</v>
      </c>
      <c r="I28" s="6">
        <f t="shared" si="2"/>
        <v>12335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6">
        <f t="shared" si="2"/>
        <v>0</v>
      </c>
      <c r="P28" s="6">
        <f t="shared" si="2"/>
        <v>0</v>
      </c>
      <c r="Q28" s="6">
        <f t="shared" si="2"/>
        <v>24</v>
      </c>
    </row>
    <row r="29" spans="1:17" x14ac:dyDescent="0.25">
      <c r="H29">
        <f>-2*17</f>
        <v>-34</v>
      </c>
      <c r="I29">
        <v>25</v>
      </c>
    </row>
    <row r="30" spans="1:17" x14ac:dyDescent="0.25">
      <c r="A30" s="6" t="s">
        <v>17</v>
      </c>
      <c r="C30" s="5" t="s">
        <v>191</v>
      </c>
      <c r="D30" s="5"/>
      <c r="E30" s="9" t="s">
        <v>192</v>
      </c>
      <c r="H30">
        <f>-6*25</f>
        <v>-150</v>
      </c>
      <c r="I30">
        <v>17</v>
      </c>
      <c r="K30" s="16" t="s">
        <v>220</v>
      </c>
      <c r="L30" s="16" t="s">
        <v>193</v>
      </c>
      <c r="M30" s="16" t="s">
        <v>192</v>
      </c>
      <c r="O30" s="9" t="s">
        <v>194</v>
      </c>
    </row>
    <row r="31" spans="1:17" x14ac:dyDescent="0.25">
      <c r="A31" t="s">
        <v>216</v>
      </c>
      <c r="B31" s="8" t="s">
        <v>195</v>
      </c>
      <c r="C31" s="4">
        <f>SUMIFS(I$3:I$26,B$3:B$26,A$30,L$3:L$26,A$31)</f>
        <v>9280</v>
      </c>
      <c r="D31" s="4"/>
      <c r="E31" s="8">
        <f>SUMIFS(Q$3:Q$26,B$3:B$26,A$30,L$3:L$26,A$31)</f>
        <v>20</v>
      </c>
      <c r="F31" t="s">
        <v>196</v>
      </c>
      <c r="H31">
        <f>-1*30</f>
        <v>-30</v>
      </c>
      <c r="I31">
        <v>-17</v>
      </c>
      <c r="K31" t="s">
        <v>197</v>
      </c>
      <c r="L31">
        <f>SUMIFS(G$3:G$26,J$3:J$26,K$30)</f>
        <v>4930</v>
      </c>
      <c r="M31">
        <f>SUMIFS(Q$3:Q$26,J$3:J$26,K$30)-INT(COUNTIFS(J$3:J$26,K$30,M$3:M$26,"*gộp*")/2)</f>
        <v>9</v>
      </c>
      <c r="O31" t="s">
        <v>286</v>
      </c>
      <c r="P31">
        <f>L36</f>
        <v>2401</v>
      </c>
    </row>
    <row r="32" spans="1:17" x14ac:dyDescent="0.25">
      <c r="B32" s="7" t="s">
        <v>199</v>
      </c>
      <c r="C32" s="3">
        <v>0</v>
      </c>
      <c r="D32" s="3"/>
      <c r="K32" t="s">
        <v>200</v>
      </c>
      <c r="L32">
        <f>SUM(H29:H31)</f>
        <v>-214</v>
      </c>
      <c r="M32">
        <f>SUMIFS(Q$3:Q$26,J$3:J$26,K$30)</f>
        <v>9</v>
      </c>
      <c r="O32" t="s">
        <v>20</v>
      </c>
      <c r="P32">
        <f>L44</f>
        <v>35</v>
      </c>
    </row>
    <row r="33" spans="2:16" x14ac:dyDescent="0.25">
      <c r="B33" s="7" t="s">
        <v>201</v>
      </c>
      <c r="C33" s="3">
        <f>-SUMIFS(I$3:I$26,B$3:B$26,A$30,P$3:P$26,"xx",N$3:N$26,"x")</f>
        <v>-3055</v>
      </c>
      <c r="D33" s="3"/>
      <c r="E33" s="7">
        <f>SUMIFS(Q$3:Q$26,B$3:B$26,A$30,P$3:P$26,"xx",N$3:N$26,"x")</f>
        <v>4</v>
      </c>
      <c r="K33" t="s">
        <v>202</v>
      </c>
      <c r="O33" t="s">
        <v>135</v>
      </c>
      <c r="P33">
        <f>L52</f>
        <v>1320</v>
      </c>
    </row>
    <row r="34" spans="2:16" x14ac:dyDescent="0.25">
      <c r="B34" s="9" t="s">
        <v>203</v>
      </c>
      <c r="C34" s="5">
        <f>SUBTOTAL(9,C31:C33)</f>
        <v>6225</v>
      </c>
      <c r="D34" s="5"/>
      <c r="E34">
        <f>E31</f>
        <v>20</v>
      </c>
      <c r="K34" s="7" t="s">
        <v>204</v>
      </c>
      <c r="L34" s="28">
        <v>-2315</v>
      </c>
      <c r="M34" s="28" t="s">
        <v>287</v>
      </c>
      <c r="O34" t="s">
        <v>21</v>
      </c>
      <c r="P34">
        <f>L60</f>
        <v>2488</v>
      </c>
    </row>
    <row r="35" spans="2:16" x14ac:dyDescent="0.25">
      <c r="B35" s="7" t="s">
        <v>205</v>
      </c>
      <c r="C35" s="2"/>
      <c r="D35" s="2"/>
      <c r="K35" s="7" t="s">
        <v>206</v>
      </c>
      <c r="O35" t="s">
        <v>207</v>
      </c>
      <c r="P35">
        <f>-C38</f>
        <v>-6225</v>
      </c>
    </row>
    <row r="36" spans="2:16" x14ac:dyDescent="0.25">
      <c r="B36" s="17" t="s">
        <v>208</v>
      </c>
      <c r="C36" s="2"/>
      <c r="D36" s="2"/>
      <c r="L36" s="18">
        <f>SUBTOTAL(9,L31:L35)</f>
        <v>2401</v>
      </c>
      <c r="M36" s="18">
        <f>M31</f>
        <v>9</v>
      </c>
      <c r="O36" s="9" t="s">
        <v>209</v>
      </c>
      <c r="P36" s="9">
        <f>SUBTOTAL(9,P31:P35)</f>
        <v>19</v>
      </c>
    </row>
    <row r="38" spans="2:16" x14ac:dyDescent="0.25">
      <c r="B38" s="6" t="s">
        <v>210</v>
      </c>
      <c r="C38" s="1">
        <f>C34+C35+C36</f>
        <v>6225</v>
      </c>
      <c r="D38" s="1"/>
      <c r="E38" s="6" t="s">
        <v>211</v>
      </c>
      <c r="K38" s="16" t="s">
        <v>20</v>
      </c>
      <c r="L38" s="16" t="s">
        <v>193</v>
      </c>
      <c r="M38" s="16" t="s">
        <v>192</v>
      </c>
    </row>
    <row r="39" spans="2:16" x14ac:dyDescent="0.25">
      <c r="K39" t="s">
        <v>197</v>
      </c>
      <c r="L39">
        <f>SUMIFS(G$3:G$26,J$3:J$26,K$38)</f>
        <v>60</v>
      </c>
      <c r="M39">
        <f>SUMIFS(Q$3:Q$26,J$3:J$26,K$38)-INT(COUNTIFS(J$3:J$26,K$38,M$3:M$26,"*gộp*")/2)</f>
        <v>1</v>
      </c>
    </row>
    <row r="40" spans="2:16" x14ac:dyDescent="0.25">
      <c r="K40" t="s">
        <v>200</v>
      </c>
      <c r="L40">
        <f>-SUMIFS(H$3:H$26,J$3:J$26,K$38)+M40*5</f>
        <v>-25</v>
      </c>
      <c r="M40">
        <f>SUMIFS(Q$3:Q$26,J$3:J$26,K$38)-INT(COUNTIFS(J$3:J$26,K$38,M$3:M$26,"*gộp*")/2)</f>
        <v>1</v>
      </c>
    </row>
    <row r="41" spans="2:16" x14ac:dyDescent="0.25">
      <c r="K41" t="s">
        <v>202</v>
      </c>
    </row>
    <row r="42" spans="2:16" x14ac:dyDescent="0.25">
      <c r="K42" s="7" t="s">
        <v>204</v>
      </c>
    </row>
    <row r="43" spans="2:16" x14ac:dyDescent="0.25">
      <c r="K43" s="7" t="s">
        <v>206</v>
      </c>
    </row>
    <row r="44" spans="2:16" x14ac:dyDescent="0.25">
      <c r="L44" s="18">
        <f>SUBTOTAL(9,L39:L43)</f>
        <v>35</v>
      </c>
      <c r="M44" s="18">
        <f>M39</f>
        <v>1</v>
      </c>
    </row>
    <row r="46" spans="2:16" x14ac:dyDescent="0.25">
      <c r="K46" s="16" t="s">
        <v>135</v>
      </c>
      <c r="L46" s="16" t="s">
        <v>193</v>
      </c>
      <c r="M46" s="16" t="s">
        <v>192</v>
      </c>
    </row>
    <row r="47" spans="2:16" x14ac:dyDescent="0.25">
      <c r="K47" t="s">
        <v>197</v>
      </c>
      <c r="L47">
        <f>SUMIFS(G$3:G$26,J$3:J$26,K$46)</f>
        <v>2195</v>
      </c>
      <c r="M47">
        <f>SUMIFS(Q$3:Q$26,J$3:J$26,K$46)-INT(COUNTIFS(J$3:J$26,K$46,M$3:M$26,"*gộp*")/2)</f>
        <v>4</v>
      </c>
    </row>
    <row r="48" spans="2:16" x14ac:dyDescent="0.25">
      <c r="K48" t="s">
        <v>200</v>
      </c>
      <c r="L48">
        <f>-SUMIFS(H$3:H$26,J$3:J$26,K$46)+M48*5</f>
        <v>-80</v>
      </c>
      <c r="M48">
        <f>SUMIFS(Q$3:Q$26,J$3:J$26,K$46)-INT(COUNTIFS(J$3:J$26,K$46,M$3:M$26,"*gộp*")/2)</f>
        <v>4</v>
      </c>
    </row>
    <row r="49" spans="11:13" x14ac:dyDescent="0.25">
      <c r="K49" t="s">
        <v>202</v>
      </c>
    </row>
    <row r="50" spans="11:13" x14ac:dyDescent="0.25">
      <c r="K50" s="7" t="s">
        <v>204</v>
      </c>
      <c r="L50" s="28">
        <v>-795</v>
      </c>
      <c r="M50" s="28" t="s">
        <v>288</v>
      </c>
    </row>
    <row r="51" spans="11:13" x14ac:dyDescent="0.25">
      <c r="K51" s="7" t="s">
        <v>206</v>
      </c>
    </row>
    <row r="52" spans="11:13" x14ac:dyDescent="0.25">
      <c r="L52" s="18">
        <f>SUBTOTAL(9,L47:L51)</f>
        <v>1320</v>
      </c>
      <c r="M52" s="18">
        <f>M47</f>
        <v>4</v>
      </c>
    </row>
    <row r="54" spans="11:13" x14ac:dyDescent="0.25">
      <c r="K54" s="16" t="s">
        <v>21</v>
      </c>
      <c r="L54" s="16" t="s">
        <v>193</v>
      </c>
      <c r="M54" s="16" t="s">
        <v>192</v>
      </c>
    </row>
    <row r="55" spans="11:13" x14ac:dyDescent="0.25">
      <c r="K55" t="s">
        <v>197</v>
      </c>
      <c r="L55">
        <f>SUMIFS(G$3:G$26,J$3:J$26,K$54)</f>
        <v>2675</v>
      </c>
      <c r="M55">
        <f>SUMIFS(Q$3:Q$26,J$3:J$26,K$54)-INT(COUNTIFS(J$3:J$26,K$54,M$3:M$26,"*gộp*")/2)</f>
        <v>6</v>
      </c>
    </row>
    <row r="56" spans="11:13" x14ac:dyDescent="0.25">
      <c r="K56" t="s">
        <v>200</v>
      </c>
      <c r="L56">
        <f>-SUMIFS(H$3:H$26,J$3:J$26,K$54)+M56*5</f>
        <v>-155</v>
      </c>
      <c r="M56">
        <f>SUMIFS(Q$3:Q$26,J$3:J$26,K$54)-INT(COUNTIFS(J$3:J$26,K$54,M$3:M$26,"*gộp*")/2)</f>
        <v>6</v>
      </c>
    </row>
    <row r="57" spans="11:13" x14ac:dyDescent="0.25">
      <c r="K57" t="s">
        <v>202</v>
      </c>
      <c r="L57">
        <f>-M57*2</f>
        <v>-32</v>
      </c>
      <c r="M57">
        <f>E34-(COUNTIFS(M$3:M$26,"*gộp*")/2)-COUNTIFS(M$3:M$26,"*đơn trả*")-COUNTIFS(M$3:M$26,"*hàng tỉnh*")</f>
        <v>16</v>
      </c>
    </row>
    <row r="58" spans="11:13" x14ac:dyDescent="0.25">
      <c r="K58" s="7" t="s">
        <v>204</v>
      </c>
    </row>
    <row r="59" spans="11:13" x14ac:dyDescent="0.25">
      <c r="K59" s="7" t="s">
        <v>206</v>
      </c>
    </row>
    <row r="60" spans="11:13" x14ac:dyDescent="0.25">
      <c r="L60" s="18">
        <f>SUBTOTAL(9,L55:L59)</f>
        <v>2488</v>
      </c>
      <c r="M60" s="18">
        <f>M55</f>
        <v>6</v>
      </c>
    </row>
  </sheetData>
  <autoFilter ref="A2:P26" xr:uid="{00000000-0009-0000-0000-000001000000}">
    <sortState xmlns:xlrd2="http://schemas.microsoft.com/office/spreadsheetml/2017/richdata2" ref="A3:P26">
      <sortCondition ref="J2:J26"/>
    </sortState>
  </autoFilter>
  <mergeCells count="8">
    <mergeCell ref="C35:D35"/>
    <mergeCell ref="C36:D36"/>
    <mergeCell ref="C38:D38"/>
    <mergeCell ref="C30:D30"/>
    <mergeCell ref="C31:D31"/>
    <mergeCell ref="C32:D32"/>
    <mergeCell ref="C33:D33"/>
    <mergeCell ref="C34:D34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81"/>
  <sheetViews>
    <sheetView topLeftCell="A54" workbookViewId="0">
      <selection activeCell="E65" sqref="E65"/>
    </sheetView>
  </sheetViews>
  <sheetFormatPr defaultRowHeight="15" x14ac:dyDescent="0.25"/>
  <cols>
    <col min="1" max="1" width="12.7109375" customWidth="1"/>
    <col min="2" max="2" width="17.7109375" customWidth="1"/>
    <col min="3" max="3" width="23.140625" customWidth="1"/>
    <col min="4" max="4" width="9.85546875" customWidth="1"/>
    <col min="5" max="5" width="72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26" bestFit="1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7" s="24" customFormat="1" x14ac:dyDescent="0.25">
      <c r="A3" s="22"/>
      <c r="B3" s="22" t="s">
        <v>17</v>
      </c>
      <c r="C3" s="22" t="s">
        <v>289</v>
      </c>
      <c r="D3" s="22" t="s">
        <v>290</v>
      </c>
      <c r="E3" s="22" t="s">
        <v>291</v>
      </c>
      <c r="F3" s="23">
        <v>7</v>
      </c>
      <c r="G3" s="23">
        <v>30</v>
      </c>
      <c r="H3" s="23">
        <v>30</v>
      </c>
      <c r="I3" s="23">
        <f t="shared" ref="I3:I34" si="0">G3-H3</f>
        <v>0</v>
      </c>
      <c r="J3" s="22" t="s">
        <v>292</v>
      </c>
      <c r="K3" s="22" t="s">
        <v>21</v>
      </c>
      <c r="L3" s="22" t="s">
        <v>293</v>
      </c>
      <c r="M3" s="22" t="s">
        <v>126</v>
      </c>
      <c r="N3" s="22"/>
      <c r="O3" s="22"/>
      <c r="P3" s="22"/>
      <c r="Q3" s="22">
        <v>1</v>
      </c>
    </row>
    <row r="4" spans="1:17" x14ac:dyDescent="0.25">
      <c r="A4" s="20"/>
      <c r="B4" s="20" t="s">
        <v>17</v>
      </c>
      <c r="C4" s="20" t="s">
        <v>294</v>
      </c>
      <c r="D4" s="20" t="s">
        <v>295</v>
      </c>
      <c r="E4" s="20" t="s">
        <v>296</v>
      </c>
      <c r="F4" s="21">
        <v>6</v>
      </c>
      <c r="G4" s="21">
        <v>915</v>
      </c>
      <c r="H4" s="21">
        <v>25</v>
      </c>
      <c r="I4" s="29">
        <f t="shared" si="0"/>
        <v>890</v>
      </c>
      <c r="J4" s="20" t="s">
        <v>292</v>
      </c>
      <c r="K4" s="20" t="s">
        <v>21</v>
      </c>
      <c r="L4" s="20" t="s">
        <v>293</v>
      </c>
      <c r="M4" s="20"/>
      <c r="N4" s="20"/>
      <c r="O4" s="20"/>
      <c r="P4" s="20"/>
      <c r="Q4" s="20">
        <v>1</v>
      </c>
    </row>
    <row r="5" spans="1:17" x14ac:dyDescent="0.25">
      <c r="A5" s="20"/>
      <c r="B5" s="20" t="s">
        <v>17</v>
      </c>
      <c r="C5" s="20" t="s">
        <v>297</v>
      </c>
      <c r="D5" s="20" t="s">
        <v>298</v>
      </c>
      <c r="E5" s="20" t="s">
        <v>299</v>
      </c>
      <c r="F5" s="21">
        <v>7</v>
      </c>
      <c r="G5" s="21">
        <v>850</v>
      </c>
      <c r="H5" s="21">
        <v>30</v>
      </c>
      <c r="I5" s="29">
        <f t="shared" si="0"/>
        <v>820</v>
      </c>
      <c r="J5" s="20" t="s">
        <v>292</v>
      </c>
      <c r="K5" s="20" t="s">
        <v>21</v>
      </c>
      <c r="L5" s="20" t="s">
        <v>293</v>
      </c>
      <c r="M5" s="20"/>
      <c r="N5" s="20"/>
      <c r="O5" s="20"/>
      <c r="P5" s="20"/>
      <c r="Q5" s="20">
        <v>1</v>
      </c>
    </row>
    <row r="6" spans="1:17" x14ac:dyDescent="0.25">
      <c r="A6" s="20"/>
      <c r="B6" s="20" t="s">
        <v>17</v>
      </c>
      <c r="C6" s="20" t="s">
        <v>300</v>
      </c>
      <c r="D6" s="20" t="s">
        <v>301</v>
      </c>
      <c r="E6" s="20" t="s">
        <v>302</v>
      </c>
      <c r="F6" s="21">
        <v>12</v>
      </c>
      <c r="G6" s="21">
        <v>670</v>
      </c>
      <c r="H6" s="21">
        <v>30</v>
      </c>
      <c r="I6" s="29">
        <f t="shared" si="0"/>
        <v>640</v>
      </c>
      <c r="J6" s="20" t="s">
        <v>292</v>
      </c>
      <c r="K6" s="20" t="s">
        <v>21</v>
      </c>
      <c r="L6" s="20" t="s">
        <v>293</v>
      </c>
      <c r="M6" s="20"/>
      <c r="N6" s="20"/>
      <c r="O6" s="20"/>
      <c r="P6" s="20"/>
      <c r="Q6" s="20">
        <v>1</v>
      </c>
    </row>
    <row r="7" spans="1:17" x14ac:dyDescent="0.25">
      <c r="A7" s="20"/>
      <c r="B7" s="20" t="s">
        <v>17</v>
      </c>
      <c r="C7" s="20" t="s">
        <v>303</v>
      </c>
      <c r="D7" s="20" t="s">
        <v>304</v>
      </c>
      <c r="E7" s="20" t="s">
        <v>305</v>
      </c>
      <c r="F7" s="20" t="s">
        <v>139</v>
      </c>
      <c r="G7" s="21">
        <v>1515</v>
      </c>
      <c r="H7" s="21">
        <v>35</v>
      </c>
      <c r="I7" s="29">
        <f t="shared" si="0"/>
        <v>1480</v>
      </c>
      <c r="J7" s="20" t="s">
        <v>292</v>
      </c>
      <c r="K7" s="20" t="s">
        <v>21</v>
      </c>
      <c r="L7" s="20" t="s">
        <v>293</v>
      </c>
      <c r="M7" s="20"/>
      <c r="N7" s="20"/>
      <c r="O7" s="20"/>
      <c r="P7" s="20"/>
      <c r="Q7" s="20">
        <v>1</v>
      </c>
    </row>
    <row r="8" spans="1:17" x14ac:dyDescent="0.25">
      <c r="A8" s="20"/>
      <c r="B8" s="20" t="s">
        <v>17</v>
      </c>
      <c r="C8" s="20" t="s">
        <v>306</v>
      </c>
      <c r="D8" s="20" t="s">
        <v>307</v>
      </c>
      <c r="E8" s="20" t="s">
        <v>308</v>
      </c>
      <c r="F8" s="21">
        <v>8</v>
      </c>
      <c r="G8" s="21">
        <v>690</v>
      </c>
      <c r="H8" s="21">
        <v>30</v>
      </c>
      <c r="I8" s="29">
        <f t="shared" si="0"/>
        <v>660</v>
      </c>
      <c r="J8" s="20" t="s">
        <v>292</v>
      </c>
      <c r="K8" s="20" t="s">
        <v>21</v>
      </c>
      <c r="L8" s="20" t="s">
        <v>293</v>
      </c>
      <c r="M8" s="20"/>
      <c r="N8" s="20"/>
      <c r="O8" s="20"/>
      <c r="P8" s="20"/>
      <c r="Q8" s="20">
        <v>1</v>
      </c>
    </row>
    <row r="9" spans="1:17" x14ac:dyDescent="0.25">
      <c r="A9" s="20"/>
      <c r="B9" s="20" t="s">
        <v>17</v>
      </c>
      <c r="C9" s="20" t="s">
        <v>309</v>
      </c>
      <c r="D9" s="20" t="s">
        <v>310</v>
      </c>
      <c r="E9" s="20" t="s">
        <v>311</v>
      </c>
      <c r="F9" s="20" t="s">
        <v>95</v>
      </c>
      <c r="G9" s="21">
        <v>1345</v>
      </c>
      <c r="H9" s="21">
        <v>25</v>
      </c>
      <c r="I9" s="29">
        <f t="shared" si="0"/>
        <v>1320</v>
      </c>
      <c r="J9" s="20" t="s">
        <v>292</v>
      </c>
      <c r="K9" s="20" t="s">
        <v>21</v>
      </c>
      <c r="L9" s="20" t="s">
        <v>293</v>
      </c>
      <c r="M9" s="20"/>
      <c r="N9" s="20"/>
      <c r="O9" s="20"/>
      <c r="P9" s="20"/>
      <c r="Q9" s="20">
        <v>1</v>
      </c>
    </row>
    <row r="10" spans="1:17" x14ac:dyDescent="0.25">
      <c r="A10" s="20"/>
      <c r="B10" s="20" t="s">
        <v>17</v>
      </c>
      <c r="C10" s="20" t="s">
        <v>312</v>
      </c>
      <c r="D10" s="20" t="s">
        <v>313</v>
      </c>
      <c r="E10" s="20" t="s">
        <v>314</v>
      </c>
      <c r="F10" s="20" t="s">
        <v>26</v>
      </c>
      <c r="G10" s="21">
        <v>850</v>
      </c>
      <c r="H10" s="21">
        <v>30</v>
      </c>
      <c r="I10" s="29">
        <f t="shared" si="0"/>
        <v>820</v>
      </c>
      <c r="J10" s="20" t="s">
        <v>292</v>
      </c>
      <c r="K10" s="20" t="s">
        <v>21</v>
      </c>
      <c r="L10" s="20" t="s">
        <v>293</v>
      </c>
      <c r="M10" s="20"/>
      <c r="N10" s="20"/>
      <c r="O10" s="20"/>
      <c r="P10" s="20"/>
      <c r="Q10" s="20">
        <v>1</v>
      </c>
    </row>
    <row r="11" spans="1:17" x14ac:dyDescent="0.25">
      <c r="A11" s="20"/>
      <c r="B11" s="20" t="s">
        <v>17</v>
      </c>
      <c r="C11" s="20" t="s">
        <v>315</v>
      </c>
      <c r="D11" s="20" t="s">
        <v>316</v>
      </c>
      <c r="E11" s="20" t="s">
        <v>317</v>
      </c>
      <c r="F11" s="20" t="s">
        <v>26</v>
      </c>
      <c r="G11" s="21">
        <v>830</v>
      </c>
      <c r="H11" s="21">
        <v>30</v>
      </c>
      <c r="I11" s="29">
        <f t="shared" si="0"/>
        <v>800</v>
      </c>
      <c r="J11" s="20" t="s">
        <v>292</v>
      </c>
      <c r="K11" s="20" t="s">
        <v>21</v>
      </c>
      <c r="L11" s="20" t="s">
        <v>293</v>
      </c>
      <c r="M11" s="20"/>
      <c r="N11" s="20"/>
      <c r="O11" s="20"/>
      <c r="P11" s="20"/>
      <c r="Q11" s="20">
        <v>1</v>
      </c>
    </row>
    <row r="12" spans="1:17" x14ac:dyDescent="0.25">
      <c r="A12" s="20"/>
      <c r="B12" s="20" t="s">
        <v>17</v>
      </c>
      <c r="C12" s="20" t="s">
        <v>318</v>
      </c>
      <c r="D12" s="20" t="s">
        <v>319</v>
      </c>
      <c r="E12" s="20" t="s">
        <v>320</v>
      </c>
      <c r="F12" s="20" t="s">
        <v>46</v>
      </c>
      <c r="G12" s="21">
        <v>0</v>
      </c>
      <c r="H12" s="21">
        <v>25</v>
      </c>
      <c r="I12" s="29">
        <f t="shared" si="0"/>
        <v>-25</v>
      </c>
      <c r="J12" s="20" t="s">
        <v>292</v>
      </c>
      <c r="K12" s="20" t="s">
        <v>21</v>
      </c>
      <c r="L12" s="20" t="s">
        <v>293</v>
      </c>
      <c r="M12" s="20"/>
      <c r="N12" s="20"/>
      <c r="O12" s="20"/>
      <c r="P12" s="20"/>
      <c r="Q12" s="20">
        <v>1</v>
      </c>
    </row>
    <row r="13" spans="1:17" x14ac:dyDescent="0.25">
      <c r="A13" s="20"/>
      <c r="B13" s="20" t="s">
        <v>17</v>
      </c>
      <c r="C13" s="20" t="s">
        <v>321</v>
      </c>
      <c r="D13" s="20" t="s">
        <v>322</v>
      </c>
      <c r="E13" s="20" t="s">
        <v>323</v>
      </c>
      <c r="F13" s="20" t="s">
        <v>26</v>
      </c>
      <c r="G13" s="21">
        <v>780</v>
      </c>
      <c r="H13" s="21">
        <v>30</v>
      </c>
      <c r="I13" s="29">
        <f t="shared" si="0"/>
        <v>750</v>
      </c>
      <c r="J13" s="20" t="s">
        <v>292</v>
      </c>
      <c r="K13" s="20" t="s">
        <v>21</v>
      </c>
      <c r="L13" s="20" t="s">
        <v>293</v>
      </c>
      <c r="M13" s="20"/>
      <c r="N13" s="20"/>
      <c r="O13" s="20"/>
      <c r="P13" s="20"/>
      <c r="Q13" s="20">
        <v>1</v>
      </c>
    </row>
    <row r="14" spans="1:17" x14ac:dyDescent="0.25">
      <c r="A14" s="20"/>
      <c r="B14" s="20" t="s">
        <v>17</v>
      </c>
      <c r="C14" s="20" t="s">
        <v>324</v>
      </c>
      <c r="D14" s="20" t="s">
        <v>325</v>
      </c>
      <c r="E14" s="20" t="s">
        <v>326</v>
      </c>
      <c r="F14" s="21">
        <v>8</v>
      </c>
      <c r="G14" s="21">
        <v>740</v>
      </c>
      <c r="H14" s="21">
        <v>30</v>
      </c>
      <c r="I14" s="29">
        <f t="shared" si="0"/>
        <v>710</v>
      </c>
      <c r="J14" s="20" t="s">
        <v>292</v>
      </c>
      <c r="K14" s="20" t="s">
        <v>21</v>
      </c>
      <c r="L14" s="20" t="s">
        <v>293</v>
      </c>
      <c r="M14" s="20"/>
      <c r="N14" s="20"/>
      <c r="O14" s="20"/>
      <c r="P14" s="20"/>
      <c r="Q14" s="20">
        <v>1</v>
      </c>
    </row>
    <row r="15" spans="1:17" x14ac:dyDescent="0.25">
      <c r="A15" s="20"/>
      <c r="B15" s="20" t="s">
        <v>17</v>
      </c>
      <c r="C15" s="20" t="s">
        <v>327</v>
      </c>
      <c r="D15" s="20" t="s">
        <v>328</v>
      </c>
      <c r="E15" s="20" t="s">
        <v>329</v>
      </c>
      <c r="F15" s="20" t="s">
        <v>95</v>
      </c>
      <c r="G15" s="21">
        <v>755</v>
      </c>
      <c r="H15" s="21">
        <v>25</v>
      </c>
      <c r="I15" s="29">
        <f t="shared" si="0"/>
        <v>730</v>
      </c>
      <c r="J15" s="20" t="s">
        <v>292</v>
      </c>
      <c r="K15" s="20" t="s">
        <v>21</v>
      </c>
      <c r="L15" s="20" t="s">
        <v>293</v>
      </c>
      <c r="M15" s="20"/>
      <c r="N15" s="20"/>
      <c r="O15" s="20"/>
      <c r="P15" s="20"/>
      <c r="Q15" s="20">
        <v>1</v>
      </c>
    </row>
    <row r="16" spans="1:17" x14ac:dyDescent="0.25">
      <c r="A16" s="20"/>
      <c r="B16" s="20" t="s">
        <v>17</v>
      </c>
      <c r="C16" s="20" t="s">
        <v>65</v>
      </c>
      <c r="D16" s="20" t="s">
        <v>330</v>
      </c>
      <c r="E16" s="20" t="s">
        <v>67</v>
      </c>
      <c r="F16" s="21">
        <v>12</v>
      </c>
      <c r="G16" s="21">
        <v>770</v>
      </c>
      <c r="H16" s="21">
        <v>30</v>
      </c>
      <c r="I16" s="29">
        <f t="shared" si="0"/>
        <v>740</v>
      </c>
      <c r="J16" s="20" t="s">
        <v>292</v>
      </c>
      <c r="K16" s="20" t="s">
        <v>21</v>
      </c>
      <c r="L16" s="20" t="s">
        <v>293</v>
      </c>
      <c r="M16" s="20"/>
      <c r="N16" s="20"/>
      <c r="O16" s="20"/>
      <c r="P16" s="20"/>
      <c r="Q16" s="20">
        <v>1</v>
      </c>
    </row>
    <row r="17" spans="1:17" x14ac:dyDescent="0.25">
      <c r="A17" s="20"/>
      <c r="B17" s="20" t="s">
        <v>17</v>
      </c>
      <c r="C17" s="20" t="s">
        <v>331</v>
      </c>
      <c r="D17" s="20" t="s">
        <v>332</v>
      </c>
      <c r="E17" s="20" t="s">
        <v>333</v>
      </c>
      <c r="F17" s="20" t="s">
        <v>139</v>
      </c>
      <c r="G17" s="21">
        <v>735</v>
      </c>
      <c r="H17" s="21">
        <v>35</v>
      </c>
      <c r="I17" s="29">
        <f t="shared" si="0"/>
        <v>700</v>
      </c>
      <c r="J17" s="20" t="s">
        <v>292</v>
      </c>
      <c r="K17" s="20" t="s">
        <v>21</v>
      </c>
      <c r="L17" s="20" t="s">
        <v>293</v>
      </c>
      <c r="M17" s="20"/>
      <c r="N17" s="20"/>
      <c r="O17" s="20"/>
      <c r="P17" s="20"/>
      <c r="Q17" s="20">
        <v>1</v>
      </c>
    </row>
    <row r="18" spans="1:17" x14ac:dyDescent="0.25">
      <c r="A18" s="20"/>
      <c r="B18" s="20" t="s">
        <v>17</v>
      </c>
      <c r="C18" s="20" t="s">
        <v>334</v>
      </c>
      <c r="D18" s="20" t="s">
        <v>335</v>
      </c>
      <c r="E18" s="20" t="s">
        <v>336</v>
      </c>
      <c r="F18" s="20" t="s">
        <v>26</v>
      </c>
      <c r="G18" s="21">
        <v>0</v>
      </c>
      <c r="H18" s="21">
        <v>30</v>
      </c>
      <c r="I18" s="29">
        <f t="shared" si="0"/>
        <v>-30</v>
      </c>
      <c r="J18" s="20" t="s">
        <v>292</v>
      </c>
      <c r="K18" s="20" t="s">
        <v>21</v>
      </c>
      <c r="L18" s="20" t="s">
        <v>293</v>
      </c>
      <c r="M18" s="20"/>
      <c r="N18" s="20"/>
      <c r="O18" s="20"/>
      <c r="P18" s="20"/>
      <c r="Q18" s="20">
        <v>1</v>
      </c>
    </row>
    <row r="19" spans="1:17" x14ac:dyDescent="0.25">
      <c r="A19" s="20"/>
      <c r="B19" s="20" t="s">
        <v>17</v>
      </c>
      <c r="C19" s="20" t="s">
        <v>337</v>
      </c>
      <c r="D19" s="20" t="s">
        <v>338</v>
      </c>
      <c r="E19" s="20" t="s">
        <v>339</v>
      </c>
      <c r="F19" s="21">
        <v>8</v>
      </c>
      <c r="G19" s="21">
        <v>690</v>
      </c>
      <c r="H19" s="21">
        <v>30</v>
      </c>
      <c r="I19" s="29">
        <f t="shared" si="0"/>
        <v>660</v>
      </c>
      <c r="J19" s="20" t="s">
        <v>292</v>
      </c>
      <c r="K19" s="20" t="s">
        <v>21</v>
      </c>
      <c r="L19" s="20" t="s">
        <v>293</v>
      </c>
      <c r="M19" s="20"/>
      <c r="N19" s="20"/>
      <c r="O19" s="20"/>
      <c r="P19" s="20"/>
      <c r="Q19" s="20">
        <v>1</v>
      </c>
    </row>
    <row r="20" spans="1:17" x14ac:dyDescent="0.25">
      <c r="A20" s="20" t="s">
        <v>16</v>
      </c>
      <c r="B20" s="20" t="s">
        <v>17</v>
      </c>
      <c r="C20" s="20" t="s">
        <v>340</v>
      </c>
      <c r="D20" s="20"/>
      <c r="E20" s="20" t="s">
        <v>341</v>
      </c>
      <c r="F20" s="20" t="s">
        <v>26</v>
      </c>
      <c r="G20" s="21">
        <v>0</v>
      </c>
      <c r="H20" s="21">
        <v>35</v>
      </c>
      <c r="I20" s="29">
        <f t="shared" si="0"/>
        <v>-35</v>
      </c>
      <c r="J20" s="20" t="s">
        <v>292</v>
      </c>
      <c r="K20" s="20" t="s">
        <v>21</v>
      </c>
      <c r="L20" s="20" t="s">
        <v>293</v>
      </c>
      <c r="M20" s="20"/>
      <c r="N20" s="20"/>
      <c r="O20" s="20"/>
      <c r="P20" s="20"/>
      <c r="Q20" s="20">
        <v>1</v>
      </c>
    </row>
    <row r="21" spans="1:17" s="24" customFormat="1" x14ac:dyDescent="0.25">
      <c r="A21" s="22"/>
      <c r="B21" s="22" t="s">
        <v>17</v>
      </c>
      <c r="C21" s="22" t="s">
        <v>342</v>
      </c>
      <c r="D21" s="22" t="s">
        <v>343</v>
      </c>
      <c r="E21" s="22" t="s">
        <v>344</v>
      </c>
      <c r="F21" s="23">
        <v>2</v>
      </c>
      <c r="G21" s="23">
        <v>120</v>
      </c>
      <c r="H21" s="23">
        <v>60</v>
      </c>
      <c r="I21" s="23">
        <f t="shared" si="0"/>
        <v>60</v>
      </c>
      <c r="J21" s="22" t="s">
        <v>21</v>
      </c>
      <c r="K21" s="22" t="s">
        <v>21</v>
      </c>
      <c r="L21" s="22" t="s">
        <v>293</v>
      </c>
      <c r="M21" s="22" t="s">
        <v>345</v>
      </c>
      <c r="N21" s="22"/>
      <c r="O21" s="22"/>
      <c r="P21" s="22"/>
      <c r="Q21" s="22">
        <v>1</v>
      </c>
    </row>
    <row r="22" spans="1:17" s="24" customFormat="1" x14ac:dyDescent="0.25">
      <c r="A22" s="22"/>
      <c r="B22" s="22" t="s">
        <v>17</v>
      </c>
      <c r="C22" s="22" t="s">
        <v>342</v>
      </c>
      <c r="D22" s="22" t="s">
        <v>346</v>
      </c>
      <c r="E22" s="22" t="s">
        <v>344</v>
      </c>
      <c r="F22" s="23">
        <v>2</v>
      </c>
      <c r="G22" s="23">
        <v>0</v>
      </c>
      <c r="H22" s="23">
        <v>0</v>
      </c>
      <c r="I22" s="23">
        <f t="shared" si="0"/>
        <v>0</v>
      </c>
      <c r="J22" s="22" t="s">
        <v>21</v>
      </c>
      <c r="K22" s="22" t="s">
        <v>21</v>
      </c>
      <c r="L22" s="22" t="s">
        <v>293</v>
      </c>
      <c r="M22" s="22" t="s">
        <v>345</v>
      </c>
      <c r="N22" s="22"/>
      <c r="O22" s="22"/>
      <c r="P22" s="22"/>
      <c r="Q22" s="22">
        <v>1</v>
      </c>
    </row>
    <row r="23" spans="1:17" x14ac:dyDescent="0.25">
      <c r="A23" s="20"/>
      <c r="B23" s="20" t="s">
        <v>17</v>
      </c>
      <c r="C23" s="20" t="s">
        <v>347</v>
      </c>
      <c r="D23" s="20" t="s">
        <v>348</v>
      </c>
      <c r="E23" s="20" t="s">
        <v>349</v>
      </c>
      <c r="F23" s="21">
        <v>2</v>
      </c>
      <c r="G23" s="21">
        <v>1150</v>
      </c>
      <c r="H23" s="21">
        <v>30</v>
      </c>
      <c r="I23" s="29">
        <f t="shared" si="0"/>
        <v>1120</v>
      </c>
      <c r="J23" s="20" t="s">
        <v>21</v>
      </c>
      <c r="K23" s="20" t="s">
        <v>21</v>
      </c>
      <c r="L23" s="20" t="s">
        <v>293</v>
      </c>
      <c r="M23" s="20"/>
      <c r="N23" s="20"/>
      <c r="O23" s="20"/>
      <c r="P23" s="20"/>
      <c r="Q23" s="20">
        <v>1</v>
      </c>
    </row>
    <row r="24" spans="1:17" x14ac:dyDescent="0.25">
      <c r="A24" s="20"/>
      <c r="B24" s="20" t="s">
        <v>17</v>
      </c>
      <c r="C24" s="20" t="s">
        <v>350</v>
      </c>
      <c r="D24" s="20" t="s">
        <v>351</v>
      </c>
      <c r="E24" s="20" t="s">
        <v>352</v>
      </c>
      <c r="F24" s="20" t="s">
        <v>85</v>
      </c>
      <c r="G24" s="21">
        <v>820</v>
      </c>
      <c r="H24" s="21">
        <v>20</v>
      </c>
      <c r="I24" s="29">
        <f t="shared" si="0"/>
        <v>800</v>
      </c>
      <c r="J24" s="20" t="s">
        <v>21</v>
      </c>
      <c r="K24" s="20" t="s">
        <v>21</v>
      </c>
      <c r="L24" s="20" t="s">
        <v>293</v>
      </c>
      <c r="M24" s="20"/>
      <c r="N24" s="20"/>
      <c r="O24" s="20"/>
      <c r="P24" s="20"/>
      <c r="Q24" s="20">
        <v>1</v>
      </c>
    </row>
    <row r="25" spans="1:17" x14ac:dyDescent="0.25">
      <c r="A25" s="20"/>
      <c r="B25" s="20" t="s">
        <v>17</v>
      </c>
      <c r="C25" s="20" t="s">
        <v>353</v>
      </c>
      <c r="D25" s="20" t="s">
        <v>354</v>
      </c>
      <c r="E25" s="20" t="s">
        <v>355</v>
      </c>
      <c r="F25" s="21">
        <v>2</v>
      </c>
      <c r="G25" s="21">
        <v>2120</v>
      </c>
      <c r="H25" s="21">
        <v>35</v>
      </c>
      <c r="I25" s="29">
        <f t="shared" si="0"/>
        <v>2085</v>
      </c>
      <c r="J25" s="20" t="s">
        <v>21</v>
      </c>
      <c r="K25" s="20" t="s">
        <v>21</v>
      </c>
      <c r="L25" s="20" t="s">
        <v>293</v>
      </c>
      <c r="M25" s="25" t="s">
        <v>167</v>
      </c>
      <c r="N25" s="20"/>
      <c r="O25" s="20"/>
      <c r="P25" s="20"/>
      <c r="Q25" s="20">
        <v>1</v>
      </c>
    </row>
    <row r="26" spans="1:17" x14ac:dyDescent="0.25">
      <c r="A26" s="20"/>
      <c r="B26" s="20" t="s">
        <v>17</v>
      </c>
      <c r="C26" s="20" t="s">
        <v>356</v>
      </c>
      <c r="D26" s="20" t="s">
        <v>357</v>
      </c>
      <c r="E26" s="20" t="s">
        <v>358</v>
      </c>
      <c r="F26" s="21">
        <v>12</v>
      </c>
      <c r="G26" s="21">
        <v>0</v>
      </c>
      <c r="H26" s="21">
        <v>30</v>
      </c>
      <c r="I26" s="29">
        <f t="shared" si="0"/>
        <v>-30</v>
      </c>
      <c r="J26" s="20" t="s">
        <v>21</v>
      </c>
      <c r="K26" s="20" t="s">
        <v>21</v>
      </c>
      <c r="L26" s="20" t="s">
        <v>293</v>
      </c>
      <c r="M26" s="20"/>
      <c r="N26" s="20"/>
      <c r="O26" s="20"/>
      <c r="P26" s="20"/>
      <c r="Q26" s="20">
        <v>1</v>
      </c>
    </row>
    <row r="27" spans="1:17" s="24" customFormat="1" x14ac:dyDescent="0.25">
      <c r="A27" s="22"/>
      <c r="B27" s="22" t="s">
        <v>17</v>
      </c>
      <c r="C27" s="22" t="s">
        <v>359</v>
      </c>
      <c r="D27" s="22" t="s">
        <v>360</v>
      </c>
      <c r="E27" s="22" t="s">
        <v>361</v>
      </c>
      <c r="F27" s="22" t="s">
        <v>85</v>
      </c>
      <c r="G27" s="23">
        <v>0</v>
      </c>
      <c r="H27" s="23">
        <v>20</v>
      </c>
      <c r="I27" s="23">
        <f t="shared" si="0"/>
        <v>-20</v>
      </c>
      <c r="J27" s="22" t="s">
        <v>21</v>
      </c>
      <c r="K27" s="22" t="s">
        <v>21</v>
      </c>
      <c r="L27" s="22" t="s">
        <v>293</v>
      </c>
      <c r="M27" s="22" t="s">
        <v>126</v>
      </c>
      <c r="N27" s="22"/>
      <c r="O27" s="22"/>
      <c r="P27" s="22"/>
      <c r="Q27" s="22">
        <v>1</v>
      </c>
    </row>
    <row r="28" spans="1:17" x14ac:dyDescent="0.25">
      <c r="A28" s="20"/>
      <c r="B28" s="20" t="s">
        <v>17</v>
      </c>
      <c r="C28" s="20" t="s">
        <v>362</v>
      </c>
      <c r="D28" s="20" t="s">
        <v>363</v>
      </c>
      <c r="E28" s="20" t="s">
        <v>364</v>
      </c>
      <c r="F28" s="21">
        <v>12</v>
      </c>
      <c r="G28" s="21">
        <v>0</v>
      </c>
      <c r="H28" s="21">
        <v>30</v>
      </c>
      <c r="I28" s="29">
        <f t="shared" si="0"/>
        <v>-30</v>
      </c>
      <c r="J28" s="20" t="s">
        <v>21</v>
      </c>
      <c r="K28" s="20" t="s">
        <v>21</v>
      </c>
      <c r="L28" s="20" t="s">
        <v>293</v>
      </c>
      <c r="M28" s="20"/>
      <c r="N28" s="20"/>
      <c r="O28" s="20"/>
      <c r="P28" s="20"/>
      <c r="Q28" s="20">
        <v>1</v>
      </c>
    </row>
    <row r="29" spans="1:17" x14ac:dyDescent="0.25">
      <c r="A29" s="20"/>
      <c r="B29" s="20" t="s">
        <v>17</v>
      </c>
      <c r="C29" s="20" t="s">
        <v>365</v>
      </c>
      <c r="D29" s="20" t="s">
        <v>366</v>
      </c>
      <c r="E29" s="20" t="s">
        <v>367</v>
      </c>
      <c r="F29" s="20" t="s">
        <v>77</v>
      </c>
      <c r="G29" s="21">
        <v>1165</v>
      </c>
      <c r="H29" s="21">
        <v>25</v>
      </c>
      <c r="I29" s="29">
        <f t="shared" si="0"/>
        <v>1140</v>
      </c>
      <c r="J29" s="20" t="s">
        <v>21</v>
      </c>
      <c r="K29" s="20" t="s">
        <v>21</v>
      </c>
      <c r="L29" s="20" t="s">
        <v>293</v>
      </c>
      <c r="M29" s="20"/>
      <c r="N29" s="20"/>
      <c r="O29" s="20"/>
      <c r="P29" s="20"/>
      <c r="Q29" s="20">
        <v>1</v>
      </c>
    </row>
    <row r="30" spans="1:17" x14ac:dyDescent="0.25">
      <c r="A30" s="20" t="s">
        <v>16</v>
      </c>
      <c r="B30" s="20" t="s">
        <v>17</v>
      </c>
      <c r="C30" s="20" t="s">
        <v>368</v>
      </c>
      <c r="D30" s="20"/>
      <c r="E30" s="20" t="s">
        <v>369</v>
      </c>
      <c r="F30" s="20" t="s">
        <v>77</v>
      </c>
      <c r="G30" s="21">
        <v>30</v>
      </c>
      <c r="H30" s="21">
        <v>30</v>
      </c>
      <c r="I30" s="29">
        <f t="shared" si="0"/>
        <v>0</v>
      </c>
      <c r="J30" s="20" t="s">
        <v>21</v>
      </c>
      <c r="K30" s="20" t="s">
        <v>21</v>
      </c>
      <c r="L30" s="20" t="s">
        <v>293</v>
      </c>
      <c r="M30" s="20"/>
      <c r="N30" s="20"/>
      <c r="O30" s="20"/>
      <c r="P30" s="20"/>
      <c r="Q30" s="20">
        <v>1</v>
      </c>
    </row>
    <row r="31" spans="1:17" x14ac:dyDescent="0.25">
      <c r="A31" s="20" t="s">
        <v>16</v>
      </c>
      <c r="B31" s="20" t="s">
        <v>17</v>
      </c>
      <c r="C31" s="20" t="s">
        <v>370</v>
      </c>
      <c r="D31" s="20"/>
      <c r="E31" s="20" t="s">
        <v>371</v>
      </c>
      <c r="F31" s="20" t="s">
        <v>77</v>
      </c>
      <c r="G31" s="21">
        <v>30</v>
      </c>
      <c r="H31" s="21">
        <v>30</v>
      </c>
      <c r="I31" s="29">
        <f t="shared" si="0"/>
        <v>0</v>
      </c>
      <c r="J31" s="20" t="s">
        <v>21</v>
      </c>
      <c r="K31" s="20" t="s">
        <v>21</v>
      </c>
      <c r="L31" s="20" t="s">
        <v>293</v>
      </c>
      <c r="M31" s="20"/>
      <c r="N31" s="20"/>
      <c r="O31" s="20"/>
      <c r="P31" s="20"/>
      <c r="Q31" s="20">
        <v>1</v>
      </c>
    </row>
    <row r="32" spans="1:17" x14ac:dyDescent="0.25">
      <c r="A32" s="20" t="s">
        <v>16</v>
      </c>
      <c r="B32" s="20" t="s">
        <v>17</v>
      </c>
      <c r="C32" s="20" t="s">
        <v>372</v>
      </c>
      <c r="D32" s="20"/>
      <c r="E32" s="20" t="s">
        <v>373</v>
      </c>
      <c r="F32" s="20" t="s">
        <v>95</v>
      </c>
      <c r="G32" s="21">
        <v>40</v>
      </c>
      <c r="H32" s="21">
        <v>40</v>
      </c>
      <c r="I32" s="29">
        <f t="shared" si="0"/>
        <v>0</v>
      </c>
      <c r="J32" s="20" t="s">
        <v>21</v>
      </c>
      <c r="K32" s="20" t="s">
        <v>21</v>
      </c>
      <c r="L32" s="20" t="s">
        <v>293</v>
      </c>
      <c r="M32" s="20"/>
      <c r="N32" s="20"/>
      <c r="O32" s="20"/>
      <c r="P32" s="20"/>
      <c r="Q32" s="20">
        <v>1</v>
      </c>
    </row>
    <row r="33" spans="1:17" x14ac:dyDescent="0.25">
      <c r="A33" s="20"/>
      <c r="B33" s="20" t="s">
        <v>17</v>
      </c>
      <c r="C33" s="20" t="s">
        <v>374</v>
      </c>
      <c r="D33" s="20" t="s">
        <v>375</v>
      </c>
      <c r="E33" s="20" t="s">
        <v>376</v>
      </c>
      <c r="F33" s="21">
        <v>3</v>
      </c>
      <c r="G33" s="21">
        <v>775</v>
      </c>
      <c r="H33" s="21">
        <v>25</v>
      </c>
      <c r="I33" s="29">
        <f t="shared" si="0"/>
        <v>750</v>
      </c>
      <c r="J33" s="20" t="s">
        <v>135</v>
      </c>
      <c r="K33" s="20" t="s">
        <v>21</v>
      </c>
      <c r="L33" s="20" t="s">
        <v>293</v>
      </c>
      <c r="M33" s="25" t="s">
        <v>377</v>
      </c>
      <c r="N33" s="20"/>
      <c r="O33" s="20"/>
      <c r="P33" s="20"/>
      <c r="Q33" s="20">
        <v>1</v>
      </c>
    </row>
    <row r="34" spans="1:17" x14ac:dyDescent="0.25">
      <c r="A34" s="20"/>
      <c r="B34" s="20" t="s">
        <v>17</v>
      </c>
      <c r="C34" s="20" t="s">
        <v>374</v>
      </c>
      <c r="D34" s="20" t="s">
        <v>378</v>
      </c>
      <c r="E34" s="20" t="s">
        <v>376</v>
      </c>
      <c r="F34" s="21">
        <v>3</v>
      </c>
      <c r="G34" s="21">
        <v>790</v>
      </c>
      <c r="H34" s="21">
        <v>0</v>
      </c>
      <c r="I34" s="29">
        <f t="shared" si="0"/>
        <v>790</v>
      </c>
      <c r="J34" s="20" t="s">
        <v>135</v>
      </c>
      <c r="K34" s="20" t="s">
        <v>21</v>
      </c>
      <c r="L34" s="20" t="s">
        <v>293</v>
      </c>
      <c r="M34" s="25" t="s">
        <v>377</v>
      </c>
      <c r="N34" s="20"/>
      <c r="O34" s="20"/>
      <c r="P34" s="20"/>
      <c r="Q34" s="20">
        <v>1</v>
      </c>
    </row>
    <row r="35" spans="1:17" x14ac:dyDescent="0.25">
      <c r="A35" s="20"/>
      <c r="B35" s="20" t="s">
        <v>17</v>
      </c>
      <c r="C35" s="20" t="s">
        <v>379</v>
      </c>
      <c r="D35" s="20" t="s">
        <v>380</v>
      </c>
      <c r="E35" s="20" t="s">
        <v>381</v>
      </c>
      <c r="F35" s="21">
        <v>4</v>
      </c>
      <c r="G35" s="21">
        <v>535</v>
      </c>
      <c r="H35" s="21">
        <v>25</v>
      </c>
      <c r="I35" s="29">
        <f t="shared" ref="I35:I66" si="1">G35-H35</f>
        <v>510</v>
      </c>
      <c r="J35" s="20" t="s">
        <v>135</v>
      </c>
      <c r="K35" s="20" t="s">
        <v>21</v>
      </c>
      <c r="L35" s="20" t="s">
        <v>293</v>
      </c>
      <c r="M35" s="20"/>
      <c r="N35" s="20"/>
      <c r="O35" s="20"/>
      <c r="P35" s="20"/>
      <c r="Q35" s="20">
        <v>1</v>
      </c>
    </row>
    <row r="36" spans="1:17" x14ac:dyDescent="0.25">
      <c r="A36" s="20"/>
      <c r="B36" s="20" t="s">
        <v>17</v>
      </c>
      <c r="C36" s="20" t="s">
        <v>382</v>
      </c>
      <c r="D36" s="20" t="s">
        <v>383</v>
      </c>
      <c r="E36" s="20" t="s">
        <v>384</v>
      </c>
      <c r="F36" s="21">
        <v>7</v>
      </c>
      <c r="G36" s="21">
        <v>820</v>
      </c>
      <c r="H36" s="21">
        <v>30</v>
      </c>
      <c r="I36" s="29">
        <f t="shared" si="1"/>
        <v>790</v>
      </c>
      <c r="J36" s="20" t="s">
        <v>135</v>
      </c>
      <c r="K36" s="20" t="s">
        <v>21</v>
      </c>
      <c r="L36" s="20" t="s">
        <v>293</v>
      </c>
      <c r="M36" s="20"/>
      <c r="N36" s="20"/>
      <c r="O36" s="20"/>
      <c r="P36" s="20"/>
      <c r="Q36" s="20">
        <v>1</v>
      </c>
    </row>
    <row r="37" spans="1:17" x14ac:dyDescent="0.25">
      <c r="A37" s="20"/>
      <c r="B37" s="20" t="s">
        <v>17</v>
      </c>
      <c r="C37" s="20" t="s">
        <v>385</v>
      </c>
      <c r="D37" s="20" t="s">
        <v>386</v>
      </c>
      <c r="E37" s="20" t="s">
        <v>387</v>
      </c>
      <c r="F37" s="21">
        <v>10</v>
      </c>
      <c r="G37" s="21">
        <v>2620</v>
      </c>
      <c r="H37" s="21">
        <v>30</v>
      </c>
      <c r="I37" s="29">
        <f t="shared" si="1"/>
        <v>2590</v>
      </c>
      <c r="J37" s="20" t="s">
        <v>135</v>
      </c>
      <c r="K37" s="20" t="s">
        <v>21</v>
      </c>
      <c r="L37" s="20" t="s">
        <v>293</v>
      </c>
      <c r="M37" s="25" t="s">
        <v>167</v>
      </c>
      <c r="N37" s="20"/>
      <c r="O37" s="20"/>
      <c r="P37" s="20"/>
      <c r="Q37" s="20">
        <v>1</v>
      </c>
    </row>
    <row r="38" spans="1:17" x14ac:dyDescent="0.25">
      <c r="A38" s="20"/>
      <c r="B38" s="20" t="s">
        <v>17</v>
      </c>
      <c r="C38" s="20" t="s">
        <v>388</v>
      </c>
      <c r="D38" s="20" t="s">
        <v>389</v>
      </c>
      <c r="E38" s="20" t="s">
        <v>390</v>
      </c>
      <c r="F38" s="20" t="s">
        <v>139</v>
      </c>
      <c r="G38" s="21">
        <v>705</v>
      </c>
      <c r="H38" s="21">
        <v>35</v>
      </c>
      <c r="I38" s="29">
        <f t="shared" si="1"/>
        <v>670</v>
      </c>
      <c r="J38" s="20" t="s">
        <v>135</v>
      </c>
      <c r="K38" s="20" t="s">
        <v>21</v>
      </c>
      <c r="L38" s="20" t="s">
        <v>293</v>
      </c>
      <c r="M38" s="20"/>
      <c r="N38" s="20"/>
      <c r="O38" s="20"/>
      <c r="P38" s="20"/>
      <c r="Q38" s="20">
        <v>1</v>
      </c>
    </row>
    <row r="39" spans="1:17" x14ac:dyDescent="0.25">
      <c r="A39" s="20"/>
      <c r="B39" s="20" t="s">
        <v>17</v>
      </c>
      <c r="C39" s="20" t="s">
        <v>391</v>
      </c>
      <c r="D39" s="20" t="s">
        <v>392</v>
      </c>
      <c r="E39" s="20" t="s">
        <v>393</v>
      </c>
      <c r="F39" s="20" t="s">
        <v>95</v>
      </c>
      <c r="G39" s="21">
        <v>2860</v>
      </c>
      <c r="H39" s="21">
        <v>30</v>
      </c>
      <c r="I39" s="29">
        <f t="shared" si="1"/>
        <v>2830</v>
      </c>
      <c r="J39" s="20" t="s">
        <v>135</v>
      </c>
      <c r="K39" s="20" t="s">
        <v>21</v>
      </c>
      <c r="L39" s="20" t="s">
        <v>293</v>
      </c>
      <c r="M39" s="25" t="s">
        <v>167</v>
      </c>
      <c r="N39" s="20"/>
      <c r="O39" s="20"/>
      <c r="P39" s="20"/>
      <c r="Q39" s="20">
        <v>1</v>
      </c>
    </row>
    <row r="40" spans="1:17" x14ac:dyDescent="0.25">
      <c r="A40" s="20"/>
      <c r="B40" s="20" t="s">
        <v>17</v>
      </c>
      <c r="C40" s="20" t="s">
        <v>394</v>
      </c>
      <c r="D40" s="20" t="s">
        <v>395</v>
      </c>
      <c r="E40" s="20" t="s">
        <v>396</v>
      </c>
      <c r="F40" s="21">
        <v>4</v>
      </c>
      <c r="G40" s="21">
        <v>1165</v>
      </c>
      <c r="H40" s="21">
        <v>25</v>
      </c>
      <c r="I40" s="29">
        <f t="shared" si="1"/>
        <v>1140</v>
      </c>
      <c r="J40" s="20" t="s">
        <v>135</v>
      </c>
      <c r="K40" s="20" t="s">
        <v>21</v>
      </c>
      <c r="L40" s="20" t="s">
        <v>293</v>
      </c>
      <c r="M40" s="20"/>
      <c r="N40" s="20"/>
      <c r="O40" s="20"/>
      <c r="P40" s="20"/>
      <c r="Q40" s="20">
        <v>1</v>
      </c>
    </row>
    <row r="41" spans="1:17" x14ac:dyDescent="0.25">
      <c r="A41" s="20"/>
      <c r="B41" s="20" t="s">
        <v>17</v>
      </c>
      <c r="C41" s="20" t="s">
        <v>397</v>
      </c>
      <c r="D41" s="20" t="s">
        <v>398</v>
      </c>
      <c r="E41" s="20" t="s">
        <v>399</v>
      </c>
      <c r="F41" s="21">
        <v>7</v>
      </c>
      <c r="G41" s="21">
        <v>1350</v>
      </c>
      <c r="H41" s="21">
        <v>30</v>
      </c>
      <c r="I41" s="29">
        <f t="shared" si="1"/>
        <v>1320</v>
      </c>
      <c r="J41" s="20" t="s">
        <v>135</v>
      </c>
      <c r="K41" s="20" t="s">
        <v>21</v>
      </c>
      <c r="L41" s="20" t="s">
        <v>293</v>
      </c>
      <c r="M41" s="20"/>
      <c r="N41" s="20"/>
      <c r="O41" s="20"/>
      <c r="P41" s="20"/>
      <c r="Q41" s="20">
        <v>1</v>
      </c>
    </row>
    <row r="42" spans="1:17" x14ac:dyDescent="0.25">
      <c r="A42" s="20"/>
      <c r="B42" s="20" t="s">
        <v>17</v>
      </c>
      <c r="C42" s="20" t="s">
        <v>400</v>
      </c>
      <c r="D42" s="20" t="s">
        <v>401</v>
      </c>
      <c r="E42" s="20" t="s">
        <v>402</v>
      </c>
      <c r="F42" s="20" t="s">
        <v>134</v>
      </c>
      <c r="G42" s="21">
        <v>675</v>
      </c>
      <c r="H42" s="21">
        <v>35</v>
      </c>
      <c r="I42" s="29">
        <f t="shared" si="1"/>
        <v>640</v>
      </c>
      <c r="J42" s="20" t="s">
        <v>135</v>
      </c>
      <c r="K42" s="20" t="s">
        <v>21</v>
      </c>
      <c r="L42" s="20" t="s">
        <v>293</v>
      </c>
      <c r="M42" s="20"/>
      <c r="N42" s="20"/>
      <c r="O42" s="20"/>
      <c r="P42" s="20"/>
      <c r="Q42" s="20">
        <v>1</v>
      </c>
    </row>
    <row r="43" spans="1:17" x14ac:dyDescent="0.25">
      <c r="A43" s="20"/>
      <c r="B43" s="20" t="s">
        <v>17</v>
      </c>
      <c r="C43" s="20" t="s">
        <v>403</v>
      </c>
      <c r="D43" s="20" t="s">
        <v>404</v>
      </c>
      <c r="E43" s="20" t="s">
        <v>405</v>
      </c>
      <c r="F43" s="20" t="s">
        <v>406</v>
      </c>
      <c r="G43" s="21">
        <v>660</v>
      </c>
      <c r="H43" s="21">
        <v>20</v>
      </c>
      <c r="I43" s="29">
        <f t="shared" si="1"/>
        <v>640</v>
      </c>
      <c r="J43" s="20" t="s">
        <v>135</v>
      </c>
      <c r="K43" s="20" t="s">
        <v>21</v>
      </c>
      <c r="L43" s="20" t="s">
        <v>293</v>
      </c>
      <c r="M43" s="20"/>
      <c r="N43" s="20"/>
      <c r="O43" s="20"/>
      <c r="P43" s="20"/>
      <c r="Q43" s="20">
        <v>1</v>
      </c>
    </row>
    <row r="44" spans="1:17" x14ac:dyDescent="0.25">
      <c r="A44" s="20"/>
      <c r="B44" s="20" t="s">
        <v>17</v>
      </c>
      <c r="C44" s="20" t="s">
        <v>407</v>
      </c>
      <c r="D44" s="20" t="s">
        <v>408</v>
      </c>
      <c r="E44" s="20" t="s">
        <v>409</v>
      </c>
      <c r="F44" s="21">
        <v>8</v>
      </c>
      <c r="G44" s="21">
        <v>1430</v>
      </c>
      <c r="H44" s="21">
        <v>30</v>
      </c>
      <c r="I44" s="29">
        <f t="shared" si="1"/>
        <v>1400</v>
      </c>
      <c r="J44" s="20" t="s">
        <v>135</v>
      </c>
      <c r="K44" s="20" t="s">
        <v>21</v>
      </c>
      <c r="L44" s="20" t="s">
        <v>293</v>
      </c>
      <c r="M44" s="20"/>
      <c r="N44" s="20"/>
      <c r="O44" s="20"/>
      <c r="P44" s="20"/>
      <c r="Q44" s="20">
        <v>1</v>
      </c>
    </row>
    <row r="45" spans="1:17" x14ac:dyDescent="0.25">
      <c r="A45" s="20"/>
      <c r="B45" s="20" t="s">
        <v>17</v>
      </c>
      <c r="C45" s="20" t="s">
        <v>131</v>
      </c>
      <c r="D45" s="20" t="s">
        <v>410</v>
      </c>
      <c r="E45" s="20" t="s">
        <v>411</v>
      </c>
      <c r="F45" s="20" t="s">
        <v>134</v>
      </c>
      <c r="G45" s="21">
        <v>855</v>
      </c>
      <c r="H45" s="21">
        <v>35</v>
      </c>
      <c r="I45" s="29">
        <f t="shared" si="1"/>
        <v>820</v>
      </c>
      <c r="J45" s="20" t="s">
        <v>135</v>
      </c>
      <c r="K45" s="20" t="s">
        <v>21</v>
      </c>
      <c r="L45" s="20" t="s">
        <v>293</v>
      </c>
      <c r="M45" s="20"/>
      <c r="N45" s="20"/>
      <c r="O45" s="20"/>
      <c r="P45" s="20"/>
      <c r="Q45" s="20">
        <v>1</v>
      </c>
    </row>
    <row r="46" spans="1:17" x14ac:dyDescent="0.25">
      <c r="A46" s="20"/>
      <c r="B46" s="20" t="s">
        <v>17</v>
      </c>
      <c r="C46" s="20" t="s">
        <v>412</v>
      </c>
      <c r="D46" s="20" t="s">
        <v>413</v>
      </c>
      <c r="E46" s="20" t="s">
        <v>414</v>
      </c>
      <c r="F46" s="21">
        <v>5</v>
      </c>
      <c r="G46" s="21">
        <v>2120</v>
      </c>
      <c r="H46" s="21">
        <v>30</v>
      </c>
      <c r="I46" s="29">
        <f t="shared" si="1"/>
        <v>2090</v>
      </c>
      <c r="J46" s="20" t="s">
        <v>135</v>
      </c>
      <c r="K46" s="20" t="s">
        <v>21</v>
      </c>
      <c r="L46" s="20" t="s">
        <v>293</v>
      </c>
      <c r="M46" s="25" t="s">
        <v>167</v>
      </c>
      <c r="N46" s="20"/>
      <c r="O46" s="20"/>
      <c r="P46" s="20"/>
      <c r="Q46" s="20">
        <v>1</v>
      </c>
    </row>
    <row r="47" spans="1:17" x14ac:dyDescent="0.25">
      <c r="A47" s="20"/>
      <c r="B47" s="20" t="s">
        <v>17</v>
      </c>
      <c r="C47" s="20" t="s">
        <v>415</v>
      </c>
      <c r="D47" s="20" t="s">
        <v>416</v>
      </c>
      <c r="E47" s="20" t="s">
        <v>417</v>
      </c>
      <c r="F47" s="21">
        <v>7</v>
      </c>
      <c r="G47" s="21">
        <v>0</v>
      </c>
      <c r="H47" s="21">
        <v>30</v>
      </c>
      <c r="I47" s="29">
        <f t="shared" si="1"/>
        <v>-30</v>
      </c>
      <c r="J47" s="20" t="s">
        <v>135</v>
      </c>
      <c r="K47" s="20" t="s">
        <v>21</v>
      </c>
      <c r="L47" s="20" t="s">
        <v>293</v>
      </c>
      <c r="M47" s="20"/>
      <c r="N47" s="20"/>
      <c r="O47" s="20"/>
      <c r="P47" s="20"/>
      <c r="Q47" s="20">
        <v>1</v>
      </c>
    </row>
    <row r="48" spans="1:17" x14ac:dyDescent="0.25">
      <c r="A48" s="20"/>
      <c r="B48" s="20" t="s">
        <v>17</v>
      </c>
      <c r="C48" s="20" t="s">
        <v>418</v>
      </c>
      <c r="D48" s="20" t="s">
        <v>419</v>
      </c>
      <c r="E48" s="20" t="s">
        <v>420</v>
      </c>
      <c r="F48" s="21">
        <v>1</v>
      </c>
      <c r="G48" s="21">
        <v>535</v>
      </c>
      <c r="H48" s="21">
        <v>25</v>
      </c>
      <c r="I48" s="29">
        <f t="shared" si="1"/>
        <v>510</v>
      </c>
      <c r="J48" s="20" t="s">
        <v>135</v>
      </c>
      <c r="K48" s="20" t="s">
        <v>21</v>
      </c>
      <c r="L48" s="20" t="s">
        <v>293</v>
      </c>
      <c r="M48" s="20"/>
      <c r="N48" s="20"/>
      <c r="O48" s="20"/>
      <c r="P48" s="20"/>
      <c r="Q48" s="20">
        <v>1</v>
      </c>
    </row>
    <row r="49" spans="1:17" x14ac:dyDescent="0.25">
      <c r="A49" s="20"/>
      <c r="B49" s="20" t="s">
        <v>17</v>
      </c>
      <c r="C49" s="20" t="s">
        <v>421</v>
      </c>
      <c r="D49" s="20" t="s">
        <v>422</v>
      </c>
      <c r="E49" s="20" t="s">
        <v>423</v>
      </c>
      <c r="F49" s="21">
        <v>1</v>
      </c>
      <c r="G49" s="21">
        <v>-180</v>
      </c>
      <c r="H49" s="21">
        <v>25</v>
      </c>
      <c r="I49" s="29">
        <f t="shared" si="1"/>
        <v>-205</v>
      </c>
      <c r="J49" s="20" t="s">
        <v>135</v>
      </c>
      <c r="K49" s="20" t="s">
        <v>21</v>
      </c>
      <c r="L49" s="20" t="s">
        <v>293</v>
      </c>
      <c r="M49" s="25" t="s">
        <v>424</v>
      </c>
      <c r="N49" s="20"/>
      <c r="O49" s="20"/>
      <c r="P49" s="20"/>
      <c r="Q49" s="20">
        <v>1</v>
      </c>
    </row>
    <row r="50" spans="1:17" x14ac:dyDescent="0.25">
      <c r="A50" s="20"/>
      <c r="B50" s="20" t="s">
        <v>17</v>
      </c>
      <c r="C50" s="20" t="s">
        <v>425</v>
      </c>
      <c r="D50" s="20" t="s">
        <v>426</v>
      </c>
      <c r="E50" s="20" t="s">
        <v>427</v>
      </c>
      <c r="F50" s="21">
        <v>4</v>
      </c>
      <c r="G50" s="21">
        <v>1355</v>
      </c>
      <c r="H50" s="21">
        <v>25</v>
      </c>
      <c r="I50" s="29">
        <f t="shared" si="1"/>
        <v>1330</v>
      </c>
      <c r="J50" s="20" t="s">
        <v>135</v>
      </c>
      <c r="K50" s="20" t="s">
        <v>21</v>
      </c>
      <c r="L50" s="20" t="s">
        <v>293</v>
      </c>
      <c r="M50" s="20"/>
      <c r="N50" s="20"/>
      <c r="O50" s="20"/>
      <c r="P50" s="20"/>
      <c r="Q50" s="20">
        <v>1</v>
      </c>
    </row>
    <row r="51" spans="1:17" x14ac:dyDescent="0.25">
      <c r="A51" s="20"/>
      <c r="B51" s="20" t="s">
        <v>17</v>
      </c>
      <c r="C51" s="20" t="s">
        <v>428</v>
      </c>
      <c r="D51" s="20" t="s">
        <v>429</v>
      </c>
      <c r="E51" s="20" t="s">
        <v>430</v>
      </c>
      <c r="F51" s="21">
        <v>7</v>
      </c>
      <c r="G51" s="21">
        <v>1890</v>
      </c>
      <c r="H51" s="21">
        <v>30</v>
      </c>
      <c r="I51" s="29">
        <f t="shared" si="1"/>
        <v>1860</v>
      </c>
      <c r="J51" s="20" t="s">
        <v>135</v>
      </c>
      <c r="K51" s="20" t="s">
        <v>21</v>
      </c>
      <c r="L51" s="20" t="s">
        <v>293</v>
      </c>
      <c r="M51" s="20"/>
      <c r="N51" s="20"/>
      <c r="O51" s="20"/>
      <c r="P51" s="20"/>
      <c r="Q51" s="20">
        <v>1</v>
      </c>
    </row>
    <row r="52" spans="1:17" s="24" customFormat="1" x14ac:dyDescent="0.25">
      <c r="A52" s="22"/>
      <c r="B52" s="22" t="s">
        <v>17</v>
      </c>
      <c r="C52" s="22" t="s">
        <v>171</v>
      </c>
      <c r="D52" s="22" t="s">
        <v>431</v>
      </c>
      <c r="E52" s="22" t="s">
        <v>173</v>
      </c>
      <c r="F52" s="23">
        <v>7</v>
      </c>
      <c r="G52" s="23">
        <v>30</v>
      </c>
      <c r="H52" s="23">
        <v>30</v>
      </c>
      <c r="I52" s="23">
        <f t="shared" si="1"/>
        <v>0</v>
      </c>
      <c r="J52" s="22" t="s">
        <v>135</v>
      </c>
      <c r="K52" s="22" t="s">
        <v>21</v>
      </c>
      <c r="L52" s="22" t="s">
        <v>293</v>
      </c>
      <c r="M52" s="22" t="s">
        <v>126</v>
      </c>
      <c r="N52" s="22"/>
      <c r="O52" s="22"/>
      <c r="P52" s="22"/>
      <c r="Q52" s="22">
        <v>1</v>
      </c>
    </row>
    <row r="53" spans="1:17" x14ac:dyDescent="0.25">
      <c r="A53" s="20"/>
      <c r="B53" s="20" t="s">
        <v>17</v>
      </c>
      <c r="C53" s="20" t="s">
        <v>432</v>
      </c>
      <c r="D53" s="20" t="s">
        <v>433</v>
      </c>
      <c r="E53" s="20" t="s">
        <v>434</v>
      </c>
      <c r="F53" s="21">
        <v>10</v>
      </c>
      <c r="G53" s="21">
        <v>25</v>
      </c>
      <c r="H53" s="21">
        <v>25</v>
      </c>
      <c r="I53" s="29">
        <f t="shared" si="1"/>
        <v>0</v>
      </c>
      <c r="J53" s="20" t="s">
        <v>135</v>
      </c>
      <c r="K53" s="20" t="s">
        <v>21</v>
      </c>
      <c r="L53" s="20" t="s">
        <v>293</v>
      </c>
      <c r="M53" s="20"/>
      <c r="N53" s="20"/>
      <c r="O53" s="20"/>
      <c r="P53" s="20"/>
      <c r="Q53" s="20">
        <v>1</v>
      </c>
    </row>
    <row r="54" spans="1:17" x14ac:dyDescent="0.25">
      <c r="A54" s="20" t="s">
        <v>16</v>
      </c>
      <c r="B54" s="20" t="s">
        <v>17</v>
      </c>
      <c r="C54" s="20" t="s">
        <v>435</v>
      </c>
      <c r="D54" s="20"/>
      <c r="E54" s="20" t="s">
        <v>436</v>
      </c>
      <c r="F54" s="20" t="s">
        <v>95</v>
      </c>
      <c r="G54" s="21">
        <v>750</v>
      </c>
      <c r="H54" s="21">
        <v>30</v>
      </c>
      <c r="I54" s="29">
        <f t="shared" si="1"/>
        <v>720</v>
      </c>
      <c r="J54" s="20" t="s">
        <v>135</v>
      </c>
      <c r="K54" s="20" t="s">
        <v>21</v>
      </c>
      <c r="L54" s="20" t="s">
        <v>293</v>
      </c>
      <c r="M54" s="20"/>
      <c r="N54" s="20"/>
      <c r="O54" s="20"/>
      <c r="P54" s="20"/>
      <c r="Q54" s="20">
        <v>1</v>
      </c>
    </row>
    <row r="55" spans="1:17" x14ac:dyDescent="0.25">
      <c r="A55" s="20" t="s">
        <v>16</v>
      </c>
      <c r="B55" s="20" t="s">
        <v>17</v>
      </c>
      <c r="C55" s="20" t="s">
        <v>437</v>
      </c>
      <c r="D55" s="20"/>
      <c r="E55" s="20" t="s">
        <v>438</v>
      </c>
      <c r="F55" s="21">
        <v>1</v>
      </c>
      <c r="G55" s="21">
        <v>0</v>
      </c>
      <c r="H55" s="21">
        <v>30</v>
      </c>
      <c r="I55" s="29">
        <f t="shared" si="1"/>
        <v>-30</v>
      </c>
      <c r="J55" s="20" t="s">
        <v>135</v>
      </c>
      <c r="K55" s="20" t="s">
        <v>21</v>
      </c>
      <c r="L55" s="20" t="s">
        <v>293</v>
      </c>
      <c r="M55" s="20"/>
      <c r="N55" s="20"/>
      <c r="O55" s="20"/>
      <c r="P55" s="20"/>
      <c r="Q55" s="20">
        <v>1</v>
      </c>
    </row>
    <row r="57" spans="1:17" x14ac:dyDescent="0.25">
      <c r="D57" s="6">
        <f>COUNTA(D3:D55)</f>
        <v>47</v>
      </c>
      <c r="G57" s="6">
        <f t="shared" ref="G57:Q57" si="2">SUBTOTAL(9,G3:G55)</f>
        <v>39405</v>
      </c>
      <c r="H57" s="6">
        <f t="shared" si="2"/>
        <v>1515</v>
      </c>
      <c r="I57" s="6">
        <f t="shared" si="2"/>
        <v>37890</v>
      </c>
      <c r="J57" s="6">
        <f t="shared" si="2"/>
        <v>0</v>
      </c>
      <c r="K57" s="6">
        <f t="shared" si="2"/>
        <v>0</v>
      </c>
      <c r="L57" s="6">
        <f t="shared" si="2"/>
        <v>0</v>
      </c>
      <c r="M57" s="6">
        <f t="shared" si="2"/>
        <v>0</v>
      </c>
      <c r="N57" s="6">
        <f t="shared" si="2"/>
        <v>0</v>
      </c>
      <c r="O57" s="6">
        <f t="shared" si="2"/>
        <v>0</v>
      </c>
      <c r="P57" s="6">
        <f t="shared" si="2"/>
        <v>0</v>
      </c>
      <c r="Q57" s="6">
        <f t="shared" si="2"/>
        <v>53</v>
      </c>
    </row>
    <row r="58" spans="1:17" x14ac:dyDescent="0.25">
      <c r="H58">
        <f>-9*17</f>
        <v>-153</v>
      </c>
    </row>
    <row r="59" spans="1:17" x14ac:dyDescent="0.25">
      <c r="A59" s="6" t="s">
        <v>17</v>
      </c>
      <c r="C59" s="5" t="s">
        <v>191</v>
      </c>
      <c r="D59" s="5"/>
      <c r="E59" s="9" t="s">
        <v>192</v>
      </c>
      <c r="H59">
        <f>-7*25</f>
        <v>-175</v>
      </c>
      <c r="K59" s="16" t="s">
        <v>135</v>
      </c>
      <c r="L59" s="16" t="s">
        <v>193</v>
      </c>
      <c r="M59" s="16" t="s">
        <v>192</v>
      </c>
      <c r="O59" s="9" t="s">
        <v>194</v>
      </c>
    </row>
    <row r="60" spans="1:17" x14ac:dyDescent="0.25">
      <c r="A60" t="s">
        <v>293</v>
      </c>
      <c r="B60" s="8" t="s">
        <v>195</v>
      </c>
      <c r="C60" s="4">
        <f>SUMIFS(I$3:I$55,B$3:B$55,A$59,L$3:L$55,A$60)</f>
        <v>37890</v>
      </c>
      <c r="D60" s="4"/>
      <c r="E60" s="8">
        <f>SUMIFS(Q$3:Q$55,B$3:B$55,A$59,L$3:L$55,A$60)</f>
        <v>53</v>
      </c>
      <c r="F60" t="s">
        <v>196</v>
      </c>
      <c r="H60">
        <f>-2*30</f>
        <v>-60</v>
      </c>
      <c r="K60" t="s">
        <v>197</v>
      </c>
      <c r="L60">
        <f>SUMIFS(G$3:G$55,J$3:J$55,K$59)</f>
        <v>21765</v>
      </c>
      <c r="M60">
        <f>SUMIFS(Q$3:Q$55,J$3:J$55,K$59)-INT(COUNTIFS(J$3:J$55,K$59,M$3:M$55,"*gộp*")/2)</f>
        <v>22</v>
      </c>
      <c r="O60" t="s">
        <v>135</v>
      </c>
      <c r="P60">
        <f>L65</f>
        <v>21245</v>
      </c>
    </row>
    <row r="61" spans="1:17" x14ac:dyDescent="0.25">
      <c r="B61" s="7" t="s">
        <v>199</v>
      </c>
      <c r="C61" s="3">
        <v>0</v>
      </c>
      <c r="D61" s="3"/>
      <c r="K61" t="s">
        <v>200</v>
      </c>
      <c r="L61">
        <f>-SUMIFS(H$3:H$55,J$3:J$55,K$59)+M61*5</f>
        <v>-520</v>
      </c>
      <c r="M61">
        <f>SUMIFS(Q$3:Q$55,J$3:J$55,K$59)-INT(COUNTIFS(J$3:J$55,K$59,M$3:M$55,"*gộp*")/2)</f>
        <v>22</v>
      </c>
      <c r="O61" t="s">
        <v>439</v>
      </c>
      <c r="P61">
        <f>L73</f>
        <v>11777</v>
      </c>
    </row>
    <row r="62" spans="1:17" x14ac:dyDescent="0.25">
      <c r="B62" s="7" t="s">
        <v>201</v>
      </c>
      <c r="C62" s="3">
        <f>-SUMIFS(I$3:I$55,B$3:B$55,A$59,P$3:P$55,"xx",N$3:N$55,"x")</f>
        <v>0</v>
      </c>
      <c r="D62" s="3"/>
      <c r="E62" s="7">
        <f>SUMIFS(Q$3:Q$55,B$3:B$55,A$59,P$3:P$55,"xx",N$3:N$55,"x")</f>
        <v>0</v>
      </c>
      <c r="K62" t="s">
        <v>202</v>
      </c>
      <c r="O62" t="s">
        <v>21</v>
      </c>
      <c r="P62">
        <f>L81</f>
        <v>5078</v>
      </c>
    </row>
    <row r="63" spans="1:17" x14ac:dyDescent="0.25">
      <c r="B63" s="9" t="s">
        <v>203</v>
      </c>
      <c r="C63" s="5">
        <f>SUBTOTAL(9,C60:C62)</f>
        <v>37890</v>
      </c>
      <c r="D63" s="5"/>
      <c r="E63">
        <f>E60</f>
        <v>53</v>
      </c>
      <c r="K63" s="7" t="s">
        <v>204</v>
      </c>
      <c r="O63" t="s">
        <v>207</v>
      </c>
      <c r="P63">
        <f>-C67</f>
        <v>-37860</v>
      </c>
    </row>
    <row r="64" spans="1:17" x14ac:dyDescent="0.25">
      <c r="B64" s="7" t="s">
        <v>205</v>
      </c>
      <c r="C64" s="2"/>
      <c r="D64" s="2"/>
      <c r="K64" s="7" t="s">
        <v>206</v>
      </c>
      <c r="O64" s="9" t="s">
        <v>209</v>
      </c>
      <c r="P64" s="9">
        <f>SUBTOTAL(9,P60:P63)</f>
        <v>240</v>
      </c>
    </row>
    <row r="65" spans="2:13" x14ac:dyDescent="0.25">
      <c r="B65" s="17" t="s">
        <v>208</v>
      </c>
      <c r="C65" s="2">
        <v>-30</v>
      </c>
      <c r="D65" s="2"/>
      <c r="L65" s="18">
        <f>SUBTOTAL(9,L60:L64)</f>
        <v>21245</v>
      </c>
      <c r="M65" s="18">
        <f>M60</f>
        <v>22</v>
      </c>
    </row>
    <row r="67" spans="2:13" x14ac:dyDescent="0.25">
      <c r="B67" s="6" t="s">
        <v>210</v>
      </c>
      <c r="C67" s="1">
        <f>C63+C64+C65</f>
        <v>37860</v>
      </c>
      <c r="D67" s="1"/>
      <c r="E67" s="6" t="s">
        <v>211</v>
      </c>
      <c r="K67" s="16" t="s">
        <v>292</v>
      </c>
      <c r="L67" s="16" t="s">
        <v>193</v>
      </c>
      <c r="M67" s="16" t="s">
        <v>192</v>
      </c>
    </row>
    <row r="68" spans="2:13" x14ac:dyDescent="0.25">
      <c r="K68" t="s">
        <v>197</v>
      </c>
      <c r="L68">
        <f>SUMIFS(G$3:G$55,J$3:J$55,K$67)</f>
        <v>12165</v>
      </c>
      <c r="M68">
        <f>SUMIFS(Q$3:Q$55,J$3:J$55,K$67)-INT(COUNTIFS(J$3:J$55,K$67,M$3:M$55,"*gộp*")/2)</f>
        <v>18</v>
      </c>
    </row>
    <row r="69" spans="2:13" x14ac:dyDescent="0.25">
      <c r="K69" t="s">
        <v>200</v>
      </c>
      <c r="L69">
        <f>SUM(H58:H60)</f>
        <v>-388</v>
      </c>
      <c r="M69">
        <f>SUMIFS(Q$3:Q$55,J$3:J$55,K$67)</f>
        <v>18</v>
      </c>
    </row>
    <row r="70" spans="2:13" x14ac:dyDescent="0.25">
      <c r="K70" t="s">
        <v>202</v>
      </c>
    </row>
    <row r="71" spans="2:13" x14ac:dyDescent="0.25">
      <c r="K71" s="7" t="s">
        <v>204</v>
      </c>
    </row>
    <row r="72" spans="2:13" x14ac:dyDescent="0.25">
      <c r="K72" s="7" t="s">
        <v>206</v>
      </c>
    </row>
    <row r="73" spans="2:13" x14ac:dyDescent="0.25">
      <c r="L73" s="18">
        <f>SUBTOTAL(9,L68:L72)</f>
        <v>11777</v>
      </c>
      <c r="M73" s="18">
        <f>M68</f>
        <v>18</v>
      </c>
    </row>
    <row r="75" spans="2:13" x14ac:dyDescent="0.25">
      <c r="K75" s="16" t="s">
        <v>21</v>
      </c>
      <c r="L75" s="16" t="s">
        <v>193</v>
      </c>
      <c r="M75" s="16" t="s">
        <v>192</v>
      </c>
    </row>
    <row r="76" spans="2:13" x14ac:dyDescent="0.25">
      <c r="K76" t="s">
        <v>197</v>
      </c>
      <c r="L76">
        <f>SUMIFS(G$3:G$55,J$3:J$55,K$75)</f>
        <v>5475</v>
      </c>
      <c r="M76">
        <f>SUMIFS(Q$3:Q$55,J$3:J$55,K$75)-INT(COUNTIFS(J$3:J$55,K$75,M$3:M$55,"*gộp*")/2)</f>
        <v>11</v>
      </c>
    </row>
    <row r="77" spans="2:13" x14ac:dyDescent="0.25">
      <c r="K77" t="s">
        <v>200</v>
      </c>
      <c r="L77">
        <f>-SUMIFS(H$3:H$55,J$3:J$55,K$75)+M77*5</f>
        <v>-295</v>
      </c>
      <c r="M77">
        <f>SUMIFS(Q$3:Q$55,J$3:J$55,K$75)-INT(COUNTIFS(J$3:J$55,K$75,M$3:M$55,"*gộp*")/2)</f>
        <v>11</v>
      </c>
    </row>
    <row r="78" spans="2:13" x14ac:dyDescent="0.25">
      <c r="K78" t="s">
        <v>202</v>
      </c>
      <c r="L78">
        <f>-M78*2</f>
        <v>-102</v>
      </c>
      <c r="M78">
        <f>E63-(COUNTIFS(M$3:M$55,"*gộp*")/2)-COUNTIFS(M$3:M$55,"*đơn trả*")-COUNTIFS(M$3:M$55,"*hàng tỉnh*")</f>
        <v>51</v>
      </c>
    </row>
    <row r="79" spans="2:13" x14ac:dyDescent="0.25">
      <c r="K79" s="7" t="s">
        <v>204</v>
      </c>
    </row>
    <row r="80" spans="2:13" x14ac:dyDescent="0.25">
      <c r="K80" s="7" t="s">
        <v>206</v>
      </c>
    </row>
    <row r="81" spans="12:13" x14ac:dyDescent="0.25">
      <c r="L81" s="18">
        <f>SUBTOTAL(9,L76:L80)</f>
        <v>5078</v>
      </c>
      <c r="M81" s="18">
        <f>M76</f>
        <v>11</v>
      </c>
    </row>
  </sheetData>
  <autoFilter ref="A2:P55" xr:uid="{00000000-0009-0000-0000-000002000000}">
    <sortState xmlns:xlrd2="http://schemas.microsoft.com/office/spreadsheetml/2017/richdata2" ref="A3:P55">
      <sortCondition ref="J2:J55"/>
    </sortState>
  </autoFilter>
  <mergeCells count="8">
    <mergeCell ref="C64:D64"/>
    <mergeCell ref="C65:D65"/>
    <mergeCell ref="C67:D67"/>
    <mergeCell ref="C59:D59"/>
    <mergeCell ref="C60:D60"/>
    <mergeCell ref="C61:D61"/>
    <mergeCell ref="C62:D62"/>
    <mergeCell ref="C63:D63"/>
  </mergeCells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60"/>
  <sheetViews>
    <sheetView topLeftCell="A31" workbookViewId="0">
      <selection activeCell="H48" sqref="H48"/>
    </sheetView>
  </sheetViews>
  <sheetFormatPr defaultRowHeight="15" x14ac:dyDescent="0.25"/>
  <cols>
    <col min="1" max="1" width="12.7109375" customWidth="1"/>
    <col min="2" max="2" width="17.7109375" customWidth="1"/>
    <col min="3" max="3" width="35.85546875" customWidth="1"/>
    <col min="4" max="4" width="9.85546875" customWidth="1"/>
    <col min="5" max="5" width="87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7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7" x14ac:dyDescent="0.25">
      <c r="A3" s="20"/>
      <c r="B3" s="20" t="s">
        <v>17</v>
      </c>
      <c r="C3" s="20" t="s">
        <v>440</v>
      </c>
      <c r="D3" s="20" t="s">
        <v>441</v>
      </c>
      <c r="E3" s="20" t="s">
        <v>442</v>
      </c>
      <c r="F3" s="20" t="s">
        <v>46</v>
      </c>
      <c r="G3" s="21">
        <v>0</v>
      </c>
      <c r="H3" s="21">
        <v>25</v>
      </c>
      <c r="I3" s="21">
        <f t="shared" ref="I3:I34" si="0">G3-H3</f>
        <v>-25</v>
      </c>
      <c r="J3" s="20" t="s">
        <v>443</v>
      </c>
      <c r="K3" s="20" t="s">
        <v>21</v>
      </c>
      <c r="L3" s="20" t="s">
        <v>444</v>
      </c>
      <c r="M3" s="20"/>
      <c r="N3" s="20"/>
      <c r="O3" s="20"/>
      <c r="P3" s="20"/>
      <c r="Q3" s="20">
        <v>1</v>
      </c>
    </row>
    <row r="4" spans="1:17" x14ac:dyDescent="0.25">
      <c r="A4" s="20"/>
      <c r="B4" s="20" t="s">
        <v>17</v>
      </c>
      <c r="C4" s="20" t="s">
        <v>445</v>
      </c>
      <c r="D4" s="20" t="s">
        <v>446</v>
      </c>
      <c r="E4" s="20" t="s">
        <v>447</v>
      </c>
      <c r="F4" s="21">
        <v>12</v>
      </c>
      <c r="G4" s="21">
        <v>400</v>
      </c>
      <c r="H4" s="21">
        <v>30</v>
      </c>
      <c r="I4" s="21">
        <f t="shared" si="0"/>
        <v>370</v>
      </c>
      <c r="J4" s="20" t="s">
        <v>443</v>
      </c>
      <c r="K4" s="20" t="s">
        <v>21</v>
      </c>
      <c r="L4" s="20" t="s">
        <v>444</v>
      </c>
      <c r="M4" s="20"/>
      <c r="N4" s="20"/>
      <c r="O4" s="20"/>
      <c r="P4" s="20"/>
      <c r="Q4" s="20">
        <v>1</v>
      </c>
    </row>
    <row r="5" spans="1:17" x14ac:dyDescent="0.25">
      <c r="A5" s="20"/>
      <c r="B5" s="20" t="s">
        <v>17</v>
      </c>
      <c r="C5" s="20" t="s">
        <v>448</v>
      </c>
      <c r="D5" s="20" t="s">
        <v>449</v>
      </c>
      <c r="E5" s="20" t="s">
        <v>450</v>
      </c>
      <c r="F5" s="21">
        <v>8</v>
      </c>
      <c r="G5" s="21">
        <v>1060</v>
      </c>
      <c r="H5" s="21">
        <v>30</v>
      </c>
      <c r="I5" s="21">
        <f t="shared" si="0"/>
        <v>1030</v>
      </c>
      <c r="J5" s="20" t="s">
        <v>443</v>
      </c>
      <c r="K5" s="20" t="s">
        <v>21</v>
      </c>
      <c r="L5" s="20" t="s">
        <v>444</v>
      </c>
      <c r="M5" s="20"/>
      <c r="N5" s="20"/>
      <c r="O5" s="20"/>
      <c r="P5" s="20"/>
      <c r="Q5" s="20">
        <v>1</v>
      </c>
    </row>
    <row r="6" spans="1:17" x14ac:dyDescent="0.25">
      <c r="A6" s="20"/>
      <c r="B6" s="20" t="s">
        <v>17</v>
      </c>
      <c r="C6" s="20" t="s">
        <v>451</v>
      </c>
      <c r="D6" s="20" t="s">
        <v>452</v>
      </c>
      <c r="E6" s="20" t="s">
        <v>453</v>
      </c>
      <c r="F6" s="20" t="s">
        <v>26</v>
      </c>
      <c r="G6" s="21">
        <v>820</v>
      </c>
      <c r="H6" s="21">
        <v>30</v>
      </c>
      <c r="I6" s="21">
        <f t="shared" si="0"/>
        <v>790</v>
      </c>
      <c r="J6" s="20" t="s">
        <v>443</v>
      </c>
      <c r="K6" s="20" t="s">
        <v>21</v>
      </c>
      <c r="L6" s="20" t="s">
        <v>444</v>
      </c>
      <c r="M6" s="20"/>
      <c r="N6" s="20"/>
      <c r="O6" s="20"/>
      <c r="P6" s="20"/>
      <c r="Q6" s="20">
        <v>1</v>
      </c>
    </row>
    <row r="7" spans="1:17" x14ac:dyDescent="0.25">
      <c r="A7" s="20"/>
      <c r="B7" s="20" t="s">
        <v>17</v>
      </c>
      <c r="C7" s="20" t="s">
        <v>454</v>
      </c>
      <c r="D7" s="20" t="s">
        <v>455</v>
      </c>
      <c r="E7" s="20" t="s">
        <v>456</v>
      </c>
      <c r="F7" s="21">
        <v>6</v>
      </c>
      <c r="G7" s="21">
        <v>0</v>
      </c>
      <c r="H7" s="21">
        <v>25</v>
      </c>
      <c r="I7" s="21">
        <f t="shared" si="0"/>
        <v>-25</v>
      </c>
      <c r="J7" s="20" t="s">
        <v>443</v>
      </c>
      <c r="K7" s="20" t="s">
        <v>21</v>
      </c>
      <c r="L7" s="20" t="s">
        <v>444</v>
      </c>
      <c r="M7" s="20"/>
      <c r="N7" s="20"/>
      <c r="O7" s="20"/>
      <c r="P7" s="20"/>
      <c r="Q7" s="20">
        <v>1</v>
      </c>
    </row>
    <row r="8" spans="1:17" x14ac:dyDescent="0.25">
      <c r="A8" s="20"/>
      <c r="B8" s="20" t="s">
        <v>17</v>
      </c>
      <c r="C8" s="20" t="s">
        <v>457</v>
      </c>
      <c r="D8" s="20" t="s">
        <v>458</v>
      </c>
      <c r="E8" s="20" t="s">
        <v>459</v>
      </c>
      <c r="F8" s="20" t="s">
        <v>26</v>
      </c>
      <c r="G8" s="21">
        <v>890</v>
      </c>
      <c r="H8" s="21">
        <v>30</v>
      </c>
      <c r="I8" s="21">
        <f t="shared" si="0"/>
        <v>860</v>
      </c>
      <c r="J8" s="20" t="s">
        <v>443</v>
      </c>
      <c r="K8" s="20" t="s">
        <v>21</v>
      </c>
      <c r="L8" s="20" t="s">
        <v>444</v>
      </c>
      <c r="M8" s="20"/>
      <c r="N8" s="20"/>
      <c r="O8" s="20"/>
      <c r="P8" s="20"/>
      <c r="Q8" s="20">
        <v>1</v>
      </c>
    </row>
    <row r="9" spans="1:17" x14ac:dyDescent="0.25">
      <c r="A9" s="20"/>
      <c r="B9" s="20" t="s">
        <v>17</v>
      </c>
      <c r="C9" s="20" t="s">
        <v>460</v>
      </c>
      <c r="D9" s="20" t="s">
        <v>461</v>
      </c>
      <c r="E9" s="20" t="s">
        <v>462</v>
      </c>
      <c r="F9" s="20" t="s">
        <v>26</v>
      </c>
      <c r="G9" s="21">
        <v>850</v>
      </c>
      <c r="H9" s="21">
        <v>30</v>
      </c>
      <c r="I9" s="21">
        <f t="shared" si="0"/>
        <v>820</v>
      </c>
      <c r="J9" s="20" t="s">
        <v>443</v>
      </c>
      <c r="K9" s="20" t="s">
        <v>21</v>
      </c>
      <c r="L9" s="20" t="s">
        <v>444</v>
      </c>
      <c r="M9" s="20"/>
      <c r="N9" s="20"/>
      <c r="O9" s="20"/>
      <c r="P9" s="20"/>
      <c r="Q9" s="20">
        <v>1</v>
      </c>
    </row>
    <row r="10" spans="1:17" x14ac:dyDescent="0.25">
      <c r="A10" s="20"/>
      <c r="B10" s="20" t="s">
        <v>17</v>
      </c>
      <c r="C10" s="20" t="s">
        <v>463</v>
      </c>
      <c r="D10" s="20" t="s">
        <v>464</v>
      </c>
      <c r="E10" s="20" t="s">
        <v>465</v>
      </c>
      <c r="F10" s="20" t="s">
        <v>139</v>
      </c>
      <c r="G10" s="21">
        <v>855</v>
      </c>
      <c r="H10" s="21">
        <v>35</v>
      </c>
      <c r="I10" s="21">
        <f t="shared" si="0"/>
        <v>820</v>
      </c>
      <c r="J10" s="20" t="s">
        <v>443</v>
      </c>
      <c r="K10" s="20" t="s">
        <v>21</v>
      </c>
      <c r="L10" s="20" t="s">
        <v>444</v>
      </c>
      <c r="M10" s="20"/>
      <c r="N10" s="20"/>
      <c r="O10" s="20"/>
      <c r="P10" s="20"/>
      <c r="Q10" s="20">
        <v>1</v>
      </c>
    </row>
    <row r="11" spans="1:17" x14ac:dyDescent="0.25">
      <c r="A11" s="20"/>
      <c r="B11" s="20" t="s">
        <v>17</v>
      </c>
      <c r="C11" s="20" t="s">
        <v>466</v>
      </c>
      <c r="D11" s="20" t="s">
        <v>467</v>
      </c>
      <c r="E11" s="20" t="s">
        <v>468</v>
      </c>
      <c r="F11" s="20" t="s">
        <v>46</v>
      </c>
      <c r="G11" s="21">
        <v>1175</v>
      </c>
      <c r="H11" s="21">
        <v>25</v>
      </c>
      <c r="I11" s="21">
        <f t="shared" si="0"/>
        <v>1150</v>
      </c>
      <c r="J11" s="20" t="s">
        <v>443</v>
      </c>
      <c r="K11" s="20" t="s">
        <v>21</v>
      </c>
      <c r="L11" s="20" t="s">
        <v>444</v>
      </c>
      <c r="M11" s="20"/>
      <c r="N11" s="20"/>
      <c r="O11" s="20"/>
      <c r="P11" s="20"/>
      <c r="Q11" s="20">
        <v>1</v>
      </c>
    </row>
    <row r="12" spans="1:17" x14ac:dyDescent="0.25">
      <c r="A12" s="20"/>
      <c r="B12" s="20" t="s">
        <v>17</v>
      </c>
      <c r="C12" s="20" t="s">
        <v>469</v>
      </c>
      <c r="D12" s="20" t="s">
        <v>470</v>
      </c>
      <c r="E12" s="20" t="s">
        <v>471</v>
      </c>
      <c r="F12" s="20" t="s">
        <v>95</v>
      </c>
      <c r="G12" s="21">
        <v>715</v>
      </c>
      <c r="H12" s="21">
        <v>25</v>
      </c>
      <c r="I12" s="21">
        <f t="shared" si="0"/>
        <v>690</v>
      </c>
      <c r="J12" s="20" t="s">
        <v>443</v>
      </c>
      <c r="K12" s="20" t="s">
        <v>21</v>
      </c>
      <c r="L12" s="20" t="s">
        <v>444</v>
      </c>
      <c r="M12" s="20"/>
      <c r="N12" s="20"/>
      <c r="O12" s="20"/>
      <c r="P12" s="20"/>
      <c r="Q12" s="20">
        <v>1</v>
      </c>
    </row>
    <row r="13" spans="1:17" x14ac:dyDescent="0.25">
      <c r="A13" s="20"/>
      <c r="B13" s="20" t="s">
        <v>17</v>
      </c>
      <c r="C13" s="20" t="s">
        <v>472</v>
      </c>
      <c r="D13" s="20" t="s">
        <v>473</v>
      </c>
      <c r="E13" s="20" t="s">
        <v>474</v>
      </c>
      <c r="F13" s="21">
        <v>12</v>
      </c>
      <c r="G13" s="21">
        <v>1150</v>
      </c>
      <c r="H13" s="21">
        <v>30</v>
      </c>
      <c r="I13" s="21">
        <f t="shared" si="0"/>
        <v>1120</v>
      </c>
      <c r="J13" s="20" t="s">
        <v>443</v>
      </c>
      <c r="K13" s="20" t="s">
        <v>21</v>
      </c>
      <c r="L13" s="20" t="s">
        <v>444</v>
      </c>
      <c r="M13" s="20"/>
      <c r="N13" s="20"/>
      <c r="O13" s="20"/>
      <c r="P13" s="20"/>
      <c r="Q13" s="20">
        <v>1</v>
      </c>
    </row>
    <row r="14" spans="1:17" x14ac:dyDescent="0.25">
      <c r="A14" s="20"/>
      <c r="B14" s="20" t="s">
        <v>17</v>
      </c>
      <c r="C14" s="20" t="s">
        <v>475</v>
      </c>
      <c r="D14" s="20" t="s">
        <v>476</v>
      </c>
      <c r="E14" s="20" t="s">
        <v>477</v>
      </c>
      <c r="F14" s="20" t="s">
        <v>46</v>
      </c>
      <c r="G14" s="21">
        <v>0</v>
      </c>
      <c r="H14" s="21">
        <v>25</v>
      </c>
      <c r="I14" s="21">
        <f t="shared" si="0"/>
        <v>-25</v>
      </c>
      <c r="J14" s="20" t="s">
        <v>443</v>
      </c>
      <c r="K14" s="20" t="s">
        <v>21</v>
      </c>
      <c r="L14" s="20" t="s">
        <v>444</v>
      </c>
      <c r="M14" s="20"/>
      <c r="N14" s="20"/>
      <c r="O14" s="20"/>
      <c r="P14" s="20"/>
      <c r="Q14" s="20">
        <v>1</v>
      </c>
    </row>
    <row r="15" spans="1:17" s="24" customFormat="1" x14ac:dyDescent="0.25">
      <c r="A15" s="22" t="s">
        <v>16</v>
      </c>
      <c r="B15" s="22" t="s">
        <v>17</v>
      </c>
      <c r="C15" s="22" t="s">
        <v>478</v>
      </c>
      <c r="D15" s="22"/>
      <c r="E15" s="22" t="s">
        <v>479</v>
      </c>
      <c r="F15" s="22" t="s">
        <v>85</v>
      </c>
      <c r="G15" s="23">
        <v>0</v>
      </c>
      <c r="H15" s="23">
        <v>25</v>
      </c>
      <c r="I15" s="23">
        <f t="shared" si="0"/>
        <v>-25</v>
      </c>
      <c r="J15" s="22" t="s">
        <v>21</v>
      </c>
      <c r="K15" s="22" t="s">
        <v>21</v>
      </c>
      <c r="L15" s="22" t="s">
        <v>444</v>
      </c>
      <c r="M15" s="22" t="s">
        <v>126</v>
      </c>
      <c r="N15" s="22"/>
      <c r="O15" s="22"/>
      <c r="P15" s="22"/>
      <c r="Q15" s="22">
        <v>1</v>
      </c>
    </row>
    <row r="16" spans="1:17" x14ac:dyDescent="0.25">
      <c r="A16" s="20"/>
      <c r="B16" s="20" t="s">
        <v>17</v>
      </c>
      <c r="C16" s="20" t="s">
        <v>480</v>
      </c>
      <c r="D16" s="20" t="s">
        <v>481</v>
      </c>
      <c r="E16" s="20" t="s">
        <v>482</v>
      </c>
      <c r="F16" s="20" t="s">
        <v>95</v>
      </c>
      <c r="G16" s="21">
        <v>985</v>
      </c>
      <c r="H16" s="21">
        <v>25</v>
      </c>
      <c r="I16" s="21">
        <f t="shared" si="0"/>
        <v>960</v>
      </c>
      <c r="J16" s="20" t="s">
        <v>21</v>
      </c>
      <c r="K16" s="20" t="s">
        <v>21</v>
      </c>
      <c r="L16" s="20" t="s">
        <v>444</v>
      </c>
      <c r="M16" s="20"/>
      <c r="N16" s="20"/>
      <c r="O16" s="20"/>
      <c r="P16" s="20"/>
      <c r="Q16" s="20">
        <v>1</v>
      </c>
    </row>
    <row r="17" spans="1:17" x14ac:dyDescent="0.25">
      <c r="A17" s="20"/>
      <c r="B17" s="20" t="s">
        <v>17</v>
      </c>
      <c r="C17" s="20" t="s">
        <v>483</v>
      </c>
      <c r="D17" s="20" t="s">
        <v>484</v>
      </c>
      <c r="E17" s="20" t="s">
        <v>485</v>
      </c>
      <c r="F17" s="20" t="s">
        <v>81</v>
      </c>
      <c r="G17" s="21">
        <v>560</v>
      </c>
      <c r="H17" s="21">
        <v>30</v>
      </c>
      <c r="I17" s="21">
        <f t="shared" si="0"/>
        <v>530</v>
      </c>
      <c r="J17" s="20" t="s">
        <v>21</v>
      </c>
      <c r="K17" s="20" t="s">
        <v>21</v>
      </c>
      <c r="L17" s="20" t="s">
        <v>444</v>
      </c>
      <c r="M17" s="20"/>
      <c r="N17" s="20"/>
      <c r="O17" s="20"/>
      <c r="P17" s="20"/>
      <c r="Q17" s="20">
        <v>1</v>
      </c>
    </row>
    <row r="18" spans="1:17" x14ac:dyDescent="0.25">
      <c r="A18" s="20"/>
      <c r="B18" s="20" t="s">
        <v>17</v>
      </c>
      <c r="C18" s="20" t="s">
        <v>486</v>
      </c>
      <c r="D18" s="20" t="s">
        <v>487</v>
      </c>
      <c r="E18" s="20" t="s">
        <v>488</v>
      </c>
      <c r="F18" s="20" t="s">
        <v>95</v>
      </c>
      <c r="G18" s="21">
        <v>815</v>
      </c>
      <c r="H18" s="21">
        <v>25</v>
      </c>
      <c r="I18" s="21">
        <f t="shared" si="0"/>
        <v>790</v>
      </c>
      <c r="J18" s="20" t="s">
        <v>21</v>
      </c>
      <c r="K18" s="20" t="s">
        <v>21</v>
      </c>
      <c r="L18" s="20" t="s">
        <v>444</v>
      </c>
      <c r="M18" s="20"/>
      <c r="N18" s="20"/>
      <c r="O18" s="20"/>
      <c r="P18" s="20"/>
      <c r="Q18" s="20">
        <v>1</v>
      </c>
    </row>
    <row r="19" spans="1:17" x14ac:dyDescent="0.25">
      <c r="A19" s="20"/>
      <c r="B19" s="20" t="s">
        <v>17</v>
      </c>
      <c r="C19" s="20" t="s">
        <v>489</v>
      </c>
      <c r="D19" s="20" t="s">
        <v>490</v>
      </c>
      <c r="E19" s="20" t="s">
        <v>491</v>
      </c>
      <c r="F19" s="20" t="s">
        <v>85</v>
      </c>
      <c r="G19" s="21">
        <v>1140</v>
      </c>
      <c r="H19" s="21">
        <v>20</v>
      </c>
      <c r="I19" s="21">
        <f t="shared" si="0"/>
        <v>1120</v>
      </c>
      <c r="J19" s="20" t="s">
        <v>21</v>
      </c>
      <c r="K19" s="20" t="s">
        <v>21</v>
      </c>
      <c r="L19" s="20" t="s">
        <v>444</v>
      </c>
      <c r="M19" s="20"/>
      <c r="N19" s="20"/>
      <c r="O19" s="20"/>
      <c r="P19" s="20"/>
      <c r="Q19" s="20">
        <v>1</v>
      </c>
    </row>
    <row r="20" spans="1:17" x14ac:dyDescent="0.25">
      <c r="A20" s="20"/>
      <c r="B20" s="20" t="s">
        <v>17</v>
      </c>
      <c r="C20" s="20" t="s">
        <v>492</v>
      </c>
      <c r="D20" s="20" t="s">
        <v>493</v>
      </c>
      <c r="E20" s="20" t="s">
        <v>494</v>
      </c>
      <c r="F20" s="20" t="s">
        <v>81</v>
      </c>
      <c r="G20" s="21">
        <v>410</v>
      </c>
      <c r="H20" s="21">
        <v>30</v>
      </c>
      <c r="I20" s="21">
        <f t="shared" si="0"/>
        <v>380</v>
      </c>
      <c r="J20" s="20" t="s">
        <v>21</v>
      </c>
      <c r="K20" s="20" t="s">
        <v>21</v>
      </c>
      <c r="L20" s="20" t="s">
        <v>444</v>
      </c>
      <c r="M20" s="20"/>
      <c r="N20" s="20"/>
      <c r="O20" s="20"/>
      <c r="P20" s="20"/>
      <c r="Q20" s="20">
        <v>1</v>
      </c>
    </row>
    <row r="21" spans="1:17" x14ac:dyDescent="0.25">
      <c r="A21" s="20"/>
      <c r="B21" s="20" t="s">
        <v>17</v>
      </c>
      <c r="C21" s="20" t="s">
        <v>495</v>
      </c>
      <c r="D21" s="20" t="s">
        <v>496</v>
      </c>
      <c r="E21" s="20" t="s">
        <v>497</v>
      </c>
      <c r="F21" s="20" t="s">
        <v>77</v>
      </c>
      <c r="G21" s="21">
        <v>0</v>
      </c>
      <c r="H21" s="21">
        <v>25</v>
      </c>
      <c r="I21" s="21">
        <f t="shared" si="0"/>
        <v>-25</v>
      </c>
      <c r="J21" s="20" t="s">
        <v>21</v>
      </c>
      <c r="K21" s="20" t="s">
        <v>21</v>
      </c>
      <c r="L21" s="20" t="s">
        <v>444</v>
      </c>
      <c r="M21" s="20"/>
      <c r="N21" s="20"/>
      <c r="O21" s="20"/>
      <c r="P21" s="20"/>
      <c r="Q21" s="20">
        <v>1</v>
      </c>
    </row>
    <row r="22" spans="1:17" x14ac:dyDescent="0.25">
      <c r="A22" s="20"/>
      <c r="B22" s="20" t="s">
        <v>17</v>
      </c>
      <c r="C22" s="20" t="s">
        <v>498</v>
      </c>
      <c r="D22" s="20" t="s">
        <v>499</v>
      </c>
      <c r="E22" s="20" t="s">
        <v>500</v>
      </c>
      <c r="F22" s="21">
        <v>12</v>
      </c>
      <c r="G22" s="21">
        <v>0</v>
      </c>
      <c r="H22" s="21">
        <v>30</v>
      </c>
      <c r="I22" s="21">
        <f t="shared" si="0"/>
        <v>-30</v>
      </c>
      <c r="J22" s="20" t="s">
        <v>21</v>
      </c>
      <c r="K22" s="20" t="s">
        <v>21</v>
      </c>
      <c r="L22" s="20" t="s">
        <v>444</v>
      </c>
      <c r="M22" s="20"/>
      <c r="N22" s="20"/>
      <c r="O22" s="20"/>
      <c r="P22" s="20"/>
      <c r="Q22" s="20">
        <v>1</v>
      </c>
    </row>
    <row r="23" spans="1:17" x14ac:dyDescent="0.25">
      <c r="A23" s="20"/>
      <c r="B23" s="20" t="s">
        <v>17</v>
      </c>
      <c r="C23" s="20" t="s">
        <v>501</v>
      </c>
      <c r="D23" s="20" t="s">
        <v>502</v>
      </c>
      <c r="E23" s="20" t="s">
        <v>503</v>
      </c>
      <c r="F23" s="21">
        <v>12</v>
      </c>
      <c r="G23" s="21">
        <v>0</v>
      </c>
      <c r="H23" s="21">
        <v>30</v>
      </c>
      <c r="I23" s="21">
        <f t="shared" si="0"/>
        <v>-30</v>
      </c>
      <c r="J23" s="20" t="s">
        <v>21</v>
      </c>
      <c r="K23" s="20" t="s">
        <v>21</v>
      </c>
      <c r="L23" s="20" t="s">
        <v>444</v>
      </c>
      <c r="M23" s="20"/>
      <c r="N23" s="20"/>
      <c r="O23" s="20"/>
      <c r="P23" s="20"/>
      <c r="Q23" s="20">
        <v>1</v>
      </c>
    </row>
    <row r="24" spans="1:17" x14ac:dyDescent="0.25">
      <c r="A24" s="20" t="s">
        <v>16</v>
      </c>
      <c r="B24" s="20" t="s">
        <v>17</v>
      </c>
      <c r="C24" s="20" t="s">
        <v>504</v>
      </c>
      <c r="D24" s="20"/>
      <c r="E24" s="20" t="s">
        <v>505</v>
      </c>
      <c r="F24" s="20" t="s">
        <v>95</v>
      </c>
      <c r="G24" s="21">
        <v>0</v>
      </c>
      <c r="H24" s="21">
        <v>30</v>
      </c>
      <c r="I24" s="21">
        <f t="shared" si="0"/>
        <v>-30</v>
      </c>
      <c r="J24" s="20" t="s">
        <v>135</v>
      </c>
      <c r="K24" s="20" t="s">
        <v>21</v>
      </c>
      <c r="L24" s="20" t="s">
        <v>444</v>
      </c>
      <c r="M24" s="20"/>
      <c r="N24" s="20"/>
      <c r="O24" s="20"/>
      <c r="P24" s="20"/>
      <c r="Q24" s="20">
        <v>1</v>
      </c>
    </row>
    <row r="25" spans="1:17" x14ac:dyDescent="0.25">
      <c r="A25" s="20" t="s">
        <v>16</v>
      </c>
      <c r="B25" s="20" t="s">
        <v>17</v>
      </c>
      <c r="C25" s="20" t="s">
        <v>506</v>
      </c>
      <c r="D25" s="20"/>
      <c r="E25" s="20" t="s">
        <v>507</v>
      </c>
      <c r="F25" s="20" t="s">
        <v>95</v>
      </c>
      <c r="G25" s="21">
        <v>0</v>
      </c>
      <c r="H25" s="21">
        <v>30</v>
      </c>
      <c r="I25" s="21">
        <f t="shared" si="0"/>
        <v>-30</v>
      </c>
      <c r="J25" s="20" t="s">
        <v>135</v>
      </c>
      <c r="K25" s="20" t="s">
        <v>21</v>
      </c>
      <c r="L25" s="20" t="s">
        <v>444</v>
      </c>
      <c r="M25" s="20"/>
      <c r="N25" s="20"/>
      <c r="O25" s="20"/>
      <c r="P25" s="20"/>
      <c r="Q25" s="20">
        <v>1</v>
      </c>
    </row>
    <row r="26" spans="1:17" x14ac:dyDescent="0.25">
      <c r="A26" s="20" t="s">
        <v>16</v>
      </c>
      <c r="B26" s="20" t="s">
        <v>17</v>
      </c>
      <c r="C26" s="20" t="s">
        <v>508</v>
      </c>
      <c r="D26" s="20"/>
      <c r="E26" s="20" t="s">
        <v>509</v>
      </c>
      <c r="F26" s="20" t="s">
        <v>406</v>
      </c>
      <c r="G26" s="21">
        <v>25</v>
      </c>
      <c r="H26" s="21">
        <v>25</v>
      </c>
      <c r="I26" s="21">
        <f t="shared" si="0"/>
        <v>0</v>
      </c>
      <c r="J26" s="20" t="s">
        <v>135</v>
      </c>
      <c r="K26" s="20" t="s">
        <v>21</v>
      </c>
      <c r="L26" s="20" t="s">
        <v>444</v>
      </c>
      <c r="M26" s="20"/>
      <c r="N26" s="20"/>
      <c r="O26" s="20"/>
      <c r="P26" s="20"/>
      <c r="Q26" s="20">
        <v>1</v>
      </c>
    </row>
    <row r="27" spans="1:17" x14ac:dyDescent="0.25">
      <c r="A27" s="20"/>
      <c r="B27" s="20" t="s">
        <v>17</v>
      </c>
      <c r="C27" s="20" t="s">
        <v>510</v>
      </c>
      <c r="D27" s="20" t="s">
        <v>511</v>
      </c>
      <c r="E27" s="20" t="s">
        <v>512</v>
      </c>
      <c r="F27" s="20" t="s">
        <v>406</v>
      </c>
      <c r="G27" s="21">
        <v>4860</v>
      </c>
      <c r="H27" s="21">
        <v>30</v>
      </c>
      <c r="I27" s="21">
        <f t="shared" si="0"/>
        <v>4830</v>
      </c>
      <c r="J27" s="20" t="s">
        <v>135</v>
      </c>
      <c r="K27" s="20" t="s">
        <v>21</v>
      </c>
      <c r="L27" s="20" t="s">
        <v>444</v>
      </c>
      <c r="M27" s="25" t="s">
        <v>167</v>
      </c>
      <c r="N27" s="20"/>
      <c r="O27" s="20"/>
      <c r="P27" s="20"/>
      <c r="Q27" s="20">
        <v>1</v>
      </c>
    </row>
    <row r="28" spans="1:17" x14ac:dyDescent="0.25">
      <c r="A28" s="20"/>
      <c r="B28" s="20" t="s">
        <v>17</v>
      </c>
      <c r="C28" s="20" t="s">
        <v>513</v>
      </c>
      <c r="D28" s="20" t="s">
        <v>514</v>
      </c>
      <c r="E28" s="20" t="s">
        <v>515</v>
      </c>
      <c r="F28" s="21">
        <v>1</v>
      </c>
      <c r="G28" s="21">
        <v>0</v>
      </c>
      <c r="H28" s="21">
        <v>25</v>
      </c>
      <c r="I28" s="21">
        <f t="shared" si="0"/>
        <v>-25</v>
      </c>
      <c r="J28" s="20" t="s">
        <v>135</v>
      </c>
      <c r="K28" s="20" t="s">
        <v>21</v>
      </c>
      <c r="L28" s="20" t="s">
        <v>444</v>
      </c>
      <c r="M28" s="20"/>
      <c r="N28" s="20"/>
      <c r="O28" s="20"/>
      <c r="P28" s="20"/>
      <c r="Q28" s="20">
        <v>1</v>
      </c>
    </row>
    <row r="29" spans="1:17" x14ac:dyDescent="0.25">
      <c r="A29" s="20"/>
      <c r="B29" s="20" t="s">
        <v>17</v>
      </c>
      <c r="C29" s="20" t="s">
        <v>516</v>
      </c>
      <c r="D29" s="20" t="s">
        <v>517</v>
      </c>
      <c r="E29" s="20" t="s">
        <v>518</v>
      </c>
      <c r="F29" s="20" t="s">
        <v>95</v>
      </c>
      <c r="G29" s="21">
        <v>795</v>
      </c>
      <c r="H29" s="21">
        <v>25</v>
      </c>
      <c r="I29" s="21">
        <f t="shared" si="0"/>
        <v>770</v>
      </c>
      <c r="J29" s="20" t="s">
        <v>135</v>
      </c>
      <c r="K29" s="20" t="s">
        <v>21</v>
      </c>
      <c r="L29" s="20" t="s">
        <v>444</v>
      </c>
      <c r="M29" s="20"/>
      <c r="N29" s="20"/>
      <c r="O29" s="20"/>
      <c r="P29" s="20"/>
      <c r="Q29" s="20">
        <v>1</v>
      </c>
    </row>
    <row r="30" spans="1:17" x14ac:dyDescent="0.25">
      <c r="A30" s="20"/>
      <c r="B30" s="20" t="s">
        <v>17</v>
      </c>
      <c r="C30" s="20" t="s">
        <v>519</v>
      </c>
      <c r="D30" s="20" t="s">
        <v>520</v>
      </c>
      <c r="E30" s="20" t="s">
        <v>521</v>
      </c>
      <c r="F30" s="20" t="s">
        <v>95</v>
      </c>
      <c r="G30" s="21">
        <v>0</v>
      </c>
      <c r="H30" s="21">
        <v>25</v>
      </c>
      <c r="I30" s="21">
        <f t="shared" si="0"/>
        <v>-25</v>
      </c>
      <c r="J30" s="20" t="s">
        <v>135</v>
      </c>
      <c r="K30" s="20" t="s">
        <v>21</v>
      </c>
      <c r="L30" s="20" t="s">
        <v>444</v>
      </c>
      <c r="M30" s="20"/>
      <c r="N30" s="20"/>
      <c r="O30" s="20"/>
      <c r="P30" s="20"/>
      <c r="Q30" s="20">
        <v>1</v>
      </c>
    </row>
    <row r="31" spans="1:17" s="24" customFormat="1" x14ac:dyDescent="0.25">
      <c r="A31" s="22"/>
      <c r="B31" s="22" t="s">
        <v>17</v>
      </c>
      <c r="C31" s="22" t="s">
        <v>522</v>
      </c>
      <c r="D31" s="22" t="s">
        <v>523</v>
      </c>
      <c r="E31" s="22" t="s">
        <v>524</v>
      </c>
      <c r="F31" s="23">
        <v>5</v>
      </c>
      <c r="G31" s="23">
        <v>25</v>
      </c>
      <c r="H31" s="23">
        <v>25</v>
      </c>
      <c r="I31" s="23">
        <f t="shared" si="0"/>
        <v>0</v>
      </c>
      <c r="J31" s="22" t="s">
        <v>135</v>
      </c>
      <c r="K31" s="22" t="s">
        <v>21</v>
      </c>
      <c r="L31" s="22" t="s">
        <v>444</v>
      </c>
      <c r="M31" s="22" t="s">
        <v>126</v>
      </c>
      <c r="N31" s="22"/>
      <c r="O31" s="22"/>
      <c r="P31" s="22"/>
      <c r="Q31" s="22">
        <v>1</v>
      </c>
    </row>
    <row r="32" spans="1:17" x14ac:dyDescent="0.25">
      <c r="A32" s="20"/>
      <c r="B32" s="20" t="s">
        <v>17</v>
      </c>
      <c r="C32" s="20" t="s">
        <v>525</v>
      </c>
      <c r="D32" s="20" t="s">
        <v>526</v>
      </c>
      <c r="E32" s="20" t="s">
        <v>527</v>
      </c>
      <c r="F32" s="21">
        <v>1</v>
      </c>
      <c r="G32" s="21">
        <v>1475</v>
      </c>
      <c r="H32" s="21">
        <v>25</v>
      </c>
      <c r="I32" s="21">
        <f t="shared" si="0"/>
        <v>1450</v>
      </c>
      <c r="J32" s="20" t="s">
        <v>135</v>
      </c>
      <c r="K32" s="20" t="s">
        <v>21</v>
      </c>
      <c r="L32" s="20" t="s">
        <v>444</v>
      </c>
      <c r="M32" s="20"/>
      <c r="N32" s="20"/>
      <c r="O32" s="20"/>
      <c r="P32" s="20"/>
      <c r="Q32" s="20">
        <v>1</v>
      </c>
    </row>
    <row r="33" spans="1:17" x14ac:dyDescent="0.25">
      <c r="A33" s="20"/>
      <c r="B33" s="20" t="s">
        <v>17</v>
      </c>
      <c r="C33" s="20" t="s">
        <v>528</v>
      </c>
      <c r="D33" s="20" t="s">
        <v>529</v>
      </c>
      <c r="E33" s="20" t="s">
        <v>530</v>
      </c>
      <c r="F33" s="21">
        <v>4</v>
      </c>
      <c r="G33" s="21">
        <v>825</v>
      </c>
      <c r="H33" s="21">
        <v>25</v>
      </c>
      <c r="I33" s="21">
        <f t="shared" si="0"/>
        <v>800</v>
      </c>
      <c r="J33" s="20" t="s">
        <v>135</v>
      </c>
      <c r="K33" s="20" t="s">
        <v>21</v>
      </c>
      <c r="L33" s="20" t="s">
        <v>444</v>
      </c>
      <c r="M33" s="20"/>
      <c r="N33" s="20"/>
      <c r="O33" s="20"/>
      <c r="P33" s="20"/>
      <c r="Q33" s="20">
        <v>1</v>
      </c>
    </row>
    <row r="34" spans="1:17" x14ac:dyDescent="0.25">
      <c r="A34" s="20"/>
      <c r="B34" s="20" t="s">
        <v>17</v>
      </c>
      <c r="C34" s="20" t="s">
        <v>531</v>
      </c>
      <c r="D34" s="20" t="s">
        <v>532</v>
      </c>
      <c r="E34" s="20" t="s">
        <v>533</v>
      </c>
      <c r="F34" s="20" t="s">
        <v>95</v>
      </c>
      <c r="G34" s="21">
        <v>3370</v>
      </c>
      <c r="H34" s="21">
        <v>30</v>
      </c>
      <c r="I34" s="21">
        <f t="shared" si="0"/>
        <v>3340</v>
      </c>
      <c r="J34" s="20" t="s">
        <v>135</v>
      </c>
      <c r="K34" s="20" t="s">
        <v>21</v>
      </c>
      <c r="L34" s="20" t="s">
        <v>444</v>
      </c>
      <c r="M34" s="25" t="s">
        <v>167</v>
      </c>
      <c r="N34" s="20"/>
      <c r="O34" s="20"/>
      <c r="P34" s="20"/>
      <c r="Q34" s="20">
        <v>1</v>
      </c>
    </row>
    <row r="36" spans="1:17" x14ac:dyDescent="0.25">
      <c r="D36" s="6">
        <f>COUNTA(D3:D34)</f>
        <v>28</v>
      </c>
      <c r="G36" s="6">
        <f t="shared" ref="G36:Q36" si="1">SUBTOTAL(9,G3:G34)</f>
        <v>23200</v>
      </c>
      <c r="H36" s="6">
        <f t="shared" si="1"/>
        <v>875</v>
      </c>
      <c r="I36" s="6">
        <f t="shared" si="1"/>
        <v>22325</v>
      </c>
      <c r="J36" s="6">
        <f t="shared" si="1"/>
        <v>0</v>
      </c>
      <c r="K36" s="6">
        <f t="shared" si="1"/>
        <v>0</v>
      </c>
      <c r="L36" s="6">
        <f t="shared" si="1"/>
        <v>0</v>
      </c>
      <c r="M36" s="6">
        <f t="shared" si="1"/>
        <v>0</v>
      </c>
      <c r="N36" s="6">
        <f t="shared" si="1"/>
        <v>0</v>
      </c>
      <c r="O36" s="6">
        <f t="shared" si="1"/>
        <v>0</v>
      </c>
      <c r="P36" s="6">
        <f t="shared" si="1"/>
        <v>0</v>
      </c>
      <c r="Q36" s="6">
        <f t="shared" si="1"/>
        <v>32</v>
      </c>
    </row>
    <row r="37" spans="1:17" x14ac:dyDescent="0.25">
      <c r="H37">
        <f>-6*17</f>
        <v>-102</v>
      </c>
    </row>
    <row r="38" spans="1:17" x14ac:dyDescent="0.25">
      <c r="A38" s="6" t="s">
        <v>17</v>
      </c>
      <c r="C38" s="5" t="s">
        <v>191</v>
      </c>
      <c r="D38" s="5"/>
      <c r="E38" s="9" t="s">
        <v>192</v>
      </c>
      <c r="H38">
        <f>-5*25</f>
        <v>-125</v>
      </c>
      <c r="K38" s="16" t="s">
        <v>135</v>
      </c>
      <c r="L38" s="16" t="s">
        <v>193</v>
      </c>
      <c r="M38" s="16" t="s">
        <v>192</v>
      </c>
      <c r="O38" s="9" t="s">
        <v>194</v>
      </c>
    </row>
    <row r="39" spans="1:17" x14ac:dyDescent="0.25">
      <c r="A39" t="s">
        <v>444</v>
      </c>
      <c r="B39" s="8" t="s">
        <v>195</v>
      </c>
      <c r="C39" s="4">
        <f>SUMIFS(I$3:I$34,B$3:B$34,A$38,L$3:L$34,A$39)</f>
        <v>22325</v>
      </c>
      <c r="D39" s="4"/>
      <c r="E39" s="8">
        <f>SUMIFS(Q$3:Q$34,B$3:B$34,A$38,L$3:L$34,A$39)</f>
        <v>32</v>
      </c>
      <c r="F39" t="s">
        <v>196</v>
      </c>
      <c r="H39">
        <f>-1*30</f>
        <v>-30</v>
      </c>
      <c r="K39" t="s">
        <v>197</v>
      </c>
      <c r="L39">
        <f>SUMIFS(G$3:G$34,J$3:J$34,K$38)</f>
        <v>11375</v>
      </c>
      <c r="M39">
        <f>SUMIFS(Q$3:Q$34,J$3:J$34,K$38)-INT(COUNTIFS(J$3:J$34,K$38,M$3:M$34,"*gộp*")/2)</f>
        <v>11</v>
      </c>
      <c r="O39" t="s">
        <v>135</v>
      </c>
      <c r="P39">
        <f>L44</f>
        <v>11135</v>
      </c>
    </row>
    <row r="40" spans="1:17" x14ac:dyDescent="0.25">
      <c r="B40" s="7" t="s">
        <v>199</v>
      </c>
      <c r="C40" s="3">
        <v>0</v>
      </c>
      <c r="D40" s="3"/>
      <c r="K40" t="s">
        <v>200</v>
      </c>
      <c r="L40">
        <f>-SUMIFS(H$3:H$34,J$3:J$34,K$38)+M40*5</f>
        <v>-240</v>
      </c>
      <c r="M40">
        <f>SUMIFS(Q$3:Q$34,J$3:J$34,K$38)-INT(COUNTIFS(J$3:J$34,K$38,M$3:M$34,"*gộp*")/2)</f>
        <v>11</v>
      </c>
      <c r="O40" t="s">
        <v>21</v>
      </c>
      <c r="P40">
        <f>L52</f>
        <v>3651</v>
      </c>
    </row>
    <row r="41" spans="1:17" x14ac:dyDescent="0.25">
      <c r="B41" s="7" t="s">
        <v>201</v>
      </c>
      <c r="C41" s="3">
        <f>-SUMIFS(I$3:I$34,B$3:B$34,A$38,P$3:P$34,"xx",N$3:N$34,"x")</f>
        <v>0</v>
      </c>
      <c r="D41" s="3"/>
      <c r="E41" s="7">
        <f>SUMIFS(Q$3:Q$34,B$3:B$34,A$38,P$3:P$34,"xx",N$3:N$34,"x")</f>
        <v>0</v>
      </c>
      <c r="K41" t="s">
        <v>202</v>
      </c>
      <c r="O41" t="s">
        <v>534</v>
      </c>
      <c r="P41">
        <f>L60</f>
        <v>7658</v>
      </c>
    </row>
    <row r="42" spans="1:17" x14ac:dyDescent="0.25">
      <c r="B42" s="9" t="s">
        <v>203</v>
      </c>
      <c r="C42" s="5">
        <f>SUBTOTAL(9,C39:C41)</f>
        <v>22325</v>
      </c>
      <c r="D42" s="5"/>
      <c r="E42">
        <f>E39</f>
        <v>32</v>
      </c>
      <c r="K42" s="7" t="s">
        <v>204</v>
      </c>
      <c r="O42" t="s">
        <v>207</v>
      </c>
      <c r="P42">
        <f>-C46</f>
        <v>-22325</v>
      </c>
    </row>
    <row r="43" spans="1:17" x14ac:dyDescent="0.25">
      <c r="B43" s="7" t="s">
        <v>205</v>
      </c>
      <c r="C43" s="2"/>
      <c r="D43" s="2"/>
      <c r="K43" s="7" t="s">
        <v>206</v>
      </c>
      <c r="O43" s="9" t="s">
        <v>209</v>
      </c>
      <c r="P43" s="9">
        <f>SUBTOTAL(9,P39:P42)</f>
        <v>119</v>
      </c>
    </row>
    <row r="44" spans="1:17" x14ac:dyDescent="0.25">
      <c r="B44" s="17" t="s">
        <v>208</v>
      </c>
      <c r="C44" s="2"/>
      <c r="D44" s="2"/>
      <c r="L44" s="18">
        <f>SUBTOTAL(9,L39:L43)</f>
        <v>11135</v>
      </c>
      <c r="M44" s="18">
        <f>M39</f>
        <v>11</v>
      </c>
    </row>
    <row r="46" spans="1:17" x14ac:dyDescent="0.25">
      <c r="B46" s="6" t="s">
        <v>210</v>
      </c>
      <c r="C46" s="1">
        <f>C42+C43+C44</f>
        <v>22325</v>
      </c>
      <c r="D46" s="1"/>
      <c r="E46" s="6" t="s">
        <v>211</v>
      </c>
      <c r="K46" s="16" t="s">
        <v>21</v>
      </c>
      <c r="L46" s="16" t="s">
        <v>193</v>
      </c>
      <c r="M46" s="16" t="s">
        <v>192</v>
      </c>
    </row>
    <row r="47" spans="1:17" x14ac:dyDescent="0.25">
      <c r="K47" t="s">
        <v>197</v>
      </c>
      <c r="L47">
        <f>SUMIFS(G$3:G$34,J$3:J$34,K$46)</f>
        <v>3910</v>
      </c>
      <c r="M47">
        <f>SUMIFS(Q$3:Q$34,J$3:J$34,K$46)-INT(COUNTIFS(J$3:J$34,K$46,M$3:M$34,"*gộp*")/2)</f>
        <v>9</v>
      </c>
    </row>
    <row r="48" spans="1:17" x14ac:dyDescent="0.25">
      <c r="K48" t="s">
        <v>200</v>
      </c>
      <c r="L48">
        <f>-SUMIFS(H$3:H$34,J$3:J$34,K$46)+M48*5</f>
        <v>-195</v>
      </c>
      <c r="M48">
        <f>SUMIFS(Q$3:Q$34,J$3:J$34,K$46)-INT(COUNTIFS(J$3:J$34,K$46,M$3:M$34,"*gộp*")/2)</f>
        <v>9</v>
      </c>
    </row>
    <row r="49" spans="11:13" x14ac:dyDescent="0.25">
      <c r="K49" t="s">
        <v>202</v>
      </c>
      <c r="L49">
        <f>-M49*2</f>
        <v>-64</v>
      </c>
      <c r="M49">
        <f>E42-(COUNTIFS(M$3:M$34,"*gộp*")/2)-COUNTIFS(M$3:M$34,"*đơn trả*")-COUNTIFS(M$3:M$34,"*hàng tỉnh*")</f>
        <v>32</v>
      </c>
    </row>
    <row r="50" spans="11:13" x14ac:dyDescent="0.25">
      <c r="K50" s="7" t="s">
        <v>204</v>
      </c>
    </row>
    <row r="51" spans="11:13" x14ac:dyDescent="0.25">
      <c r="K51" s="7" t="s">
        <v>206</v>
      </c>
    </row>
    <row r="52" spans="11:13" x14ac:dyDescent="0.25">
      <c r="L52" s="18">
        <f>SUBTOTAL(9,L47:L51)</f>
        <v>3651</v>
      </c>
      <c r="M52" s="18">
        <f>M47</f>
        <v>9</v>
      </c>
    </row>
    <row r="54" spans="11:13" x14ac:dyDescent="0.25">
      <c r="K54" s="16" t="s">
        <v>443</v>
      </c>
      <c r="L54" s="16" t="s">
        <v>193</v>
      </c>
      <c r="M54" s="16" t="s">
        <v>192</v>
      </c>
    </row>
    <row r="55" spans="11:13" x14ac:dyDescent="0.25">
      <c r="K55" t="s">
        <v>197</v>
      </c>
      <c r="L55">
        <f>SUMIFS(G$3:G$34,J$3:J$34,K$54)</f>
        <v>7915</v>
      </c>
      <c r="M55">
        <f>SUMIFS(Q$3:Q$34,J$3:J$34,K$54)-INT(COUNTIFS(J$3:J$34,K$54,M$3:M$34,"*gộp*")/2)</f>
        <v>12</v>
      </c>
    </row>
    <row r="56" spans="11:13" x14ac:dyDescent="0.25">
      <c r="K56" t="s">
        <v>200</v>
      </c>
      <c r="L56">
        <f>SUM(H37:H39)</f>
        <v>-257</v>
      </c>
      <c r="M56">
        <f>SUMIFS(Q$3:Q$34,J$3:J$34,K$54)</f>
        <v>12</v>
      </c>
    </row>
    <row r="57" spans="11:13" x14ac:dyDescent="0.25">
      <c r="K57" t="s">
        <v>202</v>
      </c>
    </row>
    <row r="58" spans="11:13" x14ac:dyDescent="0.25">
      <c r="K58" s="7" t="s">
        <v>204</v>
      </c>
    </row>
    <row r="59" spans="11:13" x14ac:dyDescent="0.25">
      <c r="K59" s="7" t="s">
        <v>206</v>
      </c>
    </row>
    <row r="60" spans="11:13" x14ac:dyDescent="0.25">
      <c r="L60" s="18">
        <f>SUBTOTAL(9,L55:L59)</f>
        <v>7658</v>
      </c>
      <c r="M60" s="18">
        <f>M55</f>
        <v>12</v>
      </c>
    </row>
  </sheetData>
  <autoFilter ref="A2:P34" xr:uid="{00000000-0009-0000-0000-000003000000}">
    <sortState xmlns:xlrd2="http://schemas.microsoft.com/office/spreadsheetml/2017/richdata2" ref="A3:P34">
      <sortCondition ref="J2:J34"/>
    </sortState>
  </autoFilter>
  <mergeCells count="8">
    <mergeCell ref="C43:D43"/>
    <mergeCell ref="C44:D44"/>
    <mergeCell ref="C46:D46"/>
    <mergeCell ref="C38:D38"/>
    <mergeCell ref="C39:D39"/>
    <mergeCell ref="C40:D40"/>
    <mergeCell ref="C41:D41"/>
    <mergeCell ref="C42:D42"/>
  </mergeCell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70"/>
  <sheetViews>
    <sheetView topLeftCell="A22" workbookViewId="0">
      <selection activeCell="R5" sqref="R5"/>
    </sheetView>
  </sheetViews>
  <sheetFormatPr defaultRowHeight="15" x14ac:dyDescent="0.25"/>
  <cols>
    <col min="1" max="1" width="12.7109375" customWidth="1"/>
    <col min="2" max="2" width="17.7109375" customWidth="1"/>
    <col min="3" max="3" width="31" customWidth="1"/>
    <col min="4" max="4" width="9.85546875" customWidth="1"/>
    <col min="5" max="5" width="63.710937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/>
      <c r="B3" s="20" t="s">
        <v>17</v>
      </c>
      <c r="C3" s="20" t="s">
        <v>535</v>
      </c>
      <c r="D3" s="20" t="s">
        <v>536</v>
      </c>
      <c r="E3" s="20" t="s">
        <v>537</v>
      </c>
      <c r="F3" s="21">
        <v>9</v>
      </c>
      <c r="G3" s="21">
        <v>850</v>
      </c>
      <c r="H3" s="21">
        <v>30</v>
      </c>
      <c r="I3" s="21">
        <f t="shared" ref="I3:I16" si="0">G3-H3</f>
        <v>820</v>
      </c>
      <c r="J3" s="20" t="s">
        <v>20</v>
      </c>
      <c r="K3" s="20" t="s">
        <v>21</v>
      </c>
      <c r="L3" s="20" t="s">
        <v>538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539</v>
      </c>
      <c r="D4" s="20" t="s">
        <v>540</v>
      </c>
      <c r="E4" s="20" t="s">
        <v>541</v>
      </c>
      <c r="F4" s="21">
        <v>9</v>
      </c>
      <c r="G4" s="21">
        <v>750</v>
      </c>
      <c r="H4" s="21">
        <v>30</v>
      </c>
      <c r="I4" s="21">
        <f t="shared" si="0"/>
        <v>720</v>
      </c>
      <c r="J4" s="20" t="s">
        <v>20</v>
      </c>
      <c r="K4" s="20" t="s">
        <v>21</v>
      </c>
      <c r="L4" s="20" t="s">
        <v>538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17</v>
      </c>
      <c r="C5" s="20" t="s">
        <v>542</v>
      </c>
      <c r="D5" s="20" t="s">
        <v>543</v>
      </c>
      <c r="E5" s="20" t="s">
        <v>544</v>
      </c>
      <c r="F5" s="20" t="s">
        <v>26</v>
      </c>
      <c r="G5" s="21">
        <v>0</v>
      </c>
      <c r="H5" s="21">
        <v>30</v>
      </c>
      <c r="I5" s="21">
        <f t="shared" si="0"/>
        <v>-30</v>
      </c>
      <c r="J5" s="20" t="s">
        <v>545</v>
      </c>
      <c r="K5" s="20" t="s">
        <v>21</v>
      </c>
      <c r="L5" s="20" t="s">
        <v>538</v>
      </c>
      <c r="M5" s="20"/>
      <c r="N5" s="20"/>
      <c r="O5" s="20"/>
      <c r="P5" s="20"/>
      <c r="Q5" s="20">
        <v>1</v>
      </c>
      <c r="R5" s="15">
        <f>H5</f>
        <v>30</v>
      </c>
    </row>
    <row r="6" spans="1:18" x14ac:dyDescent="0.25">
      <c r="A6" s="20"/>
      <c r="B6" s="20" t="s">
        <v>17</v>
      </c>
      <c r="C6" s="20" t="s">
        <v>546</v>
      </c>
      <c r="D6" s="20" t="s">
        <v>547</v>
      </c>
      <c r="E6" s="20" t="s">
        <v>548</v>
      </c>
      <c r="F6" s="20" t="s">
        <v>26</v>
      </c>
      <c r="G6" s="21">
        <v>900</v>
      </c>
      <c r="H6" s="21">
        <v>30</v>
      </c>
      <c r="I6" s="21">
        <f t="shared" si="0"/>
        <v>870</v>
      </c>
      <c r="J6" s="20" t="s">
        <v>545</v>
      </c>
      <c r="K6" s="20" t="s">
        <v>21</v>
      </c>
      <c r="L6" s="20" t="s">
        <v>538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549</v>
      </c>
      <c r="D7" s="20" t="s">
        <v>550</v>
      </c>
      <c r="E7" s="20" t="s">
        <v>551</v>
      </c>
      <c r="F7" s="21">
        <v>6</v>
      </c>
      <c r="G7" s="21">
        <v>775</v>
      </c>
      <c r="H7" s="21">
        <v>25</v>
      </c>
      <c r="I7" s="21">
        <f t="shared" si="0"/>
        <v>750</v>
      </c>
      <c r="J7" s="20" t="s">
        <v>545</v>
      </c>
      <c r="K7" s="20" t="s">
        <v>21</v>
      </c>
      <c r="L7" s="20" t="s">
        <v>538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17</v>
      </c>
      <c r="C8" s="20" t="s">
        <v>552</v>
      </c>
      <c r="D8" s="20" t="s">
        <v>553</v>
      </c>
      <c r="E8" s="20" t="s">
        <v>554</v>
      </c>
      <c r="F8" s="21">
        <v>12</v>
      </c>
      <c r="G8" s="21">
        <v>400</v>
      </c>
      <c r="H8" s="21">
        <v>30</v>
      </c>
      <c r="I8" s="21">
        <f t="shared" si="0"/>
        <v>370</v>
      </c>
      <c r="J8" s="20" t="s">
        <v>545</v>
      </c>
      <c r="K8" s="20" t="s">
        <v>21</v>
      </c>
      <c r="L8" s="20" t="s">
        <v>538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555</v>
      </c>
      <c r="D9" s="20" t="s">
        <v>556</v>
      </c>
      <c r="E9" s="20" t="s">
        <v>557</v>
      </c>
      <c r="F9" s="20" t="s">
        <v>95</v>
      </c>
      <c r="G9" s="21">
        <v>0</v>
      </c>
      <c r="H9" s="21">
        <v>25</v>
      </c>
      <c r="I9" s="21">
        <f t="shared" si="0"/>
        <v>-25</v>
      </c>
      <c r="J9" s="20" t="s">
        <v>545</v>
      </c>
      <c r="K9" s="20" t="s">
        <v>21</v>
      </c>
      <c r="L9" s="20" t="s">
        <v>538</v>
      </c>
      <c r="M9" s="20"/>
      <c r="N9" s="20"/>
      <c r="O9" s="20"/>
      <c r="P9" s="20"/>
      <c r="Q9" s="20">
        <v>1</v>
      </c>
      <c r="R9" s="15">
        <f>H9</f>
        <v>25</v>
      </c>
    </row>
    <row r="10" spans="1:18" x14ac:dyDescent="0.25">
      <c r="A10" s="20"/>
      <c r="B10" s="20" t="s">
        <v>17</v>
      </c>
      <c r="C10" s="20" t="s">
        <v>558</v>
      </c>
      <c r="D10" s="20" t="s">
        <v>559</v>
      </c>
      <c r="E10" s="20" t="s">
        <v>560</v>
      </c>
      <c r="F10" s="21">
        <v>7</v>
      </c>
      <c r="G10" s="21">
        <v>850</v>
      </c>
      <c r="H10" s="21">
        <v>30</v>
      </c>
      <c r="I10" s="21">
        <f t="shared" si="0"/>
        <v>820</v>
      </c>
      <c r="J10" s="20" t="s">
        <v>545</v>
      </c>
      <c r="K10" s="20" t="s">
        <v>21</v>
      </c>
      <c r="L10" s="20" t="s">
        <v>538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561</v>
      </c>
      <c r="D11" s="20" t="s">
        <v>562</v>
      </c>
      <c r="E11" s="20" t="s">
        <v>563</v>
      </c>
      <c r="F11" s="21">
        <v>7</v>
      </c>
      <c r="G11" s="21">
        <v>480</v>
      </c>
      <c r="H11" s="21">
        <v>30</v>
      </c>
      <c r="I11" s="21">
        <f t="shared" si="0"/>
        <v>450</v>
      </c>
      <c r="J11" s="20" t="s">
        <v>545</v>
      </c>
      <c r="K11" s="20" t="s">
        <v>21</v>
      </c>
      <c r="L11" s="20" t="s">
        <v>538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564</v>
      </c>
      <c r="D12" s="20" t="s">
        <v>565</v>
      </c>
      <c r="E12" s="20" t="s">
        <v>566</v>
      </c>
      <c r="F12" s="21">
        <v>1</v>
      </c>
      <c r="G12" s="21">
        <v>1135</v>
      </c>
      <c r="H12" s="21">
        <v>25</v>
      </c>
      <c r="I12" s="21">
        <f t="shared" si="0"/>
        <v>1110</v>
      </c>
      <c r="J12" s="20" t="s">
        <v>545</v>
      </c>
      <c r="K12" s="20" t="s">
        <v>21</v>
      </c>
      <c r="L12" s="20" t="s">
        <v>538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17</v>
      </c>
      <c r="C13" s="20" t="s">
        <v>567</v>
      </c>
      <c r="D13" s="20" t="s">
        <v>568</v>
      </c>
      <c r="E13" s="20" t="s">
        <v>569</v>
      </c>
      <c r="F13" s="21">
        <v>8</v>
      </c>
      <c r="G13" s="21">
        <v>0</v>
      </c>
      <c r="H13" s="21">
        <v>30</v>
      </c>
      <c r="I13" s="21">
        <f t="shared" si="0"/>
        <v>-30</v>
      </c>
      <c r="J13" s="20" t="s">
        <v>545</v>
      </c>
      <c r="K13" s="20" t="s">
        <v>21</v>
      </c>
      <c r="L13" s="20" t="s">
        <v>538</v>
      </c>
      <c r="M13" s="20"/>
      <c r="N13" s="20"/>
      <c r="O13" s="20"/>
      <c r="P13" s="20"/>
      <c r="Q13" s="20">
        <v>1</v>
      </c>
      <c r="R13" s="15">
        <f>H13</f>
        <v>30</v>
      </c>
    </row>
    <row r="14" spans="1:18" x14ac:dyDescent="0.25">
      <c r="A14" s="20"/>
      <c r="B14" s="20" t="s">
        <v>17</v>
      </c>
      <c r="C14" s="20" t="s">
        <v>570</v>
      </c>
      <c r="D14" s="20" t="s">
        <v>571</v>
      </c>
      <c r="E14" s="20" t="s">
        <v>572</v>
      </c>
      <c r="F14" s="21">
        <v>7</v>
      </c>
      <c r="G14" s="21">
        <v>670</v>
      </c>
      <c r="H14" s="21">
        <v>30</v>
      </c>
      <c r="I14" s="21">
        <f t="shared" si="0"/>
        <v>640</v>
      </c>
      <c r="J14" s="20" t="s">
        <v>545</v>
      </c>
      <c r="K14" s="20" t="s">
        <v>21</v>
      </c>
      <c r="L14" s="20" t="s">
        <v>538</v>
      </c>
      <c r="M14" s="20"/>
      <c r="N14" s="20"/>
      <c r="O14" s="20"/>
      <c r="P14" s="20"/>
      <c r="Q14" s="20">
        <v>1</v>
      </c>
    </row>
    <row r="15" spans="1:18" s="24" customFormat="1" x14ac:dyDescent="0.25">
      <c r="A15" s="22"/>
      <c r="B15" s="22" t="s">
        <v>17</v>
      </c>
      <c r="C15" s="22" t="s">
        <v>131</v>
      </c>
      <c r="D15" s="22" t="s">
        <v>573</v>
      </c>
      <c r="E15" s="22" t="s">
        <v>574</v>
      </c>
      <c r="F15" s="22" t="s">
        <v>134</v>
      </c>
      <c r="G15" s="23">
        <v>95</v>
      </c>
      <c r="H15" s="23">
        <v>35</v>
      </c>
      <c r="I15" s="23">
        <f t="shared" si="0"/>
        <v>60</v>
      </c>
      <c r="J15" s="22" t="s">
        <v>545</v>
      </c>
      <c r="K15" s="22" t="s">
        <v>21</v>
      </c>
      <c r="L15" s="22" t="s">
        <v>538</v>
      </c>
      <c r="M15" s="22" t="s">
        <v>126</v>
      </c>
      <c r="N15" s="22"/>
      <c r="O15" s="22"/>
      <c r="P15" s="22"/>
      <c r="Q15" s="22">
        <v>1</v>
      </c>
    </row>
    <row r="16" spans="1:18" x14ac:dyDescent="0.25">
      <c r="A16" s="20"/>
      <c r="B16" s="20" t="s">
        <v>17</v>
      </c>
      <c r="C16" s="20" t="s">
        <v>575</v>
      </c>
      <c r="D16" s="20" t="s">
        <v>576</v>
      </c>
      <c r="E16" s="20" t="s">
        <v>577</v>
      </c>
      <c r="F16" s="20" t="s">
        <v>139</v>
      </c>
      <c r="G16" s="21">
        <v>0</v>
      </c>
      <c r="H16" s="21">
        <v>35</v>
      </c>
      <c r="I16" s="21">
        <f t="shared" si="0"/>
        <v>-35</v>
      </c>
      <c r="J16" s="20" t="s">
        <v>545</v>
      </c>
      <c r="K16" s="20" t="s">
        <v>21</v>
      </c>
      <c r="L16" s="20" t="s">
        <v>538</v>
      </c>
      <c r="M16" s="25" t="s">
        <v>377</v>
      </c>
      <c r="N16" s="20"/>
      <c r="O16" s="20"/>
      <c r="P16" s="20"/>
      <c r="Q16" s="20">
        <v>1</v>
      </c>
      <c r="R16" s="15">
        <f>H16</f>
        <v>35</v>
      </c>
    </row>
    <row r="17" spans="1:18" x14ac:dyDescent="0.25">
      <c r="A17" s="20"/>
      <c r="B17" s="20" t="s">
        <v>17</v>
      </c>
      <c r="C17" s="20" t="s">
        <v>575</v>
      </c>
      <c r="D17" s="20" t="s">
        <v>578</v>
      </c>
      <c r="E17" s="20" t="s">
        <v>577</v>
      </c>
      <c r="F17" s="20" t="s">
        <v>139</v>
      </c>
      <c r="G17" s="21">
        <v>0</v>
      </c>
      <c r="H17" s="21">
        <v>0</v>
      </c>
      <c r="I17" s="21">
        <f>H17</f>
        <v>0</v>
      </c>
      <c r="J17" s="20" t="s">
        <v>545</v>
      </c>
      <c r="K17" s="20" t="s">
        <v>21</v>
      </c>
      <c r="L17" s="20" t="s">
        <v>538</v>
      </c>
      <c r="M17" s="25" t="s">
        <v>377</v>
      </c>
      <c r="N17" s="20"/>
      <c r="O17" s="20"/>
      <c r="P17" s="20"/>
      <c r="Q17" s="20">
        <v>1</v>
      </c>
      <c r="R17" s="15">
        <f>H17</f>
        <v>0</v>
      </c>
    </row>
    <row r="18" spans="1:18" x14ac:dyDescent="0.25">
      <c r="A18" s="20"/>
      <c r="B18" s="20" t="s">
        <v>17</v>
      </c>
      <c r="C18" s="20" t="s">
        <v>579</v>
      </c>
      <c r="D18" s="20" t="s">
        <v>580</v>
      </c>
      <c r="E18" s="20" t="s">
        <v>581</v>
      </c>
      <c r="F18" s="21">
        <v>2</v>
      </c>
      <c r="G18" s="21">
        <v>850</v>
      </c>
      <c r="H18" s="21">
        <v>30</v>
      </c>
      <c r="I18" s="21">
        <f t="shared" ref="I18:I36" si="1">G18-H18</f>
        <v>820</v>
      </c>
      <c r="J18" s="20" t="s">
        <v>21</v>
      </c>
      <c r="K18" s="20" t="s">
        <v>21</v>
      </c>
      <c r="L18" s="20" t="s">
        <v>538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582</v>
      </c>
      <c r="D19" s="20" t="s">
        <v>583</v>
      </c>
      <c r="E19" s="20" t="s">
        <v>584</v>
      </c>
      <c r="F19" s="21">
        <v>12</v>
      </c>
      <c r="G19" s="21">
        <v>0</v>
      </c>
      <c r="H19" s="21">
        <v>30</v>
      </c>
      <c r="I19" s="21">
        <f t="shared" si="1"/>
        <v>-30</v>
      </c>
      <c r="J19" s="20" t="s">
        <v>21</v>
      </c>
      <c r="K19" s="20" t="s">
        <v>21</v>
      </c>
      <c r="L19" s="20" t="s">
        <v>538</v>
      </c>
      <c r="M19" s="20"/>
      <c r="N19" s="20"/>
      <c r="O19" s="20"/>
      <c r="P19" s="20"/>
      <c r="Q19" s="20">
        <v>1</v>
      </c>
      <c r="R19" s="15">
        <f>H19</f>
        <v>30</v>
      </c>
    </row>
    <row r="20" spans="1:18" x14ac:dyDescent="0.25">
      <c r="A20" s="20"/>
      <c r="B20" s="20" t="s">
        <v>17</v>
      </c>
      <c r="C20" s="20" t="s">
        <v>585</v>
      </c>
      <c r="D20" s="20" t="s">
        <v>586</v>
      </c>
      <c r="E20" s="20" t="s">
        <v>587</v>
      </c>
      <c r="F20" s="20" t="s">
        <v>95</v>
      </c>
      <c r="G20" s="21">
        <v>2200</v>
      </c>
      <c r="H20" s="21">
        <v>30</v>
      </c>
      <c r="I20" s="21">
        <f t="shared" si="1"/>
        <v>2170</v>
      </c>
      <c r="J20" s="20" t="s">
        <v>21</v>
      </c>
      <c r="K20" s="20" t="s">
        <v>21</v>
      </c>
      <c r="L20" s="20" t="s">
        <v>538</v>
      </c>
      <c r="M20" s="25" t="s">
        <v>167</v>
      </c>
      <c r="N20" s="20"/>
      <c r="O20" s="20"/>
      <c r="P20" s="20"/>
      <c r="Q20" s="20">
        <v>1</v>
      </c>
      <c r="R20" s="15">
        <f>H20</f>
        <v>30</v>
      </c>
    </row>
    <row r="21" spans="1:18" x14ac:dyDescent="0.25">
      <c r="A21" s="20"/>
      <c r="B21" s="20" t="s">
        <v>17</v>
      </c>
      <c r="C21" s="20" t="s">
        <v>588</v>
      </c>
      <c r="D21" s="20" t="s">
        <v>589</v>
      </c>
      <c r="E21" s="20" t="s">
        <v>590</v>
      </c>
      <c r="F21" s="20" t="s">
        <v>81</v>
      </c>
      <c r="G21" s="21">
        <v>670</v>
      </c>
      <c r="H21" s="21">
        <v>30</v>
      </c>
      <c r="I21" s="21">
        <f t="shared" si="1"/>
        <v>640</v>
      </c>
      <c r="J21" s="20" t="s">
        <v>21</v>
      </c>
      <c r="K21" s="20" t="s">
        <v>21</v>
      </c>
      <c r="L21" s="20" t="s">
        <v>538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17</v>
      </c>
      <c r="C22" s="20" t="s">
        <v>591</v>
      </c>
      <c r="D22" s="20" t="s">
        <v>592</v>
      </c>
      <c r="E22" s="20" t="s">
        <v>593</v>
      </c>
      <c r="F22" s="20" t="s">
        <v>85</v>
      </c>
      <c r="G22" s="21">
        <v>0</v>
      </c>
      <c r="H22" s="21">
        <v>20</v>
      </c>
      <c r="I22" s="21">
        <f t="shared" si="1"/>
        <v>-20</v>
      </c>
      <c r="J22" s="20" t="s">
        <v>21</v>
      </c>
      <c r="K22" s="20" t="s">
        <v>21</v>
      </c>
      <c r="L22" s="20" t="s">
        <v>538</v>
      </c>
      <c r="M22" s="20"/>
      <c r="N22" s="20"/>
      <c r="O22" s="20"/>
      <c r="P22" s="20"/>
      <c r="Q22" s="20">
        <v>1</v>
      </c>
      <c r="R22" s="15">
        <f>H22</f>
        <v>20</v>
      </c>
    </row>
    <row r="23" spans="1:18" x14ac:dyDescent="0.25">
      <c r="A23" s="20"/>
      <c r="B23" s="20" t="s">
        <v>17</v>
      </c>
      <c r="C23" s="20" t="s">
        <v>594</v>
      </c>
      <c r="D23" s="20" t="s">
        <v>595</v>
      </c>
      <c r="E23" s="20" t="s">
        <v>596</v>
      </c>
      <c r="F23" s="21">
        <v>2</v>
      </c>
      <c r="G23" s="21">
        <v>690</v>
      </c>
      <c r="H23" s="21">
        <v>30</v>
      </c>
      <c r="I23" s="21">
        <f t="shared" si="1"/>
        <v>660</v>
      </c>
      <c r="J23" s="20" t="s">
        <v>21</v>
      </c>
      <c r="K23" s="20" t="s">
        <v>21</v>
      </c>
      <c r="L23" s="20" t="s">
        <v>538</v>
      </c>
      <c r="M23" s="20"/>
      <c r="N23" s="20"/>
      <c r="O23" s="20"/>
      <c r="P23" s="20"/>
      <c r="Q23" s="20">
        <v>1</v>
      </c>
    </row>
    <row r="24" spans="1:18" s="24" customFormat="1" x14ac:dyDescent="0.25">
      <c r="A24" s="22"/>
      <c r="B24" s="22" t="s">
        <v>17</v>
      </c>
      <c r="C24" s="22" t="s">
        <v>78</v>
      </c>
      <c r="D24" s="22" t="s">
        <v>597</v>
      </c>
      <c r="E24" s="22" t="s">
        <v>80</v>
      </c>
      <c r="F24" s="22" t="s">
        <v>81</v>
      </c>
      <c r="G24" s="23">
        <v>30</v>
      </c>
      <c r="H24" s="23">
        <v>30</v>
      </c>
      <c r="I24" s="23">
        <f t="shared" si="1"/>
        <v>0</v>
      </c>
      <c r="J24" s="22" t="s">
        <v>21</v>
      </c>
      <c r="K24" s="22" t="s">
        <v>21</v>
      </c>
      <c r="L24" s="22" t="s">
        <v>538</v>
      </c>
      <c r="M24" s="22" t="s">
        <v>126</v>
      </c>
      <c r="N24" s="22"/>
      <c r="O24" s="22"/>
      <c r="P24" s="22"/>
      <c r="Q24" s="22">
        <v>1</v>
      </c>
    </row>
    <row r="25" spans="1:18" x14ac:dyDescent="0.25">
      <c r="A25" s="20"/>
      <c r="B25" s="20" t="s">
        <v>17</v>
      </c>
      <c r="C25" s="20" t="s">
        <v>598</v>
      </c>
      <c r="D25" s="20" t="s">
        <v>599</v>
      </c>
      <c r="E25" s="20" t="s">
        <v>600</v>
      </c>
      <c r="F25" s="20" t="s">
        <v>81</v>
      </c>
      <c r="G25" s="21">
        <v>780</v>
      </c>
      <c r="H25" s="21">
        <v>30</v>
      </c>
      <c r="I25" s="21">
        <f t="shared" si="1"/>
        <v>750</v>
      </c>
      <c r="J25" s="20" t="s">
        <v>21</v>
      </c>
      <c r="K25" s="20" t="s">
        <v>21</v>
      </c>
      <c r="L25" s="20" t="s">
        <v>538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601</v>
      </c>
      <c r="D26" s="20" t="s">
        <v>602</v>
      </c>
      <c r="E26" s="20" t="s">
        <v>603</v>
      </c>
      <c r="F26" s="21">
        <v>2</v>
      </c>
      <c r="G26" s="21">
        <v>850</v>
      </c>
      <c r="H26" s="21">
        <v>30</v>
      </c>
      <c r="I26" s="21">
        <f t="shared" si="1"/>
        <v>820</v>
      </c>
      <c r="J26" s="20" t="s">
        <v>21</v>
      </c>
      <c r="K26" s="20" t="s">
        <v>21</v>
      </c>
      <c r="L26" s="20" t="s">
        <v>538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17</v>
      </c>
      <c r="C27" s="20" t="s">
        <v>604</v>
      </c>
      <c r="D27" s="20" t="s">
        <v>605</v>
      </c>
      <c r="E27" s="20" t="s">
        <v>606</v>
      </c>
      <c r="F27" s="20" t="s">
        <v>85</v>
      </c>
      <c r="G27" s="21">
        <v>0</v>
      </c>
      <c r="H27" s="21">
        <v>20</v>
      </c>
      <c r="I27" s="21">
        <f t="shared" si="1"/>
        <v>-20</v>
      </c>
      <c r="J27" s="20" t="s">
        <v>21</v>
      </c>
      <c r="K27" s="20" t="s">
        <v>21</v>
      </c>
      <c r="L27" s="20" t="s">
        <v>538</v>
      </c>
      <c r="M27" s="20"/>
      <c r="N27" s="20"/>
      <c r="O27" s="20"/>
      <c r="P27" s="20"/>
      <c r="Q27" s="20">
        <v>1</v>
      </c>
      <c r="R27" s="15">
        <f>H27</f>
        <v>20</v>
      </c>
    </row>
    <row r="28" spans="1:18" x14ac:dyDescent="0.25">
      <c r="A28" s="20" t="s">
        <v>16</v>
      </c>
      <c r="B28" s="20" t="s">
        <v>17</v>
      </c>
      <c r="C28" s="20" t="s">
        <v>370</v>
      </c>
      <c r="D28" s="20"/>
      <c r="E28" s="20" t="s">
        <v>371</v>
      </c>
      <c r="F28" s="20" t="s">
        <v>77</v>
      </c>
      <c r="G28" s="21">
        <v>30</v>
      </c>
      <c r="H28" s="21">
        <v>30</v>
      </c>
      <c r="I28" s="21">
        <f t="shared" si="1"/>
        <v>0</v>
      </c>
      <c r="J28" s="20" t="s">
        <v>21</v>
      </c>
      <c r="K28" s="20" t="s">
        <v>21</v>
      </c>
      <c r="L28" s="20" t="s">
        <v>538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17</v>
      </c>
      <c r="C29" s="20" t="s">
        <v>607</v>
      </c>
      <c r="D29" s="20" t="s">
        <v>608</v>
      </c>
      <c r="E29" s="20" t="s">
        <v>609</v>
      </c>
      <c r="F29" s="21">
        <v>5</v>
      </c>
      <c r="G29" s="21">
        <v>1175</v>
      </c>
      <c r="H29" s="21">
        <v>25</v>
      </c>
      <c r="I29" s="21">
        <f t="shared" si="1"/>
        <v>1150</v>
      </c>
      <c r="J29" s="20" t="s">
        <v>135</v>
      </c>
      <c r="K29" s="20" t="s">
        <v>21</v>
      </c>
      <c r="L29" s="20" t="s">
        <v>538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17</v>
      </c>
      <c r="C30" s="20" t="s">
        <v>610</v>
      </c>
      <c r="D30" s="20" t="s">
        <v>611</v>
      </c>
      <c r="E30" s="20" t="s">
        <v>612</v>
      </c>
      <c r="F30" s="21">
        <v>4</v>
      </c>
      <c r="G30" s="21">
        <v>765</v>
      </c>
      <c r="H30" s="21">
        <v>25</v>
      </c>
      <c r="I30" s="21">
        <f t="shared" si="1"/>
        <v>740</v>
      </c>
      <c r="J30" s="20" t="s">
        <v>135</v>
      </c>
      <c r="K30" s="20" t="s">
        <v>21</v>
      </c>
      <c r="L30" s="20" t="s">
        <v>538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17</v>
      </c>
      <c r="C31" s="20" t="s">
        <v>613</v>
      </c>
      <c r="D31" s="20" t="s">
        <v>614</v>
      </c>
      <c r="E31" s="20" t="s">
        <v>615</v>
      </c>
      <c r="F31" s="21">
        <v>3</v>
      </c>
      <c r="G31" s="21">
        <v>0</v>
      </c>
      <c r="H31" s="21">
        <v>25</v>
      </c>
      <c r="I31" s="21">
        <f t="shared" si="1"/>
        <v>-25</v>
      </c>
      <c r="J31" s="20" t="s">
        <v>135</v>
      </c>
      <c r="K31" s="20" t="s">
        <v>21</v>
      </c>
      <c r="L31" s="20" t="s">
        <v>538</v>
      </c>
      <c r="M31" s="20"/>
      <c r="N31" s="20"/>
      <c r="O31" s="20"/>
      <c r="P31" s="20"/>
      <c r="Q31" s="20">
        <v>1</v>
      </c>
      <c r="R31" s="15">
        <f>H31</f>
        <v>25</v>
      </c>
    </row>
    <row r="32" spans="1:18" x14ac:dyDescent="0.25">
      <c r="A32" s="20"/>
      <c r="B32" s="20" t="s">
        <v>17</v>
      </c>
      <c r="C32" s="20" t="s">
        <v>616</v>
      </c>
      <c r="D32" s="20" t="s">
        <v>617</v>
      </c>
      <c r="E32" s="20" t="s">
        <v>270</v>
      </c>
      <c r="F32" s="20" t="s">
        <v>95</v>
      </c>
      <c r="G32" s="21">
        <v>685</v>
      </c>
      <c r="H32" s="21">
        <v>25</v>
      </c>
      <c r="I32" s="21">
        <f t="shared" si="1"/>
        <v>660</v>
      </c>
      <c r="J32" s="20" t="s">
        <v>135</v>
      </c>
      <c r="K32" s="20" t="s">
        <v>21</v>
      </c>
      <c r="L32" s="20" t="s">
        <v>538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17</v>
      </c>
      <c r="C33" s="20" t="s">
        <v>618</v>
      </c>
      <c r="D33" s="20" t="s">
        <v>619</v>
      </c>
      <c r="E33" s="20" t="s">
        <v>620</v>
      </c>
      <c r="F33" s="21">
        <v>10</v>
      </c>
      <c r="G33" s="21">
        <v>865</v>
      </c>
      <c r="H33" s="21">
        <v>25</v>
      </c>
      <c r="I33" s="21">
        <f t="shared" si="1"/>
        <v>840</v>
      </c>
      <c r="J33" s="20" t="s">
        <v>135</v>
      </c>
      <c r="K33" s="20" t="s">
        <v>21</v>
      </c>
      <c r="L33" s="20" t="s">
        <v>538</v>
      </c>
      <c r="M33" s="20"/>
      <c r="N33" s="20"/>
      <c r="O33" s="20"/>
      <c r="P33" s="20"/>
      <c r="Q33" s="20">
        <v>1</v>
      </c>
    </row>
    <row r="34" spans="1:18" x14ac:dyDescent="0.25">
      <c r="A34" s="20"/>
      <c r="B34" s="20" t="s">
        <v>17</v>
      </c>
      <c r="C34" s="20" t="s">
        <v>621</v>
      </c>
      <c r="D34" s="20" t="s">
        <v>622</v>
      </c>
      <c r="E34" s="20" t="s">
        <v>623</v>
      </c>
      <c r="F34" s="20" t="s">
        <v>95</v>
      </c>
      <c r="G34" s="21">
        <v>0</v>
      </c>
      <c r="H34" s="21">
        <v>25</v>
      </c>
      <c r="I34" s="21">
        <f t="shared" si="1"/>
        <v>-25</v>
      </c>
      <c r="J34" s="20" t="s">
        <v>135</v>
      </c>
      <c r="K34" s="20" t="s">
        <v>21</v>
      </c>
      <c r="L34" s="20" t="s">
        <v>538</v>
      </c>
      <c r="M34" s="20"/>
      <c r="N34" s="20"/>
      <c r="O34" s="20"/>
      <c r="P34" s="20"/>
      <c r="Q34" s="20">
        <v>1</v>
      </c>
      <c r="R34" s="15">
        <f>H34</f>
        <v>25</v>
      </c>
    </row>
    <row r="35" spans="1:18" x14ac:dyDescent="0.25">
      <c r="A35" s="20"/>
      <c r="B35" s="20" t="s">
        <v>17</v>
      </c>
      <c r="C35" s="20" t="s">
        <v>624</v>
      </c>
      <c r="D35" s="20" t="s">
        <v>625</v>
      </c>
      <c r="E35" s="20" t="s">
        <v>626</v>
      </c>
      <c r="F35" s="21">
        <v>5</v>
      </c>
      <c r="G35" s="21">
        <v>0</v>
      </c>
      <c r="H35" s="21">
        <v>25</v>
      </c>
      <c r="I35" s="21">
        <f t="shared" si="1"/>
        <v>-25</v>
      </c>
      <c r="J35" s="20" t="s">
        <v>135</v>
      </c>
      <c r="K35" s="20" t="s">
        <v>21</v>
      </c>
      <c r="L35" s="20" t="s">
        <v>538</v>
      </c>
      <c r="M35" s="20"/>
      <c r="N35" s="20"/>
      <c r="O35" s="20"/>
      <c r="P35" s="20"/>
      <c r="Q35" s="20">
        <v>1</v>
      </c>
      <c r="R35" s="15">
        <f>H35</f>
        <v>25</v>
      </c>
    </row>
    <row r="36" spans="1:18" x14ac:dyDescent="0.25">
      <c r="A36" s="20"/>
      <c r="B36" s="20" t="s">
        <v>17</v>
      </c>
      <c r="C36" s="20" t="s">
        <v>627</v>
      </c>
      <c r="D36" s="20" t="s">
        <v>628</v>
      </c>
      <c r="E36" s="20" t="s">
        <v>629</v>
      </c>
      <c r="F36" s="21">
        <v>1</v>
      </c>
      <c r="G36" s="21">
        <v>2050</v>
      </c>
      <c r="H36" s="21">
        <v>30</v>
      </c>
      <c r="I36" s="21">
        <f t="shared" si="1"/>
        <v>2020</v>
      </c>
      <c r="J36" s="20" t="s">
        <v>135</v>
      </c>
      <c r="K36" s="20" t="s">
        <v>21</v>
      </c>
      <c r="L36" s="20" t="s">
        <v>538</v>
      </c>
      <c r="M36" s="25" t="s">
        <v>167</v>
      </c>
      <c r="N36" s="20"/>
      <c r="O36" s="20"/>
      <c r="P36" s="20"/>
      <c r="Q36" s="20">
        <v>1</v>
      </c>
      <c r="R36" s="15">
        <f>H36</f>
        <v>30</v>
      </c>
    </row>
    <row r="38" spans="1:18" x14ac:dyDescent="0.25">
      <c r="D38" s="6">
        <f>COUNTA(D3:D36)</f>
        <v>33</v>
      </c>
      <c r="G38" s="6">
        <f t="shared" ref="G38:Q38" si="2">SUBTOTAL(9,G3:G36)</f>
        <v>18545</v>
      </c>
      <c r="H38" s="6">
        <f t="shared" si="2"/>
        <v>930</v>
      </c>
      <c r="I38" s="6">
        <f t="shared" si="2"/>
        <v>17615</v>
      </c>
      <c r="J38" s="6">
        <f t="shared" si="2"/>
        <v>0</v>
      </c>
      <c r="K38" s="6">
        <f t="shared" si="2"/>
        <v>0</v>
      </c>
      <c r="L38" s="6">
        <f t="shared" si="2"/>
        <v>0</v>
      </c>
      <c r="M38" s="6">
        <f t="shared" si="2"/>
        <v>0</v>
      </c>
      <c r="N38" s="6">
        <f t="shared" si="2"/>
        <v>0</v>
      </c>
      <c r="O38" s="6">
        <f t="shared" si="2"/>
        <v>0</v>
      </c>
      <c r="P38" s="6">
        <f t="shared" si="2"/>
        <v>0</v>
      </c>
      <c r="Q38" s="6">
        <f t="shared" si="2"/>
        <v>34</v>
      </c>
    </row>
    <row r="39" spans="1:18" x14ac:dyDescent="0.25">
      <c r="H39">
        <f>-7*17</f>
        <v>-119</v>
      </c>
    </row>
    <row r="40" spans="1:18" x14ac:dyDescent="0.25">
      <c r="A40" s="6" t="s">
        <v>17</v>
      </c>
      <c r="C40" s="5" t="s">
        <v>191</v>
      </c>
      <c r="D40" s="5"/>
      <c r="E40" s="9" t="s">
        <v>192</v>
      </c>
      <c r="H40">
        <f>-3*25</f>
        <v>-75</v>
      </c>
      <c r="K40" s="16" t="s">
        <v>545</v>
      </c>
      <c r="L40" s="16" t="s">
        <v>193</v>
      </c>
      <c r="M40" s="16" t="s">
        <v>192</v>
      </c>
      <c r="O40" s="9" t="s">
        <v>194</v>
      </c>
    </row>
    <row r="41" spans="1:18" x14ac:dyDescent="0.25">
      <c r="A41" t="s">
        <v>538</v>
      </c>
      <c r="B41" s="8" t="s">
        <v>195</v>
      </c>
      <c r="C41" s="4">
        <f>SUMIFS(I$3:I$36,B$3:B$36,A$40,L$3:L$36,A$41)</f>
        <v>17615</v>
      </c>
      <c r="D41" s="4"/>
      <c r="E41" s="8">
        <f>SUMIFS(Q$3:Q$36,B$3:B$36,A$40,L$3:L$36,A$41)</f>
        <v>34</v>
      </c>
      <c r="F41" t="s">
        <v>196</v>
      </c>
      <c r="H41">
        <f>-3*30</f>
        <v>-90</v>
      </c>
      <c r="K41" t="s">
        <v>197</v>
      </c>
      <c r="L41">
        <f>SUMIFS(G$3:G$36,J$3:J$36,K$40)</f>
        <v>5305</v>
      </c>
      <c r="M41">
        <f>SUMIFS(Q$3:Q$36,J$3:J$36,K$40)-INT(COUNTIFS(J$3:J$36,K$40,M$3:M$36,"*gộp*")/2)</f>
        <v>12</v>
      </c>
      <c r="O41" t="s">
        <v>630</v>
      </c>
      <c r="P41">
        <f>L46</f>
        <v>5021</v>
      </c>
    </row>
    <row r="42" spans="1:18" x14ac:dyDescent="0.25">
      <c r="B42" s="7" t="s">
        <v>199</v>
      </c>
      <c r="C42" s="3">
        <v>0</v>
      </c>
      <c r="D42" s="3"/>
      <c r="K42" t="s">
        <v>200</v>
      </c>
      <c r="L42">
        <f>SUM(H39:H41)</f>
        <v>-284</v>
      </c>
      <c r="M42">
        <f>SUMIFS(Q$3:Q$36,J$3:J$36,K$40)-INT(COUNTIFS(J$3:J$36,K$40,M$3:M$36,"*gộp*")/2)</f>
        <v>12</v>
      </c>
      <c r="O42" t="s">
        <v>135</v>
      </c>
      <c r="P42">
        <f>L54</f>
        <v>5375</v>
      </c>
    </row>
    <row r="43" spans="1:18" x14ac:dyDescent="0.25">
      <c r="B43" s="7" t="s">
        <v>201</v>
      </c>
      <c r="C43" s="3">
        <f>-SUMIFS(I$3:I$36,B$3:B$36,A$40,P$3:P$36,"xx",N$3:N$36,"x")</f>
        <v>0</v>
      </c>
      <c r="D43" s="3"/>
      <c r="E43" s="7">
        <f>SUMIFS(Q$3:Q$36,B$3:B$36,A$40,P$3:P$36,"xx",N$3:N$36,"x")</f>
        <v>0</v>
      </c>
      <c r="K43" t="s">
        <v>202</v>
      </c>
      <c r="O43" t="s">
        <v>20</v>
      </c>
      <c r="P43">
        <f>L62</f>
        <v>1550</v>
      </c>
    </row>
    <row r="44" spans="1:18" x14ac:dyDescent="0.25">
      <c r="B44" s="9" t="s">
        <v>203</v>
      </c>
      <c r="C44" s="5">
        <f>SUBTOTAL(9,C41:C43)</f>
        <v>17615</v>
      </c>
      <c r="D44" s="5"/>
      <c r="E44">
        <f>E41</f>
        <v>34</v>
      </c>
      <c r="K44" s="7" t="s">
        <v>204</v>
      </c>
      <c r="O44" t="s">
        <v>21</v>
      </c>
      <c r="P44">
        <f>L70</f>
        <v>5779</v>
      </c>
    </row>
    <row r="45" spans="1:18" x14ac:dyDescent="0.25">
      <c r="B45" s="7" t="s">
        <v>205</v>
      </c>
      <c r="C45" s="2"/>
      <c r="D45" s="2"/>
      <c r="K45" s="7" t="s">
        <v>206</v>
      </c>
      <c r="O45" t="s">
        <v>207</v>
      </c>
      <c r="P45">
        <f>-C48</f>
        <v>-17615</v>
      </c>
    </row>
    <row r="46" spans="1:18" x14ac:dyDescent="0.25">
      <c r="B46" s="17" t="s">
        <v>208</v>
      </c>
      <c r="C46" s="2"/>
      <c r="D46" s="2"/>
      <c r="L46" s="18">
        <f>SUBTOTAL(9,L41:L45)</f>
        <v>5021</v>
      </c>
      <c r="M46" s="18">
        <f>M41</f>
        <v>12</v>
      </c>
      <c r="O46" s="9" t="s">
        <v>209</v>
      </c>
      <c r="P46" s="9">
        <f>SUBTOTAL(9,P41:P45)</f>
        <v>110</v>
      </c>
    </row>
    <row r="48" spans="1:18" x14ac:dyDescent="0.25">
      <c r="B48" s="6" t="s">
        <v>210</v>
      </c>
      <c r="C48" s="1">
        <f>C44+C45+C46</f>
        <v>17615</v>
      </c>
      <c r="D48" s="1"/>
      <c r="E48" s="6" t="s">
        <v>211</v>
      </c>
      <c r="K48" s="16" t="s">
        <v>135</v>
      </c>
      <c r="L48" s="16" t="s">
        <v>193</v>
      </c>
      <c r="M48" s="16" t="s">
        <v>192</v>
      </c>
    </row>
    <row r="49" spans="11:13" x14ac:dyDescent="0.25">
      <c r="K49" t="s">
        <v>197</v>
      </c>
      <c r="L49">
        <f>SUMIFS(G$3:G$36,J$3:J$36,K$48)</f>
        <v>5540</v>
      </c>
      <c r="M49">
        <f>SUMIFS(Q$3:Q$36,J$3:J$36,K$48)-INT(COUNTIFS(J$3:J$36,K$48,M$3:M$36,"*gộp*")/2)</f>
        <v>8</v>
      </c>
    </row>
    <row r="50" spans="11:13" x14ac:dyDescent="0.25">
      <c r="K50" t="s">
        <v>200</v>
      </c>
      <c r="L50">
        <f>-SUMIFS(H$3:H$36,J$3:J$36,K$48)+M50*5</f>
        <v>-165</v>
      </c>
      <c r="M50">
        <f>SUMIFS(Q$3:Q$36,J$3:J$36,K$48)-INT(COUNTIFS(J$3:J$36,K$48,M$3:M$36,"*gộp*")/2)</f>
        <v>8</v>
      </c>
    </row>
    <row r="51" spans="11:13" x14ac:dyDescent="0.25">
      <c r="K51" t="s">
        <v>202</v>
      </c>
    </row>
    <row r="52" spans="11:13" x14ac:dyDescent="0.25">
      <c r="K52" s="7" t="s">
        <v>204</v>
      </c>
    </row>
    <row r="53" spans="11:13" x14ac:dyDescent="0.25">
      <c r="K53" s="7" t="s">
        <v>206</v>
      </c>
    </row>
    <row r="54" spans="11:13" x14ac:dyDescent="0.25">
      <c r="L54" s="18">
        <f>SUBTOTAL(9,L49:L53)</f>
        <v>5375</v>
      </c>
      <c r="M54" s="18">
        <f>M49</f>
        <v>8</v>
      </c>
    </row>
    <row r="56" spans="11:13" x14ac:dyDescent="0.25">
      <c r="K56" s="16" t="s">
        <v>20</v>
      </c>
      <c r="L56" s="16" t="s">
        <v>193</v>
      </c>
      <c r="M56" s="16" t="s">
        <v>192</v>
      </c>
    </row>
    <row r="57" spans="11:13" x14ac:dyDescent="0.25">
      <c r="K57" t="s">
        <v>197</v>
      </c>
      <c r="L57">
        <f>SUMIFS(G$3:G$36,J$3:J$36,K$56)</f>
        <v>1600</v>
      </c>
      <c r="M57">
        <f>SUMIFS(Q$3:Q$36,J$3:J$36,K$56)-INT(COUNTIFS(J$3:J$36,K$56,M$3:M$36,"*gộp*")/2)</f>
        <v>2</v>
      </c>
    </row>
    <row r="58" spans="11:13" x14ac:dyDescent="0.25">
      <c r="K58" t="s">
        <v>200</v>
      </c>
      <c r="L58">
        <f>-SUMIFS(H$3:H$36,J$3:J$36,K$56)+M58*5</f>
        <v>-50</v>
      </c>
      <c r="M58">
        <f>SUMIFS(Q$3:Q$36,J$3:J$36,K$56)-INT(COUNTIFS(J$3:J$36,K$56,M$3:M$36,"*gộp*")/2)</f>
        <v>2</v>
      </c>
    </row>
    <row r="59" spans="11:13" x14ac:dyDescent="0.25">
      <c r="K59" t="s">
        <v>202</v>
      </c>
    </row>
    <row r="60" spans="11:13" x14ac:dyDescent="0.25">
      <c r="K60" s="7" t="s">
        <v>204</v>
      </c>
    </row>
    <row r="61" spans="11:13" x14ac:dyDescent="0.25">
      <c r="K61" s="7" t="s">
        <v>206</v>
      </c>
    </row>
    <row r="62" spans="11:13" x14ac:dyDescent="0.25">
      <c r="L62" s="18">
        <f>SUBTOTAL(9,L57:L61)</f>
        <v>1550</v>
      </c>
      <c r="M62" s="18">
        <f>M57</f>
        <v>2</v>
      </c>
    </row>
    <row r="64" spans="11:13" x14ac:dyDescent="0.25">
      <c r="K64" s="16" t="s">
        <v>21</v>
      </c>
      <c r="L64" s="16" t="s">
        <v>193</v>
      </c>
      <c r="M64" s="16" t="s">
        <v>192</v>
      </c>
    </row>
    <row r="65" spans="11:13" x14ac:dyDescent="0.25">
      <c r="K65" t="s">
        <v>197</v>
      </c>
      <c r="L65">
        <f>SUMIFS(G$3:G$36,J$3:J$36,K$64)</f>
        <v>6100</v>
      </c>
      <c r="M65">
        <f>SUMIFS(Q$3:Q$36,J$3:J$36,K$64)-INT(COUNTIFS(J$3:J$36,K$64,M$3:M$36,"*gộp*")/2)</f>
        <v>11</v>
      </c>
    </row>
    <row r="66" spans="11:13" x14ac:dyDescent="0.25">
      <c r="K66" t="s">
        <v>200</v>
      </c>
      <c r="L66">
        <f>-SUMIFS(H$3:H$36,J$3:J$36,K$64)+M66*5</f>
        <v>-255</v>
      </c>
      <c r="M66">
        <f>SUMIFS(Q$3:Q$36,J$3:J$36,K$64)-INT(COUNTIFS(J$3:J$36,K$64,M$3:M$36,"*gộp*")/2)</f>
        <v>11</v>
      </c>
    </row>
    <row r="67" spans="11:13" x14ac:dyDescent="0.25">
      <c r="K67" t="s">
        <v>202</v>
      </c>
      <c r="L67">
        <f>-M67*2</f>
        <v>-66</v>
      </c>
      <c r="M67">
        <f>E44-(COUNTIFS(M$3:M$36,"*gộp*")/2)-COUNTIFS(M$3:M$36,"*đơn trả*")-COUNTIFS(M$3:M$36,"*hàng tỉnh*")</f>
        <v>33</v>
      </c>
    </row>
    <row r="68" spans="11:13" x14ac:dyDescent="0.25">
      <c r="K68" s="7" t="s">
        <v>204</v>
      </c>
    </row>
    <row r="69" spans="11:13" x14ac:dyDescent="0.25">
      <c r="K69" s="7" t="s">
        <v>206</v>
      </c>
    </row>
    <row r="70" spans="11:13" x14ac:dyDescent="0.25">
      <c r="L70" s="18">
        <f>SUBTOTAL(9,L65:L69)</f>
        <v>5779</v>
      </c>
      <c r="M70" s="18">
        <f>M65</f>
        <v>11</v>
      </c>
    </row>
  </sheetData>
  <autoFilter ref="A2:P36" xr:uid="{00000000-0009-0000-0000-000004000000}">
    <sortState xmlns:xlrd2="http://schemas.microsoft.com/office/spreadsheetml/2017/richdata2" ref="A3:P36">
      <sortCondition ref="J2:J36"/>
    </sortState>
  </autoFilter>
  <mergeCells count="8">
    <mergeCell ref="C45:D45"/>
    <mergeCell ref="C46:D46"/>
    <mergeCell ref="C48:D48"/>
    <mergeCell ref="C40:D40"/>
    <mergeCell ref="C41:D41"/>
    <mergeCell ref="C42:D42"/>
    <mergeCell ref="C43:D43"/>
    <mergeCell ref="C44:D44"/>
  </mergeCells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R65"/>
  <sheetViews>
    <sheetView topLeftCell="C26" workbookViewId="0">
      <selection activeCell="D39" sqref="D39"/>
    </sheetView>
  </sheetViews>
  <sheetFormatPr defaultRowHeight="15" x14ac:dyDescent="0.25"/>
  <cols>
    <col min="1" max="1" width="12.7109375" customWidth="1"/>
    <col min="2" max="2" width="17.7109375" customWidth="1"/>
    <col min="3" max="3" width="46.28515625" customWidth="1"/>
    <col min="4" max="4" width="9.85546875" customWidth="1"/>
    <col min="5" max="5" width="85.425781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 t="s">
        <v>16</v>
      </c>
      <c r="B3" s="20" t="s">
        <v>17</v>
      </c>
      <c r="C3" s="20" t="s">
        <v>631</v>
      </c>
      <c r="D3" s="20"/>
      <c r="E3" s="20" t="s">
        <v>632</v>
      </c>
      <c r="F3" s="21">
        <v>6</v>
      </c>
      <c r="G3" s="21">
        <v>0</v>
      </c>
      <c r="H3" s="21">
        <v>30</v>
      </c>
      <c r="I3" s="21">
        <f t="shared" ref="I3:I39" si="0">G3-H3</f>
        <v>-30</v>
      </c>
      <c r="J3" s="20" t="s">
        <v>633</v>
      </c>
      <c r="K3" s="20" t="s">
        <v>21</v>
      </c>
      <c r="L3" s="20" t="s">
        <v>634</v>
      </c>
      <c r="M3" s="20"/>
      <c r="N3" s="20"/>
      <c r="O3" s="20"/>
      <c r="P3" s="20"/>
      <c r="Q3" s="20">
        <v>1</v>
      </c>
      <c r="R3" s="15">
        <f>H3</f>
        <v>30</v>
      </c>
    </row>
    <row r="4" spans="1:18" x14ac:dyDescent="0.25">
      <c r="A4" s="20" t="s">
        <v>16</v>
      </c>
      <c r="B4" s="20" t="s">
        <v>17</v>
      </c>
      <c r="C4" s="20" t="s">
        <v>635</v>
      </c>
      <c r="D4" s="20"/>
      <c r="E4" s="20" t="s">
        <v>636</v>
      </c>
      <c r="F4" s="20" t="s">
        <v>26</v>
      </c>
      <c r="G4" s="21">
        <v>0</v>
      </c>
      <c r="H4" s="21">
        <v>35</v>
      </c>
      <c r="I4" s="21">
        <f t="shared" si="0"/>
        <v>-35</v>
      </c>
      <c r="J4" s="20" t="s">
        <v>633</v>
      </c>
      <c r="K4" s="20" t="s">
        <v>21</v>
      </c>
      <c r="L4" s="20" t="s">
        <v>634</v>
      </c>
      <c r="M4" s="20"/>
      <c r="N4" s="20"/>
      <c r="O4" s="20"/>
      <c r="P4" s="20"/>
      <c r="Q4" s="20">
        <v>1</v>
      </c>
      <c r="R4" s="15">
        <f>H4</f>
        <v>35</v>
      </c>
    </row>
    <row r="5" spans="1:18" x14ac:dyDescent="0.25">
      <c r="A5" s="20"/>
      <c r="B5" s="20" t="s">
        <v>17</v>
      </c>
      <c r="C5" s="20" t="s">
        <v>637</v>
      </c>
      <c r="D5" s="20" t="s">
        <v>638</v>
      </c>
      <c r="E5" s="20" t="s">
        <v>639</v>
      </c>
      <c r="F5" s="21">
        <v>9</v>
      </c>
      <c r="G5" s="21">
        <v>2630</v>
      </c>
      <c r="H5" s="21">
        <v>30</v>
      </c>
      <c r="I5" s="21">
        <f t="shared" si="0"/>
        <v>2600</v>
      </c>
      <c r="J5" s="20" t="s">
        <v>633</v>
      </c>
      <c r="K5" s="20" t="s">
        <v>21</v>
      </c>
      <c r="L5" s="20" t="s">
        <v>634</v>
      </c>
      <c r="M5" s="25" t="s">
        <v>167</v>
      </c>
      <c r="N5" s="20"/>
      <c r="O5" s="20"/>
      <c r="P5" s="20"/>
      <c r="Q5" s="20">
        <v>1</v>
      </c>
      <c r="R5" s="15">
        <f>H5</f>
        <v>30</v>
      </c>
    </row>
    <row r="6" spans="1:18" x14ac:dyDescent="0.25">
      <c r="A6" s="20"/>
      <c r="B6" s="20" t="s">
        <v>17</v>
      </c>
      <c r="C6" s="20" t="s">
        <v>640</v>
      </c>
      <c r="D6" s="20" t="s">
        <v>641</v>
      </c>
      <c r="E6" s="20" t="s">
        <v>642</v>
      </c>
      <c r="F6" s="20" t="s">
        <v>134</v>
      </c>
      <c r="G6" s="21">
        <v>905</v>
      </c>
      <c r="H6" s="21">
        <v>35</v>
      </c>
      <c r="I6" s="21">
        <f t="shared" si="0"/>
        <v>870</v>
      </c>
      <c r="J6" s="20" t="s">
        <v>633</v>
      </c>
      <c r="K6" s="20" t="s">
        <v>21</v>
      </c>
      <c r="L6" s="20" t="s">
        <v>634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643</v>
      </c>
      <c r="D7" s="20" t="s">
        <v>644</v>
      </c>
      <c r="E7" s="20" t="s">
        <v>645</v>
      </c>
      <c r="F7" s="21">
        <v>8</v>
      </c>
      <c r="G7" s="21">
        <v>0</v>
      </c>
      <c r="H7" s="21">
        <v>30</v>
      </c>
      <c r="I7" s="21">
        <f t="shared" si="0"/>
        <v>-30</v>
      </c>
      <c r="J7" s="20" t="s">
        <v>633</v>
      </c>
      <c r="K7" s="20" t="s">
        <v>21</v>
      </c>
      <c r="L7" s="20" t="s">
        <v>634</v>
      </c>
      <c r="M7" s="20"/>
      <c r="N7" s="20"/>
      <c r="O7" s="20"/>
      <c r="P7" s="20"/>
      <c r="Q7" s="20">
        <v>1</v>
      </c>
      <c r="R7" s="15">
        <f>H7</f>
        <v>30</v>
      </c>
    </row>
    <row r="8" spans="1:18" x14ac:dyDescent="0.25">
      <c r="A8" s="20"/>
      <c r="B8" s="20" t="s">
        <v>17</v>
      </c>
      <c r="C8" s="20" t="s">
        <v>646</v>
      </c>
      <c r="D8" s="20" t="s">
        <v>647</v>
      </c>
      <c r="E8" s="20" t="s">
        <v>648</v>
      </c>
      <c r="F8" s="21">
        <v>8</v>
      </c>
      <c r="G8" s="21">
        <v>470</v>
      </c>
      <c r="H8" s="21">
        <v>30</v>
      </c>
      <c r="I8" s="21">
        <f t="shared" si="0"/>
        <v>440</v>
      </c>
      <c r="J8" s="20" t="s">
        <v>633</v>
      </c>
      <c r="K8" s="20" t="s">
        <v>21</v>
      </c>
      <c r="L8" s="20" t="s">
        <v>634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649</v>
      </c>
      <c r="D9" s="20" t="s">
        <v>650</v>
      </c>
      <c r="E9" s="20" t="s">
        <v>544</v>
      </c>
      <c r="F9" s="20" t="s">
        <v>26</v>
      </c>
      <c r="G9" s="21">
        <v>0</v>
      </c>
      <c r="H9" s="21">
        <v>30</v>
      </c>
      <c r="I9" s="21">
        <f t="shared" si="0"/>
        <v>-30</v>
      </c>
      <c r="J9" s="20" t="s">
        <v>633</v>
      </c>
      <c r="K9" s="20" t="s">
        <v>21</v>
      </c>
      <c r="L9" s="20" t="s">
        <v>634</v>
      </c>
      <c r="M9" s="20"/>
      <c r="N9" s="20"/>
      <c r="O9" s="20"/>
      <c r="P9" s="20"/>
      <c r="Q9" s="20">
        <v>1</v>
      </c>
      <c r="R9" s="15">
        <f>H9</f>
        <v>30</v>
      </c>
    </row>
    <row r="10" spans="1:18" x14ac:dyDescent="0.25">
      <c r="A10" s="20"/>
      <c r="B10" s="20" t="s">
        <v>17</v>
      </c>
      <c r="C10" s="20" t="s">
        <v>651</v>
      </c>
      <c r="D10" s="20" t="s">
        <v>652</v>
      </c>
      <c r="E10" s="20" t="s">
        <v>653</v>
      </c>
      <c r="F10" s="20" t="s">
        <v>26</v>
      </c>
      <c r="G10" s="21">
        <v>980</v>
      </c>
      <c r="H10" s="21">
        <v>30</v>
      </c>
      <c r="I10" s="21">
        <f t="shared" si="0"/>
        <v>950</v>
      </c>
      <c r="J10" s="20" t="s">
        <v>633</v>
      </c>
      <c r="K10" s="20" t="s">
        <v>21</v>
      </c>
      <c r="L10" s="20" t="s">
        <v>634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654</v>
      </c>
      <c r="D11" s="20" t="s">
        <v>655</v>
      </c>
      <c r="E11" s="20" t="s">
        <v>656</v>
      </c>
      <c r="F11" s="21">
        <v>8</v>
      </c>
      <c r="G11" s="21">
        <v>950</v>
      </c>
      <c r="H11" s="21">
        <v>30</v>
      </c>
      <c r="I11" s="21">
        <f t="shared" si="0"/>
        <v>920</v>
      </c>
      <c r="J11" s="20" t="s">
        <v>633</v>
      </c>
      <c r="K11" s="20" t="s">
        <v>21</v>
      </c>
      <c r="L11" s="20" t="s">
        <v>634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657</v>
      </c>
      <c r="D12" s="20" t="s">
        <v>658</v>
      </c>
      <c r="E12" s="20" t="s">
        <v>659</v>
      </c>
      <c r="F12" s="20" t="s">
        <v>46</v>
      </c>
      <c r="G12" s="21">
        <v>895</v>
      </c>
      <c r="H12" s="21">
        <v>25</v>
      </c>
      <c r="I12" s="21">
        <f t="shared" si="0"/>
        <v>870</v>
      </c>
      <c r="J12" s="20" t="s">
        <v>633</v>
      </c>
      <c r="K12" s="20" t="s">
        <v>21</v>
      </c>
      <c r="L12" s="20" t="s">
        <v>634</v>
      </c>
      <c r="M12" s="20"/>
      <c r="N12" s="20"/>
      <c r="O12" s="20"/>
      <c r="P12" s="20"/>
      <c r="Q12" s="20">
        <v>1</v>
      </c>
    </row>
    <row r="13" spans="1:18" s="24" customFormat="1" x14ac:dyDescent="0.25">
      <c r="A13" s="22"/>
      <c r="B13" s="22" t="s">
        <v>17</v>
      </c>
      <c r="C13" s="22" t="s">
        <v>34</v>
      </c>
      <c r="D13" s="22" t="s">
        <v>660</v>
      </c>
      <c r="E13" s="22" t="s">
        <v>36</v>
      </c>
      <c r="F13" s="23">
        <v>8</v>
      </c>
      <c r="G13" s="23">
        <v>0</v>
      </c>
      <c r="H13" s="23">
        <v>30</v>
      </c>
      <c r="I13" s="23">
        <f t="shared" si="0"/>
        <v>-30</v>
      </c>
      <c r="J13" s="22" t="s">
        <v>633</v>
      </c>
      <c r="K13" s="22" t="s">
        <v>21</v>
      </c>
      <c r="L13" s="22" t="s">
        <v>634</v>
      </c>
      <c r="M13" s="22" t="s">
        <v>126</v>
      </c>
      <c r="N13" s="22"/>
      <c r="O13" s="22"/>
      <c r="P13" s="22"/>
      <c r="Q13" s="22">
        <v>1</v>
      </c>
      <c r="R13" s="30">
        <f>H13</f>
        <v>30</v>
      </c>
    </row>
    <row r="14" spans="1:18" x14ac:dyDescent="0.25">
      <c r="A14" s="20"/>
      <c r="B14" s="20" t="s">
        <v>17</v>
      </c>
      <c r="C14" s="20" t="s">
        <v>661</v>
      </c>
      <c r="D14" s="20" t="s">
        <v>662</v>
      </c>
      <c r="E14" s="20" t="s">
        <v>663</v>
      </c>
      <c r="F14" s="20" t="s">
        <v>26</v>
      </c>
      <c r="G14" s="21">
        <v>670</v>
      </c>
      <c r="H14" s="21">
        <v>30</v>
      </c>
      <c r="I14" s="21">
        <f t="shared" si="0"/>
        <v>640</v>
      </c>
      <c r="J14" s="20" t="s">
        <v>633</v>
      </c>
      <c r="K14" s="20" t="s">
        <v>21</v>
      </c>
      <c r="L14" s="20" t="s">
        <v>634</v>
      </c>
      <c r="M14" s="20"/>
      <c r="N14" s="20"/>
      <c r="O14" s="20"/>
      <c r="P14" s="20"/>
      <c r="Q14" s="20">
        <v>1</v>
      </c>
    </row>
    <row r="15" spans="1:18" x14ac:dyDescent="0.25">
      <c r="A15" s="20" t="s">
        <v>16</v>
      </c>
      <c r="B15" s="20" t="s">
        <v>17</v>
      </c>
      <c r="C15" s="20" t="s">
        <v>370</v>
      </c>
      <c r="D15" s="20"/>
      <c r="E15" s="20" t="s">
        <v>371</v>
      </c>
      <c r="F15" s="20" t="s">
        <v>77</v>
      </c>
      <c r="G15" s="21">
        <v>30</v>
      </c>
      <c r="H15" s="21">
        <v>30</v>
      </c>
      <c r="I15" s="21">
        <f t="shared" si="0"/>
        <v>0</v>
      </c>
      <c r="J15" s="20" t="s">
        <v>21</v>
      </c>
      <c r="K15" s="20" t="s">
        <v>21</v>
      </c>
      <c r="L15" s="20" t="s">
        <v>634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664</v>
      </c>
      <c r="D16" s="20" t="s">
        <v>665</v>
      </c>
      <c r="E16" s="20" t="s">
        <v>666</v>
      </c>
      <c r="F16" s="20" t="s">
        <v>77</v>
      </c>
      <c r="G16" s="21">
        <v>565</v>
      </c>
      <c r="H16" s="21">
        <v>25</v>
      </c>
      <c r="I16" s="21">
        <f t="shared" si="0"/>
        <v>540</v>
      </c>
      <c r="J16" s="20" t="s">
        <v>21</v>
      </c>
      <c r="K16" s="20" t="s">
        <v>21</v>
      </c>
      <c r="L16" s="20" t="s">
        <v>634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667</v>
      </c>
      <c r="D17" s="20" t="s">
        <v>668</v>
      </c>
      <c r="E17" s="20" t="s">
        <v>669</v>
      </c>
      <c r="F17" s="21">
        <v>2</v>
      </c>
      <c r="G17" s="21">
        <v>1670</v>
      </c>
      <c r="H17" s="21">
        <v>30</v>
      </c>
      <c r="I17" s="21">
        <f t="shared" si="0"/>
        <v>1640</v>
      </c>
      <c r="J17" s="20" t="s">
        <v>21</v>
      </c>
      <c r="K17" s="20" t="s">
        <v>21</v>
      </c>
      <c r="L17" s="20" t="s">
        <v>634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356</v>
      </c>
      <c r="D18" s="20" t="s">
        <v>670</v>
      </c>
      <c r="E18" s="20" t="s">
        <v>358</v>
      </c>
      <c r="F18" s="21">
        <v>12</v>
      </c>
      <c r="G18" s="21">
        <v>741</v>
      </c>
      <c r="H18" s="21">
        <v>30</v>
      </c>
      <c r="I18" s="21">
        <f t="shared" si="0"/>
        <v>711</v>
      </c>
      <c r="J18" s="20" t="s">
        <v>21</v>
      </c>
      <c r="K18" s="20" t="s">
        <v>21</v>
      </c>
      <c r="L18" s="20" t="s">
        <v>634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671</v>
      </c>
      <c r="D19" s="20" t="s">
        <v>672</v>
      </c>
      <c r="E19" s="20" t="s">
        <v>673</v>
      </c>
      <c r="F19" s="21">
        <v>12</v>
      </c>
      <c r="G19" s="21">
        <v>0</v>
      </c>
      <c r="H19" s="21">
        <v>30</v>
      </c>
      <c r="I19" s="21">
        <f t="shared" si="0"/>
        <v>-30</v>
      </c>
      <c r="J19" s="20" t="s">
        <v>21</v>
      </c>
      <c r="K19" s="20" t="s">
        <v>21</v>
      </c>
      <c r="L19" s="20" t="s">
        <v>634</v>
      </c>
      <c r="M19" s="20"/>
      <c r="N19" s="20"/>
      <c r="O19" s="20"/>
      <c r="P19" s="20"/>
      <c r="Q19" s="20">
        <v>1</v>
      </c>
      <c r="R19" s="15">
        <f>H19</f>
        <v>30</v>
      </c>
    </row>
    <row r="20" spans="1:18" x14ac:dyDescent="0.25">
      <c r="A20" s="20"/>
      <c r="B20" s="20" t="s">
        <v>17</v>
      </c>
      <c r="C20" s="20" t="s">
        <v>674</v>
      </c>
      <c r="D20" s="20" t="s">
        <v>675</v>
      </c>
      <c r="E20" s="20" t="s">
        <v>676</v>
      </c>
      <c r="F20" s="20" t="s">
        <v>95</v>
      </c>
      <c r="G20" s="21">
        <v>805</v>
      </c>
      <c r="H20" s="21">
        <v>25</v>
      </c>
      <c r="I20" s="21">
        <f t="shared" si="0"/>
        <v>780</v>
      </c>
      <c r="J20" s="20" t="s">
        <v>21</v>
      </c>
      <c r="K20" s="20" t="s">
        <v>21</v>
      </c>
      <c r="L20" s="20" t="s">
        <v>634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17</v>
      </c>
      <c r="C21" s="20" t="s">
        <v>677</v>
      </c>
      <c r="D21" s="20" t="s">
        <v>678</v>
      </c>
      <c r="E21" s="20" t="s">
        <v>679</v>
      </c>
      <c r="F21" s="21">
        <v>12</v>
      </c>
      <c r="G21" s="21">
        <v>0</v>
      </c>
      <c r="H21" s="21">
        <v>30</v>
      </c>
      <c r="I21" s="21">
        <f t="shared" si="0"/>
        <v>-30</v>
      </c>
      <c r="J21" s="20" t="s">
        <v>21</v>
      </c>
      <c r="K21" s="20" t="s">
        <v>21</v>
      </c>
      <c r="L21" s="20" t="s">
        <v>634</v>
      </c>
      <c r="M21" s="20"/>
      <c r="N21" s="20"/>
      <c r="O21" s="20"/>
      <c r="P21" s="20"/>
      <c r="Q21" s="20">
        <v>1</v>
      </c>
      <c r="R21" s="15">
        <f>H21</f>
        <v>30</v>
      </c>
    </row>
    <row r="22" spans="1:18" x14ac:dyDescent="0.25">
      <c r="A22" s="20"/>
      <c r="B22" s="20" t="s">
        <v>17</v>
      </c>
      <c r="C22" s="20" t="s">
        <v>680</v>
      </c>
      <c r="D22" s="20" t="s">
        <v>681</v>
      </c>
      <c r="E22" s="20" t="s">
        <v>682</v>
      </c>
      <c r="F22" s="21">
        <v>2</v>
      </c>
      <c r="G22" s="21">
        <v>30</v>
      </c>
      <c r="H22" s="21">
        <v>30</v>
      </c>
      <c r="I22" s="21">
        <f t="shared" si="0"/>
        <v>0</v>
      </c>
      <c r="J22" s="20" t="s">
        <v>21</v>
      </c>
      <c r="K22" s="20" t="s">
        <v>21</v>
      </c>
      <c r="L22" s="20" t="s">
        <v>634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683</v>
      </c>
      <c r="D23" s="20" t="s">
        <v>684</v>
      </c>
      <c r="E23" s="20" t="s">
        <v>685</v>
      </c>
      <c r="F23" s="20" t="s">
        <v>95</v>
      </c>
      <c r="G23" s="21">
        <v>50</v>
      </c>
      <c r="H23" s="21">
        <v>50</v>
      </c>
      <c r="I23" s="21">
        <f t="shared" si="0"/>
        <v>0</v>
      </c>
      <c r="J23" s="20" t="s">
        <v>21</v>
      </c>
      <c r="K23" s="20" t="s">
        <v>21</v>
      </c>
      <c r="L23" s="20" t="s">
        <v>634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17</v>
      </c>
      <c r="C24" s="20" t="s">
        <v>686</v>
      </c>
      <c r="D24" s="20" t="s">
        <v>687</v>
      </c>
      <c r="E24" s="20" t="s">
        <v>688</v>
      </c>
      <c r="F24" s="20" t="s">
        <v>85</v>
      </c>
      <c r="G24" s="21">
        <v>710</v>
      </c>
      <c r="H24" s="21">
        <v>20</v>
      </c>
      <c r="I24" s="21">
        <f t="shared" si="0"/>
        <v>690</v>
      </c>
      <c r="J24" s="20" t="s">
        <v>21</v>
      </c>
      <c r="K24" s="20" t="s">
        <v>21</v>
      </c>
      <c r="L24" s="20" t="s">
        <v>634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17</v>
      </c>
      <c r="C25" s="20" t="s">
        <v>689</v>
      </c>
      <c r="D25" s="20" t="s">
        <v>690</v>
      </c>
      <c r="E25" s="20" t="s">
        <v>691</v>
      </c>
      <c r="F25" s="21">
        <v>2</v>
      </c>
      <c r="G25" s="21">
        <v>820</v>
      </c>
      <c r="H25" s="21">
        <v>30</v>
      </c>
      <c r="I25" s="21">
        <f t="shared" si="0"/>
        <v>790</v>
      </c>
      <c r="J25" s="20" t="s">
        <v>21</v>
      </c>
      <c r="K25" s="20" t="s">
        <v>21</v>
      </c>
      <c r="L25" s="20" t="s">
        <v>634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692</v>
      </c>
      <c r="D26" s="20" t="s">
        <v>693</v>
      </c>
      <c r="E26" s="20" t="s">
        <v>694</v>
      </c>
      <c r="F26" s="20" t="s">
        <v>85</v>
      </c>
      <c r="G26" s="21">
        <v>880</v>
      </c>
      <c r="H26" s="21">
        <v>20</v>
      </c>
      <c r="I26" s="21">
        <f t="shared" si="0"/>
        <v>860</v>
      </c>
      <c r="J26" s="20" t="s">
        <v>21</v>
      </c>
      <c r="K26" s="20" t="s">
        <v>21</v>
      </c>
      <c r="L26" s="20" t="s">
        <v>634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17</v>
      </c>
      <c r="C27" s="20" t="s">
        <v>365</v>
      </c>
      <c r="D27" s="20" t="s">
        <v>695</v>
      </c>
      <c r="E27" s="20" t="s">
        <v>367</v>
      </c>
      <c r="F27" s="20" t="s">
        <v>77</v>
      </c>
      <c r="G27" s="21">
        <v>845</v>
      </c>
      <c r="H27" s="21">
        <v>25</v>
      </c>
      <c r="I27" s="21">
        <f t="shared" si="0"/>
        <v>820</v>
      </c>
      <c r="J27" s="20" t="s">
        <v>21</v>
      </c>
      <c r="K27" s="20" t="s">
        <v>21</v>
      </c>
      <c r="L27" s="20" t="s">
        <v>634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17</v>
      </c>
      <c r="C28" s="20" t="s">
        <v>696</v>
      </c>
      <c r="D28" s="20" t="s">
        <v>697</v>
      </c>
      <c r="E28" s="20" t="s">
        <v>698</v>
      </c>
      <c r="F28" s="21">
        <v>12</v>
      </c>
      <c r="G28" s="21">
        <v>0</v>
      </c>
      <c r="H28" s="21">
        <v>30</v>
      </c>
      <c r="I28" s="21">
        <f t="shared" si="0"/>
        <v>-30</v>
      </c>
      <c r="J28" s="20" t="s">
        <v>21</v>
      </c>
      <c r="K28" s="20" t="s">
        <v>21</v>
      </c>
      <c r="L28" s="20" t="s">
        <v>634</v>
      </c>
      <c r="M28" s="20"/>
      <c r="N28" s="20"/>
      <c r="O28" s="20"/>
      <c r="P28" s="20"/>
      <c r="Q28" s="20">
        <v>1</v>
      </c>
      <c r="R28" s="15">
        <f>H28</f>
        <v>30</v>
      </c>
    </row>
    <row r="29" spans="1:18" x14ac:dyDescent="0.25">
      <c r="A29" s="20" t="s">
        <v>16</v>
      </c>
      <c r="B29" s="20" t="s">
        <v>17</v>
      </c>
      <c r="C29" s="20" t="s">
        <v>437</v>
      </c>
      <c r="D29" s="20"/>
      <c r="E29" s="20" t="s">
        <v>438</v>
      </c>
      <c r="F29" s="21">
        <v>1</v>
      </c>
      <c r="G29" s="21">
        <v>0</v>
      </c>
      <c r="H29" s="21">
        <v>30</v>
      </c>
      <c r="I29" s="21">
        <f t="shared" si="0"/>
        <v>-30</v>
      </c>
      <c r="J29" s="20" t="s">
        <v>135</v>
      </c>
      <c r="K29" s="20" t="s">
        <v>21</v>
      </c>
      <c r="L29" s="20" t="s">
        <v>634</v>
      </c>
      <c r="M29" s="20"/>
      <c r="N29" s="20"/>
      <c r="O29" s="20"/>
      <c r="P29" s="20"/>
      <c r="Q29" s="20">
        <v>1</v>
      </c>
      <c r="R29" s="15">
        <f>H29</f>
        <v>30</v>
      </c>
    </row>
    <row r="30" spans="1:18" x14ac:dyDescent="0.25">
      <c r="A30" s="20"/>
      <c r="B30" s="20" t="s">
        <v>17</v>
      </c>
      <c r="C30" s="20" t="s">
        <v>699</v>
      </c>
      <c r="D30" s="20" t="s">
        <v>700</v>
      </c>
      <c r="E30" s="20" t="s">
        <v>701</v>
      </c>
      <c r="F30" s="20" t="s">
        <v>95</v>
      </c>
      <c r="G30" s="21">
        <v>0</v>
      </c>
      <c r="H30" s="21">
        <v>25</v>
      </c>
      <c r="I30" s="21">
        <f t="shared" si="0"/>
        <v>-25</v>
      </c>
      <c r="J30" s="20" t="s">
        <v>135</v>
      </c>
      <c r="K30" s="20" t="s">
        <v>21</v>
      </c>
      <c r="L30" s="20" t="s">
        <v>634</v>
      </c>
      <c r="M30" s="20"/>
      <c r="N30" s="20"/>
      <c r="O30" s="20"/>
      <c r="P30" s="20"/>
      <c r="Q30" s="20">
        <v>1</v>
      </c>
      <c r="R30" s="15">
        <f>H30</f>
        <v>25</v>
      </c>
    </row>
    <row r="31" spans="1:18" x14ac:dyDescent="0.25">
      <c r="A31" s="20"/>
      <c r="B31" s="20" t="s">
        <v>17</v>
      </c>
      <c r="C31" s="20" t="s">
        <v>183</v>
      </c>
      <c r="D31" s="20" t="s">
        <v>702</v>
      </c>
      <c r="E31" s="20" t="s">
        <v>185</v>
      </c>
      <c r="F31" s="21">
        <v>4</v>
      </c>
      <c r="G31" s="21">
        <v>885</v>
      </c>
      <c r="H31" s="21">
        <v>25</v>
      </c>
      <c r="I31" s="21">
        <f t="shared" si="0"/>
        <v>860</v>
      </c>
      <c r="J31" s="20" t="s">
        <v>135</v>
      </c>
      <c r="K31" s="20" t="s">
        <v>21</v>
      </c>
      <c r="L31" s="20" t="s">
        <v>634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703</v>
      </c>
      <c r="D32" s="20" t="s">
        <v>704</v>
      </c>
      <c r="E32" s="20" t="s">
        <v>705</v>
      </c>
      <c r="F32" s="21">
        <v>1</v>
      </c>
      <c r="G32" s="21">
        <v>825</v>
      </c>
      <c r="H32" s="21">
        <v>25</v>
      </c>
      <c r="I32" s="21">
        <f t="shared" si="0"/>
        <v>800</v>
      </c>
      <c r="J32" s="20" t="s">
        <v>135</v>
      </c>
      <c r="K32" s="20" t="s">
        <v>21</v>
      </c>
      <c r="L32" s="20" t="s">
        <v>634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17</v>
      </c>
      <c r="C33" s="20" t="s">
        <v>706</v>
      </c>
      <c r="D33" s="20" t="s">
        <v>707</v>
      </c>
      <c r="E33" s="20" t="s">
        <v>708</v>
      </c>
      <c r="F33" s="21">
        <v>10</v>
      </c>
      <c r="G33" s="21">
        <v>0</v>
      </c>
      <c r="H33" s="21">
        <v>25</v>
      </c>
      <c r="I33" s="21">
        <f t="shared" si="0"/>
        <v>-25</v>
      </c>
      <c r="J33" s="20" t="s">
        <v>135</v>
      </c>
      <c r="K33" s="20" t="s">
        <v>21</v>
      </c>
      <c r="L33" s="20" t="s">
        <v>634</v>
      </c>
      <c r="M33" s="20"/>
      <c r="N33" s="20"/>
      <c r="O33" s="20"/>
      <c r="P33" s="20"/>
      <c r="Q33" s="20">
        <v>1</v>
      </c>
      <c r="R33" s="15">
        <f>H33</f>
        <v>25</v>
      </c>
    </row>
    <row r="34" spans="1:18" x14ac:dyDescent="0.25">
      <c r="A34" s="20"/>
      <c r="B34" s="20" t="s">
        <v>17</v>
      </c>
      <c r="C34" s="20" t="s">
        <v>709</v>
      </c>
      <c r="D34" s="20" t="s">
        <v>710</v>
      </c>
      <c r="E34" s="20" t="s">
        <v>711</v>
      </c>
      <c r="F34" s="21">
        <v>10</v>
      </c>
      <c r="G34" s="21">
        <v>815</v>
      </c>
      <c r="H34" s="21">
        <v>25</v>
      </c>
      <c r="I34" s="21">
        <f t="shared" si="0"/>
        <v>790</v>
      </c>
      <c r="J34" s="20" t="s">
        <v>135</v>
      </c>
      <c r="K34" s="20" t="s">
        <v>21</v>
      </c>
      <c r="L34" s="20" t="s">
        <v>634</v>
      </c>
      <c r="M34" s="20"/>
      <c r="N34" s="20"/>
      <c r="O34" s="20"/>
      <c r="P34" s="20"/>
      <c r="Q34" s="20">
        <v>1</v>
      </c>
    </row>
    <row r="35" spans="1:18" s="24" customFormat="1" x14ac:dyDescent="0.25">
      <c r="A35" s="22"/>
      <c r="B35" s="22" t="s">
        <v>17</v>
      </c>
      <c r="C35" s="22" t="s">
        <v>712</v>
      </c>
      <c r="D35" s="22" t="s">
        <v>713</v>
      </c>
      <c r="E35" s="22" t="s">
        <v>714</v>
      </c>
      <c r="F35" s="23">
        <v>1</v>
      </c>
      <c r="G35" s="23">
        <v>25</v>
      </c>
      <c r="H35" s="23">
        <v>25</v>
      </c>
      <c r="I35" s="23">
        <f t="shared" si="0"/>
        <v>0</v>
      </c>
      <c r="J35" s="22" t="s">
        <v>135</v>
      </c>
      <c r="K35" s="22" t="s">
        <v>21</v>
      </c>
      <c r="L35" s="22" t="s">
        <v>634</v>
      </c>
      <c r="M35" s="22" t="s">
        <v>126</v>
      </c>
      <c r="N35" s="22"/>
      <c r="O35" s="22"/>
      <c r="P35" s="22"/>
      <c r="Q35" s="22">
        <v>1</v>
      </c>
    </row>
    <row r="36" spans="1:18" x14ac:dyDescent="0.25">
      <c r="A36" s="20"/>
      <c r="B36" s="20" t="s">
        <v>17</v>
      </c>
      <c r="C36" s="20" t="s">
        <v>715</v>
      </c>
      <c r="D36" s="20" t="s">
        <v>716</v>
      </c>
      <c r="E36" s="20" t="s">
        <v>717</v>
      </c>
      <c r="F36" s="21">
        <v>7</v>
      </c>
      <c r="G36" s="21">
        <v>850</v>
      </c>
      <c r="H36" s="21">
        <v>30</v>
      </c>
      <c r="I36" s="21">
        <f t="shared" si="0"/>
        <v>820</v>
      </c>
      <c r="J36" s="20" t="s">
        <v>135</v>
      </c>
      <c r="K36" s="20" t="s">
        <v>21</v>
      </c>
      <c r="L36" s="20" t="s">
        <v>634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17</v>
      </c>
      <c r="C37" s="20" t="s">
        <v>718</v>
      </c>
      <c r="D37" s="20" t="s">
        <v>719</v>
      </c>
      <c r="E37" s="20" t="s">
        <v>720</v>
      </c>
      <c r="F37" s="21">
        <v>5</v>
      </c>
      <c r="G37" s="21">
        <v>0</v>
      </c>
      <c r="H37" s="21">
        <v>25</v>
      </c>
      <c r="I37" s="21">
        <f t="shared" si="0"/>
        <v>-25</v>
      </c>
      <c r="J37" s="20" t="s">
        <v>135</v>
      </c>
      <c r="K37" s="20" t="s">
        <v>21</v>
      </c>
      <c r="L37" s="20" t="s">
        <v>634</v>
      </c>
      <c r="M37" s="20"/>
      <c r="N37" s="20"/>
      <c r="O37" s="20"/>
      <c r="P37" s="20"/>
      <c r="Q37" s="20">
        <v>1</v>
      </c>
      <c r="R37" s="15">
        <f>H37</f>
        <v>25</v>
      </c>
    </row>
    <row r="38" spans="1:18" x14ac:dyDescent="0.25">
      <c r="A38" s="20"/>
      <c r="B38" s="20" t="s">
        <v>17</v>
      </c>
      <c r="C38" s="20" t="s">
        <v>721</v>
      </c>
      <c r="D38" s="20" t="s">
        <v>722</v>
      </c>
      <c r="E38" s="20" t="s">
        <v>723</v>
      </c>
      <c r="F38" s="21">
        <v>10</v>
      </c>
      <c r="G38" s="21">
        <v>455</v>
      </c>
      <c r="H38" s="21">
        <v>25</v>
      </c>
      <c r="I38" s="21">
        <f t="shared" si="0"/>
        <v>430</v>
      </c>
      <c r="J38" s="20" t="s">
        <v>135</v>
      </c>
      <c r="K38" s="20" t="s">
        <v>21</v>
      </c>
      <c r="L38" s="20" t="s">
        <v>634</v>
      </c>
      <c r="M38" s="20"/>
      <c r="N38" s="20"/>
      <c r="O38" s="20"/>
      <c r="P38" s="20"/>
      <c r="Q38" s="20">
        <v>1</v>
      </c>
    </row>
    <row r="39" spans="1:18" s="7" customFormat="1" x14ac:dyDescent="0.25">
      <c r="A39" s="26"/>
      <c r="B39" s="26" t="s">
        <v>17</v>
      </c>
      <c r="C39" s="31" t="s">
        <v>724</v>
      </c>
      <c r="D39" s="31" t="s">
        <v>725</v>
      </c>
      <c r="E39" s="31" t="s">
        <v>726</v>
      </c>
      <c r="F39" s="32">
        <v>7</v>
      </c>
      <c r="G39" s="32">
        <v>1980</v>
      </c>
      <c r="H39" s="32">
        <v>0</v>
      </c>
      <c r="I39" s="32">
        <f t="shared" si="0"/>
        <v>1980</v>
      </c>
      <c r="J39" s="31" t="s">
        <v>727</v>
      </c>
      <c r="K39" s="31" t="s">
        <v>21</v>
      </c>
      <c r="L39" s="31" t="s">
        <v>728</v>
      </c>
      <c r="M39" s="26" t="s">
        <v>206</v>
      </c>
      <c r="N39" s="26" t="s">
        <v>272</v>
      </c>
      <c r="O39" s="26" t="s">
        <v>272</v>
      </c>
      <c r="P39" s="26" t="s">
        <v>273</v>
      </c>
      <c r="Q39" s="26">
        <v>1</v>
      </c>
    </row>
    <row r="41" spans="1:18" x14ac:dyDescent="0.25">
      <c r="D41" s="6">
        <f>COUNTA(D3:D39)</f>
        <v>33</v>
      </c>
      <c r="G41" s="6">
        <f t="shared" ref="G41:Q41" si="1">SUBTOTAL(9,G3:G39)</f>
        <v>20481</v>
      </c>
      <c r="H41" s="6">
        <f t="shared" si="1"/>
        <v>1030</v>
      </c>
      <c r="I41" s="6">
        <f t="shared" si="1"/>
        <v>19451</v>
      </c>
      <c r="J41" s="6">
        <f t="shared" si="1"/>
        <v>0</v>
      </c>
      <c r="K41" s="6">
        <f t="shared" si="1"/>
        <v>0</v>
      </c>
      <c r="L41" s="6">
        <f t="shared" si="1"/>
        <v>0</v>
      </c>
      <c r="M41" s="6">
        <f t="shared" si="1"/>
        <v>0</v>
      </c>
      <c r="N41" s="6">
        <f t="shared" si="1"/>
        <v>0</v>
      </c>
      <c r="O41" s="6">
        <f t="shared" si="1"/>
        <v>0</v>
      </c>
      <c r="P41" s="6">
        <f t="shared" si="1"/>
        <v>0</v>
      </c>
      <c r="Q41" s="6">
        <f t="shared" si="1"/>
        <v>37</v>
      </c>
    </row>
    <row r="42" spans="1:18" x14ac:dyDescent="0.25">
      <c r="H42">
        <f>-6*17</f>
        <v>-102</v>
      </c>
    </row>
    <row r="43" spans="1:18" x14ac:dyDescent="0.25">
      <c r="A43" s="6" t="s">
        <v>17</v>
      </c>
      <c r="C43" s="5" t="s">
        <v>191</v>
      </c>
      <c r="D43" s="5"/>
      <c r="E43" s="9" t="s">
        <v>192</v>
      </c>
      <c r="H43">
        <f>-5*25</f>
        <v>-125</v>
      </c>
      <c r="K43" s="16" t="s">
        <v>135</v>
      </c>
      <c r="L43" s="16" t="s">
        <v>193</v>
      </c>
      <c r="M43" s="16" t="s">
        <v>192</v>
      </c>
      <c r="O43" s="9" t="s">
        <v>194</v>
      </c>
    </row>
    <row r="44" spans="1:18" x14ac:dyDescent="0.25">
      <c r="A44" t="s">
        <v>634</v>
      </c>
      <c r="B44" s="8" t="s">
        <v>195</v>
      </c>
      <c r="C44" s="4">
        <f>SUMIFS(I$3:I$39,B$3:B$39,A$43,L$3:L$39,A$44)</f>
        <v>17471</v>
      </c>
      <c r="D44" s="4"/>
      <c r="E44" s="8">
        <f>SUMIFS(Q$3:Q$39,B$3:B$39,A$43,L$3:L$39,A$44)</f>
        <v>36</v>
      </c>
      <c r="F44" t="s">
        <v>196</v>
      </c>
      <c r="H44">
        <f>-1*30</f>
        <v>-30</v>
      </c>
      <c r="K44" t="s">
        <v>197</v>
      </c>
      <c r="L44">
        <f>SUMIFS(G$3:G$39,J$3:J$39,K$43)</f>
        <v>3855</v>
      </c>
      <c r="M44">
        <f>SUMIFS(Q$3:Q$39,J$3:J$39,K$43)-INT(COUNTIFS(J$3:J$39,K$43,M$3:M$39,"*gộp*")/2)</f>
        <v>10</v>
      </c>
      <c r="O44" t="s">
        <v>135</v>
      </c>
      <c r="P44">
        <f>L49</f>
        <v>3645</v>
      </c>
    </row>
    <row r="45" spans="1:18" x14ac:dyDescent="0.25">
      <c r="B45" s="7" t="s">
        <v>199</v>
      </c>
      <c r="C45" s="3">
        <v>0</v>
      </c>
      <c r="D45" s="3"/>
      <c r="K45" t="s">
        <v>200</v>
      </c>
      <c r="L45">
        <f>-SUMIFS(H$3:H$39,J$3:J$39,K$43)+M45*5</f>
        <v>-210</v>
      </c>
      <c r="M45">
        <f>SUMIFS(Q$3:Q$39,J$3:J$39,K$43)-INT(COUNTIFS(J$3:J$39,K$43,M$3:M$39,"*gộp*")/2)</f>
        <v>10</v>
      </c>
      <c r="O45" t="s">
        <v>729</v>
      </c>
      <c r="P45">
        <f>L57</f>
        <v>5263</v>
      </c>
    </row>
    <row r="46" spans="1:18" x14ac:dyDescent="0.25">
      <c r="B46" s="7" t="s">
        <v>201</v>
      </c>
      <c r="C46" s="3">
        <f>-SUMIFS(I$3:I$39,B$3:B$39,A$43,P$3:P$39,"xx",N$3:N$39,"x")</f>
        <v>-1980</v>
      </c>
      <c r="D46" s="3"/>
      <c r="E46" s="7">
        <f>SUMIFS(Q$3:Q$39,B$3:B$39,A$43,P$3:P$39,"xx",N$3:N$39,"x")</f>
        <v>1</v>
      </c>
      <c r="K46" t="s">
        <v>202</v>
      </c>
      <c r="O46" t="s">
        <v>21</v>
      </c>
      <c r="P46">
        <f>L65</f>
        <v>6739</v>
      </c>
    </row>
    <row r="47" spans="1:18" x14ac:dyDescent="0.25">
      <c r="B47" s="9" t="s">
        <v>203</v>
      </c>
      <c r="C47" s="5">
        <f>SUBTOTAL(9,C44:C46)</f>
        <v>15491</v>
      </c>
      <c r="D47" s="5"/>
      <c r="E47">
        <f>E44</f>
        <v>36</v>
      </c>
      <c r="K47" s="7" t="s">
        <v>204</v>
      </c>
      <c r="O47" t="s">
        <v>207</v>
      </c>
      <c r="P47">
        <f>-C51</f>
        <v>-15491</v>
      </c>
    </row>
    <row r="48" spans="1:18" x14ac:dyDescent="0.25">
      <c r="B48" s="7" t="s">
        <v>205</v>
      </c>
      <c r="C48" s="2"/>
      <c r="D48" s="2"/>
      <c r="K48" s="7" t="s">
        <v>206</v>
      </c>
      <c r="O48" s="9" t="s">
        <v>209</v>
      </c>
      <c r="P48" s="9">
        <f>SUBTOTAL(9,P44:P47)</f>
        <v>156</v>
      </c>
    </row>
    <row r="49" spans="2:13" x14ac:dyDescent="0.25">
      <c r="B49" s="17" t="s">
        <v>208</v>
      </c>
      <c r="C49" s="2"/>
      <c r="D49" s="2"/>
      <c r="L49" s="18">
        <f>SUBTOTAL(9,L44:L48)</f>
        <v>3645</v>
      </c>
      <c r="M49" s="18">
        <f>M44</f>
        <v>10</v>
      </c>
    </row>
    <row r="51" spans="2:13" x14ac:dyDescent="0.25">
      <c r="B51" s="6" t="s">
        <v>210</v>
      </c>
      <c r="C51" s="1">
        <f>C47+C48+C49</f>
        <v>15491</v>
      </c>
      <c r="D51" s="1"/>
      <c r="E51" s="6" t="s">
        <v>211</v>
      </c>
      <c r="K51" s="16" t="s">
        <v>633</v>
      </c>
      <c r="L51" s="16" t="s">
        <v>193</v>
      </c>
      <c r="M51" s="16" t="s">
        <v>192</v>
      </c>
    </row>
    <row r="52" spans="2:13" x14ac:dyDescent="0.25">
      <c r="K52" t="s">
        <v>197</v>
      </c>
      <c r="L52">
        <f>SUMIFS(G$3:G$39,J$3:J$39,K$51)</f>
        <v>7500</v>
      </c>
      <c r="M52">
        <f>SUMIFS(Q$3:Q$39,J$3:J$39,K$51)-INT(COUNTIFS(J$3:J$39,K$51,M$3:M$39,"*gộp*")/2)</f>
        <v>12</v>
      </c>
    </row>
    <row r="53" spans="2:13" x14ac:dyDescent="0.25">
      <c r="K53" t="s">
        <v>200</v>
      </c>
      <c r="L53">
        <f>SUM(H42:H44)+SUMIFS(H$3:H$39,J$3:J$39,K$51,M$3:M$39,"*gộp*")/2</f>
        <v>-257</v>
      </c>
      <c r="M53">
        <f>SUMIFS(Q$3:Q$39,J$3:J$39,K$51)</f>
        <v>12</v>
      </c>
    </row>
    <row r="54" spans="2:13" x14ac:dyDescent="0.25">
      <c r="K54" t="s">
        <v>202</v>
      </c>
    </row>
    <row r="55" spans="2:13" x14ac:dyDescent="0.25">
      <c r="K55" s="7" t="s">
        <v>204</v>
      </c>
    </row>
    <row r="56" spans="2:13" x14ac:dyDescent="0.25">
      <c r="K56" s="7" t="s">
        <v>206</v>
      </c>
      <c r="L56" s="28">
        <v>-1980</v>
      </c>
      <c r="M56" s="28" t="s">
        <v>288</v>
      </c>
    </row>
    <row r="57" spans="2:13" x14ac:dyDescent="0.25">
      <c r="L57" s="18">
        <f>SUBTOTAL(9,L52:L56)</f>
        <v>5263</v>
      </c>
      <c r="M57" s="18">
        <f>M52</f>
        <v>12</v>
      </c>
    </row>
    <row r="59" spans="2:13" x14ac:dyDescent="0.25">
      <c r="K59" s="16" t="s">
        <v>21</v>
      </c>
      <c r="L59" s="16" t="s">
        <v>193</v>
      </c>
      <c r="M59" s="16" t="s">
        <v>192</v>
      </c>
    </row>
    <row r="60" spans="2:13" x14ac:dyDescent="0.25">
      <c r="K60" t="s">
        <v>197</v>
      </c>
      <c r="L60">
        <f>SUMIFS(G$3:G$39,J$3:J$39,K$59)</f>
        <v>7146</v>
      </c>
      <c r="M60">
        <f>SUMIFS(Q$3:Q$39,J$3:J$39,K$59)-INT(COUNTIFS(J$3:J$39,K$59,M$3:M$39,"*gộp*")/2)</f>
        <v>14</v>
      </c>
    </row>
    <row r="61" spans="2:13" x14ac:dyDescent="0.25">
      <c r="K61" t="s">
        <v>200</v>
      </c>
      <c r="L61">
        <f>-SUMIFS(H$3:H$39,J$3:J$39,K$59)+M61*5</f>
        <v>-335</v>
      </c>
      <c r="M61">
        <f>SUMIFS(Q$3:Q$39,J$3:J$39,K$59)-INT(COUNTIFS(J$3:J$39,K$59,M$3:M$39,"*gộp*")/2)</f>
        <v>14</v>
      </c>
    </row>
    <row r="62" spans="2:13" x14ac:dyDescent="0.25">
      <c r="K62" t="s">
        <v>202</v>
      </c>
      <c r="L62">
        <f>-M62*2</f>
        <v>-72</v>
      </c>
      <c r="M62">
        <f>E47-(COUNTIFS(M$3:M$39,"*gộp*")/2)-COUNTIFS(M$3:M$39,"*đơn trả*")-COUNTIFS(M$3:M$39,"*hàng tỉnh*")</f>
        <v>36</v>
      </c>
    </row>
    <row r="63" spans="2:13" x14ac:dyDescent="0.25">
      <c r="K63" s="7" t="s">
        <v>204</v>
      </c>
    </row>
    <row r="64" spans="2:13" x14ac:dyDescent="0.25">
      <c r="K64" s="7" t="s">
        <v>206</v>
      </c>
    </row>
    <row r="65" spans="12:13" x14ac:dyDescent="0.25">
      <c r="L65" s="18">
        <f>SUBTOTAL(9,L60:L64)</f>
        <v>6739</v>
      </c>
      <c r="M65" s="18">
        <f>M60</f>
        <v>14</v>
      </c>
    </row>
  </sheetData>
  <autoFilter ref="A2:P39" xr:uid="{00000000-0009-0000-0000-000005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59"/>
  <sheetViews>
    <sheetView topLeftCell="A13" workbookViewId="0">
      <selection activeCell="G27" sqref="G27"/>
    </sheetView>
  </sheetViews>
  <sheetFormatPr defaultRowHeight="15" x14ac:dyDescent="0.25"/>
  <cols>
    <col min="1" max="1" width="12.7109375" customWidth="1"/>
    <col min="2" max="2" width="17.7109375" customWidth="1"/>
    <col min="3" max="3" width="33.42578125" customWidth="1"/>
    <col min="4" max="4" width="10.28515625" customWidth="1"/>
    <col min="5" max="5" width="66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 t="s">
        <v>16</v>
      </c>
      <c r="B3" s="20" t="s">
        <v>17</v>
      </c>
      <c r="C3" s="20" t="s">
        <v>730</v>
      </c>
      <c r="D3" s="20"/>
      <c r="E3" s="20" t="s">
        <v>731</v>
      </c>
      <c r="F3" s="21">
        <v>8</v>
      </c>
      <c r="G3" s="21">
        <v>30</v>
      </c>
      <c r="H3" s="21">
        <v>30</v>
      </c>
      <c r="I3" s="21">
        <f t="shared" ref="I3:I33" si="0">G3-H3</f>
        <v>0</v>
      </c>
      <c r="J3" s="20" t="s">
        <v>732</v>
      </c>
      <c r="K3" s="20" t="s">
        <v>21</v>
      </c>
      <c r="L3" s="20" t="s">
        <v>733</v>
      </c>
      <c r="M3" s="20"/>
      <c r="N3" s="20"/>
      <c r="O3" s="20"/>
      <c r="P3" s="20"/>
      <c r="Q3" s="20">
        <v>1</v>
      </c>
    </row>
    <row r="4" spans="1:18" x14ac:dyDescent="0.25">
      <c r="A4" s="20" t="s">
        <v>16</v>
      </c>
      <c r="B4" s="20" t="s">
        <v>17</v>
      </c>
      <c r="C4" s="20" t="s">
        <v>340</v>
      </c>
      <c r="D4" s="20"/>
      <c r="E4" s="20" t="s">
        <v>636</v>
      </c>
      <c r="F4" s="20" t="s">
        <v>26</v>
      </c>
      <c r="G4" s="21">
        <v>35</v>
      </c>
      <c r="H4" s="21">
        <v>35</v>
      </c>
      <c r="I4" s="21">
        <f t="shared" si="0"/>
        <v>0</v>
      </c>
      <c r="J4" s="20" t="s">
        <v>732</v>
      </c>
      <c r="K4" s="20" t="s">
        <v>21</v>
      </c>
      <c r="L4" s="20" t="s">
        <v>733</v>
      </c>
      <c r="M4" s="20"/>
      <c r="N4" s="20"/>
      <c r="O4" s="20"/>
      <c r="P4" s="20"/>
      <c r="Q4" s="20">
        <v>1</v>
      </c>
    </row>
    <row r="5" spans="1:18" x14ac:dyDescent="0.25">
      <c r="A5" s="20" t="s">
        <v>16</v>
      </c>
      <c r="B5" s="20" t="s">
        <v>17</v>
      </c>
      <c r="C5" s="20" t="s">
        <v>734</v>
      </c>
      <c r="D5" s="20"/>
      <c r="E5" s="20" t="s">
        <v>735</v>
      </c>
      <c r="F5" s="21">
        <v>12</v>
      </c>
      <c r="G5" s="21">
        <v>35</v>
      </c>
      <c r="H5" s="21">
        <v>35</v>
      </c>
      <c r="I5" s="21">
        <f t="shared" si="0"/>
        <v>0</v>
      </c>
      <c r="J5" s="20" t="s">
        <v>732</v>
      </c>
      <c r="K5" s="20" t="s">
        <v>21</v>
      </c>
      <c r="L5" s="20" t="s">
        <v>733</v>
      </c>
      <c r="M5" s="20"/>
      <c r="N5" s="20"/>
      <c r="O5" s="20"/>
      <c r="P5" s="20"/>
      <c r="Q5" s="20">
        <v>1</v>
      </c>
    </row>
    <row r="6" spans="1:18" x14ac:dyDescent="0.25">
      <c r="A6" s="20" t="s">
        <v>16</v>
      </c>
      <c r="B6" s="20" t="s">
        <v>17</v>
      </c>
      <c r="C6" s="20" t="s">
        <v>736</v>
      </c>
      <c r="D6" s="20"/>
      <c r="E6" s="20" t="s">
        <v>737</v>
      </c>
      <c r="F6" s="21">
        <v>6</v>
      </c>
      <c r="G6" s="21">
        <v>650</v>
      </c>
      <c r="H6" s="21">
        <v>30</v>
      </c>
      <c r="I6" s="21">
        <f t="shared" si="0"/>
        <v>620</v>
      </c>
      <c r="J6" s="20" t="s">
        <v>732</v>
      </c>
      <c r="K6" s="20" t="s">
        <v>21</v>
      </c>
      <c r="L6" s="20" t="s">
        <v>733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738</v>
      </c>
      <c r="D7" s="20" t="s">
        <v>739</v>
      </c>
      <c r="E7" s="20" t="s">
        <v>740</v>
      </c>
      <c r="F7" s="20" t="s">
        <v>46</v>
      </c>
      <c r="G7" s="21">
        <v>0</v>
      </c>
      <c r="H7" s="21">
        <v>25</v>
      </c>
      <c r="I7" s="21">
        <f t="shared" si="0"/>
        <v>-25</v>
      </c>
      <c r="J7" s="20" t="s">
        <v>732</v>
      </c>
      <c r="K7" s="20" t="s">
        <v>21</v>
      </c>
      <c r="L7" s="20" t="s">
        <v>733</v>
      </c>
      <c r="M7" s="20"/>
      <c r="N7" s="20"/>
      <c r="O7" s="20"/>
      <c r="P7" s="20"/>
      <c r="Q7" s="20">
        <v>1</v>
      </c>
      <c r="R7" s="15">
        <f>H7</f>
        <v>25</v>
      </c>
    </row>
    <row r="8" spans="1:18" s="24" customFormat="1" x14ac:dyDescent="0.25">
      <c r="A8" s="22"/>
      <c r="B8" s="22" t="s">
        <v>17</v>
      </c>
      <c r="C8" s="22" t="s">
        <v>131</v>
      </c>
      <c r="D8" s="22" t="s">
        <v>741</v>
      </c>
      <c r="E8" s="22" t="s">
        <v>574</v>
      </c>
      <c r="F8" s="22" t="s">
        <v>134</v>
      </c>
      <c r="G8" s="23">
        <v>35</v>
      </c>
      <c r="H8" s="23">
        <v>35</v>
      </c>
      <c r="I8" s="23">
        <f t="shared" si="0"/>
        <v>0</v>
      </c>
      <c r="J8" s="22" t="s">
        <v>732</v>
      </c>
      <c r="K8" s="22" t="s">
        <v>21</v>
      </c>
      <c r="L8" s="22" t="s">
        <v>733</v>
      </c>
      <c r="M8" s="22" t="s">
        <v>126</v>
      </c>
      <c r="N8" s="22"/>
      <c r="O8" s="22"/>
      <c r="P8" s="22"/>
      <c r="Q8" s="22">
        <v>1</v>
      </c>
    </row>
    <row r="9" spans="1:18" x14ac:dyDescent="0.25">
      <c r="A9" s="20"/>
      <c r="B9" s="20" t="s">
        <v>17</v>
      </c>
      <c r="C9" s="20" t="s">
        <v>742</v>
      </c>
      <c r="D9" s="20" t="s">
        <v>743</v>
      </c>
      <c r="E9" s="20" t="s">
        <v>744</v>
      </c>
      <c r="F9" s="20" t="s">
        <v>26</v>
      </c>
      <c r="G9" s="21">
        <v>0</v>
      </c>
      <c r="H9" s="21">
        <v>30</v>
      </c>
      <c r="I9" s="21">
        <f t="shared" si="0"/>
        <v>-30</v>
      </c>
      <c r="J9" s="20" t="s">
        <v>732</v>
      </c>
      <c r="K9" s="20" t="s">
        <v>21</v>
      </c>
      <c r="L9" s="20" t="s">
        <v>733</v>
      </c>
      <c r="M9" s="20"/>
      <c r="N9" s="20"/>
      <c r="O9" s="20"/>
      <c r="P9" s="20"/>
      <c r="Q9" s="20">
        <v>1</v>
      </c>
      <c r="R9" s="15">
        <f>H9</f>
        <v>30</v>
      </c>
    </row>
    <row r="10" spans="1:18" x14ac:dyDescent="0.25">
      <c r="A10" s="20"/>
      <c r="B10" s="20" t="s">
        <v>17</v>
      </c>
      <c r="C10" s="20" t="s">
        <v>745</v>
      </c>
      <c r="D10" s="20" t="s">
        <v>746</v>
      </c>
      <c r="E10" s="20" t="s">
        <v>747</v>
      </c>
      <c r="F10" s="20" t="s">
        <v>26</v>
      </c>
      <c r="G10" s="21">
        <v>400</v>
      </c>
      <c r="H10" s="21">
        <v>30</v>
      </c>
      <c r="I10" s="21">
        <f t="shared" si="0"/>
        <v>370</v>
      </c>
      <c r="J10" s="20" t="s">
        <v>732</v>
      </c>
      <c r="K10" s="20" t="s">
        <v>21</v>
      </c>
      <c r="L10" s="20" t="s">
        <v>733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748</v>
      </c>
      <c r="D11" s="20" t="s">
        <v>749</v>
      </c>
      <c r="E11" s="20" t="s">
        <v>750</v>
      </c>
      <c r="F11" s="21">
        <v>11</v>
      </c>
      <c r="G11" s="21">
        <v>665</v>
      </c>
      <c r="H11" s="21">
        <v>25</v>
      </c>
      <c r="I11" s="21">
        <f t="shared" si="0"/>
        <v>640</v>
      </c>
      <c r="J11" s="20" t="s">
        <v>732</v>
      </c>
      <c r="K11" s="20" t="s">
        <v>21</v>
      </c>
      <c r="L11" s="20" t="s">
        <v>733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751</v>
      </c>
      <c r="D12" s="20" t="s">
        <v>752</v>
      </c>
      <c r="E12" s="20" t="s">
        <v>753</v>
      </c>
      <c r="F12" s="20" t="s">
        <v>26</v>
      </c>
      <c r="G12" s="21">
        <v>820</v>
      </c>
      <c r="H12" s="21">
        <v>30</v>
      </c>
      <c r="I12" s="21">
        <f t="shared" si="0"/>
        <v>790</v>
      </c>
      <c r="J12" s="20" t="s">
        <v>732</v>
      </c>
      <c r="K12" s="20" t="s">
        <v>21</v>
      </c>
      <c r="L12" s="20" t="s">
        <v>733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17</v>
      </c>
      <c r="C13" s="20" t="s">
        <v>754</v>
      </c>
      <c r="D13" s="20" t="s">
        <v>755</v>
      </c>
      <c r="E13" s="20" t="s">
        <v>756</v>
      </c>
      <c r="F13" s="21">
        <v>6</v>
      </c>
      <c r="G13" s="21">
        <v>0</v>
      </c>
      <c r="H13" s="21">
        <v>25</v>
      </c>
      <c r="I13" s="21">
        <f t="shared" si="0"/>
        <v>-25</v>
      </c>
      <c r="J13" s="20" t="s">
        <v>732</v>
      </c>
      <c r="K13" s="20" t="s">
        <v>21</v>
      </c>
      <c r="L13" s="20" t="s">
        <v>733</v>
      </c>
      <c r="M13" s="20"/>
      <c r="N13" s="20"/>
      <c r="O13" s="20"/>
      <c r="P13" s="20"/>
      <c r="Q13" s="20">
        <v>1</v>
      </c>
      <c r="R13" s="15">
        <f>H13</f>
        <v>25</v>
      </c>
    </row>
    <row r="14" spans="1:18" x14ac:dyDescent="0.25">
      <c r="A14" s="20"/>
      <c r="B14" s="20" t="s">
        <v>17</v>
      </c>
      <c r="C14" s="20" t="s">
        <v>757</v>
      </c>
      <c r="D14" s="20" t="s">
        <v>758</v>
      </c>
      <c r="E14" s="20" t="s">
        <v>759</v>
      </c>
      <c r="F14" s="21">
        <v>7</v>
      </c>
      <c r="G14" s="21">
        <v>770</v>
      </c>
      <c r="H14" s="21">
        <v>30</v>
      </c>
      <c r="I14" s="21">
        <f t="shared" si="0"/>
        <v>740</v>
      </c>
      <c r="J14" s="20" t="s">
        <v>732</v>
      </c>
      <c r="K14" s="20" t="s">
        <v>21</v>
      </c>
      <c r="L14" s="20" t="s">
        <v>733</v>
      </c>
      <c r="M14" s="20"/>
      <c r="N14" s="20"/>
      <c r="O14" s="20"/>
      <c r="P14" s="20"/>
      <c r="Q14" s="20">
        <v>1</v>
      </c>
    </row>
    <row r="15" spans="1:18" x14ac:dyDescent="0.25">
      <c r="A15" s="20" t="s">
        <v>16</v>
      </c>
      <c r="B15" s="20" t="s">
        <v>17</v>
      </c>
      <c r="C15" s="20" t="s">
        <v>760</v>
      </c>
      <c r="D15" s="20"/>
      <c r="E15" s="20" t="s">
        <v>761</v>
      </c>
      <c r="F15" s="20" t="s">
        <v>77</v>
      </c>
      <c r="G15" s="21">
        <v>0</v>
      </c>
      <c r="H15" s="21">
        <v>30</v>
      </c>
      <c r="I15" s="21">
        <f t="shared" si="0"/>
        <v>-30</v>
      </c>
      <c r="J15" s="20" t="s">
        <v>21</v>
      </c>
      <c r="K15" s="20" t="s">
        <v>21</v>
      </c>
      <c r="L15" s="20" t="s">
        <v>733</v>
      </c>
      <c r="M15" s="20"/>
      <c r="N15" s="20"/>
      <c r="O15" s="20"/>
      <c r="P15" s="20"/>
      <c r="Q15" s="20">
        <v>1</v>
      </c>
      <c r="R15" s="15">
        <f>H15</f>
        <v>30</v>
      </c>
    </row>
    <row r="16" spans="1:18" x14ac:dyDescent="0.25">
      <c r="A16" s="20" t="s">
        <v>16</v>
      </c>
      <c r="B16" s="20" t="s">
        <v>17</v>
      </c>
      <c r="C16" s="20" t="s">
        <v>762</v>
      </c>
      <c r="D16" s="20"/>
      <c r="E16" s="20" t="s">
        <v>763</v>
      </c>
      <c r="F16" s="20" t="s">
        <v>46</v>
      </c>
      <c r="G16" s="21">
        <v>12110</v>
      </c>
      <c r="H16" s="21">
        <v>60</v>
      </c>
      <c r="I16" s="21">
        <f t="shared" si="0"/>
        <v>12050</v>
      </c>
      <c r="J16" s="20" t="s">
        <v>21</v>
      </c>
      <c r="K16" s="20" t="s">
        <v>21</v>
      </c>
      <c r="L16" s="20" t="s">
        <v>733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764</v>
      </c>
      <c r="D17" s="20" t="s">
        <v>765</v>
      </c>
      <c r="E17" s="20" t="s">
        <v>766</v>
      </c>
      <c r="F17" s="20" t="s">
        <v>95</v>
      </c>
      <c r="G17" s="21">
        <v>795</v>
      </c>
      <c r="H17" s="21">
        <v>25</v>
      </c>
      <c r="I17" s="21">
        <f t="shared" si="0"/>
        <v>770</v>
      </c>
      <c r="J17" s="20" t="s">
        <v>21</v>
      </c>
      <c r="K17" s="20" t="s">
        <v>21</v>
      </c>
      <c r="L17" s="20" t="s">
        <v>733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767</v>
      </c>
      <c r="D18" s="20" t="s">
        <v>768</v>
      </c>
      <c r="E18" s="20" t="s">
        <v>769</v>
      </c>
      <c r="F18" s="20" t="s">
        <v>77</v>
      </c>
      <c r="G18" s="21">
        <v>1145</v>
      </c>
      <c r="H18" s="21">
        <v>25</v>
      </c>
      <c r="I18" s="21">
        <f t="shared" si="0"/>
        <v>1120</v>
      </c>
      <c r="J18" s="20" t="s">
        <v>21</v>
      </c>
      <c r="K18" s="20" t="s">
        <v>21</v>
      </c>
      <c r="L18" s="20" t="s">
        <v>733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770</v>
      </c>
      <c r="D19" s="20" t="s">
        <v>771</v>
      </c>
      <c r="E19" s="20" t="s">
        <v>772</v>
      </c>
      <c r="F19" s="20" t="s">
        <v>85</v>
      </c>
      <c r="G19" s="21">
        <v>3640</v>
      </c>
      <c r="H19" s="21">
        <v>30</v>
      </c>
      <c r="I19" s="21">
        <f t="shared" si="0"/>
        <v>3610</v>
      </c>
      <c r="J19" s="20" t="s">
        <v>21</v>
      </c>
      <c r="K19" s="20" t="s">
        <v>21</v>
      </c>
      <c r="L19" s="20" t="s">
        <v>733</v>
      </c>
      <c r="M19" s="25" t="s">
        <v>167</v>
      </c>
      <c r="N19" s="20"/>
      <c r="O19" s="20"/>
      <c r="P19" s="20"/>
      <c r="Q19" s="20">
        <v>1</v>
      </c>
      <c r="R19" s="15">
        <f>H19</f>
        <v>30</v>
      </c>
    </row>
    <row r="20" spans="1:18" x14ac:dyDescent="0.25">
      <c r="A20" s="20"/>
      <c r="B20" s="20" t="s">
        <v>17</v>
      </c>
      <c r="C20" s="20" t="s">
        <v>773</v>
      </c>
      <c r="D20" s="20" t="s">
        <v>774</v>
      </c>
      <c r="E20" s="20" t="s">
        <v>775</v>
      </c>
      <c r="F20" s="21">
        <v>2</v>
      </c>
      <c r="G20" s="21">
        <v>690</v>
      </c>
      <c r="H20" s="21">
        <v>30</v>
      </c>
      <c r="I20" s="21">
        <f t="shared" si="0"/>
        <v>660</v>
      </c>
      <c r="J20" s="20" t="s">
        <v>21</v>
      </c>
      <c r="K20" s="20" t="s">
        <v>21</v>
      </c>
      <c r="L20" s="20" t="s">
        <v>733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17</v>
      </c>
      <c r="C21" s="20" t="s">
        <v>776</v>
      </c>
      <c r="D21" s="20" t="s">
        <v>777</v>
      </c>
      <c r="E21" s="20" t="s">
        <v>778</v>
      </c>
      <c r="F21" s="20" t="s">
        <v>95</v>
      </c>
      <c r="G21" s="21">
        <v>2310</v>
      </c>
      <c r="H21" s="21">
        <v>30</v>
      </c>
      <c r="I21" s="21">
        <f t="shared" si="0"/>
        <v>2280</v>
      </c>
      <c r="J21" s="20" t="s">
        <v>21</v>
      </c>
      <c r="K21" s="20" t="s">
        <v>21</v>
      </c>
      <c r="L21" s="20" t="s">
        <v>733</v>
      </c>
      <c r="M21" s="25" t="s">
        <v>167</v>
      </c>
      <c r="N21" s="20"/>
      <c r="O21" s="20"/>
      <c r="P21" s="20"/>
      <c r="Q21" s="20">
        <v>1</v>
      </c>
      <c r="R21" s="15">
        <f>H21</f>
        <v>30</v>
      </c>
    </row>
    <row r="22" spans="1:18" x14ac:dyDescent="0.25">
      <c r="A22" s="20"/>
      <c r="B22" s="20" t="s">
        <v>17</v>
      </c>
      <c r="C22" s="20" t="s">
        <v>248</v>
      </c>
      <c r="D22" s="20" t="s">
        <v>779</v>
      </c>
      <c r="E22" s="20" t="s">
        <v>780</v>
      </c>
      <c r="F22" s="20" t="s">
        <v>77</v>
      </c>
      <c r="G22" s="21">
        <v>395</v>
      </c>
      <c r="H22" s="21">
        <v>25</v>
      </c>
      <c r="I22" s="21">
        <f t="shared" si="0"/>
        <v>370</v>
      </c>
      <c r="J22" s="20" t="s">
        <v>21</v>
      </c>
      <c r="K22" s="20" t="s">
        <v>21</v>
      </c>
      <c r="L22" s="20" t="s">
        <v>733</v>
      </c>
      <c r="M22" s="20"/>
      <c r="N22" s="20"/>
      <c r="O22" s="20"/>
      <c r="P22" s="20"/>
      <c r="Q22" s="20">
        <v>1</v>
      </c>
    </row>
    <row r="23" spans="1:18" s="24" customFormat="1" x14ac:dyDescent="0.25">
      <c r="A23" s="22"/>
      <c r="B23" s="22" t="s">
        <v>17</v>
      </c>
      <c r="C23" s="22" t="s">
        <v>692</v>
      </c>
      <c r="D23" s="22" t="s">
        <v>781</v>
      </c>
      <c r="E23" s="22" t="s">
        <v>694</v>
      </c>
      <c r="F23" s="22" t="s">
        <v>85</v>
      </c>
      <c r="G23" s="23">
        <v>200</v>
      </c>
      <c r="H23" s="23">
        <v>20</v>
      </c>
      <c r="I23" s="23">
        <f t="shared" si="0"/>
        <v>180</v>
      </c>
      <c r="J23" s="22" t="s">
        <v>21</v>
      </c>
      <c r="K23" s="22" t="s">
        <v>21</v>
      </c>
      <c r="L23" s="22" t="s">
        <v>733</v>
      </c>
      <c r="M23" s="22" t="s">
        <v>126</v>
      </c>
      <c r="N23" s="22"/>
      <c r="O23" s="22"/>
      <c r="P23" s="22"/>
      <c r="Q23" s="22">
        <v>1</v>
      </c>
    </row>
    <row r="24" spans="1:18" s="24" customFormat="1" x14ac:dyDescent="0.25">
      <c r="A24" s="22"/>
      <c r="B24" s="22" t="s">
        <v>17</v>
      </c>
      <c r="C24" s="22" t="s">
        <v>102</v>
      </c>
      <c r="D24" s="22" t="s">
        <v>782</v>
      </c>
      <c r="E24" s="22" t="s">
        <v>104</v>
      </c>
      <c r="F24" s="22" t="s">
        <v>77</v>
      </c>
      <c r="G24" s="23">
        <v>25</v>
      </c>
      <c r="H24" s="23">
        <v>25</v>
      </c>
      <c r="I24" s="23">
        <f t="shared" si="0"/>
        <v>0</v>
      </c>
      <c r="J24" s="22" t="s">
        <v>21</v>
      </c>
      <c r="K24" s="22" t="s">
        <v>21</v>
      </c>
      <c r="L24" s="22" t="s">
        <v>733</v>
      </c>
      <c r="M24" s="22" t="s">
        <v>126</v>
      </c>
      <c r="N24" s="22"/>
      <c r="O24" s="22"/>
      <c r="P24" s="22"/>
      <c r="Q24" s="22">
        <v>1</v>
      </c>
    </row>
    <row r="25" spans="1:18" x14ac:dyDescent="0.25">
      <c r="A25" s="20" t="s">
        <v>16</v>
      </c>
      <c r="B25" s="20" t="s">
        <v>17</v>
      </c>
      <c r="C25" s="20" t="s">
        <v>783</v>
      </c>
      <c r="D25" s="20"/>
      <c r="E25" s="20" t="s">
        <v>784</v>
      </c>
      <c r="F25" s="21">
        <v>3</v>
      </c>
      <c r="G25" s="21">
        <v>2070</v>
      </c>
      <c r="H25" s="21">
        <v>30</v>
      </c>
      <c r="I25" s="21">
        <f t="shared" si="0"/>
        <v>2040</v>
      </c>
      <c r="J25" s="20" t="s">
        <v>135</v>
      </c>
      <c r="K25" s="20" t="s">
        <v>21</v>
      </c>
      <c r="L25" s="20" t="s">
        <v>733</v>
      </c>
      <c r="M25" s="20"/>
      <c r="N25" s="20"/>
      <c r="O25" s="20"/>
      <c r="P25" s="20"/>
      <c r="Q25" s="20">
        <v>1</v>
      </c>
    </row>
    <row r="26" spans="1:18" x14ac:dyDescent="0.25">
      <c r="A26" s="20" t="s">
        <v>16</v>
      </c>
      <c r="B26" s="20" t="s">
        <v>17</v>
      </c>
      <c r="C26" s="20" t="s">
        <v>785</v>
      </c>
      <c r="D26" s="20"/>
      <c r="E26" s="20" t="s">
        <v>786</v>
      </c>
      <c r="F26" s="20" t="s">
        <v>95</v>
      </c>
      <c r="G26" s="21">
        <v>0</v>
      </c>
      <c r="H26" s="21">
        <v>30</v>
      </c>
      <c r="I26" s="21">
        <f t="shared" si="0"/>
        <v>-30</v>
      </c>
      <c r="J26" s="20" t="s">
        <v>135</v>
      </c>
      <c r="K26" s="20" t="s">
        <v>21</v>
      </c>
      <c r="L26" s="20" t="s">
        <v>733</v>
      </c>
      <c r="M26" s="20"/>
      <c r="N26" s="20"/>
      <c r="O26" s="20"/>
      <c r="P26" s="20"/>
      <c r="Q26" s="20">
        <v>1</v>
      </c>
      <c r="R26" s="15">
        <f>H26</f>
        <v>30</v>
      </c>
    </row>
    <row r="27" spans="1:18" x14ac:dyDescent="0.25">
      <c r="A27" s="20"/>
      <c r="B27" s="20" t="s">
        <v>17</v>
      </c>
      <c r="C27" s="20" t="s">
        <v>787</v>
      </c>
      <c r="D27" s="20" t="s">
        <v>788</v>
      </c>
      <c r="E27" s="20" t="s">
        <v>789</v>
      </c>
      <c r="F27" s="21">
        <v>1</v>
      </c>
      <c r="G27" s="21">
        <v>0</v>
      </c>
      <c r="H27" s="21">
        <v>25</v>
      </c>
      <c r="I27" s="21">
        <f t="shared" si="0"/>
        <v>-25</v>
      </c>
      <c r="J27" s="20" t="s">
        <v>135</v>
      </c>
      <c r="K27" s="20" t="s">
        <v>21</v>
      </c>
      <c r="L27" s="20" t="s">
        <v>733</v>
      </c>
      <c r="M27" s="25" t="s">
        <v>790</v>
      </c>
      <c r="N27" s="20"/>
      <c r="O27" s="20"/>
      <c r="P27" s="20"/>
      <c r="Q27" s="20">
        <v>1</v>
      </c>
    </row>
    <row r="28" spans="1:18" x14ac:dyDescent="0.25">
      <c r="A28" s="20"/>
      <c r="B28" s="20" t="s">
        <v>17</v>
      </c>
      <c r="C28" s="20" t="s">
        <v>791</v>
      </c>
      <c r="D28" s="20" t="s">
        <v>792</v>
      </c>
      <c r="E28" s="20" t="s">
        <v>793</v>
      </c>
      <c r="F28" s="21">
        <v>1</v>
      </c>
      <c r="G28" s="21">
        <v>0</v>
      </c>
      <c r="H28" s="21">
        <v>25</v>
      </c>
      <c r="I28" s="21">
        <f t="shared" si="0"/>
        <v>-25</v>
      </c>
      <c r="J28" s="20" t="s">
        <v>135</v>
      </c>
      <c r="K28" s="20" t="s">
        <v>21</v>
      </c>
      <c r="L28" s="20" t="s">
        <v>733</v>
      </c>
      <c r="M28" s="20"/>
      <c r="N28" s="20"/>
      <c r="O28" s="20"/>
      <c r="P28" s="20"/>
      <c r="Q28" s="20">
        <v>1</v>
      </c>
      <c r="R28" s="15">
        <f>H28</f>
        <v>25</v>
      </c>
    </row>
    <row r="29" spans="1:18" s="24" customFormat="1" x14ac:dyDescent="0.25">
      <c r="A29" s="22"/>
      <c r="B29" s="22" t="s">
        <v>17</v>
      </c>
      <c r="C29" s="22" t="s">
        <v>709</v>
      </c>
      <c r="D29" s="22" t="s">
        <v>794</v>
      </c>
      <c r="E29" s="22" t="s">
        <v>795</v>
      </c>
      <c r="F29" s="23">
        <v>10</v>
      </c>
      <c r="G29" s="23">
        <v>25</v>
      </c>
      <c r="H29" s="23">
        <v>25</v>
      </c>
      <c r="I29" s="23">
        <f t="shared" si="0"/>
        <v>0</v>
      </c>
      <c r="J29" s="22" t="s">
        <v>135</v>
      </c>
      <c r="K29" s="22" t="s">
        <v>21</v>
      </c>
      <c r="L29" s="22" t="s">
        <v>733</v>
      </c>
      <c r="M29" s="22" t="s">
        <v>126</v>
      </c>
      <c r="N29" s="22"/>
      <c r="O29" s="22"/>
      <c r="P29" s="22"/>
      <c r="Q29" s="22">
        <v>1</v>
      </c>
    </row>
    <row r="30" spans="1:18" x14ac:dyDescent="0.25">
      <c r="A30" s="20"/>
      <c r="B30" s="20" t="s">
        <v>17</v>
      </c>
      <c r="C30" s="20" t="s">
        <v>796</v>
      </c>
      <c r="D30" s="20" t="s">
        <v>797</v>
      </c>
      <c r="E30" s="20" t="s">
        <v>798</v>
      </c>
      <c r="F30" s="21">
        <v>1</v>
      </c>
      <c r="G30" s="21">
        <v>0</v>
      </c>
      <c r="H30" s="21">
        <v>25</v>
      </c>
      <c r="I30" s="21">
        <f t="shared" si="0"/>
        <v>-25</v>
      </c>
      <c r="J30" s="20" t="s">
        <v>135</v>
      </c>
      <c r="K30" s="20" t="s">
        <v>21</v>
      </c>
      <c r="L30" s="20" t="s">
        <v>733</v>
      </c>
      <c r="M30" s="20"/>
      <c r="N30" s="20"/>
      <c r="O30" s="20"/>
      <c r="P30" s="20"/>
      <c r="Q30" s="20">
        <v>1</v>
      </c>
      <c r="R30" s="15">
        <f>H30</f>
        <v>25</v>
      </c>
    </row>
    <row r="31" spans="1:18" x14ac:dyDescent="0.25">
      <c r="A31" s="20"/>
      <c r="B31" s="20" t="s">
        <v>17</v>
      </c>
      <c r="C31" s="20" t="s">
        <v>799</v>
      </c>
      <c r="D31" s="20" t="s">
        <v>800</v>
      </c>
      <c r="E31" s="20" t="s">
        <v>801</v>
      </c>
      <c r="F31" s="21">
        <v>10</v>
      </c>
      <c r="G31" s="21">
        <v>815</v>
      </c>
      <c r="H31" s="21">
        <v>25</v>
      </c>
      <c r="I31" s="21">
        <f t="shared" si="0"/>
        <v>790</v>
      </c>
      <c r="J31" s="20" t="s">
        <v>135</v>
      </c>
      <c r="K31" s="20" t="s">
        <v>21</v>
      </c>
      <c r="L31" s="20" t="s">
        <v>733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802</v>
      </c>
      <c r="D32" s="20" t="s">
        <v>803</v>
      </c>
      <c r="E32" s="20" t="s">
        <v>804</v>
      </c>
      <c r="F32" s="21">
        <v>5</v>
      </c>
      <c r="G32" s="21">
        <v>775</v>
      </c>
      <c r="H32" s="21">
        <v>25</v>
      </c>
      <c r="I32" s="21">
        <f t="shared" si="0"/>
        <v>750</v>
      </c>
      <c r="J32" s="20" t="s">
        <v>135</v>
      </c>
      <c r="K32" s="20" t="s">
        <v>21</v>
      </c>
      <c r="L32" s="20" t="s">
        <v>733</v>
      </c>
      <c r="M32" s="20"/>
      <c r="N32" s="20"/>
      <c r="O32" s="20"/>
      <c r="P32" s="20"/>
      <c r="Q32" s="20">
        <v>1</v>
      </c>
    </row>
    <row r="33" spans="1:18" x14ac:dyDescent="0.25">
      <c r="A33" s="20"/>
      <c r="B33" s="20" t="s">
        <v>17</v>
      </c>
      <c r="C33" s="20" t="s">
        <v>805</v>
      </c>
      <c r="D33" s="20" t="s">
        <v>806</v>
      </c>
      <c r="E33" s="20" t="s">
        <v>807</v>
      </c>
      <c r="F33" s="21">
        <v>1</v>
      </c>
      <c r="G33" s="21">
        <v>0</v>
      </c>
      <c r="H33" s="21">
        <v>25</v>
      </c>
      <c r="I33" s="21">
        <f t="shared" si="0"/>
        <v>-25</v>
      </c>
      <c r="J33" s="20" t="s">
        <v>135</v>
      </c>
      <c r="K33" s="20" t="s">
        <v>21</v>
      </c>
      <c r="L33" s="20" t="s">
        <v>733</v>
      </c>
      <c r="M33" s="20"/>
      <c r="N33" s="20"/>
      <c r="O33" s="20"/>
      <c r="P33" s="20"/>
      <c r="Q33" s="20">
        <v>1</v>
      </c>
      <c r="R33" s="15">
        <f>H33</f>
        <v>25</v>
      </c>
    </row>
    <row r="35" spans="1:18" x14ac:dyDescent="0.25">
      <c r="D35" s="6">
        <f>COUNTA(D3:D33)</f>
        <v>23</v>
      </c>
      <c r="G35" s="6">
        <f t="shared" ref="G35:Q35" si="1">SUBTOTAL(9,G3:G33)</f>
        <v>28435</v>
      </c>
      <c r="H35" s="6">
        <f t="shared" si="1"/>
        <v>895</v>
      </c>
      <c r="I35" s="6">
        <f t="shared" si="1"/>
        <v>27540</v>
      </c>
      <c r="J35" s="6">
        <f t="shared" si="1"/>
        <v>0</v>
      </c>
      <c r="K35" s="6">
        <f t="shared" si="1"/>
        <v>0</v>
      </c>
      <c r="L35" s="6">
        <f t="shared" si="1"/>
        <v>0</v>
      </c>
      <c r="M35" s="6">
        <f t="shared" si="1"/>
        <v>0</v>
      </c>
      <c r="N35" s="6">
        <f t="shared" si="1"/>
        <v>0</v>
      </c>
      <c r="O35" s="6">
        <f t="shared" si="1"/>
        <v>0</v>
      </c>
      <c r="P35" s="6">
        <f t="shared" si="1"/>
        <v>0</v>
      </c>
      <c r="Q35" s="6">
        <f t="shared" si="1"/>
        <v>31</v>
      </c>
    </row>
    <row r="36" spans="1:18" x14ac:dyDescent="0.25">
      <c r="H36">
        <f>-6*17</f>
        <v>-102</v>
      </c>
    </row>
    <row r="37" spans="1:18" x14ac:dyDescent="0.25">
      <c r="A37" s="6" t="s">
        <v>17</v>
      </c>
      <c r="C37" s="5" t="s">
        <v>191</v>
      </c>
      <c r="D37" s="5"/>
      <c r="E37" s="9" t="s">
        <v>192</v>
      </c>
      <c r="H37">
        <f>-5*25</f>
        <v>-125</v>
      </c>
      <c r="K37" s="16" t="s">
        <v>732</v>
      </c>
      <c r="L37" s="16" t="s">
        <v>193</v>
      </c>
      <c r="M37" s="16" t="s">
        <v>192</v>
      </c>
      <c r="O37" s="9" t="s">
        <v>194</v>
      </c>
    </row>
    <row r="38" spans="1:18" x14ac:dyDescent="0.25">
      <c r="A38" t="s">
        <v>733</v>
      </c>
      <c r="B38" s="8" t="s">
        <v>195</v>
      </c>
      <c r="C38" s="4">
        <f>SUMIFS(I$3:I$33,B$3:B$33,A$37,L$3:L$33,A$38)</f>
        <v>27540</v>
      </c>
      <c r="D38" s="4"/>
      <c r="E38" s="8">
        <f>SUMIFS(Q$3:Q$33,B$3:B$33,A$37,L$3:L$33,A$38)</f>
        <v>31</v>
      </c>
      <c r="F38" t="s">
        <v>196</v>
      </c>
      <c r="H38">
        <f>-1*30</f>
        <v>-30</v>
      </c>
      <c r="K38" t="s">
        <v>197</v>
      </c>
      <c r="L38">
        <f>SUMIFS(G$3:G$33,J$3:J$33,K$37)</f>
        <v>3440</v>
      </c>
      <c r="M38">
        <f>SUMIFS(Q$3:Q$33,J$3:J$33,K$37)-INT(COUNTIFS(J$3:J$33,K$37,M$3:M$33,"*gộp*")/2)</f>
        <v>12</v>
      </c>
      <c r="O38" t="s">
        <v>808</v>
      </c>
      <c r="P38">
        <f>L43</f>
        <v>3183</v>
      </c>
    </row>
    <row r="39" spans="1:18" x14ac:dyDescent="0.25">
      <c r="B39" s="7" t="s">
        <v>199</v>
      </c>
      <c r="C39" s="3">
        <v>0</v>
      </c>
      <c r="D39" s="3"/>
      <c r="K39" t="s">
        <v>200</v>
      </c>
      <c r="L39">
        <f>SUM(H36:H38)+SUMIFS(H$3:H$33,J$3:J$33,K$37,M$3:M$33,"*gộp*")/2</f>
        <v>-257</v>
      </c>
      <c r="M39">
        <f>SUMIFS(Q$3:Q$33,J$3:J$33,K$37)</f>
        <v>12</v>
      </c>
      <c r="O39" t="s">
        <v>21</v>
      </c>
      <c r="P39">
        <f>L51</f>
        <v>20998</v>
      </c>
    </row>
    <row r="40" spans="1:18" x14ac:dyDescent="0.25">
      <c r="B40" s="7" t="s">
        <v>201</v>
      </c>
      <c r="C40" s="3">
        <f>-SUMIFS(I$3:I$33,B$3:B$33,A$37,P$3:P$33,"xx",N$3:N$33,"x")</f>
        <v>0</v>
      </c>
      <c r="D40" s="3"/>
      <c r="E40" s="7">
        <f>SUMIFS(Q$3:Q$33,B$3:B$33,A$37,P$3:P$33,"xx",N$3:N$33,"x")</f>
        <v>0</v>
      </c>
      <c r="K40" t="s">
        <v>202</v>
      </c>
      <c r="O40" t="s">
        <v>135</v>
      </c>
      <c r="P40">
        <f>L59</f>
        <v>3495</v>
      </c>
    </row>
    <row r="41" spans="1:18" x14ac:dyDescent="0.25">
      <c r="B41" s="9" t="s">
        <v>203</v>
      </c>
      <c r="C41" s="5">
        <f>SUBTOTAL(9,C38:C40)</f>
        <v>27540</v>
      </c>
      <c r="D41" s="5"/>
      <c r="E41">
        <f>E38</f>
        <v>31</v>
      </c>
      <c r="K41" s="7" t="s">
        <v>204</v>
      </c>
      <c r="O41" t="s">
        <v>207</v>
      </c>
      <c r="P41">
        <f>-C45</f>
        <v>-27540</v>
      </c>
    </row>
    <row r="42" spans="1:18" x14ac:dyDescent="0.25">
      <c r="B42" s="7" t="s">
        <v>205</v>
      </c>
      <c r="C42" s="2"/>
      <c r="D42" s="2"/>
      <c r="K42" s="7" t="s">
        <v>206</v>
      </c>
      <c r="O42" s="9" t="s">
        <v>209</v>
      </c>
      <c r="P42" s="9">
        <f>SUBTOTAL(9,P38:P41)</f>
        <v>136</v>
      </c>
    </row>
    <row r="43" spans="1:18" x14ac:dyDescent="0.25">
      <c r="B43" s="17" t="s">
        <v>208</v>
      </c>
      <c r="C43" s="2"/>
      <c r="D43" s="2"/>
      <c r="L43" s="18">
        <f>SUBTOTAL(9,L38:L42)</f>
        <v>3183</v>
      </c>
      <c r="M43" s="18">
        <f>M38</f>
        <v>12</v>
      </c>
    </row>
    <row r="45" spans="1:18" x14ac:dyDescent="0.25">
      <c r="B45" s="6" t="s">
        <v>210</v>
      </c>
      <c r="C45" s="1">
        <f>C41+C42+C43</f>
        <v>27540</v>
      </c>
      <c r="D45" s="1"/>
      <c r="E45" s="6" t="s">
        <v>211</v>
      </c>
      <c r="K45" s="16" t="s">
        <v>21</v>
      </c>
      <c r="L45" s="16" t="s">
        <v>193</v>
      </c>
      <c r="M45" s="16" t="s">
        <v>192</v>
      </c>
    </row>
    <row r="46" spans="1:18" x14ac:dyDescent="0.25">
      <c r="K46" t="s">
        <v>197</v>
      </c>
      <c r="L46">
        <f>SUMIFS(G$3:G$33,J$3:J$33,K$45)</f>
        <v>21310</v>
      </c>
      <c r="M46">
        <f>SUMIFS(Q$3:Q$33,J$3:J$33,K$45)-INT(COUNTIFS(J$3:J$33,K$45,M$3:M$33,"*gộp*")/2)</f>
        <v>10</v>
      </c>
    </row>
    <row r="47" spans="1:18" x14ac:dyDescent="0.25">
      <c r="K47" t="s">
        <v>200</v>
      </c>
      <c r="L47">
        <f>-SUMIFS(H$3:H$33,J$3:J$33,K$45)+M47*5</f>
        <v>-250</v>
      </c>
      <c r="M47">
        <f>SUMIFS(Q$3:Q$33,J$3:J$33,K$45)-INT(COUNTIFS(J$3:J$33,K$45,M$3:M$33,"*gộp*")/2)</f>
        <v>10</v>
      </c>
    </row>
    <row r="48" spans="1:18" x14ac:dyDescent="0.25">
      <c r="K48" t="s">
        <v>202</v>
      </c>
      <c r="L48">
        <f>-M48*2</f>
        <v>-62</v>
      </c>
      <c r="M48">
        <f>E41-(COUNTIFS(M$3:M$33,"*gộp*")/2)-COUNTIFS(M$3:M$33,"*đơn trả*")-COUNTIFS(M$3:M$33,"*hàng tỉnh*")</f>
        <v>31</v>
      </c>
    </row>
    <row r="49" spans="11:13" x14ac:dyDescent="0.25">
      <c r="K49" s="7" t="s">
        <v>204</v>
      </c>
    </row>
    <row r="50" spans="11:13" x14ac:dyDescent="0.25">
      <c r="K50" s="7" t="s">
        <v>206</v>
      </c>
    </row>
    <row r="51" spans="11:13" x14ac:dyDescent="0.25">
      <c r="L51" s="18">
        <f>SUBTOTAL(9,L46:L50)</f>
        <v>20998</v>
      </c>
      <c r="M51" s="18">
        <f>M46</f>
        <v>10</v>
      </c>
    </row>
    <row r="53" spans="11:13" x14ac:dyDescent="0.25">
      <c r="K53" s="16" t="s">
        <v>135</v>
      </c>
      <c r="L53" s="16" t="s">
        <v>193</v>
      </c>
      <c r="M53" s="16" t="s">
        <v>192</v>
      </c>
    </row>
    <row r="54" spans="11:13" x14ac:dyDescent="0.25">
      <c r="K54" t="s">
        <v>197</v>
      </c>
      <c r="L54">
        <f>SUMIFS(G$3:G$33,J$3:J$33,K$53)</f>
        <v>3685</v>
      </c>
      <c r="M54">
        <f>SUMIFS(Q$3:Q$33,J$3:J$33,K$53)-INT(COUNTIFS(J$3:J$33,K$53,M$3:M$33,"*gộp*")/2)</f>
        <v>9</v>
      </c>
    </row>
    <row r="55" spans="11:13" x14ac:dyDescent="0.25">
      <c r="K55" t="s">
        <v>200</v>
      </c>
      <c r="L55">
        <f>-SUMIFS(H$3:H$33,J$3:J$33,K$53)+M55*5</f>
        <v>-190</v>
      </c>
      <c r="M55">
        <f>SUMIFS(Q$3:Q$33,J$3:J$33,K$53)-INT(COUNTIFS(J$3:J$33,K$53,M$3:M$33,"*gộp*")/2)</f>
        <v>9</v>
      </c>
    </row>
    <row r="56" spans="11:13" x14ac:dyDescent="0.25">
      <c r="K56" t="s">
        <v>202</v>
      </c>
    </row>
    <row r="57" spans="11:13" x14ac:dyDescent="0.25">
      <c r="K57" s="7" t="s">
        <v>204</v>
      </c>
    </row>
    <row r="58" spans="11:13" x14ac:dyDescent="0.25">
      <c r="K58" s="7" t="s">
        <v>206</v>
      </c>
    </row>
    <row r="59" spans="11:13" x14ac:dyDescent="0.25">
      <c r="L59" s="18">
        <f>SUBTOTAL(9,L54:L58)</f>
        <v>3495</v>
      </c>
      <c r="M59" s="18">
        <f>M54</f>
        <v>9</v>
      </c>
    </row>
  </sheetData>
  <autoFilter ref="A2:P33" xr:uid="{00000000-0009-0000-0000-000006000000}">
    <sortState xmlns:xlrd2="http://schemas.microsoft.com/office/spreadsheetml/2017/richdata2" ref="A3:P33">
      <sortCondition ref="J2:J33"/>
    </sortState>
  </autoFilter>
  <mergeCells count="8">
    <mergeCell ref="C42:D42"/>
    <mergeCell ref="C43:D43"/>
    <mergeCell ref="C45:D45"/>
    <mergeCell ref="C37:D37"/>
    <mergeCell ref="C38:D38"/>
    <mergeCell ref="C39:D39"/>
    <mergeCell ref="C40:D40"/>
    <mergeCell ref="C41:D41"/>
  </mergeCells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Q88"/>
  <sheetViews>
    <sheetView topLeftCell="A57" workbookViewId="0">
      <selection activeCell="I66" sqref="I66"/>
    </sheetView>
  </sheetViews>
  <sheetFormatPr defaultRowHeight="15" x14ac:dyDescent="0.25"/>
  <cols>
    <col min="1" max="1" width="12.7109375" customWidth="1"/>
    <col min="2" max="2" width="17.7109375" customWidth="1"/>
    <col min="3" max="3" width="31" customWidth="1"/>
    <col min="4" max="4" width="9.85546875" customWidth="1"/>
    <col min="5" max="5" width="78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212</v>
      </c>
    </row>
    <row r="3" spans="1:17" x14ac:dyDescent="0.25">
      <c r="A3" s="20"/>
      <c r="B3" s="20" t="s">
        <v>17</v>
      </c>
      <c r="C3" s="20" t="s">
        <v>809</v>
      </c>
      <c r="D3" s="20" t="s">
        <v>810</v>
      </c>
      <c r="E3" s="20" t="s">
        <v>811</v>
      </c>
      <c r="F3" s="21">
        <v>12</v>
      </c>
      <c r="G3" s="21">
        <v>0</v>
      </c>
      <c r="H3" s="21">
        <v>30</v>
      </c>
      <c r="I3" s="21">
        <f t="shared" ref="I3:I34" si="0">G3-H3</f>
        <v>-30</v>
      </c>
      <c r="J3" s="20" t="s">
        <v>812</v>
      </c>
      <c r="K3" s="20" t="s">
        <v>21</v>
      </c>
      <c r="L3" s="20" t="s">
        <v>813</v>
      </c>
      <c r="M3" s="20"/>
      <c r="N3" s="20"/>
      <c r="O3" s="20"/>
      <c r="P3" s="20"/>
      <c r="Q3" s="20">
        <v>1</v>
      </c>
    </row>
    <row r="4" spans="1:17" x14ac:dyDescent="0.25">
      <c r="A4" s="20"/>
      <c r="B4" s="20" t="s">
        <v>17</v>
      </c>
      <c r="C4" s="20" t="s">
        <v>814</v>
      </c>
      <c r="D4" s="20" t="s">
        <v>815</v>
      </c>
      <c r="E4" s="20" t="s">
        <v>816</v>
      </c>
      <c r="F4" s="21">
        <v>7</v>
      </c>
      <c r="G4" s="21">
        <v>1800</v>
      </c>
      <c r="H4" s="21">
        <v>30</v>
      </c>
      <c r="I4" s="21">
        <f t="shared" si="0"/>
        <v>1770</v>
      </c>
      <c r="J4" s="20" t="s">
        <v>812</v>
      </c>
      <c r="K4" s="20" t="s">
        <v>21</v>
      </c>
      <c r="L4" s="20" t="s">
        <v>813</v>
      </c>
      <c r="M4" s="20"/>
      <c r="N4" s="20"/>
      <c r="O4" s="20"/>
      <c r="P4" s="20"/>
      <c r="Q4" s="20">
        <v>1</v>
      </c>
    </row>
    <row r="5" spans="1:17" s="24" customFormat="1" x14ac:dyDescent="0.25">
      <c r="A5" s="22"/>
      <c r="B5" s="22" t="s">
        <v>17</v>
      </c>
      <c r="C5" s="22" t="s">
        <v>463</v>
      </c>
      <c r="D5" s="22" t="s">
        <v>817</v>
      </c>
      <c r="E5" s="22" t="s">
        <v>818</v>
      </c>
      <c r="F5" s="22" t="s">
        <v>139</v>
      </c>
      <c r="G5" s="23">
        <v>35</v>
      </c>
      <c r="H5" s="23">
        <v>35</v>
      </c>
      <c r="I5" s="23">
        <f t="shared" si="0"/>
        <v>0</v>
      </c>
      <c r="J5" s="22" t="s">
        <v>812</v>
      </c>
      <c r="K5" s="22" t="s">
        <v>21</v>
      </c>
      <c r="L5" s="22" t="s">
        <v>813</v>
      </c>
      <c r="M5" s="22" t="s">
        <v>126</v>
      </c>
      <c r="N5" s="22"/>
      <c r="O5" s="22"/>
      <c r="P5" s="22"/>
      <c r="Q5" s="22">
        <v>1</v>
      </c>
    </row>
    <row r="6" spans="1:17" x14ac:dyDescent="0.25">
      <c r="A6" s="20"/>
      <c r="B6" s="20" t="s">
        <v>17</v>
      </c>
      <c r="C6" s="20" t="s">
        <v>819</v>
      </c>
      <c r="D6" s="20" t="s">
        <v>820</v>
      </c>
      <c r="E6" s="20" t="s">
        <v>821</v>
      </c>
      <c r="F6" s="21">
        <v>8</v>
      </c>
      <c r="G6" s="21">
        <v>820</v>
      </c>
      <c r="H6" s="21">
        <v>30</v>
      </c>
      <c r="I6" s="21">
        <f t="shared" si="0"/>
        <v>790</v>
      </c>
      <c r="J6" s="20" t="s">
        <v>812</v>
      </c>
      <c r="K6" s="20" t="s">
        <v>21</v>
      </c>
      <c r="L6" s="20" t="s">
        <v>813</v>
      </c>
      <c r="M6" s="20"/>
      <c r="N6" s="20"/>
      <c r="O6" s="20"/>
      <c r="P6" s="20"/>
      <c r="Q6" s="20">
        <v>1</v>
      </c>
    </row>
    <row r="7" spans="1:17" x14ac:dyDescent="0.25">
      <c r="A7" s="20"/>
      <c r="B7" s="20" t="s">
        <v>17</v>
      </c>
      <c r="C7" s="20" t="s">
        <v>822</v>
      </c>
      <c r="D7" s="20" t="s">
        <v>823</v>
      </c>
      <c r="E7" s="20" t="s">
        <v>824</v>
      </c>
      <c r="F7" s="20" t="s">
        <v>26</v>
      </c>
      <c r="G7" s="21">
        <v>790</v>
      </c>
      <c r="H7" s="21">
        <v>30</v>
      </c>
      <c r="I7" s="21">
        <f t="shared" si="0"/>
        <v>760</v>
      </c>
      <c r="J7" s="20" t="s">
        <v>812</v>
      </c>
      <c r="K7" s="20" t="s">
        <v>21</v>
      </c>
      <c r="L7" s="20" t="s">
        <v>813</v>
      </c>
      <c r="M7" s="20"/>
      <c r="N7" s="20"/>
      <c r="O7" s="20"/>
      <c r="P7" s="20"/>
      <c r="Q7" s="20">
        <v>1</v>
      </c>
    </row>
    <row r="8" spans="1:17" x14ac:dyDescent="0.25">
      <c r="A8" s="20"/>
      <c r="B8" s="20" t="s">
        <v>17</v>
      </c>
      <c r="C8" s="20" t="s">
        <v>825</v>
      </c>
      <c r="D8" s="20" t="s">
        <v>826</v>
      </c>
      <c r="E8" s="20" t="s">
        <v>827</v>
      </c>
      <c r="F8" s="21">
        <v>7</v>
      </c>
      <c r="G8" s="21">
        <v>780</v>
      </c>
      <c r="H8" s="21">
        <v>30</v>
      </c>
      <c r="I8" s="21">
        <f t="shared" si="0"/>
        <v>750</v>
      </c>
      <c r="J8" s="20" t="s">
        <v>812</v>
      </c>
      <c r="K8" s="20" t="s">
        <v>21</v>
      </c>
      <c r="L8" s="20" t="s">
        <v>813</v>
      </c>
      <c r="M8" s="20"/>
      <c r="N8" s="20"/>
      <c r="O8" s="20"/>
      <c r="P8" s="20"/>
      <c r="Q8" s="20">
        <v>1</v>
      </c>
    </row>
    <row r="9" spans="1:17" x14ac:dyDescent="0.25">
      <c r="A9" s="20"/>
      <c r="B9" s="20" t="s">
        <v>17</v>
      </c>
      <c r="C9" s="20" t="s">
        <v>828</v>
      </c>
      <c r="D9" s="20" t="s">
        <v>829</v>
      </c>
      <c r="E9" s="20" t="s">
        <v>830</v>
      </c>
      <c r="F9" s="20" t="s">
        <v>26</v>
      </c>
      <c r="G9" s="21">
        <v>1090</v>
      </c>
      <c r="H9" s="21">
        <v>30</v>
      </c>
      <c r="I9" s="21">
        <f t="shared" si="0"/>
        <v>1060</v>
      </c>
      <c r="J9" s="20" t="s">
        <v>812</v>
      </c>
      <c r="K9" s="20" t="s">
        <v>21</v>
      </c>
      <c r="L9" s="20" t="s">
        <v>813</v>
      </c>
      <c r="M9" s="20"/>
      <c r="N9" s="20"/>
      <c r="O9" s="20"/>
      <c r="P9" s="20"/>
      <c r="Q9" s="20">
        <v>1</v>
      </c>
    </row>
    <row r="10" spans="1:17" x14ac:dyDescent="0.25">
      <c r="A10" s="20"/>
      <c r="B10" s="20" t="s">
        <v>17</v>
      </c>
      <c r="C10" s="20" t="s">
        <v>831</v>
      </c>
      <c r="D10" s="20" t="s">
        <v>832</v>
      </c>
      <c r="E10" s="20" t="s">
        <v>833</v>
      </c>
      <c r="F10" s="21">
        <v>7</v>
      </c>
      <c r="G10" s="21">
        <v>850</v>
      </c>
      <c r="H10" s="21">
        <v>30</v>
      </c>
      <c r="I10" s="21">
        <f t="shared" si="0"/>
        <v>820</v>
      </c>
      <c r="J10" s="20" t="s">
        <v>812</v>
      </c>
      <c r="K10" s="20" t="s">
        <v>21</v>
      </c>
      <c r="L10" s="20" t="s">
        <v>813</v>
      </c>
      <c r="M10" s="20"/>
      <c r="N10" s="20"/>
      <c r="O10" s="20"/>
      <c r="P10" s="20"/>
      <c r="Q10" s="20">
        <v>1</v>
      </c>
    </row>
    <row r="11" spans="1:17" x14ac:dyDescent="0.25">
      <c r="A11" s="20"/>
      <c r="B11" s="20" t="s">
        <v>17</v>
      </c>
      <c r="C11" s="20" t="s">
        <v>834</v>
      </c>
      <c r="D11" s="20" t="s">
        <v>835</v>
      </c>
      <c r="E11" s="20" t="s">
        <v>836</v>
      </c>
      <c r="F11" s="20" t="s">
        <v>134</v>
      </c>
      <c r="G11" s="21">
        <v>1185</v>
      </c>
      <c r="H11" s="21">
        <v>35</v>
      </c>
      <c r="I11" s="21">
        <f t="shared" si="0"/>
        <v>1150</v>
      </c>
      <c r="J11" s="20" t="s">
        <v>812</v>
      </c>
      <c r="K11" s="20" t="s">
        <v>21</v>
      </c>
      <c r="L11" s="20" t="s">
        <v>813</v>
      </c>
      <c r="M11" s="20"/>
      <c r="N11" s="20"/>
      <c r="O11" s="20"/>
      <c r="P11" s="20"/>
      <c r="Q11" s="20">
        <v>1</v>
      </c>
    </row>
    <row r="12" spans="1:17" x14ac:dyDescent="0.25">
      <c r="A12" s="20"/>
      <c r="B12" s="20" t="s">
        <v>17</v>
      </c>
      <c r="C12" s="20" t="s">
        <v>837</v>
      </c>
      <c r="D12" s="20" t="s">
        <v>838</v>
      </c>
      <c r="E12" s="20" t="s">
        <v>839</v>
      </c>
      <c r="F12" s="20" t="s">
        <v>46</v>
      </c>
      <c r="G12" s="21">
        <v>975</v>
      </c>
      <c r="H12" s="21">
        <v>25</v>
      </c>
      <c r="I12" s="21">
        <f t="shared" si="0"/>
        <v>950</v>
      </c>
      <c r="J12" s="20" t="s">
        <v>812</v>
      </c>
      <c r="K12" s="20" t="s">
        <v>21</v>
      </c>
      <c r="L12" s="20" t="s">
        <v>813</v>
      </c>
      <c r="M12" s="20"/>
      <c r="N12" s="20"/>
      <c r="O12" s="20"/>
      <c r="P12" s="20"/>
      <c r="Q12" s="20">
        <v>1</v>
      </c>
    </row>
    <row r="13" spans="1:17" x14ac:dyDescent="0.25">
      <c r="A13" s="20"/>
      <c r="B13" s="20" t="s">
        <v>17</v>
      </c>
      <c r="C13" s="20" t="s">
        <v>840</v>
      </c>
      <c r="D13" s="20" t="s">
        <v>841</v>
      </c>
      <c r="E13" s="20" t="s">
        <v>842</v>
      </c>
      <c r="F13" s="20" t="s">
        <v>26</v>
      </c>
      <c r="G13" s="21">
        <v>0</v>
      </c>
      <c r="H13" s="21">
        <v>30</v>
      </c>
      <c r="I13" s="21">
        <f t="shared" si="0"/>
        <v>-30</v>
      </c>
      <c r="J13" s="20" t="s">
        <v>812</v>
      </c>
      <c r="K13" s="20" t="s">
        <v>21</v>
      </c>
      <c r="L13" s="20" t="s">
        <v>813</v>
      </c>
      <c r="M13" s="20"/>
      <c r="N13" s="20"/>
      <c r="O13" s="20"/>
      <c r="P13" s="20"/>
      <c r="Q13" s="20">
        <v>1</v>
      </c>
    </row>
    <row r="14" spans="1:17" x14ac:dyDescent="0.25">
      <c r="A14" s="20"/>
      <c r="B14" s="20" t="s">
        <v>17</v>
      </c>
      <c r="C14" s="20" t="s">
        <v>843</v>
      </c>
      <c r="D14" s="20" t="s">
        <v>844</v>
      </c>
      <c r="E14" s="20" t="s">
        <v>845</v>
      </c>
      <c r="F14" s="20" t="s">
        <v>139</v>
      </c>
      <c r="G14" s="21">
        <v>905</v>
      </c>
      <c r="H14" s="21">
        <v>35</v>
      </c>
      <c r="I14" s="21">
        <f t="shared" si="0"/>
        <v>870</v>
      </c>
      <c r="J14" s="20" t="s">
        <v>812</v>
      </c>
      <c r="K14" s="20" t="s">
        <v>21</v>
      </c>
      <c r="L14" s="20" t="s">
        <v>813</v>
      </c>
      <c r="M14" s="20"/>
      <c r="N14" s="20"/>
      <c r="O14" s="20"/>
      <c r="P14" s="20"/>
      <c r="Q14" s="20">
        <v>1</v>
      </c>
    </row>
    <row r="15" spans="1:17" x14ac:dyDescent="0.25">
      <c r="A15" s="20"/>
      <c r="B15" s="20" t="s">
        <v>17</v>
      </c>
      <c r="C15" s="20" t="s">
        <v>846</v>
      </c>
      <c r="D15" s="20" t="s">
        <v>847</v>
      </c>
      <c r="E15" s="20" t="s">
        <v>848</v>
      </c>
      <c r="F15" s="20" t="s">
        <v>46</v>
      </c>
      <c r="G15" s="21">
        <v>0</v>
      </c>
      <c r="H15" s="21">
        <v>25</v>
      </c>
      <c r="I15" s="21">
        <f t="shared" si="0"/>
        <v>-25</v>
      </c>
      <c r="J15" s="20" t="s">
        <v>812</v>
      </c>
      <c r="K15" s="20" t="s">
        <v>21</v>
      </c>
      <c r="L15" s="20" t="s">
        <v>813</v>
      </c>
      <c r="M15" s="20"/>
      <c r="N15" s="20"/>
      <c r="O15" s="20"/>
      <c r="P15" s="20"/>
      <c r="Q15" s="20">
        <v>1</v>
      </c>
    </row>
    <row r="16" spans="1:17" x14ac:dyDescent="0.25">
      <c r="A16" s="20" t="s">
        <v>16</v>
      </c>
      <c r="B16" s="20" t="s">
        <v>17</v>
      </c>
      <c r="C16" s="20" t="s">
        <v>849</v>
      </c>
      <c r="D16" s="20"/>
      <c r="E16" s="20" t="s">
        <v>850</v>
      </c>
      <c r="F16" s="21">
        <v>12</v>
      </c>
      <c r="G16" s="21">
        <v>0</v>
      </c>
      <c r="H16" s="21">
        <v>30</v>
      </c>
      <c r="I16" s="21">
        <f t="shared" si="0"/>
        <v>-30</v>
      </c>
      <c r="J16" s="20" t="s">
        <v>812</v>
      </c>
      <c r="K16" s="20" t="s">
        <v>21</v>
      </c>
      <c r="L16" s="20" t="s">
        <v>813</v>
      </c>
      <c r="M16" s="20"/>
      <c r="N16" s="20"/>
      <c r="O16" s="20"/>
      <c r="P16" s="20"/>
      <c r="Q16" s="20">
        <v>1</v>
      </c>
    </row>
    <row r="17" spans="1:17" x14ac:dyDescent="0.25">
      <c r="A17" s="20"/>
      <c r="B17" s="20" t="s">
        <v>17</v>
      </c>
      <c r="C17" s="20" t="s">
        <v>851</v>
      </c>
      <c r="D17" s="20" t="s">
        <v>852</v>
      </c>
      <c r="E17" s="20" t="s">
        <v>853</v>
      </c>
      <c r="F17" s="21">
        <v>7</v>
      </c>
      <c r="G17" s="21">
        <v>820</v>
      </c>
      <c r="H17" s="21">
        <v>30</v>
      </c>
      <c r="I17" s="21">
        <f t="shared" si="0"/>
        <v>790</v>
      </c>
      <c r="J17" s="20" t="s">
        <v>812</v>
      </c>
      <c r="K17" s="20" t="s">
        <v>21</v>
      </c>
      <c r="L17" s="20" t="s">
        <v>813</v>
      </c>
      <c r="M17" s="20"/>
      <c r="N17" s="20"/>
      <c r="O17" s="20"/>
      <c r="P17" s="20"/>
      <c r="Q17" s="20">
        <v>1</v>
      </c>
    </row>
    <row r="18" spans="1:17" x14ac:dyDescent="0.25">
      <c r="A18" s="20"/>
      <c r="B18" s="20" t="s">
        <v>17</v>
      </c>
      <c r="C18" s="20" t="s">
        <v>854</v>
      </c>
      <c r="D18" s="20" t="s">
        <v>855</v>
      </c>
      <c r="E18" s="20" t="s">
        <v>856</v>
      </c>
      <c r="F18" s="21">
        <v>7</v>
      </c>
      <c r="G18" s="21">
        <v>780</v>
      </c>
      <c r="H18" s="21">
        <v>30</v>
      </c>
      <c r="I18" s="21">
        <f t="shared" si="0"/>
        <v>750</v>
      </c>
      <c r="J18" s="20" t="s">
        <v>812</v>
      </c>
      <c r="K18" s="20" t="s">
        <v>21</v>
      </c>
      <c r="L18" s="20" t="s">
        <v>813</v>
      </c>
      <c r="M18" s="20"/>
      <c r="N18" s="20"/>
      <c r="O18" s="20"/>
      <c r="P18" s="20"/>
      <c r="Q18" s="20">
        <v>1</v>
      </c>
    </row>
    <row r="19" spans="1:17" x14ac:dyDescent="0.25">
      <c r="A19" s="20"/>
      <c r="B19" s="20" t="s">
        <v>17</v>
      </c>
      <c r="C19" s="20" t="s">
        <v>857</v>
      </c>
      <c r="D19" s="20" t="s">
        <v>858</v>
      </c>
      <c r="E19" s="20" t="s">
        <v>859</v>
      </c>
      <c r="F19" s="21">
        <v>8</v>
      </c>
      <c r="G19" s="21">
        <v>890</v>
      </c>
      <c r="H19" s="21">
        <v>30</v>
      </c>
      <c r="I19" s="21">
        <f t="shared" si="0"/>
        <v>860</v>
      </c>
      <c r="J19" s="20" t="s">
        <v>812</v>
      </c>
      <c r="K19" s="20" t="s">
        <v>21</v>
      </c>
      <c r="L19" s="20" t="s">
        <v>813</v>
      </c>
      <c r="M19" s="20"/>
      <c r="N19" s="20"/>
      <c r="O19" s="20"/>
      <c r="P19" s="20"/>
      <c r="Q19" s="20">
        <v>1</v>
      </c>
    </row>
    <row r="20" spans="1:17" x14ac:dyDescent="0.25">
      <c r="A20" s="20"/>
      <c r="B20" s="20" t="s">
        <v>17</v>
      </c>
      <c r="C20" s="20" t="s">
        <v>860</v>
      </c>
      <c r="D20" s="20" t="s">
        <v>861</v>
      </c>
      <c r="E20" s="20" t="s">
        <v>862</v>
      </c>
      <c r="F20" s="21">
        <v>8</v>
      </c>
      <c r="G20" s="21">
        <v>900</v>
      </c>
      <c r="H20" s="21">
        <v>30</v>
      </c>
      <c r="I20" s="21">
        <f t="shared" si="0"/>
        <v>870</v>
      </c>
      <c r="J20" s="20" t="s">
        <v>812</v>
      </c>
      <c r="K20" s="20" t="s">
        <v>21</v>
      </c>
      <c r="L20" s="20" t="s">
        <v>813</v>
      </c>
      <c r="M20" s="20"/>
      <c r="N20" s="20"/>
      <c r="O20" s="20"/>
      <c r="P20" s="20"/>
      <c r="Q20" s="20">
        <v>1</v>
      </c>
    </row>
    <row r="21" spans="1:17" x14ac:dyDescent="0.25">
      <c r="A21" s="20"/>
      <c r="B21" s="20" t="s">
        <v>17</v>
      </c>
      <c r="C21" s="20" t="s">
        <v>863</v>
      </c>
      <c r="D21" s="20" t="s">
        <v>864</v>
      </c>
      <c r="E21" s="20" t="s">
        <v>865</v>
      </c>
      <c r="F21" s="20" t="s">
        <v>46</v>
      </c>
      <c r="G21" s="21">
        <v>845</v>
      </c>
      <c r="H21" s="21">
        <v>25</v>
      </c>
      <c r="I21" s="21">
        <f t="shared" si="0"/>
        <v>820</v>
      </c>
      <c r="J21" s="20" t="s">
        <v>812</v>
      </c>
      <c r="K21" s="20" t="s">
        <v>21</v>
      </c>
      <c r="L21" s="20" t="s">
        <v>813</v>
      </c>
      <c r="M21" s="20"/>
      <c r="N21" s="20"/>
      <c r="O21" s="20"/>
      <c r="P21" s="20"/>
      <c r="Q21" s="20">
        <v>1</v>
      </c>
    </row>
    <row r="22" spans="1:17" s="24" customFormat="1" x14ac:dyDescent="0.25">
      <c r="A22" s="22"/>
      <c r="B22" s="22" t="s">
        <v>17</v>
      </c>
      <c r="C22" s="22" t="s">
        <v>866</v>
      </c>
      <c r="D22" s="22" t="s">
        <v>867</v>
      </c>
      <c r="E22" s="22" t="s">
        <v>868</v>
      </c>
      <c r="F22" s="23">
        <v>7</v>
      </c>
      <c r="G22" s="23">
        <v>30</v>
      </c>
      <c r="H22" s="23">
        <v>30</v>
      </c>
      <c r="I22" s="23">
        <f t="shared" si="0"/>
        <v>0</v>
      </c>
      <c r="J22" s="22" t="s">
        <v>812</v>
      </c>
      <c r="K22" s="22" t="s">
        <v>21</v>
      </c>
      <c r="L22" s="22" t="s">
        <v>813</v>
      </c>
      <c r="M22" s="22" t="s">
        <v>126</v>
      </c>
      <c r="N22" s="22"/>
      <c r="O22" s="22"/>
      <c r="P22" s="22"/>
      <c r="Q22" s="22">
        <v>1</v>
      </c>
    </row>
    <row r="23" spans="1:17" x14ac:dyDescent="0.25">
      <c r="A23" s="20" t="s">
        <v>16</v>
      </c>
      <c r="B23" s="20" t="s">
        <v>17</v>
      </c>
      <c r="C23" s="20" t="s">
        <v>189</v>
      </c>
      <c r="D23" s="20"/>
      <c r="E23" s="20" t="s">
        <v>869</v>
      </c>
      <c r="F23" s="21">
        <v>5</v>
      </c>
      <c r="G23" s="21">
        <v>30</v>
      </c>
      <c r="H23" s="21">
        <v>30</v>
      </c>
      <c r="I23" s="21">
        <f t="shared" si="0"/>
        <v>0</v>
      </c>
      <c r="J23" s="20" t="s">
        <v>812</v>
      </c>
      <c r="K23" s="20" t="s">
        <v>21</v>
      </c>
      <c r="L23" s="20" t="s">
        <v>813</v>
      </c>
      <c r="M23" s="20"/>
      <c r="N23" s="20"/>
      <c r="O23" s="20"/>
      <c r="P23" s="20"/>
      <c r="Q23" s="20">
        <v>1</v>
      </c>
    </row>
    <row r="24" spans="1:17" x14ac:dyDescent="0.25">
      <c r="A24" s="20" t="s">
        <v>16</v>
      </c>
      <c r="B24" s="20" t="s">
        <v>17</v>
      </c>
      <c r="C24" s="20" t="s">
        <v>870</v>
      </c>
      <c r="D24" s="20"/>
      <c r="E24" s="20" t="s">
        <v>632</v>
      </c>
      <c r="F24" s="21">
        <v>6</v>
      </c>
      <c r="G24" s="21">
        <v>0</v>
      </c>
      <c r="H24" s="21">
        <v>30</v>
      </c>
      <c r="I24" s="21">
        <f t="shared" si="0"/>
        <v>-30</v>
      </c>
      <c r="J24" s="20" t="s">
        <v>812</v>
      </c>
      <c r="K24" s="20" t="s">
        <v>21</v>
      </c>
      <c r="L24" s="20" t="s">
        <v>813</v>
      </c>
      <c r="M24" s="20"/>
      <c r="N24" s="20"/>
      <c r="O24" s="20"/>
      <c r="P24" s="20"/>
      <c r="Q24" s="20">
        <v>1</v>
      </c>
    </row>
    <row r="25" spans="1:17" x14ac:dyDescent="0.25">
      <c r="A25" s="20"/>
      <c r="B25" s="20" t="s">
        <v>17</v>
      </c>
      <c r="C25" s="20" t="s">
        <v>871</v>
      </c>
      <c r="D25" s="20" t="s">
        <v>872</v>
      </c>
      <c r="E25" s="20" t="s">
        <v>873</v>
      </c>
      <c r="F25" s="20" t="s">
        <v>77</v>
      </c>
      <c r="G25" s="21">
        <v>975</v>
      </c>
      <c r="H25" s="21">
        <v>25</v>
      </c>
      <c r="I25" s="21">
        <f t="shared" si="0"/>
        <v>950</v>
      </c>
      <c r="J25" s="20" t="s">
        <v>21</v>
      </c>
      <c r="K25" s="20" t="s">
        <v>21</v>
      </c>
      <c r="L25" s="20" t="s">
        <v>813</v>
      </c>
      <c r="M25" s="20"/>
      <c r="N25" s="20"/>
      <c r="O25" s="20"/>
      <c r="P25" s="20"/>
      <c r="Q25" s="20">
        <v>1</v>
      </c>
    </row>
    <row r="26" spans="1:17" x14ac:dyDescent="0.25">
      <c r="A26" s="20"/>
      <c r="B26" s="20" t="s">
        <v>17</v>
      </c>
      <c r="C26" s="20" t="s">
        <v>874</v>
      </c>
      <c r="D26" s="20" t="s">
        <v>875</v>
      </c>
      <c r="E26" s="20" t="s">
        <v>876</v>
      </c>
      <c r="F26" s="21">
        <v>2</v>
      </c>
      <c r="G26" s="21">
        <v>850</v>
      </c>
      <c r="H26" s="21">
        <v>30</v>
      </c>
      <c r="I26" s="21">
        <f t="shared" si="0"/>
        <v>820</v>
      </c>
      <c r="J26" s="20" t="s">
        <v>21</v>
      </c>
      <c r="K26" s="20" t="s">
        <v>21</v>
      </c>
      <c r="L26" s="20" t="s">
        <v>813</v>
      </c>
      <c r="M26" s="20"/>
      <c r="N26" s="20"/>
      <c r="O26" s="20"/>
      <c r="P26" s="20"/>
      <c r="Q26" s="20">
        <v>1</v>
      </c>
    </row>
    <row r="27" spans="1:17" x14ac:dyDescent="0.25">
      <c r="A27" s="20"/>
      <c r="B27" s="20" t="s">
        <v>17</v>
      </c>
      <c r="C27" s="20" t="s">
        <v>877</v>
      </c>
      <c r="D27" s="20" t="s">
        <v>878</v>
      </c>
      <c r="E27" s="20" t="s">
        <v>879</v>
      </c>
      <c r="F27" s="21">
        <v>2</v>
      </c>
      <c r="G27" s="21">
        <v>400</v>
      </c>
      <c r="H27" s="21">
        <v>30</v>
      </c>
      <c r="I27" s="21">
        <f t="shared" si="0"/>
        <v>370</v>
      </c>
      <c r="J27" s="20" t="s">
        <v>21</v>
      </c>
      <c r="K27" s="20" t="s">
        <v>21</v>
      </c>
      <c r="L27" s="20" t="s">
        <v>813</v>
      </c>
      <c r="M27" s="20"/>
      <c r="N27" s="20"/>
      <c r="O27" s="20"/>
      <c r="P27" s="20"/>
      <c r="Q27" s="20">
        <v>1</v>
      </c>
    </row>
    <row r="28" spans="1:17" s="24" customFormat="1" x14ac:dyDescent="0.25">
      <c r="A28" s="22"/>
      <c r="B28" s="22" t="s">
        <v>17</v>
      </c>
      <c r="C28" s="22" t="s">
        <v>689</v>
      </c>
      <c r="D28" s="22" t="s">
        <v>880</v>
      </c>
      <c r="E28" s="22" t="s">
        <v>691</v>
      </c>
      <c r="F28" s="23">
        <v>2</v>
      </c>
      <c r="G28" s="23">
        <v>0</v>
      </c>
      <c r="H28" s="23">
        <v>30</v>
      </c>
      <c r="I28" s="23">
        <f t="shared" si="0"/>
        <v>-30</v>
      </c>
      <c r="J28" s="22" t="s">
        <v>21</v>
      </c>
      <c r="K28" s="22" t="s">
        <v>21</v>
      </c>
      <c r="L28" s="22" t="s">
        <v>813</v>
      </c>
      <c r="M28" s="22" t="s">
        <v>126</v>
      </c>
      <c r="N28" s="22"/>
      <c r="O28" s="22"/>
      <c r="P28" s="22"/>
      <c r="Q28" s="22">
        <v>1</v>
      </c>
    </row>
    <row r="29" spans="1:17" x14ac:dyDescent="0.25">
      <c r="A29" s="20"/>
      <c r="B29" s="20" t="s">
        <v>17</v>
      </c>
      <c r="C29" s="20" t="s">
        <v>881</v>
      </c>
      <c r="D29" s="20" t="s">
        <v>882</v>
      </c>
      <c r="E29" s="20" t="s">
        <v>883</v>
      </c>
      <c r="F29" s="20" t="s">
        <v>85</v>
      </c>
      <c r="G29" s="21">
        <v>840</v>
      </c>
      <c r="H29" s="21">
        <v>20</v>
      </c>
      <c r="I29" s="21">
        <f t="shared" si="0"/>
        <v>820</v>
      </c>
      <c r="J29" s="20" t="s">
        <v>21</v>
      </c>
      <c r="K29" s="20" t="s">
        <v>21</v>
      </c>
      <c r="L29" s="20" t="s">
        <v>813</v>
      </c>
      <c r="M29" s="20"/>
      <c r="N29" s="20"/>
      <c r="O29" s="20"/>
      <c r="P29" s="20"/>
      <c r="Q29" s="20">
        <v>1</v>
      </c>
    </row>
    <row r="30" spans="1:17" x14ac:dyDescent="0.25">
      <c r="A30" s="20"/>
      <c r="B30" s="20" t="s">
        <v>17</v>
      </c>
      <c r="C30" s="20" t="s">
        <v>884</v>
      </c>
      <c r="D30" s="20" t="s">
        <v>885</v>
      </c>
      <c r="E30" s="20" t="s">
        <v>886</v>
      </c>
      <c r="F30" s="21">
        <v>2</v>
      </c>
      <c r="G30" s="21">
        <v>820</v>
      </c>
      <c r="H30" s="21">
        <v>30</v>
      </c>
      <c r="I30" s="21">
        <f t="shared" si="0"/>
        <v>790</v>
      </c>
      <c r="J30" s="20" t="s">
        <v>21</v>
      </c>
      <c r="K30" s="20" t="s">
        <v>21</v>
      </c>
      <c r="L30" s="20" t="s">
        <v>813</v>
      </c>
      <c r="M30" s="20"/>
      <c r="N30" s="20"/>
      <c r="O30" s="20"/>
      <c r="P30" s="20"/>
      <c r="Q30" s="20">
        <v>1</v>
      </c>
    </row>
    <row r="31" spans="1:17" x14ac:dyDescent="0.25">
      <c r="A31" s="20"/>
      <c r="B31" s="20" t="s">
        <v>17</v>
      </c>
      <c r="C31" s="20" t="s">
        <v>887</v>
      </c>
      <c r="D31" s="20" t="s">
        <v>888</v>
      </c>
      <c r="E31" s="20" t="s">
        <v>889</v>
      </c>
      <c r="F31" s="20" t="s">
        <v>85</v>
      </c>
      <c r="G31" s="21">
        <v>970</v>
      </c>
      <c r="H31" s="21">
        <v>20</v>
      </c>
      <c r="I31" s="21">
        <f t="shared" si="0"/>
        <v>950</v>
      </c>
      <c r="J31" s="20" t="s">
        <v>21</v>
      </c>
      <c r="K31" s="20" t="s">
        <v>21</v>
      </c>
      <c r="L31" s="20" t="s">
        <v>813</v>
      </c>
      <c r="M31" s="20"/>
      <c r="N31" s="20"/>
      <c r="O31" s="20"/>
      <c r="P31" s="20"/>
      <c r="Q31" s="20">
        <v>1</v>
      </c>
    </row>
    <row r="32" spans="1:17" x14ac:dyDescent="0.25">
      <c r="A32" s="20"/>
      <c r="B32" s="20" t="s">
        <v>17</v>
      </c>
      <c r="C32" s="20" t="s">
        <v>890</v>
      </c>
      <c r="D32" s="20" t="s">
        <v>891</v>
      </c>
      <c r="E32" s="20" t="s">
        <v>250</v>
      </c>
      <c r="F32" s="20" t="s">
        <v>77</v>
      </c>
      <c r="G32" s="21">
        <v>975</v>
      </c>
      <c r="H32" s="21">
        <v>25</v>
      </c>
      <c r="I32" s="21">
        <f t="shared" si="0"/>
        <v>950</v>
      </c>
      <c r="J32" s="20" t="s">
        <v>21</v>
      </c>
      <c r="K32" s="20" t="s">
        <v>21</v>
      </c>
      <c r="L32" s="20" t="s">
        <v>813</v>
      </c>
      <c r="M32" s="20"/>
      <c r="N32" s="20"/>
      <c r="O32" s="20"/>
      <c r="P32" s="20"/>
      <c r="Q32" s="20">
        <v>1</v>
      </c>
    </row>
    <row r="33" spans="1:17" x14ac:dyDescent="0.25">
      <c r="A33" s="20"/>
      <c r="B33" s="20" t="s">
        <v>17</v>
      </c>
      <c r="C33" s="20" t="s">
        <v>892</v>
      </c>
      <c r="D33" s="20" t="s">
        <v>893</v>
      </c>
      <c r="E33" s="20" t="s">
        <v>894</v>
      </c>
      <c r="F33" s="20" t="s">
        <v>81</v>
      </c>
      <c r="G33" s="21">
        <v>890</v>
      </c>
      <c r="H33" s="21">
        <v>30</v>
      </c>
      <c r="I33" s="21">
        <f t="shared" si="0"/>
        <v>860</v>
      </c>
      <c r="J33" s="20" t="s">
        <v>21</v>
      </c>
      <c r="K33" s="20" t="s">
        <v>21</v>
      </c>
      <c r="L33" s="20" t="s">
        <v>813</v>
      </c>
      <c r="M33" s="20"/>
      <c r="N33" s="20"/>
      <c r="O33" s="20"/>
      <c r="P33" s="20"/>
      <c r="Q33" s="20">
        <v>1</v>
      </c>
    </row>
    <row r="34" spans="1:17" x14ac:dyDescent="0.25">
      <c r="A34" s="20"/>
      <c r="B34" s="20" t="s">
        <v>17</v>
      </c>
      <c r="C34" s="20" t="s">
        <v>895</v>
      </c>
      <c r="D34" s="20" t="s">
        <v>896</v>
      </c>
      <c r="E34" s="20" t="s">
        <v>897</v>
      </c>
      <c r="F34" s="20" t="s">
        <v>85</v>
      </c>
      <c r="G34" s="21">
        <v>1300</v>
      </c>
      <c r="H34" s="21">
        <v>20</v>
      </c>
      <c r="I34" s="21">
        <f t="shared" si="0"/>
        <v>1280</v>
      </c>
      <c r="J34" s="20" t="s">
        <v>21</v>
      </c>
      <c r="K34" s="20" t="s">
        <v>21</v>
      </c>
      <c r="L34" s="20" t="s">
        <v>813</v>
      </c>
      <c r="M34" s="20"/>
      <c r="N34" s="20"/>
      <c r="O34" s="20"/>
      <c r="P34" s="20"/>
      <c r="Q34" s="20">
        <v>1</v>
      </c>
    </row>
    <row r="35" spans="1:17" x14ac:dyDescent="0.25">
      <c r="A35" s="20"/>
      <c r="B35" s="20" t="s">
        <v>17</v>
      </c>
      <c r="C35" s="20" t="s">
        <v>898</v>
      </c>
      <c r="D35" s="20" t="s">
        <v>899</v>
      </c>
      <c r="E35" s="20" t="s">
        <v>900</v>
      </c>
      <c r="F35" s="20" t="s">
        <v>81</v>
      </c>
      <c r="G35" s="21">
        <v>750</v>
      </c>
      <c r="H35" s="21">
        <v>30</v>
      </c>
      <c r="I35" s="21">
        <f t="shared" ref="I35:I66" si="1">G35-H35</f>
        <v>720</v>
      </c>
      <c r="J35" s="20" t="s">
        <v>21</v>
      </c>
      <c r="K35" s="20" t="s">
        <v>21</v>
      </c>
      <c r="L35" s="20" t="s">
        <v>813</v>
      </c>
      <c r="M35" s="20"/>
      <c r="N35" s="20"/>
      <c r="O35" s="20"/>
      <c r="P35" s="20"/>
      <c r="Q35" s="20">
        <v>1</v>
      </c>
    </row>
    <row r="36" spans="1:17" x14ac:dyDescent="0.25">
      <c r="A36" s="20"/>
      <c r="B36" s="20" t="s">
        <v>17</v>
      </c>
      <c r="C36" s="20" t="s">
        <v>773</v>
      </c>
      <c r="D36" s="20" t="s">
        <v>901</v>
      </c>
      <c r="E36" s="20" t="s">
        <v>902</v>
      </c>
      <c r="F36" s="21">
        <v>2</v>
      </c>
      <c r="G36" s="21">
        <v>380</v>
      </c>
      <c r="H36" s="21">
        <v>30</v>
      </c>
      <c r="I36" s="21">
        <f t="shared" si="1"/>
        <v>350</v>
      </c>
      <c r="J36" s="20" t="s">
        <v>21</v>
      </c>
      <c r="K36" s="20" t="s">
        <v>21</v>
      </c>
      <c r="L36" s="20" t="s">
        <v>813</v>
      </c>
      <c r="M36" s="20"/>
      <c r="N36" s="20"/>
      <c r="O36" s="20"/>
      <c r="P36" s="20"/>
      <c r="Q36" s="20">
        <v>1</v>
      </c>
    </row>
    <row r="37" spans="1:17" x14ac:dyDescent="0.25">
      <c r="A37" s="20"/>
      <c r="B37" s="20" t="s">
        <v>17</v>
      </c>
      <c r="C37" s="20" t="s">
        <v>903</v>
      </c>
      <c r="D37" s="20" t="s">
        <v>904</v>
      </c>
      <c r="E37" s="20" t="s">
        <v>905</v>
      </c>
      <c r="F37" s="20" t="s">
        <v>85</v>
      </c>
      <c r="G37" s="21">
        <v>0</v>
      </c>
      <c r="H37" s="21">
        <v>20</v>
      </c>
      <c r="I37" s="21">
        <f t="shared" si="1"/>
        <v>-20</v>
      </c>
      <c r="J37" s="20" t="s">
        <v>21</v>
      </c>
      <c r="K37" s="20" t="s">
        <v>21</v>
      </c>
      <c r="L37" s="20" t="s">
        <v>813</v>
      </c>
      <c r="M37" s="20"/>
      <c r="N37" s="20"/>
      <c r="O37" s="20"/>
      <c r="P37" s="20"/>
      <c r="Q37" s="20">
        <v>1</v>
      </c>
    </row>
    <row r="38" spans="1:17" x14ac:dyDescent="0.25">
      <c r="A38" s="20"/>
      <c r="B38" s="20" t="s">
        <v>17</v>
      </c>
      <c r="C38" s="20" t="s">
        <v>906</v>
      </c>
      <c r="D38" s="20" t="s">
        <v>907</v>
      </c>
      <c r="E38" s="20" t="s">
        <v>908</v>
      </c>
      <c r="F38" s="21">
        <v>2</v>
      </c>
      <c r="G38" s="21">
        <v>0</v>
      </c>
      <c r="H38" s="21">
        <v>30</v>
      </c>
      <c r="I38" s="21">
        <f t="shared" si="1"/>
        <v>-30</v>
      </c>
      <c r="J38" s="20" t="s">
        <v>21</v>
      </c>
      <c r="K38" s="20" t="s">
        <v>21</v>
      </c>
      <c r="L38" s="20" t="s">
        <v>813</v>
      </c>
      <c r="M38" s="20"/>
      <c r="N38" s="20"/>
      <c r="O38" s="20"/>
      <c r="P38" s="20"/>
      <c r="Q38" s="20">
        <v>1</v>
      </c>
    </row>
    <row r="39" spans="1:17" x14ac:dyDescent="0.25">
      <c r="A39" s="20" t="s">
        <v>16</v>
      </c>
      <c r="B39" s="20" t="s">
        <v>17</v>
      </c>
      <c r="C39" s="20" t="s">
        <v>909</v>
      </c>
      <c r="D39" s="20"/>
      <c r="E39" s="20" t="s">
        <v>910</v>
      </c>
      <c r="F39" s="20" t="s">
        <v>85</v>
      </c>
      <c r="G39" s="21">
        <v>455</v>
      </c>
      <c r="H39" s="21">
        <v>25</v>
      </c>
      <c r="I39" s="21">
        <f t="shared" si="1"/>
        <v>430</v>
      </c>
      <c r="J39" s="20" t="s">
        <v>21</v>
      </c>
      <c r="K39" s="20" t="s">
        <v>21</v>
      </c>
      <c r="L39" s="20" t="s">
        <v>813</v>
      </c>
      <c r="M39" s="20"/>
      <c r="N39" s="20"/>
      <c r="O39" s="20"/>
      <c r="P39" s="20"/>
      <c r="Q39" s="20">
        <v>1</v>
      </c>
    </row>
    <row r="40" spans="1:17" x14ac:dyDescent="0.25">
      <c r="A40" s="20" t="s">
        <v>16</v>
      </c>
      <c r="B40" s="20" t="s">
        <v>17</v>
      </c>
      <c r="C40" s="20" t="s">
        <v>911</v>
      </c>
      <c r="D40" s="20"/>
      <c r="E40" s="20" t="s">
        <v>912</v>
      </c>
      <c r="F40" s="21">
        <v>2</v>
      </c>
      <c r="G40" s="21">
        <v>1405</v>
      </c>
      <c r="H40" s="21">
        <v>35</v>
      </c>
      <c r="I40" s="21">
        <f t="shared" si="1"/>
        <v>1370</v>
      </c>
      <c r="J40" s="20" t="s">
        <v>21</v>
      </c>
      <c r="K40" s="20" t="s">
        <v>21</v>
      </c>
      <c r="L40" s="20" t="s">
        <v>813</v>
      </c>
      <c r="M40" s="20"/>
      <c r="N40" s="20"/>
      <c r="O40" s="20"/>
      <c r="P40" s="20"/>
      <c r="Q40" s="20">
        <v>1</v>
      </c>
    </row>
    <row r="41" spans="1:17" x14ac:dyDescent="0.25">
      <c r="A41" s="20"/>
      <c r="B41" s="20" t="s">
        <v>17</v>
      </c>
      <c r="C41" s="20" t="s">
        <v>913</v>
      </c>
      <c r="D41" s="20" t="s">
        <v>914</v>
      </c>
      <c r="E41" s="20" t="s">
        <v>915</v>
      </c>
      <c r="F41" s="21">
        <v>10</v>
      </c>
      <c r="G41" s="21">
        <v>685</v>
      </c>
      <c r="H41" s="21">
        <v>25</v>
      </c>
      <c r="I41" s="21">
        <f t="shared" si="1"/>
        <v>660</v>
      </c>
      <c r="J41" s="20" t="s">
        <v>135</v>
      </c>
      <c r="K41" s="20" t="s">
        <v>21</v>
      </c>
      <c r="L41" s="20" t="s">
        <v>813</v>
      </c>
      <c r="M41" s="20"/>
      <c r="N41" s="20"/>
      <c r="O41" s="20"/>
      <c r="P41" s="20"/>
      <c r="Q41" s="20">
        <v>1</v>
      </c>
    </row>
    <row r="42" spans="1:17" s="24" customFormat="1" x14ac:dyDescent="0.25">
      <c r="A42" s="22"/>
      <c r="B42" s="22" t="s">
        <v>17</v>
      </c>
      <c r="C42" s="22" t="s">
        <v>916</v>
      </c>
      <c r="D42" s="22" t="s">
        <v>917</v>
      </c>
      <c r="E42" s="22" t="s">
        <v>918</v>
      </c>
      <c r="F42" s="22" t="s">
        <v>406</v>
      </c>
      <c r="G42" s="23">
        <v>0</v>
      </c>
      <c r="H42" s="23">
        <v>20</v>
      </c>
      <c r="I42" s="23">
        <f t="shared" si="1"/>
        <v>-20</v>
      </c>
      <c r="J42" s="22" t="s">
        <v>135</v>
      </c>
      <c r="K42" s="22" t="s">
        <v>21</v>
      </c>
      <c r="L42" s="22" t="s">
        <v>813</v>
      </c>
      <c r="M42" s="22" t="s">
        <v>126</v>
      </c>
      <c r="N42" s="22"/>
      <c r="O42" s="22"/>
      <c r="P42" s="22"/>
      <c r="Q42" s="22">
        <v>1</v>
      </c>
    </row>
    <row r="43" spans="1:17" x14ac:dyDescent="0.25">
      <c r="A43" s="20"/>
      <c r="B43" s="20" t="s">
        <v>17</v>
      </c>
      <c r="C43" s="20" t="s">
        <v>919</v>
      </c>
      <c r="D43" s="20" t="s">
        <v>920</v>
      </c>
      <c r="E43" s="20" t="s">
        <v>921</v>
      </c>
      <c r="F43" s="20" t="s">
        <v>406</v>
      </c>
      <c r="G43" s="21">
        <v>1060</v>
      </c>
      <c r="H43" s="21">
        <v>20</v>
      </c>
      <c r="I43" s="21">
        <f t="shared" si="1"/>
        <v>1040</v>
      </c>
      <c r="J43" s="20" t="s">
        <v>135</v>
      </c>
      <c r="K43" s="20" t="s">
        <v>21</v>
      </c>
      <c r="L43" s="20" t="s">
        <v>813</v>
      </c>
      <c r="M43" s="20"/>
      <c r="N43" s="20"/>
      <c r="O43" s="20"/>
      <c r="P43" s="20"/>
      <c r="Q43" s="20">
        <v>1</v>
      </c>
    </row>
    <row r="44" spans="1:17" x14ac:dyDescent="0.25">
      <c r="A44" s="20"/>
      <c r="B44" s="20" t="s">
        <v>17</v>
      </c>
      <c r="C44" s="20" t="s">
        <v>922</v>
      </c>
      <c r="D44" s="20" t="s">
        <v>923</v>
      </c>
      <c r="E44" s="20" t="s">
        <v>924</v>
      </c>
      <c r="F44" s="21">
        <v>5</v>
      </c>
      <c r="G44" s="21">
        <v>0</v>
      </c>
      <c r="H44" s="21">
        <v>25</v>
      </c>
      <c r="I44" s="21">
        <f t="shared" si="1"/>
        <v>-25</v>
      </c>
      <c r="J44" s="20" t="s">
        <v>135</v>
      </c>
      <c r="K44" s="20" t="s">
        <v>21</v>
      </c>
      <c r="L44" s="20" t="s">
        <v>813</v>
      </c>
      <c r="M44" s="20"/>
      <c r="N44" s="20"/>
      <c r="O44" s="20"/>
      <c r="P44" s="20"/>
      <c r="Q44" s="20">
        <v>1</v>
      </c>
    </row>
    <row r="45" spans="1:17" x14ac:dyDescent="0.25">
      <c r="A45" s="20"/>
      <c r="B45" s="20" t="s">
        <v>17</v>
      </c>
      <c r="C45" s="20" t="s">
        <v>925</v>
      </c>
      <c r="D45" s="20" t="s">
        <v>926</v>
      </c>
      <c r="E45" s="20" t="s">
        <v>927</v>
      </c>
      <c r="F45" s="21">
        <v>3</v>
      </c>
      <c r="G45" s="21">
        <v>845</v>
      </c>
      <c r="H45" s="21">
        <v>25</v>
      </c>
      <c r="I45" s="21">
        <f t="shared" si="1"/>
        <v>820</v>
      </c>
      <c r="J45" s="20" t="s">
        <v>135</v>
      </c>
      <c r="K45" s="20" t="s">
        <v>21</v>
      </c>
      <c r="L45" s="20" t="s">
        <v>813</v>
      </c>
      <c r="M45" s="20"/>
      <c r="N45" s="20"/>
      <c r="O45" s="20"/>
      <c r="P45" s="20"/>
      <c r="Q45" s="20">
        <v>1</v>
      </c>
    </row>
    <row r="46" spans="1:17" x14ac:dyDescent="0.25">
      <c r="A46" s="20"/>
      <c r="B46" s="20" t="s">
        <v>17</v>
      </c>
      <c r="C46" s="20" t="s">
        <v>928</v>
      </c>
      <c r="D46" s="20" t="s">
        <v>929</v>
      </c>
      <c r="E46" s="20" t="s">
        <v>930</v>
      </c>
      <c r="F46" s="21">
        <v>1</v>
      </c>
      <c r="G46" s="21">
        <v>915</v>
      </c>
      <c r="H46" s="21">
        <v>25</v>
      </c>
      <c r="I46" s="21">
        <f t="shared" si="1"/>
        <v>890</v>
      </c>
      <c r="J46" s="20" t="s">
        <v>135</v>
      </c>
      <c r="K46" s="20" t="s">
        <v>21</v>
      </c>
      <c r="L46" s="20" t="s">
        <v>813</v>
      </c>
      <c r="M46" s="20"/>
      <c r="N46" s="20"/>
      <c r="O46" s="20"/>
      <c r="P46" s="20"/>
      <c r="Q46" s="20">
        <v>1</v>
      </c>
    </row>
    <row r="47" spans="1:17" x14ac:dyDescent="0.25">
      <c r="A47" s="20"/>
      <c r="B47" s="20" t="s">
        <v>17</v>
      </c>
      <c r="C47" s="20" t="s">
        <v>931</v>
      </c>
      <c r="D47" s="20" t="s">
        <v>932</v>
      </c>
      <c r="E47" s="20" t="s">
        <v>933</v>
      </c>
      <c r="F47" s="21">
        <v>1</v>
      </c>
      <c r="G47" s="21">
        <v>1135</v>
      </c>
      <c r="H47" s="21">
        <v>25</v>
      </c>
      <c r="I47" s="21">
        <f t="shared" si="1"/>
        <v>1110</v>
      </c>
      <c r="J47" s="20" t="s">
        <v>135</v>
      </c>
      <c r="K47" s="20" t="s">
        <v>21</v>
      </c>
      <c r="L47" s="20" t="s">
        <v>813</v>
      </c>
      <c r="M47" s="20"/>
      <c r="N47" s="20"/>
      <c r="O47" s="20"/>
      <c r="P47" s="20"/>
      <c r="Q47" s="20">
        <v>1</v>
      </c>
    </row>
    <row r="48" spans="1:17" x14ac:dyDescent="0.25">
      <c r="A48" s="20"/>
      <c r="B48" s="20" t="s">
        <v>17</v>
      </c>
      <c r="C48" s="20" t="s">
        <v>934</v>
      </c>
      <c r="D48" s="20" t="s">
        <v>935</v>
      </c>
      <c r="E48" s="20" t="s">
        <v>936</v>
      </c>
      <c r="F48" s="21">
        <v>4</v>
      </c>
      <c r="G48" s="21">
        <v>1065</v>
      </c>
      <c r="H48" s="21">
        <v>25</v>
      </c>
      <c r="I48" s="21">
        <f t="shared" si="1"/>
        <v>1040</v>
      </c>
      <c r="J48" s="20" t="s">
        <v>135</v>
      </c>
      <c r="K48" s="20" t="s">
        <v>21</v>
      </c>
      <c r="L48" s="20" t="s">
        <v>813</v>
      </c>
      <c r="M48" s="20"/>
      <c r="N48" s="20"/>
      <c r="O48" s="20"/>
      <c r="P48" s="20"/>
      <c r="Q48" s="20">
        <v>1</v>
      </c>
    </row>
    <row r="49" spans="1:17" x14ac:dyDescent="0.25">
      <c r="A49" s="20"/>
      <c r="B49" s="20" t="s">
        <v>17</v>
      </c>
      <c r="C49" s="20" t="s">
        <v>937</v>
      </c>
      <c r="D49" s="20" t="s">
        <v>938</v>
      </c>
      <c r="E49" s="20" t="s">
        <v>939</v>
      </c>
      <c r="F49" s="21">
        <v>4</v>
      </c>
      <c r="G49" s="21">
        <v>465</v>
      </c>
      <c r="H49" s="21">
        <v>25</v>
      </c>
      <c r="I49" s="21">
        <f t="shared" si="1"/>
        <v>440</v>
      </c>
      <c r="J49" s="20" t="s">
        <v>135</v>
      </c>
      <c r="K49" s="20" t="s">
        <v>21</v>
      </c>
      <c r="L49" s="20" t="s">
        <v>813</v>
      </c>
      <c r="M49" s="20"/>
      <c r="N49" s="20"/>
      <c r="O49" s="20"/>
      <c r="P49" s="20"/>
      <c r="Q49" s="20">
        <v>1</v>
      </c>
    </row>
    <row r="50" spans="1:17" x14ac:dyDescent="0.25">
      <c r="A50" s="20"/>
      <c r="B50" s="20" t="s">
        <v>17</v>
      </c>
      <c r="C50" s="20" t="s">
        <v>940</v>
      </c>
      <c r="D50" s="20" t="s">
        <v>941</v>
      </c>
      <c r="E50" s="20" t="s">
        <v>942</v>
      </c>
      <c r="F50" s="21">
        <v>3</v>
      </c>
      <c r="G50" s="21">
        <v>815</v>
      </c>
      <c r="H50" s="21">
        <v>25</v>
      </c>
      <c r="I50" s="21">
        <f t="shared" si="1"/>
        <v>790</v>
      </c>
      <c r="J50" s="20" t="s">
        <v>135</v>
      </c>
      <c r="K50" s="20" t="s">
        <v>21</v>
      </c>
      <c r="L50" s="20" t="s">
        <v>813</v>
      </c>
      <c r="M50" s="20"/>
      <c r="N50" s="20"/>
      <c r="O50" s="20"/>
      <c r="P50" s="20"/>
      <c r="Q50" s="20">
        <v>1</v>
      </c>
    </row>
    <row r="51" spans="1:17" x14ac:dyDescent="0.25">
      <c r="A51" s="20"/>
      <c r="B51" s="20" t="s">
        <v>17</v>
      </c>
      <c r="C51" s="20" t="s">
        <v>943</v>
      </c>
      <c r="D51" s="20" t="s">
        <v>944</v>
      </c>
      <c r="E51" s="20" t="s">
        <v>945</v>
      </c>
      <c r="F51" s="20" t="s">
        <v>95</v>
      </c>
      <c r="G51" s="21">
        <v>845</v>
      </c>
      <c r="H51" s="21">
        <v>25</v>
      </c>
      <c r="I51" s="21">
        <f t="shared" si="1"/>
        <v>820</v>
      </c>
      <c r="J51" s="20" t="s">
        <v>135</v>
      </c>
      <c r="K51" s="20" t="s">
        <v>21</v>
      </c>
      <c r="L51" s="20" t="s">
        <v>813</v>
      </c>
      <c r="M51" s="20"/>
      <c r="N51" s="20"/>
      <c r="O51" s="20"/>
      <c r="P51" s="20"/>
      <c r="Q51" s="20">
        <v>1</v>
      </c>
    </row>
    <row r="52" spans="1:17" x14ac:dyDescent="0.25">
      <c r="A52" s="20"/>
      <c r="B52" s="20" t="s">
        <v>17</v>
      </c>
      <c r="C52" s="20" t="s">
        <v>946</v>
      </c>
      <c r="D52" s="20" t="s">
        <v>947</v>
      </c>
      <c r="E52" s="20" t="s">
        <v>948</v>
      </c>
      <c r="F52" s="21">
        <v>10</v>
      </c>
      <c r="G52" s="21">
        <v>3360</v>
      </c>
      <c r="H52" s="21">
        <v>35</v>
      </c>
      <c r="I52" s="21">
        <f t="shared" si="1"/>
        <v>3325</v>
      </c>
      <c r="J52" s="20" t="s">
        <v>135</v>
      </c>
      <c r="K52" s="20" t="s">
        <v>21</v>
      </c>
      <c r="L52" s="20" t="s">
        <v>813</v>
      </c>
      <c r="M52" s="25" t="s">
        <v>167</v>
      </c>
      <c r="N52" s="20"/>
      <c r="O52" s="20"/>
      <c r="P52" s="20"/>
      <c r="Q52" s="20">
        <v>1</v>
      </c>
    </row>
    <row r="53" spans="1:17" x14ac:dyDescent="0.25">
      <c r="A53" s="20"/>
      <c r="B53" s="20" t="s">
        <v>17</v>
      </c>
      <c r="C53" s="20" t="s">
        <v>585</v>
      </c>
      <c r="D53" s="20" t="s">
        <v>949</v>
      </c>
      <c r="E53" s="20" t="s">
        <v>587</v>
      </c>
      <c r="F53" s="20" t="s">
        <v>95</v>
      </c>
      <c r="G53" s="21">
        <v>895</v>
      </c>
      <c r="H53" s="21">
        <v>25</v>
      </c>
      <c r="I53" s="21">
        <f t="shared" si="1"/>
        <v>870</v>
      </c>
      <c r="J53" s="20" t="s">
        <v>135</v>
      </c>
      <c r="K53" s="20" t="s">
        <v>21</v>
      </c>
      <c r="L53" s="20" t="s">
        <v>813</v>
      </c>
      <c r="M53" s="20"/>
      <c r="N53" s="20"/>
      <c r="O53" s="20"/>
      <c r="P53" s="20"/>
      <c r="Q53" s="20">
        <v>1</v>
      </c>
    </row>
    <row r="54" spans="1:17" x14ac:dyDescent="0.25">
      <c r="A54" s="20"/>
      <c r="B54" s="20" t="s">
        <v>17</v>
      </c>
      <c r="C54" s="20" t="s">
        <v>950</v>
      </c>
      <c r="D54" s="20" t="s">
        <v>951</v>
      </c>
      <c r="E54" s="20" t="s">
        <v>952</v>
      </c>
      <c r="F54" s="20" t="s">
        <v>95</v>
      </c>
      <c r="G54" s="21">
        <v>795</v>
      </c>
      <c r="H54" s="21">
        <v>25</v>
      </c>
      <c r="I54" s="21">
        <f t="shared" si="1"/>
        <v>770</v>
      </c>
      <c r="J54" s="20" t="s">
        <v>135</v>
      </c>
      <c r="K54" s="20" t="s">
        <v>21</v>
      </c>
      <c r="L54" s="20" t="s">
        <v>813</v>
      </c>
      <c r="M54" s="20"/>
      <c r="N54" s="20"/>
      <c r="O54" s="20"/>
      <c r="P54" s="20"/>
      <c r="Q54" s="20">
        <v>1</v>
      </c>
    </row>
    <row r="55" spans="1:17" x14ac:dyDescent="0.25">
      <c r="A55" s="20"/>
      <c r="B55" s="20" t="s">
        <v>17</v>
      </c>
      <c r="C55" s="20" t="s">
        <v>953</v>
      </c>
      <c r="D55" s="20" t="s">
        <v>954</v>
      </c>
      <c r="E55" s="20" t="s">
        <v>955</v>
      </c>
      <c r="F55" s="21">
        <v>5</v>
      </c>
      <c r="G55" s="21">
        <v>0</v>
      </c>
      <c r="H55" s="21">
        <v>25</v>
      </c>
      <c r="I55" s="21">
        <f t="shared" si="1"/>
        <v>-25</v>
      </c>
      <c r="J55" s="20" t="s">
        <v>135</v>
      </c>
      <c r="K55" s="20" t="s">
        <v>21</v>
      </c>
      <c r="L55" s="20" t="s">
        <v>813</v>
      </c>
      <c r="M55" s="20"/>
      <c r="N55" s="20"/>
      <c r="O55" s="20"/>
      <c r="P55" s="20"/>
      <c r="Q55" s="20">
        <v>1</v>
      </c>
    </row>
    <row r="56" spans="1:17" x14ac:dyDescent="0.25">
      <c r="A56" s="20"/>
      <c r="B56" s="20" t="s">
        <v>17</v>
      </c>
      <c r="C56" s="20" t="s">
        <v>956</v>
      </c>
      <c r="D56" s="20" t="s">
        <v>957</v>
      </c>
      <c r="E56" s="20" t="s">
        <v>958</v>
      </c>
      <c r="F56" s="21">
        <v>1</v>
      </c>
      <c r="G56" s="21">
        <v>865</v>
      </c>
      <c r="H56" s="21">
        <v>25</v>
      </c>
      <c r="I56" s="21">
        <f t="shared" si="1"/>
        <v>840</v>
      </c>
      <c r="J56" s="20" t="s">
        <v>135</v>
      </c>
      <c r="K56" s="20" t="s">
        <v>21</v>
      </c>
      <c r="L56" s="20" t="s">
        <v>813</v>
      </c>
      <c r="M56" s="20"/>
      <c r="N56" s="20"/>
      <c r="O56" s="20"/>
      <c r="P56" s="20"/>
      <c r="Q56" s="20">
        <v>1</v>
      </c>
    </row>
    <row r="57" spans="1:17" x14ac:dyDescent="0.25">
      <c r="A57" s="20"/>
      <c r="B57" s="20" t="s">
        <v>17</v>
      </c>
      <c r="C57" s="20" t="s">
        <v>959</v>
      </c>
      <c r="D57" s="20" t="s">
        <v>960</v>
      </c>
      <c r="E57" s="20" t="s">
        <v>961</v>
      </c>
      <c r="F57" s="20" t="s">
        <v>95</v>
      </c>
      <c r="G57" s="21">
        <v>915</v>
      </c>
      <c r="H57" s="21">
        <v>25</v>
      </c>
      <c r="I57" s="21">
        <f t="shared" si="1"/>
        <v>890</v>
      </c>
      <c r="J57" s="20" t="s">
        <v>135</v>
      </c>
      <c r="K57" s="20" t="s">
        <v>21</v>
      </c>
      <c r="L57" s="20" t="s">
        <v>813</v>
      </c>
      <c r="M57" s="20"/>
      <c r="N57" s="20"/>
      <c r="O57" s="20"/>
      <c r="P57" s="20"/>
      <c r="Q57" s="20">
        <v>1</v>
      </c>
    </row>
    <row r="58" spans="1:17" x14ac:dyDescent="0.25">
      <c r="A58" s="20"/>
      <c r="B58" s="20" t="s">
        <v>17</v>
      </c>
      <c r="C58" s="20" t="s">
        <v>962</v>
      </c>
      <c r="D58" s="20" t="s">
        <v>963</v>
      </c>
      <c r="E58" s="20" t="s">
        <v>964</v>
      </c>
      <c r="F58" s="21">
        <v>4</v>
      </c>
      <c r="G58" s="21">
        <v>715</v>
      </c>
      <c r="H58" s="21">
        <v>25</v>
      </c>
      <c r="I58" s="21">
        <f t="shared" si="1"/>
        <v>690</v>
      </c>
      <c r="J58" s="20" t="s">
        <v>135</v>
      </c>
      <c r="K58" s="20" t="s">
        <v>21</v>
      </c>
      <c r="L58" s="20" t="s">
        <v>813</v>
      </c>
      <c r="M58" s="20"/>
      <c r="N58" s="20"/>
      <c r="O58" s="20"/>
      <c r="P58" s="20"/>
      <c r="Q58" s="20">
        <v>1</v>
      </c>
    </row>
    <row r="59" spans="1:17" s="7" customFormat="1" x14ac:dyDescent="0.25">
      <c r="A59" s="26"/>
      <c r="B59" s="26" t="s">
        <v>17</v>
      </c>
      <c r="C59" s="26" t="s">
        <v>337</v>
      </c>
      <c r="D59" s="26" t="s">
        <v>338</v>
      </c>
      <c r="E59" s="26" t="s">
        <v>339</v>
      </c>
      <c r="F59" s="27">
        <v>8</v>
      </c>
      <c r="G59" s="27">
        <v>690</v>
      </c>
      <c r="H59" s="27">
        <v>30</v>
      </c>
      <c r="I59" s="27">
        <f t="shared" si="1"/>
        <v>660</v>
      </c>
      <c r="J59" s="26" t="s">
        <v>271</v>
      </c>
      <c r="K59" s="26" t="s">
        <v>21</v>
      </c>
      <c r="L59" s="26" t="s">
        <v>293</v>
      </c>
      <c r="M59" s="26" t="s">
        <v>204</v>
      </c>
      <c r="N59" s="26" t="s">
        <v>272</v>
      </c>
      <c r="O59" s="26" t="s">
        <v>272</v>
      </c>
      <c r="P59" s="26" t="s">
        <v>273</v>
      </c>
      <c r="Q59" s="27">
        <v>1</v>
      </c>
    </row>
    <row r="60" spans="1:17" s="7" customFormat="1" x14ac:dyDescent="0.25">
      <c r="A60" s="26"/>
      <c r="B60" s="26" t="s">
        <v>17</v>
      </c>
      <c r="C60" s="26" t="s">
        <v>47</v>
      </c>
      <c r="D60" s="26" t="s">
        <v>48</v>
      </c>
      <c r="E60" s="26" t="s">
        <v>49</v>
      </c>
      <c r="F60" s="26" t="s">
        <v>26</v>
      </c>
      <c r="G60" s="27">
        <v>720</v>
      </c>
      <c r="H60" s="27">
        <v>30</v>
      </c>
      <c r="I60" s="27">
        <f t="shared" si="1"/>
        <v>690</v>
      </c>
      <c r="J60" s="26" t="s">
        <v>271</v>
      </c>
      <c r="K60" s="26" t="s">
        <v>21</v>
      </c>
      <c r="L60" s="26" t="s">
        <v>22</v>
      </c>
      <c r="M60" s="26" t="s">
        <v>204</v>
      </c>
      <c r="N60" s="26" t="s">
        <v>272</v>
      </c>
      <c r="O60" s="26" t="s">
        <v>272</v>
      </c>
      <c r="P60" s="26" t="s">
        <v>273</v>
      </c>
      <c r="Q60" s="27">
        <v>1</v>
      </c>
    </row>
    <row r="61" spans="1:17" s="7" customFormat="1" x14ac:dyDescent="0.25">
      <c r="A61" s="26"/>
      <c r="B61" s="26" t="s">
        <v>17</v>
      </c>
      <c r="C61" s="26" t="s">
        <v>965</v>
      </c>
      <c r="D61" s="26" t="s">
        <v>966</v>
      </c>
      <c r="E61" s="26" t="s">
        <v>967</v>
      </c>
      <c r="F61" s="27">
        <v>7</v>
      </c>
      <c r="G61" s="27">
        <v>690</v>
      </c>
      <c r="H61" s="27">
        <v>30</v>
      </c>
      <c r="I61" s="27">
        <f t="shared" si="1"/>
        <v>660</v>
      </c>
      <c r="J61" s="26" t="s">
        <v>271</v>
      </c>
      <c r="K61" s="26" t="s">
        <v>21</v>
      </c>
      <c r="L61" s="26" t="s">
        <v>285</v>
      </c>
      <c r="M61" s="26" t="s">
        <v>204</v>
      </c>
      <c r="N61" s="26" t="s">
        <v>272</v>
      </c>
      <c r="O61" s="26" t="s">
        <v>272</v>
      </c>
      <c r="P61" s="26" t="s">
        <v>273</v>
      </c>
      <c r="Q61" s="27">
        <v>1</v>
      </c>
    </row>
    <row r="62" spans="1:17" s="7" customFormat="1" x14ac:dyDescent="0.25">
      <c r="A62" s="26"/>
      <c r="B62" s="26" t="s">
        <v>17</v>
      </c>
      <c r="C62" s="26" t="s">
        <v>968</v>
      </c>
      <c r="D62" s="26" t="s">
        <v>969</v>
      </c>
      <c r="E62" s="26" t="s">
        <v>970</v>
      </c>
      <c r="F62" s="27">
        <v>7</v>
      </c>
      <c r="G62" s="27">
        <v>1380</v>
      </c>
      <c r="H62" s="27">
        <v>30</v>
      </c>
      <c r="I62" s="27">
        <f t="shared" si="1"/>
        <v>1350</v>
      </c>
      <c r="J62" s="26" t="s">
        <v>271</v>
      </c>
      <c r="K62" s="26" t="s">
        <v>21</v>
      </c>
      <c r="L62" s="26" t="s">
        <v>971</v>
      </c>
      <c r="M62" s="26" t="s">
        <v>204</v>
      </c>
      <c r="N62" s="26" t="s">
        <v>272</v>
      </c>
      <c r="O62" s="26" t="s">
        <v>272</v>
      </c>
      <c r="P62" s="26" t="s">
        <v>273</v>
      </c>
      <c r="Q62" s="27">
        <v>1</v>
      </c>
    </row>
    <row r="64" spans="1:17" x14ac:dyDescent="0.25">
      <c r="D64" s="6">
        <f>COUNTA(D3:D62)</f>
        <v>55</v>
      </c>
      <c r="G64" s="6">
        <f t="shared" ref="G64:Q64" si="2">SUBTOTAL(9,G3:G62)</f>
        <v>43390</v>
      </c>
      <c r="H64" s="6">
        <f t="shared" si="2"/>
        <v>1660</v>
      </c>
      <c r="I64" s="6">
        <f t="shared" si="2"/>
        <v>41730</v>
      </c>
      <c r="J64" s="6">
        <f t="shared" si="2"/>
        <v>0</v>
      </c>
      <c r="K64" s="6">
        <f t="shared" si="2"/>
        <v>0</v>
      </c>
      <c r="L64" s="6">
        <f t="shared" si="2"/>
        <v>0</v>
      </c>
      <c r="M64" s="6">
        <f t="shared" si="2"/>
        <v>0</v>
      </c>
      <c r="N64" s="6">
        <f t="shared" si="2"/>
        <v>0</v>
      </c>
      <c r="O64" s="6">
        <f t="shared" si="2"/>
        <v>0</v>
      </c>
      <c r="P64" s="6">
        <f t="shared" si="2"/>
        <v>0</v>
      </c>
      <c r="Q64" s="6">
        <f t="shared" si="2"/>
        <v>60</v>
      </c>
    </row>
    <row r="65" spans="1:16" x14ac:dyDescent="0.25">
      <c r="H65">
        <f>-14*17</f>
        <v>-238</v>
      </c>
      <c r="I65">
        <v>25</v>
      </c>
    </row>
    <row r="66" spans="1:16" x14ac:dyDescent="0.25">
      <c r="A66" s="6" t="s">
        <v>17</v>
      </c>
      <c r="C66" s="5" t="s">
        <v>191</v>
      </c>
      <c r="D66" s="5"/>
      <c r="E66" s="9" t="s">
        <v>192</v>
      </c>
      <c r="H66">
        <f>-5*25</f>
        <v>-125</v>
      </c>
      <c r="I66">
        <f>3*17</f>
        <v>51</v>
      </c>
      <c r="K66" s="16" t="s">
        <v>135</v>
      </c>
      <c r="L66" s="16" t="s">
        <v>193</v>
      </c>
      <c r="M66" s="16" t="s">
        <v>192</v>
      </c>
      <c r="O66" s="9" t="s">
        <v>194</v>
      </c>
    </row>
    <row r="67" spans="1:16" x14ac:dyDescent="0.25">
      <c r="A67" t="s">
        <v>813</v>
      </c>
      <c r="B67" s="8" t="s">
        <v>195</v>
      </c>
      <c r="C67" s="4">
        <f>SUMIFS(I$3:I$62,B$3:B$62,A$66,L$3:L$62,A$67)</f>
        <v>38370</v>
      </c>
      <c r="D67" s="4"/>
      <c r="E67" s="8">
        <f>SUMIFS(Q$3:Q$62,B$3:B$62,A$66,L$3:L$62,A$67)</f>
        <v>56</v>
      </c>
      <c r="F67" t="s">
        <v>196</v>
      </c>
      <c r="H67">
        <f>-3*30</f>
        <v>-90</v>
      </c>
      <c r="K67" t="s">
        <v>197</v>
      </c>
      <c r="L67">
        <f>SUMIFS(G$3:G$62,J$3:J$62,K$66)</f>
        <v>15375</v>
      </c>
      <c r="M67">
        <f>SUMIFS(Q$3:Q$62,J$3:J$62,K$66)-INT(COUNTIFS(J$3:J$62,K$66,M$3:M$62,"*gộp*")/2)</f>
        <v>18</v>
      </c>
      <c r="O67" t="s">
        <v>135</v>
      </c>
      <c r="P67">
        <f>L72</f>
        <v>15015</v>
      </c>
    </row>
    <row r="68" spans="1:16" x14ac:dyDescent="0.25">
      <c r="B68" s="7" t="s">
        <v>199</v>
      </c>
      <c r="C68" s="3">
        <v>0</v>
      </c>
      <c r="D68" s="3"/>
      <c r="K68" t="s">
        <v>200</v>
      </c>
      <c r="L68">
        <f>-SUMIFS(H$3:H$62,J$3:J$62,K$66)+M68*5</f>
        <v>-360</v>
      </c>
      <c r="M68">
        <f>SUMIFS(Q$3:Q$62,J$3:J$62,K$66)-INT(COUNTIFS(J$3:J$62,K$66,M$3:M$62,"*gộp*")/2)</f>
        <v>18</v>
      </c>
      <c r="O68" t="s">
        <v>972</v>
      </c>
      <c r="P68">
        <f>L80</f>
        <v>9636</v>
      </c>
    </row>
    <row r="69" spans="1:16" x14ac:dyDescent="0.25">
      <c r="B69" s="7" t="s">
        <v>201</v>
      </c>
      <c r="C69" s="3">
        <f>-SUMIFS(I$3:I$62,B$3:B$62,A$66,P$3:P$62,"xx",N$3:N$62,"x")</f>
        <v>-3360</v>
      </c>
      <c r="D69" s="3"/>
      <c r="E69" s="7">
        <f>SUMIFS(Q$3:Q$62,B$3:B$62,A$66,P$3:P$62,"xx",N$3:N$62,"x")</f>
        <v>4</v>
      </c>
      <c r="K69" t="s">
        <v>202</v>
      </c>
      <c r="O69" t="s">
        <v>21</v>
      </c>
      <c r="P69">
        <f>L88</f>
        <v>10556</v>
      </c>
    </row>
    <row r="70" spans="1:16" x14ac:dyDescent="0.25">
      <c r="B70" s="9" t="s">
        <v>203</v>
      </c>
      <c r="C70" s="5">
        <f>SUBTOTAL(9,C67:C69)</f>
        <v>35010</v>
      </c>
      <c r="D70" s="5"/>
      <c r="E70">
        <f>E67</f>
        <v>56</v>
      </c>
      <c r="K70" s="7" t="s">
        <v>204</v>
      </c>
      <c r="O70" t="s">
        <v>207</v>
      </c>
      <c r="P70">
        <f>-C74</f>
        <v>-35010</v>
      </c>
    </row>
    <row r="71" spans="1:16" x14ac:dyDescent="0.25">
      <c r="B71" s="7" t="s">
        <v>205</v>
      </c>
      <c r="C71" s="2"/>
      <c r="D71" s="2"/>
      <c r="K71" s="7" t="s">
        <v>206</v>
      </c>
      <c r="O71" s="9" t="s">
        <v>209</v>
      </c>
      <c r="P71" s="9">
        <f>SUBTOTAL(9,P67:P70)</f>
        <v>197</v>
      </c>
    </row>
    <row r="72" spans="1:16" x14ac:dyDescent="0.25">
      <c r="B72" s="17" t="s">
        <v>208</v>
      </c>
      <c r="C72" s="2"/>
      <c r="D72" s="2"/>
      <c r="L72" s="18">
        <f>SUBTOTAL(9,L67:L71)</f>
        <v>15015</v>
      </c>
      <c r="M72" s="18">
        <f>M67</f>
        <v>18</v>
      </c>
    </row>
    <row r="74" spans="1:16" x14ac:dyDescent="0.25">
      <c r="B74" s="6" t="s">
        <v>210</v>
      </c>
      <c r="C74" s="1">
        <f>C70+C71+C72</f>
        <v>35010</v>
      </c>
      <c r="D74" s="1"/>
      <c r="E74" s="6" t="s">
        <v>211</v>
      </c>
      <c r="K74" s="16" t="s">
        <v>812</v>
      </c>
      <c r="L74" s="16" t="s">
        <v>193</v>
      </c>
      <c r="M74" s="16" t="s">
        <v>192</v>
      </c>
    </row>
    <row r="75" spans="1:16" x14ac:dyDescent="0.25">
      <c r="K75" t="s">
        <v>197</v>
      </c>
      <c r="L75">
        <f>SUMIFS(G$3:G$62,J$3:J$62,K$74)</f>
        <v>13525</v>
      </c>
      <c r="M75">
        <f>SUMIFS(Q$3:Q$62,J$3:J$62,K$74)-INT(COUNTIFS(J$3:J$62,K$74,M$3:M$62,"*gộp*")/2)</f>
        <v>22</v>
      </c>
    </row>
    <row r="76" spans="1:16" x14ac:dyDescent="0.25">
      <c r="K76" t="s">
        <v>200</v>
      </c>
      <c r="L76">
        <f>SUM(H65:H67)+SUMIFS(H$3:H$62,J$3:J$62,K$74,M$3:M$62,"*gộp*")/2</f>
        <v>-453</v>
      </c>
      <c r="M76">
        <f>SUMIFS(Q$3:Q$62,J$3:J$62,K$74)</f>
        <v>22</v>
      </c>
    </row>
    <row r="77" spans="1:16" x14ac:dyDescent="0.25">
      <c r="K77" t="s">
        <v>202</v>
      </c>
    </row>
    <row r="78" spans="1:16" x14ac:dyDescent="0.25">
      <c r="K78" s="7" t="s">
        <v>204</v>
      </c>
      <c r="L78" s="28">
        <v>-3436</v>
      </c>
      <c r="M78" s="28" t="s">
        <v>973</v>
      </c>
    </row>
    <row r="79" spans="1:16" x14ac:dyDescent="0.25">
      <c r="K79" s="7" t="s">
        <v>206</v>
      </c>
    </row>
    <row r="80" spans="1:16" x14ac:dyDescent="0.25">
      <c r="L80" s="18">
        <f>SUBTOTAL(9,L75:L79)</f>
        <v>9636</v>
      </c>
      <c r="M80" s="18">
        <f>M75</f>
        <v>22</v>
      </c>
    </row>
    <row r="82" spans="11:13" x14ac:dyDescent="0.25">
      <c r="K82" s="16" t="s">
        <v>21</v>
      </c>
      <c r="L82" s="16" t="s">
        <v>193</v>
      </c>
      <c r="M82" s="16" t="s">
        <v>192</v>
      </c>
    </row>
    <row r="83" spans="11:13" x14ac:dyDescent="0.25">
      <c r="K83" t="s">
        <v>197</v>
      </c>
      <c r="L83">
        <f>SUMIFS(G$3:G$62,J$3:J$62,K$82)</f>
        <v>11010</v>
      </c>
      <c r="M83">
        <f>SUMIFS(Q$3:Q$62,J$3:J$62,K$82)-INT(COUNTIFS(J$3:J$62,K$82,M$3:M$62,"*gộp*")/2)</f>
        <v>16</v>
      </c>
    </row>
    <row r="84" spans="11:13" x14ac:dyDescent="0.25">
      <c r="K84" t="s">
        <v>200</v>
      </c>
      <c r="L84">
        <f>-SUMIFS(H$3:H$62,J$3:J$62,K$82)+M84*5</f>
        <v>-350</v>
      </c>
      <c r="M84">
        <f>SUMIFS(Q$3:Q$62,J$3:J$62,K$82)-INT(COUNTIFS(J$3:J$62,K$82,M$3:M$62,"*gộp*")/2)</f>
        <v>16</v>
      </c>
    </row>
    <row r="85" spans="11:13" x14ac:dyDescent="0.25">
      <c r="K85" t="s">
        <v>202</v>
      </c>
      <c r="L85">
        <f>-M85*2</f>
        <v>-104</v>
      </c>
      <c r="M85">
        <f>E70-(COUNTIFS(M$3:M$62,"*gộp*")/2)-COUNTIFS(M$3:M$62,"*đơn trả*")-COUNTIFS(M$3:M$62,"*hàng tỉnh*")</f>
        <v>52</v>
      </c>
    </row>
    <row r="86" spans="11:13" x14ac:dyDescent="0.25">
      <c r="K86" s="7" t="s">
        <v>204</v>
      </c>
    </row>
    <row r="87" spans="11:13" x14ac:dyDescent="0.25">
      <c r="K87" s="7" t="s">
        <v>206</v>
      </c>
    </row>
    <row r="88" spans="11:13" x14ac:dyDescent="0.25">
      <c r="L88" s="18">
        <f>SUBTOTAL(9,L83:L87)</f>
        <v>10556</v>
      </c>
      <c r="M88" s="18">
        <f>M83</f>
        <v>16</v>
      </c>
    </row>
  </sheetData>
  <autoFilter ref="A2:P62" xr:uid="{00000000-0009-0000-0000-000007000000}">
    <sortState xmlns:xlrd2="http://schemas.microsoft.com/office/spreadsheetml/2017/richdata2" ref="A3:P62">
      <sortCondition ref="J2:J62"/>
    </sortState>
  </autoFilter>
  <mergeCells count="8">
    <mergeCell ref="C71:D71"/>
    <mergeCell ref="C72:D72"/>
    <mergeCell ref="C74:D74"/>
    <mergeCell ref="C66:D66"/>
    <mergeCell ref="C67:D67"/>
    <mergeCell ref="C68:D68"/>
    <mergeCell ref="C69:D69"/>
    <mergeCell ref="C70:D70"/>
  </mergeCells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63"/>
  <sheetViews>
    <sheetView topLeftCell="A34" zoomScale="90" zoomScaleNormal="90" workbookViewId="0">
      <selection activeCell="H27" sqref="H27"/>
    </sheetView>
  </sheetViews>
  <sheetFormatPr defaultRowHeight="15" x14ac:dyDescent="0.25"/>
  <cols>
    <col min="1" max="1" width="12.7109375" customWidth="1"/>
    <col min="2" max="2" width="17.7109375" customWidth="1"/>
    <col min="3" max="3" width="21" customWidth="1"/>
    <col min="4" max="4" width="27.5703125" bestFit="1" customWidth="1"/>
    <col min="5" max="5" width="79.8554687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9.7109375" bestFit="1" customWidth="1"/>
    <col min="12" max="12" width="12.5703125" bestFit="1" customWidth="1"/>
    <col min="13" max="13" width="19.7109375" bestFit="1" customWidth="1"/>
    <col min="14" max="14" width="9.7109375" customWidth="1"/>
    <col min="15" max="15" width="10.42578125" customWidth="1"/>
    <col min="16" max="16" width="7.28515625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/>
      <c r="B3" s="20" t="s">
        <v>17</v>
      </c>
      <c r="C3" s="20" t="s">
        <v>974</v>
      </c>
      <c r="D3" s="20" t="s">
        <v>975</v>
      </c>
      <c r="E3" s="20" t="s">
        <v>976</v>
      </c>
      <c r="F3" s="21">
        <v>9</v>
      </c>
      <c r="G3" s="21">
        <v>820</v>
      </c>
      <c r="H3" s="21">
        <v>30</v>
      </c>
      <c r="I3" s="21">
        <f t="shared" ref="I3:I28" si="0">G3-H3</f>
        <v>790</v>
      </c>
      <c r="J3" s="20" t="s">
        <v>20</v>
      </c>
      <c r="K3" s="20" t="s">
        <v>21</v>
      </c>
      <c r="L3" s="20" t="s">
        <v>977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978</v>
      </c>
      <c r="D4" s="20" t="s">
        <v>979</v>
      </c>
      <c r="E4" s="20" t="s">
        <v>980</v>
      </c>
      <c r="F4" s="21">
        <v>8</v>
      </c>
      <c r="G4" s="21">
        <v>1020</v>
      </c>
      <c r="H4" s="21">
        <v>30</v>
      </c>
      <c r="I4" s="21">
        <f t="shared" si="0"/>
        <v>990</v>
      </c>
      <c r="J4" s="20" t="s">
        <v>981</v>
      </c>
      <c r="K4" s="20" t="s">
        <v>21</v>
      </c>
      <c r="L4" s="20" t="s">
        <v>977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17</v>
      </c>
      <c r="C5" s="20" t="s">
        <v>982</v>
      </c>
      <c r="D5" s="20" t="s">
        <v>983</v>
      </c>
      <c r="E5" s="20" t="s">
        <v>984</v>
      </c>
      <c r="F5" s="20" t="s">
        <v>46</v>
      </c>
      <c r="G5" s="21">
        <v>0</v>
      </c>
      <c r="H5" s="21">
        <v>25</v>
      </c>
      <c r="I5" s="21">
        <f t="shared" si="0"/>
        <v>-25</v>
      </c>
      <c r="J5" s="20" t="s">
        <v>981</v>
      </c>
      <c r="K5" s="20" t="s">
        <v>21</v>
      </c>
      <c r="L5" s="20" t="s">
        <v>977</v>
      </c>
      <c r="M5" s="20"/>
      <c r="N5" s="20"/>
      <c r="O5" s="20"/>
      <c r="P5" s="20"/>
      <c r="Q5" s="20">
        <v>1</v>
      </c>
      <c r="R5" s="15">
        <f>H5</f>
        <v>25</v>
      </c>
    </row>
    <row r="6" spans="1:18" x14ac:dyDescent="0.25">
      <c r="A6" s="20"/>
      <c r="B6" s="20" t="s">
        <v>17</v>
      </c>
      <c r="C6" s="20" t="s">
        <v>985</v>
      </c>
      <c r="D6" s="20" t="s">
        <v>986</v>
      </c>
      <c r="E6" s="20" t="s">
        <v>987</v>
      </c>
      <c r="F6" s="21">
        <v>7</v>
      </c>
      <c r="G6" s="21">
        <v>400</v>
      </c>
      <c r="H6" s="21">
        <v>30</v>
      </c>
      <c r="I6" s="21">
        <f t="shared" si="0"/>
        <v>370</v>
      </c>
      <c r="J6" s="20" t="s">
        <v>981</v>
      </c>
      <c r="K6" s="20" t="s">
        <v>21</v>
      </c>
      <c r="L6" s="20" t="s">
        <v>977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988</v>
      </c>
      <c r="D7" s="20" t="s">
        <v>989</v>
      </c>
      <c r="E7" s="20" t="s">
        <v>990</v>
      </c>
      <c r="F7" s="20" t="s">
        <v>26</v>
      </c>
      <c r="G7" s="21">
        <v>920</v>
      </c>
      <c r="H7" s="21">
        <v>30</v>
      </c>
      <c r="I7" s="21">
        <f t="shared" si="0"/>
        <v>890</v>
      </c>
      <c r="J7" s="20" t="s">
        <v>981</v>
      </c>
      <c r="K7" s="20" t="s">
        <v>21</v>
      </c>
      <c r="L7" s="20" t="s">
        <v>977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17</v>
      </c>
      <c r="C8" s="20" t="s">
        <v>991</v>
      </c>
      <c r="D8" s="20" t="s">
        <v>992</v>
      </c>
      <c r="E8" s="20" t="s">
        <v>993</v>
      </c>
      <c r="F8" s="21">
        <v>7</v>
      </c>
      <c r="G8" s="21">
        <v>920</v>
      </c>
      <c r="H8" s="21">
        <v>30</v>
      </c>
      <c r="I8" s="21">
        <f t="shared" si="0"/>
        <v>890</v>
      </c>
      <c r="J8" s="20" t="s">
        <v>981</v>
      </c>
      <c r="K8" s="20" t="s">
        <v>21</v>
      </c>
      <c r="L8" s="20" t="s">
        <v>977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994</v>
      </c>
      <c r="D9" s="20" t="s">
        <v>995</v>
      </c>
      <c r="E9" s="20" t="s">
        <v>996</v>
      </c>
      <c r="F9" s="21">
        <v>8</v>
      </c>
      <c r="G9" s="21">
        <v>980</v>
      </c>
      <c r="H9" s="21">
        <v>30</v>
      </c>
      <c r="I9" s="21">
        <f t="shared" si="0"/>
        <v>950</v>
      </c>
      <c r="J9" s="20" t="s">
        <v>981</v>
      </c>
      <c r="K9" s="20" t="s">
        <v>21</v>
      </c>
      <c r="L9" s="20" t="s">
        <v>977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17</v>
      </c>
      <c r="C10" s="20" t="s">
        <v>549</v>
      </c>
      <c r="D10" s="20" t="s">
        <v>997</v>
      </c>
      <c r="E10" s="20" t="s">
        <v>998</v>
      </c>
      <c r="F10" s="21">
        <v>8</v>
      </c>
      <c r="G10" s="21">
        <v>900</v>
      </c>
      <c r="H10" s="21">
        <v>30</v>
      </c>
      <c r="I10" s="21">
        <f t="shared" si="0"/>
        <v>870</v>
      </c>
      <c r="J10" s="20" t="s">
        <v>981</v>
      </c>
      <c r="K10" s="20" t="s">
        <v>21</v>
      </c>
      <c r="L10" s="20" t="s">
        <v>977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999</v>
      </c>
      <c r="D11" s="20" t="s">
        <v>1000</v>
      </c>
      <c r="E11" s="20" t="s">
        <v>1001</v>
      </c>
      <c r="F11" s="20" t="s">
        <v>26</v>
      </c>
      <c r="G11" s="21">
        <v>670</v>
      </c>
      <c r="H11" s="21">
        <v>30</v>
      </c>
      <c r="I11" s="21">
        <f t="shared" si="0"/>
        <v>640</v>
      </c>
      <c r="J11" s="20" t="s">
        <v>981</v>
      </c>
      <c r="K11" s="20" t="s">
        <v>21</v>
      </c>
      <c r="L11" s="20" t="s">
        <v>977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1002</v>
      </c>
      <c r="D12" s="20" t="s">
        <v>1003</v>
      </c>
      <c r="E12" s="20" t="s">
        <v>1004</v>
      </c>
      <c r="F12" s="20" t="s">
        <v>26</v>
      </c>
      <c r="G12" s="21">
        <v>920</v>
      </c>
      <c r="H12" s="21">
        <v>30</v>
      </c>
      <c r="I12" s="21">
        <f t="shared" si="0"/>
        <v>890</v>
      </c>
      <c r="J12" s="20" t="s">
        <v>981</v>
      </c>
      <c r="K12" s="20" t="s">
        <v>21</v>
      </c>
      <c r="L12" s="20" t="s">
        <v>977</v>
      </c>
      <c r="M12" s="20"/>
      <c r="N12" s="20"/>
      <c r="O12" s="20"/>
      <c r="P12" s="20"/>
      <c r="Q12" s="20">
        <v>1</v>
      </c>
    </row>
    <row r="13" spans="1:18" s="35" customFormat="1" x14ac:dyDescent="0.25">
      <c r="A13" s="33"/>
      <c r="B13" s="33" t="s">
        <v>17</v>
      </c>
      <c r="C13" s="33" t="s">
        <v>959</v>
      </c>
      <c r="D13" s="33" t="s">
        <v>960</v>
      </c>
      <c r="E13" s="33" t="s">
        <v>961</v>
      </c>
      <c r="F13" s="33" t="s">
        <v>95</v>
      </c>
      <c r="G13" s="34">
        <v>915</v>
      </c>
      <c r="H13" s="34">
        <v>25</v>
      </c>
      <c r="I13" s="34">
        <f t="shared" si="0"/>
        <v>890</v>
      </c>
      <c r="J13" s="33" t="s">
        <v>981</v>
      </c>
      <c r="K13" s="33" t="s">
        <v>21</v>
      </c>
      <c r="L13" s="33" t="s">
        <v>813</v>
      </c>
      <c r="M13" s="33" t="s">
        <v>1005</v>
      </c>
      <c r="N13" s="33"/>
      <c r="O13" s="33"/>
      <c r="P13" s="33"/>
      <c r="Q13" s="33">
        <v>1</v>
      </c>
    </row>
    <row r="14" spans="1:18" x14ac:dyDescent="0.25">
      <c r="A14" s="20"/>
      <c r="B14" s="20" t="s">
        <v>17</v>
      </c>
      <c r="C14" s="20" t="s">
        <v>1006</v>
      </c>
      <c r="D14" s="20" t="s">
        <v>1007</v>
      </c>
      <c r="E14" s="20" t="s">
        <v>1008</v>
      </c>
      <c r="F14" s="21">
        <v>2</v>
      </c>
      <c r="G14" s="21">
        <v>1760</v>
      </c>
      <c r="H14" s="21">
        <v>30</v>
      </c>
      <c r="I14" s="21">
        <f t="shared" si="0"/>
        <v>1730</v>
      </c>
      <c r="J14" s="20" t="s">
        <v>21</v>
      </c>
      <c r="K14" s="20" t="s">
        <v>21</v>
      </c>
      <c r="L14" s="20" t="s">
        <v>977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17</v>
      </c>
      <c r="C15" s="20" t="s">
        <v>1009</v>
      </c>
      <c r="D15" s="20" t="s">
        <v>1010</v>
      </c>
      <c r="E15" s="20" t="s">
        <v>1011</v>
      </c>
      <c r="F15" s="20" t="s">
        <v>81</v>
      </c>
      <c r="G15" s="21">
        <v>920</v>
      </c>
      <c r="H15" s="21">
        <v>30</v>
      </c>
      <c r="I15" s="21">
        <f t="shared" si="0"/>
        <v>890</v>
      </c>
      <c r="J15" s="20" t="s">
        <v>21</v>
      </c>
      <c r="K15" s="20" t="s">
        <v>21</v>
      </c>
      <c r="L15" s="20" t="s">
        <v>977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1012</v>
      </c>
      <c r="D16" s="20" t="s">
        <v>1013</v>
      </c>
      <c r="E16" s="20" t="s">
        <v>1014</v>
      </c>
      <c r="F16" s="20" t="s">
        <v>77</v>
      </c>
      <c r="G16" s="21">
        <v>0</v>
      </c>
      <c r="H16" s="21">
        <v>25</v>
      </c>
      <c r="I16" s="21">
        <f t="shared" si="0"/>
        <v>-25</v>
      </c>
      <c r="J16" s="20" t="s">
        <v>21</v>
      </c>
      <c r="K16" s="20" t="s">
        <v>21</v>
      </c>
      <c r="L16" s="20" t="s">
        <v>977</v>
      </c>
      <c r="M16" s="20"/>
      <c r="N16" s="20"/>
      <c r="O16" s="20"/>
      <c r="P16" s="20"/>
      <c r="Q16" s="20">
        <v>1</v>
      </c>
      <c r="R16" s="15">
        <f>H16</f>
        <v>25</v>
      </c>
    </row>
    <row r="17" spans="1:18" x14ac:dyDescent="0.25">
      <c r="A17" s="20"/>
      <c r="B17" s="20" t="s">
        <v>17</v>
      </c>
      <c r="C17" s="20" t="s">
        <v>1015</v>
      </c>
      <c r="D17" s="20" t="s">
        <v>1016</v>
      </c>
      <c r="E17" s="20" t="s">
        <v>1017</v>
      </c>
      <c r="F17" s="20" t="s">
        <v>85</v>
      </c>
      <c r="G17" s="21">
        <v>910</v>
      </c>
      <c r="H17" s="21">
        <v>20</v>
      </c>
      <c r="I17" s="21">
        <f t="shared" si="0"/>
        <v>890</v>
      </c>
      <c r="J17" s="20" t="s">
        <v>21</v>
      </c>
      <c r="K17" s="20" t="s">
        <v>21</v>
      </c>
      <c r="L17" s="20" t="s">
        <v>977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1018</v>
      </c>
      <c r="D18" s="20" t="s">
        <v>1019</v>
      </c>
      <c r="E18" s="20" t="s">
        <v>1020</v>
      </c>
      <c r="F18" s="21">
        <v>2</v>
      </c>
      <c r="G18" s="21">
        <v>920</v>
      </c>
      <c r="H18" s="21">
        <v>30</v>
      </c>
      <c r="I18" s="21">
        <f t="shared" si="0"/>
        <v>890</v>
      </c>
      <c r="J18" s="20" t="s">
        <v>21</v>
      </c>
      <c r="K18" s="20" t="s">
        <v>21</v>
      </c>
      <c r="L18" s="20" t="s">
        <v>977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1021</v>
      </c>
      <c r="D19" s="20" t="s">
        <v>1022</v>
      </c>
      <c r="E19" s="20" t="s">
        <v>1023</v>
      </c>
      <c r="F19" s="20" t="s">
        <v>95</v>
      </c>
      <c r="G19" s="21">
        <v>865</v>
      </c>
      <c r="H19" s="21">
        <v>25</v>
      </c>
      <c r="I19" s="21">
        <f t="shared" si="0"/>
        <v>840</v>
      </c>
      <c r="J19" s="20" t="s">
        <v>21</v>
      </c>
      <c r="K19" s="20" t="s">
        <v>21</v>
      </c>
      <c r="L19" s="20" t="s">
        <v>977</v>
      </c>
      <c r="M19" s="20"/>
      <c r="N19" s="20"/>
      <c r="O19" s="20"/>
      <c r="P19" s="20"/>
      <c r="Q19" s="20">
        <v>1</v>
      </c>
    </row>
    <row r="20" spans="1:18" x14ac:dyDescent="0.25">
      <c r="A20" s="20" t="s">
        <v>16</v>
      </c>
      <c r="B20" s="20" t="s">
        <v>17</v>
      </c>
      <c r="C20" s="20" t="s">
        <v>1024</v>
      </c>
      <c r="D20" s="20"/>
      <c r="E20" s="20" t="s">
        <v>503</v>
      </c>
      <c r="F20" s="21">
        <v>12</v>
      </c>
      <c r="G20" s="21">
        <v>0</v>
      </c>
      <c r="H20" s="21">
        <v>40</v>
      </c>
      <c r="I20" s="21">
        <f t="shared" si="0"/>
        <v>-40</v>
      </c>
      <c r="J20" s="20" t="s">
        <v>21</v>
      </c>
      <c r="K20" s="20" t="s">
        <v>21</v>
      </c>
      <c r="L20" s="20" t="s">
        <v>977</v>
      </c>
      <c r="M20" s="20"/>
      <c r="N20" s="20"/>
      <c r="O20" s="20"/>
      <c r="P20" s="20"/>
      <c r="Q20" s="20">
        <v>1</v>
      </c>
      <c r="R20" s="15">
        <f>H20</f>
        <v>40</v>
      </c>
    </row>
    <row r="21" spans="1:18" x14ac:dyDescent="0.25">
      <c r="A21" s="20"/>
      <c r="B21" s="20" t="s">
        <v>17</v>
      </c>
      <c r="C21" s="20" t="s">
        <v>1025</v>
      </c>
      <c r="D21" s="20" t="s">
        <v>1026</v>
      </c>
      <c r="E21" s="20" t="s">
        <v>1027</v>
      </c>
      <c r="F21" s="21">
        <v>1</v>
      </c>
      <c r="G21" s="21">
        <v>975</v>
      </c>
      <c r="H21" s="21">
        <v>25</v>
      </c>
      <c r="I21" s="21">
        <f t="shared" si="0"/>
        <v>950</v>
      </c>
      <c r="J21" s="20" t="s">
        <v>135</v>
      </c>
      <c r="K21" s="20" t="s">
        <v>21</v>
      </c>
      <c r="L21" s="20" t="s">
        <v>977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17</v>
      </c>
      <c r="C22" s="20" t="s">
        <v>1028</v>
      </c>
      <c r="D22" s="20" t="s">
        <v>1029</v>
      </c>
      <c r="E22" s="20" t="s">
        <v>1030</v>
      </c>
      <c r="F22" s="21">
        <v>5</v>
      </c>
      <c r="G22" s="21">
        <v>2070</v>
      </c>
      <c r="H22" s="21">
        <v>25</v>
      </c>
      <c r="I22" s="21">
        <f t="shared" si="0"/>
        <v>2045</v>
      </c>
      <c r="J22" s="20" t="s">
        <v>135</v>
      </c>
      <c r="K22" s="20" t="s">
        <v>21</v>
      </c>
      <c r="L22" s="20" t="s">
        <v>977</v>
      </c>
      <c r="M22" s="25" t="s">
        <v>167</v>
      </c>
      <c r="N22" s="20"/>
      <c r="O22" s="20"/>
      <c r="P22" s="20"/>
      <c r="Q22" s="20">
        <v>1</v>
      </c>
      <c r="R22" s="15">
        <f>H22</f>
        <v>25</v>
      </c>
    </row>
    <row r="23" spans="1:18" x14ac:dyDescent="0.25">
      <c r="A23" s="20"/>
      <c r="B23" s="20" t="s">
        <v>17</v>
      </c>
      <c r="C23" s="20" t="s">
        <v>791</v>
      </c>
      <c r="D23" s="20" t="s">
        <v>1031</v>
      </c>
      <c r="E23" s="20" t="s">
        <v>1032</v>
      </c>
      <c r="F23" s="21">
        <v>1</v>
      </c>
      <c r="G23" s="21">
        <v>0</v>
      </c>
      <c r="H23" s="21">
        <v>25</v>
      </c>
      <c r="I23" s="21">
        <f t="shared" si="0"/>
        <v>-25</v>
      </c>
      <c r="J23" s="20" t="s">
        <v>135</v>
      </c>
      <c r="K23" s="20" t="s">
        <v>21</v>
      </c>
      <c r="L23" s="20" t="s">
        <v>977</v>
      </c>
      <c r="M23" s="20"/>
      <c r="N23" s="20"/>
      <c r="O23" s="20"/>
      <c r="P23" s="20"/>
      <c r="Q23" s="20">
        <v>1</v>
      </c>
      <c r="R23" s="15">
        <f>H23</f>
        <v>25</v>
      </c>
    </row>
    <row r="24" spans="1:18" x14ac:dyDescent="0.25">
      <c r="A24" s="20"/>
      <c r="B24" s="20" t="s">
        <v>17</v>
      </c>
      <c r="C24" s="20" t="s">
        <v>706</v>
      </c>
      <c r="D24" s="20" t="s">
        <v>1033</v>
      </c>
      <c r="E24" s="20" t="s">
        <v>1034</v>
      </c>
      <c r="F24" s="21">
        <v>10</v>
      </c>
      <c r="G24" s="21">
        <v>0</v>
      </c>
      <c r="H24" s="21">
        <v>25</v>
      </c>
      <c r="I24" s="21">
        <f t="shared" si="0"/>
        <v>-25</v>
      </c>
      <c r="J24" s="20" t="s">
        <v>135</v>
      </c>
      <c r="K24" s="20" t="s">
        <v>21</v>
      </c>
      <c r="L24" s="20" t="s">
        <v>977</v>
      </c>
      <c r="M24" s="20"/>
      <c r="N24" s="20"/>
      <c r="O24" s="20"/>
      <c r="P24" s="20"/>
      <c r="Q24" s="20">
        <v>1</v>
      </c>
      <c r="R24" s="15">
        <f>H24</f>
        <v>25</v>
      </c>
    </row>
    <row r="25" spans="1:18" x14ac:dyDescent="0.25">
      <c r="A25" s="20"/>
      <c r="B25" s="20" t="s">
        <v>17</v>
      </c>
      <c r="C25" s="20" t="s">
        <v>1035</v>
      </c>
      <c r="D25" s="20" t="s">
        <v>1036</v>
      </c>
      <c r="E25" s="20" t="s">
        <v>1037</v>
      </c>
      <c r="F25" s="21">
        <v>10</v>
      </c>
      <c r="G25" s="21">
        <v>1145</v>
      </c>
      <c r="H25" s="21">
        <v>25</v>
      </c>
      <c r="I25" s="21">
        <f t="shared" si="0"/>
        <v>1120</v>
      </c>
      <c r="J25" s="20" t="s">
        <v>135</v>
      </c>
      <c r="K25" s="20" t="s">
        <v>21</v>
      </c>
      <c r="L25" s="20" t="s">
        <v>977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1038</v>
      </c>
      <c r="D26" s="20" t="s">
        <v>1039</v>
      </c>
      <c r="E26" s="20" t="s">
        <v>1040</v>
      </c>
      <c r="F26" s="21">
        <v>4</v>
      </c>
      <c r="G26" s="21">
        <v>845</v>
      </c>
      <c r="H26" s="21">
        <v>25</v>
      </c>
      <c r="I26" s="21">
        <f t="shared" si="0"/>
        <v>820</v>
      </c>
      <c r="J26" s="20" t="s">
        <v>135</v>
      </c>
      <c r="K26" s="20" t="s">
        <v>21</v>
      </c>
      <c r="L26" s="20" t="s">
        <v>977</v>
      </c>
      <c r="M26" s="20"/>
      <c r="N26" s="20"/>
      <c r="O26" s="20"/>
      <c r="P26" s="20"/>
      <c r="Q26" s="20">
        <v>1</v>
      </c>
    </row>
    <row r="27" spans="1:18" x14ac:dyDescent="0.25">
      <c r="A27" s="20" t="s">
        <v>16</v>
      </c>
      <c r="B27" s="20" t="s">
        <v>17</v>
      </c>
      <c r="C27" s="20" t="s">
        <v>1041</v>
      </c>
      <c r="D27" s="20"/>
      <c r="E27" s="20" t="s">
        <v>1042</v>
      </c>
      <c r="F27" s="21">
        <v>5</v>
      </c>
      <c r="G27" s="21">
        <v>0</v>
      </c>
      <c r="H27" s="21">
        <v>35</v>
      </c>
      <c r="I27" s="21">
        <f t="shared" si="0"/>
        <v>-35</v>
      </c>
      <c r="J27" s="20" t="s">
        <v>135</v>
      </c>
      <c r="K27" s="20" t="s">
        <v>21</v>
      </c>
      <c r="L27" s="20" t="s">
        <v>977</v>
      </c>
      <c r="M27" s="20"/>
      <c r="N27" s="20"/>
      <c r="O27" s="20"/>
      <c r="P27" s="20"/>
      <c r="Q27" s="20">
        <v>1</v>
      </c>
      <c r="R27" s="15">
        <f>H27</f>
        <v>35</v>
      </c>
    </row>
    <row r="28" spans="1:18" x14ac:dyDescent="0.25">
      <c r="A28" s="20" t="s">
        <v>16</v>
      </c>
      <c r="B28" s="20" t="s">
        <v>17</v>
      </c>
      <c r="C28" s="20" t="s">
        <v>437</v>
      </c>
      <c r="D28" s="20"/>
      <c r="E28" s="20" t="s">
        <v>438</v>
      </c>
      <c r="F28" s="21">
        <v>1</v>
      </c>
      <c r="G28" s="21">
        <v>0</v>
      </c>
      <c r="H28" s="21">
        <v>30</v>
      </c>
      <c r="I28" s="21">
        <f t="shared" si="0"/>
        <v>-30</v>
      </c>
      <c r="J28" s="20" t="s">
        <v>135</v>
      </c>
      <c r="K28" s="20" t="s">
        <v>21</v>
      </c>
      <c r="L28" s="20" t="s">
        <v>977</v>
      </c>
      <c r="M28" s="20"/>
      <c r="N28" s="20"/>
      <c r="O28" s="20"/>
      <c r="P28" s="20"/>
      <c r="Q28" s="20">
        <v>1</v>
      </c>
    </row>
    <row r="30" spans="1:18" x14ac:dyDescent="0.25">
      <c r="D30" s="6">
        <f>COUNTA(D3:D28)</f>
        <v>23</v>
      </c>
      <c r="G30" s="6">
        <f t="shared" ref="G30:Q30" si="1">SUBTOTAL(9,G3:G28)</f>
        <v>18875</v>
      </c>
      <c r="H30" s="6">
        <f t="shared" si="1"/>
        <v>735</v>
      </c>
      <c r="I30" s="6">
        <f t="shared" si="1"/>
        <v>18140</v>
      </c>
      <c r="J30" s="6">
        <f t="shared" si="1"/>
        <v>0</v>
      </c>
      <c r="K30" s="6">
        <f t="shared" si="1"/>
        <v>0</v>
      </c>
      <c r="L30" s="6">
        <f t="shared" si="1"/>
        <v>0</v>
      </c>
      <c r="M30" s="6">
        <f t="shared" si="1"/>
        <v>0</v>
      </c>
      <c r="N30" s="6">
        <f t="shared" si="1"/>
        <v>0</v>
      </c>
      <c r="O30" s="6">
        <f t="shared" si="1"/>
        <v>0</v>
      </c>
      <c r="P30" s="6">
        <f t="shared" si="1"/>
        <v>0</v>
      </c>
      <c r="Q30" s="6">
        <f t="shared" si="1"/>
        <v>26</v>
      </c>
    </row>
    <row r="31" spans="1:18" x14ac:dyDescent="0.25">
      <c r="H31">
        <f>-7*17</f>
        <v>-119</v>
      </c>
    </row>
    <row r="32" spans="1:18" x14ac:dyDescent="0.25">
      <c r="A32" s="6" t="s">
        <v>17</v>
      </c>
      <c r="C32" s="5" t="s">
        <v>191</v>
      </c>
      <c r="D32" s="5"/>
      <c r="E32" s="9" t="s">
        <v>192</v>
      </c>
      <c r="H32">
        <f>-3*25</f>
        <v>-75</v>
      </c>
      <c r="K32" s="16" t="s">
        <v>21</v>
      </c>
      <c r="L32" s="16" t="s">
        <v>193</v>
      </c>
      <c r="M32" s="16" t="s">
        <v>192</v>
      </c>
      <c r="O32" s="9" t="s">
        <v>194</v>
      </c>
    </row>
    <row r="33" spans="1:16" x14ac:dyDescent="0.25">
      <c r="A33" t="s">
        <v>977</v>
      </c>
      <c r="B33" s="8" t="s">
        <v>195</v>
      </c>
      <c r="C33" s="4">
        <f>SUMIFS(I$3:I$28,B$3:B$28,A$32,L$3:L$28,A$33)</f>
        <v>17250</v>
      </c>
      <c r="D33" s="4"/>
      <c r="E33" s="8">
        <f>SUMIFS(Q$3:Q$28,B$3:B$28,A$32,L$3:L$28,A$33)</f>
        <v>25</v>
      </c>
      <c r="F33" t="s">
        <v>196</v>
      </c>
      <c r="K33" t="s">
        <v>197</v>
      </c>
      <c r="L33">
        <f>SUMIFS(G$3:G$28,J$3:J$28,K$32)</f>
        <v>5375</v>
      </c>
      <c r="M33">
        <f>SUMIFS(Q$3:Q$28,J$3:J$28,K$32)-INT(COUNTIFS(J$3:J$28,K$32,M$3:M$28,"*gộp*")/2)</f>
        <v>7</v>
      </c>
      <c r="O33" t="s">
        <v>21</v>
      </c>
      <c r="P33">
        <f>L38</f>
        <v>5160</v>
      </c>
    </row>
    <row r="34" spans="1:16" x14ac:dyDescent="0.25">
      <c r="B34" s="7" t="s">
        <v>199</v>
      </c>
      <c r="C34" s="3">
        <v>0</v>
      </c>
      <c r="D34" s="3"/>
      <c r="K34" t="s">
        <v>200</v>
      </c>
      <c r="L34">
        <f>-SUMIFS(H$3:H$28,J$3:J$28,K$32)+M34*5</f>
        <v>-165</v>
      </c>
      <c r="M34">
        <f>SUMIFS(Q$3:Q$28,J$3:J$28,K$32)-INT(COUNTIFS(J$3:J$28,K$32,M$3:M$28,"*gộp*")/2)</f>
        <v>7</v>
      </c>
      <c r="O34" t="s">
        <v>1043</v>
      </c>
      <c r="P34">
        <f>L46</f>
        <v>7451</v>
      </c>
    </row>
    <row r="35" spans="1:16" x14ac:dyDescent="0.25">
      <c r="B35" s="7" t="s">
        <v>201</v>
      </c>
      <c r="C35" s="3">
        <f>-SUMIFS(I$3:I$28,B$3:B$28,A$32,P$3:P$28,"xx",N$3:N$28,"x")</f>
        <v>0</v>
      </c>
      <c r="D35" s="3"/>
      <c r="E35" s="7">
        <f>SUMIFS(Q$3:Q$28,B$3:B$28,A$32,P$3:P$28,"xx",N$3:N$28,"x")</f>
        <v>0</v>
      </c>
      <c r="K35" t="s">
        <v>202</v>
      </c>
      <c r="L35">
        <f>-M35*2</f>
        <v>-50</v>
      </c>
      <c r="M35">
        <f>E36-(COUNTIFS(M$3:M$28,"*gộp*")/2)-COUNTIFS(M$3:M$28,"*đơn trả*")-COUNTIFS(M$3:M$28,"*hàng tỉnh*")</f>
        <v>25</v>
      </c>
      <c r="O35" t="s">
        <v>135</v>
      </c>
      <c r="P35">
        <f>L55</f>
        <v>3945</v>
      </c>
    </row>
    <row r="36" spans="1:16" x14ac:dyDescent="0.25">
      <c r="B36" s="9" t="s">
        <v>203</v>
      </c>
      <c r="C36" s="5">
        <f>SUBTOTAL(9,C33:C35)</f>
        <v>17250</v>
      </c>
      <c r="D36" s="5"/>
      <c r="E36">
        <f>E33</f>
        <v>25</v>
      </c>
      <c r="K36" s="7" t="s">
        <v>204</v>
      </c>
      <c r="O36" t="s">
        <v>20</v>
      </c>
      <c r="P36">
        <f>L63</f>
        <v>795</v>
      </c>
    </row>
    <row r="37" spans="1:16" x14ac:dyDescent="0.25">
      <c r="B37" s="7" t="s">
        <v>205</v>
      </c>
      <c r="C37" s="2"/>
      <c r="D37" s="2"/>
      <c r="K37" s="7" t="s">
        <v>206</v>
      </c>
      <c r="O37" t="s">
        <v>207</v>
      </c>
      <c r="P37">
        <f>-C40</f>
        <v>-17250</v>
      </c>
    </row>
    <row r="38" spans="1:16" x14ac:dyDescent="0.25">
      <c r="B38" s="17" t="s">
        <v>208</v>
      </c>
      <c r="C38" s="2"/>
      <c r="D38" s="2"/>
      <c r="L38" s="18">
        <f>SUBTOTAL(9,L33:L37)</f>
        <v>5160</v>
      </c>
      <c r="M38" s="18">
        <f>M33</f>
        <v>7</v>
      </c>
      <c r="O38" s="9" t="s">
        <v>209</v>
      </c>
      <c r="P38" s="9">
        <f>SUBTOTAL(9,P33:P37)</f>
        <v>101</v>
      </c>
    </row>
    <row r="40" spans="1:16" x14ac:dyDescent="0.25">
      <c r="B40" s="6" t="s">
        <v>210</v>
      </c>
      <c r="C40" s="1">
        <f>C36+C37+C38</f>
        <v>17250</v>
      </c>
      <c r="D40" s="1"/>
      <c r="E40" s="6" t="s">
        <v>211</v>
      </c>
      <c r="K40" s="16" t="s">
        <v>981</v>
      </c>
      <c r="L40" s="16" t="s">
        <v>193</v>
      </c>
      <c r="M40" s="16" t="s">
        <v>192</v>
      </c>
    </row>
    <row r="41" spans="1:16" x14ac:dyDescent="0.25">
      <c r="K41" t="s">
        <v>197</v>
      </c>
      <c r="L41">
        <f>SUMIFS(G$3:G$28,J$3:J$28,K$40)</f>
        <v>7645</v>
      </c>
      <c r="M41">
        <f>SUMIFS(Q$3:Q$28,J$3:J$28,K$40)-INT(COUNTIFS(J$3:J$28,K$40,M$3:M$28,"*gộp*")/2)</f>
        <v>10</v>
      </c>
    </row>
    <row r="42" spans="1:16" x14ac:dyDescent="0.25">
      <c r="A42" s="6" t="s">
        <v>17</v>
      </c>
      <c r="C42" s="5" t="s">
        <v>191</v>
      </c>
      <c r="D42" s="5"/>
      <c r="E42" s="9" t="s">
        <v>192</v>
      </c>
      <c r="K42" t="s">
        <v>200</v>
      </c>
      <c r="L42">
        <f>SUM(H31:H32)+SUMIFS(H$3:H$28,J$3:J$28,K$40,M$3:M$28,"*gộp*")/2</f>
        <v>-194</v>
      </c>
      <c r="M42">
        <f>SUMIFS(Q$3:Q$28,J$3:J$28,K$40)</f>
        <v>10</v>
      </c>
    </row>
    <row r="43" spans="1:16" x14ac:dyDescent="0.25">
      <c r="A43" t="s">
        <v>813</v>
      </c>
      <c r="B43" s="8" t="s">
        <v>195</v>
      </c>
      <c r="C43" s="4">
        <f>SUMIFS(I$3:I$28,B$3:B$28,A$42,L$3:L$28,A$43)</f>
        <v>890</v>
      </c>
      <c r="D43" s="4"/>
      <c r="E43" s="8">
        <f>SUMIFS(Q$3:Q$28,B$3:B$28,A$42,L$3:L$28,A$43)</f>
        <v>1</v>
      </c>
      <c r="F43" t="s">
        <v>196</v>
      </c>
      <c r="K43" t="s">
        <v>202</v>
      </c>
    </row>
    <row r="44" spans="1:16" x14ac:dyDescent="0.25">
      <c r="B44" s="7" t="s">
        <v>199</v>
      </c>
      <c r="C44" s="3">
        <v>0</v>
      </c>
      <c r="D44" s="3"/>
      <c r="K44" s="7" t="s">
        <v>204</v>
      </c>
    </row>
    <row r="45" spans="1:16" x14ac:dyDescent="0.25">
      <c r="B45" s="7" t="s">
        <v>201</v>
      </c>
      <c r="C45" s="3">
        <f>-SUMIFS(I$3:I$28,B$3:B$28,A$42,P$3:P$28,"xx",N$3:N$28,"x")</f>
        <v>0</v>
      </c>
      <c r="D45" s="3"/>
      <c r="E45" s="7">
        <f>SUMIFS(Q$3:Q$28,B$3:B$28,A$42,P$3:P$28,"xx",N$3:N$28,"x")</f>
        <v>0</v>
      </c>
      <c r="K45" s="7" t="s">
        <v>206</v>
      </c>
    </row>
    <row r="46" spans="1:16" x14ac:dyDescent="0.25">
      <c r="B46" s="9" t="s">
        <v>203</v>
      </c>
      <c r="C46" s="5">
        <f>SUBTOTAL(9,C43:C45)</f>
        <v>890</v>
      </c>
      <c r="D46" s="5"/>
      <c r="E46">
        <f>E43</f>
        <v>1</v>
      </c>
      <c r="L46" s="18">
        <f>SUBTOTAL(9,L41:L45)</f>
        <v>7451</v>
      </c>
      <c r="M46" s="18">
        <f>M41</f>
        <v>10</v>
      </c>
    </row>
    <row r="47" spans="1:16" x14ac:dyDescent="0.25">
      <c r="B47" s="7" t="s">
        <v>205</v>
      </c>
      <c r="C47" s="2"/>
      <c r="D47" s="2"/>
    </row>
    <row r="48" spans="1:16" x14ac:dyDescent="0.25">
      <c r="B48" s="17" t="s">
        <v>208</v>
      </c>
      <c r="C48" s="2"/>
      <c r="D48" s="2"/>
      <c r="K48" s="16" t="s">
        <v>135</v>
      </c>
      <c r="L48" s="16" t="s">
        <v>193</v>
      </c>
      <c r="M48" s="16" t="s">
        <v>192</v>
      </c>
    </row>
    <row r="49" spans="2:13" x14ac:dyDescent="0.25">
      <c r="K49" t="s">
        <v>197</v>
      </c>
      <c r="L49">
        <f>SUMIFS(G$3:G$28,J$3:J$28,K$48)</f>
        <v>5035</v>
      </c>
      <c r="M49">
        <f>SUMIFS(Q$3:Q$28,J$3:J$28,K$48)-INT(COUNTIFS(J$3:J$28,K$48,M$3:M$28,"*gộp*")/2)</f>
        <v>8</v>
      </c>
    </row>
    <row r="50" spans="2:13" x14ac:dyDescent="0.25">
      <c r="B50" s="6" t="s">
        <v>210</v>
      </c>
      <c r="C50" s="1">
        <f>C46+C47+C48</f>
        <v>890</v>
      </c>
      <c r="D50" s="1"/>
      <c r="E50" s="6" t="s">
        <v>211</v>
      </c>
      <c r="K50" t="s">
        <v>200</v>
      </c>
      <c r="L50">
        <f>-SUMIFS(H$3:H$28,J$3:J$28,K$48)+M50*5</f>
        <v>-175</v>
      </c>
      <c r="M50">
        <f>SUMIFS(Q$3:Q$28,J$3:J$28,K$48)-INT(COUNTIFS(J$3:J$28,K$48,M$3:M$28,"*gộp*")/2)</f>
        <v>8</v>
      </c>
    </row>
    <row r="51" spans="2:13" x14ac:dyDescent="0.25">
      <c r="K51" t="s">
        <v>202</v>
      </c>
    </row>
    <row r="52" spans="2:13" x14ac:dyDescent="0.25">
      <c r="K52" s="7" t="s">
        <v>204</v>
      </c>
    </row>
    <row r="53" spans="2:13" x14ac:dyDescent="0.25">
      <c r="K53" s="36" t="s">
        <v>206</v>
      </c>
      <c r="L53" s="28"/>
      <c r="M53" s="28"/>
    </row>
    <row r="54" spans="2:13" x14ac:dyDescent="0.25">
      <c r="K54" s="7" t="s">
        <v>1005</v>
      </c>
      <c r="L54" s="28">
        <v>-915</v>
      </c>
      <c r="M54" s="28" t="s">
        <v>288</v>
      </c>
    </row>
    <row r="55" spans="2:13" x14ac:dyDescent="0.25">
      <c r="L55" s="18">
        <f>SUBTOTAL(9,L49:L54)</f>
        <v>3945</v>
      </c>
      <c r="M55" s="18">
        <f>M49</f>
        <v>8</v>
      </c>
    </row>
    <row r="57" spans="2:13" x14ac:dyDescent="0.25">
      <c r="K57" s="16" t="s">
        <v>20</v>
      </c>
      <c r="L57" s="16" t="s">
        <v>193</v>
      </c>
      <c r="M57" s="16" t="s">
        <v>192</v>
      </c>
    </row>
    <row r="58" spans="2:13" x14ac:dyDescent="0.25">
      <c r="K58" t="s">
        <v>197</v>
      </c>
      <c r="L58">
        <f>SUMIFS(G$3:G$28,J$3:J$28,K$57)</f>
        <v>820</v>
      </c>
      <c r="M58">
        <f>SUMIFS(Q$3:Q$28,J$3:J$28,K$57)-INT(COUNTIFS(J$3:J$28,K$57,M$3:M$28,"*gộp*")/2)</f>
        <v>1</v>
      </c>
    </row>
    <row r="59" spans="2:13" x14ac:dyDescent="0.25">
      <c r="K59" t="s">
        <v>200</v>
      </c>
      <c r="L59">
        <f>-SUMIFS(H$3:H$28,J$3:J$28,K$57)+M59*5</f>
        <v>-25</v>
      </c>
      <c r="M59">
        <f>SUMIFS(Q$3:Q$28,J$3:J$28,K$57)-INT(COUNTIFS(J$3:J$28,K$57,M$3:M$28,"*gộp*")/2)</f>
        <v>1</v>
      </c>
    </row>
    <row r="60" spans="2:13" x14ac:dyDescent="0.25">
      <c r="K60" t="s">
        <v>202</v>
      </c>
    </row>
    <row r="61" spans="2:13" x14ac:dyDescent="0.25">
      <c r="K61" s="7" t="s">
        <v>204</v>
      </c>
    </row>
    <row r="62" spans="2:13" x14ac:dyDescent="0.25">
      <c r="K62" s="7" t="s">
        <v>206</v>
      </c>
    </row>
    <row r="63" spans="2:13" x14ac:dyDescent="0.25">
      <c r="L63" s="18">
        <f>SUBTOTAL(9,L58:L62)</f>
        <v>795</v>
      </c>
      <c r="M63" s="18">
        <f>M58</f>
        <v>1</v>
      </c>
    </row>
  </sheetData>
  <autoFilter ref="A2:P28" xr:uid="{00000000-0009-0000-0000-000008000000}">
    <sortState xmlns:xlrd2="http://schemas.microsoft.com/office/spreadsheetml/2017/richdata2" ref="A3:P28">
      <sortCondition ref="J2:J28"/>
    </sortState>
  </autoFilter>
  <mergeCells count="16">
    <mergeCell ref="C50:D50"/>
    <mergeCell ref="C44:D44"/>
    <mergeCell ref="C45:D45"/>
    <mergeCell ref="C46:D46"/>
    <mergeCell ref="C47:D47"/>
    <mergeCell ref="C48:D48"/>
    <mergeCell ref="C37:D37"/>
    <mergeCell ref="C38:D38"/>
    <mergeCell ref="C40:D40"/>
    <mergeCell ref="C42:D42"/>
    <mergeCell ref="C43:D43"/>
    <mergeCell ref="C32:D32"/>
    <mergeCell ref="C33:D33"/>
    <mergeCell ref="C34:D34"/>
    <mergeCell ref="C35:D35"/>
    <mergeCell ref="C36:D36"/>
  </mergeCells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61"/>
  <sheetViews>
    <sheetView topLeftCell="A37" workbookViewId="0">
      <selection activeCell="L15" sqref="L15"/>
    </sheetView>
  </sheetViews>
  <sheetFormatPr defaultRowHeight="15" x14ac:dyDescent="0.25"/>
  <cols>
    <col min="1" max="1" width="12.7109375" customWidth="1"/>
    <col min="2" max="2" width="17.7109375" customWidth="1"/>
    <col min="3" max="3" width="28" customWidth="1"/>
    <col min="4" max="4" width="9.85546875" customWidth="1"/>
    <col min="5" max="5" width="54.140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42578125" customWidth="1"/>
    <col min="14" max="14" width="9.7109375" customWidth="1"/>
    <col min="15" max="15" width="10.42578125" customWidth="1"/>
    <col min="16" max="16" width="8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/>
      <c r="B3" s="20" t="s">
        <v>17</v>
      </c>
      <c r="C3" s="20" t="s">
        <v>1044</v>
      </c>
      <c r="D3" s="20" t="s">
        <v>1045</v>
      </c>
      <c r="E3" s="20" t="s">
        <v>1046</v>
      </c>
      <c r="F3" s="21">
        <v>7</v>
      </c>
      <c r="G3" s="21">
        <v>980</v>
      </c>
      <c r="H3" s="21">
        <v>30</v>
      </c>
      <c r="I3" s="21">
        <f t="shared" ref="I3:I35" si="0">G3-H3</f>
        <v>950</v>
      </c>
      <c r="J3" s="20" t="s">
        <v>1047</v>
      </c>
      <c r="K3" s="20" t="s">
        <v>21</v>
      </c>
      <c r="L3" s="20" t="s">
        <v>1048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1049</v>
      </c>
      <c r="D4" s="20" t="s">
        <v>1050</v>
      </c>
      <c r="E4" s="20" t="s">
        <v>1051</v>
      </c>
      <c r="F4" s="20" t="s">
        <v>95</v>
      </c>
      <c r="G4" s="21">
        <v>845</v>
      </c>
      <c r="H4" s="21">
        <v>25</v>
      </c>
      <c r="I4" s="21">
        <f t="shared" si="0"/>
        <v>820</v>
      </c>
      <c r="J4" s="20" t="s">
        <v>1047</v>
      </c>
      <c r="K4" s="20" t="s">
        <v>21</v>
      </c>
      <c r="L4" s="20" t="s">
        <v>1048</v>
      </c>
      <c r="M4" s="20"/>
      <c r="N4" s="20"/>
      <c r="O4" s="20"/>
      <c r="P4" s="20"/>
      <c r="Q4" s="20">
        <v>1</v>
      </c>
    </row>
    <row r="5" spans="1:18" s="24" customFormat="1" x14ac:dyDescent="0.25">
      <c r="A5" s="22"/>
      <c r="B5" s="22" t="s">
        <v>17</v>
      </c>
      <c r="C5" s="22" t="s">
        <v>1052</v>
      </c>
      <c r="D5" s="22" t="s">
        <v>1053</v>
      </c>
      <c r="E5" s="22" t="s">
        <v>1054</v>
      </c>
      <c r="F5" s="22" t="s">
        <v>139</v>
      </c>
      <c r="G5" s="23">
        <v>35</v>
      </c>
      <c r="H5" s="23">
        <v>35</v>
      </c>
      <c r="I5" s="23">
        <f t="shared" si="0"/>
        <v>0</v>
      </c>
      <c r="J5" s="22" t="s">
        <v>1047</v>
      </c>
      <c r="K5" s="22" t="s">
        <v>21</v>
      </c>
      <c r="L5" s="22" t="s">
        <v>1048</v>
      </c>
      <c r="M5" s="22" t="s">
        <v>126</v>
      </c>
      <c r="N5" s="22"/>
      <c r="O5" s="22"/>
      <c r="P5" s="22"/>
      <c r="Q5" s="22">
        <v>1</v>
      </c>
    </row>
    <row r="6" spans="1:18" x14ac:dyDescent="0.25">
      <c r="A6" s="20"/>
      <c r="B6" s="20" t="s">
        <v>17</v>
      </c>
      <c r="C6" s="20" t="s">
        <v>1055</v>
      </c>
      <c r="D6" s="20" t="s">
        <v>1056</v>
      </c>
      <c r="E6" s="20" t="s">
        <v>1057</v>
      </c>
      <c r="F6" s="21">
        <v>7</v>
      </c>
      <c r="G6" s="21">
        <v>900</v>
      </c>
      <c r="H6" s="21">
        <v>30</v>
      </c>
      <c r="I6" s="21">
        <f t="shared" si="0"/>
        <v>870</v>
      </c>
      <c r="J6" s="20" t="s">
        <v>1047</v>
      </c>
      <c r="K6" s="20" t="s">
        <v>21</v>
      </c>
      <c r="L6" s="20" t="s">
        <v>1048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1058</v>
      </c>
      <c r="D7" s="20" t="s">
        <v>1059</v>
      </c>
      <c r="E7" s="20" t="s">
        <v>1060</v>
      </c>
      <c r="F7" s="20" t="s">
        <v>26</v>
      </c>
      <c r="G7" s="21">
        <v>1570</v>
      </c>
      <c r="H7" s="21">
        <v>35</v>
      </c>
      <c r="I7" s="21">
        <f t="shared" si="0"/>
        <v>1535</v>
      </c>
      <c r="J7" s="20" t="s">
        <v>1047</v>
      </c>
      <c r="K7" s="20" t="s">
        <v>21</v>
      </c>
      <c r="L7" s="20" t="s">
        <v>1048</v>
      </c>
      <c r="M7" s="25" t="s">
        <v>1061</v>
      </c>
      <c r="N7" s="20"/>
      <c r="O7" s="20"/>
      <c r="P7" s="20"/>
      <c r="Q7" s="20">
        <v>1</v>
      </c>
      <c r="R7" s="15">
        <f>H7</f>
        <v>35</v>
      </c>
    </row>
    <row r="8" spans="1:18" x14ac:dyDescent="0.25">
      <c r="A8" s="20"/>
      <c r="B8" s="20" t="s">
        <v>17</v>
      </c>
      <c r="C8" s="20" t="s">
        <v>1062</v>
      </c>
      <c r="D8" s="20" t="s">
        <v>1063</v>
      </c>
      <c r="E8" s="20" t="s">
        <v>1064</v>
      </c>
      <c r="F8" s="20" t="s">
        <v>26</v>
      </c>
      <c r="G8" s="21">
        <v>3930</v>
      </c>
      <c r="H8" s="21">
        <v>40</v>
      </c>
      <c r="I8" s="21">
        <f t="shared" si="0"/>
        <v>3890</v>
      </c>
      <c r="J8" s="20" t="s">
        <v>1047</v>
      </c>
      <c r="K8" s="20" t="s">
        <v>21</v>
      </c>
      <c r="L8" s="20" t="s">
        <v>1048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1065</v>
      </c>
      <c r="D9" s="20" t="s">
        <v>1066</v>
      </c>
      <c r="E9" s="20" t="s">
        <v>1067</v>
      </c>
      <c r="F9" s="20" t="s">
        <v>26</v>
      </c>
      <c r="G9" s="21">
        <v>0</v>
      </c>
      <c r="H9" s="21">
        <v>30</v>
      </c>
      <c r="I9" s="21">
        <f t="shared" si="0"/>
        <v>-30</v>
      </c>
      <c r="J9" s="20" t="s">
        <v>1047</v>
      </c>
      <c r="K9" s="20" t="s">
        <v>21</v>
      </c>
      <c r="L9" s="20" t="s">
        <v>1048</v>
      </c>
      <c r="M9" s="20"/>
      <c r="N9" s="20"/>
      <c r="O9" s="20"/>
      <c r="P9" s="20"/>
      <c r="Q9" s="20">
        <v>1</v>
      </c>
      <c r="R9" s="15">
        <f>H9</f>
        <v>30</v>
      </c>
    </row>
    <row r="10" spans="1:18" x14ac:dyDescent="0.25">
      <c r="A10" s="20"/>
      <c r="B10" s="20" t="s">
        <v>17</v>
      </c>
      <c r="C10" s="20" t="s">
        <v>1068</v>
      </c>
      <c r="D10" s="20" t="s">
        <v>1069</v>
      </c>
      <c r="E10" s="20" t="s">
        <v>744</v>
      </c>
      <c r="F10" s="20" t="s">
        <v>26</v>
      </c>
      <c r="G10" s="21">
        <v>0</v>
      </c>
      <c r="H10" s="21">
        <v>30</v>
      </c>
      <c r="I10" s="21">
        <f t="shared" si="0"/>
        <v>-30</v>
      </c>
      <c r="J10" s="20" t="s">
        <v>1047</v>
      </c>
      <c r="K10" s="20" t="s">
        <v>21</v>
      </c>
      <c r="L10" s="20" t="s">
        <v>1048</v>
      </c>
      <c r="M10" s="20"/>
      <c r="N10" s="20"/>
      <c r="O10" s="20"/>
      <c r="P10" s="20"/>
      <c r="Q10" s="20">
        <v>1</v>
      </c>
      <c r="R10" s="15">
        <f>H10</f>
        <v>30</v>
      </c>
    </row>
    <row r="11" spans="1:18" x14ac:dyDescent="0.25">
      <c r="A11" s="20"/>
      <c r="B11" s="20" t="s">
        <v>17</v>
      </c>
      <c r="C11" s="20" t="s">
        <v>637</v>
      </c>
      <c r="D11" s="20" t="s">
        <v>1070</v>
      </c>
      <c r="E11" s="20" t="s">
        <v>639</v>
      </c>
      <c r="F11" s="21">
        <v>9</v>
      </c>
      <c r="G11" s="21">
        <v>880</v>
      </c>
      <c r="H11" s="21">
        <v>30</v>
      </c>
      <c r="I11" s="21">
        <f t="shared" si="0"/>
        <v>850</v>
      </c>
      <c r="J11" s="20" t="s">
        <v>1047</v>
      </c>
      <c r="K11" s="20" t="s">
        <v>21</v>
      </c>
      <c r="L11" s="20" t="s">
        <v>1048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1071</v>
      </c>
      <c r="D12" s="20" t="s">
        <v>1072</v>
      </c>
      <c r="E12" s="20" t="s">
        <v>1073</v>
      </c>
      <c r="F12" s="20" t="s">
        <v>46</v>
      </c>
      <c r="G12" s="21">
        <v>875</v>
      </c>
      <c r="H12" s="21">
        <v>25</v>
      </c>
      <c r="I12" s="21">
        <f t="shared" si="0"/>
        <v>850</v>
      </c>
      <c r="J12" s="20" t="s">
        <v>1047</v>
      </c>
      <c r="K12" s="20" t="s">
        <v>21</v>
      </c>
      <c r="L12" s="20" t="s">
        <v>1048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17</v>
      </c>
      <c r="C13" s="20" t="s">
        <v>1074</v>
      </c>
      <c r="D13" s="20" t="s">
        <v>1075</v>
      </c>
      <c r="E13" s="20" t="s">
        <v>1076</v>
      </c>
      <c r="F13" s="21">
        <v>7</v>
      </c>
      <c r="G13" s="21">
        <v>0</v>
      </c>
      <c r="H13" s="21">
        <v>30</v>
      </c>
      <c r="I13" s="21">
        <f t="shared" si="0"/>
        <v>-30</v>
      </c>
      <c r="J13" s="20" t="s">
        <v>1047</v>
      </c>
      <c r="K13" s="20" t="s">
        <v>21</v>
      </c>
      <c r="L13" s="20" t="s">
        <v>1048</v>
      </c>
      <c r="M13" s="20"/>
      <c r="N13" s="20"/>
      <c r="O13" s="20"/>
      <c r="P13" s="20"/>
      <c r="Q13" s="20">
        <v>1</v>
      </c>
      <c r="R13" s="15">
        <f>H13</f>
        <v>30</v>
      </c>
    </row>
    <row r="14" spans="1:18" x14ac:dyDescent="0.25">
      <c r="A14" s="20"/>
      <c r="B14" s="20" t="s">
        <v>17</v>
      </c>
      <c r="C14" s="20" t="s">
        <v>1058</v>
      </c>
      <c r="D14" s="20" t="s">
        <v>1077</v>
      </c>
      <c r="E14" s="20" t="s">
        <v>1078</v>
      </c>
      <c r="F14" s="20" t="s">
        <v>26</v>
      </c>
      <c r="G14" s="21">
        <v>780</v>
      </c>
      <c r="H14" s="21">
        <v>0</v>
      </c>
      <c r="I14" s="21">
        <f t="shared" si="0"/>
        <v>780</v>
      </c>
      <c r="J14" s="20" t="s">
        <v>1047</v>
      </c>
      <c r="K14" s="20" t="s">
        <v>21</v>
      </c>
      <c r="L14" s="20" t="s">
        <v>1048</v>
      </c>
      <c r="M14" s="25" t="s">
        <v>377</v>
      </c>
      <c r="N14" s="20"/>
      <c r="O14" s="20"/>
      <c r="P14" s="20"/>
      <c r="Q14" s="20">
        <v>1</v>
      </c>
    </row>
    <row r="15" spans="1:18" x14ac:dyDescent="0.25">
      <c r="A15" s="20" t="s">
        <v>16</v>
      </c>
      <c r="B15" s="20" t="s">
        <v>17</v>
      </c>
      <c r="C15" s="20" t="s">
        <v>1079</v>
      </c>
      <c r="D15" s="20"/>
      <c r="E15" s="20" t="s">
        <v>1080</v>
      </c>
      <c r="F15" s="20" t="s">
        <v>26</v>
      </c>
      <c r="G15" s="21">
        <v>50</v>
      </c>
      <c r="H15" s="21">
        <v>50</v>
      </c>
      <c r="I15" s="21">
        <f t="shared" si="0"/>
        <v>0</v>
      </c>
      <c r="J15" s="20" t="s">
        <v>1047</v>
      </c>
      <c r="K15" s="20" t="s">
        <v>21</v>
      </c>
      <c r="L15" s="20" t="s">
        <v>1048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1081</v>
      </c>
      <c r="D16" s="20" t="s">
        <v>1082</v>
      </c>
      <c r="E16" s="20" t="s">
        <v>1083</v>
      </c>
      <c r="F16" s="20" t="s">
        <v>77</v>
      </c>
      <c r="G16" s="21">
        <v>875</v>
      </c>
      <c r="H16" s="21">
        <v>25</v>
      </c>
      <c r="I16" s="21">
        <f t="shared" si="0"/>
        <v>850</v>
      </c>
      <c r="J16" s="20" t="s">
        <v>21</v>
      </c>
      <c r="K16" s="20" t="s">
        <v>21</v>
      </c>
      <c r="L16" s="20" t="s">
        <v>1048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1084</v>
      </c>
      <c r="D17" s="20" t="s">
        <v>1085</v>
      </c>
      <c r="E17" s="20" t="s">
        <v>1086</v>
      </c>
      <c r="F17" s="20" t="s">
        <v>81</v>
      </c>
      <c r="G17" s="21">
        <v>0</v>
      </c>
      <c r="H17" s="21">
        <v>30</v>
      </c>
      <c r="I17" s="21">
        <f t="shared" si="0"/>
        <v>-30</v>
      </c>
      <c r="J17" s="20" t="s">
        <v>21</v>
      </c>
      <c r="K17" s="20" t="s">
        <v>21</v>
      </c>
      <c r="L17" s="20" t="s">
        <v>1048</v>
      </c>
      <c r="M17" s="20"/>
      <c r="N17" s="20"/>
      <c r="O17" s="20"/>
      <c r="P17" s="20"/>
      <c r="Q17" s="20">
        <v>1</v>
      </c>
      <c r="R17" s="15">
        <f>H17</f>
        <v>30</v>
      </c>
    </row>
    <row r="18" spans="1:18" x14ac:dyDescent="0.25">
      <c r="A18" s="20"/>
      <c r="B18" s="20" t="s">
        <v>17</v>
      </c>
      <c r="C18" s="20" t="s">
        <v>1087</v>
      </c>
      <c r="D18" s="20" t="s">
        <v>1088</v>
      </c>
      <c r="E18" s="20" t="s">
        <v>1089</v>
      </c>
      <c r="F18" s="21">
        <v>2</v>
      </c>
      <c r="G18" s="21">
        <v>920</v>
      </c>
      <c r="H18" s="21">
        <v>30</v>
      </c>
      <c r="I18" s="21">
        <f t="shared" si="0"/>
        <v>890</v>
      </c>
      <c r="J18" s="20" t="s">
        <v>21</v>
      </c>
      <c r="K18" s="20" t="s">
        <v>21</v>
      </c>
      <c r="L18" s="20" t="s">
        <v>1048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120</v>
      </c>
      <c r="D19" s="20" t="s">
        <v>1090</v>
      </c>
      <c r="E19" s="20" t="s">
        <v>122</v>
      </c>
      <c r="F19" s="20" t="s">
        <v>85</v>
      </c>
      <c r="G19" s="21">
        <v>870</v>
      </c>
      <c r="H19" s="21">
        <v>20</v>
      </c>
      <c r="I19" s="21">
        <f t="shared" si="0"/>
        <v>850</v>
      </c>
      <c r="J19" s="20" t="s">
        <v>21</v>
      </c>
      <c r="K19" s="20" t="s">
        <v>21</v>
      </c>
      <c r="L19" s="20" t="s">
        <v>1048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17</v>
      </c>
      <c r="C20" s="20" t="s">
        <v>1091</v>
      </c>
      <c r="D20" s="20" t="s">
        <v>1092</v>
      </c>
      <c r="E20" s="20" t="s">
        <v>1093</v>
      </c>
      <c r="F20" s="20" t="s">
        <v>85</v>
      </c>
      <c r="G20" s="21">
        <v>20</v>
      </c>
      <c r="H20" s="21">
        <v>20</v>
      </c>
      <c r="I20" s="21">
        <f t="shared" si="0"/>
        <v>0</v>
      </c>
      <c r="J20" s="20" t="s">
        <v>21</v>
      </c>
      <c r="K20" s="20" t="s">
        <v>21</v>
      </c>
      <c r="L20" s="20" t="s">
        <v>1048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17</v>
      </c>
      <c r="C21" s="20" t="s">
        <v>1094</v>
      </c>
      <c r="D21" s="20" t="s">
        <v>1095</v>
      </c>
      <c r="E21" s="20" t="s">
        <v>1096</v>
      </c>
      <c r="F21" s="20" t="s">
        <v>77</v>
      </c>
      <c r="G21" s="21">
        <v>0</v>
      </c>
      <c r="H21" s="21">
        <v>25</v>
      </c>
      <c r="I21" s="21">
        <f t="shared" si="0"/>
        <v>-25</v>
      </c>
      <c r="J21" s="20" t="s">
        <v>21</v>
      </c>
      <c r="K21" s="20" t="s">
        <v>21</v>
      </c>
      <c r="L21" s="20" t="s">
        <v>1048</v>
      </c>
      <c r="M21" s="20"/>
      <c r="N21" s="20"/>
      <c r="O21" s="20"/>
      <c r="P21" s="20"/>
      <c r="Q21" s="20">
        <v>1</v>
      </c>
      <c r="R21" s="15">
        <f>H21</f>
        <v>25</v>
      </c>
    </row>
    <row r="22" spans="1:18" x14ac:dyDescent="0.25">
      <c r="A22" s="20"/>
      <c r="B22" s="20" t="s">
        <v>17</v>
      </c>
      <c r="C22" s="20" t="s">
        <v>1097</v>
      </c>
      <c r="D22" s="20" t="s">
        <v>1098</v>
      </c>
      <c r="E22" s="20" t="s">
        <v>1099</v>
      </c>
      <c r="F22" s="20" t="s">
        <v>77</v>
      </c>
      <c r="G22" s="21">
        <v>875</v>
      </c>
      <c r="H22" s="21">
        <v>25</v>
      </c>
      <c r="I22" s="21">
        <f t="shared" si="0"/>
        <v>850</v>
      </c>
      <c r="J22" s="20" t="s">
        <v>21</v>
      </c>
      <c r="K22" s="20" t="s">
        <v>21</v>
      </c>
      <c r="L22" s="20" t="s">
        <v>1048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1100</v>
      </c>
      <c r="D23" s="20" t="s">
        <v>1101</v>
      </c>
      <c r="E23" s="20" t="s">
        <v>1102</v>
      </c>
      <c r="F23" s="20" t="s">
        <v>85</v>
      </c>
      <c r="G23" s="21">
        <v>0</v>
      </c>
      <c r="H23" s="21">
        <v>20</v>
      </c>
      <c r="I23" s="21">
        <f t="shared" si="0"/>
        <v>-20</v>
      </c>
      <c r="J23" s="20" t="s">
        <v>21</v>
      </c>
      <c r="K23" s="20" t="s">
        <v>21</v>
      </c>
      <c r="L23" s="20" t="s">
        <v>1048</v>
      </c>
      <c r="M23" s="20"/>
      <c r="N23" s="20"/>
      <c r="O23" s="20"/>
      <c r="P23" s="20"/>
      <c r="Q23" s="20">
        <v>1</v>
      </c>
      <c r="R23" s="15">
        <f>H23</f>
        <v>20</v>
      </c>
    </row>
    <row r="24" spans="1:18" x14ac:dyDescent="0.25">
      <c r="A24" s="20"/>
      <c r="B24" s="20" t="s">
        <v>17</v>
      </c>
      <c r="C24" s="20" t="s">
        <v>1103</v>
      </c>
      <c r="D24" s="20" t="s">
        <v>1104</v>
      </c>
      <c r="E24" s="20" t="s">
        <v>1105</v>
      </c>
      <c r="F24" s="20" t="s">
        <v>85</v>
      </c>
      <c r="G24" s="21">
        <v>840</v>
      </c>
      <c r="H24" s="21">
        <v>20</v>
      </c>
      <c r="I24" s="21">
        <f t="shared" si="0"/>
        <v>820</v>
      </c>
      <c r="J24" s="20" t="s">
        <v>21</v>
      </c>
      <c r="K24" s="20" t="s">
        <v>21</v>
      </c>
      <c r="L24" s="20" t="s">
        <v>1048</v>
      </c>
      <c r="M24" s="20"/>
      <c r="N24" s="20"/>
      <c r="O24" s="20"/>
      <c r="P24" s="20"/>
      <c r="Q24" s="20">
        <v>1</v>
      </c>
    </row>
    <row r="25" spans="1:18" x14ac:dyDescent="0.25">
      <c r="A25" s="20" t="s">
        <v>16</v>
      </c>
      <c r="B25" s="20" t="s">
        <v>17</v>
      </c>
      <c r="C25" s="20" t="s">
        <v>370</v>
      </c>
      <c r="D25" s="20"/>
      <c r="E25" s="20" t="s">
        <v>371</v>
      </c>
      <c r="F25" s="20" t="s">
        <v>77</v>
      </c>
      <c r="G25" s="21">
        <v>30</v>
      </c>
      <c r="H25" s="21">
        <v>30</v>
      </c>
      <c r="I25" s="21">
        <f t="shared" si="0"/>
        <v>0</v>
      </c>
      <c r="J25" s="20" t="s">
        <v>21</v>
      </c>
      <c r="K25" s="20" t="s">
        <v>21</v>
      </c>
      <c r="L25" s="20" t="s">
        <v>1048</v>
      </c>
      <c r="M25" s="20"/>
      <c r="N25" s="20"/>
      <c r="O25" s="20"/>
      <c r="P25" s="20"/>
      <c r="Q25" s="20">
        <v>1</v>
      </c>
    </row>
    <row r="26" spans="1:18" x14ac:dyDescent="0.25">
      <c r="A26" s="20" t="s">
        <v>16</v>
      </c>
      <c r="B26" s="20" t="s">
        <v>17</v>
      </c>
      <c r="C26" s="20" t="s">
        <v>129</v>
      </c>
      <c r="D26" s="20"/>
      <c r="E26" s="20" t="s">
        <v>1106</v>
      </c>
      <c r="F26" s="20" t="s">
        <v>77</v>
      </c>
      <c r="G26" s="21">
        <v>3955</v>
      </c>
      <c r="H26" s="21">
        <v>35</v>
      </c>
      <c r="I26" s="21">
        <f t="shared" si="0"/>
        <v>3920</v>
      </c>
      <c r="J26" s="20" t="s">
        <v>21</v>
      </c>
      <c r="K26" s="20" t="s">
        <v>21</v>
      </c>
      <c r="L26" s="20" t="s">
        <v>1048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17</v>
      </c>
      <c r="C27" s="20" t="s">
        <v>1107</v>
      </c>
      <c r="D27" s="20" t="s">
        <v>1108</v>
      </c>
      <c r="E27" s="20" t="s">
        <v>1109</v>
      </c>
      <c r="F27" s="20" t="s">
        <v>77</v>
      </c>
      <c r="G27" s="21">
        <v>815</v>
      </c>
      <c r="H27" s="21">
        <v>25</v>
      </c>
      <c r="I27" s="21">
        <f t="shared" si="0"/>
        <v>790</v>
      </c>
      <c r="J27" s="20" t="s">
        <v>135</v>
      </c>
      <c r="K27" s="20" t="s">
        <v>21</v>
      </c>
      <c r="L27" s="20" t="s">
        <v>1048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17</v>
      </c>
      <c r="C28" s="20" t="s">
        <v>1110</v>
      </c>
      <c r="D28" s="20" t="s">
        <v>1111</v>
      </c>
      <c r="E28" s="20" t="s">
        <v>1112</v>
      </c>
      <c r="F28" s="21">
        <v>4</v>
      </c>
      <c r="G28" s="21">
        <v>765</v>
      </c>
      <c r="H28" s="21">
        <v>25</v>
      </c>
      <c r="I28" s="21">
        <f t="shared" si="0"/>
        <v>740</v>
      </c>
      <c r="J28" s="20" t="s">
        <v>135</v>
      </c>
      <c r="K28" s="20" t="s">
        <v>21</v>
      </c>
      <c r="L28" s="20" t="s">
        <v>1048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17</v>
      </c>
      <c r="C29" s="20" t="s">
        <v>1113</v>
      </c>
      <c r="D29" s="20" t="s">
        <v>1114</v>
      </c>
      <c r="E29" s="20" t="s">
        <v>1115</v>
      </c>
      <c r="F29" s="20" t="s">
        <v>95</v>
      </c>
      <c r="G29" s="21">
        <v>25</v>
      </c>
      <c r="H29" s="21">
        <v>25</v>
      </c>
      <c r="I29" s="21">
        <f t="shared" si="0"/>
        <v>0</v>
      </c>
      <c r="J29" s="20" t="s">
        <v>135</v>
      </c>
      <c r="K29" s="20" t="s">
        <v>21</v>
      </c>
      <c r="L29" s="20" t="s">
        <v>1048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17</v>
      </c>
      <c r="C30" s="20" t="s">
        <v>1116</v>
      </c>
      <c r="D30" s="20" t="s">
        <v>1117</v>
      </c>
      <c r="E30" s="20" t="s">
        <v>1118</v>
      </c>
      <c r="F30" s="21">
        <v>10</v>
      </c>
      <c r="G30" s="21">
        <v>725</v>
      </c>
      <c r="H30" s="21">
        <v>25</v>
      </c>
      <c r="I30" s="21">
        <f t="shared" si="0"/>
        <v>700</v>
      </c>
      <c r="J30" s="20" t="s">
        <v>135</v>
      </c>
      <c r="K30" s="20" t="s">
        <v>21</v>
      </c>
      <c r="L30" s="20" t="s">
        <v>1048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17</v>
      </c>
      <c r="C31" s="20" t="s">
        <v>1119</v>
      </c>
      <c r="D31" s="20" t="s">
        <v>1120</v>
      </c>
      <c r="E31" s="20" t="s">
        <v>1121</v>
      </c>
      <c r="F31" s="21">
        <v>3</v>
      </c>
      <c r="G31" s="21">
        <v>765</v>
      </c>
      <c r="H31" s="21">
        <v>25</v>
      </c>
      <c r="I31" s="21">
        <f t="shared" si="0"/>
        <v>740</v>
      </c>
      <c r="J31" s="20" t="s">
        <v>135</v>
      </c>
      <c r="K31" s="20" t="s">
        <v>21</v>
      </c>
      <c r="L31" s="20" t="s">
        <v>1048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1122</v>
      </c>
      <c r="D32" s="20" t="s">
        <v>1123</v>
      </c>
      <c r="E32" s="20" t="s">
        <v>1124</v>
      </c>
      <c r="F32" s="21">
        <v>5</v>
      </c>
      <c r="G32" s="21">
        <v>1115</v>
      </c>
      <c r="H32" s="21">
        <v>25</v>
      </c>
      <c r="I32" s="21">
        <f t="shared" si="0"/>
        <v>1090</v>
      </c>
      <c r="J32" s="20" t="s">
        <v>135</v>
      </c>
      <c r="K32" s="20" t="s">
        <v>21</v>
      </c>
      <c r="L32" s="20" t="s">
        <v>1048</v>
      </c>
      <c r="M32" s="20"/>
      <c r="N32" s="20"/>
      <c r="O32" s="20"/>
      <c r="P32" s="20"/>
      <c r="Q32" s="20">
        <v>1</v>
      </c>
    </row>
    <row r="33" spans="1:17" x14ac:dyDescent="0.25">
      <c r="A33" s="20"/>
      <c r="B33" s="20" t="s">
        <v>17</v>
      </c>
      <c r="C33" s="20" t="s">
        <v>943</v>
      </c>
      <c r="D33" s="20" t="s">
        <v>1125</v>
      </c>
      <c r="E33" s="20" t="s">
        <v>1126</v>
      </c>
      <c r="F33" s="20" t="s">
        <v>95</v>
      </c>
      <c r="G33" s="21">
        <v>815</v>
      </c>
      <c r="H33" s="21">
        <v>25</v>
      </c>
      <c r="I33" s="21">
        <f t="shared" si="0"/>
        <v>790</v>
      </c>
      <c r="J33" s="20" t="s">
        <v>135</v>
      </c>
      <c r="K33" s="20" t="s">
        <v>21</v>
      </c>
      <c r="L33" s="20" t="s">
        <v>1048</v>
      </c>
      <c r="M33" s="20"/>
      <c r="N33" s="20"/>
      <c r="O33" s="20"/>
      <c r="P33" s="20"/>
      <c r="Q33" s="20">
        <v>1</v>
      </c>
    </row>
    <row r="34" spans="1:17" s="24" customFormat="1" x14ac:dyDescent="0.25">
      <c r="A34" s="22"/>
      <c r="B34" s="22" t="s">
        <v>17</v>
      </c>
      <c r="C34" s="22" t="s">
        <v>1038</v>
      </c>
      <c r="D34" s="22" t="s">
        <v>1127</v>
      </c>
      <c r="E34" s="22" t="s">
        <v>1040</v>
      </c>
      <c r="F34" s="23">
        <v>4</v>
      </c>
      <c r="G34" s="23">
        <v>45</v>
      </c>
      <c r="H34" s="23">
        <v>25</v>
      </c>
      <c r="I34" s="23">
        <f t="shared" si="0"/>
        <v>20</v>
      </c>
      <c r="J34" s="22" t="s">
        <v>135</v>
      </c>
      <c r="K34" s="22" t="s">
        <v>21</v>
      </c>
      <c r="L34" s="22" t="s">
        <v>1048</v>
      </c>
      <c r="M34" s="22" t="s">
        <v>126</v>
      </c>
      <c r="N34" s="22"/>
      <c r="O34" s="22"/>
      <c r="P34" s="22"/>
      <c r="Q34" s="22">
        <v>1</v>
      </c>
    </row>
    <row r="35" spans="1:17" x14ac:dyDescent="0.25">
      <c r="A35" s="20"/>
      <c r="B35" s="20" t="s">
        <v>17</v>
      </c>
      <c r="C35" s="20" t="s">
        <v>1128</v>
      </c>
      <c r="D35" s="20" t="s">
        <v>1129</v>
      </c>
      <c r="E35" s="20" t="s">
        <v>1130</v>
      </c>
      <c r="F35" s="21">
        <v>1</v>
      </c>
      <c r="G35" s="21">
        <v>765</v>
      </c>
      <c r="H35" s="21">
        <v>25</v>
      </c>
      <c r="I35" s="21">
        <f t="shared" si="0"/>
        <v>740</v>
      </c>
      <c r="J35" s="20" t="s">
        <v>135</v>
      </c>
      <c r="K35" s="20" t="s">
        <v>21</v>
      </c>
      <c r="L35" s="20" t="s">
        <v>1048</v>
      </c>
      <c r="M35" s="20"/>
      <c r="N35" s="20"/>
      <c r="O35" s="20"/>
      <c r="P35" s="20"/>
      <c r="Q35" s="20">
        <v>1</v>
      </c>
    </row>
    <row r="37" spans="1:17" x14ac:dyDescent="0.25">
      <c r="D37" s="6">
        <f>COUNTA(D3:D35)</f>
        <v>30</v>
      </c>
      <c r="G37" s="6">
        <f t="shared" ref="G37:Q37" si="1">SUBTOTAL(9,G3:G35)</f>
        <v>25065</v>
      </c>
      <c r="H37" s="6">
        <f t="shared" si="1"/>
        <v>895</v>
      </c>
      <c r="I37" s="6">
        <f t="shared" si="1"/>
        <v>24170</v>
      </c>
      <c r="J37" s="6">
        <f t="shared" si="1"/>
        <v>0</v>
      </c>
      <c r="K37" s="6">
        <f t="shared" si="1"/>
        <v>0</v>
      </c>
      <c r="L37" s="6">
        <f t="shared" si="1"/>
        <v>0</v>
      </c>
      <c r="M37" s="6">
        <f t="shared" si="1"/>
        <v>0</v>
      </c>
      <c r="N37" s="6">
        <f t="shared" si="1"/>
        <v>0</v>
      </c>
      <c r="O37" s="6">
        <f t="shared" si="1"/>
        <v>0</v>
      </c>
      <c r="P37" s="6">
        <f t="shared" si="1"/>
        <v>0</v>
      </c>
      <c r="Q37" s="6">
        <f t="shared" si="1"/>
        <v>33</v>
      </c>
    </row>
    <row r="38" spans="1:17" x14ac:dyDescent="0.25">
      <c r="H38">
        <f>-5*17</f>
        <v>-85</v>
      </c>
    </row>
    <row r="39" spans="1:17" x14ac:dyDescent="0.25">
      <c r="A39" s="6" t="s">
        <v>17</v>
      </c>
      <c r="C39" s="5" t="s">
        <v>191</v>
      </c>
      <c r="D39" s="5"/>
      <c r="E39" s="9" t="s">
        <v>192</v>
      </c>
      <c r="H39">
        <f>-7*25</f>
        <v>-175</v>
      </c>
      <c r="K39" s="16" t="s">
        <v>135</v>
      </c>
      <c r="L39" s="16" t="s">
        <v>193</v>
      </c>
      <c r="M39" s="16" t="s">
        <v>192</v>
      </c>
      <c r="O39" s="9" t="s">
        <v>194</v>
      </c>
    </row>
    <row r="40" spans="1:17" x14ac:dyDescent="0.25">
      <c r="A40" t="s">
        <v>1048</v>
      </c>
      <c r="B40" s="8" t="s">
        <v>195</v>
      </c>
      <c r="C40" s="4">
        <f>SUMIFS(I$3:I$35,B$3:B$35,A$39,L$3:L$35,A$40)</f>
        <v>24170</v>
      </c>
      <c r="D40" s="4"/>
      <c r="E40" s="8">
        <f>SUMIFS(Q$3:Q$35,B$3:B$35,A$39,L$3:L$35,A$40)</f>
        <v>33</v>
      </c>
      <c r="F40" t="s">
        <v>196</v>
      </c>
      <c r="H40">
        <f>-1*30</f>
        <v>-30</v>
      </c>
      <c r="K40" t="s">
        <v>197</v>
      </c>
      <c r="L40">
        <f>SUMIFS(G$3:G$35,J$3:J$35,K$39)</f>
        <v>5835</v>
      </c>
      <c r="M40">
        <f>SUMIFS(Q$3:Q$35,J$3:J$35,K$39)-INT(COUNTIFS(J$3:J$35,K$39,M$3:M$35,"*gộp*")/2)</f>
        <v>9</v>
      </c>
      <c r="O40" t="s">
        <v>135</v>
      </c>
      <c r="P40">
        <f>L45</f>
        <v>5655</v>
      </c>
    </row>
    <row r="41" spans="1:17" x14ac:dyDescent="0.25">
      <c r="B41" s="7" t="s">
        <v>199</v>
      </c>
      <c r="C41" s="3">
        <v>0</v>
      </c>
      <c r="D41" s="3"/>
      <c r="K41" t="s">
        <v>200</v>
      </c>
      <c r="L41">
        <f>-SUMIFS(H$3:H$35,J$3:J$35,K$39)+M41*5</f>
        <v>-180</v>
      </c>
      <c r="M41">
        <f>SUMIFS(Q$3:Q$35,J$3:J$35,K$39)-INT(COUNTIFS(J$3:J$35,K$39,M$3:M$35,"*gộp*")/2)</f>
        <v>9</v>
      </c>
      <c r="O41" t="s">
        <v>1131</v>
      </c>
      <c r="P41">
        <f>L53</f>
        <v>10555</v>
      </c>
    </row>
    <row r="42" spans="1:17" x14ac:dyDescent="0.25">
      <c r="B42" s="7" t="s">
        <v>201</v>
      </c>
      <c r="C42" s="3">
        <f>-SUMIFS(I$3:I$35,B$3:B$35,A$39,P$3:P$35,"xx",N$3:N$35,"x")</f>
        <v>0</v>
      </c>
      <c r="D42" s="3"/>
      <c r="E42" s="7">
        <f>SUMIFS(Q$3:Q$35,B$3:B$35,A$39,P$3:P$35,"xx",N$3:N$35,"x")</f>
        <v>0</v>
      </c>
      <c r="K42" t="s">
        <v>202</v>
      </c>
      <c r="O42" t="s">
        <v>21</v>
      </c>
      <c r="P42">
        <f>L61</f>
        <v>8096</v>
      </c>
    </row>
    <row r="43" spans="1:17" x14ac:dyDescent="0.25">
      <c r="B43" s="9" t="s">
        <v>203</v>
      </c>
      <c r="C43" s="5">
        <f>SUBTOTAL(9,C40:C42)</f>
        <v>24170</v>
      </c>
      <c r="D43" s="5"/>
      <c r="E43">
        <f>E40</f>
        <v>33</v>
      </c>
      <c r="K43" s="7" t="s">
        <v>204</v>
      </c>
      <c r="O43" t="s">
        <v>207</v>
      </c>
      <c r="P43">
        <f>-C47</f>
        <v>-24170</v>
      </c>
    </row>
    <row r="44" spans="1:17" x14ac:dyDescent="0.25">
      <c r="B44" s="7" t="s">
        <v>205</v>
      </c>
      <c r="C44" s="2"/>
      <c r="D44" s="2"/>
      <c r="K44" s="7" t="s">
        <v>206</v>
      </c>
      <c r="O44" s="9" t="s">
        <v>209</v>
      </c>
      <c r="P44" s="9">
        <f>SUBTOTAL(9,P40:P43)</f>
        <v>136</v>
      </c>
    </row>
    <row r="45" spans="1:17" x14ac:dyDescent="0.25">
      <c r="B45" s="17" t="s">
        <v>208</v>
      </c>
      <c r="C45" s="2"/>
      <c r="D45" s="2"/>
      <c r="L45" s="18">
        <f>SUBTOTAL(9,L40:L44)</f>
        <v>5655</v>
      </c>
      <c r="M45" s="18">
        <f>M40</f>
        <v>9</v>
      </c>
    </row>
    <row r="47" spans="1:17" x14ac:dyDescent="0.25">
      <c r="B47" s="6" t="s">
        <v>210</v>
      </c>
      <c r="C47" s="1">
        <f>C43+C44+C45</f>
        <v>24170</v>
      </c>
      <c r="D47" s="1"/>
      <c r="E47" s="6" t="s">
        <v>211</v>
      </c>
      <c r="K47" s="16" t="s">
        <v>1047</v>
      </c>
      <c r="L47" s="16" t="s">
        <v>193</v>
      </c>
      <c r="M47" s="16" t="s">
        <v>192</v>
      </c>
    </row>
    <row r="48" spans="1:17" x14ac:dyDescent="0.25">
      <c r="K48" t="s">
        <v>197</v>
      </c>
      <c r="L48">
        <f>SUMIFS(G$3:G$35,J$3:J$35,K$47)</f>
        <v>10845</v>
      </c>
      <c r="M48">
        <f>SUMIFS(Q$3:Q$35,J$3:J$35,K$47)-INT(COUNTIFS(J$3:J$35,K$47,M$3:M$35,"*gộp*")/2)</f>
        <v>12</v>
      </c>
    </row>
    <row r="49" spans="11:13" x14ac:dyDescent="0.25">
      <c r="K49" t="s">
        <v>200</v>
      </c>
      <c r="L49">
        <f>SUM(H38:H40)</f>
        <v>-290</v>
      </c>
      <c r="M49">
        <f>SUMIFS(Q$3:Q$35,J$3:J$35,K$47)-INT(COUNTIFS(J$3:J$35,K$47,M$3:M$35,"*gộp*")/2)</f>
        <v>12</v>
      </c>
    </row>
    <row r="50" spans="11:13" x14ac:dyDescent="0.25">
      <c r="K50" t="s">
        <v>202</v>
      </c>
    </row>
    <row r="51" spans="11:13" x14ac:dyDescent="0.25">
      <c r="K51" s="7" t="s">
        <v>204</v>
      </c>
    </row>
    <row r="52" spans="11:13" x14ac:dyDescent="0.25">
      <c r="K52" s="7" t="s">
        <v>206</v>
      </c>
    </row>
    <row r="53" spans="11:13" x14ac:dyDescent="0.25">
      <c r="L53" s="18">
        <f>SUBTOTAL(9,L48:L52)</f>
        <v>10555</v>
      </c>
      <c r="M53" s="18">
        <f>M48</f>
        <v>12</v>
      </c>
    </row>
    <row r="55" spans="11:13" x14ac:dyDescent="0.25">
      <c r="K55" s="16" t="s">
        <v>21</v>
      </c>
      <c r="L55" s="16" t="s">
        <v>193</v>
      </c>
      <c r="M55" s="16" t="s">
        <v>192</v>
      </c>
    </row>
    <row r="56" spans="11:13" x14ac:dyDescent="0.25">
      <c r="K56" t="s">
        <v>197</v>
      </c>
      <c r="L56">
        <f>SUMIFS(G$3:G$35,J$3:J$35,K$55)</f>
        <v>8385</v>
      </c>
      <c r="M56">
        <f>SUMIFS(Q$3:Q$35,J$3:J$35,K$55)-INT(COUNTIFS(J$3:J$35,K$55,M$3:M$35,"*gộp*")/2)</f>
        <v>11</v>
      </c>
    </row>
    <row r="57" spans="11:13" x14ac:dyDescent="0.25">
      <c r="K57" t="s">
        <v>200</v>
      </c>
      <c r="L57">
        <f>-SUMIFS(H$3:H$35,J$3:J$35,K$55)+M57*5</f>
        <v>-225</v>
      </c>
      <c r="M57">
        <f>SUMIFS(Q$3:Q$35,J$3:J$35,K$55)-INT(COUNTIFS(J$3:J$35,K$55,M$3:M$35,"*gộp*")/2)</f>
        <v>11</v>
      </c>
    </row>
    <row r="58" spans="11:13" x14ac:dyDescent="0.25">
      <c r="K58" t="s">
        <v>202</v>
      </c>
      <c r="L58">
        <f>-M58*2</f>
        <v>-64</v>
      </c>
      <c r="M58">
        <f>E43-(COUNTIFS(M$3:M$35,"*gộp*")/2)-COUNTIFS(M$3:M$35,"*đơn trả*")-COUNTIFS(M$3:M$35,"*hàng tỉnh*")</f>
        <v>32</v>
      </c>
    </row>
    <row r="59" spans="11:13" x14ac:dyDescent="0.25">
      <c r="K59" s="7" t="s">
        <v>204</v>
      </c>
    </row>
    <row r="60" spans="11:13" x14ac:dyDescent="0.25">
      <c r="K60" s="7" t="s">
        <v>206</v>
      </c>
    </row>
    <row r="61" spans="11:13" x14ac:dyDescent="0.25">
      <c r="L61" s="18">
        <f>SUBTOTAL(9,L56:L60)</f>
        <v>8096</v>
      </c>
      <c r="M61" s="18">
        <f>M56</f>
        <v>11</v>
      </c>
    </row>
  </sheetData>
  <autoFilter ref="A2:P35" xr:uid="{00000000-0009-0000-0000-000009000000}">
    <sortState xmlns:xlrd2="http://schemas.microsoft.com/office/spreadsheetml/2017/richdata2" ref="A3:P35">
      <sortCondition ref="J2:J35"/>
    </sortState>
  </autoFilter>
  <mergeCells count="8">
    <mergeCell ref="C44:D44"/>
    <mergeCell ref="C45:D45"/>
    <mergeCell ref="C47:D47"/>
    <mergeCell ref="C39:D39"/>
    <mergeCell ref="C40:D40"/>
    <mergeCell ref="C41:D41"/>
    <mergeCell ref="C42:D42"/>
    <mergeCell ref="C43:D43"/>
  </mergeCells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R73"/>
  <sheetViews>
    <sheetView topLeftCell="A40" workbookViewId="0">
      <selection activeCell="P47" sqref="P47"/>
    </sheetView>
  </sheetViews>
  <sheetFormatPr defaultRowHeight="15" x14ac:dyDescent="0.25"/>
  <cols>
    <col min="1" max="1" width="12.7109375" customWidth="1"/>
    <col min="2" max="2" width="17.7109375" customWidth="1"/>
    <col min="3" max="3" width="31.140625" bestFit="1" customWidth="1"/>
    <col min="4" max="4" width="9.5703125" bestFit="1" customWidth="1"/>
    <col min="5" max="5" width="78" bestFit="1" customWidth="1"/>
    <col min="6" max="6" width="10.5703125" bestFit="1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28515625" bestFit="1" customWidth="1"/>
    <col min="13" max="13" width="14.7109375" bestFit="1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37" t="s">
        <v>15</v>
      </c>
    </row>
    <row r="3" spans="1:18" x14ac:dyDescent="0.25">
      <c r="A3" s="20"/>
      <c r="B3" s="20" t="s">
        <v>17</v>
      </c>
      <c r="C3" s="20" t="s">
        <v>1132</v>
      </c>
      <c r="D3" s="20" t="s">
        <v>1133</v>
      </c>
      <c r="E3" s="20" t="s">
        <v>1134</v>
      </c>
      <c r="F3" s="21">
        <v>9</v>
      </c>
      <c r="G3" s="21">
        <v>980</v>
      </c>
      <c r="H3" s="21">
        <v>30</v>
      </c>
      <c r="I3" s="21">
        <f t="shared" ref="I3:I39" si="0">G3-H3</f>
        <v>950</v>
      </c>
      <c r="J3" s="20" t="s">
        <v>20</v>
      </c>
      <c r="K3" s="20" t="s">
        <v>21</v>
      </c>
      <c r="L3" s="20" t="s">
        <v>1135</v>
      </c>
      <c r="M3" s="20"/>
      <c r="N3" s="20"/>
      <c r="O3" s="20"/>
      <c r="Q3">
        <v>1</v>
      </c>
    </row>
    <row r="4" spans="1:18" x14ac:dyDescent="0.25">
      <c r="A4" s="20"/>
      <c r="B4" s="20" t="s">
        <v>17</v>
      </c>
      <c r="C4" s="20" t="s">
        <v>1136</v>
      </c>
      <c r="D4" s="20" t="s">
        <v>1137</v>
      </c>
      <c r="E4" s="20" t="s">
        <v>1138</v>
      </c>
      <c r="F4" s="20" t="s">
        <v>26</v>
      </c>
      <c r="G4" s="21">
        <v>0</v>
      </c>
      <c r="H4" s="21">
        <v>30</v>
      </c>
      <c r="I4" s="21">
        <f t="shared" si="0"/>
        <v>-30</v>
      </c>
      <c r="J4" s="20" t="s">
        <v>1139</v>
      </c>
      <c r="K4" s="20" t="s">
        <v>21</v>
      </c>
      <c r="L4" s="20" t="s">
        <v>1135</v>
      </c>
      <c r="M4" s="20"/>
      <c r="N4" s="20"/>
      <c r="O4" s="20"/>
      <c r="Q4">
        <v>1</v>
      </c>
      <c r="R4" s="15">
        <f>H4</f>
        <v>30</v>
      </c>
    </row>
    <row r="5" spans="1:18" x14ac:dyDescent="0.25">
      <c r="A5" s="20"/>
      <c r="B5" s="20" t="s">
        <v>17</v>
      </c>
      <c r="C5" s="20" t="s">
        <v>1140</v>
      </c>
      <c r="D5" s="20" t="s">
        <v>1141</v>
      </c>
      <c r="E5" s="20" t="s">
        <v>1142</v>
      </c>
      <c r="F5" s="21">
        <v>7</v>
      </c>
      <c r="G5" s="21">
        <v>810</v>
      </c>
      <c r="H5" s="21">
        <v>30</v>
      </c>
      <c r="I5" s="21">
        <f t="shared" si="0"/>
        <v>780</v>
      </c>
      <c r="J5" s="20" t="s">
        <v>1139</v>
      </c>
      <c r="K5" s="20" t="s">
        <v>21</v>
      </c>
      <c r="L5" s="20" t="s">
        <v>1135</v>
      </c>
      <c r="M5" s="20"/>
      <c r="N5" s="20"/>
      <c r="O5" s="20"/>
      <c r="Q5">
        <v>1</v>
      </c>
    </row>
    <row r="6" spans="1:18" x14ac:dyDescent="0.25">
      <c r="A6" s="20"/>
      <c r="B6" s="20" t="s">
        <v>17</v>
      </c>
      <c r="C6" s="20" t="s">
        <v>1143</v>
      </c>
      <c r="D6" s="20" t="s">
        <v>1144</v>
      </c>
      <c r="E6" s="20" t="s">
        <v>1145</v>
      </c>
      <c r="F6" s="21">
        <v>8</v>
      </c>
      <c r="G6" s="21">
        <v>1550</v>
      </c>
      <c r="H6" s="21">
        <v>30</v>
      </c>
      <c r="I6" s="21">
        <f t="shared" si="0"/>
        <v>1520</v>
      </c>
      <c r="J6" s="20" t="s">
        <v>1139</v>
      </c>
      <c r="K6" s="20" t="s">
        <v>21</v>
      </c>
      <c r="L6" s="20" t="s">
        <v>1135</v>
      </c>
      <c r="M6" s="20"/>
      <c r="N6" s="20"/>
      <c r="O6" s="20"/>
      <c r="Q6">
        <v>1</v>
      </c>
    </row>
    <row r="7" spans="1:18" x14ac:dyDescent="0.25">
      <c r="A7" s="20"/>
      <c r="B7" s="20" t="s">
        <v>17</v>
      </c>
      <c r="C7" s="20" t="s">
        <v>1146</v>
      </c>
      <c r="D7" s="20" t="s">
        <v>1147</v>
      </c>
      <c r="E7" s="20" t="s">
        <v>1148</v>
      </c>
      <c r="F7" s="20" t="s">
        <v>46</v>
      </c>
      <c r="G7" s="21">
        <v>835</v>
      </c>
      <c r="H7" s="21">
        <v>25</v>
      </c>
      <c r="I7" s="21">
        <f t="shared" si="0"/>
        <v>810</v>
      </c>
      <c r="J7" s="20" t="s">
        <v>1139</v>
      </c>
      <c r="K7" s="20" t="s">
        <v>21</v>
      </c>
      <c r="L7" s="20" t="s">
        <v>1135</v>
      </c>
      <c r="M7" s="20"/>
      <c r="N7" s="20"/>
      <c r="O7" s="20"/>
      <c r="Q7">
        <v>1</v>
      </c>
    </row>
    <row r="8" spans="1:18" x14ac:dyDescent="0.25">
      <c r="A8" s="20"/>
      <c r="B8" s="20" t="s">
        <v>17</v>
      </c>
      <c r="C8" s="20" t="s">
        <v>1149</v>
      </c>
      <c r="D8" s="20" t="s">
        <v>1150</v>
      </c>
      <c r="E8" s="20" t="s">
        <v>1151</v>
      </c>
      <c r="F8" s="20" t="s">
        <v>26</v>
      </c>
      <c r="G8" s="21">
        <v>0</v>
      </c>
      <c r="H8" s="21">
        <v>30</v>
      </c>
      <c r="I8" s="21">
        <f t="shared" si="0"/>
        <v>-30</v>
      </c>
      <c r="J8" s="20" t="s">
        <v>1139</v>
      </c>
      <c r="K8" s="20" t="s">
        <v>21</v>
      </c>
      <c r="L8" s="20" t="s">
        <v>1135</v>
      </c>
      <c r="M8" s="20"/>
      <c r="N8" s="20"/>
      <c r="O8" s="20"/>
      <c r="Q8">
        <v>1</v>
      </c>
      <c r="R8" s="15">
        <f>H8</f>
        <v>30</v>
      </c>
    </row>
    <row r="9" spans="1:18" x14ac:dyDescent="0.25">
      <c r="A9" s="20"/>
      <c r="B9" s="20" t="s">
        <v>17</v>
      </c>
      <c r="C9" s="20" t="s">
        <v>1152</v>
      </c>
      <c r="D9" s="20" t="s">
        <v>1153</v>
      </c>
      <c r="E9" s="20" t="s">
        <v>1154</v>
      </c>
      <c r="F9" s="20" t="s">
        <v>46</v>
      </c>
      <c r="G9" s="21">
        <v>805</v>
      </c>
      <c r="H9" s="21">
        <v>25</v>
      </c>
      <c r="I9" s="21">
        <f t="shared" si="0"/>
        <v>780</v>
      </c>
      <c r="J9" s="20" t="s">
        <v>1139</v>
      </c>
      <c r="K9" s="20" t="s">
        <v>21</v>
      </c>
      <c r="L9" s="20" t="s">
        <v>1135</v>
      </c>
      <c r="M9" s="20"/>
      <c r="N9" s="20"/>
      <c r="O9" s="20"/>
      <c r="Q9">
        <v>1</v>
      </c>
    </row>
    <row r="10" spans="1:18" x14ac:dyDescent="0.25">
      <c r="A10" s="20"/>
      <c r="B10" s="20" t="s">
        <v>17</v>
      </c>
      <c r="C10" s="20" t="s">
        <v>1155</v>
      </c>
      <c r="D10" s="20" t="s">
        <v>1156</v>
      </c>
      <c r="E10" s="20" t="s">
        <v>1157</v>
      </c>
      <c r="F10" s="20" t="s">
        <v>26</v>
      </c>
      <c r="G10" s="21">
        <v>0</v>
      </c>
      <c r="H10" s="21">
        <v>30</v>
      </c>
      <c r="I10" s="21">
        <f t="shared" si="0"/>
        <v>-30</v>
      </c>
      <c r="J10" s="20" t="s">
        <v>1139</v>
      </c>
      <c r="K10" s="20" t="s">
        <v>21</v>
      </c>
      <c r="L10" s="20" t="s">
        <v>1135</v>
      </c>
      <c r="M10" s="20"/>
      <c r="N10" s="20"/>
      <c r="O10" s="20"/>
      <c r="Q10">
        <v>1</v>
      </c>
      <c r="R10" s="15">
        <f>H10</f>
        <v>30</v>
      </c>
    </row>
    <row r="11" spans="1:18" x14ac:dyDescent="0.25">
      <c r="A11" s="20"/>
      <c r="B11" s="20" t="s">
        <v>17</v>
      </c>
      <c r="C11" s="20" t="s">
        <v>1158</v>
      </c>
      <c r="D11" s="20" t="s">
        <v>1159</v>
      </c>
      <c r="E11" s="20" t="s">
        <v>1160</v>
      </c>
      <c r="F11" s="20" t="s">
        <v>26</v>
      </c>
      <c r="G11" s="21">
        <v>810</v>
      </c>
      <c r="H11" s="21">
        <v>30</v>
      </c>
      <c r="I11" s="21">
        <f t="shared" si="0"/>
        <v>780</v>
      </c>
      <c r="J11" s="20" t="s">
        <v>1139</v>
      </c>
      <c r="K11" s="20" t="s">
        <v>21</v>
      </c>
      <c r="L11" s="20" t="s">
        <v>1135</v>
      </c>
      <c r="M11" s="20"/>
      <c r="N11" s="20"/>
      <c r="O11" s="20"/>
      <c r="Q11">
        <v>1</v>
      </c>
    </row>
    <row r="12" spans="1:18" x14ac:dyDescent="0.25">
      <c r="A12" s="20"/>
      <c r="B12" s="20" t="s">
        <v>17</v>
      </c>
      <c r="C12" s="20" t="s">
        <v>1161</v>
      </c>
      <c r="D12" s="20" t="s">
        <v>1162</v>
      </c>
      <c r="E12" s="20" t="s">
        <v>1163</v>
      </c>
      <c r="F12" s="21">
        <v>7</v>
      </c>
      <c r="G12" s="21">
        <v>720</v>
      </c>
      <c r="H12" s="21">
        <v>30</v>
      </c>
      <c r="I12" s="21">
        <f t="shared" si="0"/>
        <v>690</v>
      </c>
      <c r="J12" s="20" t="s">
        <v>1139</v>
      </c>
      <c r="K12" s="20" t="s">
        <v>21</v>
      </c>
      <c r="L12" s="20" t="s">
        <v>1135</v>
      </c>
      <c r="M12" s="20"/>
      <c r="N12" s="20"/>
      <c r="O12" s="20"/>
      <c r="Q12">
        <v>1</v>
      </c>
    </row>
    <row r="13" spans="1:18" x14ac:dyDescent="0.25">
      <c r="A13" s="20"/>
      <c r="B13" s="20" t="s">
        <v>17</v>
      </c>
      <c r="C13" s="20" t="s">
        <v>1164</v>
      </c>
      <c r="D13" s="20" t="s">
        <v>1165</v>
      </c>
      <c r="E13" s="20" t="s">
        <v>1166</v>
      </c>
      <c r="F13" s="20" t="s">
        <v>46</v>
      </c>
      <c r="G13" s="21">
        <v>0</v>
      </c>
      <c r="H13" s="21">
        <v>25</v>
      </c>
      <c r="I13" s="21">
        <f t="shared" si="0"/>
        <v>-25</v>
      </c>
      <c r="J13" s="20" t="s">
        <v>1139</v>
      </c>
      <c r="K13" s="20" t="s">
        <v>21</v>
      </c>
      <c r="L13" s="20" t="s">
        <v>1135</v>
      </c>
      <c r="M13" s="20"/>
      <c r="N13" s="20"/>
      <c r="O13" s="20"/>
      <c r="Q13">
        <v>1</v>
      </c>
      <c r="R13" s="15">
        <f>H13</f>
        <v>25</v>
      </c>
    </row>
    <row r="14" spans="1:18" x14ac:dyDescent="0.25">
      <c r="A14" s="20"/>
      <c r="B14" s="20" t="s">
        <v>17</v>
      </c>
      <c r="C14" s="20" t="s">
        <v>1167</v>
      </c>
      <c r="D14" s="20" t="s">
        <v>1168</v>
      </c>
      <c r="E14" s="20" t="s">
        <v>1169</v>
      </c>
      <c r="F14" s="21">
        <v>8</v>
      </c>
      <c r="G14" s="21">
        <v>810</v>
      </c>
      <c r="H14" s="21">
        <v>30</v>
      </c>
      <c r="I14" s="21">
        <f t="shared" si="0"/>
        <v>780</v>
      </c>
      <c r="J14" s="20" t="s">
        <v>1139</v>
      </c>
      <c r="K14" s="20" t="s">
        <v>21</v>
      </c>
      <c r="L14" s="20" t="s">
        <v>1135</v>
      </c>
      <c r="M14" s="20"/>
      <c r="N14" s="20"/>
      <c r="O14" s="20"/>
      <c r="Q14">
        <v>1</v>
      </c>
    </row>
    <row r="15" spans="1:18" x14ac:dyDescent="0.25">
      <c r="A15" s="20"/>
      <c r="B15" s="20" t="s">
        <v>17</v>
      </c>
      <c r="C15" s="20" t="s">
        <v>1170</v>
      </c>
      <c r="D15" s="20" t="s">
        <v>1171</v>
      </c>
      <c r="E15" s="20" t="s">
        <v>1172</v>
      </c>
      <c r="F15" s="20" t="s">
        <v>26</v>
      </c>
      <c r="G15" s="21">
        <v>750</v>
      </c>
      <c r="H15" s="21">
        <v>30</v>
      </c>
      <c r="I15" s="21">
        <f t="shared" si="0"/>
        <v>720</v>
      </c>
      <c r="J15" s="20" t="s">
        <v>1139</v>
      </c>
      <c r="K15" s="20" t="s">
        <v>21</v>
      </c>
      <c r="L15" s="20" t="s">
        <v>1135</v>
      </c>
      <c r="M15" s="20"/>
      <c r="N15" s="20"/>
      <c r="O15" s="20"/>
      <c r="Q15">
        <v>1</v>
      </c>
    </row>
    <row r="16" spans="1:18" x14ac:dyDescent="0.25">
      <c r="A16" s="20" t="s">
        <v>16</v>
      </c>
      <c r="B16" s="20" t="s">
        <v>17</v>
      </c>
      <c r="C16" s="20" t="s">
        <v>1173</v>
      </c>
      <c r="D16" s="20"/>
      <c r="E16" s="20" t="s">
        <v>1174</v>
      </c>
      <c r="F16" s="20" t="s">
        <v>95</v>
      </c>
      <c r="G16" s="21">
        <v>0</v>
      </c>
      <c r="H16" s="21">
        <v>40</v>
      </c>
      <c r="I16" s="21">
        <f t="shared" si="0"/>
        <v>-40</v>
      </c>
      <c r="J16" s="20" t="s">
        <v>21</v>
      </c>
      <c r="K16" s="20" t="s">
        <v>21</v>
      </c>
      <c r="L16" s="20" t="s">
        <v>1135</v>
      </c>
      <c r="M16" s="20"/>
      <c r="N16" s="20"/>
      <c r="O16" s="20"/>
      <c r="Q16">
        <v>1</v>
      </c>
      <c r="R16" s="15">
        <f>H16</f>
        <v>40</v>
      </c>
    </row>
    <row r="17" spans="1:18" x14ac:dyDescent="0.25">
      <c r="A17" s="20" t="s">
        <v>16</v>
      </c>
      <c r="B17" s="20" t="s">
        <v>17</v>
      </c>
      <c r="C17" s="20" t="s">
        <v>370</v>
      </c>
      <c r="D17" s="20"/>
      <c r="E17" s="20" t="s">
        <v>1175</v>
      </c>
      <c r="F17" s="20" t="s">
        <v>77</v>
      </c>
      <c r="G17" s="21">
        <v>30</v>
      </c>
      <c r="H17" s="21">
        <v>30</v>
      </c>
      <c r="I17" s="21">
        <f t="shared" si="0"/>
        <v>0</v>
      </c>
      <c r="J17" s="20" t="s">
        <v>21</v>
      </c>
      <c r="K17" s="20" t="s">
        <v>21</v>
      </c>
      <c r="L17" s="20" t="s">
        <v>1135</v>
      </c>
      <c r="M17" s="20"/>
      <c r="N17" s="20"/>
      <c r="O17" s="20"/>
      <c r="Q17">
        <v>1</v>
      </c>
    </row>
    <row r="18" spans="1:18" x14ac:dyDescent="0.25">
      <c r="A18" s="20"/>
      <c r="B18" s="20" t="s">
        <v>17</v>
      </c>
      <c r="C18" s="20" t="s">
        <v>1176</v>
      </c>
      <c r="D18" s="20" t="s">
        <v>1177</v>
      </c>
      <c r="E18" s="20" t="s">
        <v>1178</v>
      </c>
      <c r="F18" s="20" t="s">
        <v>77</v>
      </c>
      <c r="G18" s="21">
        <v>25</v>
      </c>
      <c r="H18" s="21">
        <v>25</v>
      </c>
      <c r="I18" s="21">
        <f t="shared" si="0"/>
        <v>0</v>
      </c>
      <c r="J18" s="20" t="s">
        <v>21</v>
      </c>
      <c r="K18" s="20" t="s">
        <v>21</v>
      </c>
      <c r="L18" s="20" t="s">
        <v>1135</v>
      </c>
      <c r="M18" s="20"/>
      <c r="N18" s="20"/>
      <c r="O18" s="20"/>
      <c r="Q18">
        <v>1</v>
      </c>
    </row>
    <row r="19" spans="1:18" x14ac:dyDescent="0.25">
      <c r="A19" s="20"/>
      <c r="B19" s="20" t="s">
        <v>17</v>
      </c>
      <c r="C19" s="20" t="s">
        <v>809</v>
      </c>
      <c r="D19" s="20" t="s">
        <v>1179</v>
      </c>
      <c r="E19" s="20" t="s">
        <v>811</v>
      </c>
      <c r="F19" s="21">
        <v>12</v>
      </c>
      <c r="G19" s="21">
        <v>0</v>
      </c>
      <c r="H19" s="21">
        <v>30</v>
      </c>
      <c r="I19" s="21">
        <f t="shared" si="0"/>
        <v>-30</v>
      </c>
      <c r="J19" s="20" t="s">
        <v>21</v>
      </c>
      <c r="K19" s="20" t="s">
        <v>21</v>
      </c>
      <c r="L19" s="20" t="s">
        <v>1135</v>
      </c>
      <c r="M19" s="20"/>
      <c r="N19" s="20"/>
      <c r="O19" s="20"/>
      <c r="Q19">
        <v>1</v>
      </c>
      <c r="R19" s="15">
        <f>H19</f>
        <v>30</v>
      </c>
    </row>
    <row r="20" spans="1:18" x14ac:dyDescent="0.25">
      <c r="A20" s="20"/>
      <c r="B20" s="20" t="s">
        <v>17</v>
      </c>
      <c r="C20" s="20" t="s">
        <v>1180</v>
      </c>
      <c r="D20" s="20" t="s">
        <v>1181</v>
      </c>
      <c r="E20" s="20" t="s">
        <v>1182</v>
      </c>
      <c r="F20" s="20" t="s">
        <v>95</v>
      </c>
      <c r="G20" s="21">
        <v>1145</v>
      </c>
      <c r="H20" s="21">
        <v>25</v>
      </c>
      <c r="I20" s="21">
        <f t="shared" si="0"/>
        <v>1120</v>
      </c>
      <c r="J20" s="20" t="s">
        <v>21</v>
      </c>
      <c r="K20" s="20" t="s">
        <v>21</v>
      </c>
      <c r="L20" s="20" t="s">
        <v>1135</v>
      </c>
      <c r="M20" s="20"/>
      <c r="N20" s="20"/>
      <c r="O20" s="20"/>
      <c r="Q20">
        <v>1</v>
      </c>
    </row>
    <row r="21" spans="1:18" x14ac:dyDescent="0.25">
      <c r="A21" s="20"/>
      <c r="B21" s="20" t="s">
        <v>17</v>
      </c>
      <c r="C21" s="20" t="s">
        <v>1183</v>
      </c>
      <c r="D21" s="20" t="s">
        <v>1184</v>
      </c>
      <c r="E21" s="20" t="s">
        <v>1185</v>
      </c>
      <c r="F21" s="20" t="s">
        <v>81</v>
      </c>
      <c r="G21" s="21">
        <v>0</v>
      </c>
      <c r="H21" s="21">
        <v>30</v>
      </c>
      <c r="I21" s="21">
        <f t="shared" si="0"/>
        <v>-30</v>
      </c>
      <c r="J21" s="20" t="s">
        <v>21</v>
      </c>
      <c r="K21" s="20" t="s">
        <v>21</v>
      </c>
      <c r="L21" s="20" t="s">
        <v>1135</v>
      </c>
      <c r="M21" s="20"/>
      <c r="N21" s="20"/>
      <c r="O21" s="20"/>
      <c r="Q21">
        <v>1</v>
      </c>
      <c r="R21" s="15">
        <f>H21</f>
        <v>30</v>
      </c>
    </row>
    <row r="22" spans="1:18" x14ac:dyDescent="0.25">
      <c r="A22" s="20"/>
      <c r="B22" s="20" t="s">
        <v>17</v>
      </c>
      <c r="C22" s="20" t="s">
        <v>1186</v>
      </c>
      <c r="D22" s="20" t="s">
        <v>1187</v>
      </c>
      <c r="E22" s="20" t="s">
        <v>1188</v>
      </c>
      <c r="F22" s="20" t="s">
        <v>85</v>
      </c>
      <c r="G22" s="21">
        <v>660</v>
      </c>
      <c r="H22" s="21">
        <v>20</v>
      </c>
      <c r="I22" s="21">
        <f t="shared" si="0"/>
        <v>640</v>
      </c>
      <c r="J22" s="20" t="s">
        <v>21</v>
      </c>
      <c r="K22" s="20" t="s">
        <v>21</v>
      </c>
      <c r="L22" s="20" t="s">
        <v>1135</v>
      </c>
      <c r="M22" s="20"/>
      <c r="N22" s="20"/>
      <c r="O22" s="20"/>
      <c r="Q22">
        <v>1</v>
      </c>
    </row>
    <row r="23" spans="1:18" x14ac:dyDescent="0.25">
      <c r="A23" s="20"/>
      <c r="B23" s="20" t="s">
        <v>17</v>
      </c>
      <c r="C23" s="20" t="s">
        <v>120</v>
      </c>
      <c r="D23" s="20" t="s">
        <v>1189</v>
      </c>
      <c r="E23" s="20" t="s">
        <v>1190</v>
      </c>
      <c r="F23" s="20" t="s">
        <v>85</v>
      </c>
      <c r="G23" s="21">
        <v>800</v>
      </c>
      <c r="H23" s="21">
        <v>20</v>
      </c>
      <c r="I23" s="21">
        <f t="shared" si="0"/>
        <v>780</v>
      </c>
      <c r="J23" s="20" t="s">
        <v>21</v>
      </c>
      <c r="K23" s="20" t="s">
        <v>21</v>
      </c>
      <c r="L23" s="20" t="s">
        <v>1135</v>
      </c>
      <c r="M23" s="20"/>
      <c r="N23" s="20"/>
      <c r="O23" s="20"/>
      <c r="Q23">
        <v>1</v>
      </c>
    </row>
    <row r="24" spans="1:18" x14ac:dyDescent="0.25">
      <c r="A24" s="20"/>
      <c r="B24" s="20" t="s">
        <v>17</v>
      </c>
      <c r="C24" s="20" t="s">
        <v>1191</v>
      </c>
      <c r="D24" s="20" t="s">
        <v>1192</v>
      </c>
      <c r="E24" s="20" t="s">
        <v>1193</v>
      </c>
      <c r="F24" s="20" t="s">
        <v>77</v>
      </c>
      <c r="G24" s="21">
        <v>825</v>
      </c>
      <c r="H24" s="21">
        <v>25</v>
      </c>
      <c r="I24" s="21">
        <f t="shared" si="0"/>
        <v>800</v>
      </c>
      <c r="J24" s="20" t="s">
        <v>21</v>
      </c>
      <c r="K24" s="20" t="s">
        <v>21</v>
      </c>
      <c r="L24" s="20" t="s">
        <v>1135</v>
      </c>
      <c r="M24" s="20"/>
      <c r="N24" s="20"/>
      <c r="O24" s="20"/>
      <c r="Q24">
        <v>1</v>
      </c>
    </row>
    <row r="25" spans="1:18" x14ac:dyDescent="0.25">
      <c r="A25" s="20" t="s">
        <v>16</v>
      </c>
      <c r="B25" s="20" t="s">
        <v>17</v>
      </c>
      <c r="C25" s="20" t="s">
        <v>1194</v>
      </c>
      <c r="D25" s="20"/>
      <c r="E25" s="20" t="s">
        <v>1195</v>
      </c>
      <c r="F25" s="20" t="s">
        <v>95</v>
      </c>
      <c r="G25" s="21">
        <v>0</v>
      </c>
      <c r="H25" s="21">
        <v>40</v>
      </c>
      <c r="I25" s="21">
        <f t="shared" si="0"/>
        <v>-40</v>
      </c>
      <c r="J25" s="20" t="s">
        <v>21</v>
      </c>
      <c r="K25" s="20" t="s">
        <v>21</v>
      </c>
      <c r="L25" s="20" t="s">
        <v>1135</v>
      </c>
      <c r="M25" s="20"/>
      <c r="N25" s="20"/>
      <c r="O25" s="20"/>
      <c r="Q25">
        <v>1</v>
      </c>
      <c r="R25" s="15">
        <f>H25</f>
        <v>40</v>
      </c>
    </row>
    <row r="26" spans="1:18" x14ac:dyDescent="0.25">
      <c r="A26" s="20" t="s">
        <v>16</v>
      </c>
      <c r="B26" s="20" t="s">
        <v>17</v>
      </c>
      <c r="C26" s="20" t="s">
        <v>1196</v>
      </c>
      <c r="D26" s="20"/>
      <c r="E26" s="20" t="s">
        <v>1197</v>
      </c>
      <c r="F26" s="21">
        <v>5</v>
      </c>
      <c r="G26" s="21">
        <v>0</v>
      </c>
      <c r="H26" s="21">
        <v>30</v>
      </c>
      <c r="I26" s="21">
        <f t="shared" si="0"/>
        <v>-30</v>
      </c>
      <c r="J26" s="20" t="s">
        <v>135</v>
      </c>
      <c r="K26" s="20" t="s">
        <v>21</v>
      </c>
      <c r="L26" s="20" t="s">
        <v>1135</v>
      </c>
      <c r="M26" s="20"/>
      <c r="N26" s="20"/>
      <c r="O26" s="20"/>
      <c r="Q26">
        <v>1</v>
      </c>
      <c r="R26" s="15">
        <f>H26</f>
        <v>30</v>
      </c>
    </row>
    <row r="27" spans="1:18" x14ac:dyDescent="0.25">
      <c r="A27" s="20" t="s">
        <v>16</v>
      </c>
      <c r="B27" s="20" t="s">
        <v>17</v>
      </c>
      <c r="C27" s="20" t="s">
        <v>504</v>
      </c>
      <c r="D27" s="20"/>
      <c r="E27" s="20" t="s">
        <v>505</v>
      </c>
      <c r="F27" s="20" t="s">
        <v>95</v>
      </c>
      <c r="G27" s="21">
        <v>0</v>
      </c>
      <c r="H27" s="21">
        <v>30</v>
      </c>
      <c r="I27" s="21">
        <f t="shared" si="0"/>
        <v>-30</v>
      </c>
      <c r="J27" s="20" t="s">
        <v>135</v>
      </c>
      <c r="K27" s="20" t="s">
        <v>21</v>
      </c>
      <c r="L27" s="20" t="s">
        <v>1135</v>
      </c>
      <c r="M27" s="20"/>
      <c r="N27" s="20"/>
      <c r="O27" s="20"/>
      <c r="Q27">
        <v>1</v>
      </c>
      <c r="R27" s="15">
        <f>H27</f>
        <v>30</v>
      </c>
    </row>
    <row r="28" spans="1:18" x14ac:dyDescent="0.25">
      <c r="A28" s="20"/>
      <c r="B28" s="20" t="s">
        <v>17</v>
      </c>
      <c r="C28" s="20" t="s">
        <v>1198</v>
      </c>
      <c r="D28" s="20" t="s">
        <v>1199</v>
      </c>
      <c r="E28" s="20" t="s">
        <v>1200</v>
      </c>
      <c r="F28" s="21">
        <v>10</v>
      </c>
      <c r="G28" s="21">
        <v>805</v>
      </c>
      <c r="H28" s="21">
        <v>25</v>
      </c>
      <c r="I28" s="21">
        <f t="shared" si="0"/>
        <v>780</v>
      </c>
      <c r="J28" s="20" t="s">
        <v>135</v>
      </c>
      <c r="K28" s="20" t="s">
        <v>21</v>
      </c>
      <c r="L28" s="20" t="s">
        <v>1135</v>
      </c>
      <c r="M28" s="20"/>
      <c r="N28" s="20"/>
      <c r="O28" s="20"/>
      <c r="Q28">
        <v>1</v>
      </c>
    </row>
    <row r="29" spans="1:18" x14ac:dyDescent="0.25">
      <c r="A29" s="20"/>
      <c r="B29" s="20" t="s">
        <v>17</v>
      </c>
      <c r="C29" s="20" t="s">
        <v>1201</v>
      </c>
      <c r="D29" s="20" t="s">
        <v>1202</v>
      </c>
      <c r="E29" s="20" t="s">
        <v>1203</v>
      </c>
      <c r="F29" s="21">
        <v>4</v>
      </c>
      <c r="G29" s="21">
        <v>0</v>
      </c>
      <c r="H29" s="21">
        <v>25</v>
      </c>
      <c r="I29" s="21">
        <f t="shared" si="0"/>
        <v>-25</v>
      </c>
      <c r="J29" s="20" t="s">
        <v>135</v>
      </c>
      <c r="K29" s="20" t="s">
        <v>21</v>
      </c>
      <c r="L29" s="20" t="s">
        <v>1135</v>
      </c>
      <c r="M29" s="20"/>
      <c r="N29" s="20"/>
      <c r="O29" s="20"/>
      <c r="Q29">
        <v>1</v>
      </c>
      <c r="R29" s="15">
        <f>H29</f>
        <v>25</v>
      </c>
    </row>
    <row r="30" spans="1:18" x14ac:dyDescent="0.25">
      <c r="A30" s="20"/>
      <c r="B30" s="20" t="s">
        <v>17</v>
      </c>
      <c r="C30" s="20" t="s">
        <v>1204</v>
      </c>
      <c r="D30" s="20" t="s">
        <v>1205</v>
      </c>
      <c r="E30" s="20" t="s">
        <v>1206</v>
      </c>
      <c r="F30" s="20" t="s">
        <v>95</v>
      </c>
      <c r="G30" s="21">
        <v>1655</v>
      </c>
      <c r="H30" s="21">
        <v>25</v>
      </c>
      <c r="I30" s="21">
        <f t="shared" si="0"/>
        <v>1630</v>
      </c>
      <c r="J30" s="20" t="s">
        <v>135</v>
      </c>
      <c r="K30" s="20" t="s">
        <v>21</v>
      </c>
      <c r="L30" s="20" t="s">
        <v>1135</v>
      </c>
      <c r="M30" s="20"/>
      <c r="N30" s="20"/>
      <c r="O30" s="20"/>
      <c r="Q30">
        <v>1</v>
      </c>
    </row>
    <row r="31" spans="1:18" x14ac:dyDescent="0.25">
      <c r="A31" s="20"/>
      <c r="B31" s="20" t="s">
        <v>17</v>
      </c>
      <c r="C31" s="20" t="s">
        <v>1207</v>
      </c>
      <c r="D31" s="20" t="s">
        <v>1208</v>
      </c>
      <c r="E31" s="20" t="s">
        <v>1209</v>
      </c>
      <c r="F31" s="21">
        <v>10</v>
      </c>
      <c r="G31" s="21">
        <v>375</v>
      </c>
      <c r="H31" s="21">
        <v>25</v>
      </c>
      <c r="I31" s="21">
        <f t="shared" si="0"/>
        <v>350</v>
      </c>
      <c r="J31" s="20" t="s">
        <v>135</v>
      </c>
      <c r="K31" s="20" t="s">
        <v>21</v>
      </c>
      <c r="L31" s="20" t="s">
        <v>1135</v>
      </c>
      <c r="M31" s="20"/>
      <c r="N31" s="20"/>
      <c r="O31" s="20"/>
      <c r="Q31">
        <v>1</v>
      </c>
    </row>
    <row r="32" spans="1:18" x14ac:dyDescent="0.25">
      <c r="A32" s="20"/>
      <c r="B32" s="20" t="s">
        <v>17</v>
      </c>
      <c r="C32" s="20" t="s">
        <v>1210</v>
      </c>
      <c r="D32" s="20" t="s">
        <v>1211</v>
      </c>
      <c r="E32" s="20" t="s">
        <v>1212</v>
      </c>
      <c r="F32" s="21">
        <v>4</v>
      </c>
      <c r="G32" s="21">
        <v>1455</v>
      </c>
      <c r="H32" s="21">
        <v>25</v>
      </c>
      <c r="I32" s="21">
        <f t="shared" si="0"/>
        <v>1430</v>
      </c>
      <c r="J32" s="20" t="s">
        <v>135</v>
      </c>
      <c r="K32" s="20" t="s">
        <v>21</v>
      </c>
      <c r="L32" s="20" t="s">
        <v>1135</v>
      </c>
      <c r="M32" s="20"/>
      <c r="N32" s="20"/>
      <c r="O32" s="20"/>
      <c r="Q32">
        <v>1</v>
      </c>
    </row>
    <row r="33" spans="1:18" x14ac:dyDescent="0.25">
      <c r="A33" s="20"/>
      <c r="B33" s="20" t="s">
        <v>17</v>
      </c>
      <c r="C33" s="20" t="s">
        <v>1213</v>
      </c>
      <c r="D33" s="20" t="s">
        <v>1214</v>
      </c>
      <c r="E33" s="20" t="s">
        <v>1215</v>
      </c>
      <c r="F33" s="21">
        <v>5</v>
      </c>
      <c r="G33" s="21">
        <v>0</v>
      </c>
      <c r="H33" s="21">
        <v>25</v>
      </c>
      <c r="I33" s="21">
        <f t="shared" si="0"/>
        <v>-25</v>
      </c>
      <c r="J33" s="20" t="s">
        <v>135</v>
      </c>
      <c r="K33" s="20" t="s">
        <v>21</v>
      </c>
      <c r="L33" s="20" t="s">
        <v>1135</v>
      </c>
      <c r="M33" s="20"/>
      <c r="N33" s="20"/>
      <c r="O33" s="20"/>
      <c r="Q33">
        <v>1</v>
      </c>
      <c r="R33" s="15">
        <f>H33</f>
        <v>25</v>
      </c>
    </row>
    <row r="34" spans="1:18" x14ac:dyDescent="0.25">
      <c r="A34" s="20"/>
      <c r="B34" s="20" t="s">
        <v>17</v>
      </c>
      <c r="C34" s="20" t="s">
        <v>1119</v>
      </c>
      <c r="D34" s="20" t="s">
        <v>1216</v>
      </c>
      <c r="E34" s="20" t="s">
        <v>1121</v>
      </c>
      <c r="F34" s="21">
        <v>3</v>
      </c>
      <c r="G34" s="21">
        <v>715</v>
      </c>
      <c r="H34" s="21">
        <v>25</v>
      </c>
      <c r="I34" s="21">
        <f t="shared" si="0"/>
        <v>690</v>
      </c>
      <c r="J34" s="20" t="s">
        <v>135</v>
      </c>
      <c r="K34" s="20" t="s">
        <v>21</v>
      </c>
      <c r="L34" s="20" t="s">
        <v>1135</v>
      </c>
      <c r="M34" s="20"/>
      <c r="N34" s="20"/>
      <c r="O34" s="20"/>
      <c r="Q34">
        <v>1</v>
      </c>
    </row>
    <row r="35" spans="1:18" x14ac:dyDescent="0.25">
      <c r="A35" s="20"/>
      <c r="B35" s="20" t="s">
        <v>17</v>
      </c>
      <c r="C35" s="20" t="s">
        <v>114</v>
      </c>
      <c r="D35" s="20" t="s">
        <v>1217</v>
      </c>
      <c r="E35" s="20" t="s">
        <v>1218</v>
      </c>
      <c r="F35" s="21">
        <v>10</v>
      </c>
      <c r="G35" s="21">
        <v>895</v>
      </c>
      <c r="H35" s="21">
        <v>25</v>
      </c>
      <c r="I35" s="21">
        <f t="shared" si="0"/>
        <v>870</v>
      </c>
      <c r="J35" s="20" t="s">
        <v>135</v>
      </c>
      <c r="K35" s="20" t="s">
        <v>21</v>
      </c>
      <c r="L35" s="20" t="s">
        <v>1135</v>
      </c>
      <c r="M35" s="20"/>
      <c r="N35" s="20"/>
      <c r="O35" s="20"/>
      <c r="Q35">
        <v>1</v>
      </c>
    </row>
    <row r="36" spans="1:18" x14ac:dyDescent="0.25">
      <c r="A36" s="20"/>
      <c r="B36" s="20" t="s">
        <v>17</v>
      </c>
      <c r="C36" s="20" t="s">
        <v>180</v>
      </c>
      <c r="D36" s="20" t="s">
        <v>1219</v>
      </c>
      <c r="E36" s="20" t="s">
        <v>182</v>
      </c>
      <c r="F36" s="21">
        <v>3</v>
      </c>
      <c r="G36" s="21">
        <v>0</v>
      </c>
      <c r="H36" s="21">
        <v>25</v>
      </c>
      <c r="I36" s="21">
        <f t="shared" si="0"/>
        <v>-25</v>
      </c>
      <c r="J36" s="20" t="s">
        <v>135</v>
      </c>
      <c r="K36" s="20" t="s">
        <v>21</v>
      </c>
      <c r="L36" s="20" t="s">
        <v>1135</v>
      </c>
      <c r="M36" s="20"/>
      <c r="N36" s="20"/>
      <c r="O36" s="20"/>
      <c r="Q36">
        <v>1</v>
      </c>
      <c r="R36" s="15">
        <f>H36</f>
        <v>25</v>
      </c>
    </row>
    <row r="37" spans="1:18" x14ac:dyDescent="0.25">
      <c r="A37" s="20"/>
      <c r="B37" s="20" t="s">
        <v>17</v>
      </c>
      <c r="C37" s="20" t="s">
        <v>1220</v>
      </c>
      <c r="D37" s="20" t="s">
        <v>1221</v>
      </c>
      <c r="E37" s="20" t="s">
        <v>1222</v>
      </c>
      <c r="F37" s="21">
        <v>4</v>
      </c>
      <c r="G37" s="21">
        <v>815</v>
      </c>
      <c r="H37" s="21">
        <v>25</v>
      </c>
      <c r="I37" s="21">
        <f t="shared" si="0"/>
        <v>790</v>
      </c>
      <c r="J37" s="20" t="s">
        <v>135</v>
      </c>
      <c r="K37" s="20" t="s">
        <v>21</v>
      </c>
      <c r="L37" s="20" t="s">
        <v>1135</v>
      </c>
      <c r="M37" s="20"/>
      <c r="N37" s="20"/>
      <c r="O37" s="20"/>
      <c r="Q37">
        <v>1</v>
      </c>
    </row>
    <row r="38" spans="1:18" x14ac:dyDescent="0.25">
      <c r="A38" s="20"/>
      <c r="B38" s="20" t="s">
        <v>17</v>
      </c>
      <c r="C38" s="20" t="s">
        <v>1223</v>
      </c>
      <c r="D38" s="20" t="s">
        <v>1224</v>
      </c>
      <c r="E38" s="20" t="s">
        <v>1225</v>
      </c>
      <c r="F38" s="21">
        <v>4</v>
      </c>
      <c r="G38" s="21">
        <v>3100</v>
      </c>
      <c r="H38" s="21">
        <v>35</v>
      </c>
      <c r="I38" s="21">
        <f t="shared" si="0"/>
        <v>3065</v>
      </c>
      <c r="J38" s="20" t="s">
        <v>135</v>
      </c>
      <c r="K38" s="20" t="s">
        <v>21</v>
      </c>
      <c r="L38" s="20" t="s">
        <v>1135</v>
      </c>
      <c r="M38" s="25" t="s">
        <v>167</v>
      </c>
      <c r="N38" s="20"/>
      <c r="O38" s="20"/>
      <c r="Q38">
        <v>1</v>
      </c>
      <c r="R38" s="15">
        <f>H38</f>
        <v>35</v>
      </c>
    </row>
    <row r="39" spans="1:18" x14ac:dyDescent="0.25">
      <c r="A39" s="20"/>
      <c r="B39" s="20" t="s">
        <v>17</v>
      </c>
      <c r="C39" s="20" t="s">
        <v>1226</v>
      </c>
      <c r="D39" s="20" t="s">
        <v>1227</v>
      </c>
      <c r="E39" s="20" t="s">
        <v>1228</v>
      </c>
      <c r="F39" s="21">
        <v>5</v>
      </c>
      <c r="G39" s="21">
        <v>0</v>
      </c>
      <c r="H39" s="21">
        <v>25</v>
      </c>
      <c r="I39" s="21">
        <f t="shared" si="0"/>
        <v>-25</v>
      </c>
      <c r="J39" s="20" t="s">
        <v>135</v>
      </c>
      <c r="K39" s="20" t="s">
        <v>21</v>
      </c>
      <c r="L39" s="20" t="s">
        <v>1135</v>
      </c>
      <c r="M39" s="25" t="s">
        <v>1229</v>
      </c>
      <c r="N39" s="20"/>
      <c r="O39" s="20"/>
      <c r="Q39">
        <v>1</v>
      </c>
      <c r="R39" s="15">
        <f>H39</f>
        <v>25</v>
      </c>
    </row>
    <row r="41" spans="1:18" x14ac:dyDescent="0.25">
      <c r="D41" s="6">
        <f>COUNTA(D3:D39)</f>
        <v>32</v>
      </c>
      <c r="G41" s="6">
        <f t="shared" ref="G41:Q41" si="1">SUBTOTAL(9,G3:G39)</f>
        <v>21370</v>
      </c>
      <c r="H41" s="6">
        <f t="shared" si="1"/>
        <v>1030</v>
      </c>
      <c r="I41" s="6">
        <f t="shared" si="1"/>
        <v>20340</v>
      </c>
      <c r="J41" s="6">
        <f t="shared" si="1"/>
        <v>0</v>
      </c>
      <c r="K41" s="6">
        <f t="shared" si="1"/>
        <v>0</v>
      </c>
      <c r="L41" s="6">
        <f t="shared" si="1"/>
        <v>0</v>
      </c>
      <c r="M41" s="6">
        <f t="shared" si="1"/>
        <v>0</v>
      </c>
      <c r="N41" s="6">
        <f t="shared" si="1"/>
        <v>0</v>
      </c>
      <c r="O41" s="6">
        <f t="shared" si="1"/>
        <v>0</v>
      </c>
      <c r="P41" s="6">
        <f t="shared" si="1"/>
        <v>0</v>
      </c>
      <c r="Q41" s="6">
        <f t="shared" si="1"/>
        <v>37</v>
      </c>
    </row>
    <row r="42" spans="1:18" x14ac:dyDescent="0.25">
      <c r="H42">
        <f>-7*17</f>
        <v>-119</v>
      </c>
    </row>
    <row r="43" spans="1:18" x14ac:dyDescent="0.25">
      <c r="A43" s="6" t="s">
        <v>17</v>
      </c>
      <c r="C43" s="5" t="s">
        <v>191</v>
      </c>
      <c r="D43" s="5"/>
      <c r="E43" s="9" t="s">
        <v>192</v>
      </c>
      <c r="H43">
        <f>-5*25</f>
        <v>-125</v>
      </c>
      <c r="K43" s="16" t="s">
        <v>21</v>
      </c>
      <c r="L43" s="16" t="s">
        <v>193</v>
      </c>
      <c r="M43" s="16" t="s">
        <v>192</v>
      </c>
      <c r="O43" s="9" t="s">
        <v>194</v>
      </c>
    </row>
    <row r="44" spans="1:18" x14ac:dyDescent="0.25">
      <c r="A44" t="s">
        <v>1135</v>
      </c>
      <c r="B44" s="8" t="s">
        <v>195</v>
      </c>
      <c r="C44" s="4">
        <f>SUMIFS(I$3:I$39,B$3:B$39,A$43,L$3:L$39,A$44)</f>
        <v>20340</v>
      </c>
      <c r="D44" s="4"/>
      <c r="E44" s="8">
        <f>SUMIFS(Q$3:Q$39,B$3:B$39,A$43,L$3:L$39,A$44)</f>
        <v>37</v>
      </c>
      <c r="F44" t="s">
        <v>196</v>
      </c>
      <c r="K44" t="s">
        <v>197</v>
      </c>
      <c r="L44">
        <f>SUMIFS(G$3:G$39,J$3:J$39,K$43)</f>
        <v>3485</v>
      </c>
      <c r="M44">
        <f>SUMIFS(Q$3:Q$39,J$3:J$39,K$43)-INT(COUNTIFS(J$3:J$39,K$43,M$3:M$39,"*gộp*")/2)</f>
        <v>10</v>
      </c>
      <c r="O44" t="s">
        <v>21</v>
      </c>
      <c r="P44">
        <f>L49</f>
        <v>3176</v>
      </c>
    </row>
    <row r="45" spans="1:18" x14ac:dyDescent="0.25">
      <c r="B45" s="7" t="s">
        <v>199</v>
      </c>
      <c r="C45" s="3">
        <v>0</v>
      </c>
      <c r="D45" s="3"/>
      <c r="K45" t="s">
        <v>200</v>
      </c>
      <c r="L45">
        <f>-SUMIFS(H$3:H$39,J$3:J$39,K$43)+M45*5</f>
        <v>-235</v>
      </c>
      <c r="M45">
        <f>SUMIFS(Q$3:Q$39,J$3:J$39,K$43)-INT(COUNTIFS(J$3:J$39,K$43,M$3:M$39,"*gộp*")/2)</f>
        <v>10</v>
      </c>
      <c r="O45" t="s">
        <v>135</v>
      </c>
      <c r="P45">
        <f>L57</f>
        <v>9515</v>
      </c>
    </row>
    <row r="46" spans="1:18" x14ac:dyDescent="0.25">
      <c r="B46" s="7" t="s">
        <v>201</v>
      </c>
      <c r="C46" s="3">
        <f>-SUMIFS(I$3:I$39,B$3:B$39,A$43,P$3:P$39,"xx",N$3:N$39,"x")</f>
        <v>0</v>
      </c>
      <c r="D46" s="3"/>
      <c r="E46" s="7">
        <f>SUMIFS(Q$3:Q$39,B$3:B$39,A$43,P$3:P$39,"xx",N$3:N$39,"x")</f>
        <v>0</v>
      </c>
      <c r="K46" t="s">
        <v>202</v>
      </c>
      <c r="L46">
        <f>-M46*2</f>
        <v>-74</v>
      </c>
      <c r="M46">
        <f>E47-(COUNTIFS(M$3:M$39,"*gộp*")/2)-COUNTIFS(M$3:M$39,"*đơn trả*")-COUNTIFS(M$3:M$39,"*hàng tỉnh*")</f>
        <v>37</v>
      </c>
      <c r="O46" t="s">
        <v>1230</v>
      </c>
      <c r="P46">
        <f>L65</f>
        <v>6846</v>
      </c>
    </row>
    <row r="47" spans="1:18" x14ac:dyDescent="0.25">
      <c r="B47" s="9" t="s">
        <v>203</v>
      </c>
      <c r="C47" s="5">
        <f>SUBTOTAL(9,C44:C46)</f>
        <v>20340</v>
      </c>
      <c r="D47" s="5"/>
      <c r="E47">
        <f>E44</f>
        <v>37</v>
      </c>
      <c r="K47" s="7" t="s">
        <v>204</v>
      </c>
      <c r="O47" t="s">
        <v>20</v>
      </c>
      <c r="P47">
        <f>L73</f>
        <v>955</v>
      </c>
    </row>
    <row r="48" spans="1:18" x14ac:dyDescent="0.25">
      <c r="B48" s="7" t="s">
        <v>205</v>
      </c>
      <c r="C48" s="2"/>
      <c r="D48" s="2"/>
      <c r="K48" s="7" t="s">
        <v>206</v>
      </c>
      <c r="O48" t="s">
        <v>207</v>
      </c>
      <c r="P48">
        <f>-C51</f>
        <v>-20340</v>
      </c>
    </row>
    <row r="49" spans="2:17" x14ac:dyDescent="0.25">
      <c r="B49" s="17" t="s">
        <v>208</v>
      </c>
      <c r="C49" s="2"/>
      <c r="D49" s="2"/>
      <c r="L49" s="18">
        <f>SUBTOTAL(9,L44:L48)</f>
        <v>3176</v>
      </c>
      <c r="M49" s="18">
        <f>M44</f>
        <v>10</v>
      </c>
      <c r="O49" s="9" t="s">
        <v>209</v>
      </c>
      <c r="P49" s="9">
        <f>SUBTOTAL(9,P44:P48)</f>
        <v>152</v>
      </c>
    </row>
    <row r="51" spans="2:17" x14ac:dyDescent="0.25">
      <c r="B51" s="6" t="s">
        <v>210</v>
      </c>
      <c r="C51" s="1">
        <f>C47+C48+C49</f>
        <v>20340</v>
      </c>
      <c r="D51" s="1"/>
      <c r="E51" s="6" t="s">
        <v>211</v>
      </c>
      <c r="K51" s="16" t="s">
        <v>135</v>
      </c>
      <c r="L51" s="16" t="s">
        <v>193</v>
      </c>
      <c r="M51" s="16" t="s">
        <v>192</v>
      </c>
    </row>
    <row r="52" spans="2:17" x14ac:dyDescent="0.25">
      <c r="K52" t="s">
        <v>197</v>
      </c>
      <c r="L52">
        <f>SUMIFS(G$3:G$39,J$3:J$39,K$51)</f>
        <v>9815</v>
      </c>
      <c r="M52">
        <f>SUMIFS(Q$3:Q$39,J$3:J$39,K$51)-INT(COUNTIFS(J$3:J$39,K$51,M$3:M$39,"*gộp*")/2)</f>
        <v>14</v>
      </c>
    </row>
    <row r="53" spans="2:17" x14ac:dyDescent="0.25">
      <c r="K53" t="s">
        <v>200</v>
      </c>
      <c r="L53">
        <f>-SUMIFS(H$3:H$39,J$3:J$39,K$51)+M53*5</f>
        <v>-300</v>
      </c>
      <c r="M53">
        <f>SUMIFS(Q$3:Q$39,J$3:J$39,K$51)-INT(COUNTIFS(J$3:J$39,K$51,M$3:M$39,"*gộp*")/2)</f>
        <v>14</v>
      </c>
    </row>
    <row r="54" spans="2:17" x14ac:dyDescent="0.25">
      <c r="K54" t="s">
        <v>202</v>
      </c>
      <c r="Q54" t="s">
        <v>1231</v>
      </c>
    </row>
    <row r="55" spans="2:17" x14ac:dyDescent="0.25">
      <c r="K55" s="7" t="s">
        <v>204</v>
      </c>
    </row>
    <row r="56" spans="2:17" x14ac:dyDescent="0.25">
      <c r="K56" s="7" t="s">
        <v>206</v>
      </c>
    </row>
    <row r="57" spans="2:17" x14ac:dyDescent="0.25">
      <c r="L57" s="18">
        <f>SUBTOTAL(9,L52:L56)</f>
        <v>9515</v>
      </c>
      <c r="M57" s="18">
        <f>M52</f>
        <v>14</v>
      </c>
    </row>
    <row r="59" spans="2:17" x14ac:dyDescent="0.25">
      <c r="K59" s="16" t="s">
        <v>1139</v>
      </c>
      <c r="L59" s="16" t="s">
        <v>193</v>
      </c>
      <c r="M59" s="16" t="s">
        <v>192</v>
      </c>
    </row>
    <row r="60" spans="2:17" x14ac:dyDescent="0.25">
      <c r="K60" t="s">
        <v>197</v>
      </c>
      <c r="L60">
        <f>SUMIFS(G$3:G$39,J$3:J$39,K$59)</f>
        <v>7090</v>
      </c>
      <c r="M60">
        <f>SUMIFS(Q$3:Q$39,J$3:J$39,K$59)-INT(COUNTIFS(J$3:J$39,K$59,M$3:M$39,"*gộp*")/2)</f>
        <v>12</v>
      </c>
    </row>
    <row r="61" spans="2:17" x14ac:dyDescent="0.25">
      <c r="K61" t="s">
        <v>200</v>
      </c>
      <c r="L61">
        <f>SUM(H42:H43)</f>
        <v>-244</v>
      </c>
      <c r="M61">
        <f>SUMIFS(Q$3:Q$39,J$3:J$39,K$59)-INT(COUNTIFS(J$3:J$39,K$59,M$3:M$39,"*gộp*")/2)</f>
        <v>12</v>
      </c>
    </row>
    <row r="62" spans="2:17" x14ac:dyDescent="0.25">
      <c r="K62" t="s">
        <v>202</v>
      </c>
    </row>
    <row r="63" spans="2:17" x14ac:dyDescent="0.25">
      <c r="K63" s="7" t="s">
        <v>204</v>
      </c>
    </row>
    <row r="64" spans="2:17" x14ac:dyDescent="0.25">
      <c r="K64" s="7" t="s">
        <v>206</v>
      </c>
    </row>
    <row r="65" spans="11:13" x14ac:dyDescent="0.25">
      <c r="L65" s="18">
        <f>SUBTOTAL(9,L60:L64)</f>
        <v>6846</v>
      </c>
      <c r="M65" s="18">
        <f>M60</f>
        <v>12</v>
      </c>
    </row>
    <row r="67" spans="11:13" x14ac:dyDescent="0.25">
      <c r="K67" s="16" t="s">
        <v>20</v>
      </c>
      <c r="L67" s="16" t="s">
        <v>193</v>
      </c>
      <c r="M67" s="16" t="s">
        <v>192</v>
      </c>
    </row>
    <row r="68" spans="11:13" x14ac:dyDescent="0.25">
      <c r="K68" t="s">
        <v>197</v>
      </c>
      <c r="L68">
        <f>SUMIFS(G$3:G$39,J$3:J$39,K$67)</f>
        <v>980</v>
      </c>
      <c r="M68">
        <f>SUMIFS(Q$3:Q$39,J$3:J$39,K$67)-INT(COUNTIFS(J$3:J$39,K$67,M$3:M$39,"*gộp*")/2)</f>
        <v>1</v>
      </c>
    </row>
    <row r="69" spans="11:13" x14ac:dyDescent="0.25">
      <c r="K69" t="s">
        <v>200</v>
      </c>
      <c r="L69">
        <f>-SUMIFS(H$3:H$39,J$3:J$39,K$67)+M69*5</f>
        <v>-25</v>
      </c>
      <c r="M69">
        <f>SUMIFS(Q$3:Q$39,J$3:J$39,K$67)-INT(COUNTIFS(J$3:J$39,K$67,M$3:M$39,"*gộp*")/2)</f>
        <v>1</v>
      </c>
    </row>
    <row r="70" spans="11:13" x14ac:dyDescent="0.25">
      <c r="K70" t="s">
        <v>202</v>
      </c>
    </row>
    <row r="71" spans="11:13" x14ac:dyDescent="0.25">
      <c r="K71" s="7" t="s">
        <v>204</v>
      </c>
    </row>
    <row r="72" spans="11:13" x14ac:dyDescent="0.25">
      <c r="K72" s="7" t="s">
        <v>206</v>
      </c>
    </row>
    <row r="73" spans="11:13" x14ac:dyDescent="0.25">
      <c r="L73" s="18">
        <f>SUBTOTAL(9,L68:L72)</f>
        <v>955</v>
      </c>
      <c r="M73" s="18">
        <f>M68</f>
        <v>1</v>
      </c>
    </row>
  </sheetData>
  <autoFilter ref="A2:P39" xr:uid="{00000000-0009-0000-0000-00000A000000}">
    <sortState xmlns:xlrd2="http://schemas.microsoft.com/office/spreadsheetml/2017/richdata2" ref="A3:P39">
      <sortCondition ref="J2:J39"/>
    </sortState>
  </autoFilter>
  <mergeCells count="8">
    <mergeCell ref="C48:D48"/>
    <mergeCell ref="C49:D49"/>
    <mergeCell ref="C51:D51"/>
    <mergeCell ref="C43:D43"/>
    <mergeCell ref="C44:D44"/>
    <mergeCell ref="C45:D45"/>
    <mergeCell ref="C46:D46"/>
    <mergeCell ref="C47:D47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60"/>
  <sheetViews>
    <sheetView topLeftCell="A31" workbookViewId="0">
      <selection activeCell="H39" sqref="H39"/>
    </sheetView>
  </sheetViews>
  <sheetFormatPr defaultRowHeight="15" x14ac:dyDescent="0.25"/>
  <cols>
    <col min="1" max="1" width="12.7109375" customWidth="1"/>
    <col min="2" max="2" width="17.7109375" customWidth="1"/>
    <col min="3" max="3" width="27" customWidth="1"/>
    <col min="4" max="4" width="10.28515625" customWidth="1"/>
    <col min="5" max="5" width="57.140625" customWidth="1"/>
    <col min="6" max="6" width="10.71093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3.855468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 t="s">
        <v>16</v>
      </c>
      <c r="B3" s="20" t="s">
        <v>17</v>
      </c>
      <c r="C3" s="20" t="s">
        <v>1232</v>
      </c>
      <c r="D3" s="20"/>
      <c r="E3" s="20" t="s">
        <v>1233</v>
      </c>
      <c r="F3" s="21">
        <v>9</v>
      </c>
      <c r="G3" s="21">
        <v>35</v>
      </c>
      <c r="H3" s="21">
        <v>35</v>
      </c>
      <c r="I3" s="21">
        <f t="shared" ref="I3:I34" si="0">G3-H3</f>
        <v>0</v>
      </c>
      <c r="J3" s="20" t="s">
        <v>20</v>
      </c>
      <c r="K3" s="20" t="s">
        <v>21</v>
      </c>
      <c r="L3" s="20" t="s">
        <v>1234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1235</v>
      </c>
      <c r="D4" s="20" t="s">
        <v>1236</v>
      </c>
      <c r="E4" s="20" t="s">
        <v>1237</v>
      </c>
      <c r="F4" s="21">
        <v>3</v>
      </c>
      <c r="G4" s="21">
        <v>865</v>
      </c>
      <c r="H4" s="21">
        <v>25</v>
      </c>
      <c r="I4" s="21">
        <f t="shared" si="0"/>
        <v>840</v>
      </c>
      <c r="J4" s="20" t="s">
        <v>1238</v>
      </c>
      <c r="K4" s="20" t="s">
        <v>21</v>
      </c>
      <c r="L4" s="20" t="s">
        <v>1234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17</v>
      </c>
      <c r="C5" s="20" t="s">
        <v>1239</v>
      </c>
      <c r="D5" s="20" t="s">
        <v>1240</v>
      </c>
      <c r="E5" s="20" t="s">
        <v>1241</v>
      </c>
      <c r="F5" s="21">
        <v>8</v>
      </c>
      <c r="G5" s="21">
        <v>1890</v>
      </c>
      <c r="H5" s="21">
        <v>30</v>
      </c>
      <c r="I5" s="21">
        <f t="shared" si="0"/>
        <v>1860</v>
      </c>
      <c r="J5" s="20" t="s">
        <v>1238</v>
      </c>
      <c r="K5" s="20" t="s">
        <v>21</v>
      </c>
      <c r="L5" s="20" t="s">
        <v>1234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17</v>
      </c>
      <c r="C6" s="20" t="s">
        <v>1242</v>
      </c>
      <c r="D6" s="20" t="s">
        <v>1243</v>
      </c>
      <c r="E6" s="20" t="s">
        <v>1244</v>
      </c>
      <c r="F6" s="20" t="s">
        <v>46</v>
      </c>
      <c r="G6" s="21">
        <v>815</v>
      </c>
      <c r="H6" s="21">
        <v>25</v>
      </c>
      <c r="I6" s="21">
        <f t="shared" si="0"/>
        <v>790</v>
      </c>
      <c r="J6" s="20" t="s">
        <v>1238</v>
      </c>
      <c r="K6" s="20" t="s">
        <v>21</v>
      </c>
      <c r="L6" s="20" t="s">
        <v>1234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1245</v>
      </c>
      <c r="D7" s="20" t="s">
        <v>1246</v>
      </c>
      <c r="E7" s="20" t="s">
        <v>1247</v>
      </c>
      <c r="F7" s="21">
        <v>4</v>
      </c>
      <c r="G7" s="21">
        <v>895</v>
      </c>
      <c r="H7" s="21">
        <v>25</v>
      </c>
      <c r="I7" s="21">
        <f t="shared" si="0"/>
        <v>870</v>
      </c>
      <c r="J7" s="20" t="s">
        <v>1238</v>
      </c>
      <c r="K7" s="20" t="s">
        <v>21</v>
      </c>
      <c r="L7" s="20" t="s">
        <v>1234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17</v>
      </c>
      <c r="C8" s="20" t="s">
        <v>1248</v>
      </c>
      <c r="D8" s="20" t="s">
        <v>1249</v>
      </c>
      <c r="E8" s="20" t="s">
        <v>1250</v>
      </c>
      <c r="F8" s="21">
        <v>8</v>
      </c>
      <c r="G8" s="21">
        <v>0</v>
      </c>
      <c r="H8" s="21">
        <v>30</v>
      </c>
      <c r="I8" s="21">
        <f t="shared" si="0"/>
        <v>-30</v>
      </c>
      <c r="J8" s="20" t="s">
        <v>1238</v>
      </c>
      <c r="K8" s="20" t="s">
        <v>21</v>
      </c>
      <c r="L8" s="20" t="s">
        <v>1234</v>
      </c>
      <c r="M8" s="20"/>
      <c r="N8" s="20"/>
      <c r="O8" s="20"/>
      <c r="P8" s="20"/>
      <c r="Q8" s="20">
        <v>1</v>
      </c>
      <c r="R8" s="15">
        <f>H8</f>
        <v>30</v>
      </c>
    </row>
    <row r="9" spans="1:18" x14ac:dyDescent="0.25">
      <c r="A9" s="20"/>
      <c r="B9" s="20" t="s">
        <v>17</v>
      </c>
      <c r="C9" s="20" t="s">
        <v>233</v>
      </c>
      <c r="D9" s="20" t="s">
        <v>1251</v>
      </c>
      <c r="E9" s="20" t="s">
        <v>235</v>
      </c>
      <c r="F9" s="20" t="s">
        <v>46</v>
      </c>
      <c r="G9" s="21">
        <v>1765</v>
      </c>
      <c r="H9" s="21">
        <v>25</v>
      </c>
      <c r="I9" s="21">
        <f t="shared" si="0"/>
        <v>1740</v>
      </c>
      <c r="J9" s="20" t="s">
        <v>1238</v>
      </c>
      <c r="K9" s="20" t="s">
        <v>21</v>
      </c>
      <c r="L9" s="20" t="s">
        <v>1234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17</v>
      </c>
      <c r="C10" s="20" t="s">
        <v>1252</v>
      </c>
      <c r="D10" s="20" t="s">
        <v>1253</v>
      </c>
      <c r="E10" s="20" t="s">
        <v>1254</v>
      </c>
      <c r="F10" s="20" t="s">
        <v>134</v>
      </c>
      <c r="G10" s="21">
        <v>815</v>
      </c>
      <c r="H10" s="21">
        <v>35</v>
      </c>
      <c r="I10" s="21">
        <f t="shared" si="0"/>
        <v>780</v>
      </c>
      <c r="J10" s="20" t="s">
        <v>1238</v>
      </c>
      <c r="K10" s="20" t="s">
        <v>21</v>
      </c>
      <c r="L10" s="20" t="s">
        <v>1234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294</v>
      </c>
      <c r="D11" s="20" t="s">
        <v>1255</v>
      </c>
      <c r="E11" s="20" t="s">
        <v>296</v>
      </c>
      <c r="F11" s="21">
        <v>6</v>
      </c>
      <c r="G11" s="21">
        <v>805</v>
      </c>
      <c r="H11" s="21">
        <v>25</v>
      </c>
      <c r="I11" s="21">
        <f t="shared" si="0"/>
        <v>780</v>
      </c>
      <c r="J11" s="20" t="s">
        <v>1238</v>
      </c>
      <c r="K11" s="20" t="s">
        <v>21</v>
      </c>
      <c r="L11" s="20" t="s">
        <v>1234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1256</v>
      </c>
      <c r="D12" s="20" t="s">
        <v>1257</v>
      </c>
      <c r="E12" s="20" t="s">
        <v>1258</v>
      </c>
      <c r="F12" s="20" t="s">
        <v>26</v>
      </c>
      <c r="G12" s="21">
        <v>690</v>
      </c>
      <c r="H12" s="21">
        <v>30</v>
      </c>
      <c r="I12" s="21">
        <f t="shared" si="0"/>
        <v>660</v>
      </c>
      <c r="J12" s="20" t="s">
        <v>1238</v>
      </c>
      <c r="K12" s="20" t="s">
        <v>21</v>
      </c>
      <c r="L12" s="20" t="s">
        <v>1234</v>
      </c>
      <c r="M12" s="20"/>
      <c r="N12" s="20"/>
      <c r="O12" s="20"/>
      <c r="P12" s="20"/>
      <c r="Q12" s="20">
        <v>1</v>
      </c>
    </row>
    <row r="13" spans="1:18" x14ac:dyDescent="0.25">
      <c r="A13" s="20"/>
      <c r="B13" s="20" t="s">
        <v>17</v>
      </c>
      <c r="C13" s="20" t="s">
        <v>1259</v>
      </c>
      <c r="D13" s="20" t="s">
        <v>1260</v>
      </c>
      <c r="E13" s="20" t="s">
        <v>1261</v>
      </c>
      <c r="F13" s="21">
        <v>7</v>
      </c>
      <c r="G13" s="21">
        <v>1420</v>
      </c>
      <c r="H13" s="21">
        <v>30</v>
      </c>
      <c r="I13" s="21">
        <f t="shared" si="0"/>
        <v>1390</v>
      </c>
      <c r="J13" s="20" t="s">
        <v>1238</v>
      </c>
      <c r="K13" s="20" t="s">
        <v>21</v>
      </c>
      <c r="L13" s="20" t="s">
        <v>1234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17</v>
      </c>
      <c r="C14" s="20" t="s">
        <v>1262</v>
      </c>
      <c r="D14" s="20" t="s">
        <v>1263</v>
      </c>
      <c r="E14" s="20" t="s">
        <v>1264</v>
      </c>
      <c r="F14" s="21">
        <v>6</v>
      </c>
      <c r="G14" s="21">
        <v>0</v>
      </c>
      <c r="H14" s="21">
        <v>25</v>
      </c>
      <c r="I14" s="21">
        <f t="shared" si="0"/>
        <v>-25</v>
      </c>
      <c r="J14" s="20" t="s">
        <v>1238</v>
      </c>
      <c r="K14" s="20" t="s">
        <v>21</v>
      </c>
      <c r="L14" s="20" t="s">
        <v>1234</v>
      </c>
      <c r="M14" s="20"/>
      <c r="N14" s="20"/>
      <c r="O14" s="20"/>
      <c r="P14" s="20"/>
      <c r="Q14" s="20">
        <v>1</v>
      </c>
      <c r="R14" s="15">
        <f>H14</f>
        <v>25</v>
      </c>
    </row>
    <row r="15" spans="1:18" x14ac:dyDescent="0.25">
      <c r="A15" s="20"/>
      <c r="B15" s="20" t="s">
        <v>17</v>
      </c>
      <c r="C15" s="20" t="s">
        <v>1265</v>
      </c>
      <c r="D15" s="20" t="s">
        <v>1266</v>
      </c>
      <c r="E15" s="20" t="s">
        <v>1267</v>
      </c>
      <c r="F15" s="20" t="s">
        <v>26</v>
      </c>
      <c r="G15" s="21">
        <v>0</v>
      </c>
      <c r="H15" s="21">
        <v>30</v>
      </c>
      <c r="I15" s="21">
        <f t="shared" si="0"/>
        <v>-30</v>
      </c>
      <c r="J15" s="20" t="s">
        <v>1238</v>
      </c>
      <c r="K15" s="20" t="s">
        <v>21</v>
      </c>
      <c r="L15" s="20" t="s">
        <v>1234</v>
      </c>
      <c r="M15" s="20"/>
      <c r="N15" s="20"/>
      <c r="O15" s="20"/>
      <c r="P15" s="20"/>
      <c r="Q15" s="20">
        <v>1</v>
      </c>
      <c r="R15" s="15">
        <f>H15</f>
        <v>30</v>
      </c>
    </row>
    <row r="16" spans="1:18" x14ac:dyDescent="0.25">
      <c r="A16" s="20"/>
      <c r="B16" s="20" t="s">
        <v>17</v>
      </c>
      <c r="C16" s="20" t="s">
        <v>1268</v>
      </c>
      <c r="D16" s="20" t="s">
        <v>1269</v>
      </c>
      <c r="E16" s="20" t="s">
        <v>1270</v>
      </c>
      <c r="F16" s="20" t="s">
        <v>26</v>
      </c>
      <c r="G16" s="21">
        <v>1390</v>
      </c>
      <c r="H16" s="21">
        <v>30</v>
      </c>
      <c r="I16" s="21">
        <f t="shared" si="0"/>
        <v>1360</v>
      </c>
      <c r="J16" s="20" t="s">
        <v>1238</v>
      </c>
      <c r="K16" s="20" t="s">
        <v>21</v>
      </c>
      <c r="L16" s="20" t="s">
        <v>1234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1271</v>
      </c>
      <c r="D17" s="20" t="s">
        <v>1272</v>
      </c>
      <c r="E17" s="20" t="s">
        <v>1273</v>
      </c>
      <c r="F17" s="21">
        <v>7</v>
      </c>
      <c r="G17" s="21">
        <v>1630</v>
      </c>
      <c r="H17" s="21">
        <v>30</v>
      </c>
      <c r="I17" s="21">
        <f t="shared" si="0"/>
        <v>1600</v>
      </c>
      <c r="J17" s="20" t="s">
        <v>1238</v>
      </c>
      <c r="K17" s="20" t="s">
        <v>21</v>
      </c>
      <c r="L17" s="20" t="s">
        <v>1234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1274</v>
      </c>
      <c r="D18" s="20" t="s">
        <v>1275</v>
      </c>
      <c r="E18" s="20" t="s">
        <v>1276</v>
      </c>
      <c r="F18" s="21">
        <v>10</v>
      </c>
      <c r="G18" s="21">
        <v>815</v>
      </c>
      <c r="H18" s="21">
        <v>25</v>
      </c>
      <c r="I18" s="21">
        <f t="shared" si="0"/>
        <v>790</v>
      </c>
      <c r="J18" s="20" t="s">
        <v>1238</v>
      </c>
      <c r="K18" s="20" t="s">
        <v>21</v>
      </c>
      <c r="L18" s="20" t="s">
        <v>1234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1277</v>
      </c>
      <c r="D19" s="20" t="s">
        <v>1278</v>
      </c>
      <c r="E19" s="20" t="s">
        <v>1279</v>
      </c>
      <c r="F19" s="20" t="s">
        <v>406</v>
      </c>
      <c r="G19" s="21">
        <v>0</v>
      </c>
      <c r="H19" s="21">
        <v>20</v>
      </c>
      <c r="I19" s="21">
        <f t="shared" si="0"/>
        <v>-20</v>
      </c>
      <c r="J19" s="20" t="s">
        <v>21</v>
      </c>
      <c r="K19" s="20" t="s">
        <v>21</v>
      </c>
      <c r="L19" s="20" t="s">
        <v>1234</v>
      </c>
      <c r="M19" s="20"/>
      <c r="N19" s="20"/>
      <c r="O19" s="20"/>
      <c r="P19" s="20"/>
      <c r="Q19" s="20">
        <v>1</v>
      </c>
      <c r="R19" s="15">
        <f>H19</f>
        <v>20</v>
      </c>
    </row>
    <row r="20" spans="1:18" x14ac:dyDescent="0.25">
      <c r="A20" s="20"/>
      <c r="B20" s="20" t="s">
        <v>17</v>
      </c>
      <c r="C20" s="20" t="s">
        <v>1280</v>
      </c>
      <c r="D20" s="20" t="s">
        <v>1281</v>
      </c>
      <c r="E20" s="20" t="s">
        <v>1282</v>
      </c>
      <c r="F20" s="21">
        <v>1</v>
      </c>
      <c r="G20" s="21">
        <v>845</v>
      </c>
      <c r="H20" s="21">
        <v>25</v>
      </c>
      <c r="I20" s="21">
        <f t="shared" si="0"/>
        <v>820</v>
      </c>
      <c r="J20" s="20" t="s">
        <v>21</v>
      </c>
      <c r="K20" s="20" t="s">
        <v>21</v>
      </c>
      <c r="L20" s="20" t="s">
        <v>1234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17</v>
      </c>
      <c r="C21" s="20" t="s">
        <v>1283</v>
      </c>
      <c r="D21" s="20" t="s">
        <v>1284</v>
      </c>
      <c r="E21" s="20" t="s">
        <v>1285</v>
      </c>
      <c r="F21" s="21">
        <v>12</v>
      </c>
      <c r="G21" s="21">
        <v>0</v>
      </c>
      <c r="H21" s="21">
        <v>40</v>
      </c>
      <c r="I21" s="21">
        <f t="shared" si="0"/>
        <v>-40</v>
      </c>
      <c r="J21" s="20" t="s">
        <v>21</v>
      </c>
      <c r="K21" s="20" t="s">
        <v>21</v>
      </c>
      <c r="L21" s="20" t="s">
        <v>1234</v>
      </c>
      <c r="M21" s="20"/>
      <c r="N21" s="20"/>
      <c r="O21" s="20"/>
      <c r="P21" s="20"/>
      <c r="Q21" s="20">
        <v>1</v>
      </c>
      <c r="R21" s="15">
        <f>H21</f>
        <v>40</v>
      </c>
    </row>
    <row r="22" spans="1:18" x14ac:dyDescent="0.25">
      <c r="A22" s="20"/>
      <c r="B22" s="20" t="s">
        <v>17</v>
      </c>
      <c r="C22" s="20" t="s">
        <v>1286</v>
      </c>
      <c r="D22" s="20" t="s">
        <v>1287</v>
      </c>
      <c r="E22" s="20" t="s">
        <v>1288</v>
      </c>
      <c r="F22" s="20" t="s">
        <v>95</v>
      </c>
      <c r="G22" s="21">
        <v>805</v>
      </c>
      <c r="H22" s="21">
        <v>25</v>
      </c>
      <c r="I22" s="21">
        <f t="shared" si="0"/>
        <v>780</v>
      </c>
      <c r="J22" s="20" t="s">
        <v>21</v>
      </c>
      <c r="K22" s="20" t="s">
        <v>21</v>
      </c>
      <c r="L22" s="20" t="s">
        <v>1234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1289</v>
      </c>
      <c r="D23" s="20" t="s">
        <v>1290</v>
      </c>
      <c r="E23" s="20" t="s">
        <v>1291</v>
      </c>
      <c r="F23" s="20" t="s">
        <v>77</v>
      </c>
      <c r="G23" s="21">
        <v>695</v>
      </c>
      <c r="H23" s="21">
        <v>25</v>
      </c>
      <c r="I23" s="21">
        <f t="shared" si="0"/>
        <v>670</v>
      </c>
      <c r="J23" s="20" t="s">
        <v>21</v>
      </c>
      <c r="K23" s="20" t="s">
        <v>21</v>
      </c>
      <c r="L23" s="20" t="s">
        <v>1234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17</v>
      </c>
      <c r="C24" s="20" t="s">
        <v>1292</v>
      </c>
      <c r="D24" s="20" t="s">
        <v>1293</v>
      </c>
      <c r="E24" s="20" t="s">
        <v>500</v>
      </c>
      <c r="F24" s="21">
        <v>12</v>
      </c>
      <c r="G24" s="21">
        <v>0</v>
      </c>
      <c r="H24" s="21">
        <v>30</v>
      </c>
      <c r="I24" s="21">
        <f t="shared" si="0"/>
        <v>-30</v>
      </c>
      <c r="J24" s="20" t="s">
        <v>21</v>
      </c>
      <c r="K24" s="20" t="s">
        <v>21</v>
      </c>
      <c r="L24" s="20" t="s">
        <v>1234</v>
      </c>
      <c r="M24" s="20"/>
      <c r="N24" s="20"/>
      <c r="O24" s="20"/>
      <c r="P24" s="20"/>
      <c r="Q24" s="20">
        <v>1</v>
      </c>
      <c r="R24" s="15">
        <f>H24</f>
        <v>30</v>
      </c>
    </row>
    <row r="25" spans="1:18" x14ac:dyDescent="0.25">
      <c r="A25" s="20"/>
      <c r="B25" s="20" t="s">
        <v>17</v>
      </c>
      <c r="C25" s="20" t="s">
        <v>1294</v>
      </c>
      <c r="D25" s="20" t="s">
        <v>1295</v>
      </c>
      <c r="E25" s="20" t="s">
        <v>1296</v>
      </c>
      <c r="F25" s="20" t="s">
        <v>77</v>
      </c>
      <c r="G25" s="21">
        <v>3600</v>
      </c>
      <c r="H25" s="21">
        <v>35</v>
      </c>
      <c r="I25" s="21">
        <f t="shared" si="0"/>
        <v>3565</v>
      </c>
      <c r="J25" s="20" t="s">
        <v>21</v>
      </c>
      <c r="K25" s="20" t="s">
        <v>21</v>
      </c>
      <c r="L25" s="20" t="s">
        <v>1234</v>
      </c>
      <c r="M25" s="25" t="s">
        <v>167</v>
      </c>
      <c r="N25" s="20"/>
      <c r="O25" s="20"/>
      <c r="P25" s="20"/>
      <c r="Q25" s="20">
        <v>1</v>
      </c>
      <c r="R25" s="15">
        <f>H25</f>
        <v>35</v>
      </c>
    </row>
    <row r="26" spans="1:18" x14ac:dyDescent="0.25">
      <c r="A26" s="20"/>
      <c r="B26" s="20" t="s">
        <v>17</v>
      </c>
      <c r="C26" s="20" t="s">
        <v>1113</v>
      </c>
      <c r="D26" s="20" t="s">
        <v>1297</v>
      </c>
      <c r="E26" s="20" t="s">
        <v>1298</v>
      </c>
      <c r="F26" s="20" t="s">
        <v>95</v>
      </c>
      <c r="G26" s="21">
        <v>25</v>
      </c>
      <c r="H26" s="21">
        <v>25</v>
      </c>
      <c r="I26" s="21">
        <f t="shared" si="0"/>
        <v>0</v>
      </c>
      <c r="J26" s="20" t="s">
        <v>21</v>
      </c>
      <c r="K26" s="20" t="s">
        <v>21</v>
      </c>
      <c r="L26" s="20" t="s">
        <v>1234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17</v>
      </c>
      <c r="C27" s="20" t="s">
        <v>1299</v>
      </c>
      <c r="D27" s="20" t="s">
        <v>1300</v>
      </c>
      <c r="E27" s="20" t="s">
        <v>1301</v>
      </c>
      <c r="F27" s="20" t="s">
        <v>406</v>
      </c>
      <c r="G27" s="21">
        <v>660</v>
      </c>
      <c r="H27" s="21">
        <v>20</v>
      </c>
      <c r="I27" s="21">
        <f t="shared" si="0"/>
        <v>640</v>
      </c>
      <c r="J27" s="20" t="s">
        <v>21</v>
      </c>
      <c r="K27" s="20" t="s">
        <v>21</v>
      </c>
      <c r="L27" s="20" t="s">
        <v>1234</v>
      </c>
      <c r="M27" s="20"/>
      <c r="N27" s="20"/>
      <c r="O27" s="20"/>
      <c r="P27" s="20"/>
      <c r="Q27" s="20">
        <v>1</v>
      </c>
    </row>
    <row r="28" spans="1:18" x14ac:dyDescent="0.25">
      <c r="A28" s="20"/>
      <c r="B28" s="20" t="s">
        <v>17</v>
      </c>
      <c r="C28" s="20" t="s">
        <v>1302</v>
      </c>
      <c r="D28" s="20" t="s">
        <v>1303</v>
      </c>
      <c r="E28" s="20" t="s">
        <v>1304</v>
      </c>
      <c r="F28" s="20" t="s">
        <v>95</v>
      </c>
      <c r="G28" s="21">
        <v>985</v>
      </c>
      <c r="H28" s="21">
        <v>25</v>
      </c>
      <c r="I28" s="21">
        <f t="shared" si="0"/>
        <v>960</v>
      </c>
      <c r="J28" s="20" t="s">
        <v>21</v>
      </c>
      <c r="K28" s="20" t="s">
        <v>21</v>
      </c>
      <c r="L28" s="20" t="s">
        <v>1234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17</v>
      </c>
      <c r="C29" s="20" t="s">
        <v>1305</v>
      </c>
      <c r="D29" s="20" t="s">
        <v>1306</v>
      </c>
      <c r="E29" s="20" t="s">
        <v>1307</v>
      </c>
      <c r="F29" s="20" t="s">
        <v>77</v>
      </c>
      <c r="G29" s="21">
        <v>1695</v>
      </c>
      <c r="H29" s="21">
        <v>25</v>
      </c>
      <c r="I29" s="21">
        <f t="shared" si="0"/>
        <v>1670</v>
      </c>
      <c r="J29" s="20" t="s">
        <v>21</v>
      </c>
      <c r="K29" s="20" t="s">
        <v>21</v>
      </c>
      <c r="L29" s="20" t="s">
        <v>1234</v>
      </c>
      <c r="M29" s="20"/>
      <c r="N29" s="20"/>
      <c r="O29" s="20"/>
      <c r="P29" s="20"/>
      <c r="Q29" s="20">
        <v>1</v>
      </c>
    </row>
    <row r="30" spans="1:18" x14ac:dyDescent="0.25">
      <c r="A30" s="20"/>
      <c r="B30" s="20" t="s">
        <v>17</v>
      </c>
      <c r="C30" s="20" t="s">
        <v>1308</v>
      </c>
      <c r="D30" s="20" t="s">
        <v>1309</v>
      </c>
      <c r="E30" s="20" t="s">
        <v>1310</v>
      </c>
      <c r="F30" s="20" t="s">
        <v>85</v>
      </c>
      <c r="G30" s="21">
        <v>990</v>
      </c>
      <c r="H30" s="21">
        <v>20</v>
      </c>
      <c r="I30" s="21">
        <f t="shared" si="0"/>
        <v>970</v>
      </c>
      <c r="J30" s="20" t="s">
        <v>21</v>
      </c>
      <c r="K30" s="20" t="s">
        <v>21</v>
      </c>
      <c r="L30" s="20" t="s">
        <v>1234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17</v>
      </c>
      <c r="C31" s="20" t="s">
        <v>1311</v>
      </c>
      <c r="D31" s="20" t="s">
        <v>1312</v>
      </c>
      <c r="E31" s="20" t="s">
        <v>1313</v>
      </c>
      <c r="F31" s="20" t="s">
        <v>81</v>
      </c>
      <c r="G31" s="21">
        <v>540</v>
      </c>
      <c r="H31" s="21">
        <v>30</v>
      </c>
      <c r="I31" s="21">
        <f t="shared" si="0"/>
        <v>510</v>
      </c>
      <c r="J31" s="20" t="s">
        <v>21</v>
      </c>
      <c r="K31" s="20" t="s">
        <v>21</v>
      </c>
      <c r="L31" s="20" t="s">
        <v>1234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1314</v>
      </c>
      <c r="D32" s="20" t="s">
        <v>1315</v>
      </c>
      <c r="E32" s="20" t="s">
        <v>1316</v>
      </c>
      <c r="F32" s="21">
        <v>12</v>
      </c>
      <c r="G32" s="21">
        <v>1530</v>
      </c>
      <c r="H32" s="21">
        <v>30</v>
      </c>
      <c r="I32" s="21">
        <f t="shared" si="0"/>
        <v>1500</v>
      </c>
      <c r="J32" s="20" t="s">
        <v>21</v>
      </c>
      <c r="K32" s="20" t="s">
        <v>21</v>
      </c>
      <c r="L32" s="20" t="s">
        <v>1234</v>
      </c>
      <c r="M32" s="20"/>
      <c r="N32" s="20"/>
      <c r="O32" s="20"/>
      <c r="P32" s="20"/>
      <c r="Q32" s="20">
        <v>1</v>
      </c>
    </row>
    <row r="33" spans="1:17" x14ac:dyDescent="0.25">
      <c r="A33" s="20"/>
      <c r="B33" s="20" t="s">
        <v>17</v>
      </c>
      <c r="C33" s="20" t="s">
        <v>1317</v>
      </c>
      <c r="D33" s="20" t="s">
        <v>1318</v>
      </c>
      <c r="E33" s="20" t="s">
        <v>1319</v>
      </c>
      <c r="F33" s="20" t="s">
        <v>95</v>
      </c>
      <c r="G33" s="21">
        <v>765</v>
      </c>
      <c r="H33" s="21">
        <v>25</v>
      </c>
      <c r="I33" s="21">
        <f t="shared" si="0"/>
        <v>740</v>
      </c>
      <c r="J33" s="20" t="s">
        <v>21</v>
      </c>
      <c r="K33" s="20" t="s">
        <v>21</v>
      </c>
      <c r="L33" s="20" t="s">
        <v>1234</v>
      </c>
      <c r="M33" s="20"/>
      <c r="N33" s="20"/>
      <c r="O33" s="20"/>
      <c r="P33" s="20"/>
      <c r="Q33" s="20">
        <v>1</v>
      </c>
    </row>
    <row r="34" spans="1:17" x14ac:dyDescent="0.25">
      <c r="A34" s="20" t="s">
        <v>16</v>
      </c>
      <c r="B34" s="20" t="s">
        <v>17</v>
      </c>
      <c r="C34" s="20" t="s">
        <v>1320</v>
      </c>
      <c r="D34" s="20"/>
      <c r="E34" s="20" t="s">
        <v>1321</v>
      </c>
      <c r="F34" s="20" t="s">
        <v>95</v>
      </c>
      <c r="G34" s="21">
        <v>30</v>
      </c>
      <c r="H34" s="21">
        <v>30</v>
      </c>
      <c r="I34" s="21">
        <f t="shared" si="0"/>
        <v>0</v>
      </c>
      <c r="J34" s="20" t="s">
        <v>21</v>
      </c>
      <c r="K34" s="20" t="s">
        <v>21</v>
      </c>
      <c r="L34" s="20" t="s">
        <v>1234</v>
      </c>
      <c r="M34" s="20"/>
      <c r="N34" s="20"/>
      <c r="O34" s="20"/>
      <c r="P34" s="20"/>
      <c r="Q34" s="20">
        <v>1</v>
      </c>
    </row>
    <row r="36" spans="1:17" x14ac:dyDescent="0.25">
      <c r="D36" s="6">
        <f>COUNTA(D3:D34)</f>
        <v>30</v>
      </c>
      <c r="G36" s="6">
        <f t="shared" ref="G36:Q36" si="1">SUBTOTAL(9,G3:G34)</f>
        <v>26995</v>
      </c>
      <c r="H36" s="6">
        <f t="shared" si="1"/>
        <v>885</v>
      </c>
      <c r="I36" s="6">
        <f t="shared" si="1"/>
        <v>26110</v>
      </c>
      <c r="J36" s="6">
        <f t="shared" si="1"/>
        <v>0</v>
      </c>
      <c r="K36" s="6">
        <f t="shared" si="1"/>
        <v>0</v>
      </c>
      <c r="L36" s="6">
        <f t="shared" si="1"/>
        <v>0</v>
      </c>
      <c r="M36" s="6">
        <f t="shared" si="1"/>
        <v>0</v>
      </c>
      <c r="N36" s="6">
        <f t="shared" si="1"/>
        <v>0</v>
      </c>
      <c r="O36" s="6">
        <f t="shared" si="1"/>
        <v>0</v>
      </c>
      <c r="P36" s="6">
        <f t="shared" si="1"/>
        <v>0</v>
      </c>
      <c r="Q36" s="6">
        <f t="shared" si="1"/>
        <v>32</v>
      </c>
    </row>
    <row r="37" spans="1:17" x14ac:dyDescent="0.25">
      <c r="H37">
        <f>-11*17</f>
        <v>-187</v>
      </c>
    </row>
    <row r="38" spans="1:17" x14ac:dyDescent="0.25">
      <c r="A38" s="6" t="s">
        <v>17</v>
      </c>
      <c r="C38" s="5" t="s">
        <v>191</v>
      </c>
      <c r="D38" s="5"/>
      <c r="E38" s="9" t="s">
        <v>192</v>
      </c>
      <c r="H38">
        <f>-3*25</f>
        <v>-75</v>
      </c>
      <c r="K38" s="16" t="s">
        <v>1238</v>
      </c>
      <c r="L38" s="16" t="s">
        <v>193</v>
      </c>
      <c r="M38" s="16" t="s">
        <v>192</v>
      </c>
      <c r="O38" s="9" t="s">
        <v>194</v>
      </c>
    </row>
    <row r="39" spans="1:17" x14ac:dyDescent="0.25">
      <c r="A39" t="s">
        <v>1234</v>
      </c>
      <c r="B39" s="8" t="s">
        <v>195</v>
      </c>
      <c r="C39" s="4">
        <f>SUMIFS(I$3:I$34,B$3:B$34,A$38,L$3:L$34,A$39)</f>
        <v>26110</v>
      </c>
      <c r="D39" s="4"/>
      <c r="E39" s="8">
        <f>SUMIFS(Q$3:Q$34,B$3:B$34,A$38,L$3:L$34,A$39)</f>
        <v>32</v>
      </c>
      <c r="F39" t="s">
        <v>196</v>
      </c>
      <c r="H39">
        <f>-1*30</f>
        <v>-30</v>
      </c>
      <c r="K39" t="s">
        <v>197</v>
      </c>
      <c r="L39">
        <f>SUMIFS(G$3:G$34,J$3:J$34,K$38)</f>
        <v>13795</v>
      </c>
      <c r="M39">
        <f>SUMIFS(Q$3:Q$34,J$3:J$34,K$38)-INT(COUNTIFS(J$3:J$34,K$38,M$3:M$34,"*gộp*")/2)</f>
        <v>15</v>
      </c>
      <c r="O39" t="s">
        <v>1322</v>
      </c>
      <c r="P39">
        <f>L44</f>
        <v>13503</v>
      </c>
    </row>
    <row r="40" spans="1:17" x14ac:dyDescent="0.25">
      <c r="B40" s="7" t="s">
        <v>199</v>
      </c>
      <c r="C40" s="3">
        <v>0</v>
      </c>
      <c r="D40" s="3"/>
      <c r="K40" t="s">
        <v>200</v>
      </c>
      <c r="L40">
        <f>SUM(H37:H39)</f>
        <v>-292</v>
      </c>
      <c r="M40">
        <f>SUMIFS(Q$3:Q$34,J$3:J$34,K$38)-INT(COUNTIFS(J$3:J$34,K$38,M$3:M$34,"*gộp*")/2)</f>
        <v>15</v>
      </c>
      <c r="O40" t="s">
        <v>21</v>
      </c>
      <c r="P40">
        <f>L52</f>
        <v>12751</v>
      </c>
    </row>
    <row r="41" spans="1:17" x14ac:dyDescent="0.25">
      <c r="B41" s="7" t="s">
        <v>201</v>
      </c>
      <c r="C41" s="3">
        <f>-SUMIFS(I$3:I$34,B$3:B$34,A$38,P$3:P$34,"xx",N$3:N$34,"x")</f>
        <v>0</v>
      </c>
      <c r="D41" s="3"/>
      <c r="E41" s="7">
        <f>SUMIFS(Q$3:Q$34,B$3:B$34,A$38,P$3:P$34,"xx",N$3:N$34,"x")</f>
        <v>0</v>
      </c>
      <c r="K41" t="s">
        <v>202</v>
      </c>
      <c r="O41" t="s">
        <v>20</v>
      </c>
      <c r="P41">
        <f>L60</f>
        <v>5</v>
      </c>
    </row>
    <row r="42" spans="1:17" x14ac:dyDescent="0.25">
      <c r="B42" s="9" t="s">
        <v>203</v>
      </c>
      <c r="C42" s="5">
        <f>SUBTOTAL(9,C39:C41)</f>
        <v>26110</v>
      </c>
      <c r="D42" s="5"/>
      <c r="E42">
        <f>E39</f>
        <v>32</v>
      </c>
      <c r="K42" s="7" t="s">
        <v>204</v>
      </c>
      <c r="O42" t="s">
        <v>207</v>
      </c>
      <c r="P42">
        <f>-C46</f>
        <v>-26110</v>
      </c>
    </row>
    <row r="43" spans="1:17" x14ac:dyDescent="0.25">
      <c r="B43" s="7" t="s">
        <v>205</v>
      </c>
      <c r="C43" s="2"/>
      <c r="D43" s="2"/>
      <c r="K43" s="7" t="s">
        <v>206</v>
      </c>
      <c r="O43" s="9" t="s">
        <v>209</v>
      </c>
      <c r="P43" s="9">
        <f>SUBTOTAL(9,P39:P42)</f>
        <v>149</v>
      </c>
    </row>
    <row r="44" spans="1:17" x14ac:dyDescent="0.25">
      <c r="B44" s="17" t="s">
        <v>208</v>
      </c>
      <c r="C44" s="2"/>
      <c r="D44" s="2"/>
      <c r="L44" s="18">
        <f>SUBTOTAL(9,L39:L43)</f>
        <v>13503</v>
      </c>
      <c r="M44" s="18">
        <f>M39</f>
        <v>15</v>
      </c>
    </row>
    <row r="46" spans="1:17" x14ac:dyDescent="0.25">
      <c r="B46" s="6" t="s">
        <v>210</v>
      </c>
      <c r="C46" s="1">
        <f>C42+C43+C44</f>
        <v>26110</v>
      </c>
      <c r="D46" s="1"/>
      <c r="E46" s="6" t="s">
        <v>211</v>
      </c>
      <c r="K46" s="16" t="s">
        <v>21</v>
      </c>
      <c r="L46" s="16" t="s">
        <v>193</v>
      </c>
      <c r="M46" s="16" t="s">
        <v>192</v>
      </c>
    </row>
    <row r="47" spans="1:17" x14ac:dyDescent="0.25">
      <c r="K47" t="s">
        <v>197</v>
      </c>
      <c r="L47">
        <f>SUMIFS(G$3:G$34,J$3:J$34,K$46)</f>
        <v>13165</v>
      </c>
      <c r="M47">
        <f>SUMIFS(Q$3:Q$34,J$3:J$34,K$46)-INT(COUNTIFS(J$3:J$34,K$46,M$3:M$34,"*gộp*")/2)</f>
        <v>16</v>
      </c>
    </row>
    <row r="48" spans="1:17" x14ac:dyDescent="0.25">
      <c r="K48" t="s">
        <v>200</v>
      </c>
      <c r="L48">
        <f>-SUMIFS(H$3:H$34,J$3:J$34,K$46)+M48*5</f>
        <v>-350</v>
      </c>
      <c r="M48">
        <f>SUMIFS(Q$3:Q$34,J$3:J$34,K$46)-INT(COUNTIFS(J$3:J$34,K$46,M$3:M$34,"*gộp*")/2)</f>
        <v>16</v>
      </c>
    </row>
    <row r="49" spans="11:13" x14ac:dyDescent="0.25">
      <c r="K49" t="s">
        <v>202</v>
      </c>
      <c r="L49">
        <f>-M49*2</f>
        <v>-64</v>
      </c>
      <c r="M49">
        <f>E42-(COUNTIFS(M$3:M$34,"*gộp*")/2)-COUNTIFS(M$3:M$34,"*đơn trả*")-COUNTIFS(M$3:M$34,"*hàng tỉnh*")</f>
        <v>32</v>
      </c>
    </row>
    <row r="50" spans="11:13" x14ac:dyDescent="0.25">
      <c r="K50" s="7" t="s">
        <v>204</v>
      </c>
    </row>
    <row r="51" spans="11:13" x14ac:dyDescent="0.25">
      <c r="K51" s="7" t="s">
        <v>206</v>
      </c>
    </row>
    <row r="52" spans="11:13" x14ac:dyDescent="0.25">
      <c r="L52" s="18">
        <f>SUBTOTAL(9,L47:L51)</f>
        <v>12751</v>
      </c>
      <c r="M52" s="18">
        <f>M47</f>
        <v>16</v>
      </c>
    </row>
    <row r="54" spans="11:13" x14ac:dyDescent="0.25">
      <c r="K54" s="16" t="s">
        <v>20</v>
      </c>
      <c r="L54" s="16" t="s">
        <v>193</v>
      </c>
      <c r="M54" s="16" t="s">
        <v>192</v>
      </c>
    </row>
    <row r="55" spans="11:13" x14ac:dyDescent="0.25">
      <c r="K55" t="s">
        <v>197</v>
      </c>
      <c r="L55">
        <f>SUMIFS(G$3:G$34,J$3:J$34,K$54)</f>
        <v>35</v>
      </c>
      <c r="M55">
        <f>SUMIFS(Q$3:Q$34,J$3:J$34,K$54)-INT(COUNTIFS(J$3:J$34,K$54,M$3:M$34,"*gộp*")/2)</f>
        <v>1</v>
      </c>
    </row>
    <row r="56" spans="11:13" x14ac:dyDescent="0.25">
      <c r="K56" t="s">
        <v>200</v>
      </c>
      <c r="L56">
        <f>-SUMIFS(H$3:H$34,J$3:J$34,K$54)+M56*5</f>
        <v>-30</v>
      </c>
      <c r="M56">
        <f>SUMIFS(Q$3:Q$34,J$3:J$34,K$54)-INT(COUNTIFS(J$3:J$34,K$54,M$3:M$34,"*gộp*")/2)</f>
        <v>1</v>
      </c>
    </row>
    <row r="57" spans="11:13" x14ac:dyDescent="0.25">
      <c r="K57" t="s">
        <v>202</v>
      </c>
    </row>
    <row r="58" spans="11:13" x14ac:dyDescent="0.25">
      <c r="K58" s="7" t="s">
        <v>204</v>
      </c>
    </row>
    <row r="59" spans="11:13" x14ac:dyDescent="0.25">
      <c r="K59" s="7" t="s">
        <v>206</v>
      </c>
    </row>
    <row r="60" spans="11:13" x14ac:dyDescent="0.25">
      <c r="L60" s="18">
        <f>SUBTOTAL(9,L55:L59)</f>
        <v>5</v>
      </c>
      <c r="M60" s="18">
        <f>M55</f>
        <v>1</v>
      </c>
    </row>
  </sheetData>
  <autoFilter ref="A2:P34" xr:uid="{00000000-0009-0000-0000-00000B000000}">
    <sortState xmlns:xlrd2="http://schemas.microsoft.com/office/spreadsheetml/2017/richdata2" ref="A3:P34">
      <sortCondition ref="J2:J34"/>
    </sortState>
  </autoFilter>
  <mergeCells count="8">
    <mergeCell ref="C43:D43"/>
    <mergeCell ref="C44:D44"/>
    <mergeCell ref="C46:D46"/>
    <mergeCell ref="C38:D38"/>
    <mergeCell ref="C39:D39"/>
    <mergeCell ref="C40:D40"/>
    <mergeCell ref="C41:D41"/>
    <mergeCell ref="C42:D42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R68"/>
  <sheetViews>
    <sheetView workbookViewId="0">
      <selection activeCell="F60" sqref="F60"/>
    </sheetView>
  </sheetViews>
  <sheetFormatPr defaultRowHeight="15" x14ac:dyDescent="0.25"/>
  <cols>
    <col min="1" max="1" width="12.7109375" customWidth="1"/>
    <col min="2" max="2" width="17.7109375" customWidth="1"/>
    <col min="3" max="3" width="45" customWidth="1"/>
    <col min="4" max="4" width="9.85546875" customWidth="1"/>
    <col min="5" max="5" width="74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18.425781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19" t="s">
        <v>212</v>
      </c>
    </row>
    <row r="3" spans="1:18" x14ac:dyDescent="0.25">
      <c r="A3" s="20"/>
      <c r="B3" s="20" t="s">
        <v>17</v>
      </c>
      <c r="C3" s="20" t="s">
        <v>1323</v>
      </c>
      <c r="D3" s="20" t="s">
        <v>1324</v>
      </c>
      <c r="E3" s="20" t="s">
        <v>1325</v>
      </c>
      <c r="F3" s="20" t="s">
        <v>26</v>
      </c>
      <c r="G3" s="21">
        <v>0</v>
      </c>
      <c r="H3" s="21">
        <v>30</v>
      </c>
      <c r="I3" s="21">
        <f t="shared" ref="I3:I42" si="0">G3-H3</f>
        <v>-30</v>
      </c>
      <c r="J3" s="20" t="s">
        <v>1326</v>
      </c>
      <c r="K3" s="20" t="s">
        <v>21</v>
      </c>
      <c r="L3" s="20" t="s">
        <v>1327</v>
      </c>
      <c r="M3" s="25" t="s">
        <v>1328</v>
      </c>
      <c r="N3" s="20"/>
      <c r="O3" s="20"/>
      <c r="P3" s="20"/>
      <c r="Q3" s="20">
        <v>1</v>
      </c>
      <c r="R3" s="15">
        <f>H3</f>
        <v>30</v>
      </c>
    </row>
    <row r="4" spans="1:18" x14ac:dyDescent="0.25">
      <c r="A4" s="20"/>
      <c r="B4" s="20" t="s">
        <v>17</v>
      </c>
      <c r="C4" s="20" t="s">
        <v>1329</v>
      </c>
      <c r="D4" s="20" t="s">
        <v>1330</v>
      </c>
      <c r="E4" s="20" t="s">
        <v>1331</v>
      </c>
      <c r="F4" s="21">
        <v>8</v>
      </c>
      <c r="G4" s="21">
        <v>0</v>
      </c>
      <c r="H4" s="21">
        <v>25</v>
      </c>
      <c r="I4" s="21">
        <f t="shared" si="0"/>
        <v>-25</v>
      </c>
      <c r="J4" s="20" t="s">
        <v>1326</v>
      </c>
      <c r="K4" s="20" t="s">
        <v>21</v>
      </c>
      <c r="L4" s="20" t="s">
        <v>1327</v>
      </c>
      <c r="M4" s="20"/>
      <c r="N4" s="20"/>
      <c r="O4" s="20"/>
      <c r="P4" s="20"/>
      <c r="Q4" s="20">
        <v>1</v>
      </c>
      <c r="R4" s="15">
        <f>H4</f>
        <v>25</v>
      </c>
    </row>
    <row r="5" spans="1:18" x14ac:dyDescent="0.25">
      <c r="A5" s="20"/>
      <c r="B5" s="20" t="s">
        <v>17</v>
      </c>
      <c r="C5" s="20" t="s">
        <v>1332</v>
      </c>
      <c r="D5" s="20" t="s">
        <v>1333</v>
      </c>
      <c r="E5" s="20" t="s">
        <v>1334</v>
      </c>
      <c r="F5" s="20" t="s">
        <v>1335</v>
      </c>
      <c r="G5" s="21">
        <v>865</v>
      </c>
      <c r="H5" s="21">
        <v>35</v>
      </c>
      <c r="I5" s="21">
        <f t="shared" si="0"/>
        <v>830</v>
      </c>
      <c r="J5" s="20" t="s">
        <v>1326</v>
      </c>
      <c r="K5" s="20" t="s">
        <v>21</v>
      </c>
      <c r="L5" s="20" t="s">
        <v>1327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17</v>
      </c>
      <c r="C6" s="20" t="s">
        <v>1336</v>
      </c>
      <c r="D6" s="20" t="s">
        <v>1337</v>
      </c>
      <c r="E6" s="20" t="s">
        <v>1338</v>
      </c>
      <c r="F6" s="20" t="s">
        <v>139</v>
      </c>
      <c r="G6" s="21">
        <v>1135</v>
      </c>
      <c r="H6" s="21">
        <v>35</v>
      </c>
      <c r="I6" s="21">
        <f t="shared" si="0"/>
        <v>1100</v>
      </c>
      <c r="J6" s="20" t="s">
        <v>1326</v>
      </c>
      <c r="K6" s="20" t="s">
        <v>21</v>
      </c>
      <c r="L6" s="20" t="s">
        <v>1327</v>
      </c>
      <c r="M6" s="25" t="s">
        <v>1061</v>
      </c>
      <c r="N6" s="20"/>
      <c r="O6" s="20"/>
      <c r="P6" s="20"/>
      <c r="Q6" s="20">
        <v>1</v>
      </c>
      <c r="R6" s="15">
        <f>H6</f>
        <v>35</v>
      </c>
    </row>
    <row r="7" spans="1:18" x14ac:dyDescent="0.25">
      <c r="A7" s="20"/>
      <c r="B7" s="20" t="s">
        <v>17</v>
      </c>
      <c r="C7" s="20" t="s">
        <v>1339</v>
      </c>
      <c r="D7" s="20" t="s">
        <v>1340</v>
      </c>
      <c r="E7" s="20" t="s">
        <v>1338</v>
      </c>
      <c r="F7" s="20" t="s">
        <v>139</v>
      </c>
      <c r="G7" s="21">
        <v>0</v>
      </c>
      <c r="H7" s="21">
        <v>0</v>
      </c>
      <c r="I7" s="21">
        <f t="shared" si="0"/>
        <v>0</v>
      </c>
      <c r="J7" s="20" t="s">
        <v>1326</v>
      </c>
      <c r="K7" s="20" t="s">
        <v>21</v>
      </c>
      <c r="L7" s="20" t="s">
        <v>1327</v>
      </c>
      <c r="M7" s="25" t="s">
        <v>377</v>
      </c>
      <c r="N7" s="20"/>
      <c r="O7" s="20"/>
      <c r="P7" s="20"/>
      <c r="Q7" s="20">
        <v>1</v>
      </c>
      <c r="R7" s="15">
        <f>H7</f>
        <v>0</v>
      </c>
    </row>
    <row r="8" spans="1:18" x14ac:dyDescent="0.25">
      <c r="A8" s="20"/>
      <c r="B8" s="20" t="s">
        <v>17</v>
      </c>
      <c r="C8" s="20" t="s">
        <v>1341</v>
      </c>
      <c r="D8" s="20" t="s">
        <v>1342</v>
      </c>
      <c r="E8" s="20" t="s">
        <v>1343</v>
      </c>
      <c r="F8" s="21">
        <v>11</v>
      </c>
      <c r="G8" s="21">
        <v>1135</v>
      </c>
      <c r="H8" s="21">
        <v>25</v>
      </c>
      <c r="I8" s="21">
        <f t="shared" si="0"/>
        <v>1110</v>
      </c>
      <c r="J8" s="20" t="s">
        <v>1326</v>
      </c>
      <c r="K8" s="20" t="s">
        <v>21</v>
      </c>
      <c r="L8" s="20" t="s">
        <v>1327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1344</v>
      </c>
      <c r="D9" s="20" t="s">
        <v>1345</v>
      </c>
      <c r="E9" s="20" t="s">
        <v>1346</v>
      </c>
      <c r="F9" s="21">
        <v>7</v>
      </c>
      <c r="G9" s="21">
        <v>470</v>
      </c>
      <c r="H9" s="21">
        <v>30</v>
      </c>
      <c r="I9" s="21">
        <f t="shared" si="0"/>
        <v>440</v>
      </c>
      <c r="J9" s="20" t="s">
        <v>1326</v>
      </c>
      <c r="K9" s="20" t="s">
        <v>21</v>
      </c>
      <c r="L9" s="20" t="s">
        <v>1327</v>
      </c>
      <c r="M9" s="20"/>
      <c r="N9" s="20"/>
      <c r="O9" s="20"/>
      <c r="P9" s="20"/>
      <c r="Q9" s="20">
        <v>1</v>
      </c>
    </row>
    <row r="10" spans="1:18" x14ac:dyDescent="0.25">
      <c r="A10" s="20"/>
      <c r="B10" s="20" t="s">
        <v>17</v>
      </c>
      <c r="C10" s="20" t="s">
        <v>1347</v>
      </c>
      <c r="D10" s="20" t="s">
        <v>1348</v>
      </c>
      <c r="E10" s="20" t="s">
        <v>1349</v>
      </c>
      <c r="F10" s="20" t="s">
        <v>46</v>
      </c>
      <c r="G10" s="21">
        <v>985</v>
      </c>
      <c r="H10" s="21">
        <v>25</v>
      </c>
      <c r="I10" s="21">
        <f t="shared" si="0"/>
        <v>960</v>
      </c>
      <c r="J10" s="20" t="s">
        <v>1326</v>
      </c>
      <c r="K10" s="20" t="s">
        <v>21</v>
      </c>
      <c r="L10" s="20" t="s">
        <v>1327</v>
      </c>
      <c r="M10" s="25" t="s">
        <v>377</v>
      </c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1347</v>
      </c>
      <c r="D11" s="20" t="s">
        <v>1350</v>
      </c>
      <c r="E11" s="20" t="s">
        <v>1351</v>
      </c>
      <c r="F11" s="20" t="s">
        <v>46</v>
      </c>
      <c r="G11" s="21">
        <v>850</v>
      </c>
      <c r="H11" s="21">
        <v>0</v>
      </c>
      <c r="I11" s="21">
        <f t="shared" si="0"/>
        <v>850</v>
      </c>
      <c r="J11" s="20" t="s">
        <v>1326</v>
      </c>
      <c r="K11" s="20" t="s">
        <v>21</v>
      </c>
      <c r="L11" s="20" t="s">
        <v>1327</v>
      </c>
      <c r="M11" s="25" t="s">
        <v>377</v>
      </c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1352</v>
      </c>
      <c r="D12" s="20" t="s">
        <v>1353</v>
      </c>
      <c r="E12" s="20" t="s">
        <v>1354</v>
      </c>
      <c r="F12" s="21">
        <v>8</v>
      </c>
      <c r="G12" s="21">
        <v>0</v>
      </c>
      <c r="H12" s="21">
        <v>30</v>
      </c>
      <c r="I12" s="21">
        <f t="shared" si="0"/>
        <v>-30</v>
      </c>
      <c r="J12" s="20" t="s">
        <v>1326</v>
      </c>
      <c r="K12" s="20" t="s">
        <v>21</v>
      </c>
      <c r="L12" s="20" t="s">
        <v>1327</v>
      </c>
      <c r="M12" s="25" t="s">
        <v>1355</v>
      </c>
      <c r="N12" s="20"/>
      <c r="O12" s="20"/>
      <c r="P12" s="20"/>
      <c r="Q12" s="20">
        <v>1</v>
      </c>
      <c r="R12" s="15">
        <f>H12</f>
        <v>30</v>
      </c>
    </row>
    <row r="13" spans="1:18" x14ac:dyDescent="0.25">
      <c r="A13" s="20"/>
      <c r="B13" s="20" t="s">
        <v>17</v>
      </c>
      <c r="C13" s="20" t="s">
        <v>1356</v>
      </c>
      <c r="D13" s="20" t="s">
        <v>1357</v>
      </c>
      <c r="E13" s="20" t="s">
        <v>1358</v>
      </c>
      <c r="F13" s="21">
        <v>7</v>
      </c>
      <c r="G13" s="21">
        <v>850</v>
      </c>
      <c r="H13" s="21">
        <v>30</v>
      </c>
      <c r="I13" s="21">
        <f t="shared" si="0"/>
        <v>820</v>
      </c>
      <c r="J13" s="20" t="s">
        <v>1326</v>
      </c>
      <c r="K13" s="20" t="s">
        <v>21</v>
      </c>
      <c r="L13" s="20" t="s">
        <v>1327</v>
      </c>
      <c r="M13" s="20"/>
      <c r="N13" s="20"/>
      <c r="O13" s="20"/>
      <c r="P13" s="20"/>
      <c r="Q13" s="20">
        <v>1</v>
      </c>
    </row>
    <row r="14" spans="1:18" x14ac:dyDescent="0.25">
      <c r="A14" s="20"/>
      <c r="B14" s="20" t="s">
        <v>17</v>
      </c>
      <c r="C14" s="20" t="s">
        <v>1359</v>
      </c>
      <c r="D14" s="20" t="s">
        <v>1360</v>
      </c>
      <c r="E14" s="20" t="s">
        <v>1361</v>
      </c>
      <c r="F14" s="21">
        <v>7</v>
      </c>
      <c r="G14" s="21">
        <v>820</v>
      </c>
      <c r="H14" s="21">
        <v>30</v>
      </c>
      <c r="I14" s="21">
        <f t="shared" si="0"/>
        <v>790</v>
      </c>
      <c r="J14" s="20" t="s">
        <v>1326</v>
      </c>
      <c r="K14" s="20" t="s">
        <v>21</v>
      </c>
      <c r="L14" s="20" t="s">
        <v>1327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17</v>
      </c>
      <c r="C15" s="20" t="s">
        <v>1362</v>
      </c>
      <c r="D15" s="20" t="s">
        <v>1363</v>
      </c>
      <c r="E15" s="20" t="s">
        <v>1364</v>
      </c>
      <c r="F15" s="21">
        <v>11</v>
      </c>
      <c r="G15" s="21">
        <v>1505</v>
      </c>
      <c r="H15" s="21">
        <v>25</v>
      </c>
      <c r="I15" s="21">
        <f t="shared" si="0"/>
        <v>1480</v>
      </c>
      <c r="J15" s="20" t="s">
        <v>1326</v>
      </c>
      <c r="K15" s="20" t="s">
        <v>21</v>
      </c>
      <c r="L15" s="20" t="s">
        <v>1327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738</v>
      </c>
      <c r="D16" s="20" t="s">
        <v>1365</v>
      </c>
      <c r="E16" s="20" t="s">
        <v>1366</v>
      </c>
      <c r="F16" s="20" t="s">
        <v>46</v>
      </c>
      <c r="G16" s="21">
        <v>725</v>
      </c>
      <c r="H16" s="21">
        <v>25</v>
      </c>
      <c r="I16" s="21">
        <f t="shared" si="0"/>
        <v>700</v>
      </c>
      <c r="J16" s="20" t="s">
        <v>1326</v>
      </c>
      <c r="K16" s="20" t="s">
        <v>21</v>
      </c>
      <c r="L16" s="20" t="s">
        <v>1327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1367</v>
      </c>
      <c r="D17" s="20" t="s">
        <v>1368</v>
      </c>
      <c r="E17" s="20" t="s">
        <v>1369</v>
      </c>
      <c r="F17" s="20" t="s">
        <v>77</v>
      </c>
      <c r="G17" s="21">
        <v>715</v>
      </c>
      <c r="H17" s="21">
        <v>25</v>
      </c>
      <c r="I17" s="21">
        <f t="shared" si="0"/>
        <v>690</v>
      </c>
      <c r="J17" s="20" t="s">
        <v>21</v>
      </c>
      <c r="K17" s="20" t="s">
        <v>21</v>
      </c>
      <c r="L17" s="20" t="s">
        <v>1327</v>
      </c>
      <c r="M17" s="20"/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890</v>
      </c>
      <c r="D18" s="20" t="s">
        <v>1370</v>
      </c>
      <c r="E18" s="20" t="s">
        <v>250</v>
      </c>
      <c r="F18" s="20" t="s">
        <v>77</v>
      </c>
      <c r="G18" s="21">
        <v>0</v>
      </c>
      <c r="H18" s="21">
        <v>25</v>
      </c>
      <c r="I18" s="21">
        <f t="shared" si="0"/>
        <v>-25</v>
      </c>
      <c r="J18" s="20" t="s">
        <v>21</v>
      </c>
      <c r="K18" s="20" t="s">
        <v>21</v>
      </c>
      <c r="L18" s="20" t="s">
        <v>1327</v>
      </c>
      <c r="M18" s="20"/>
      <c r="N18" s="20"/>
      <c r="O18" s="20"/>
      <c r="P18" s="20"/>
      <c r="Q18" s="20">
        <v>1</v>
      </c>
      <c r="R18" s="15">
        <f>H18</f>
        <v>25</v>
      </c>
    </row>
    <row r="19" spans="1:18" x14ac:dyDescent="0.25">
      <c r="A19" s="20"/>
      <c r="B19" s="20" t="s">
        <v>17</v>
      </c>
      <c r="C19" s="20" t="s">
        <v>892</v>
      </c>
      <c r="D19" s="20" t="s">
        <v>1371</v>
      </c>
      <c r="E19" s="20" t="s">
        <v>1372</v>
      </c>
      <c r="F19" s="20" t="s">
        <v>81</v>
      </c>
      <c r="G19" s="21">
        <v>380</v>
      </c>
      <c r="H19" s="21">
        <v>30</v>
      </c>
      <c r="I19" s="21">
        <f t="shared" si="0"/>
        <v>350</v>
      </c>
      <c r="J19" s="20" t="s">
        <v>21</v>
      </c>
      <c r="K19" s="20" t="s">
        <v>21</v>
      </c>
      <c r="L19" s="20" t="s">
        <v>1327</v>
      </c>
      <c r="M19" s="20"/>
      <c r="N19" s="20"/>
      <c r="O19" s="20"/>
      <c r="P19" s="20"/>
      <c r="Q19" s="20">
        <v>1</v>
      </c>
    </row>
    <row r="20" spans="1:18" x14ac:dyDescent="0.25">
      <c r="A20" s="20"/>
      <c r="B20" s="20" t="s">
        <v>17</v>
      </c>
      <c r="C20" s="20" t="s">
        <v>1373</v>
      </c>
      <c r="D20" s="20" t="s">
        <v>1374</v>
      </c>
      <c r="E20" s="20" t="s">
        <v>1375</v>
      </c>
      <c r="F20" s="20" t="s">
        <v>85</v>
      </c>
      <c r="G20" s="21">
        <v>810</v>
      </c>
      <c r="H20" s="21">
        <v>20</v>
      </c>
      <c r="I20" s="21">
        <f t="shared" si="0"/>
        <v>790</v>
      </c>
      <c r="J20" s="20" t="s">
        <v>21</v>
      </c>
      <c r="K20" s="20" t="s">
        <v>21</v>
      </c>
      <c r="L20" s="20" t="s">
        <v>1327</v>
      </c>
      <c r="M20" s="20"/>
      <c r="N20" s="20"/>
      <c r="O20" s="20"/>
      <c r="P20" s="20"/>
      <c r="Q20" s="20">
        <v>1</v>
      </c>
    </row>
    <row r="21" spans="1:18" x14ac:dyDescent="0.25">
      <c r="A21" s="20"/>
      <c r="B21" s="20" t="s">
        <v>17</v>
      </c>
      <c r="C21" s="20" t="s">
        <v>1376</v>
      </c>
      <c r="D21" s="20" t="s">
        <v>1377</v>
      </c>
      <c r="E21" s="20" t="s">
        <v>1378</v>
      </c>
      <c r="F21" s="20" t="s">
        <v>81</v>
      </c>
      <c r="G21" s="21">
        <v>820</v>
      </c>
      <c r="H21" s="21">
        <v>30</v>
      </c>
      <c r="I21" s="21">
        <f t="shared" si="0"/>
        <v>790</v>
      </c>
      <c r="J21" s="20" t="s">
        <v>21</v>
      </c>
      <c r="K21" s="20" t="s">
        <v>21</v>
      </c>
      <c r="L21" s="20" t="s">
        <v>1327</v>
      </c>
      <c r="M21" s="20"/>
      <c r="N21" s="20"/>
      <c r="O21" s="20"/>
      <c r="P21" s="20"/>
      <c r="Q21" s="20">
        <v>1</v>
      </c>
    </row>
    <row r="22" spans="1:18" x14ac:dyDescent="0.25">
      <c r="A22" s="20"/>
      <c r="B22" s="20" t="s">
        <v>17</v>
      </c>
      <c r="C22" s="20" t="s">
        <v>1379</v>
      </c>
      <c r="D22" s="20" t="s">
        <v>1380</v>
      </c>
      <c r="E22" s="20" t="s">
        <v>1381</v>
      </c>
      <c r="F22" s="21">
        <v>2</v>
      </c>
      <c r="G22" s="21">
        <v>990</v>
      </c>
      <c r="H22" s="21">
        <v>30</v>
      </c>
      <c r="I22" s="21">
        <f t="shared" si="0"/>
        <v>960</v>
      </c>
      <c r="J22" s="20" t="s">
        <v>21</v>
      </c>
      <c r="K22" s="20" t="s">
        <v>21</v>
      </c>
      <c r="L22" s="20" t="s">
        <v>1327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120</v>
      </c>
      <c r="D23" s="20" t="s">
        <v>1382</v>
      </c>
      <c r="E23" s="20" t="s">
        <v>122</v>
      </c>
      <c r="F23" s="20" t="s">
        <v>85</v>
      </c>
      <c r="G23" s="21">
        <v>1770</v>
      </c>
      <c r="H23" s="21">
        <v>20</v>
      </c>
      <c r="I23" s="21">
        <f t="shared" si="0"/>
        <v>1750</v>
      </c>
      <c r="J23" s="20" t="s">
        <v>21</v>
      </c>
      <c r="K23" s="20" t="s">
        <v>21</v>
      </c>
      <c r="L23" s="20" t="s">
        <v>1327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17</v>
      </c>
      <c r="C24" s="20" t="s">
        <v>1383</v>
      </c>
      <c r="D24" s="20" t="s">
        <v>1384</v>
      </c>
      <c r="E24" s="20" t="s">
        <v>503</v>
      </c>
      <c r="F24" s="21">
        <v>12</v>
      </c>
      <c r="G24" s="21">
        <v>0</v>
      </c>
      <c r="H24" s="21">
        <v>30</v>
      </c>
      <c r="I24" s="21">
        <f t="shared" si="0"/>
        <v>-30</v>
      </c>
      <c r="J24" s="20" t="s">
        <v>21</v>
      </c>
      <c r="K24" s="20" t="s">
        <v>21</v>
      </c>
      <c r="L24" s="20" t="s">
        <v>1327</v>
      </c>
      <c r="M24" s="20"/>
      <c r="N24" s="20"/>
      <c r="O24" s="20"/>
      <c r="P24" s="20"/>
      <c r="Q24" s="20">
        <v>1</v>
      </c>
      <c r="R24" s="15">
        <f>H24</f>
        <v>30</v>
      </c>
    </row>
    <row r="25" spans="1:18" x14ac:dyDescent="0.25">
      <c r="A25" s="20"/>
      <c r="B25" s="20" t="s">
        <v>17</v>
      </c>
      <c r="C25" s="20" t="s">
        <v>1385</v>
      </c>
      <c r="D25" s="20" t="s">
        <v>1386</v>
      </c>
      <c r="E25" s="20" t="s">
        <v>1387</v>
      </c>
      <c r="F25" s="20" t="s">
        <v>81</v>
      </c>
      <c r="G25" s="21">
        <v>880</v>
      </c>
      <c r="H25" s="21">
        <v>30</v>
      </c>
      <c r="I25" s="21">
        <f t="shared" si="0"/>
        <v>850</v>
      </c>
      <c r="J25" s="20" t="s">
        <v>21</v>
      </c>
      <c r="K25" s="20" t="s">
        <v>21</v>
      </c>
      <c r="L25" s="20" t="s">
        <v>1327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1388</v>
      </c>
      <c r="D26" s="20" t="s">
        <v>1389</v>
      </c>
      <c r="E26" s="20" t="s">
        <v>1390</v>
      </c>
      <c r="F26" s="21">
        <v>12</v>
      </c>
      <c r="G26" s="21">
        <v>880</v>
      </c>
      <c r="H26" s="21">
        <v>30</v>
      </c>
      <c r="I26" s="21">
        <f t="shared" si="0"/>
        <v>850</v>
      </c>
      <c r="J26" s="20" t="s">
        <v>21</v>
      </c>
      <c r="K26" s="20" t="s">
        <v>21</v>
      </c>
      <c r="L26" s="20" t="s">
        <v>1327</v>
      </c>
      <c r="M26" s="20"/>
      <c r="N26" s="20"/>
      <c r="O26" s="20"/>
      <c r="P26" s="20"/>
      <c r="Q26" s="20">
        <v>1</v>
      </c>
    </row>
    <row r="27" spans="1:18" x14ac:dyDescent="0.25">
      <c r="A27" s="20"/>
      <c r="B27" s="20" t="s">
        <v>17</v>
      </c>
      <c r="C27" s="20" t="s">
        <v>1391</v>
      </c>
      <c r="D27" s="20" t="s">
        <v>1392</v>
      </c>
      <c r="E27" s="20" t="s">
        <v>1393</v>
      </c>
      <c r="F27" s="21">
        <v>2</v>
      </c>
      <c r="G27" s="21">
        <v>820</v>
      </c>
      <c r="H27" s="21">
        <v>30</v>
      </c>
      <c r="I27" s="21">
        <f t="shared" si="0"/>
        <v>790</v>
      </c>
      <c r="J27" s="20" t="s">
        <v>21</v>
      </c>
      <c r="K27" s="20" t="s">
        <v>21</v>
      </c>
      <c r="L27" s="20" t="s">
        <v>1327</v>
      </c>
      <c r="M27" s="20"/>
      <c r="N27" s="20"/>
      <c r="O27" s="20"/>
      <c r="P27" s="20"/>
      <c r="Q27" s="20">
        <v>1</v>
      </c>
    </row>
    <row r="28" spans="1:18" x14ac:dyDescent="0.25">
      <c r="A28" s="20" t="s">
        <v>16</v>
      </c>
      <c r="B28" s="20" t="s">
        <v>17</v>
      </c>
      <c r="C28" s="20" t="s">
        <v>1394</v>
      </c>
      <c r="D28" s="20"/>
      <c r="E28" s="20" t="s">
        <v>1395</v>
      </c>
      <c r="F28" s="21">
        <v>12</v>
      </c>
      <c r="G28" s="21">
        <v>0</v>
      </c>
      <c r="H28" s="21">
        <v>35</v>
      </c>
      <c r="I28" s="21">
        <f t="shared" si="0"/>
        <v>-35</v>
      </c>
      <c r="J28" s="20" t="s">
        <v>21</v>
      </c>
      <c r="K28" s="20" t="s">
        <v>21</v>
      </c>
      <c r="L28" s="20" t="s">
        <v>1327</v>
      </c>
      <c r="M28" s="20"/>
      <c r="N28" s="20"/>
      <c r="O28" s="20"/>
      <c r="P28" s="20"/>
      <c r="Q28" s="20">
        <v>1</v>
      </c>
      <c r="R28" s="15">
        <f>H28</f>
        <v>35</v>
      </c>
    </row>
    <row r="29" spans="1:18" x14ac:dyDescent="0.25">
      <c r="A29" s="20" t="s">
        <v>16</v>
      </c>
      <c r="B29" s="20" t="s">
        <v>17</v>
      </c>
      <c r="C29" s="20" t="s">
        <v>127</v>
      </c>
      <c r="D29" s="20"/>
      <c r="E29" s="20" t="s">
        <v>128</v>
      </c>
      <c r="F29" s="20" t="s">
        <v>81</v>
      </c>
      <c r="G29" s="21">
        <v>865</v>
      </c>
      <c r="H29" s="21">
        <v>35</v>
      </c>
      <c r="I29" s="21">
        <f t="shared" si="0"/>
        <v>830</v>
      </c>
      <c r="J29" s="20" t="s">
        <v>21</v>
      </c>
      <c r="K29" s="20" t="s">
        <v>21</v>
      </c>
      <c r="L29" s="20" t="s">
        <v>1327</v>
      </c>
      <c r="M29" s="20"/>
      <c r="N29" s="20"/>
      <c r="O29" s="20"/>
      <c r="P29" s="20"/>
      <c r="Q29" s="20">
        <v>1</v>
      </c>
    </row>
    <row r="30" spans="1:18" x14ac:dyDescent="0.25">
      <c r="A30" s="20" t="s">
        <v>16</v>
      </c>
      <c r="B30" s="20" t="s">
        <v>17</v>
      </c>
      <c r="C30" s="20" t="s">
        <v>368</v>
      </c>
      <c r="D30" s="20"/>
      <c r="E30" s="20" t="s">
        <v>1396</v>
      </c>
      <c r="F30" s="20" t="s">
        <v>77</v>
      </c>
      <c r="G30" s="21">
        <v>30</v>
      </c>
      <c r="H30" s="21">
        <v>30</v>
      </c>
      <c r="I30" s="21">
        <f t="shared" si="0"/>
        <v>0</v>
      </c>
      <c r="J30" s="20" t="s">
        <v>21</v>
      </c>
      <c r="K30" s="20" t="s">
        <v>21</v>
      </c>
      <c r="L30" s="20" t="s">
        <v>1327</v>
      </c>
      <c r="M30" s="20"/>
      <c r="N30" s="20"/>
      <c r="O30" s="20"/>
      <c r="P30" s="20"/>
      <c r="Q30" s="20">
        <v>1</v>
      </c>
    </row>
    <row r="31" spans="1:18" x14ac:dyDescent="0.25">
      <c r="A31" s="20" t="s">
        <v>16</v>
      </c>
      <c r="B31" s="20" t="s">
        <v>17</v>
      </c>
      <c r="C31" s="20" t="s">
        <v>370</v>
      </c>
      <c r="D31" s="20"/>
      <c r="E31" s="20" t="s">
        <v>371</v>
      </c>
      <c r="F31" s="20" t="s">
        <v>77</v>
      </c>
      <c r="G31" s="21">
        <v>860</v>
      </c>
      <c r="H31" s="21">
        <v>30</v>
      </c>
      <c r="I31" s="21">
        <f t="shared" si="0"/>
        <v>830</v>
      </c>
      <c r="J31" s="20" t="s">
        <v>21</v>
      </c>
      <c r="K31" s="20" t="s">
        <v>21</v>
      </c>
      <c r="L31" s="20" t="s">
        <v>1327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1397</v>
      </c>
      <c r="D32" s="20" t="s">
        <v>1398</v>
      </c>
      <c r="E32" s="20" t="s">
        <v>1399</v>
      </c>
      <c r="F32" s="21">
        <v>1</v>
      </c>
      <c r="G32" s="21">
        <v>0</v>
      </c>
      <c r="H32" s="21">
        <v>25</v>
      </c>
      <c r="I32" s="21">
        <f t="shared" si="0"/>
        <v>-25</v>
      </c>
      <c r="J32" s="20" t="s">
        <v>135</v>
      </c>
      <c r="K32" s="20" t="s">
        <v>21</v>
      </c>
      <c r="L32" s="20" t="s">
        <v>1327</v>
      </c>
      <c r="M32" s="25" t="s">
        <v>377</v>
      </c>
      <c r="N32" s="20"/>
      <c r="O32" s="20"/>
      <c r="P32" s="20"/>
      <c r="Q32" s="20">
        <v>1</v>
      </c>
      <c r="R32" s="15">
        <f>H32</f>
        <v>25</v>
      </c>
    </row>
    <row r="33" spans="1:18" x14ac:dyDescent="0.25">
      <c r="A33" s="20"/>
      <c r="B33" s="20" t="s">
        <v>17</v>
      </c>
      <c r="C33" s="20" t="s">
        <v>1397</v>
      </c>
      <c r="D33" s="20" t="s">
        <v>1400</v>
      </c>
      <c r="E33" s="20" t="s">
        <v>1401</v>
      </c>
      <c r="F33" s="21">
        <v>1</v>
      </c>
      <c r="G33" s="21">
        <v>0</v>
      </c>
      <c r="H33" s="21">
        <v>0</v>
      </c>
      <c r="I33" s="21">
        <f t="shared" si="0"/>
        <v>0</v>
      </c>
      <c r="J33" s="20" t="s">
        <v>135</v>
      </c>
      <c r="K33" s="20" t="s">
        <v>21</v>
      </c>
      <c r="L33" s="20" t="s">
        <v>1327</v>
      </c>
      <c r="M33" s="25" t="s">
        <v>377</v>
      </c>
      <c r="N33" s="20"/>
      <c r="O33" s="20"/>
      <c r="P33" s="20"/>
      <c r="Q33" s="20">
        <v>1</v>
      </c>
      <c r="R33" s="15">
        <f>H33</f>
        <v>0</v>
      </c>
    </row>
    <row r="34" spans="1:18" x14ac:dyDescent="0.25">
      <c r="A34" s="20"/>
      <c r="B34" s="20" t="s">
        <v>17</v>
      </c>
      <c r="C34" s="20" t="s">
        <v>1402</v>
      </c>
      <c r="D34" s="20" t="s">
        <v>1403</v>
      </c>
      <c r="E34" s="20" t="s">
        <v>1404</v>
      </c>
      <c r="F34" s="20" t="s">
        <v>406</v>
      </c>
      <c r="G34" s="21">
        <v>780</v>
      </c>
      <c r="H34" s="21">
        <v>20</v>
      </c>
      <c r="I34" s="21">
        <f t="shared" si="0"/>
        <v>760</v>
      </c>
      <c r="J34" s="20" t="s">
        <v>135</v>
      </c>
      <c r="K34" s="20" t="s">
        <v>21</v>
      </c>
      <c r="L34" s="20" t="s">
        <v>1327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17</v>
      </c>
      <c r="C35" s="20" t="s">
        <v>1405</v>
      </c>
      <c r="D35" s="20" t="s">
        <v>1406</v>
      </c>
      <c r="E35" s="20" t="s">
        <v>1407</v>
      </c>
      <c r="F35" s="21">
        <v>1</v>
      </c>
      <c r="G35" s="21">
        <v>755</v>
      </c>
      <c r="H35" s="21">
        <v>25</v>
      </c>
      <c r="I35" s="21">
        <f t="shared" si="0"/>
        <v>730</v>
      </c>
      <c r="J35" s="20" t="s">
        <v>135</v>
      </c>
      <c r="K35" s="20" t="s">
        <v>21</v>
      </c>
      <c r="L35" s="20" t="s">
        <v>1327</v>
      </c>
      <c r="M35" s="20"/>
      <c r="N35" s="20"/>
      <c r="O35" s="20"/>
      <c r="P35" s="20"/>
      <c r="Q35" s="20">
        <v>1</v>
      </c>
    </row>
    <row r="36" spans="1:18" x14ac:dyDescent="0.25">
      <c r="A36" s="20"/>
      <c r="B36" s="20" t="s">
        <v>17</v>
      </c>
      <c r="C36" s="20" t="s">
        <v>1408</v>
      </c>
      <c r="D36" s="20" t="s">
        <v>1409</v>
      </c>
      <c r="E36" s="20" t="s">
        <v>1410</v>
      </c>
      <c r="F36" s="21">
        <v>4</v>
      </c>
      <c r="G36" s="21">
        <v>985</v>
      </c>
      <c r="H36" s="21">
        <v>25</v>
      </c>
      <c r="I36" s="21">
        <f t="shared" si="0"/>
        <v>960</v>
      </c>
      <c r="J36" s="20" t="s">
        <v>135</v>
      </c>
      <c r="K36" s="20" t="s">
        <v>21</v>
      </c>
      <c r="L36" s="20" t="s">
        <v>1327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17</v>
      </c>
      <c r="C37" s="20" t="s">
        <v>1411</v>
      </c>
      <c r="D37" s="20" t="s">
        <v>1412</v>
      </c>
      <c r="E37" s="20" t="s">
        <v>1413</v>
      </c>
      <c r="F37" s="21">
        <v>1</v>
      </c>
      <c r="G37" s="21">
        <v>925</v>
      </c>
      <c r="H37" s="21">
        <v>25</v>
      </c>
      <c r="I37" s="21">
        <f t="shared" si="0"/>
        <v>900</v>
      </c>
      <c r="J37" s="20" t="s">
        <v>135</v>
      </c>
      <c r="K37" s="20" t="s">
        <v>21</v>
      </c>
      <c r="L37" s="20" t="s">
        <v>1327</v>
      </c>
      <c r="M37" s="20"/>
      <c r="N37" s="20"/>
      <c r="O37" s="20"/>
      <c r="P37" s="20"/>
      <c r="Q37" s="20">
        <v>1</v>
      </c>
    </row>
    <row r="38" spans="1:18" x14ac:dyDescent="0.25">
      <c r="A38" s="20" t="s">
        <v>16</v>
      </c>
      <c r="B38" s="20" t="s">
        <v>17</v>
      </c>
      <c r="C38" s="20" t="s">
        <v>508</v>
      </c>
      <c r="D38" s="20"/>
      <c r="E38" s="20" t="s">
        <v>509</v>
      </c>
      <c r="F38" s="20" t="s">
        <v>406</v>
      </c>
      <c r="G38" s="21">
        <v>25</v>
      </c>
      <c r="H38" s="21">
        <v>25</v>
      </c>
      <c r="I38" s="21">
        <f t="shared" si="0"/>
        <v>0</v>
      </c>
      <c r="J38" s="20" t="s">
        <v>135</v>
      </c>
      <c r="K38" s="20" t="s">
        <v>21</v>
      </c>
      <c r="L38" s="20" t="s">
        <v>1327</v>
      </c>
      <c r="M38" s="20"/>
      <c r="N38" s="20"/>
      <c r="O38" s="20"/>
      <c r="P38" s="20"/>
      <c r="Q38" s="20">
        <v>1</v>
      </c>
    </row>
    <row r="39" spans="1:18" x14ac:dyDescent="0.25">
      <c r="A39" s="20" t="s">
        <v>16</v>
      </c>
      <c r="B39" s="20" t="s">
        <v>17</v>
      </c>
      <c r="C39" s="20" t="s">
        <v>1414</v>
      </c>
      <c r="D39" s="20"/>
      <c r="E39" s="20" t="s">
        <v>1042</v>
      </c>
      <c r="F39" s="21">
        <v>5</v>
      </c>
      <c r="G39" s="21">
        <v>0</v>
      </c>
      <c r="H39" s="21">
        <v>30</v>
      </c>
      <c r="I39" s="21">
        <f t="shared" si="0"/>
        <v>-30</v>
      </c>
      <c r="J39" s="20" t="s">
        <v>135</v>
      </c>
      <c r="K39" s="20" t="s">
        <v>21</v>
      </c>
      <c r="L39" s="20" t="s">
        <v>1327</v>
      </c>
      <c r="M39" s="20"/>
      <c r="N39" s="20"/>
      <c r="O39" s="20"/>
      <c r="P39" s="20"/>
      <c r="Q39" s="20">
        <v>1</v>
      </c>
      <c r="R39" s="15">
        <f>H39</f>
        <v>30</v>
      </c>
    </row>
    <row r="40" spans="1:18" s="7" customFormat="1" x14ac:dyDescent="0.25">
      <c r="A40" s="26"/>
      <c r="B40" s="26" t="s">
        <v>17</v>
      </c>
      <c r="C40" s="26" t="s">
        <v>1415</v>
      </c>
      <c r="D40" s="26" t="s">
        <v>1416</v>
      </c>
      <c r="E40" s="26" t="s">
        <v>1417</v>
      </c>
      <c r="F40" s="27">
        <v>7</v>
      </c>
      <c r="G40" s="27">
        <v>870</v>
      </c>
      <c r="H40" s="27">
        <v>0</v>
      </c>
      <c r="I40" s="27">
        <f t="shared" si="0"/>
        <v>870</v>
      </c>
      <c r="J40" s="26" t="s">
        <v>1418</v>
      </c>
      <c r="K40" s="26" t="s">
        <v>21</v>
      </c>
      <c r="L40" s="26" t="s">
        <v>1419</v>
      </c>
      <c r="M40" s="26" t="s">
        <v>206</v>
      </c>
      <c r="N40" s="26" t="s">
        <v>272</v>
      </c>
      <c r="O40" s="26" t="s">
        <v>272</v>
      </c>
      <c r="P40" s="26" t="s">
        <v>273</v>
      </c>
      <c r="Q40" s="26">
        <v>1</v>
      </c>
    </row>
    <row r="41" spans="1:18" s="7" customFormat="1" x14ac:dyDescent="0.25">
      <c r="A41" s="26"/>
      <c r="B41" s="26" t="s">
        <v>17</v>
      </c>
      <c r="C41" s="26" t="s">
        <v>1035</v>
      </c>
      <c r="D41" s="26" t="s">
        <v>1036</v>
      </c>
      <c r="E41" s="26" t="s">
        <v>1037</v>
      </c>
      <c r="F41" s="27">
        <v>10</v>
      </c>
      <c r="G41" s="27">
        <v>1145</v>
      </c>
      <c r="H41" s="27">
        <v>25</v>
      </c>
      <c r="I41" s="27">
        <f t="shared" si="0"/>
        <v>1120</v>
      </c>
      <c r="J41" s="26" t="s">
        <v>271</v>
      </c>
      <c r="K41" s="26" t="s">
        <v>21</v>
      </c>
      <c r="L41" s="26" t="s">
        <v>977</v>
      </c>
      <c r="M41" s="26" t="s">
        <v>204</v>
      </c>
      <c r="N41" s="26" t="s">
        <v>272</v>
      </c>
      <c r="O41" s="26" t="s">
        <v>272</v>
      </c>
      <c r="P41" s="26" t="s">
        <v>273</v>
      </c>
      <c r="Q41" s="27">
        <v>1</v>
      </c>
    </row>
    <row r="42" spans="1:18" s="7" customFormat="1" x14ac:dyDescent="0.25">
      <c r="A42" s="26"/>
      <c r="B42" s="26" t="s">
        <v>17</v>
      </c>
      <c r="C42" s="26" t="s">
        <v>1087</v>
      </c>
      <c r="D42" s="26" t="s">
        <v>1088</v>
      </c>
      <c r="E42" s="26" t="s">
        <v>1089</v>
      </c>
      <c r="F42" s="27">
        <v>2</v>
      </c>
      <c r="G42" s="27">
        <v>920</v>
      </c>
      <c r="H42" s="27">
        <v>30</v>
      </c>
      <c r="I42" s="27">
        <f t="shared" si="0"/>
        <v>890</v>
      </c>
      <c r="J42" s="26" t="s">
        <v>271</v>
      </c>
      <c r="K42" s="26" t="s">
        <v>21</v>
      </c>
      <c r="L42" s="26" t="s">
        <v>1048</v>
      </c>
      <c r="M42" s="26" t="s">
        <v>204</v>
      </c>
      <c r="N42" s="26" t="s">
        <v>272</v>
      </c>
      <c r="O42" s="26" t="s">
        <v>272</v>
      </c>
      <c r="P42" s="26" t="s">
        <v>273</v>
      </c>
      <c r="Q42" s="27">
        <v>1</v>
      </c>
    </row>
    <row r="44" spans="1:18" x14ac:dyDescent="0.25">
      <c r="D44" s="6">
        <f>COUNTA(D3:D42)</f>
        <v>34</v>
      </c>
      <c r="G44" s="6">
        <f t="shared" ref="G44:Q44" si="1">SUBTOTAL(9,G3:G42)</f>
        <v>25565</v>
      </c>
      <c r="H44" s="6">
        <f t="shared" si="1"/>
        <v>1005</v>
      </c>
      <c r="I44" s="6">
        <f t="shared" si="1"/>
        <v>24560</v>
      </c>
      <c r="J44" s="6">
        <f t="shared" si="1"/>
        <v>0</v>
      </c>
      <c r="K44" s="6">
        <f t="shared" si="1"/>
        <v>0</v>
      </c>
      <c r="L44" s="6">
        <f t="shared" si="1"/>
        <v>0</v>
      </c>
      <c r="M44" s="6">
        <f t="shared" si="1"/>
        <v>0</v>
      </c>
      <c r="N44" s="6">
        <f t="shared" si="1"/>
        <v>0</v>
      </c>
      <c r="O44" s="6">
        <f t="shared" si="1"/>
        <v>0</v>
      </c>
      <c r="P44" s="6">
        <f t="shared" si="1"/>
        <v>0</v>
      </c>
      <c r="Q44" s="6">
        <f t="shared" si="1"/>
        <v>40</v>
      </c>
    </row>
    <row r="45" spans="1:18" x14ac:dyDescent="0.25">
      <c r="H45">
        <f>-9*17</f>
        <v>-153</v>
      </c>
    </row>
    <row r="46" spans="1:18" x14ac:dyDescent="0.25">
      <c r="A46" s="6" t="s">
        <v>17</v>
      </c>
      <c r="C46" s="5" t="s">
        <v>191</v>
      </c>
      <c r="D46" s="5"/>
      <c r="E46" s="9" t="s">
        <v>192</v>
      </c>
      <c r="H46">
        <f>-1*25</f>
        <v>-25</v>
      </c>
      <c r="K46" s="16" t="s">
        <v>21</v>
      </c>
      <c r="L46" s="16" t="s">
        <v>193</v>
      </c>
      <c r="M46" s="16" t="s">
        <v>192</v>
      </c>
      <c r="O46" s="9" t="s">
        <v>194</v>
      </c>
    </row>
    <row r="47" spans="1:18" x14ac:dyDescent="0.25">
      <c r="A47" t="s">
        <v>1327</v>
      </c>
      <c r="B47" s="8" t="s">
        <v>195</v>
      </c>
      <c r="C47" s="4">
        <f>SUMIFS(I$3:I$42,B$3:B$42,A$46,L$3:L$42,A$47)</f>
        <v>21680</v>
      </c>
      <c r="D47" s="4"/>
      <c r="E47" s="8">
        <f>SUMIFS(Q$3:Q$42,B$3:B$42,A$46,L$3:L$42,A$47)</f>
        <v>37</v>
      </c>
      <c r="F47" t="s">
        <v>196</v>
      </c>
      <c r="H47">
        <f>-2*30</f>
        <v>-60</v>
      </c>
      <c r="K47" t="s">
        <v>197</v>
      </c>
      <c r="L47">
        <f>SUMIFS(G$3:G$42,J$3:J$42,K$46)</f>
        <v>9820</v>
      </c>
      <c r="M47">
        <f>SUMIFS(Q$3:Q$42,J$3:J$42,K$46)-INT(COUNTIFS(J$3:J$42,K$46,M$3:M$42,"*gộp*")/2)</f>
        <v>15</v>
      </c>
      <c r="O47" t="s">
        <v>21</v>
      </c>
      <c r="P47">
        <f>L52</f>
        <v>8506</v>
      </c>
    </row>
    <row r="48" spans="1:18" x14ac:dyDescent="0.25">
      <c r="B48" s="7" t="s">
        <v>199</v>
      </c>
      <c r="C48" s="3">
        <v>0</v>
      </c>
      <c r="D48" s="3"/>
      <c r="K48" t="s">
        <v>200</v>
      </c>
      <c r="L48">
        <f>-SUMIFS(H$3:H$42,J$3:J$42,K$46)+M48*5</f>
        <v>-355</v>
      </c>
      <c r="M48">
        <f>SUMIFS(Q$3:Q$42,J$3:J$42,K$46)-INT(COUNTIFS(J$3:J$42,K$46,M$3:M$42,"*gộp*")/2)</f>
        <v>15</v>
      </c>
      <c r="O48" t="s">
        <v>1420</v>
      </c>
      <c r="P48">
        <f>L60</f>
        <v>8232</v>
      </c>
    </row>
    <row r="49" spans="2:16" x14ac:dyDescent="0.25">
      <c r="B49" s="7" t="s">
        <v>201</v>
      </c>
      <c r="C49" s="3">
        <f>-SUMIFS(I$3:I$42,B$3:B$42,A$46,P$3:P$42,"xx",N$3:N$42,"x")</f>
        <v>-2880</v>
      </c>
      <c r="D49" s="3"/>
      <c r="E49" s="7">
        <f>SUMIFS(Q$3:Q$42,B$3:B$42,A$46,P$3:P$42,"xx",N$3:N$42,"x")</f>
        <v>3</v>
      </c>
      <c r="K49" t="s">
        <v>202</v>
      </c>
      <c r="L49">
        <f>-M49*2</f>
        <v>-64</v>
      </c>
      <c r="M49">
        <f>E50-(COUNTIFS(M$3:M$42,"*gộp*")/2)-COUNTIFS(M$3:M$42,"*đơn trả*")-COUNTIFS(M$3:M$42,"*hàng tỉnh*")</f>
        <v>32</v>
      </c>
      <c r="O49" t="s">
        <v>135</v>
      </c>
      <c r="P49">
        <f>L68</f>
        <v>2205</v>
      </c>
    </row>
    <row r="50" spans="2:16" x14ac:dyDescent="0.25">
      <c r="B50" s="9" t="s">
        <v>203</v>
      </c>
      <c r="C50" s="5">
        <f>SUBTOTAL(9,C47:C49)</f>
        <v>18800</v>
      </c>
      <c r="D50" s="5"/>
      <c r="E50">
        <f>E47</f>
        <v>37</v>
      </c>
      <c r="K50" s="7" t="s">
        <v>204</v>
      </c>
      <c r="L50" s="28">
        <v>-895</v>
      </c>
      <c r="M50" s="28" t="s">
        <v>288</v>
      </c>
      <c r="O50" t="s">
        <v>207</v>
      </c>
      <c r="P50">
        <f>-C54</f>
        <v>-18800</v>
      </c>
    </row>
    <row r="51" spans="2:16" x14ac:dyDescent="0.25">
      <c r="B51" s="7" t="s">
        <v>205</v>
      </c>
      <c r="C51" s="2"/>
      <c r="D51" s="2"/>
      <c r="K51" s="7" t="s">
        <v>206</v>
      </c>
      <c r="O51" s="9" t="s">
        <v>209</v>
      </c>
      <c r="P51" s="9">
        <f>SUBTOTAL(9,P47:P50)</f>
        <v>143</v>
      </c>
    </row>
    <row r="52" spans="2:16" x14ac:dyDescent="0.25">
      <c r="B52" s="17" t="s">
        <v>208</v>
      </c>
      <c r="C52" s="2"/>
      <c r="D52" s="2"/>
      <c r="L52" s="18">
        <f>SUBTOTAL(9,L47:L51)</f>
        <v>8506</v>
      </c>
      <c r="M52" s="18">
        <f>M47</f>
        <v>15</v>
      </c>
    </row>
    <row r="54" spans="2:16" x14ac:dyDescent="0.25">
      <c r="B54" s="6" t="s">
        <v>210</v>
      </c>
      <c r="C54" s="1">
        <f>C50+C51+C52</f>
        <v>18800</v>
      </c>
      <c r="D54" s="1"/>
      <c r="E54" s="6" t="s">
        <v>211</v>
      </c>
      <c r="K54" s="16" t="s">
        <v>1326</v>
      </c>
      <c r="L54" s="16" t="s">
        <v>193</v>
      </c>
      <c r="M54" s="16" t="s">
        <v>192</v>
      </c>
    </row>
    <row r="55" spans="2:16" x14ac:dyDescent="0.25">
      <c r="K55" t="s">
        <v>197</v>
      </c>
      <c r="L55">
        <f>SUMIFS(G$3:G$42,J$3:J$42,K$54)</f>
        <v>9340</v>
      </c>
      <c r="M55">
        <f>SUMIFS(Q$3:Q$42,J$3:J$42,K$54)-INT(COUNTIFS(J$3:J$42,K$54,M$3:M$42,"*gộp*")/2)</f>
        <v>12</v>
      </c>
    </row>
    <row r="56" spans="2:16" x14ac:dyDescent="0.25">
      <c r="K56" t="s">
        <v>200</v>
      </c>
      <c r="L56">
        <f>SUM(H45:H47)</f>
        <v>-238</v>
      </c>
      <c r="M56">
        <f>SUMIFS(Q$3:Q$42,J$3:J$42,K$54)-INT(COUNTIFS(J$3:J$42,K$54,M$3:M$42,"*gộp*")/2)</f>
        <v>12</v>
      </c>
    </row>
    <row r="57" spans="2:16" x14ac:dyDescent="0.25">
      <c r="K57" t="s">
        <v>202</v>
      </c>
    </row>
    <row r="58" spans="2:16" x14ac:dyDescent="0.25">
      <c r="K58" s="7" t="s">
        <v>204</v>
      </c>
    </row>
    <row r="59" spans="2:16" x14ac:dyDescent="0.25">
      <c r="K59" s="7" t="s">
        <v>206</v>
      </c>
      <c r="L59" s="28">
        <v>-870</v>
      </c>
      <c r="M59" s="28" t="s">
        <v>288</v>
      </c>
    </row>
    <row r="60" spans="2:16" x14ac:dyDescent="0.25">
      <c r="L60" s="18">
        <f>SUBTOTAL(9,L55:L59)</f>
        <v>8232</v>
      </c>
      <c r="M60" s="18">
        <f>M55</f>
        <v>12</v>
      </c>
    </row>
    <row r="62" spans="2:16" x14ac:dyDescent="0.25">
      <c r="K62" s="16" t="s">
        <v>135</v>
      </c>
      <c r="L62" s="16" t="s">
        <v>193</v>
      </c>
      <c r="M62" s="16" t="s">
        <v>192</v>
      </c>
    </row>
    <row r="63" spans="2:16" x14ac:dyDescent="0.25">
      <c r="K63" t="s">
        <v>197</v>
      </c>
      <c r="L63">
        <f>SUMIFS(G$3:G$42,J$3:J$42,K$62)</f>
        <v>3470</v>
      </c>
      <c r="M63">
        <f>SUMIFS(Q$3:Q$42,J$3:J$42,K$62)-INT(COUNTIFS(J$3:J$42,K$62,M$3:M$42,"*gộp*")/2)</f>
        <v>7</v>
      </c>
    </row>
    <row r="64" spans="2:16" x14ac:dyDescent="0.25">
      <c r="K64" t="s">
        <v>200</v>
      </c>
      <c r="L64">
        <f>-SUMIFS(H$3:H$42,J$3:J$42,K$62)+M64*5</f>
        <v>-140</v>
      </c>
      <c r="M64">
        <f>SUMIFS(Q$3:Q$42,J$3:J$42,K$62)-INT(COUNTIFS(J$3:J$42,K$62,M$3:M$42,"*gộp*")/2)</f>
        <v>7</v>
      </c>
    </row>
    <row r="65" spans="11:13" x14ac:dyDescent="0.25">
      <c r="K65" t="s">
        <v>202</v>
      </c>
    </row>
    <row r="66" spans="11:13" x14ac:dyDescent="0.25">
      <c r="K66" s="7" t="s">
        <v>204</v>
      </c>
      <c r="L66" s="28">
        <v>-1125</v>
      </c>
      <c r="M66" s="28" t="s">
        <v>288</v>
      </c>
    </row>
    <row r="67" spans="11:13" x14ac:dyDescent="0.25">
      <c r="K67" s="7" t="s">
        <v>206</v>
      </c>
    </row>
    <row r="68" spans="11:13" x14ac:dyDescent="0.25">
      <c r="L68" s="18">
        <f>SUBTOTAL(9,L63:L67)</f>
        <v>2205</v>
      </c>
      <c r="M68" s="18">
        <f>M63</f>
        <v>7</v>
      </c>
    </row>
  </sheetData>
  <autoFilter ref="A2:P42" xr:uid="{00000000-0009-0000-0000-00000C000000}">
    <sortState xmlns:xlrd2="http://schemas.microsoft.com/office/spreadsheetml/2017/richdata2" ref="A3:P42">
      <sortCondition ref="J2:J42"/>
    </sortState>
  </autoFilter>
  <mergeCells count="8">
    <mergeCell ref="C51:D51"/>
    <mergeCell ref="C52:D52"/>
    <mergeCell ref="C54:D54"/>
    <mergeCell ref="C46:D46"/>
    <mergeCell ref="C47:D47"/>
    <mergeCell ref="C48:D48"/>
    <mergeCell ref="C49:D49"/>
    <mergeCell ref="C50:D50"/>
  </mergeCells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R75"/>
  <sheetViews>
    <sheetView workbookViewId="0">
      <selection activeCell="K11" sqref="K11"/>
    </sheetView>
  </sheetViews>
  <sheetFormatPr defaultRowHeight="15" x14ac:dyDescent="0.25"/>
  <cols>
    <col min="1" max="1" width="12.7109375" customWidth="1"/>
    <col min="2" max="2" width="17.7109375" customWidth="1"/>
    <col min="3" max="3" width="39.7109375" customWidth="1"/>
    <col min="4" max="4" width="9.85546875" customWidth="1"/>
    <col min="5" max="5" width="64.425781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/>
      <c r="B3" s="20" t="s">
        <v>17</v>
      </c>
      <c r="C3" s="20" t="s">
        <v>1421</v>
      </c>
      <c r="D3" s="20" t="s">
        <v>1422</v>
      </c>
      <c r="E3" s="20" t="s">
        <v>1423</v>
      </c>
      <c r="F3" s="21">
        <v>9</v>
      </c>
      <c r="G3" s="21">
        <v>850</v>
      </c>
      <c r="H3" s="21">
        <v>30</v>
      </c>
      <c r="I3" s="21">
        <f t="shared" ref="I3:I41" si="0">G3-H3</f>
        <v>820</v>
      </c>
      <c r="J3" s="20" t="s">
        <v>20</v>
      </c>
      <c r="K3" s="20" t="s">
        <v>21</v>
      </c>
      <c r="L3" s="20" t="s">
        <v>1424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1425</v>
      </c>
      <c r="D4" s="20" t="s">
        <v>1426</v>
      </c>
      <c r="E4" s="20" t="s">
        <v>1427</v>
      </c>
      <c r="F4" s="21">
        <v>9</v>
      </c>
      <c r="G4" s="21">
        <v>600</v>
      </c>
      <c r="H4" s="21">
        <v>30</v>
      </c>
      <c r="I4" s="21">
        <f t="shared" si="0"/>
        <v>570</v>
      </c>
      <c r="J4" s="20" t="s">
        <v>20</v>
      </c>
      <c r="K4" s="20" t="s">
        <v>21</v>
      </c>
      <c r="L4" s="20" t="s">
        <v>1424</v>
      </c>
      <c r="M4" s="20"/>
      <c r="N4" s="20"/>
      <c r="O4" s="20"/>
      <c r="P4" s="20"/>
      <c r="Q4" s="20">
        <v>1</v>
      </c>
    </row>
    <row r="5" spans="1:18" x14ac:dyDescent="0.25">
      <c r="A5" s="20" t="s">
        <v>16</v>
      </c>
      <c r="B5" s="20" t="s">
        <v>17</v>
      </c>
      <c r="C5" s="20" t="s">
        <v>870</v>
      </c>
      <c r="D5" s="20"/>
      <c r="E5" s="20" t="s">
        <v>632</v>
      </c>
      <c r="F5" s="21">
        <v>6</v>
      </c>
      <c r="G5" s="21">
        <v>0</v>
      </c>
      <c r="H5" s="21">
        <v>30</v>
      </c>
      <c r="I5" s="21">
        <f t="shared" si="0"/>
        <v>-30</v>
      </c>
      <c r="J5" s="20" t="s">
        <v>1428</v>
      </c>
      <c r="K5" s="20" t="s">
        <v>21</v>
      </c>
      <c r="L5" s="20" t="s">
        <v>1424</v>
      </c>
      <c r="M5" s="20"/>
      <c r="N5" s="20"/>
      <c r="O5" s="20"/>
      <c r="P5" s="20"/>
      <c r="Q5" s="20">
        <v>1</v>
      </c>
      <c r="R5" s="15">
        <f>H5</f>
        <v>30</v>
      </c>
    </row>
    <row r="6" spans="1:18" s="24" customFormat="1" x14ac:dyDescent="0.25">
      <c r="A6" s="22"/>
      <c r="B6" s="22" t="s">
        <v>17</v>
      </c>
      <c r="C6" s="22" t="s">
        <v>1352</v>
      </c>
      <c r="D6" s="22" t="s">
        <v>1429</v>
      </c>
      <c r="E6" s="22" t="s">
        <v>1354</v>
      </c>
      <c r="F6" s="23">
        <v>8</v>
      </c>
      <c r="G6" s="23">
        <v>380</v>
      </c>
      <c r="H6" s="23">
        <v>30</v>
      </c>
      <c r="I6" s="23">
        <f t="shared" si="0"/>
        <v>350</v>
      </c>
      <c r="J6" s="22" t="s">
        <v>1428</v>
      </c>
      <c r="K6" s="22" t="s">
        <v>21</v>
      </c>
      <c r="L6" s="22" t="s">
        <v>1424</v>
      </c>
      <c r="M6" s="22" t="s">
        <v>126</v>
      </c>
      <c r="N6" s="22"/>
      <c r="O6" s="22"/>
      <c r="P6" s="22"/>
      <c r="Q6" s="22">
        <v>1</v>
      </c>
    </row>
    <row r="7" spans="1:18" x14ac:dyDescent="0.25">
      <c r="A7" s="20"/>
      <c r="B7" s="20" t="s">
        <v>17</v>
      </c>
      <c r="C7" s="20" t="s">
        <v>1430</v>
      </c>
      <c r="D7" s="20" t="s">
        <v>1431</v>
      </c>
      <c r="E7" s="20" t="s">
        <v>744</v>
      </c>
      <c r="F7" s="20" t="s">
        <v>26</v>
      </c>
      <c r="G7" s="21">
        <v>0</v>
      </c>
      <c r="H7" s="21">
        <v>30</v>
      </c>
      <c r="I7" s="21">
        <f t="shared" si="0"/>
        <v>-30</v>
      </c>
      <c r="J7" s="20" t="s">
        <v>1428</v>
      </c>
      <c r="K7" s="20" t="s">
        <v>21</v>
      </c>
      <c r="L7" s="20" t="s">
        <v>1424</v>
      </c>
      <c r="M7" s="20"/>
      <c r="N7" s="20"/>
      <c r="O7" s="20"/>
      <c r="P7" s="20"/>
      <c r="Q7" s="20">
        <v>1</v>
      </c>
      <c r="R7" s="15">
        <f t="shared" ref="R7:R13" si="1">H7</f>
        <v>30</v>
      </c>
    </row>
    <row r="8" spans="1:18" x14ac:dyDescent="0.25">
      <c r="A8" s="20"/>
      <c r="B8" s="20" t="s">
        <v>17</v>
      </c>
      <c r="C8" s="20" t="s">
        <v>1065</v>
      </c>
      <c r="D8" s="20" t="s">
        <v>1432</v>
      </c>
      <c r="E8" s="20" t="s">
        <v>1067</v>
      </c>
      <c r="F8" s="20" t="s">
        <v>26</v>
      </c>
      <c r="G8" s="21">
        <v>0</v>
      </c>
      <c r="H8" s="21">
        <v>30</v>
      </c>
      <c r="I8" s="21">
        <f t="shared" si="0"/>
        <v>-30</v>
      </c>
      <c r="J8" s="20" t="s">
        <v>1428</v>
      </c>
      <c r="K8" s="20" t="s">
        <v>21</v>
      </c>
      <c r="L8" s="20" t="s">
        <v>1424</v>
      </c>
      <c r="M8" s="20"/>
      <c r="N8" s="20"/>
      <c r="O8" s="20"/>
      <c r="P8" s="20"/>
      <c r="Q8" s="20">
        <v>1</v>
      </c>
      <c r="R8" s="15">
        <f t="shared" si="1"/>
        <v>30</v>
      </c>
    </row>
    <row r="9" spans="1:18" x14ac:dyDescent="0.25">
      <c r="A9" s="20"/>
      <c r="B9" s="20" t="s">
        <v>17</v>
      </c>
      <c r="C9" s="20" t="s">
        <v>1433</v>
      </c>
      <c r="D9" s="20" t="s">
        <v>1434</v>
      </c>
      <c r="E9" s="20" t="s">
        <v>1435</v>
      </c>
      <c r="F9" s="21">
        <v>7</v>
      </c>
      <c r="G9" s="21">
        <v>0</v>
      </c>
      <c r="H9" s="21">
        <v>30</v>
      </c>
      <c r="I9" s="21">
        <f t="shared" si="0"/>
        <v>-30</v>
      </c>
      <c r="J9" s="20" t="s">
        <v>1428</v>
      </c>
      <c r="K9" s="20" t="s">
        <v>21</v>
      </c>
      <c r="L9" s="20" t="s">
        <v>1424</v>
      </c>
      <c r="M9" s="20"/>
      <c r="N9" s="20"/>
      <c r="O9" s="20"/>
      <c r="P9" s="20"/>
      <c r="Q9" s="20">
        <v>1</v>
      </c>
      <c r="R9" s="15">
        <f t="shared" si="1"/>
        <v>30</v>
      </c>
    </row>
    <row r="10" spans="1:18" x14ac:dyDescent="0.25">
      <c r="A10" s="20"/>
      <c r="B10" s="20" t="s">
        <v>17</v>
      </c>
      <c r="C10" s="20" t="s">
        <v>1436</v>
      </c>
      <c r="D10" s="20" t="s">
        <v>1437</v>
      </c>
      <c r="E10" s="20" t="s">
        <v>632</v>
      </c>
      <c r="F10" s="21">
        <v>6</v>
      </c>
      <c r="G10" s="21">
        <v>0</v>
      </c>
      <c r="H10" s="21">
        <v>25</v>
      </c>
      <c r="I10" s="21">
        <f t="shared" si="0"/>
        <v>-25</v>
      </c>
      <c r="J10" s="20" t="s">
        <v>1428</v>
      </c>
      <c r="K10" s="20" t="s">
        <v>21</v>
      </c>
      <c r="L10" s="20" t="s">
        <v>1424</v>
      </c>
      <c r="M10" s="20"/>
      <c r="N10" s="20"/>
      <c r="O10" s="20"/>
      <c r="P10" s="20"/>
      <c r="Q10" s="20">
        <v>1</v>
      </c>
      <c r="R10" s="15">
        <f t="shared" si="1"/>
        <v>25</v>
      </c>
    </row>
    <row r="11" spans="1:18" x14ac:dyDescent="0.25">
      <c r="A11" s="20"/>
      <c r="B11" s="20" t="s">
        <v>17</v>
      </c>
      <c r="C11" s="20" t="s">
        <v>1438</v>
      </c>
      <c r="D11" s="20" t="s">
        <v>1439</v>
      </c>
      <c r="E11" s="20" t="s">
        <v>1440</v>
      </c>
      <c r="F11" s="20" t="s">
        <v>26</v>
      </c>
      <c r="G11" s="21">
        <v>0</v>
      </c>
      <c r="H11" s="21">
        <v>30</v>
      </c>
      <c r="I11" s="21">
        <f t="shared" si="0"/>
        <v>-30</v>
      </c>
      <c r="J11" s="20" t="s">
        <v>1428</v>
      </c>
      <c r="K11" s="20" t="s">
        <v>21</v>
      </c>
      <c r="L11" s="20" t="s">
        <v>1424</v>
      </c>
      <c r="M11" s="20"/>
      <c r="N11" s="20"/>
      <c r="O11" s="20"/>
      <c r="P11" s="20"/>
      <c r="Q11" s="20">
        <v>1</v>
      </c>
      <c r="R11" s="15">
        <f t="shared" si="1"/>
        <v>30</v>
      </c>
    </row>
    <row r="12" spans="1:18" x14ac:dyDescent="0.25">
      <c r="A12" s="20"/>
      <c r="B12" s="20" t="s">
        <v>17</v>
      </c>
      <c r="C12" s="20" t="s">
        <v>1441</v>
      </c>
      <c r="D12" s="20" t="s">
        <v>1442</v>
      </c>
      <c r="E12" s="20" t="s">
        <v>1443</v>
      </c>
      <c r="F12" s="20" t="s">
        <v>26</v>
      </c>
      <c r="G12" s="21">
        <v>0</v>
      </c>
      <c r="H12" s="21">
        <v>30</v>
      </c>
      <c r="I12" s="21">
        <f t="shared" si="0"/>
        <v>-30</v>
      </c>
      <c r="J12" s="20" t="s">
        <v>1428</v>
      </c>
      <c r="K12" s="20" t="s">
        <v>21</v>
      </c>
      <c r="L12" s="20" t="s">
        <v>1424</v>
      </c>
      <c r="M12" s="20"/>
      <c r="N12" s="20"/>
      <c r="O12" s="20"/>
      <c r="P12" s="20"/>
      <c r="Q12" s="20">
        <v>1</v>
      </c>
      <c r="R12" s="15">
        <f t="shared" si="1"/>
        <v>30</v>
      </c>
    </row>
    <row r="13" spans="1:18" s="24" customFormat="1" x14ac:dyDescent="0.25">
      <c r="A13" s="22"/>
      <c r="B13" s="22" t="s">
        <v>17</v>
      </c>
      <c r="C13" s="22" t="s">
        <v>1444</v>
      </c>
      <c r="D13" s="22"/>
      <c r="E13" s="22" t="s">
        <v>1445</v>
      </c>
      <c r="F13" s="22" t="s">
        <v>139</v>
      </c>
      <c r="G13" s="23">
        <v>0</v>
      </c>
      <c r="H13" s="23">
        <v>35</v>
      </c>
      <c r="I13" s="23">
        <f t="shared" si="0"/>
        <v>-35</v>
      </c>
      <c r="J13" s="22" t="s">
        <v>1428</v>
      </c>
      <c r="K13" s="22" t="s">
        <v>21</v>
      </c>
      <c r="L13" s="22" t="s">
        <v>1424</v>
      </c>
      <c r="M13" s="22" t="s">
        <v>126</v>
      </c>
      <c r="N13" s="22"/>
      <c r="O13" s="22"/>
      <c r="P13" s="22"/>
      <c r="Q13" s="22">
        <v>1</v>
      </c>
      <c r="R13" s="30">
        <f t="shared" si="1"/>
        <v>35</v>
      </c>
    </row>
    <row r="14" spans="1:18" x14ac:dyDescent="0.25">
      <c r="A14" s="20"/>
      <c r="B14" s="20" t="s">
        <v>17</v>
      </c>
      <c r="C14" s="20" t="s">
        <v>1239</v>
      </c>
      <c r="D14" s="20" t="s">
        <v>1446</v>
      </c>
      <c r="E14" s="20" t="s">
        <v>1447</v>
      </c>
      <c r="F14" s="21">
        <v>8</v>
      </c>
      <c r="G14" s="21">
        <v>980</v>
      </c>
      <c r="H14" s="21">
        <v>30</v>
      </c>
      <c r="I14" s="21">
        <f t="shared" si="0"/>
        <v>950</v>
      </c>
      <c r="J14" s="20" t="s">
        <v>1428</v>
      </c>
      <c r="K14" s="20" t="s">
        <v>21</v>
      </c>
      <c r="L14" s="20" t="s">
        <v>1424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17</v>
      </c>
      <c r="C15" s="20" t="s">
        <v>1448</v>
      </c>
      <c r="D15" s="20" t="s">
        <v>1449</v>
      </c>
      <c r="E15" s="20" t="s">
        <v>1450</v>
      </c>
      <c r="F15" s="21">
        <v>8</v>
      </c>
      <c r="G15" s="21">
        <v>380</v>
      </c>
      <c r="H15" s="21">
        <v>30</v>
      </c>
      <c r="I15" s="21">
        <f t="shared" si="0"/>
        <v>350</v>
      </c>
      <c r="J15" s="20" t="s">
        <v>1428</v>
      </c>
      <c r="K15" s="20" t="s">
        <v>21</v>
      </c>
      <c r="L15" s="20" t="s">
        <v>1424</v>
      </c>
      <c r="M15" s="20"/>
      <c r="N15" s="20"/>
      <c r="O15" s="20"/>
      <c r="P15" s="20"/>
      <c r="Q15" s="20">
        <v>1</v>
      </c>
    </row>
    <row r="16" spans="1:18" x14ac:dyDescent="0.25">
      <c r="A16" s="20"/>
      <c r="B16" s="20" t="s">
        <v>17</v>
      </c>
      <c r="C16" s="20" t="s">
        <v>1451</v>
      </c>
      <c r="D16" s="20" t="s">
        <v>1452</v>
      </c>
      <c r="E16" s="20" t="s">
        <v>1453</v>
      </c>
      <c r="F16" s="20" t="s">
        <v>139</v>
      </c>
      <c r="G16" s="21">
        <v>695</v>
      </c>
      <c r="H16" s="21">
        <v>35</v>
      </c>
      <c r="I16" s="21">
        <f t="shared" si="0"/>
        <v>660</v>
      </c>
      <c r="J16" s="20" t="s">
        <v>1428</v>
      </c>
      <c r="K16" s="20" t="s">
        <v>21</v>
      </c>
      <c r="L16" s="20" t="s">
        <v>1424</v>
      </c>
      <c r="M16" s="25" t="s">
        <v>377</v>
      </c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1454</v>
      </c>
      <c r="D17" s="20" t="s">
        <v>1455</v>
      </c>
      <c r="E17" s="20" t="s">
        <v>1456</v>
      </c>
      <c r="F17" s="20" t="s">
        <v>139</v>
      </c>
      <c r="G17" s="21">
        <v>820</v>
      </c>
      <c r="H17" s="21">
        <v>0</v>
      </c>
      <c r="I17" s="21">
        <f t="shared" si="0"/>
        <v>820</v>
      </c>
      <c r="J17" s="20" t="s">
        <v>1428</v>
      </c>
      <c r="K17" s="20" t="s">
        <v>21</v>
      </c>
      <c r="L17" s="20" t="s">
        <v>1424</v>
      </c>
      <c r="M17" s="25" t="s">
        <v>377</v>
      </c>
      <c r="N17" s="20"/>
      <c r="O17" s="20"/>
      <c r="P17" s="20"/>
      <c r="Q17" s="20">
        <v>1</v>
      </c>
    </row>
    <row r="18" spans="1:18" x14ac:dyDescent="0.25">
      <c r="A18" s="20"/>
      <c r="B18" s="20" t="s">
        <v>17</v>
      </c>
      <c r="C18" s="20" t="s">
        <v>1457</v>
      </c>
      <c r="D18" s="20" t="s">
        <v>1458</v>
      </c>
      <c r="E18" s="20" t="s">
        <v>1459</v>
      </c>
      <c r="F18" s="21">
        <v>7</v>
      </c>
      <c r="G18" s="21">
        <v>980</v>
      </c>
      <c r="H18" s="21">
        <v>30</v>
      </c>
      <c r="I18" s="21">
        <f t="shared" si="0"/>
        <v>950</v>
      </c>
      <c r="J18" s="20" t="s">
        <v>1428</v>
      </c>
      <c r="K18" s="20" t="s">
        <v>21</v>
      </c>
      <c r="L18" s="20" t="s">
        <v>1424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1460</v>
      </c>
      <c r="D19" s="20" t="s">
        <v>1461</v>
      </c>
      <c r="E19" s="20" t="s">
        <v>1462</v>
      </c>
      <c r="F19" s="21">
        <v>11</v>
      </c>
      <c r="G19" s="21">
        <v>985</v>
      </c>
      <c r="H19" s="21">
        <v>25</v>
      </c>
      <c r="I19" s="21">
        <f t="shared" si="0"/>
        <v>960</v>
      </c>
      <c r="J19" s="20" t="s">
        <v>1428</v>
      </c>
      <c r="K19" s="20" t="s">
        <v>21</v>
      </c>
      <c r="L19" s="20" t="s">
        <v>1424</v>
      </c>
      <c r="M19" s="20"/>
      <c r="N19" s="20"/>
      <c r="O19" s="20"/>
      <c r="P19" s="20"/>
      <c r="Q19" s="20">
        <v>1</v>
      </c>
    </row>
    <row r="20" spans="1:18" x14ac:dyDescent="0.25">
      <c r="A20" s="20" t="s">
        <v>16</v>
      </c>
      <c r="B20" s="20" t="s">
        <v>17</v>
      </c>
      <c r="C20" s="20" t="s">
        <v>1463</v>
      </c>
      <c r="D20" s="20"/>
      <c r="E20" s="20" t="s">
        <v>259</v>
      </c>
      <c r="F20" s="21">
        <v>12</v>
      </c>
      <c r="G20" s="21">
        <v>0</v>
      </c>
      <c r="H20" s="21">
        <v>60</v>
      </c>
      <c r="I20" s="21">
        <f t="shared" si="0"/>
        <v>-60</v>
      </c>
      <c r="J20" s="20" t="s">
        <v>21</v>
      </c>
      <c r="K20" s="20" t="s">
        <v>21</v>
      </c>
      <c r="L20" s="20" t="s">
        <v>1424</v>
      </c>
      <c r="M20" s="20"/>
      <c r="N20" s="20"/>
      <c r="O20" s="20"/>
      <c r="P20" s="20"/>
      <c r="Q20" s="20">
        <v>1</v>
      </c>
      <c r="R20" s="15">
        <f>H20</f>
        <v>60</v>
      </c>
    </row>
    <row r="21" spans="1:18" x14ac:dyDescent="0.25">
      <c r="A21" s="20" t="s">
        <v>16</v>
      </c>
      <c r="B21" s="20" t="s">
        <v>17</v>
      </c>
      <c r="C21" s="20" t="s">
        <v>368</v>
      </c>
      <c r="D21" s="20"/>
      <c r="E21" s="20" t="s">
        <v>369</v>
      </c>
      <c r="F21" s="20" t="s">
        <v>77</v>
      </c>
      <c r="G21" s="21">
        <v>30</v>
      </c>
      <c r="H21" s="21">
        <v>30</v>
      </c>
      <c r="I21" s="21">
        <f t="shared" si="0"/>
        <v>0</v>
      </c>
      <c r="J21" s="20" t="s">
        <v>21</v>
      </c>
      <c r="K21" s="20" t="s">
        <v>21</v>
      </c>
      <c r="L21" s="20" t="s">
        <v>1424</v>
      </c>
      <c r="M21" s="20"/>
      <c r="N21" s="20"/>
      <c r="O21" s="20"/>
      <c r="P21" s="20"/>
      <c r="Q21" s="20">
        <v>1</v>
      </c>
    </row>
    <row r="22" spans="1:18" x14ac:dyDescent="0.25">
      <c r="A22" s="20" t="s">
        <v>16</v>
      </c>
      <c r="B22" s="20" t="s">
        <v>17</v>
      </c>
      <c r="C22" s="20" t="s">
        <v>1394</v>
      </c>
      <c r="D22" s="20"/>
      <c r="E22" s="20" t="s">
        <v>1395</v>
      </c>
      <c r="F22" s="21">
        <v>12</v>
      </c>
      <c r="G22" s="21">
        <v>595</v>
      </c>
      <c r="H22" s="21">
        <v>35</v>
      </c>
      <c r="I22" s="21">
        <f t="shared" si="0"/>
        <v>560</v>
      </c>
      <c r="J22" s="20" t="s">
        <v>21</v>
      </c>
      <c r="K22" s="20" t="s">
        <v>21</v>
      </c>
      <c r="L22" s="20" t="s">
        <v>1424</v>
      </c>
      <c r="M22" s="20"/>
      <c r="N22" s="20"/>
      <c r="O22" s="20"/>
      <c r="P22" s="20"/>
      <c r="Q22" s="20">
        <v>1</v>
      </c>
    </row>
    <row r="23" spans="1:18" x14ac:dyDescent="0.25">
      <c r="A23" s="20"/>
      <c r="B23" s="20" t="s">
        <v>17</v>
      </c>
      <c r="C23" s="20" t="s">
        <v>1464</v>
      </c>
      <c r="D23" s="20" t="s">
        <v>1465</v>
      </c>
      <c r="E23" s="20" t="s">
        <v>1466</v>
      </c>
      <c r="F23" s="21">
        <v>2</v>
      </c>
      <c r="G23" s="21">
        <v>890</v>
      </c>
      <c r="H23" s="21">
        <v>30</v>
      </c>
      <c r="I23" s="21">
        <f t="shared" si="0"/>
        <v>860</v>
      </c>
      <c r="J23" s="20" t="s">
        <v>21</v>
      </c>
      <c r="K23" s="20" t="s">
        <v>21</v>
      </c>
      <c r="L23" s="20" t="s">
        <v>1424</v>
      </c>
      <c r="M23" s="20"/>
      <c r="N23" s="20"/>
      <c r="O23" s="20"/>
      <c r="P23" s="20"/>
      <c r="Q23" s="20">
        <v>1</v>
      </c>
    </row>
    <row r="24" spans="1:18" x14ac:dyDescent="0.25">
      <c r="A24" s="20"/>
      <c r="B24" s="20" t="s">
        <v>17</v>
      </c>
      <c r="C24" s="20" t="s">
        <v>1006</v>
      </c>
      <c r="D24" s="20" t="s">
        <v>1467</v>
      </c>
      <c r="E24" s="20" t="s">
        <v>1008</v>
      </c>
      <c r="F24" s="21">
        <v>2</v>
      </c>
      <c r="G24" s="21">
        <v>380</v>
      </c>
      <c r="H24" s="21">
        <v>30</v>
      </c>
      <c r="I24" s="21">
        <f t="shared" si="0"/>
        <v>350</v>
      </c>
      <c r="J24" s="20" t="s">
        <v>21</v>
      </c>
      <c r="K24" s="20" t="s">
        <v>21</v>
      </c>
      <c r="L24" s="20" t="s">
        <v>1424</v>
      </c>
      <c r="M24" s="20"/>
      <c r="N24" s="20"/>
      <c r="O24" s="20"/>
      <c r="P24" s="20"/>
      <c r="Q24" s="20">
        <v>1</v>
      </c>
    </row>
    <row r="25" spans="1:18" x14ac:dyDescent="0.25">
      <c r="A25" s="20"/>
      <c r="B25" s="20" t="s">
        <v>17</v>
      </c>
      <c r="C25" s="20" t="s">
        <v>1468</v>
      </c>
      <c r="D25" s="20" t="s">
        <v>1469</v>
      </c>
      <c r="E25" s="20" t="s">
        <v>1470</v>
      </c>
      <c r="F25" s="21">
        <v>2</v>
      </c>
      <c r="G25" s="21">
        <v>1020</v>
      </c>
      <c r="H25" s="21">
        <v>30</v>
      </c>
      <c r="I25" s="21">
        <f t="shared" si="0"/>
        <v>990</v>
      </c>
      <c r="J25" s="20" t="s">
        <v>21</v>
      </c>
      <c r="K25" s="20" t="s">
        <v>21</v>
      </c>
      <c r="L25" s="20" t="s">
        <v>1424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1471</v>
      </c>
      <c r="D26" s="20" t="s">
        <v>1472</v>
      </c>
      <c r="E26" s="20" t="s">
        <v>1473</v>
      </c>
      <c r="F26" s="20" t="s">
        <v>81</v>
      </c>
      <c r="G26" s="21">
        <v>0</v>
      </c>
      <c r="H26" s="21">
        <v>30</v>
      </c>
      <c r="I26" s="21">
        <f t="shared" si="0"/>
        <v>-30</v>
      </c>
      <c r="J26" s="20" t="s">
        <v>21</v>
      </c>
      <c r="K26" s="20" t="s">
        <v>21</v>
      </c>
      <c r="L26" s="20" t="s">
        <v>1424</v>
      </c>
      <c r="M26" s="20"/>
      <c r="N26" s="20"/>
      <c r="O26" s="20"/>
      <c r="P26" s="20"/>
      <c r="Q26" s="20">
        <v>1</v>
      </c>
      <c r="R26" s="15">
        <f>H26</f>
        <v>30</v>
      </c>
    </row>
    <row r="27" spans="1:18" s="24" customFormat="1" x14ac:dyDescent="0.25">
      <c r="A27" s="22"/>
      <c r="B27" s="22" t="s">
        <v>17</v>
      </c>
      <c r="C27" s="22" t="s">
        <v>1474</v>
      </c>
      <c r="D27" s="22" t="s">
        <v>1475</v>
      </c>
      <c r="E27" s="22" t="s">
        <v>1476</v>
      </c>
      <c r="F27" s="22" t="s">
        <v>77</v>
      </c>
      <c r="G27" s="23">
        <v>295</v>
      </c>
      <c r="H27" s="23">
        <v>25</v>
      </c>
      <c r="I27" s="23">
        <f t="shared" si="0"/>
        <v>270</v>
      </c>
      <c r="J27" s="22" t="s">
        <v>21</v>
      </c>
      <c r="K27" s="22" t="s">
        <v>21</v>
      </c>
      <c r="L27" s="22" t="s">
        <v>1424</v>
      </c>
      <c r="M27" s="22" t="s">
        <v>126</v>
      </c>
      <c r="N27" s="22"/>
      <c r="O27" s="22"/>
      <c r="P27" s="22"/>
      <c r="Q27" s="22">
        <v>1</v>
      </c>
    </row>
    <row r="28" spans="1:18" x14ac:dyDescent="0.25">
      <c r="A28" s="20"/>
      <c r="B28" s="20" t="s">
        <v>17</v>
      </c>
      <c r="C28" s="20" t="s">
        <v>1477</v>
      </c>
      <c r="D28" s="20" t="s">
        <v>1478</v>
      </c>
      <c r="E28" s="20" t="s">
        <v>1479</v>
      </c>
      <c r="F28" s="20" t="s">
        <v>85</v>
      </c>
      <c r="G28" s="21">
        <v>1190</v>
      </c>
      <c r="H28" s="21">
        <v>20</v>
      </c>
      <c r="I28" s="21">
        <f t="shared" si="0"/>
        <v>1170</v>
      </c>
      <c r="J28" s="20" t="s">
        <v>21</v>
      </c>
      <c r="K28" s="20" t="s">
        <v>21</v>
      </c>
      <c r="L28" s="20" t="s">
        <v>1424</v>
      </c>
      <c r="M28" s="20"/>
      <c r="N28" s="20"/>
      <c r="O28" s="20"/>
      <c r="P28" s="20"/>
      <c r="Q28" s="20">
        <v>1</v>
      </c>
    </row>
    <row r="29" spans="1:18" x14ac:dyDescent="0.25">
      <c r="A29" s="20"/>
      <c r="B29" s="20" t="s">
        <v>17</v>
      </c>
      <c r="C29" s="20" t="s">
        <v>483</v>
      </c>
      <c r="D29" s="20" t="s">
        <v>1480</v>
      </c>
      <c r="E29" s="20" t="s">
        <v>1481</v>
      </c>
      <c r="F29" s="20" t="s">
        <v>77</v>
      </c>
      <c r="G29" s="21">
        <v>0</v>
      </c>
      <c r="H29" s="21">
        <v>25</v>
      </c>
      <c r="I29" s="21">
        <f t="shared" si="0"/>
        <v>-25</v>
      </c>
      <c r="J29" s="20" t="s">
        <v>21</v>
      </c>
      <c r="K29" s="20" t="s">
        <v>21</v>
      </c>
      <c r="L29" s="20" t="s">
        <v>1424</v>
      </c>
      <c r="M29" s="20"/>
      <c r="N29" s="20"/>
      <c r="O29" s="20"/>
      <c r="P29" s="20"/>
      <c r="Q29" s="20">
        <v>1</v>
      </c>
      <c r="R29" s="15">
        <f>H29</f>
        <v>25</v>
      </c>
    </row>
    <row r="30" spans="1:18" x14ac:dyDescent="0.25">
      <c r="A30" s="20"/>
      <c r="B30" s="20" t="s">
        <v>17</v>
      </c>
      <c r="C30" s="20" t="s">
        <v>1482</v>
      </c>
      <c r="D30" s="20" t="s">
        <v>1483</v>
      </c>
      <c r="E30" s="20" t="s">
        <v>1484</v>
      </c>
      <c r="F30" s="20" t="s">
        <v>77</v>
      </c>
      <c r="G30" s="21">
        <v>885</v>
      </c>
      <c r="H30" s="21">
        <v>25</v>
      </c>
      <c r="I30" s="21">
        <f t="shared" si="0"/>
        <v>860</v>
      </c>
      <c r="J30" s="20" t="s">
        <v>21</v>
      </c>
      <c r="K30" s="20" t="s">
        <v>21</v>
      </c>
      <c r="L30" s="20" t="s">
        <v>1424</v>
      </c>
      <c r="M30" s="20"/>
      <c r="N30" s="20"/>
      <c r="O30" s="20"/>
      <c r="P30" s="20"/>
      <c r="Q30" s="20">
        <v>1</v>
      </c>
    </row>
    <row r="31" spans="1:18" x14ac:dyDescent="0.25">
      <c r="A31" s="20"/>
      <c r="B31" s="20" t="s">
        <v>17</v>
      </c>
      <c r="C31" s="20" t="s">
        <v>1485</v>
      </c>
      <c r="D31" s="20" t="s">
        <v>1486</v>
      </c>
      <c r="E31" s="20" t="s">
        <v>1487</v>
      </c>
      <c r="F31" s="20" t="s">
        <v>77</v>
      </c>
      <c r="G31" s="21">
        <v>915</v>
      </c>
      <c r="H31" s="21">
        <v>25</v>
      </c>
      <c r="I31" s="21">
        <f t="shared" si="0"/>
        <v>890</v>
      </c>
      <c r="J31" s="20" t="s">
        <v>21</v>
      </c>
      <c r="K31" s="20" t="s">
        <v>21</v>
      </c>
      <c r="L31" s="20" t="s">
        <v>1424</v>
      </c>
      <c r="M31" s="20"/>
      <c r="N31" s="20"/>
      <c r="O31" s="20"/>
      <c r="P31" s="20"/>
      <c r="Q31" s="20">
        <v>1</v>
      </c>
    </row>
    <row r="32" spans="1:18" x14ac:dyDescent="0.25">
      <c r="A32" s="20"/>
      <c r="B32" s="20" t="s">
        <v>17</v>
      </c>
      <c r="C32" s="20" t="s">
        <v>1488</v>
      </c>
      <c r="D32" s="20" t="s">
        <v>1489</v>
      </c>
      <c r="E32" s="20" t="s">
        <v>1490</v>
      </c>
      <c r="F32" s="20" t="s">
        <v>77</v>
      </c>
      <c r="G32" s="21">
        <v>815</v>
      </c>
      <c r="H32" s="21">
        <v>25</v>
      </c>
      <c r="I32" s="21">
        <f t="shared" si="0"/>
        <v>790</v>
      </c>
      <c r="J32" s="20" t="s">
        <v>21</v>
      </c>
      <c r="K32" s="20" t="s">
        <v>21</v>
      </c>
      <c r="L32" s="20" t="s">
        <v>1424</v>
      </c>
      <c r="M32" s="20"/>
      <c r="N32" s="20"/>
      <c r="O32" s="20"/>
      <c r="P32" s="20"/>
      <c r="Q32" s="20">
        <v>1</v>
      </c>
    </row>
    <row r="33" spans="1:18" x14ac:dyDescent="0.25">
      <c r="A33" s="20" t="s">
        <v>16</v>
      </c>
      <c r="B33" s="20" t="s">
        <v>17</v>
      </c>
      <c r="C33" s="20" t="s">
        <v>1491</v>
      </c>
      <c r="D33" s="20"/>
      <c r="E33" s="20" t="s">
        <v>507</v>
      </c>
      <c r="F33" s="20" t="s">
        <v>95</v>
      </c>
      <c r="G33" s="21">
        <v>0</v>
      </c>
      <c r="H33" s="21">
        <v>30</v>
      </c>
      <c r="I33" s="21">
        <f t="shared" si="0"/>
        <v>-30</v>
      </c>
      <c r="J33" s="20" t="s">
        <v>135</v>
      </c>
      <c r="K33" s="20" t="s">
        <v>21</v>
      </c>
      <c r="L33" s="20" t="s">
        <v>1424</v>
      </c>
      <c r="M33" s="20"/>
      <c r="N33" s="20"/>
      <c r="O33" s="20"/>
      <c r="P33" s="20"/>
      <c r="Q33" s="20">
        <v>1</v>
      </c>
      <c r="R33" s="15">
        <f>H33</f>
        <v>30</v>
      </c>
    </row>
    <row r="34" spans="1:18" x14ac:dyDescent="0.25">
      <c r="A34" s="20" t="s">
        <v>16</v>
      </c>
      <c r="B34" s="20" t="s">
        <v>17</v>
      </c>
      <c r="C34" s="20" t="s">
        <v>1492</v>
      </c>
      <c r="D34" s="20"/>
      <c r="E34" s="20" t="s">
        <v>1493</v>
      </c>
      <c r="F34" s="20" t="s">
        <v>95</v>
      </c>
      <c r="G34" s="21">
        <v>30</v>
      </c>
      <c r="H34" s="21">
        <v>30</v>
      </c>
      <c r="I34" s="21">
        <f t="shared" si="0"/>
        <v>0</v>
      </c>
      <c r="J34" s="20" t="s">
        <v>135</v>
      </c>
      <c r="K34" s="20" t="s">
        <v>21</v>
      </c>
      <c r="L34" s="20" t="s">
        <v>1424</v>
      </c>
      <c r="M34" s="20"/>
      <c r="N34" s="20"/>
      <c r="O34" s="20"/>
      <c r="P34" s="20"/>
      <c r="Q34" s="20">
        <v>1</v>
      </c>
    </row>
    <row r="35" spans="1:18" x14ac:dyDescent="0.25">
      <c r="A35" s="20"/>
      <c r="B35" s="20" t="s">
        <v>17</v>
      </c>
      <c r="C35" s="20" t="s">
        <v>1494</v>
      </c>
      <c r="D35" s="20" t="s">
        <v>1495</v>
      </c>
      <c r="E35" s="20" t="s">
        <v>1496</v>
      </c>
      <c r="F35" s="20" t="s">
        <v>95</v>
      </c>
      <c r="G35" s="21">
        <v>0</v>
      </c>
      <c r="H35" s="21">
        <v>25</v>
      </c>
      <c r="I35" s="21">
        <f t="shared" si="0"/>
        <v>-25</v>
      </c>
      <c r="J35" s="20" t="s">
        <v>135</v>
      </c>
      <c r="K35" s="20" t="s">
        <v>21</v>
      </c>
      <c r="L35" s="20" t="s">
        <v>1424</v>
      </c>
      <c r="M35" s="20"/>
      <c r="N35" s="20"/>
      <c r="O35" s="20"/>
      <c r="P35" s="20"/>
      <c r="Q35" s="20">
        <v>1</v>
      </c>
      <c r="R35" s="15">
        <f>H35</f>
        <v>25</v>
      </c>
    </row>
    <row r="36" spans="1:18" x14ac:dyDescent="0.25">
      <c r="A36" s="20"/>
      <c r="B36" s="20" t="s">
        <v>17</v>
      </c>
      <c r="C36" s="20" t="s">
        <v>1497</v>
      </c>
      <c r="D36" s="20" t="s">
        <v>1498</v>
      </c>
      <c r="E36" s="20" t="s">
        <v>1499</v>
      </c>
      <c r="F36" s="21">
        <v>4</v>
      </c>
      <c r="G36" s="21">
        <v>1075</v>
      </c>
      <c r="H36" s="21">
        <v>25</v>
      </c>
      <c r="I36" s="21">
        <f t="shared" si="0"/>
        <v>1050</v>
      </c>
      <c r="J36" s="20" t="s">
        <v>135</v>
      </c>
      <c r="K36" s="20" t="s">
        <v>21</v>
      </c>
      <c r="L36" s="20" t="s">
        <v>1424</v>
      </c>
      <c r="M36" s="20"/>
      <c r="N36" s="20"/>
      <c r="O36" s="20"/>
      <c r="P36" s="20"/>
      <c r="Q36" s="20">
        <v>1</v>
      </c>
    </row>
    <row r="37" spans="1:18" x14ac:dyDescent="0.25">
      <c r="A37" s="20"/>
      <c r="B37" s="20" t="s">
        <v>17</v>
      </c>
      <c r="C37" s="20" t="s">
        <v>607</v>
      </c>
      <c r="D37" s="20" t="s">
        <v>1500</v>
      </c>
      <c r="E37" s="20" t="s">
        <v>609</v>
      </c>
      <c r="F37" s="21">
        <v>5</v>
      </c>
      <c r="G37" s="21">
        <v>1065</v>
      </c>
      <c r="H37" s="21">
        <v>25</v>
      </c>
      <c r="I37" s="21">
        <f t="shared" si="0"/>
        <v>1040</v>
      </c>
      <c r="J37" s="20" t="s">
        <v>135</v>
      </c>
      <c r="K37" s="20" t="s">
        <v>21</v>
      </c>
      <c r="L37" s="20" t="s">
        <v>1424</v>
      </c>
      <c r="M37" s="20"/>
      <c r="N37" s="20"/>
      <c r="O37" s="20"/>
      <c r="P37" s="20"/>
      <c r="Q37" s="20">
        <v>1</v>
      </c>
    </row>
    <row r="38" spans="1:18" s="24" customFormat="1" x14ac:dyDescent="0.25">
      <c r="A38" s="22"/>
      <c r="B38" s="22" t="s">
        <v>17</v>
      </c>
      <c r="C38" s="22" t="s">
        <v>1501</v>
      </c>
      <c r="D38" s="22" t="s">
        <v>1502</v>
      </c>
      <c r="E38" s="22" t="s">
        <v>1503</v>
      </c>
      <c r="F38" s="23">
        <v>3</v>
      </c>
      <c r="G38" s="23">
        <v>25</v>
      </c>
      <c r="H38" s="23">
        <v>25</v>
      </c>
      <c r="I38" s="23">
        <f t="shared" si="0"/>
        <v>0</v>
      </c>
      <c r="J38" s="22" t="s">
        <v>135</v>
      </c>
      <c r="K38" s="22" t="s">
        <v>21</v>
      </c>
      <c r="L38" s="22" t="s">
        <v>1424</v>
      </c>
      <c r="M38" s="22" t="s">
        <v>126</v>
      </c>
      <c r="N38" s="22"/>
      <c r="O38" s="22"/>
      <c r="P38" s="22"/>
      <c r="Q38" s="22">
        <v>1</v>
      </c>
    </row>
    <row r="39" spans="1:18" x14ac:dyDescent="0.25">
      <c r="A39" s="20"/>
      <c r="B39" s="20" t="s">
        <v>17</v>
      </c>
      <c r="C39" s="20" t="s">
        <v>1504</v>
      </c>
      <c r="D39" s="20" t="s">
        <v>1505</v>
      </c>
      <c r="E39" s="20" t="s">
        <v>1506</v>
      </c>
      <c r="F39" s="21">
        <v>1</v>
      </c>
      <c r="G39" s="21">
        <v>915</v>
      </c>
      <c r="H39" s="21">
        <v>25</v>
      </c>
      <c r="I39" s="21">
        <f t="shared" si="0"/>
        <v>890</v>
      </c>
      <c r="J39" s="20" t="s">
        <v>135</v>
      </c>
      <c r="K39" s="20" t="s">
        <v>21</v>
      </c>
      <c r="L39" s="20" t="s">
        <v>1424</v>
      </c>
      <c r="M39" s="20"/>
      <c r="N39" s="20"/>
      <c r="O39" s="20"/>
      <c r="P39" s="20"/>
      <c r="Q39" s="20">
        <v>1</v>
      </c>
    </row>
    <row r="40" spans="1:18" x14ac:dyDescent="0.25">
      <c r="A40" s="20"/>
      <c r="B40" s="20" t="s">
        <v>17</v>
      </c>
      <c r="C40" s="20" t="s">
        <v>1507</v>
      </c>
      <c r="D40" s="20" t="s">
        <v>1508</v>
      </c>
      <c r="E40" s="20" t="s">
        <v>1509</v>
      </c>
      <c r="F40" s="21">
        <v>3</v>
      </c>
      <c r="G40" s="21">
        <v>765</v>
      </c>
      <c r="H40" s="21">
        <v>25</v>
      </c>
      <c r="I40" s="21">
        <f t="shared" si="0"/>
        <v>740</v>
      </c>
      <c r="J40" s="20" t="s">
        <v>135</v>
      </c>
      <c r="K40" s="20" t="s">
        <v>21</v>
      </c>
      <c r="L40" s="20" t="s">
        <v>1424</v>
      </c>
      <c r="M40" s="20"/>
      <c r="N40" s="20"/>
      <c r="O40" s="20"/>
      <c r="P40" s="20"/>
      <c r="Q40" s="20">
        <v>1</v>
      </c>
    </row>
    <row r="41" spans="1:18" x14ac:dyDescent="0.25">
      <c r="A41" s="20"/>
      <c r="B41" s="20" t="s">
        <v>17</v>
      </c>
      <c r="C41" s="20" t="s">
        <v>1510</v>
      </c>
      <c r="D41" s="20" t="s">
        <v>1511</v>
      </c>
      <c r="E41" s="20" t="s">
        <v>1512</v>
      </c>
      <c r="F41" s="21">
        <v>1</v>
      </c>
      <c r="G41" s="21">
        <v>855</v>
      </c>
      <c r="H41" s="21">
        <v>25</v>
      </c>
      <c r="I41" s="21">
        <f t="shared" si="0"/>
        <v>830</v>
      </c>
      <c r="J41" s="20" t="s">
        <v>135</v>
      </c>
      <c r="K41" s="20" t="s">
        <v>21</v>
      </c>
      <c r="L41" s="20" t="s">
        <v>1424</v>
      </c>
      <c r="M41" s="20"/>
      <c r="N41" s="20"/>
      <c r="O41" s="20"/>
      <c r="P41" s="20"/>
      <c r="Q41" s="20">
        <v>1</v>
      </c>
    </row>
    <row r="43" spans="1:18" x14ac:dyDescent="0.25">
      <c r="D43" s="6">
        <f>COUNTA(D3:D41)</f>
        <v>32</v>
      </c>
      <c r="G43" s="6">
        <f t="shared" ref="G43:Q43" si="2">SUBTOTAL(9,G3:G41)</f>
        <v>18415</v>
      </c>
      <c r="H43" s="6">
        <f t="shared" si="2"/>
        <v>1105</v>
      </c>
      <c r="I43" s="6">
        <f t="shared" si="2"/>
        <v>17310</v>
      </c>
      <c r="J43" s="6">
        <f t="shared" si="2"/>
        <v>0</v>
      </c>
      <c r="K43" s="6">
        <f t="shared" si="2"/>
        <v>0</v>
      </c>
      <c r="L43" s="6">
        <f t="shared" si="2"/>
        <v>0</v>
      </c>
      <c r="M43" s="6">
        <f t="shared" si="2"/>
        <v>0</v>
      </c>
      <c r="N43" s="6">
        <f t="shared" si="2"/>
        <v>0</v>
      </c>
      <c r="O43" s="6">
        <f t="shared" si="2"/>
        <v>0</v>
      </c>
      <c r="P43" s="6">
        <f t="shared" si="2"/>
        <v>0</v>
      </c>
      <c r="Q43" s="6">
        <f t="shared" si="2"/>
        <v>39</v>
      </c>
    </row>
    <row r="44" spans="1:18" x14ac:dyDescent="0.25">
      <c r="H44">
        <f>-8*17</f>
        <v>-136</v>
      </c>
    </row>
    <row r="45" spans="1:18" x14ac:dyDescent="0.25">
      <c r="A45" s="6" t="s">
        <v>17</v>
      </c>
      <c r="C45" s="5" t="s">
        <v>191</v>
      </c>
      <c r="D45" s="5"/>
      <c r="E45" s="9" t="s">
        <v>192</v>
      </c>
      <c r="H45">
        <f>-4*25</f>
        <v>-100</v>
      </c>
      <c r="K45" s="16" t="s">
        <v>135</v>
      </c>
      <c r="L45" s="16" t="s">
        <v>193</v>
      </c>
      <c r="M45" s="16" t="s">
        <v>192</v>
      </c>
      <c r="O45" s="9" t="s">
        <v>194</v>
      </c>
    </row>
    <row r="46" spans="1:18" x14ac:dyDescent="0.25">
      <c r="A46" t="s">
        <v>1424</v>
      </c>
      <c r="B46" s="8" t="s">
        <v>195</v>
      </c>
      <c r="C46" s="4">
        <f>SUMIFS(I$3:I$41,B$3:B$41,A$45,L$3:L$41,A$46)</f>
        <v>17310</v>
      </c>
      <c r="D46" s="4"/>
      <c r="E46" s="8">
        <f>SUMIFS(Q$3:Q$41,B$3:B$41,A$45,L$3:L$41,A$46)</f>
        <v>39</v>
      </c>
      <c r="F46" t="s">
        <v>196</v>
      </c>
      <c r="H46">
        <f>-2*30</f>
        <v>-60</v>
      </c>
      <c r="K46" t="s">
        <v>197</v>
      </c>
      <c r="L46">
        <f>SUMIFS(G$3:G$41,J$3:J$41,K$45)</f>
        <v>4730</v>
      </c>
      <c r="M46">
        <f>SUMIFS(Q$3:Q$41,J$3:J$41,K$45)-INT(COUNTIFS(J$3:J$41,K$45,M$3:M$41,"*gộp*")/2)</f>
        <v>9</v>
      </c>
      <c r="O46" t="s">
        <v>135</v>
      </c>
      <c r="P46">
        <f>L51</f>
        <v>4540</v>
      </c>
    </row>
    <row r="47" spans="1:18" x14ac:dyDescent="0.25">
      <c r="B47" s="7" t="s">
        <v>199</v>
      </c>
      <c r="C47" s="3">
        <v>0</v>
      </c>
      <c r="D47" s="3"/>
      <c r="K47" t="s">
        <v>200</v>
      </c>
      <c r="L47">
        <f>-SUMIFS(H$3:H$41,J$3:J$41,K$45)+M47*5</f>
        <v>-190</v>
      </c>
      <c r="M47">
        <f>SUMIFS(Q$3:Q$41,J$3:J$41,K$45)-INT(COUNTIFS(J$3:J$41,K$45,M$3:M$41,"*gộp*")/2)</f>
        <v>9</v>
      </c>
      <c r="O47" t="s">
        <v>21</v>
      </c>
      <c r="P47">
        <f>L59</f>
        <v>6614</v>
      </c>
    </row>
    <row r="48" spans="1:18" x14ac:dyDescent="0.25">
      <c r="B48" s="7" t="s">
        <v>201</v>
      </c>
      <c r="C48" s="3">
        <f>-SUMIFS(I$3:I$41,B$3:B$41,A$45,P$3:P$41,"xx",N$3:N$41,"x")</f>
        <v>0</v>
      </c>
      <c r="D48" s="3"/>
      <c r="E48" s="7">
        <f>SUMIFS(Q$3:Q$41,B$3:B$41,A$45,P$3:P$41,"xx",N$3:N$41,"x")</f>
        <v>0</v>
      </c>
      <c r="K48" t="s">
        <v>202</v>
      </c>
      <c r="O48" t="s">
        <v>1513</v>
      </c>
      <c r="P48">
        <f>L67</f>
        <v>4924</v>
      </c>
    </row>
    <row r="49" spans="2:16" x14ac:dyDescent="0.25">
      <c r="B49" s="9" t="s">
        <v>203</v>
      </c>
      <c r="C49" s="5">
        <f>SUBTOTAL(9,C46:C48)</f>
        <v>17310</v>
      </c>
      <c r="D49" s="5"/>
      <c r="E49">
        <f>E46</f>
        <v>39</v>
      </c>
      <c r="K49" s="7" t="s">
        <v>204</v>
      </c>
      <c r="O49" t="s">
        <v>20</v>
      </c>
      <c r="P49">
        <f>L75</f>
        <v>1400</v>
      </c>
    </row>
    <row r="50" spans="2:16" x14ac:dyDescent="0.25">
      <c r="B50" s="7" t="s">
        <v>205</v>
      </c>
      <c r="C50" s="2"/>
      <c r="D50" s="2"/>
      <c r="K50" s="7" t="s">
        <v>206</v>
      </c>
      <c r="O50" t="s">
        <v>207</v>
      </c>
      <c r="P50">
        <f>-C53</f>
        <v>-17310</v>
      </c>
    </row>
    <row r="51" spans="2:16" x14ac:dyDescent="0.25">
      <c r="B51" s="17" t="s">
        <v>208</v>
      </c>
      <c r="C51" s="2"/>
      <c r="D51" s="2"/>
      <c r="L51" s="18">
        <f>SUBTOTAL(9,L46:L50)</f>
        <v>4540</v>
      </c>
      <c r="M51" s="18">
        <f>M46</f>
        <v>9</v>
      </c>
      <c r="O51" s="9" t="s">
        <v>209</v>
      </c>
      <c r="P51" s="9">
        <f>SUBTOTAL(9,P46:P50)</f>
        <v>168</v>
      </c>
    </row>
    <row r="53" spans="2:16" x14ac:dyDescent="0.25">
      <c r="B53" s="6" t="s">
        <v>210</v>
      </c>
      <c r="C53" s="1">
        <f>C49+C50+C51</f>
        <v>17310</v>
      </c>
      <c r="D53" s="1"/>
      <c r="E53" s="6" t="s">
        <v>211</v>
      </c>
      <c r="K53" s="16" t="s">
        <v>21</v>
      </c>
      <c r="L53" s="16" t="s">
        <v>193</v>
      </c>
      <c r="M53" s="16" t="s">
        <v>192</v>
      </c>
    </row>
    <row r="54" spans="2:16" x14ac:dyDescent="0.25">
      <c r="K54" t="s">
        <v>197</v>
      </c>
      <c r="L54">
        <f>SUMIFS(G$3:G$41,J$3:J$41,K$53)</f>
        <v>7015</v>
      </c>
      <c r="M54">
        <f>SUMIFS(Q$3:Q$41,J$3:J$41,K$53)-INT(COUNTIFS(J$3:J$41,K$53,M$3:M$41,"*gộp*")/2)</f>
        <v>13</v>
      </c>
    </row>
    <row r="55" spans="2:16" x14ac:dyDescent="0.25">
      <c r="K55" t="s">
        <v>200</v>
      </c>
      <c r="L55">
        <f>-SUMIFS(H$3:H$41,J$3:J$41,K$53)+M55*5</f>
        <v>-325</v>
      </c>
      <c r="M55">
        <f>SUMIFS(Q$3:Q$41,J$3:J$41,K$53)-INT(COUNTIFS(J$3:J$41,K$53,M$3:M$41,"*gộp*")/2)</f>
        <v>13</v>
      </c>
    </row>
    <row r="56" spans="2:16" x14ac:dyDescent="0.25">
      <c r="K56" t="s">
        <v>202</v>
      </c>
      <c r="L56">
        <f>-M56*2</f>
        <v>-76</v>
      </c>
      <c r="M56">
        <f>E49-(COUNTIFS(M$3:M$41,"*gộp*")/2)-COUNTIFS(M$3:M$41,"*đơn trả*")-COUNTIFS(M$3:M$41,"*hàng tỉnh*")</f>
        <v>38</v>
      </c>
    </row>
    <row r="57" spans="2:16" x14ac:dyDescent="0.25">
      <c r="K57" s="7" t="s">
        <v>204</v>
      </c>
    </row>
    <row r="58" spans="2:16" x14ac:dyDescent="0.25">
      <c r="K58" s="7" t="s">
        <v>206</v>
      </c>
    </row>
    <row r="59" spans="2:16" x14ac:dyDescent="0.25">
      <c r="L59" s="18">
        <f>SUBTOTAL(9,L54:L58)</f>
        <v>6614</v>
      </c>
      <c r="M59" s="18">
        <f>M54</f>
        <v>13</v>
      </c>
    </row>
    <row r="61" spans="2:16" x14ac:dyDescent="0.25">
      <c r="K61" s="16" t="s">
        <v>1428</v>
      </c>
      <c r="L61" s="16" t="s">
        <v>193</v>
      </c>
      <c r="M61" s="16" t="s">
        <v>192</v>
      </c>
    </row>
    <row r="62" spans="2:16" x14ac:dyDescent="0.25">
      <c r="K62" t="s">
        <v>197</v>
      </c>
      <c r="L62">
        <f>SUMIFS(G$3:G$41,J$3:J$41,K$61)</f>
        <v>5220</v>
      </c>
      <c r="M62">
        <f>SUMIFS(Q$3:Q$41,J$3:J$41,K$61)-INT(COUNTIFS(J$3:J$41,K$61,M$3:M$41,"*gộp*")/2)</f>
        <v>14</v>
      </c>
    </row>
    <row r="63" spans="2:16" x14ac:dyDescent="0.25">
      <c r="K63" t="s">
        <v>200</v>
      </c>
      <c r="L63">
        <f>SUM(H44:H46)</f>
        <v>-296</v>
      </c>
      <c r="M63">
        <f>SUMIFS(Q$3:Q$41,J$3:J$41,K$61)-INT(COUNTIFS(J$3:J$41,K$61,M$3:M$41,"*gộp*")/2)</f>
        <v>14</v>
      </c>
    </row>
    <row r="64" spans="2:16" x14ac:dyDescent="0.25">
      <c r="K64" t="s">
        <v>202</v>
      </c>
    </row>
    <row r="65" spans="11:13" x14ac:dyDescent="0.25">
      <c r="K65" s="7" t="s">
        <v>204</v>
      </c>
    </row>
    <row r="66" spans="11:13" x14ac:dyDescent="0.25">
      <c r="K66" s="7" t="s">
        <v>206</v>
      </c>
    </row>
    <row r="67" spans="11:13" x14ac:dyDescent="0.25">
      <c r="L67" s="18">
        <f>SUBTOTAL(9,L62:L66)</f>
        <v>4924</v>
      </c>
      <c r="M67" s="18">
        <f>M62</f>
        <v>14</v>
      </c>
    </row>
    <row r="69" spans="11:13" x14ac:dyDescent="0.25">
      <c r="K69" s="16" t="s">
        <v>20</v>
      </c>
      <c r="L69" s="16" t="s">
        <v>193</v>
      </c>
      <c r="M69" s="16" t="s">
        <v>192</v>
      </c>
    </row>
    <row r="70" spans="11:13" x14ac:dyDescent="0.25">
      <c r="K70" t="s">
        <v>197</v>
      </c>
      <c r="L70">
        <f>SUMIFS(G$3:G$41,J$3:J$41,K$69)</f>
        <v>1450</v>
      </c>
      <c r="M70">
        <f>SUMIFS(Q$3:Q$41,J$3:J$41,K$69)-INT(COUNTIFS(J$3:J$41,K$69,M$3:M$41,"*gộp*")/2)</f>
        <v>2</v>
      </c>
    </row>
    <row r="71" spans="11:13" x14ac:dyDescent="0.25">
      <c r="K71" t="s">
        <v>200</v>
      </c>
      <c r="L71">
        <f>-SUMIFS(H$3:H$41,J$3:J$41,K$69)+M71*5</f>
        <v>-50</v>
      </c>
      <c r="M71">
        <f>SUMIFS(Q$3:Q$41,J$3:J$41,K$69)-INT(COUNTIFS(J$3:J$41,K$69,M$3:M$41,"*gộp*")/2)</f>
        <v>2</v>
      </c>
    </row>
    <row r="72" spans="11:13" x14ac:dyDescent="0.25">
      <c r="K72" t="s">
        <v>202</v>
      </c>
    </row>
    <row r="73" spans="11:13" x14ac:dyDescent="0.25">
      <c r="K73" s="7" t="s">
        <v>204</v>
      </c>
    </row>
    <row r="74" spans="11:13" x14ac:dyDescent="0.25">
      <c r="K74" s="7" t="s">
        <v>206</v>
      </c>
    </row>
    <row r="75" spans="11:13" x14ac:dyDescent="0.25">
      <c r="L75" s="18">
        <f>SUBTOTAL(9,L70:L74)</f>
        <v>1400</v>
      </c>
      <c r="M75" s="18">
        <f>M70</f>
        <v>2</v>
      </c>
    </row>
  </sheetData>
  <autoFilter ref="A2:P41" xr:uid="{00000000-0009-0000-0000-00000D000000}">
    <sortState xmlns:xlrd2="http://schemas.microsoft.com/office/spreadsheetml/2017/richdata2" ref="A3:P41">
      <sortCondition ref="J2:J41"/>
    </sortState>
  </autoFilter>
  <mergeCells count="8">
    <mergeCell ref="C50:D50"/>
    <mergeCell ref="C51:D51"/>
    <mergeCell ref="C53:D53"/>
    <mergeCell ref="C45:D45"/>
    <mergeCell ref="C46:D46"/>
    <mergeCell ref="C47:D47"/>
    <mergeCell ref="C48:D48"/>
    <mergeCell ref="C49:D49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R63"/>
  <sheetViews>
    <sheetView tabSelected="1" workbookViewId="0">
      <selection activeCell="J2" sqref="J2"/>
    </sheetView>
  </sheetViews>
  <sheetFormatPr defaultRowHeight="15" x14ac:dyDescent="0.25"/>
  <cols>
    <col min="1" max="1" width="12.7109375" customWidth="1"/>
    <col min="2" max="2" width="17.7109375" customWidth="1"/>
    <col min="3" max="3" width="35" customWidth="1"/>
    <col min="4" max="4" width="9.85546875" customWidth="1"/>
    <col min="5" max="5" width="61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</cols>
  <sheetData>
    <row r="2" spans="1:18" x14ac:dyDescent="0.2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  <c r="L2" s="19" t="s">
        <v>11</v>
      </c>
      <c r="M2" s="19" t="s">
        <v>12</v>
      </c>
      <c r="N2" s="19" t="s">
        <v>13</v>
      </c>
      <c r="O2" s="19" t="s">
        <v>14</v>
      </c>
      <c r="P2" s="19" t="s">
        <v>15</v>
      </c>
      <c r="Q2" s="20"/>
    </row>
    <row r="3" spans="1:18" x14ac:dyDescent="0.25">
      <c r="A3" s="20"/>
      <c r="B3" s="20" t="s">
        <v>17</v>
      </c>
      <c r="C3" s="20" t="s">
        <v>1533</v>
      </c>
      <c r="D3" s="20" t="s">
        <v>1534</v>
      </c>
      <c r="E3" s="20" t="s">
        <v>1535</v>
      </c>
      <c r="F3" s="21">
        <v>9</v>
      </c>
      <c r="G3" s="21">
        <v>830</v>
      </c>
      <c r="H3" s="21">
        <v>30</v>
      </c>
      <c r="I3" s="21">
        <f>G3-H3</f>
        <v>800</v>
      </c>
      <c r="J3" s="20" t="s">
        <v>20</v>
      </c>
      <c r="K3" s="20" t="s">
        <v>21</v>
      </c>
      <c r="L3" s="20" t="s">
        <v>1527</v>
      </c>
      <c r="M3" s="20"/>
      <c r="N3" s="20"/>
      <c r="O3" s="20"/>
      <c r="P3" s="20"/>
      <c r="Q3" s="20">
        <v>1</v>
      </c>
    </row>
    <row r="4" spans="1:18" x14ac:dyDescent="0.25">
      <c r="A4" s="20"/>
      <c r="B4" s="20" t="s">
        <v>17</v>
      </c>
      <c r="C4" s="20" t="s">
        <v>331</v>
      </c>
      <c r="D4" s="20" t="s">
        <v>1528</v>
      </c>
      <c r="E4" s="20" t="s">
        <v>333</v>
      </c>
      <c r="F4" s="20" t="s">
        <v>139</v>
      </c>
      <c r="G4" s="21">
        <v>735</v>
      </c>
      <c r="H4" s="21">
        <v>35</v>
      </c>
      <c r="I4" s="21">
        <f>G4-H4</f>
        <v>700</v>
      </c>
      <c r="J4" s="20" t="s">
        <v>1529</v>
      </c>
      <c r="K4" s="20" t="s">
        <v>21</v>
      </c>
      <c r="L4" s="20" t="s">
        <v>1527</v>
      </c>
      <c r="M4" s="20"/>
      <c r="N4" s="20"/>
      <c r="O4" s="20"/>
      <c r="P4" s="20"/>
      <c r="Q4" s="20">
        <v>1</v>
      </c>
    </row>
    <row r="5" spans="1:18" x14ac:dyDescent="0.25">
      <c r="A5" s="20"/>
      <c r="B5" s="20" t="s">
        <v>17</v>
      </c>
      <c r="C5" s="20" t="s">
        <v>837</v>
      </c>
      <c r="D5" s="20" t="s">
        <v>1536</v>
      </c>
      <c r="E5" s="20" t="s">
        <v>1537</v>
      </c>
      <c r="F5" s="20" t="s">
        <v>46</v>
      </c>
      <c r="G5" s="21">
        <v>985</v>
      </c>
      <c r="H5" s="21">
        <v>25</v>
      </c>
      <c r="I5" s="21">
        <f>G5-H5</f>
        <v>960</v>
      </c>
      <c r="J5" s="20" t="s">
        <v>1529</v>
      </c>
      <c r="K5" s="20" t="s">
        <v>21</v>
      </c>
      <c r="L5" s="20" t="s">
        <v>1527</v>
      </c>
      <c r="M5" s="20"/>
      <c r="N5" s="20"/>
      <c r="O5" s="20"/>
      <c r="P5" s="20"/>
      <c r="Q5" s="20">
        <v>1</v>
      </c>
    </row>
    <row r="6" spans="1:18" x14ac:dyDescent="0.25">
      <c r="A6" s="20"/>
      <c r="B6" s="20" t="s">
        <v>17</v>
      </c>
      <c r="C6" s="20" t="s">
        <v>745</v>
      </c>
      <c r="D6" s="20" t="s">
        <v>1538</v>
      </c>
      <c r="E6" s="20" t="s">
        <v>1539</v>
      </c>
      <c r="F6" s="20" t="s">
        <v>95</v>
      </c>
      <c r="G6" s="21">
        <v>860</v>
      </c>
      <c r="H6" s="21">
        <v>30</v>
      </c>
      <c r="I6" s="21">
        <f>G6-H6</f>
        <v>830</v>
      </c>
      <c r="J6" s="20" t="s">
        <v>1529</v>
      </c>
      <c r="K6" s="20" t="s">
        <v>21</v>
      </c>
      <c r="L6" s="20" t="s">
        <v>1527</v>
      </c>
      <c r="M6" s="20"/>
      <c r="N6" s="20"/>
      <c r="O6" s="20"/>
      <c r="P6" s="20"/>
      <c r="Q6" s="20">
        <v>1</v>
      </c>
    </row>
    <row r="7" spans="1:18" x14ac:dyDescent="0.25">
      <c r="A7" s="20"/>
      <c r="B7" s="20" t="s">
        <v>17</v>
      </c>
      <c r="C7" s="20" t="s">
        <v>1545</v>
      </c>
      <c r="D7" s="20" t="s">
        <v>1546</v>
      </c>
      <c r="E7" s="20" t="s">
        <v>1547</v>
      </c>
      <c r="F7" s="21">
        <v>7</v>
      </c>
      <c r="G7" s="21">
        <v>850</v>
      </c>
      <c r="H7" s="21">
        <v>30</v>
      </c>
      <c r="I7" s="21">
        <f>G7-H7</f>
        <v>820</v>
      </c>
      <c r="J7" s="20" t="s">
        <v>1529</v>
      </c>
      <c r="K7" s="20" t="s">
        <v>21</v>
      </c>
      <c r="L7" s="20" t="s">
        <v>1527</v>
      </c>
      <c r="M7" s="20"/>
      <c r="N7" s="20"/>
      <c r="O7" s="20"/>
      <c r="P7" s="20"/>
      <c r="Q7" s="20">
        <v>1</v>
      </c>
    </row>
    <row r="8" spans="1:18" x14ac:dyDescent="0.25">
      <c r="A8" s="20"/>
      <c r="B8" s="20" t="s">
        <v>17</v>
      </c>
      <c r="C8" s="20" t="s">
        <v>1548</v>
      </c>
      <c r="D8" s="20" t="s">
        <v>1549</v>
      </c>
      <c r="E8" s="20" t="s">
        <v>1550</v>
      </c>
      <c r="F8" s="20" t="s">
        <v>46</v>
      </c>
      <c r="G8" s="21">
        <v>1115</v>
      </c>
      <c r="H8" s="21">
        <v>25</v>
      </c>
      <c r="I8" s="21">
        <f>G8-H8</f>
        <v>1090</v>
      </c>
      <c r="J8" s="20" t="s">
        <v>1529</v>
      </c>
      <c r="K8" s="20" t="s">
        <v>21</v>
      </c>
      <c r="L8" s="20" t="s">
        <v>1527</v>
      </c>
      <c r="M8" s="20"/>
      <c r="N8" s="20"/>
      <c r="O8" s="20"/>
      <c r="P8" s="20"/>
      <c r="Q8" s="20">
        <v>1</v>
      </c>
    </row>
    <row r="9" spans="1:18" x14ac:dyDescent="0.25">
      <c r="A9" s="20"/>
      <c r="B9" s="20" t="s">
        <v>17</v>
      </c>
      <c r="C9" s="20" t="s">
        <v>1557</v>
      </c>
      <c r="D9" s="20" t="s">
        <v>1558</v>
      </c>
      <c r="E9" s="20" t="s">
        <v>219</v>
      </c>
      <c r="F9" s="21">
        <v>6</v>
      </c>
      <c r="G9" s="21">
        <v>0</v>
      </c>
      <c r="H9" s="21">
        <v>25</v>
      </c>
      <c r="I9" s="21">
        <f>G9-H9</f>
        <v>-25</v>
      </c>
      <c r="J9" s="20" t="s">
        <v>1529</v>
      </c>
      <c r="K9" s="20" t="s">
        <v>21</v>
      </c>
      <c r="L9" s="20" t="s">
        <v>1527</v>
      </c>
      <c r="M9" s="20"/>
      <c r="N9" s="20"/>
      <c r="O9" s="20"/>
      <c r="P9" s="20"/>
      <c r="Q9" s="20">
        <v>1</v>
      </c>
      <c r="R9" s="15">
        <f>H9</f>
        <v>25</v>
      </c>
    </row>
    <row r="10" spans="1:18" x14ac:dyDescent="0.25">
      <c r="A10" s="20"/>
      <c r="B10" s="20" t="s">
        <v>17</v>
      </c>
      <c r="C10" s="20" t="s">
        <v>1559</v>
      </c>
      <c r="D10" s="20" t="s">
        <v>1560</v>
      </c>
      <c r="E10" s="20" t="s">
        <v>1561</v>
      </c>
      <c r="F10" s="21">
        <v>7</v>
      </c>
      <c r="G10" s="21">
        <v>850</v>
      </c>
      <c r="H10" s="21">
        <v>30</v>
      </c>
      <c r="I10" s="21">
        <f>G10-H10</f>
        <v>820</v>
      </c>
      <c r="J10" s="20" t="s">
        <v>1529</v>
      </c>
      <c r="K10" s="20" t="s">
        <v>21</v>
      </c>
      <c r="L10" s="20" t="s">
        <v>1527</v>
      </c>
      <c r="M10" s="20"/>
      <c r="N10" s="20"/>
      <c r="O10" s="20"/>
      <c r="P10" s="20"/>
      <c r="Q10" s="20">
        <v>1</v>
      </c>
    </row>
    <row r="11" spans="1:18" x14ac:dyDescent="0.25">
      <c r="A11" s="20"/>
      <c r="B11" s="20" t="s">
        <v>17</v>
      </c>
      <c r="C11" s="20" t="s">
        <v>1568</v>
      </c>
      <c r="D11" s="20" t="s">
        <v>1569</v>
      </c>
      <c r="E11" s="20" t="s">
        <v>1570</v>
      </c>
      <c r="F11" s="21">
        <v>7</v>
      </c>
      <c r="G11" s="21">
        <v>380</v>
      </c>
      <c r="H11" s="21">
        <v>30</v>
      </c>
      <c r="I11" s="21">
        <f>G11-H11</f>
        <v>350</v>
      </c>
      <c r="J11" s="20" t="s">
        <v>1529</v>
      </c>
      <c r="K11" s="20" t="s">
        <v>21</v>
      </c>
      <c r="L11" s="20" t="s">
        <v>1527</v>
      </c>
      <c r="M11" s="20"/>
      <c r="N11" s="20"/>
      <c r="O11" s="20"/>
      <c r="P11" s="20"/>
      <c r="Q11" s="20">
        <v>1</v>
      </c>
    </row>
    <row r="12" spans="1:18" x14ac:dyDescent="0.25">
      <c r="A12" s="20"/>
      <c r="B12" s="20" t="s">
        <v>17</v>
      </c>
      <c r="C12" s="20" t="s">
        <v>1575</v>
      </c>
      <c r="D12" s="20" t="s">
        <v>1576</v>
      </c>
      <c r="E12" s="20" t="s">
        <v>1577</v>
      </c>
      <c r="F12" s="20" t="s">
        <v>46</v>
      </c>
      <c r="G12" s="21">
        <v>0</v>
      </c>
      <c r="H12" s="21">
        <v>25</v>
      </c>
      <c r="I12" s="21">
        <f>G12-H12</f>
        <v>-25</v>
      </c>
      <c r="J12" s="20" t="s">
        <v>1529</v>
      </c>
      <c r="K12" s="20" t="s">
        <v>21</v>
      </c>
      <c r="L12" s="20" t="s">
        <v>1527</v>
      </c>
      <c r="M12" s="20"/>
      <c r="N12" s="20"/>
      <c r="O12" s="20"/>
      <c r="P12" s="20"/>
      <c r="Q12" s="20">
        <v>1</v>
      </c>
      <c r="R12" s="15">
        <f>H12</f>
        <v>25</v>
      </c>
    </row>
    <row r="13" spans="1:18" x14ac:dyDescent="0.25">
      <c r="A13" s="20"/>
      <c r="B13" s="20" t="s">
        <v>17</v>
      </c>
      <c r="C13" s="20" t="s">
        <v>1582</v>
      </c>
      <c r="D13" s="20" t="s">
        <v>1583</v>
      </c>
      <c r="E13" s="20" t="s">
        <v>1584</v>
      </c>
      <c r="F13" s="21">
        <v>6</v>
      </c>
      <c r="G13" s="21">
        <v>765</v>
      </c>
      <c r="H13" s="21">
        <v>25</v>
      </c>
      <c r="I13" s="21">
        <f>G13-H13</f>
        <v>740</v>
      </c>
      <c r="J13" s="20" t="s">
        <v>1529</v>
      </c>
      <c r="K13" s="20" t="s">
        <v>21</v>
      </c>
      <c r="L13" s="20" t="s">
        <v>1527</v>
      </c>
      <c r="M13" s="20"/>
      <c r="N13" s="20"/>
      <c r="O13" s="20"/>
      <c r="P13" s="20"/>
      <c r="Q13" s="20">
        <v>1</v>
      </c>
    </row>
    <row r="14" spans="1:18" x14ac:dyDescent="0.25">
      <c r="A14" s="20" t="s">
        <v>16</v>
      </c>
      <c r="B14" s="20" t="s">
        <v>17</v>
      </c>
      <c r="C14" s="20" t="s">
        <v>1585</v>
      </c>
      <c r="D14" s="20"/>
      <c r="E14" s="20" t="s">
        <v>1586</v>
      </c>
      <c r="F14" s="21">
        <v>6</v>
      </c>
      <c r="G14" s="21">
        <v>40</v>
      </c>
      <c r="H14" s="21">
        <v>40</v>
      </c>
      <c r="I14" s="21">
        <f>G14-H14</f>
        <v>0</v>
      </c>
      <c r="J14" s="20" t="s">
        <v>1529</v>
      </c>
      <c r="K14" s="20" t="s">
        <v>21</v>
      </c>
      <c r="L14" s="20" t="s">
        <v>1527</v>
      </c>
      <c r="M14" s="20"/>
      <c r="N14" s="20"/>
      <c r="O14" s="20"/>
      <c r="P14" s="20"/>
      <c r="Q14" s="20">
        <v>1</v>
      </c>
    </row>
    <row r="15" spans="1:18" x14ac:dyDescent="0.25">
      <c r="A15" s="20"/>
      <c r="B15" s="20" t="s">
        <v>17</v>
      </c>
      <c r="C15" s="20" t="s">
        <v>1524</v>
      </c>
      <c r="D15" s="20" t="s">
        <v>1525</v>
      </c>
      <c r="E15" s="20" t="s">
        <v>1526</v>
      </c>
      <c r="F15" s="20" t="s">
        <v>85</v>
      </c>
      <c r="G15" s="21">
        <v>0</v>
      </c>
      <c r="H15" s="21">
        <v>20</v>
      </c>
      <c r="I15" s="21">
        <f>G15-H15</f>
        <v>-20</v>
      </c>
      <c r="J15" s="20" t="s">
        <v>21</v>
      </c>
      <c r="K15" s="20" t="s">
        <v>21</v>
      </c>
      <c r="L15" s="20" t="s">
        <v>1527</v>
      </c>
      <c r="M15" s="20"/>
      <c r="N15" s="20"/>
      <c r="O15" s="20"/>
      <c r="P15" s="20"/>
      <c r="Q15" s="20">
        <v>1</v>
      </c>
      <c r="R15" s="15">
        <f>H15</f>
        <v>20</v>
      </c>
    </row>
    <row r="16" spans="1:18" x14ac:dyDescent="0.25">
      <c r="A16" s="20"/>
      <c r="B16" s="20" t="s">
        <v>17</v>
      </c>
      <c r="C16" s="20" t="s">
        <v>1530</v>
      </c>
      <c r="D16" s="20" t="s">
        <v>1531</v>
      </c>
      <c r="E16" s="20" t="s">
        <v>1532</v>
      </c>
      <c r="F16" s="20" t="s">
        <v>81</v>
      </c>
      <c r="G16" s="21">
        <v>1020</v>
      </c>
      <c r="H16" s="21">
        <v>30</v>
      </c>
      <c r="I16" s="21">
        <f>G16-H16</f>
        <v>990</v>
      </c>
      <c r="J16" s="20" t="s">
        <v>21</v>
      </c>
      <c r="K16" s="20" t="s">
        <v>21</v>
      </c>
      <c r="L16" s="20" t="s">
        <v>1527</v>
      </c>
      <c r="M16" s="20"/>
      <c r="N16" s="20"/>
      <c r="O16" s="20"/>
      <c r="P16" s="20"/>
      <c r="Q16" s="20">
        <v>1</v>
      </c>
    </row>
    <row r="17" spans="1:18" x14ac:dyDescent="0.25">
      <c r="A17" s="20"/>
      <c r="B17" s="20" t="s">
        <v>17</v>
      </c>
      <c r="C17" s="20" t="s">
        <v>1542</v>
      </c>
      <c r="D17" s="20" t="s">
        <v>1543</v>
      </c>
      <c r="E17" s="20" t="s">
        <v>1544</v>
      </c>
      <c r="F17" s="20" t="s">
        <v>77</v>
      </c>
      <c r="G17" s="21">
        <v>0</v>
      </c>
      <c r="H17" s="21">
        <v>25</v>
      </c>
      <c r="I17" s="21">
        <f>G17-H17</f>
        <v>-25</v>
      </c>
      <c r="J17" s="20" t="s">
        <v>21</v>
      </c>
      <c r="K17" s="20" t="s">
        <v>21</v>
      </c>
      <c r="L17" s="20" t="s">
        <v>1527</v>
      </c>
      <c r="M17" s="20"/>
      <c r="N17" s="20"/>
      <c r="O17" s="20"/>
      <c r="P17" s="20"/>
      <c r="Q17" s="20">
        <v>1</v>
      </c>
      <c r="R17" s="15">
        <f>H17</f>
        <v>25</v>
      </c>
    </row>
    <row r="18" spans="1:18" x14ac:dyDescent="0.25">
      <c r="A18" s="20"/>
      <c r="B18" s="20" t="s">
        <v>17</v>
      </c>
      <c r="C18" s="20" t="s">
        <v>1551</v>
      </c>
      <c r="D18" s="20" t="s">
        <v>1552</v>
      </c>
      <c r="E18" s="20" t="s">
        <v>1553</v>
      </c>
      <c r="F18" s="21">
        <v>2</v>
      </c>
      <c r="G18" s="21">
        <v>1020</v>
      </c>
      <c r="H18" s="21">
        <v>30</v>
      </c>
      <c r="I18" s="21">
        <f>G18-H18</f>
        <v>990</v>
      </c>
      <c r="J18" s="20" t="s">
        <v>21</v>
      </c>
      <c r="K18" s="20" t="s">
        <v>21</v>
      </c>
      <c r="L18" s="20" t="s">
        <v>1527</v>
      </c>
      <c r="M18" s="20"/>
      <c r="N18" s="20"/>
      <c r="O18" s="20"/>
      <c r="P18" s="20"/>
      <c r="Q18" s="20">
        <v>1</v>
      </c>
    </row>
    <row r="19" spans="1:18" x14ac:dyDescent="0.25">
      <c r="A19" s="20"/>
      <c r="B19" s="20" t="s">
        <v>17</v>
      </c>
      <c r="C19" s="20" t="s">
        <v>1554</v>
      </c>
      <c r="D19" s="20" t="s">
        <v>1555</v>
      </c>
      <c r="E19" s="20" t="s">
        <v>1556</v>
      </c>
      <c r="F19" s="21">
        <v>2</v>
      </c>
      <c r="G19" s="21">
        <v>0</v>
      </c>
      <c r="H19" s="21">
        <v>30</v>
      </c>
      <c r="I19" s="21">
        <f>G19-H19</f>
        <v>-30</v>
      </c>
      <c r="J19" s="20" t="s">
        <v>21</v>
      </c>
      <c r="K19" s="20" t="s">
        <v>21</v>
      </c>
      <c r="L19" s="20" t="s">
        <v>1527</v>
      </c>
      <c r="M19" s="20"/>
      <c r="N19" s="20"/>
      <c r="O19" s="20"/>
      <c r="P19" s="20"/>
      <c r="Q19" s="20">
        <v>1</v>
      </c>
      <c r="R19" s="15">
        <f t="shared" ref="R19:R21" si="0">H19</f>
        <v>30</v>
      </c>
    </row>
    <row r="20" spans="1:18" x14ac:dyDescent="0.25">
      <c r="A20" s="20"/>
      <c r="B20" s="20" t="s">
        <v>17</v>
      </c>
      <c r="C20" s="20" t="s">
        <v>1562</v>
      </c>
      <c r="D20" s="20" t="s">
        <v>1563</v>
      </c>
      <c r="E20" s="20" t="s">
        <v>1564</v>
      </c>
      <c r="F20" s="20" t="s">
        <v>85</v>
      </c>
      <c r="G20" s="21">
        <v>0</v>
      </c>
      <c r="H20" s="21">
        <v>20</v>
      </c>
      <c r="I20" s="21">
        <f>G20-H20</f>
        <v>-20</v>
      </c>
      <c r="J20" s="20" t="s">
        <v>21</v>
      </c>
      <c r="K20" s="20" t="s">
        <v>21</v>
      </c>
      <c r="L20" s="20" t="s">
        <v>1527</v>
      </c>
      <c r="M20" s="20"/>
      <c r="N20" s="20"/>
      <c r="O20" s="20"/>
      <c r="P20" s="20"/>
      <c r="Q20" s="20">
        <v>1</v>
      </c>
      <c r="R20" s="15">
        <f t="shared" si="0"/>
        <v>20</v>
      </c>
    </row>
    <row r="21" spans="1:18" x14ac:dyDescent="0.25">
      <c r="A21" s="20"/>
      <c r="B21" s="20" t="s">
        <v>17</v>
      </c>
      <c r="C21" s="20" t="s">
        <v>1571</v>
      </c>
      <c r="D21" s="20" t="s">
        <v>1572</v>
      </c>
      <c r="E21" s="20" t="s">
        <v>1573</v>
      </c>
      <c r="F21" s="20" t="s">
        <v>85</v>
      </c>
      <c r="G21" s="21">
        <v>0</v>
      </c>
      <c r="H21" s="21">
        <v>20</v>
      </c>
      <c r="I21" s="21">
        <f>G21-H21</f>
        <v>-20</v>
      </c>
      <c r="J21" s="20" t="s">
        <v>21</v>
      </c>
      <c r="K21" s="20" t="s">
        <v>21</v>
      </c>
      <c r="L21" s="20" t="s">
        <v>1527</v>
      </c>
      <c r="M21" s="20"/>
      <c r="N21" s="20"/>
      <c r="O21" s="20"/>
      <c r="P21" s="20"/>
      <c r="Q21" s="20">
        <v>1</v>
      </c>
      <c r="R21" s="15">
        <f t="shared" si="0"/>
        <v>20</v>
      </c>
    </row>
    <row r="22" spans="1:18" x14ac:dyDescent="0.25">
      <c r="A22" s="20"/>
      <c r="B22" s="20" t="s">
        <v>17</v>
      </c>
      <c r="C22" s="20" t="s">
        <v>770</v>
      </c>
      <c r="D22" s="20" t="s">
        <v>1574</v>
      </c>
      <c r="E22" s="20" t="s">
        <v>772</v>
      </c>
      <c r="F22" s="20" t="s">
        <v>85</v>
      </c>
      <c r="G22" s="21">
        <v>1420</v>
      </c>
      <c r="H22" s="21">
        <v>20</v>
      </c>
      <c r="I22" s="21">
        <f>G22-H22</f>
        <v>1400</v>
      </c>
      <c r="J22" s="20" t="s">
        <v>21</v>
      </c>
      <c r="K22" s="20" t="s">
        <v>21</v>
      </c>
      <c r="L22" s="20" t="s">
        <v>1527</v>
      </c>
      <c r="M22" s="20"/>
      <c r="N22" s="20"/>
      <c r="O22" s="20"/>
      <c r="P22" s="20"/>
      <c r="Q22" s="20">
        <v>1</v>
      </c>
    </row>
    <row r="23" spans="1:18" x14ac:dyDescent="0.25">
      <c r="A23" s="20" t="s">
        <v>16</v>
      </c>
      <c r="B23" s="20" t="s">
        <v>17</v>
      </c>
      <c r="C23" s="20" t="s">
        <v>1589</v>
      </c>
      <c r="D23" s="20"/>
      <c r="E23" s="20" t="s">
        <v>1590</v>
      </c>
      <c r="F23" s="21">
        <v>12</v>
      </c>
      <c r="G23" s="21">
        <v>0</v>
      </c>
      <c r="H23" s="21">
        <v>60</v>
      </c>
      <c r="I23" s="21">
        <f>G23-H23</f>
        <v>-60</v>
      </c>
      <c r="J23" s="20" t="s">
        <v>21</v>
      </c>
      <c r="K23" s="20" t="s">
        <v>21</v>
      </c>
      <c r="L23" s="20" t="s">
        <v>1527</v>
      </c>
      <c r="M23" s="20"/>
      <c r="N23" s="20"/>
      <c r="O23" s="20"/>
      <c r="P23" s="20"/>
      <c r="Q23" s="20">
        <v>1</v>
      </c>
      <c r="R23" s="15">
        <f t="shared" ref="R23:R24" si="1">H23</f>
        <v>60</v>
      </c>
    </row>
    <row r="24" spans="1:18" x14ac:dyDescent="0.25">
      <c r="A24" s="20" t="s">
        <v>16</v>
      </c>
      <c r="B24" s="20" t="s">
        <v>17</v>
      </c>
      <c r="C24" s="20" t="s">
        <v>1591</v>
      </c>
      <c r="D24" s="20"/>
      <c r="E24" s="20" t="s">
        <v>503</v>
      </c>
      <c r="F24" s="21">
        <v>12</v>
      </c>
      <c r="G24" s="21">
        <v>0</v>
      </c>
      <c r="H24" s="21">
        <v>60</v>
      </c>
      <c r="I24" s="21">
        <f>G24-H24</f>
        <v>-60</v>
      </c>
      <c r="J24" s="20" t="s">
        <v>21</v>
      </c>
      <c r="K24" s="20" t="s">
        <v>21</v>
      </c>
      <c r="L24" s="20" t="s">
        <v>1527</v>
      </c>
      <c r="M24" s="20"/>
      <c r="N24" s="20"/>
      <c r="O24" s="20"/>
      <c r="P24" s="20"/>
      <c r="Q24" s="20">
        <v>1</v>
      </c>
      <c r="R24" s="15">
        <f t="shared" si="1"/>
        <v>60</v>
      </c>
    </row>
    <row r="25" spans="1:18" x14ac:dyDescent="0.25">
      <c r="A25" s="20"/>
      <c r="B25" s="20" t="s">
        <v>17</v>
      </c>
      <c r="C25" s="20" t="s">
        <v>510</v>
      </c>
      <c r="D25" s="20" t="s">
        <v>1540</v>
      </c>
      <c r="E25" s="20" t="s">
        <v>1541</v>
      </c>
      <c r="F25" s="20" t="s">
        <v>95</v>
      </c>
      <c r="G25" s="21">
        <v>1015</v>
      </c>
      <c r="H25" s="21">
        <v>25</v>
      </c>
      <c r="I25" s="21">
        <f>G25-H25</f>
        <v>990</v>
      </c>
      <c r="J25" s="20" t="s">
        <v>135</v>
      </c>
      <c r="K25" s="20" t="s">
        <v>21</v>
      </c>
      <c r="L25" s="20" t="s">
        <v>1527</v>
      </c>
      <c r="M25" s="20"/>
      <c r="N25" s="20"/>
      <c r="O25" s="20"/>
      <c r="P25" s="20"/>
      <c r="Q25" s="20">
        <v>1</v>
      </c>
    </row>
    <row r="26" spans="1:18" x14ac:dyDescent="0.25">
      <c r="A26" s="20"/>
      <c r="B26" s="20" t="s">
        <v>17</v>
      </c>
      <c r="C26" s="20" t="s">
        <v>1565</v>
      </c>
      <c r="D26" s="20" t="s">
        <v>1566</v>
      </c>
      <c r="E26" s="20" t="s">
        <v>1567</v>
      </c>
      <c r="F26" s="21">
        <v>10</v>
      </c>
      <c r="G26" s="21">
        <v>1665</v>
      </c>
      <c r="H26" s="21">
        <v>25</v>
      </c>
      <c r="I26" s="21">
        <f>G26-H26</f>
        <v>1640</v>
      </c>
      <c r="J26" s="20" t="s">
        <v>135</v>
      </c>
      <c r="K26" s="20" t="s">
        <v>21</v>
      </c>
      <c r="L26" s="20" t="s">
        <v>1527</v>
      </c>
      <c r="M26" s="20"/>
      <c r="N26" s="20"/>
      <c r="O26" s="20"/>
      <c r="P26" s="20"/>
      <c r="Q26" s="20">
        <v>1</v>
      </c>
    </row>
    <row r="27" spans="1:18" s="24" customFormat="1" x14ac:dyDescent="0.25">
      <c r="A27" s="22"/>
      <c r="B27" s="22" t="s">
        <v>17</v>
      </c>
      <c r="C27" s="22" t="s">
        <v>627</v>
      </c>
      <c r="D27" s="22" t="s">
        <v>1578</v>
      </c>
      <c r="E27" s="22" t="s">
        <v>629</v>
      </c>
      <c r="F27" s="23">
        <v>1</v>
      </c>
      <c r="G27" s="23">
        <v>25</v>
      </c>
      <c r="H27" s="23">
        <v>25</v>
      </c>
      <c r="I27" s="23">
        <f>G27-H27</f>
        <v>0</v>
      </c>
      <c r="J27" s="22" t="s">
        <v>135</v>
      </c>
      <c r="K27" s="22" t="s">
        <v>21</v>
      </c>
      <c r="L27" s="22" t="s">
        <v>1527</v>
      </c>
      <c r="M27" s="22" t="s">
        <v>126</v>
      </c>
      <c r="N27" s="22"/>
      <c r="O27" s="22"/>
      <c r="P27" s="22"/>
      <c r="Q27" s="22">
        <v>1</v>
      </c>
    </row>
    <row r="28" spans="1:18" x14ac:dyDescent="0.25">
      <c r="A28" s="20"/>
      <c r="B28" s="20" t="s">
        <v>17</v>
      </c>
      <c r="C28" s="20" t="s">
        <v>1579</v>
      </c>
      <c r="D28" s="20" t="s">
        <v>1580</v>
      </c>
      <c r="E28" s="20" t="s">
        <v>1581</v>
      </c>
      <c r="F28" s="21">
        <v>5</v>
      </c>
      <c r="G28" s="21">
        <v>0</v>
      </c>
      <c r="H28" s="21">
        <v>25</v>
      </c>
      <c r="I28" s="21">
        <f>G28-H28</f>
        <v>-25</v>
      </c>
      <c r="J28" s="20" t="s">
        <v>135</v>
      </c>
      <c r="K28" s="20" t="s">
        <v>21</v>
      </c>
      <c r="L28" s="20" t="s">
        <v>1527</v>
      </c>
      <c r="M28" s="20"/>
      <c r="N28" s="20"/>
      <c r="O28" s="20"/>
      <c r="P28" s="20"/>
      <c r="Q28" s="20">
        <v>1</v>
      </c>
      <c r="R28" s="15">
        <f t="shared" ref="R28:R29" si="2">H28</f>
        <v>25</v>
      </c>
    </row>
    <row r="29" spans="1:18" x14ac:dyDescent="0.25">
      <c r="A29" s="20" t="s">
        <v>16</v>
      </c>
      <c r="B29" s="20" t="s">
        <v>17</v>
      </c>
      <c r="C29" s="20" t="s">
        <v>1587</v>
      </c>
      <c r="D29" s="20"/>
      <c r="E29" s="20" t="s">
        <v>1588</v>
      </c>
      <c r="F29" s="20" t="s">
        <v>95</v>
      </c>
      <c r="G29" s="21">
        <v>0</v>
      </c>
      <c r="H29" s="21">
        <v>50</v>
      </c>
      <c r="I29" s="21">
        <f>G29-H29</f>
        <v>-50</v>
      </c>
      <c r="J29" s="20" t="s">
        <v>135</v>
      </c>
      <c r="K29" s="20" t="s">
        <v>21</v>
      </c>
      <c r="L29" s="20" t="s">
        <v>1527</v>
      </c>
      <c r="M29" s="20"/>
      <c r="N29" s="20"/>
      <c r="O29" s="20"/>
      <c r="P29" s="20"/>
      <c r="Q29" s="20">
        <v>1</v>
      </c>
      <c r="R29" s="15">
        <f t="shared" si="2"/>
        <v>50</v>
      </c>
    </row>
    <row r="31" spans="1:18" x14ac:dyDescent="0.25">
      <c r="D31" s="6">
        <f>COUNTA(D3:D29)</f>
        <v>23</v>
      </c>
      <c r="G31" s="6">
        <f t="shared" ref="G31:Q31" si="3">SUBTOTAL(9,G3:G29)</f>
        <v>13575</v>
      </c>
      <c r="H31" s="6">
        <f t="shared" si="3"/>
        <v>815</v>
      </c>
      <c r="I31" s="6">
        <f t="shared" si="3"/>
        <v>12760</v>
      </c>
      <c r="J31" s="6">
        <f t="shared" si="3"/>
        <v>0</v>
      </c>
      <c r="K31" s="6">
        <f t="shared" si="3"/>
        <v>0</v>
      </c>
      <c r="L31" s="6">
        <f t="shared" si="3"/>
        <v>0</v>
      </c>
      <c r="M31" s="6">
        <f t="shared" si="3"/>
        <v>0</v>
      </c>
      <c r="N31" s="6">
        <f t="shared" si="3"/>
        <v>0</v>
      </c>
      <c r="O31" s="6">
        <f t="shared" si="3"/>
        <v>0</v>
      </c>
      <c r="P31" s="6">
        <f t="shared" si="3"/>
        <v>0</v>
      </c>
      <c r="Q31" s="6">
        <f t="shared" si="3"/>
        <v>27</v>
      </c>
    </row>
    <row r="32" spans="1:18" x14ac:dyDescent="0.25">
      <c r="H32">
        <f>-10*17</f>
        <v>-170</v>
      </c>
    </row>
    <row r="33" spans="1:16" x14ac:dyDescent="0.25">
      <c r="A33" s="6" t="s">
        <v>17</v>
      </c>
      <c r="C33" s="5" t="s">
        <v>191</v>
      </c>
      <c r="D33" s="5"/>
      <c r="E33" s="9" t="s">
        <v>192</v>
      </c>
      <c r="H33">
        <f>-1*30</f>
        <v>-30</v>
      </c>
      <c r="K33" s="16" t="s">
        <v>21</v>
      </c>
      <c r="L33" s="16" t="s">
        <v>193</v>
      </c>
      <c r="M33" s="16" t="s">
        <v>192</v>
      </c>
      <c r="O33" s="9" t="s">
        <v>194</v>
      </c>
    </row>
    <row r="34" spans="1:16" x14ac:dyDescent="0.25">
      <c r="A34" t="s">
        <v>1527</v>
      </c>
      <c r="B34" s="8" t="s">
        <v>195</v>
      </c>
      <c r="C34" s="4">
        <f>SUMIFS(I$3:I$29,B$3:B$29,A$33,L$3:L$29,A$34)</f>
        <v>12760</v>
      </c>
      <c r="D34" s="4"/>
      <c r="E34" s="8">
        <f>SUMIFS(Q$3:Q$29,B$3:B$29,A$33,L$3:L$29,A$34)</f>
        <v>27</v>
      </c>
      <c r="F34" t="s">
        <v>196</v>
      </c>
      <c r="K34" t="s">
        <v>197</v>
      </c>
      <c r="L34">
        <f>SUMIFS(G$3:G$29,J$3:J$29,K$33)</f>
        <v>3460</v>
      </c>
      <c r="M34">
        <f>SUMIFS(Q$3:Q$29,J$3:J$29,K$33)-INT(COUNTIFS(J$3:J$29,K$33,M$3:M$29,"*gộp*")/2)</f>
        <v>10</v>
      </c>
      <c r="O34" t="s">
        <v>21</v>
      </c>
      <c r="P34">
        <f>L39</f>
        <v>3141</v>
      </c>
    </row>
    <row r="35" spans="1:16" x14ac:dyDescent="0.25">
      <c r="B35" s="7" t="s">
        <v>199</v>
      </c>
      <c r="C35" s="3">
        <v>0</v>
      </c>
      <c r="D35" s="3"/>
      <c r="K35" t="s">
        <v>200</v>
      </c>
      <c r="L35">
        <f>-SUMIFS(H$3:H$29,J$3:J$29,K$33)+M35*5</f>
        <v>-265</v>
      </c>
      <c r="M35">
        <f>SUMIFS(Q$3:Q$29,J$3:J$29,K$33)-INT(COUNTIFS(J$3:J$29,K$33,M$3:M$29,"*gộp*")/2)</f>
        <v>10</v>
      </c>
      <c r="O35" t="s">
        <v>1592</v>
      </c>
      <c r="P35">
        <f>L47</f>
        <v>6380</v>
      </c>
    </row>
    <row r="36" spans="1:16" x14ac:dyDescent="0.25">
      <c r="B36" s="7" t="s">
        <v>201</v>
      </c>
      <c r="C36" s="3">
        <f>-SUMIFS(I$3:I$29,B$3:B$29,A$33,P$3:P$29,"xx",N$3:N$29,"x")</f>
        <v>0</v>
      </c>
      <c r="D36" s="3"/>
      <c r="E36" s="7">
        <f>SUMIFS(Q$3:Q$29,B$3:B$29,A$33,P$3:P$29,"xx",N$3:N$29,"x")</f>
        <v>0</v>
      </c>
      <c r="K36" t="s">
        <v>202</v>
      </c>
      <c r="L36">
        <f>-M36*2</f>
        <v>-54</v>
      </c>
      <c r="M36">
        <f>E37-(COUNTIFS(M$3:M$29,"*gộp*")/2)-COUNTIFS(M$3:M$29,"*đơn trả*")-COUNTIFS(M$3:M$29,"*hàng tỉnh*")</f>
        <v>27</v>
      </c>
      <c r="O36" t="s">
        <v>20</v>
      </c>
      <c r="P36">
        <f>L55</f>
        <v>805</v>
      </c>
    </row>
    <row r="37" spans="1:16" x14ac:dyDescent="0.25">
      <c r="B37" s="9" t="s">
        <v>203</v>
      </c>
      <c r="C37" s="5">
        <f>SUBTOTAL(9,C34:C36)</f>
        <v>12760</v>
      </c>
      <c r="D37" s="5"/>
      <c r="E37">
        <f>E34</f>
        <v>27</v>
      </c>
      <c r="K37" s="7" t="s">
        <v>204</v>
      </c>
      <c r="O37" t="s">
        <v>135</v>
      </c>
      <c r="P37">
        <f>L63</f>
        <v>2580</v>
      </c>
    </row>
    <row r="38" spans="1:16" x14ac:dyDescent="0.25">
      <c r="B38" s="7" t="s">
        <v>205</v>
      </c>
      <c r="C38" s="2"/>
      <c r="D38" s="2"/>
      <c r="K38" s="7" t="s">
        <v>206</v>
      </c>
      <c r="O38" t="s">
        <v>207</v>
      </c>
      <c r="P38">
        <f>-C41</f>
        <v>-12760</v>
      </c>
    </row>
    <row r="39" spans="1:16" x14ac:dyDescent="0.25">
      <c r="B39" s="17" t="s">
        <v>208</v>
      </c>
      <c r="C39" s="2"/>
      <c r="D39" s="2"/>
      <c r="L39" s="18">
        <f>SUBTOTAL(9,L34:L38)</f>
        <v>3141</v>
      </c>
      <c r="M39" s="18">
        <f>M34</f>
        <v>10</v>
      </c>
      <c r="O39" s="9" t="s">
        <v>209</v>
      </c>
      <c r="P39" s="9">
        <f>SUBTOTAL(9,P34:P38)</f>
        <v>146</v>
      </c>
    </row>
    <row r="41" spans="1:16" x14ac:dyDescent="0.25">
      <c r="B41" s="6" t="s">
        <v>210</v>
      </c>
      <c r="C41" s="1">
        <f>C37+C38+C39</f>
        <v>12760</v>
      </c>
      <c r="D41" s="1"/>
      <c r="E41" s="6" t="s">
        <v>211</v>
      </c>
      <c r="K41" s="16" t="s">
        <v>1529</v>
      </c>
      <c r="L41" s="16" t="s">
        <v>193</v>
      </c>
      <c r="M41" s="16" t="s">
        <v>192</v>
      </c>
    </row>
    <row r="42" spans="1:16" x14ac:dyDescent="0.25">
      <c r="K42" t="s">
        <v>197</v>
      </c>
      <c r="L42">
        <f>SUMIFS(G$3:G$29,J$3:J$29,K$41)</f>
        <v>6580</v>
      </c>
      <c r="M42">
        <f>SUMIFS(Q$3:Q$29,J$3:J$29,K$41)-INT(COUNTIFS(J$3:J$29,K$41,M$3:M$29,"*gộp*")/2)</f>
        <v>11</v>
      </c>
    </row>
    <row r="43" spans="1:16" x14ac:dyDescent="0.25">
      <c r="K43" t="s">
        <v>200</v>
      </c>
      <c r="L43">
        <f>SUM(H32:H33)</f>
        <v>-200</v>
      </c>
      <c r="M43">
        <f>SUMIFS(Q$3:Q$29,J$3:J$29,K$41)-INT(COUNTIFS(J$3:J$29,K$41,M$3:M$29,"*gộp*")/2)</f>
        <v>11</v>
      </c>
    </row>
    <row r="44" spans="1:16" x14ac:dyDescent="0.25">
      <c r="K44" t="s">
        <v>202</v>
      </c>
    </row>
    <row r="45" spans="1:16" x14ac:dyDescent="0.25">
      <c r="K45" s="7" t="s">
        <v>204</v>
      </c>
    </row>
    <row r="46" spans="1:16" x14ac:dyDescent="0.25">
      <c r="K46" s="7" t="s">
        <v>206</v>
      </c>
    </row>
    <row r="47" spans="1:16" x14ac:dyDescent="0.25">
      <c r="L47" s="18">
        <f>SUBTOTAL(9,L42:L46)</f>
        <v>6380</v>
      </c>
      <c r="M47" s="18">
        <f>M42</f>
        <v>11</v>
      </c>
    </row>
    <row r="49" spans="11:13" x14ac:dyDescent="0.25">
      <c r="K49" s="16" t="s">
        <v>20</v>
      </c>
      <c r="L49" s="16" t="s">
        <v>193</v>
      </c>
      <c r="M49" s="16" t="s">
        <v>192</v>
      </c>
    </row>
    <row r="50" spans="11:13" x14ac:dyDescent="0.25">
      <c r="K50" t="s">
        <v>197</v>
      </c>
      <c r="L50">
        <f>SUMIFS(G$3:G$29,J$3:J$29,K$49)</f>
        <v>830</v>
      </c>
      <c r="M50">
        <f>SUMIFS(Q$3:Q$29,J$3:J$29,K$49)-INT(COUNTIFS(J$3:J$29,K$49,M$3:M$29,"*gộp*")/2)</f>
        <v>1</v>
      </c>
    </row>
    <row r="51" spans="11:13" x14ac:dyDescent="0.25">
      <c r="K51" t="s">
        <v>200</v>
      </c>
      <c r="L51">
        <f>-SUMIFS(H$3:H$29,J$3:J$29,K$49)+M51*5</f>
        <v>-25</v>
      </c>
      <c r="M51">
        <f>SUMIFS(Q$3:Q$29,J$3:J$29,K$49)-INT(COUNTIFS(J$3:J$29,K$49,M$3:M$29,"*gộp*")/2)</f>
        <v>1</v>
      </c>
    </row>
    <row r="52" spans="11:13" x14ac:dyDescent="0.25">
      <c r="K52" t="s">
        <v>202</v>
      </c>
    </row>
    <row r="53" spans="11:13" x14ac:dyDescent="0.25">
      <c r="K53" s="7" t="s">
        <v>204</v>
      </c>
    </row>
    <row r="54" spans="11:13" x14ac:dyDescent="0.25">
      <c r="K54" s="7" t="s">
        <v>206</v>
      </c>
    </row>
    <row r="55" spans="11:13" x14ac:dyDescent="0.25">
      <c r="L55" s="18">
        <f>SUBTOTAL(9,L50:L54)</f>
        <v>805</v>
      </c>
      <c r="M55" s="18">
        <f>M50</f>
        <v>1</v>
      </c>
    </row>
    <row r="57" spans="11:13" x14ac:dyDescent="0.25">
      <c r="K57" s="16" t="s">
        <v>135</v>
      </c>
      <c r="L57" s="16" t="s">
        <v>193</v>
      </c>
      <c r="M57" s="16" t="s">
        <v>192</v>
      </c>
    </row>
    <row r="58" spans="11:13" x14ac:dyDescent="0.25">
      <c r="K58" t="s">
        <v>197</v>
      </c>
      <c r="L58">
        <f>SUMIFS(G$3:G$29,J$3:J$29,K$57)</f>
        <v>2705</v>
      </c>
      <c r="M58">
        <f>SUMIFS(Q$3:Q$29,J$3:J$29,K$57)-INT(COUNTIFS(J$3:J$29,K$57,M$3:M$29,"*gộp*")/2)</f>
        <v>5</v>
      </c>
    </row>
    <row r="59" spans="11:13" x14ac:dyDescent="0.25">
      <c r="K59" t="s">
        <v>200</v>
      </c>
      <c r="L59">
        <f>-SUMIFS(H$3:H$29,J$3:J$29,K$57)+M59*5</f>
        <v>-125</v>
      </c>
      <c r="M59">
        <f>SUMIFS(Q$3:Q$29,J$3:J$29,K$57)-INT(COUNTIFS(J$3:J$29,K$57,M$3:M$29,"*gộp*")/2)</f>
        <v>5</v>
      </c>
    </row>
    <row r="60" spans="11:13" x14ac:dyDescent="0.25">
      <c r="K60" t="s">
        <v>202</v>
      </c>
    </row>
    <row r="61" spans="11:13" x14ac:dyDescent="0.25">
      <c r="K61" s="7" t="s">
        <v>204</v>
      </c>
    </row>
    <row r="62" spans="11:13" x14ac:dyDescent="0.25">
      <c r="K62" s="7" t="s">
        <v>206</v>
      </c>
    </row>
    <row r="63" spans="11:13" x14ac:dyDescent="0.25">
      <c r="L63" s="18">
        <f>SUBTOTAL(9,L58:L62)</f>
        <v>2580</v>
      </c>
      <c r="M63" s="18">
        <f>M58</f>
        <v>5</v>
      </c>
    </row>
  </sheetData>
  <autoFilter ref="A2:P29" xr:uid="{00000000-0009-0000-0000-00000F000000}">
    <sortState xmlns:xlrd2="http://schemas.microsoft.com/office/spreadsheetml/2017/richdata2" ref="A3:P29">
      <sortCondition ref="J2:J29"/>
    </sortState>
  </autoFilter>
  <mergeCells count="8">
    <mergeCell ref="C38:D38"/>
    <mergeCell ref="C39:D39"/>
    <mergeCell ref="C41:D41"/>
    <mergeCell ref="C33:D33"/>
    <mergeCell ref="C34:D34"/>
    <mergeCell ref="C35:D35"/>
    <mergeCell ref="C36:D36"/>
    <mergeCell ref="C37:D37"/>
  </mergeCells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982-EAEB-4F31-86BF-4D059AFDEA27}">
  <sheetPr>
    <tabColor rgb="FF0070C0"/>
  </sheetPr>
  <dimension ref="A1:E31"/>
  <sheetViews>
    <sheetView workbookViewId="0">
      <selection activeCell="F3" sqref="F3"/>
    </sheetView>
  </sheetViews>
  <sheetFormatPr defaultColWidth="9.140625" defaultRowHeight="15" x14ac:dyDescent="0.25"/>
  <cols>
    <col min="1" max="1" width="9.42578125" style="10" bestFit="1" customWidth="1"/>
    <col min="2" max="2" width="10.85546875" style="10" bestFit="1" customWidth="1"/>
    <col min="3" max="3" width="9.42578125" style="10" bestFit="1" customWidth="1"/>
    <col min="4" max="4" width="17.5703125" style="10" bestFit="1" customWidth="1"/>
    <col min="5" max="5" width="15.85546875" style="10" bestFit="1" customWidth="1"/>
    <col min="6" max="6" width="9.140625" style="10" customWidth="1"/>
    <col min="7" max="16384" width="9.140625" style="10"/>
  </cols>
  <sheetData>
    <row r="1" spans="1:5" x14ac:dyDescent="0.25">
      <c r="A1" s="10" t="s">
        <v>1514</v>
      </c>
      <c r="B1" s="10">
        <v>2026</v>
      </c>
    </row>
    <row r="2" spans="1:5" x14ac:dyDescent="0.25">
      <c r="A2" s="11" t="s">
        <v>1515</v>
      </c>
      <c r="B2" s="11" t="s">
        <v>1516</v>
      </c>
      <c r="C2" s="11" t="s">
        <v>1517</v>
      </c>
      <c r="D2" s="11" t="s">
        <v>1518</v>
      </c>
      <c r="E2" s="11" t="s">
        <v>1519</v>
      </c>
    </row>
    <row r="3" spans="1:5" x14ac:dyDescent="0.25">
      <c r="A3" s="12">
        <v>46143</v>
      </c>
      <c r="B3" s="13">
        <f ca="1">IFERROR(COUNTIF(INDIRECT("'"&amp;TEXT(A3,"dd-mm")&amp;"'!L3:L200"),TEXT(A3,"dd-mm")&amp;"-"&amp;B$1),0)</f>
        <v>54</v>
      </c>
      <c r="C3" s="13">
        <f ca="1">IFERROR(COUNTIF(INDIRECT("'"&amp;TEXT(A3,"DD-MM")&amp;"'!M3:M200"),"*gộp*")/2,0)</f>
        <v>0</v>
      </c>
      <c r="D3" s="13" cm="1">
        <f t="array" ref="D3" ca="1">IFERROR(SUM(COUNTIF(INDIRECT("'"&amp;TEXT(A3,"DD-MM")&amp;"'!M3:M200"),{"*đơn trả*","*hàng tỉnh*"})),0)</f>
        <v>0</v>
      </c>
      <c r="E3" s="13">
        <f t="shared" ref="E3:E27" ca="1" si="0">B3-C3-D3</f>
        <v>54</v>
      </c>
    </row>
    <row r="4" spans="1:5" x14ac:dyDescent="0.25">
      <c r="A4" s="12">
        <v>46146</v>
      </c>
      <c r="B4" s="13">
        <f t="shared" ref="B4:B27" ca="1" si="1">IFERROR(COUNTIF(INDIRECT("'"&amp;TEXT(A4,"dd-mm")&amp;"'!L3:L200"),TEXT(A4,"dd-mm")&amp;"-"&amp;B$1),0)</f>
        <v>20</v>
      </c>
      <c r="C4" s="13">
        <f t="shared" ref="C4:C27" ca="1" si="2">IFERROR(COUNTIF(INDIRECT("'"&amp;TEXT(A4,"DD-MM")&amp;"'!M3:M200"),"*gộp*")/2,0)</f>
        <v>0</v>
      </c>
      <c r="D4" s="13" cm="1">
        <f t="array" aca="1" ref="D4" ca="1">IFERROR(SUM(COUNTIF(INDIRECT("'"&amp;TEXT(A4,"DD-MM")&amp;"'!M3:M200"),{"*đơn trả*","*hàng tỉnh*"})),0)</f>
        <v>4</v>
      </c>
      <c r="E4" s="13">
        <f t="shared" ca="1" si="0"/>
        <v>16</v>
      </c>
    </row>
    <row r="5" spans="1:5" x14ac:dyDescent="0.25">
      <c r="A5" s="12">
        <v>46147</v>
      </c>
      <c r="B5" s="13">
        <f t="shared" ca="1" si="1"/>
        <v>53</v>
      </c>
      <c r="C5" s="13">
        <f t="shared" ca="1" si="2"/>
        <v>2</v>
      </c>
      <c r="D5" s="13" cm="1">
        <f t="array" aca="1" ref="D5" ca="1">IFERROR(SUM(COUNTIF(INDIRECT("'"&amp;TEXT(A5,"DD-MM")&amp;"'!M3:M200"),{"*đơn trả*","*hàng tỉnh*"})),0)</f>
        <v>0</v>
      </c>
      <c r="E5" s="13">
        <f t="shared" ca="1" si="0"/>
        <v>51</v>
      </c>
    </row>
    <row r="6" spans="1:5" x14ac:dyDescent="0.25">
      <c r="A6" s="12">
        <v>46148</v>
      </c>
      <c r="B6" s="13">
        <f t="shared" ca="1" si="1"/>
        <v>32</v>
      </c>
      <c r="C6" s="13">
        <f t="shared" ca="1" si="2"/>
        <v>0</v>
      </c>
      <c r="D6" s="13" cm="1">
        <f t="array" aca="1" ref="D6" ca="1">IFERROR(SUM(COUNTIF(INDIRECT("'"&amp;TEXT(A6,"DD-MM")&amp;"'!M3:M200"),{"*đơn trả*","*hàng tỉnh*"})),0)</f>
        <v>0</v>
      </c>
      <c r="E6" s="13">
        <f t="shared" ca="1" si="0"/>
        <v>32</v>
      </c>
    </row>
    <row r="7" spans="1:5" x14ac:dyDescent="0.25">
      <c r="A7" s="12">
        <v>46149</v>
      </c>
      <c r="B7" s="13">
        <f t="shared" ca="1" si="1"/>
        <v>34</v>
      </c>
      <c r="C7" s="13">
        <f t="shared" ca="1" si="2"/>
        <v>1</v>
      </c>
      <c r="D7" s="13" cm="1">
        <f t="array" aca="1" ref="D7" ca="1">IFERROR(SUM(COUNTIF(INDIRECT("'"&amp;TEXT(A7,"DD-MM")&amp;"'!M3:M200"),{"*đơn trả*","*hàng tỉnh*"})),0)</f>
        <v>0</v>
      </c>
      <c r="E7" s="13">
        <f t="shared" ca="1" si="0"/>
        <v>33</v>
      </c>
    </row>
    <row r="8" spans="1:5" x14ac:dyDescent="0.25">
      <c r="A8" s="12">
        <v>46150</v>
      </c>
      <c r="B8" s="13">
        <f t="shared" ca="1" si="1"/>
        <v>36</v>
      </c>
      <c r="C8" s="13">
        <f t="shared" ca="1" si="2"/>
        <v>0</v>
      </c>
      <c r="D8" s="13" cm="1">
        <f t="array" aca="1" ref="D8" ca="1">IFERROR(SUM(COUNTIF(INDIRECT("'"&amp;TEXT(A8,"DD-MM")&amp;"'!M3:M200"),{"*đơn trả*","*hàng tỉnh*"})),0)</f>
        <v>0</v>
      </c>
      <c r="E8" s="13">
        <f t="shared" ca="1" si="0"/>
        <v>36</v>
      </c>
    </row>
    <row r="9" spans="1:5" x14ac:dyDescent="0.25">
      <c r="A9" s="12">
        <v>46151</v>
      </c>
      <c r="B9" s="13">
        <f t="shared" ca="1" si="1"/>
        <v>31</v>
      </c>
      <c r="C9" s="13">
        <f t="shared" ca="1" si="2"/>
        <v>0</v>
      </c>
      <c r="D9" s="13" cm="1">
        <f t="array" aca="1" ref="D9" ca="1">IFERROR(SUM(COUNTIF(INDIRECT("'"&amp;TEXT(A9,"DD-MM")&amp;"'!M3:M200"),{"*đơn trả*","*hàng tỉnh*"})),0)</f>
        <v>0</v>
      </c>
      <c r="E9" s="13">
        <f t="shared" ca="1" si="0"/>
        <v>31</v>
      </c>
    </row>
    <row r="10" spans="1:5" x14ac:dyDescent="0.25">
      <c r="A10" s="12">
        <v>46153</v>
      </c>
      <c r="B10" s="13">
        <f t="shared" ca="1" si="1"/>
        <v>56</v>
      </c>
      <c r="C10" s="13">
        <f t="shared" ca="1" si="2"/>
        <v>0</v>
      </c>
      <c r="D10" s="13" cm="1">
        <f t="array" aca="1" ref="D10" ca="1">IFERROR(SUM(COUNTIF(INDIRECT("'"&amp;TEXT(A10,"DD-MM")&amp;"'!M3:M200"),{"*đơn trả*","*hàng tỉnh*"})),0)</f>
        <v>4</v>
      </c>
      <c r="E10" s="13">
        <f t="shared" ca="1" si="0"/>
        <v>52</v>
      </c>
    </row>
    <row r="11" spans="1:5" x14ac:dyDescent="0.25">
      <c r="A11" s="12">
        <v>46154</v>
      </c>
      <c r="B11" s="13">
        <f t="shared" ca="1" si="1"/>
        <v>25</v>
      </c>
      <c r="C11" s="13">
        <f t="shared" ca="1" si="2"/>
        <v>0</v>
      </c>
      <c r="D11" s="13" cm="1">
        <f t="array" aca="1" ref="D11" ca="1">IFERROR(SUM(COUNTIF(INDIRECT("'"&amp;TEXT(A11,"DD-MM")&amp;"'!M3:M200"),{"*đơn trả*","*hàng tỉnh*"})),0)</f>
        <v>0</v>
      </c>
      <c r="E11" s="13">
        <f t="shared" ca="1" si="0"/>
        <v>25</v>
      </c>
    </row>
    <row r="12" spans="1:5" x14ac:dyDescent="0.25">
      <c r="A12" s="12">
        <v>46155</v>
      </c>
      <c r="B12" s="13">
        <f t="shared" ca="1" si="1"/>
        <v>33</v>
      </c>
      <c r="C12" s="13">
        <f t="shared" ca="1" si="2"/>
        <v>1</v>
      </c>
      <c r="D12" s="13" cm="1">
        <f t="array" aca="1" ref="D12" ca="1">IFERROR(SUM(COUNTIF(INDIRECT("'"&amp;TEXT(A12,"DD-MM")&amp;"'!M3:M200"),{"*đơn trả*","*hàng tỉnh*"})),0)</f>
        <v>0</v>
      </c>
      <c r="E12" s="13">
        <f t="shared" ca="1" si="0"/>
        <v>32</v>
      </c>
    </row>
    <row r="13" spans="1:5" x14ac:dyDescent="0.25">
      <c r="A13" s="12">
        <v>46156</v>
      </c>
      <c r="B13" s="13">
        <f t="shared" ca="1" si="1"/>
        <v>37</v>
      </c>
      <c r="C13" s="13">
        <f t="shared" ca="1" si="2"/>
        <v>0</v>
      </c>
      <c r="D13" s="13" cm="1">
        <f t="array" aca="1" ref="D13" ca="1">IFERROR(SUM(COUNTIF(INDIRECT("'"&amp;TEXT(A13,"DD-MM")&amp;"'!M3:M200"),{"*đơn trả*","*hàng tỉnh*"})),0)</f>
        <v>0</v>
      </c>
      <c r="E13" s="13">
        <f t="shared" ca="1" si="0"/>
        <v>37</v>
      </c>
    </row>
    <row r="14" spans="1:5" x14ac:dyDescent="0.25">
      <c r="A14" s="12">
        <v>46157</v>
      </c>
      <c r="B14" s="13">
        <f t="shared" ca="1" si="1"/>
        <v>32</v>
      </c>
      <c r="C14" s="13">
        <f t="shared" ca="1" si="2"/>
        <v>0</v>
      </c>
      <c r="D14" s="13" cm="1">
        <f t="array" aca="1" ref="D14" ca="1">IFERROR(SUM(COUNTIF(INDIRECT("'"&amp;TEXT(A14,"DD-MM")&amp;"'!M3:M200"),{"*đơn trả*","*hàng tỉnh*"})),0)</f>
        <v>0</v>
      </c>
      <c r="E14" s="13">
        <f t="shared" ca="1" si="0"/>
        <v>32</v>
      </c>
    </row>
    <row r="15" spans="1:5" x14ac:dyDescent="0.25">
      <c r="A15" s="12">
        <v>46158</v>
      </c>
      <c r="B15" s="13">
        <f t="shared" ca="1" si="1"/>
        <v>37</v>
      </c>
      <c r="C15" s="13">
        <f t="shared" ca="1" si="2"/>
        <v>3</v>
      </c>
      <c r="D15" s="13" cm="1">
        <f t="array" aca="1" ref="D15" ca="1">IFERROR(SUM(COUNTIF(INDIRECT("'"&amp;TEXT(A15,"DD-MM")&amp;"'!M3:M200"),{"*đơn trả*","*hàng tỉnh*"})),0)</f>
        <v>2</v>
      </c>
      <c r="E15" s="13">
        <f t="shared" ca="1" si="0"/>
        <v>32</v>
      </c>
    </row>
    <row r="16" spans="1:5" x14ac:dyDescent="0.25">
      <c r="A16" s="12">
        <v>46160</v>
      </c>
      <c r="B16" s="13">
        <f t="shared" ca="1" si="1"/>
        <v>39</v>
      </c>
      <c r="C16" s="13">
        <f t="shared" ca="1" si="2"/>
        <v>1</v>
      </c>
      <c r="D16" s="13" cm="1">
        <f t="array" aca="1" ref="D16" ca="1">IFERROR(SUM(COUNTIF(INDIRECT("'"&amp;TEXT(A16,"DD-MM")&amp;"'!M3:M200"),{"*đơn trả*","*hàng tỉnh*"})),0)</f>
        <v>0</v>
      </c>
      <c r="E16" s="13">
        <f t="shared" ca="1" si="0"/>
        <v>38</v>
      </c>
    </row>
    <row r="17" spans="1:5" x14ac:dyDescent="0.25">
      <c r="A17" s="12">
        <v>46161</v>
      </c>
      <c r="B17" s="13">
        <f t="shared" ca="1" si="1"/>
        <v>27</v>
      </c>
      <c r="C17" s="13">
        <f t="shared" ca="1" si="2"/>
        <v>0</v>
      </c>
      <c r="D17" s="13" cm="1">
        <f t="array" aca="1" ref="D17" ca="1">IFERROR(SUM(COUNTIF(INDIRECT("'"&amp;TEXT(A17,"DD-MM")&amp;"'!M3:M200"),{"*đơn trả*","*hàng tỉnh*"})),0)</f>
        <v>0</v>
      </c>
      <c r="E17" s="13">
        <f t="shared" ca="1" si="0"/>
        <v>27</v>
      </c>
    </row>
    <row r="18" spans="1:5" x14ac:dyDescent="0.25">
      <c r="A18" s="12">
        <v>46162</v>
      </c>
      <c r="B18" s="13">
        <f t="shared" ca="1" si="1"/>
        <v>0</v>
      </c>
      <c r="C18" s="13">
        <f t="shared" ca="1" si="2"/>
        <v>0</v>
      </c>
      <c r="D18" s="13" cm="1">
        <f t="array" aca="1" ref="D18" ca="1">IFERROR(SUM(COUNTIF(INDIRECT("'"&amp;TEXT(A18,"DD-MM")&amp;"'!M3:M200"),{"*đơn trả*","*hàng tỉnh*"})),0)</f>
        <v>0</v>
      </c>
      <c r="E18" s="13">
        <f t="shared" ca="1" si="0"/>
        <v>0</v>
      </c>
    </row>
    <row r="19" spans="1:5" x14ac:dyDescent="0.25">
      <c r="A19" s="12">
        <v>46163</v>
      </c>
      <c r="B19" s="13">
        <f t="shared" ca="1" si="1"/>
        <v>0</v>
      </c>
      <c r="C19" s="13">
        <f t="shared" ca="1" si="2"/>
        <v>0</v>
      </c>
      <c r="D19" s="13" cm="1">
        <f t="array" aca="1" ref="D19" ca="1">IFERROR(SUM(COUNTIF(INDIRECT("'"&amp;TEXT(A19,"DD-MM")&amp;"'!M3:M200"),{"*đơn trả*","*hàng tỉnh*"})),0)</f>
        <v>0</v>
      </c>
      <c r="E19" s="13">
        <f t="shared" ca="1" si="0"/>
        <v>0</v>
      </c>
    </row>
    <row r="20" spans="1:5" x14ac:dyDescent="0.25">
      <c r="A20" s="12">
        <v>46164</v>
      </c>
      <c r="B20" s="13">
        <f t="shared" ca="1" si="1"/>
        <v>0</v>
      </c>
      <c r="C20" s="13">
        <f t="shared" ca="1" si="2"/>
        <v>0</v>
      </c>
      <c r="D20" s="13" cm="1">
        <f t="array" aca="1" ref="D20" ca="1">IFERROR(SUM(COUNTIF(INDIRECT("'"&amp;TEXT(A20,"DD-MM")&amp;"'!M3:M200"),{"*đơn trả*","*hàng tỉnh*"})),0)</f>
        <v>0</v>
      </c>
      <c r="E20" s="13">
        <f t="shared" ca="1" si="0"/>
        <v>0</v>
      </c>
    </row>
    <row r="21" spans="1:5" x14ac:dyDescent="0.25">
      <c r="A21" s="12">
        <v>46165</v>
      </c>
      <c r="B21" s="13">
        <f t="shared" ca="1" si="1"/>
        <v>0</v>
      </c>
      <c r="C21" s="13">
        <f t="shared" ca="1" si="2"/>
        <v>0</v>
      </c>
      <c r="D21" s="13" cm="1">
        <f t="array" aca="1" ref="D21" ca="1">IFERROR(SUM(COUNTIF(INDIRECT("'"&amp;TEXT(A21,"DD-MM")&amp;"'!M3:M200"),{"*đơn trả*","*hàng tỉnh*"})),0)</f>
        <v>0</v>
      </c>
      <c r="E21" s="13">
        <f t="shared" ca="1" si="0"/>
        <v>0</v>
      </c>
    </row>
    <row r="22" spans="1:5" x14ac:dyDescent="0.25">
      <c r="A22" s="12">
        <v>46167</v>
      </c>
      <c r="B22" s="13">
        <f t="shared" ca="1" si="1"/>
        <v>0</v>
      </c>
      <c r="C22" s="13">
        <f t="shared" ca="1" si="2"/>
        <v>0</v>
      </c>
      <c r="D22" s="13" cm="1">
        <f t="array" aca="1" ref="D22" ca="1">IFERROR(SUM(COUNTIF(INDIRECT("'"&amp;TEXT(A22,"DD-MM")&amp;"'!M3:M200"),{"*đơn trả*","*hàng tỉnh*"})),0)</f>
        <v>0</v>
      </c>
      <c r="E22" s="13">
        <f t="shared" ca="1" si="0"/>
        <v>0</v>
      </c>
    </row>
    <row r="23" spans="1:5" x14ac:dyDescent="0.25">
      <c r="A23" s="12">
        <v>46168</v>
      </c>
      <c r="B23" s="13">
        <f t="shared" ca="1" si="1"/>
        <v>0</v>
      </c>
      <c r="C23" s="13">
        <f t="shared" ca="1" si="2"/>
        <v>0</v>
      </c>
      <c r="D23" s="13" cm="1">
        <f t="array" aca="1" ref="D23" ca="1">IFERROR(SUM(COUNTIF(INDIRECT("'"&amp;TEXT(A23,"DD-MM")&amp;"'!M3:M200"),{"*đơn trả*","*hàng tỉnh*"})),0)</f>
        <v>0</v>
      </c>
      <c r="E23" s="13">
        <f t="shared" ca="1" si="0"/>
        <v>0</v>
      </c>
    </row>
    <row r="24" spans="1:5" x14ac:dyDescent="0.25">
      <c r="A24" s="12">
        <v>46169</v>
      </c>
      <c r="B24" s="13">
        <f t="shared" ca="1" si="1"/>
        <v>0</v>
      </c>
      <c r="C24" s="13">
        <f t="shared" ca="1" si="2"/>
        <v>0</v>
      </c>
      <c r="D24" s="13" cm="1">
        <f t="array" aca="1" ref="D24" ca="1">IFERROR(SUM(COUNTIF(INDIRECT("'"&amp;TEXT(A24,"DD-MM")&amp;"'!M3:M200"),{"*đơn trả*","*hàng tỉnh*"})),0)</f>
        <v>0</v>
      </c>
      <c r="E24" s="13">
        <f t="shared" ca="1" si="0"/>
        <v>0</v>
      </c>
    </row>
    <row r="25" spans="1:5" x14ac:dyDescent="0.25">
      <c r="A25" s="12">
        <v>46170</v>
      </c>
      <c r="B25" s="13">
        <f t="shared" ca="1" si="1"/>
        <v>0</v>
      </c>
      <c r="C25" s="13">
        <f t="shared" ca="1" si="2"/>
        <v>0</v>
      </c>
      <c r="D25" s="13" cm="1">
        <f t="array" aca="1" ref="D25" ca="1">IFERROR(SUM(COUNTIF(INDIRECT("'"&amp;TEXT(A25,"DD-MM")&amp;"'!M3:M200"),{"*đơn trả*","*hàng tỉnh*"})),0)</f>
        <v>0</v>
      </c>
      <c r="E25" s="13">
        <f t="shared" ca="1" si="0"/>
        <v>0</v>
      </c>
    </row>
    <row r="26" spans="1:5" x14ac:dyDescent="0.25">
      <c r="A26" s="12">
        <v>46171</v>
      </c>
      <c r="B26" s="13">
        <f t="shared" ca="1" si="1"/>
        <v>0</v>
      </c>
      <c r="C26" s="13">
        <f t="shared" ca="1" si="2"/>
        <v>0</v>
      </c>
      <c r="D26" s="13" cm="1">
        <f t="array" aca="1" ref="D26" ca="1">IFERROR(SUM(COUNTIF(INDIRECT("'"&amp;TEXT(A26,"DD-MM")&amp;"'!M3:M200"),{"*đơn trả*","*hàng tỉnh*"})),0)</f>
        <v>0</v>
      </c>
      <c r="E26" s="13">
        <f t="shared" ca="1" si="0"/>
        <v>0</v>
      </c>
    </row>
    <row r="27" spans="1:5" x14ac:dyDescent="0.25">
      <c r="A27" s="12">
        <v>46172</v>
      </c>
      <c r="B27" s="13">
        <f t="shared" ca="1" si="1"/>
        <v>0</v>
      </c>
      <c r="C27" s="13">
        <f t="shared" ca="1" si="2"/>
        <v>0</v>
      </c>
      <c r="D27" s="13" cm="1">
        <f t="array" aca="1" ref="D27" ca="1">IFERROR(SUM(COUNTIF(INDIRECT("'"&amp;TEXT(A27,"DD-MM")&amp;"'!M3:M200"),{"*đơn trả*","*hàng tỉnh*"})),0)</f>
        <v>0</v>
      </c>
      <c r="E27" s="13">
        <f t="shared" ca="1" si="0"/>
        <v>0</v>
      </c>
    </row>
    <row r="28" spans="1:5" x14ac:dyDescent="0.25">
      <c r="D28" s="14" t="s">
        <v>1520</v>
      </c>
      <c r="E28" s="14">
        <f ca="1">SUBTOTAL(9,E4:E27)</f>
        <v>474</v>
      </c>
    </row>
    <row r="29" spans="1:5" x14ac:dyDescent="0.25">
      <c r="D29" s="14" t="s">
        <v>1521</v>
      </c>
      <c r="E29" s="14" cm="1">
        <f t="array" ref="E29" ca="1">SUMPRODUCT(
    IFERROR(
        SUMIF(
            INDIRECT("'"&amp;TEXT(A4:A27,"dd-mm")&amp;"'!O:O"),
            "tổng",
            INDIRECT("'"&amp;TEXT(A4:A27,"dd-mm")&amp;"'!P:P")
        ),
    0)
)</f>
        <v>1972</v>
      </c>
    </row>
    <row r="30" spans="1:5" x14ac:dyDescent="0.25">
      <c r="D30" s="14" t="s">
        <v>1522</v>
      </c>
      <c r="E30" s="14">
        <f ca="1">-E28*2</f>
        <v>-948</v>
      </c>
    </row>
    <row r="31" spans="1:5" x14ac:dyDescent="0.25">
      <c r="D31" s="14" t="s">
        <v>1523</v>
      </c>
      <c r="E31" s="14">
        <f ca="1">SUBTOTAL(9,E29:E30)</f>
        <v>1024</v>
      </c>
    </row>
  </sheetData>
  <autoFilter ref="A2:E27" xr:uid="{00000000-0009-0000-0000-00000E000000}"/>
  <phoneticPr fontId="3" type="noConversion"/>
  <conditionalFormatting sqref="C3:D27">
    <cfRule type="expression" dxfId="0" priority="1">
      <formula>C3&lt;&gt;0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01-05</vt:lpstr>
      <vt:lpstr>04-05</vt:lpstr>
      <vt:lpstr>05-05</vt:lpstr>
      <vt:lpstr>06-05</vt:lpstr>
      <vt:lpstr>07-05</vt:lpstr>
      <vt:lpstr>08-05</vt:lpstr>
      <vt:lpstr>09-05</vt:lpstr>
      <vt:lpstr>11-05</vt:lpstr>
      <vt:lpstr>12-05</vt:lpstr>
      <vt:lpstr>13-05</vt:lpstr>
      <vt:lpstr>14-05</vt:lpstr>
      <vt:lpstr>15-05</vt:lpstr>
      <vt:lpstr>16-05</vt:lpstr>
      <vt:lpstr>18-05</vt:lpstr>
      <vt:lpstr>19-05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2026-04-01T06:13:00Z</dcterms:created>
  <dcterms:modified xsi:type="dcterms:W3CDTF">2026-05-19T07:22:41Z</dcterms:modified>
</cp:coreProperties>
</file>