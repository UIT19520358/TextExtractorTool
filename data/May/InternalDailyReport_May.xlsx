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71246334-DEB9-4A5A-9730-E792706298FB}" xr6:coauthVersionLast="47" xr6:coauthVersionMax="47" xr10:uidLastSave="{00000000-0000-0000-0000-000000000000}"/>
  <bookViews>
    <workbookView xWindow="-120" yWindow="-120" windowWidth="29040" windowHeight="15720" firstSheet="10" activeTab="21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12-05" sheetId="15" r:id="rId9"/>
    <sheet name="13-05" sheetId="16" r:id="rId10"/>
    <sheet name="14-05" sheetId="17" r:id="rId11"/>
    <sheet name="15-05" sheetId="20" r:id="rId12"/>
    <sheet name="16-05" sheetId="21" r:id="rId13"/>
    <sheet name="18-05" sheetId="22" r:id="rId14"/>
    <sheet name="19-05" sheetId="23" r:id="rId15"/>
    <sheet name="20-05" sheetId="24" r:id="rId16"/>
    <sheet name="21-05" sheetId="25" r:id="rId17"/>
    <sheet name="22-05" sheetId="26" r:id="rId18"/>
    <sheet name="23-05" sheetId="27" r:id="rId19"/>
    <sheet name="25-05" sheetId="28" r:id="rId20"/>
    <sheet name="26-05" sheetId="29" r:id="rId21"/>
    <sheet name="27-05" sheetId="30" r:id="rId22"/>
    <sheet name="28-05" sheetId="31" r:id="rId23"/>
    <sheet name="29-05" sheetId="32" r:id="rId24"/>
    <sheet name="30-05" sheetId="33" r:id="rId25"/>
    <sheet name="Sheet1" sheetId="19" r:id="rId26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'12-05'!$A$2:$P$28</definedName>
    <definedName name="_xlnm._FilterDatabase" localSheetId="9" hidden="1">'13-05'!$A$2:$P$35</definedName>
    <definedName name="_xlnm._FilterDatabase" localSheetId="10" hidden="1">'14-05'!$A$2:$P$39</definedName>
    <definedName name="_xlnm._FilterDatabase" localSheetId="11" hidden="1">'15-05'!$A$2:$P$34</definedName>
    <definedName name="_xlnm._FilterDatabase" localSheetId="12" hidden="1">'16-05'!$A$2:$P$42</definedName>
    <definedName name="_xlnm._FilterDatabase" localSheetId="13" hidden="1">'18-05'!$A$2:$P$41</definedName>
    <definedName name="_xlnm._FilterDatabase" localSheetId="14" hidden="1">'19-05'!$A$2:$P$29</definedName>
    <definedName name="_xlnm._FilterDatabase" localSheetId="15" hidden="1">'20-05'!$A$2:$P$36</definedName>
    <definedName name="_xlnm._FilterDatabase" localSheetId="16" hidden="1">'21-05'!$A$2:$P$44</definedName>
    <definedName name="_xlnm._FilterDatabase" localSheetId="17" hidden="1">'22-05'!$A$2:$P$31</definedName>
    <definedName name="_xlnm._FilterDatabase" localSheetId="18" hidden="1">'23-05'!$A$2:$P$28</definedName>
    <definedName name="_xlnm._FilterDatabase" localSheetId="19" hidden="1">'25-05'!$A$2:$P$55</definedName>
    <definedName name="_xlnm._FilterDatabase" localSheetId="20" hidden="1">'26-05'!$A$2:$P$30</definedName>
    <definedName name="_xlnm._FilterDatabase" localSheetId="21" hidden="1">'27-05'!$A$2:$P$26</definedName>
    <definedName name="_xlnm._FilterDatabase" localSheetId="22" hidden="1">'28-05'!$A$2:$P$38</definedName>
    <definedName name="_xlnm._FilterDatabase" localSheetId="23" hidden="1">'29-05'!$A$2:$P$24</definedName>
    <definedName name="_xlnm._FilterDatabase" localSheetId="24" hidden="1">'30-05'!$A$2:$P$31</definedName>
    <definedName name="_xlnm._FilterDatabase" localSheetId="25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I58" i="7"/>
  <c r="J58" i="7"/>
  <c r="K58" i="7"/>
  <c r="L58" i="7"/>
  <c r="M58" i="7"/>
  <c r="N58" i="7"/>
  <c r="O58" i="7"/>
  <c r="P58" i="7"/>
  <c r="Q58" i="7"/>
  <c r="H59" i="7"/>
  <c r="H60" i="7"/>
  <c r="C61" i="7"/>
  <c r="C64" i="7" s="1"/>
  <c r="C68" i="7" s="1"/>
  <c r="P65" i="7" s="1"/>
  <c r="E61" i="7"/>
  <c r="E64" i="7" s="1"/>
  <c r="M79" i="7" s="1"/>
  <c r="L79" i="7" s="1"/>
  <c r="L82" i="7" s="1"/>
  <c r="P63" i="7" s="1"/>
  <c r="L61" i="7"/>
  <c r="M61" i="7"/>
  <c r="M66" i="7" s="1"/>
  <c r="L62" i="7"/>
  <c r="M62" i="7"/>
  <c r="C63" i="7"/>
  <c r="E63" i="7"/>
  <c r="L66" i="7"/>
  <c r="P61" i="7" s="1"/>
  <c r="L69" i="7"/>
  <c r="L74" i="7" s="1"/>
  <c r="P62" i="7" s="1"/>
  <c r="M69" i="7"/>
  <c r="M74" i="7" s="1"/>
  <c r="L70" i="7"/>
  <c r="M70" i="7"/>
  <c r="L77" i="7"/>
  <c r="M77" i="7"/>
  <c r="L78" i="7"/>
  <c r="M78" i="7"/>
  <c r="M82" i="7"/>
  <c r="L85" i="7"/>
  <c r="M85" i="7"/>
  <c r="M90" i="7" s="1"/>
  <c r="M86" i="7"/>
  <c r="L86" i="7" s="1"/>
  <c r="I3" i="8"/>
  <c r="C31" i="8" s="1"/>
  <c r="C34" i="8" s="1"/>
  <c r="C38" i="8" s="1"/>
  <c r="P35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C33" i="8" s="1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L36" i="8" s="1"/>
  <c r="P31" i="8" s="1"/>
  <c r="H30" i="8"/>
  <c r="E31" i="8"/>
  <c r="H31" i="8"/>
  <c r="L31" i="8"/>
  <c r="M31" i="8"/>
  <c r="M36" i="8" s="1"/>
  <c r="M32" i="8"/>
  <c r="E33" i="8"/>
  <c r="E34" i="8"/>
  <c r="L39" i="8"/>
  <c r="L44" i="8" s="1"/>
  <c r="P32" i="8" s="1"/>
  <c r="M39" i="8"/>
  <c r="L40" i="8"/>
  <c r="M40" i="8"/>
  <c r="M44" i="8"/>
  <c r="L47" i="8"/>
  <c r="L52" i="8" s="1"/>
  <c r="P33" i="8" s="1"/>
  <c r="M47" i="8"/>
  <c r="L48" i="8"/>
  <c r="M48" i="8"/>
  <c r="M52" i="8"/>
  <c r="L55" i="8"/>
  <c r="M55" i="8"/>
  <c r="L56" i="8"/>
  <c r="M56" i="8"/>
  <c r="M57" i="8"/>
  <c r="L57" i="8" s="1"/>
  <c r="L60" i="8" s="1"/>
  <c r="P34" i="8" s="1"/>
  <c r="M60" i="8"/>
  <c r="I3" i="9"/>
  <c r="C60" i="9" s="1"/>
  <c r="C63" i="9" s="1"/>
  <c r="C67" i="9" s="1"/>
  <c r="P63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H59" i="9"/>
  <c r="E60" i="9"/>
  <c r="H60" i="9"/>
  <c r="L60" i="9"/>
  <c r="M60" i="9"/>
  <c r="M61" i="9"/>
  <c r="L61" i="9" s="1"/>
  <c r="C62" i="9"/>
  <c r="E62" i="9"/>
  <c r="E63" i="9"/>
  <c r="M78" i="9" s="1"/>
  <c r="L78" i="9" s="1"/>
  <c r="M65" i="9"/>
  <c r="L68" i="9"/>
  <c r="M68" i="9"/>
  <c r="M73" i="9" s="1"/>
  <c r="L69" i="9"/>
  <c r="L73" i="9" s="1"/>
  <c r="P61" i="9" s="1"/>
  <c r="M69" i="9"/>
  <c r="L76" i="9"/>
  <c r="M76" i="9"/>
  <c r="M81" i="9" s="1"/>
  <c r="L77" i="9"/>
  <c r="M77" i="9"/>
  <c r="I3" i="10"/>
  <c r="C39" i="10" s="1"/>
  <c r="C42" i="10" s="1"/>
  <c r="C46" i="10" s="1"/>
  <c r="P42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L56" i="10" s="1"/>
  <c r="L60" i="10" s="1"/>
  <c r="P41" i="10" s="1"/>
  <c r="H38" i="10"/>
  <c r="E39" i="10"/>
  <c r="H39" i="10"/>
  <c r="L39" i="10"/>
  <c r="M39" i="10"/>
  <c r="M44" i="10" s="1"/>
  <c r="M40" i="10"/>
  <c r="L40" i="10" s="1"/>
  <c r="L44" i="10" s="1"/>
  <c r="P39" i="10" s="1"/>
  <c r="C41" i="10"/>
  <c r="E41" i="10"/>
  <c r="E42" i="10"/>
  <c r="M49" i="10" s="1"/>
  <c r="L49" i="10" s="1"/>
  <c r="L47" i="10"/>
  <c r="L52" i="10" s="1"/>
  <c r="P40" i="10" s="1"/>
  <c r="M47" i="10"/>
  <c r="M52" i="10" s="1"/>
  <c r="M48" i="10"/>
  <c r="L48" i="10" s="1"/>
  <c r="L55" i="10"/>
  <c r="M55" i="10"/>
  <c r="M56" i="10"/>
  <c r="M60" i="10"/>
  <c r="I3" i="11"/>
  <c r="I38" i="11" s="1"/>
  <c r="I4" i="11"/>
  <c r="I5" i="11"/>
  <c r="R5" i="11"/>
  <c r="I6" i="11"/>
  <c r="I7" i="11"/>
  <c r="I8" i="11"/>
  <c r="I9" i="11"/>
  <c r="R9" i="11"/>
  <c r="I10" i="11"/>
  <c r="I11" i="11"/>
  <c r="I12" i="11"/>
  <c r="C41" i="11" s="1"/>
  <c r="C44" i="11" s="1"/>
  <c r="C48" i="11" s="1"/>
  <c r="P45" i="11" s="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L42" i="11" s="1"/>
  <c r="L46" i="11" s="1"/>
  <c r="P41" i="11" s="1"/>
  <c r="H40" i="11"/>
  <c r="E41" i="11"/>
  <c r="H41" i="11"/>
  <c r="L41" i="11"/>
  <c r="M41" i="11"/>
  <c r="M46" i="11" s="1"/>
  <c r="M42" i="11"/>
  <c r="C43" i="11"/>
  <c r="E43" i="11"/>
  <c r="E44" i="11"/>
  <c r="L49" i="11"/>
  <c r="M49" i="11"/>
  <c r="M54" i="11" s="1"/>
  <c r="L50" i="11"/>
  <c r="L54" i="11" s="1"/>
  <c r="P42" i="11" s="1"/>
  <c r="M50" i="11"/>
  <c r="L57" i="11"/>
  <c r="M57" i="11"/>
  <c r="M62" i="11" s="1"/>
  <c r="L58" i="11"/>
  <c r="L62" i="11" s="1"/>
  <c r="P43" i="11" s="1"/>
  <c r="M58" i="11"/>
  <c r="L65" i="11"/>
  <c r="L70" i="11" s="1"/>
  <c r="P44" i="11" s="1"/>
  <c r="M65" i="11"/>
  <c r="M70" i="11" s="1"/>
  <c r="L66" i="11"/>
  <c r="M66" i="11"/>
  <c r="L67" i="11"/>
  <c r="M67" i="11"/>
  <c r="I3" i="12"/>
  <c r="C44" i="12" s="1"/>
  <c r="C47" i="12" s="1"/>
  <c r="C51" i="12" s="1"/>
  <c r="P47" i="12" s="1"/>
  <c r="R3" i="12"/>
  <c r="I4" i="12"/>
  <c r="R4" i="12"/>
  <c r="I5" i="12"/>
  <c r="R5" i="12"/>
  <c r="I6" i="12"/>
  <c r="I7" i="12"/>
  <c r="R7" i="12"/>
  <c r="I8" i="12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L53" i="12" s="1"/>
  <c r="H43" i="12"/>
  <c r="E44" i="12"/>
  <c r="H44" i="12"/>
  <c r="L44" i="12"/>
  <c r="M44" i="12"/>
  <c r="M49" i="12" s="1"/>
  <c r="M45" i="12"/>
  <c r="L45" i="12" s="1"/>
  <c r="L49" i="12" s="1"/>
  <c r="P44" i="12" s="1"/>
  <c r="C46" i="12"/>
  <c r="E46" i="12"/>
  <c r="E47" i="12"/>
  <c r="M62" i="12" s="1"/>
  <c r="L62" i="12" s="1"/>
  <c r="L52" i="12"/>
  <c r="M52" i="12"/>
  <c r="M57" i="12" s="1"/>
  <c r="M53" i="12"/>
  <c r="L60" i="12"/>
  <c r="M60" i="12"/>
  <c r="M65" i="12" s="1"/>
  <c r="M61" i="12"/>
  <c r="L61" i="12" s="1"/>
  <c r="I3" i="13"/>
  <c r="I4" i="13"/>
  <c r="I35" i="13" s="1"/>
  <c r="I5" i="13"/>
  <c r="I6" i="13"/>
  <c r="I7" i="13"/>
  <c r="R7" i="13"/>
  <c r="I8" i="13"/>
  <c r="I9" i="13"/>
  <c r="R9" i="13"/>
  <c r="I10" i="13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L39" i="13" s="1"/>
  <c r="L43" i="13" s="1"/>
  <c r="P38" i="13" s="1"/>
  <c r="H37" i="13"/>
  <c r="C38" i="13"/>
  <c r="C41" i="13" s="1"/>
  <c r="C45" i="13" s="1"/>
  <c r="P41" i="13" s="1"/>
  <c r="E38" i="13"/>
  <c r="H38" i="13"/>
  <c r="L38" i="13"/>
  <c r="M38" i="13"/>
  <c r="M43" i="13" s="1"/>
  <c r="M39" i="13"/>
  <c r="C40" i="13"/>
  <c r="E40" i="13"/>
  <c r="E41" i="13"/>
  <c r="L46" i="13"/>
  <c r="M46" i="13"/>
  <c r="M51" i="13" s="1"/>
  <c r="M47" i="13"/>
  <c r="L47" i="13" s="1"/>
  <c r="L51" i="13" s="1"/>
  <c r="P39" i="13" s="1"/>
  <c r="M48" i="13"/>
  <c r="L48" i="13" s="1"/>
  <c r="L54" i="13"/>
  <c r="L59" i="13" s="1"/>
  <c r="P40" i="13" s="1"/>
  <c r="M54" i="13"/>
  <c r="M59" i="13" s="1"/>
  <c r="M55" i="13"/>
  <c r="L55" i="13" s="1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D64" i="14"/>
  <c r="G64" i="14"/>
  <c r="H64" i="14"/>
  <c r="I64" i="14"/>
  <c r="J64" i="14"/>
  <c r="K64" i="14"/>
  <c r="L64" i="14"/>
  <c r="M64" i="14"/>
  <c r="N64" i="14"/>
  <c r="O64" i="14"/>
  <c r="P64" i="14"/>
  <c r="Q64" i="14"/>
  <c r="H65" i="14"/>
  <c r="H66" i="14"/>
  <c r="L76" i="14" s="1"/>
  <c r="L80" i="14" s="1"/>
  <c r="P68" i="14" s="1"/>
  <c r="I66" i="14"/>
  <c r="C67" i="14"/>
  <c r="C70" i="14" s="1"/>
  <c r="C74" i="14" s="1"/>
  <c r="P70" i="14" s="1"/>
  <c r="E67" i="14"/>
  <c r="H67" i="14"/>
  <c r="L67" i="14"/>
  <c r="M67" i="14"/>
  <c r="M72" i="14" s="1"/>
  <c r="L68" i="14"/>
  <c r="M68" i="14"/>
  <c r="C69" i="14"/>
  <c r="E69" i="14"/>
  <c r="E70" i="14"/>
  <c r="M85" i="14" s="1"/>
  <c r="L85" i="14" s="1"/>
  <c r="L72" i="14"/>
  <c r="P67" i="14" s="1"/>
  <c r="L75" i="14"/>
  <c r="M75" i="14"/>
  <c r="M76" i="14"/>
  <c r="M80" i="14"/>
  <c r="L83" i="14"/>
  <c r="M83" i="14"/>
  <c r="M84" i="14"/>
  <c r="L84" i="14" s="1"/>
  <c r="M88" i="14"/>
  <c r="I3" i="15"/>
  <c r="C33" i="15" s="1"/>
  <c r="C36" i="15" s="1"/>
  <c r="C40" i="15" s="1"/>
  <c r="P37" i="15" s="1"/>
  <c r="I4" i="15"/>
  <c r="I5" i="15"/>
  <c r="R5" i="15"/>
  <c r="I6" i="15"/>
  <c r="I7" i="15"/>
  <c r="I8" i="15"/>
  <c r="I9" i="15"/>
  <c r="I10" i="15"/>
  <c r="I11" i="15"/>
  <c r="I12" i="15"/>
  <c r="I13" i="15"/>
  <c r="I14" i="15"/>
  <c r="I15" i="15"/>
  <c r="I16" i="15"/>
  <c r="R16" i="15"/>
  <c r="I17" i="15"/>
  <c r="I18" i="15"/>
  <c r="I19" i="15"/>
  <c r="I20" i="15"/>
  <c r="R20" i="15"/>
  <c r="I21" i="15"/>
  <c r="I22" i="15"/>
  <c r="R22" i="15"/>
  <c r="I23" i="15"/>
  <c r="R23" i="15"/>
  <c r="I24" i="15"/>
  <c r="R24" i="15"/>
  <c r="I25" i="15"/>
  <c r="I26" i="15"/>
  <c r="I27" i="15"/>
  <c r="R27" i="15"/>
  <c r="I28" i="15"/>
  <c r="D30" i="15"/>
  <c r="G30" i="15"/>
  <c r="H30" i="15"/>
  <c r="J30" i="15"/>
  <c r="K30" i="15"/>
  <c r="L30" i="15"/>
  <c r="M30" i="15"/>
  <c r="N30" i="15"/>
  <c r="O30" i="15"/>
  <c r="P30" i="15"/>
  <c r="Q30" i="15"/>
  <c r="H31" i="15"/>
  <c r="L42" i="15" s="1"/>
  <c r="L46" i="15" s="1"/>
  <c r="P34" i="15" s="1"/>
  <c r="H32" i="15"/>
  <c r="E33" i="15"/>
  <c r="L33" i="15"/>
  <c r="M33" i="15"/>
  <c r="M38" i="15" s="1"/>
  <c r="L34" i="15"/>
  <c r="M34" i="15"/>
  <c r="C35" i="15"/>
  <c r="E35" i="15"/>
  <c r="E36" i="15"/>
  <c r="M35" i="15" s="1"/>
  <c r="L35" i="15" s="1"/>
  <c r="L41" i="15"/>
  <c r="M41" i="15"/>
  <c r="M42" i="15"/>
  <c r="M46" i="15"/>
  <c r="L49" i="15"/>
  <c r="M49" i="15"/>
  <c r="M55" i="15" s="1"/>
  <c r="M50" i="15"/>
  <c r="L50" i="15" s="1"/>
  <c r="L55" i="15" s="1"/>
  <c r="P35" i="15" s="1"/>
  <c r="L58" i="15"/>
  <c r="L63" i="15" s="1"/>
  <c r="P36" i="15" s="1"/>
  <c r="M58" i="15"/>
  <c r="M63" i="15" s="1"/>
  <c r="M59" i="15"/>
  <c r="L59" i="15" s="1"/>
  <c r="I3" i="16"/>
  <c r="I4" i="16"/>
  <c r="I5" i="16"/>
  <c r="I6" i="16"/>
  <c r="I37" i="16" s="1"/>
  <c r="I7" i="16"/>
  <c r="R7" i="16"/>
  <c r="I8" i="16"/>
  <c r="I9" i="16"/>
  <c r="R9" i="16"/>
  <c r="I10" i="16"/>
  <c r="R10" i="16"/>
  <c r="I11" i="16"/>
  <c r="I12" i="16"/>
  <c r="I13" i="16"/>
  <c r="R13" i="16"/>
  <c r="I14" i="16"/>
  <c r="I15" i="16"/>
  <c r="I16" i="16"/>
  <c r="I17" i="16"/>
  <c r="R17" i="16"/>
  <c r="I18" i="16"/>
  <c r="I19" i="16"/>
  <c r="I20" i="16"/>
  <c r="I21" i="16"/>
  <c r="R21" i="16"/>
  <c r="I22" i="16"/>
  <c r="I23" i="16"/>
  <c r="R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D37" i="16"/>
  <c r="G37" i="16"/>
  <c r="H37" i="16"/>
  <c r="J37" i="16"/>
  <c r="K37" i="16"/>
  <c r="L37" i="16"/>
  <c r="M37" i="16"/>
  <c r="N37" i="16"/>
  <c r="O37" i="16"/>
  <c r="P37" i="16"/>
  <c r="Q37" i="16"/>
  <c r="H38" i="16"/>
  <c r="L49" i="16" s="1"/>
  <c r="L53" i="16" s="1"/>
  <c r="P41" i="16" s="1"/>
  <c r="H39" i="16"/>
  <c r="C40" i="16"/>
  <c r="E40" i="16"/>
  <c r="H40" i="16"/>
  <c r="L40" i="16"/>
  <c r="M40" i="16"/>
  <c r="M45" i="16" s="1"/>
  <c r="L41" i="16"/>
  <c r="M41" i="16"/>
  <c r="C42" i="16"/>
  <c r="E42" i="16"/>
  <c r="C43" i="16"/>
  <c r="C47" i="16" s="1"/>
  <c r="P43" i="16" s="1"/>
  <c r="E43" i="16"/>
  <c r="M58" i="16" s="1"/>
  <c r="L58" i="16" s="1"/>
  <c r="L45" i="16"/>
  <c r="P40" i="16" s="1"/>
  <c r="L48" i="16"/>
  <c r="M48" i="16"/>
  <c r="M49" i="16"/>
  <c r="M53" i="16"/>
  <c r="L56" i="16"/>
  <c r="L61" i="16" s="1"/>
  <c r="P42" i="16" s="1"/>
  <c r="M56" i="16"/>
  <c r="M57" i="16"/>
  <c r="L57" i="16" s="1"/>
  <c r="M61" i="16"/>
  <c r="I3" i="17"/>
  <c r="C44" i="17" s="1"/>
  <c r="C47" i="17" s="1"/>
  <c r="C51" i="17" s="1"/>
  <c r="P48" i="17" s="1"/>
  <c r="I4" i="17"/>
  <c r="I41" i="17" s="1"/>
  <c r="R4" i="17"/>
  <c r="I5" i="17"/>
  <c r="I6" i="17"/>
  <c r="I7" i="17"/>
  <c r="I8" i="17"/>
  <c r="R8" i="17"/>
  <c r="I9" i="17"/>
  <c r="I10" i="17"/>
  <c r="R10" i="17"/>
  <c r="I11" i="17"/>
  <c r="I12" i="17"/>
  <c r="I13" i="17"/>
  <c r="R13" i="17"/>
  <c r="I14" i="17"/>
  <c r="I15" i="17"/>
  <c r="I16" i="17"/>
  <c r="R16" i="17"/>
  <c r="I17" i="17"/>
  <c r="I18" i="17"/>
  <c r="I19" i="17"/>
  <c r="R19" i="17"/>
  <c r="I20" i="17"/>
  <c r="I21" i="17"/>
  <c r="R21" i="17"/>
  <c r="I22" i="17"/>
  <c r="I23" i="17"/>
  <c r="I24" i="17"/>
  <c r="I25" i="17"/>
  <c r="R25" i="17"/>
  <c r="I26" i="17"/>
  <c r="R26" i="17"/>
  <c r="I27" i="17"/>
  <c r="R27" i="17"/>
  <c r="I28" i="17"/>
  <c r="I29" i="17"/>
  <c r="R29" i="17"/>
  <c r="I30" i="17"/>
  <c r="I31" i="17"/>
  <c r="I32" i="17"/>
  <c r="I33" i="17"/>
  <c r="R33" i="17"/>
  <c r="I34" i="17"/>
  <c r="I35" i="17"/>
  <c r="I36" i="17"/>
  <c r="R36" i="17"/>
  <c r="I37" i="17"/>
  <c r="I38" i="17"/>
  <c r="R38" i="17"/>
  <c r="I39" i="17"/>
  <c r="R39" i="17"/>
  <c r="D41" i="17"/>
  <c r="G41" i="17"/>
  <c r="H41" i="17"/>
  <c r="J41" i="17"/>
  <c r="K41" i="17"/>
  <c r="L41" i="17"/>
  <c r="M41" i="17"/>
  <c r="N41" i="17"/>
  <c r="O41" i="17"/>
  <c r="P41" i="17"/>
  <c r="Q41" i="17"/>
  <c r="H42" i="17"/>
  <c r="L61" i="17" s="1"/>
  <c r="L65" i="17" s="1"/>
  <c r="P46" i="17" s="1"/>
  <c r="H43" i="17"/>
  <c r="E44" i="17"/>
  <c r="E47" i="17" s="1"/>
  <c r="M46" i="17" s="1"/>
  <c r="L46" i="17" s="1"/>
  <c r="L44" i="17"/>
  <c r="M44" i="17"/>
  <c r="M45" i="17"/>
  <c r="L45" i="17" s="1"/>
  <c r="C46" i="17"/>
  <c r="E46" i="17"/>
  <c r="M49" i="17"/>
  <c r="L52" i="17"/>
  <c r="M52" i="17"/>
  <c r="M57" i="17" s="1"/>
  <c r="M53" i="17"/>
  <c r="L53" i="17" s="1"/>
  <c r="L60" i="17"/>
  <c r="M60" i="17"/>
  <c r="M61" i="17"/>
  <c r="M65" i="17"/>
  <c r="L68" i="17"/>
  <c r="M68" i="17"/>
  <c r="M73" i="17" s="1"/>
  <c r="M69" i="17"/>
  <c r="L69" i="17" s="1"/>
  <c r="I3" i="20"/>
  <c r="C39" i="20" s="1"/>
  <c r="C42" i="20" s="1"/>
  <c r="C46" i="20" s="1"/>
  <c r="P42" i="20" s="1"/>
  <c r="I4" i="20"/>
  <c r="I5" i="20"/>
  <c r="I6" i="20"/>
  <c r="I7" i="20"/>
  <c r="I8" i="20"/>
  <c r="R8" i="20"/>
  <c r="I9" i="20"/>
  <c r="I10" i="20"/>
  <c r="I11" i="20"/>
  <c r="I12" i="20"/>
  <c r="I13" i="20"/>
  <c r="I14" i="20"/>
  <c r="R14" i="20"/>
  <c r="I15" i="20"/>
  <c r="R15" i="20"/>
  <c r="I16" i="20"/>
  <c r="I17" i="20"/>
  <c r="I18" i="20"/>
  <c r="I19" i="20"/>
  <c r="R19" i="20"/>
  <c r="I20" i="20"/>
  <c r="I21" i="20"/>
  <c r="R21" i="20"/>
  <c r="I22" i="20"/>
  <c r="I23" i="20"/>
  <c r="I24" i="20"/>
  <c r="R24" i="20"/>
  <c r="I25" i="20"/>
  <c r="R25" i="20"/>
  <c r="I26" i="20"/>
  <c r="I27" i="20"/>
  <c r="I28" i="20"/>
  <c r="I29" i="20"/>
  <c r="I30" i="20"/>
  <c r="I31" i="20"/>
  <c r="I32" i="20"/>
  <c r="I33" i="20"/>
  <c r="I34" i="20"/>
  <c r="D36" i="20"/>
  <c r="G36" i="20"/>
  <c r="H36" i="20"/>
  <c r="I36" i="20"/>
  <c r="J36" i="20"/>
  <c r="K36" i="20"/>
  <c r="L36" i="20"/>
  <c r="M36" i="20"/>
  <c r="N36" i="20"/>
  <c r="O36" i="20"/>
  <c r="P36" i="20"/>
  <c r="Q36" i="20"/>
  <c r="H37" i="20"/>
  <c r="L40" i="20" s="1"/>
  <c r="L44" i="20" s="1"/>
  <c r="P39" i="20" s="1"/>
  <c r="H38" i="20"/>
  <c r="E39" i="20"/>
  <c r="E42" i="20" s="1"/>
  <c r="M49" i="20" s="1"/>
  <c r="L49" i="20" s="1"/>
  <c r="H39" i="20"/>
  <c r="L39" i="20"/>
  <c r="M39" i="20"/>
  <c r="M40" i="20"/>
  <c r="C41" i="20"/>
  <c r="E41" i="20"/>
  <c r="M44" i="20"/>
  <c r="L47" i="20"/>
  <c r="M47" i="20"/>
  <c r="M48" i="20"/>
  <c r="L48" i="20" s="1"/>
  <c r="M52" i="20"/>
  <c r="L55" i="20"/>
  <c r="M55" i="20"/>
  <c r="M60" i="20" s="1"/>
  <c r="L56" i="20"/>
  <c r="L60" i="20" s="1"/>
  <c r="P41" i="20" s="1"/>
  <c r="M56" i="20"/>
  <c r="I3" i="21"/>
  <c r="I44" i="21" s="1"/>
  <c r="R3" i="21"/>
  <c r="I4" i="21"/>
  <c r="C47" i="21" s="1"/>
  <c r="C50" i="21" s="1"/>
  <c r="C54" i="21" s="1"/>
  <c r="P50" i="21" s="1"/>
  <c r="R4" i="21"/>
  <c r="I5" i="21"/>
  <c r="I6" i="21"/>
  <c r="R6" i="21"/>
  <c r="I7" i="21"/>
  <c r="R7" i="21"/>
  <c r="I8" i="21"/>
  <c r="I9" i="21"/>
  <c r="I10" i="21"/>
  <c r="I11" i="21"/>
  <c r="I12" i="21"/>
  <c r="R12" i="21"/>
  <c r="I13" i="21"/>
  <c r="I14" i="21"/>
  <c r="I15" i="21"/>
  <c r="I16" i="21"/>
  <c r="I17" i="21"/>
  <c r="I18" i="21"/>
  <c r="R18" i="21"/>
  <c r="I19" i="21"/>
  <c r="I20" i="21"/>
  <c r="I21" i="21"/>
  <c r="I22" i="21"/>
  <c r="I23" i="21"/>
  <c r="I24" i="21"/>
  <c r="R24" i="21"/>
  <c r="I25" i="21"/>
  <c r="I26" i="21"/>
  <c r="I27" i="21"/>
  <c r="I28" i="21"/>
  <c r="R28" i="21"/>
  <c r="I29" i="21"/>
  <c r="I30" i="21"/>
  <c r="I31" i="21"/>
  <c r="I32" i="21"/>
  <c r="R32" i="21"/>
  <c r="I33" i="21"/>
  <c r="R33" i="21"/>
  <c r="I34" i="21"/>
  <c r="I35" i="21"/>
  <c r="I36" i="21"/>
  <c r="I37" i="21"/>
  <c r="I38" i="21"/>
  <c r="I39" i="21"/>
  <c r="R39" i="21"/>
  <c r="I40" i="21"/>
  <c r="I41" i="21"/>
  <c r="I42" i="21"/>
  <c r="D44" i="21"/>
  <c r="G44" i="21"/>
  <c r="H44" i="21"/>
  <c r="J44" i="21"/>
  <c r="K44" i="21"/>
  <c r="L44" i="21"/>
  <c r="M44" i="21"/>
  <c r="N44" i="21"/>
  <c r="O44" i="21"/>
  <c r="P44" i="21"/>
  <c r="Q44" i="21"/>
  <c r="H45" i="21"/>
  <c r="H46" i="21"/>
  <c r="L56" i="21" s="1"/>
  <c r="E47" i="21"/>
  <c r="H47" i="21"/>
  <c r="L47" i="21"/>
  <c r="M47" i="21"/>
  <c r="M48" i="21"/>
  <c r="L48" i="21" s="1"/>
  <c r="C49" i="21"/>
  <c r="E49" i="21"/>
  <c r="E50" i="21"/>
  <c r="M49" i="21" s="1"/>
  <c r="L49" i="21" s="1"/>
  <c r="M52" i="21"/>
  <c r="L55" i="21"/>
  <c r="L60" i="21" s="1"/>
  <c r="P48" i="21" s="1"/>
  <c r="M55" i="21"/>
  <c r="M56" i="21"/>
  <c r="M60" i="21"/>
  <c r="L63" i="21"/>
  <c r="L68" i="21" s="1"/>
  <c r="P49" i="21" s="1"/>
  <c r="M63" i="21"/>
  <c r="L64" i="21"/>
  <c r="M64" i="21"/>
  <c r="M68" i="21"/>
  <c r="I3" i="22"/>
  <c r="I43" i="22" s="1"/>
  <c r="I4" i="22"/>
  <c r="I5" i="22"/>
  <c r="R5" i="22"/>
  <c r="I6" i="22"/>
  <c r="I7" i="22"/>
  <c r="R7" i="22"/>
  <c r="I8" i="22"/>
  <c r="R8" i="22"/>
  <c r="I9" i="22"/>
  <c r="R9" i="22"/>
  <c r="I10" i="22"/>
  <c r="R10" i="22"/>
  <c r="I11" i="22"/>
  <c r="R11" i="22"/>
  <c r="I12" i="22"/>
  <c r="R12" i="22"/>
  <c r="I13" i="22"/>
  <c r="R13" i="22"/>
  <c r="I14" i="22"/>
  <c r="I15" i="22"/>
  <c r="I16" i="22"/>
  <c r="I17" i="22"/>
  <c r="I18" i="22"/>
  <c r="I19" i="22"/>
  <c r="I20" i="22"/>
  <c r="R20" i="22"/>
  <c r="I21" i="22"/>
  <c r="I22" i="22"/>
  <c r="I23" i="22"/>
  <c r="I24" i="22"/>
  <c r="I25" i="22"/>
  <c r="I26" i="22"/>
  <c r="R26" i="22"/>
  <c r="I27" i="22"/>
  <c r="I28" i="22"/>
  <c r="I29" i="22"/>
  <c r="R29" i="22"/>
  <c r="I30" i="22"/>
  <c r="I31" i="22"/>
  <c r="I32" i="22"/>
  <c r="I33" i="22"/>
  <c r="R33" i="22"/>
  <c r="I34" i="22"/>
  <c r="I35" i="22"/>
  <c r="R35" i="22"/>
  <c r="I36" i="22"/>
  <c r="I37" i="22"/>
  <c r="I38" i="22"/>
  <c r="I39" i="22"/>
  <c r="I40" i="22"/>
  <c r="I41" i="22"/>
  <c r="D43" i="22"/>
  <c r="G43" i="22"/>
  <c r="H43" i="22"/>
  <c r="J43" i="22"/>
  <c r="K43" i="22"/>
  <c r="L43" i="22"/>
  <c r="M43" i="22"/>
  <c r="N43" i="22"/>
  <c r="O43" i="22"/>
  <c r="P43" i="22"/>
  <c r="Q43" i="22"/>
  <c r="H44" i="22"/>
  <c r="H45" i="22"/>
  <c r="E46" i="22"/>
  <c r="H46" i="22"/>
  <c r="L46" i="22"/>
  <c r="M46" i="22"/>
  <c r="L47" i="22"/>
  <c r="L51" i="22" s="1"/>
  <c r="P46" i="22" s="1"/>
  <c r="M47" i="22"/>
  <c r="C48" i="22"/>
  <c r="E48" i="22"/>
  <c r="E49" i="22"/>
  <c r="M51" i="22"/>
  <c r="L54" i="22"/>
  <c r="L59" i="22" s="1"/>
  <c r="P47" i="22" s="1"/>
  <c r="M54" i="22"/>
  <c r="M59" i="22" s="1"/>
  <c r="M55" i="22"/>
  <c r="L55" i="22" s="1"/>
  <c r="L56" i="22"/>
  <c r="M56" i="22"/>
  <c r="L62" i="22"/>
  <c r="M62" i="22"/>
  <c r="M67" i="22" s="1"/>
  <c r="L63" i="22"/>
  <c r="M63" i="22"/>
  <c r="L67" i="22"/>
  <c r="P48" i="22" s="1"/>
  <c r="L70" i="22"/>
  <c r="M70" i="22"/>
  <c r="M75" i="22" s="1"/>
  <c r="L71" i="22"/>
  <c r="L75" i="22" s="1"/>
  <c r="P49" i="22" s="1"/>
  <c r="M71" i="22"/>
  <c r="I3" i="23"/>
  <c r="I4" i="23"/>
  <c r="I31" i="23" s="1"/>
  <c r="I5" i="23"/>
  <c r="I6" i="23"/>
  <c r="I7" i="23"/>
  <c r="I8" i="23"/>
  <c r="I9" i="23"/>
  <c r="R9" i="23"/>
  <c r="I10" i="23"/>
  <c r="I11" i="23"/>
  <c r="I12" i="23"/>
  <c r="R12" i="23"/>
  <c r="I13" i="23"/>
  <c r="I14" i="23"/>
  <c r="I15" i="23"/>
  <c r="R15" i="23"/>
  <c r="I16" i="23"/>
  <c r="I17" i="23"/>
  <c r="R17" i="23"/>
  <c r="I18" i="23"/>
  <c r="I19" i="23"/>
  <c r="R19" i="23"/>
  <c r="I20" i="23"/>
  <c r="R20" i="23"/>
  <c r="I21" i="23"/>
  <c r="R21" i="23"/>
  <c r="I22" i="23"/>
  <c r="I23" i="23"/>
  <c r="R23" i="23"/>
  <c r="I24" i="23"/>
  <c r="R24" i="23"/>
  <c r="I25" i="23"/>
  <c r="I26" i="23"/>
  <c r="I27" i="23"/>
  <c r="I28" i="23"/>
  <c r="R28" i="23"/>
  <c r="I29" i="23"/>
  <c r="R29" i="23"/>
  <c r="D31" i="23"/>
  <c r="G31" i="23"/>
  <c r="H31" i="23"/>
  <c r="J31" i="23"/>
  <c r="K31" i="23"/>
  <c r="L31" i="23"/>
  <c r="M31" i="23"/>
  <c r="N31" i="23"/>
  <c r="O31" i="23"/>
  <c r="P31" i="23"/>
  <c r="Q31" i="23"/>
  <c r="H32" i="23"/>
  <c r="L43" i="23" s="1"/>
  <c r="H33" i="23"/>
  <c r="C34" i="23"/>
  <c r="C37" i="23" s="1"/>
  <c r="C41" i="23" s="1"/>
  <c r="P38" i="23" s="1"/>
  <c r="E34" i="23"/>
  <c r="E37" i="23" s="1"/>
  <c r="M36" i="23" s="1"/>
  <c r="L36" i="23" s="1"/>
  <c r="L34" i="23"/>
  <c r="M34" i="23"/>
  <c r="M39" i="23" s="1"/>
  <c r="M35" i="23"/>
  <c r="L35" i="23" s="1"/>
  <c r="L39" i="23" s="1"/>
  <c r="P34" i="23" s="1"/>
  <c r="C36" i="23"/>
  <c r="E36" i="23"/>
  <c r="L42" i="23"/>
  <c r="L47" i="23" s="1"/>
  <c r="P35" i="23" s="1"/>
  <c r="M42" i="23"/>
  <c r="M47" i="23" s="1"/>
  <c r="M43" i="23"/>
  <c r="L50" i="23"/>
  <c r="M50" i="23"/>
  <c r="M55" i="23" s="1"/>
  <c r="M51" i="23"/>
  <c r="L51" i="23" s="1"/>
  <c r="L58" i="23"/>
  <c r="L63" i="23" s="1"/>
  <c r="P37" i="23" s="1"/>
  <c r="M58" i="23"/>
  <c r="M63" i="23" s="1"/>
  <c r="M59" i="23"/>
  <c r="L59" i="23" s="1"/>
  <c r="I3" i="24"/>
  <c r="I38" i="24" s="1"/>
  <c r="I4" i="24"/>
  <c r="R4" i="24"/>
  <c r="I5" i="24"/>
  <c r="I6" i="24"/>
  <c r="I7" i="24"/>
  <c r="I8" i="24"/>
  <c r="I9" i="24"/>
  <c r="I10" i="24"/>
  <c r="R10" i="24"/>
  <c r="I11" i="24"/>
  <c r="I12" i="24"/>
  <c r="I13" i="24"/>
  <c r="R13" i="24"/>
  <c r="I14" i="24"/>
  <c r="I15" i="24"/>
  <c r="I16" i="24"/>
  <c r="R16" i="24"/>
  <c r="I17" i="24"/>
  <c r="I18" i="24"/>
  <c r="R18" i="24"/>
  <c r="I19" i="24"/>
  <c r="I20" i="24"/>
  <c r="I21" i="24"/>
  <c r="I22" i="24"/>
  <c r="R22" i="24"/>
  <c r="I23" i="24"/>
  <c r="R23" i="24"/>
  <c r="I24" i="24"/>
  <c r="R24" i="24"/>
  <c r="I25" i="24"/>
  <c r="R25" i="24"/>
  <c r="I26" i="24"/>
  <c r="R26" i="24"/>
  <c r="I27" i="24"/>
  <c r="I28" i="24"/>
  <c r="R28" i="24"/>
  <c r="I29" i="24"/>
  <c r="R29" i="24"/>
  <c r="I30" i="24"/>
  <c r="R30" i="24"/>
  <c r="I31" i="24"/>
  <c r="I32" i="24"/>
  <c r="I33" i="24"/>
  <c r="I34" i="24"/>
  <c r="I35" i="24"/>
  <c r="I36" i="24"/>
  <c r="D38" i="24"/>
  <c r="G38" i="24"/>
  <c r="H38" i="24"/>
  <c r="J38" i="24"/>
  <c r="K38" i="24"/>
  <c r="L38" i="24"/>
  <c r="M38" i="24"/>
  <c r="N38" i="24"/>
  <c r="O38" i="24"/>
  <c r="P38" i="24"/>
  <c r="Q38" i="24"/>
  <c r="H39" i="24"/>
  <c r="H40" i="24"/>
  <c r="E41" i="24"/>
  <c r="E44" i="24" s="1"/>
  <c r="M43" i="24" s="1"/>
  <c r="L43" i="24" s="1"/>
  <c r="H41" i="24"/>
  <c r="L41" i="24"/>
  <c r="M41" i="24"/>
  <c r="L42" i="24"/>
  <c r="L46" i="24" s="1"/>
  <c r="P41" i="24" s="1"/>
  <c r="M42" i="24"/>
  <c r="E43" i="24"/>
  <c r="M46" i="24"/>
  <c r="L49" i="24"/>
  <c r="M49" i="24"/>
  <c r="M54" i="24" s="1"/>
  <c r="L50" i="24"/>
  <c r="M50" i="24"/>
  <c r="L57" i="24"/>
  <c r="M57" i="24"/>
  <c r="M62" i="24" s="1"/>
  <c r="M58" i="24"/>
  <c r="L58" i="24" s="1"/>
  <c r="L65" i="24"/>
  <c r="M65" i="24"/>
  <c r="M70" i="24" s="1"/>
  <c r="M66" i="24"/>
  <c r="L66" i="24" s="1"/>
  <c r="I3" i="25"/>
  <c r="I4" i="25"/>
  <c r="I5" i="25"/>
  <c r="R5" i="25"/>
  <c r="I6" i="25"/>
  <c r="I7" i="25"/>
  <c r="I8" i="25"/>
  <c r="I9" i="25"/>
  <c r="I10" i="25"/>
  <c r="I11" i="25"/>
  <c r="R11" i="25"/>
  <c r="I12" i="25"/>
  <c r="I13" i="25"/>
  <c r="I14" i="25"/>
  <c r="I15" i="25"/>
  <c r="R15" i="25"/>
  <c r="I16" i="25"/>
  <c r="R16" i="25"/>
  <c r="I17" i="25"/>
  <c r="I18" i="25"/>
  <c r="I19" i="25"/>
  <c r="I20" i="25"/>
  <c r="I21" i="25"/>
  <c r="I22" i="25"/>
  <c r="I23" i="25"/>
  <c r="R23" i="25"/>
  <c r="I24" i="25"/>
  <c r="I25" i="25"/>
  <c r="I26" i="25"/>
  <c r="R26" i="25"/>
  <c r="I27" i="25"/>
  <c r="I28" i="25"/>
  <c r="I29" i="25"/>
  <c r="I30" i="25"/>
  <c r="R30" i="25"/>
  <c r="I31" i="25"/>
  <c r="I32" i="25"/>
  <c r="R32" i="25"/>
  <c r="I33" i="25"/>
  <c r="R33" i="25"/>
  <c r="I34" i="25"/>
  <c r="R34" i="25"/>
  <c r="I35" i="25"/>
  <c r="R35" i="25"/>
  <c r="I36" i="25"/>
  <c r="I37" i="25"/>
  <c r="I38" i="25"/>
  <c r="I39" i="25"/>
  <c r="I40" i="25"/>
  <c r="R40" i="25"/>
  <c r="I41" i="25"/>
  <c r="I42" i="25"/>
  <c r="I43" i="25"/>
  <c r="C51" i="25" s="1"/>
  <c r="I44" i="25"/>
  <c r="D46" i="25"/>
  <c r="G46" i="25"/>
  <c r="H46" i="25"/>
  <c r="J46" i="25"/>
  <c r="K46" i="25"/>
  <c r="L46" i="25"/>
  <c r="M46" i="25"/>
  <c r="N46" i="25"/>
  <c r="O46" i="25"/>
  <c r="P46" i="25"/>
  <c r="Q46" i="25"/>
  <c r="H47" i="25"/>
  <c r="L50" i="25" s="1"/>
  <c r="L54" i="25" s="1"/>
  <c r="P49" i="25" s="1"/>
  <c r="H48" i="25"/>
  <c r="E49" i="25"/>
  <c r="H49" i="25"/>
  <c r="L49" i="25"/>
  <c r="M49" i="25"/>
  <c r="M50" i="25"/>
  <c r="E51" i="25"/>
  <c r="E52" i="25"/>
  <c r="M59" i="25" s="1"/>
  <c r="L59" i="25" s="1"/>
  <c r="M54" i="25"/>
  <c r="L57" i="25"/>
  <c r="M57" i="25"/>
  <c r="M62" i="25" s="1"/>
  <c r="M58" i="25"/>
  <c r="L58" i="25" s="1"/>
  <c r="L65" i="25"/>
  <c r="M65" i="25"/>
  <c r="M70" i="25" s="1"/>
  <c r="L66" i="25"/>
  <c r="M66" i="25"/>
  <c r="L70" i="25"/>
  <c r="P51" i="25" s="1"/>
  <c r="I3" i="26"/>
  <c r="I4" i="26"/>
  <c r="C36" i="26" s="1"/>
  <c r="C39" i="26" s="1"/>
  <c r="C43" i="26" s="1"/>
  <c r="P39" i="26" s="1"/>
  <c r="I5" i="26"/>
  <c r="I33" i="26" s="1"/>
  <c r="R5" i="26"/>
  <c r="I6" i="26"/>
  <c r="R6" i="26"/>
  <c r="I7" i="26"/>
  <c r="I8" i="26"/>
  <c r="R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R22" i="26"/>
  <c r="I23" i="26"/>
  <c r="I24" i="26"/>
  <c r="R24" i="26"/>
  <c r="I25" i="26"/>
  <c r="I26" i="26"/>
  <c r="I27" i="26"/>
  <c r="I28" i="26"/>
  <c r="I29" i="26"/>
  <c r="C38" i="26" s="1"/>
  <c r="I30" i="26"/>
  <c r="L56" i="26" s="1"/>
  <c r="I31" i="26"/>
  <c r="D33" i="26"/>
  <c r="G33" i="26"/>
  <c r="H33" i="26"/>
  <c r="J33" i="26"/>
  <c r="K33" i="26"/>
  <c r="L33" i="26"/>
  <c r="M33" i="26"/>
  <c r="N33" i="26"/>
  <c r="O33" i="26"/>
  <c r="P33" i="26"/>
  <c r="Q33" i="26"/>
  <c r="H34" i="26"/>
  <c r="L53" i="26" s="1"/>
  <c r="L57" i="26" s="1"/>
  <c r="P38" i="26" s="1"/>
  <c r="H35" i="26"/>
  <c r="E36" i="26"/>
  <c r="E39" i="26" s="1"/>
  <c r="M38" i="26" s="1"/>
  <c r="L38" i="26" s="1"/>
  <c r="H36" i="26"/>
  <c r="L36" i="26"/>
  <c r="M36" i="26"/>
  <c r="M37" i="26"/>
  <c r="L37" i="26" s="1"/>
  <c r="L41" i="26" s="1"/>
  <c r="P36" i="26" s="1"/>
  <c r="E38" i="26"/>
  <c r="M41" i="26"/>
  <c r="L44" i="26"/>
  <c r="M44" i="26"/>
  <c r="M49" i="26" s="1"/>
  <c r="L45" i="26"/>
  <c r="L49" i="26" s="1"/>
  <c r="P37" i="26" s="1"/>
  <c r="M45" i="26"/>
  <c r="L52" i="26"/>
  <c r="M52" i="26"/>
  <c r="M57" i="26" s="1"/>
  <c r="M53" i="26"/>
  <c r="I3" i="27"/>
  <c r="I4" i="27"/>
  <c r="I5" i="27"/>
  <c r="R5" i="27"/>
  <c r="I6" i="27"/>
  <c r="I7" i="27"/>
  <c r="I8" i="27"/>
  <c r="R8" i="27"/>
  <c r="I9" i="27"/>
  <c r="I10" i="27"/>
  <c r="I11" i="27"/>
  <c r="I12" i="27"/>
  <c r="R12" i="27"/>
  <c r="I13" i="27"/>
  <c r="R13" i="27"/>
  <c r="I14" i="27"/>
  <c r="I15" i="27"/>
  <c r="I16" i="27"/>
  <c r="I17" i="27"/>
  <c r="R17" i="27"/>
  <c r="I18" i="27"/>
  <c r="I19" i="27"/>
  <c r="I20" i="27"/>
  <c r="R20" i="27"/>
  <c r="I21" i="27"/>
  <c r="R21" i="27"/>
  <c r="I22" i="27"/>
  <c r="R22" i="27"/>
  <c r="I23" i="27"/>
  <c r="R23" i="27"/>
  <c r="I24" i="27"/>
  <c r="R24" i="27"/>
  <c r="I25" i="27"/>
  <c r="R25" i="27"/>
  <c r="I26" i="27"/>
  <c r="I27" i="27"/>
  <c r="R27" i="27"/>
  <c r="I28" i="27"/>
  <c r="R28" i="27"/>
  <c r="D30" i="27"/>
  <c r="G30" i="27"/>
  <c r="H30" i="27"/>
  <c r="J30" i="27"/>
  <c r="K30" i="27"/>
  <c r="L30" i="27"/>
  <c r="M30" i="27"/>
  <c r="N30" i="27"/>
  <c r="O30" i="27"/>
  <c r="P30" i="27"/>
  <c r="Q30" i="27"/>
  <c r="H31" i="27"/>
  <c r="H32" i="27"/>
  <c r="E33" i="27"/>
  <c r="H33" i="27"/>
  <c r="L33" i="27"/>
  <c r="M33" i="27"/>
  <c r="M34" i="27"/>
  <c r="L34" i="27" s="1"/>
  <c r="L38" i="27" s="1"/>
  <c r="P33" i="27" s="1"/>
  <c r="C35" i="27"/>
  <c r="E35" i="27"/>
  <c r="E36" i="27"/>
  <c r="M43" i="27" s="1"/>
  <c r="L43" i="27" s="1"/>
  <c r="M38" i="27"/>
  <c r="L41" i="27"/>
  <c r="L46" i="27" s="1"/>
  <c r="P34" i="27" s="1"/>
  <c r="M41" i="27"/>
  <c r="M46" i="27" s="1"/>
  <c r="M42" i="27"/>
  <c r="L42" i="27" s="1"/>
  <c r="L49" i="27"/>
  <c r="M49" i="27"/>
  <c r="M54" i="27" s="1"/>
  <c r="L50" i="27"/>
  <c r="M50" i="27"/>
  <c r="L54" i="27"/>
  <c r="P35" i="27" s="1"/>
  <c r="I3" i="28"/>
  <c r="I4" i="28"/>
  <c r="I5" i="28"/>
  <c r="I6" i="28"/>
  <c r="I7" i="28"/>
  <c r="I8" i="28"/>
  <c r="I9" i="28"/>
  <c r="I10" i="28"/>
  <c r="I11" i="28"/>
  <c r="C60" i="28" s="1"/>
  <c r="C63" i="28" s="1"/>
  <c r="C67" i="28" s="1"/>
  <c r="P63" i="28" s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D57" i="28"/>
  <c r="G57" i="28"/>
  <c r="H57" i="28"/>
  <c r="J57" i="28"/>
  <c r="K57" i="28"/>
  <c r="L57" i="28"/>
  <c r="M57" i="28"/>
  <c r="N57" i="28"/>
  <c r="O57" i="28"/>
  <c r="P57" i="28"/>
  <c r="Q57" i="28"/>
  <c r="H58" i="28"/>
  <c r="H59" i="28"/>
  <c r="L77" i="28" s="1"/>
  <c r="E60" i="28"/>
  <c r="H60" i="28"/>
  <c r="L60" i="28"/>
  <c r="L65" i="28" s="1"/>
  <c r="P60" i="28" s="1"/>
  <c r="M60" i="28"/>
  <c r="M61" i="28"/>
  <c r="L61" i="28" s="1"/>
  <c r="C62" i="28"/>
  <c r="E62" i="28"/>
  <c r="E63" i="28"/>
  <c r="M62" i="28" s="1"/>
  <c r="L62" i="28" s="1"/>
  <c r="M65" i="28"/>
  <c r="L68" i="28"/>
  <c r="M68" i="28"/>
  <c r="M69" i="28"/>
  <c r="L69" i="28" s="1"/>
  <c r="L73" i="28" s="1"/>
  <c r="P61" i="28" s="1"/>
  <c r="M73" i="28"/>
  <c r="L76" i="28"/>
  <c r="L81" i="28" s="1"/>
  <c r="P62" i="28" s="1"/>
  <c r="M76" i="28"/>
  <c r="M81" i="28" s="1"/>
  <c r="M77" i="28"/>
  <c r="I3" i="29"/>
  <c r="I32" i="29" s="1"/>
  <c r="I4" i="29"/>
  <c r="I5" i="29"/>
  <c r="I6" i="29"/>
  <c r="R6" i="29"/>
  <c r="I7" i="29"/>
  <c r="R7" i="29"/>
  <c r="I8" i="29"/>
  <c r="R8" i="29"/>
  <c r="I9" i="29"/>
  <c r="R9" i="29"/>
  <c r="I10" i="29"/>
  <c r="I11" i="29"/>
  <c r="I12" i="29"/>
  <c r="R12" i="29"/>
  <c r="I13" i="29"/>
  <c r="I14" i="29"/>
  <c r="R14" i="29"/>
  <c r="I15" i="29"/>
  <c r="C35" i="29" s="1"/>
  <c r="C38" i="29" s="1"/>
  <c r="C42" i="29" s="1"/>
  <c r="I16" i="29"/>
  <c r="I17" i="29"/>
  <c r="I18" i="29"/>
  <c r="I19" i="29"/>
  <c r="I20" i="29"/>
  <c r="R20" i="29"/>
  <c r="I21" i="29"/>
  <c r="R21" i="29"/>
  <c r="I22" i="29"/>
  <c r="I23" i="29"/>
  <c r="I24" i="29"/>
  <c r="R24" i="29"/>
  <c r="I25" i="29"/>
  <c r="I26" i="29"/>
  <c r="I27" i="29"/>
  <c r="I28" i="29"/>
  <c r="I29" i="29"/>
  <c r="R29" i="29"/>
  <c r="I30" i="29"/>
  <c r="D32" i="29"/>
  <c r="G32" i="29"/>
  <c r="H32" i="29"/>
  <c r="J32" i="29"/>
  <c r="K32" i="29"/>
  <c r="L32" i="29"/>
  <c r="M32" i="29"/>
  <c r="N32" i="29"/>
  <c r="O32" i="29"/>
  <c r="P32" i="29"/>
  <c r="Q32" i="29"/>
  <c r="H33" i="29"/>
  <c r="L44" i="29" s="1"/>
  <c r="L48" i="29" s="1"/>
  <c r="P36" i="29" s="1"/>
  <c r="H34" i="29"/>
  <c r="E35" i="29"/>
  <c r="L35" i="29"/>
  <c r="M35" i="29"/>
  <c r="M40" i="29" s="1"/>
  <c r="M36" i="29"/>
  <c r="L36" i="29" s="1"/>
  <c r="C37" i="29"/>
  <c r="E37" i="29"/>
  <c r="E38" i="29"/>
  <c r="P39" i="29"/>
  <c r="L43" i="29"/>
  <c r="M43" i="29"/>
  <c r="M44" i="29"/>
  <c r="M48" i="29"/>
  <c r="L51" i="29"/>
  <c r="M51" i="29"/>
  <c r="M56" i="29" s="1"/>
  <c r="L52" i="29"/>
  <c r="L56" i="29" s="1"/>
  <c r="P37" i="29" s="1"/>
  <c r="M52" i="29"/>
  <c r="L59" i="29"/>
  <c r="M59" i="29"/>
  <c r="M60" i="29"/>
  <c r="L60" i="29" s="1"/>
  <c r="M61" i="29"/>
  <c r="L61" i="29" s="1"/>
  <c r="M64" i="29"/>
  <c r="I3" i="30"/>
  <c r="I4" i="30"/>
  <c r="R4" i="30"/>
  <c r="I5" i="30"/>
  <c r="I28" i="30" s="1"/>
  <c r="R5" i="30"/>
  <c r="I6" i="30"/>
  <c r="R6" i="30"/>
  <c r="I7" i="30"/>
  <c r="I8" i="30"/>
  <c r="I9" i="30"/>
  <c r="R9" i="30"/>
  <c r="I10" i="30"/>
  <c r="I11" i="30"/>
  <c r="I12" i="30"/>
  <c r="I13" i="30"/>
  <c r="I14" i="30"/>
  <c r="I15" i="30"/>
  <c r="I16" i="30"/>
  <c r="R16" i="30"/>
  <c r="I17" i="30"/>
  <c r="I18" i="30"/>
  <c r="R18" i="30"/>
  <c r="I19" i="30"/>
  <c r="I20" i="30"/>
  <c r="I21" i="30"/>
  <c r="I22" i="30"/>
  <c r="I23" i="30"/>
  <c r="I24" i="30"/>
  <c r="R24" i="30"/>
  <c r="I25" i="30"/>
  <c r="R25" i="30"/>
  <c r="I26" i="30"/>
  <c r="R26" i="30"/>
  <c r="D28" i="30"/>
  <c r="G28" i="30"/>
  <c r="H28" i="30"/>
  <c r="J28" i="30"/>
  <c r="K28" i="30"/>
  <c r="L28" i="30"/>
  <c r="M28" i="30"/>
  <c r="N28" i="30"/>
  <c r="O28" i="30"/>
  <c r="P28" i="30"/>
  <c r="Q28" i="30"/>
  <c r="H29" i="30"/>
  <c r="L48" i="30" s="1"/>
  <c r="H30" i="30"/>
  <c r="C31" i="30"/>
  <c r="C34" i="30" s="1"/>
  <c r="C38" i="30" s="1"/>
  <c r="P34" i="30" s="1"/>
  <c r="E31" i="30"/>
  <c r="E34" i="30" s="1"/>
  <c r="H31" i="30"/>
  <c r="L31" i="30"/>
  <c r="M31" i="30"/>
  <c r="M36" i="30" s="1"/>
  <c r="L32" i="30"/>
  <c r="M32" i="30"/>
  <c r="C33" i="30"/>
  <c r="E33" i="30"/>
  <c r="M33" i="30"/>
  <c r="L33" i="30" s="1"/>
  <c r="L36" i="30" s="1"/>
  <c r="P31" i="30" s="1"/>
  <c r="L39" i="30"/>
  <c r="M39" i="30"/>
  <c r="M44" i="30" s="1"/>
  <c r="M40" i="30"/>
  <c r="L40" i="30" s="1"/>
  <c r="L47" i="30"/>
  <c r="M47" i="30"/>
  <c r="M52" i="30" s="1"/>
  <c r="M48" i="30"/>
  <c r="I3" i="31"/>
  <c r="I4" i="31"/>
  <c r="I5" i="31"/>
  <c r="R5" i="31"/>
  <c r="I6" i="31"/>
  <c r="I7" i="31"/>
  <c r="I8" i="31"/>
  <c r="I9" i="31"/>
  <c r="I10" i="31"/>
  <c r="R10" i="31"/>
  <c r="I11" i="31"/>
  <c r="R11" i="31"/>
  <c r="I12" i="31"/>
  <c r="R12" i="31"/>
  <c r="I13" i="31"/>
  <c r="I14" i="31"/>
  <c r="R14" i="31"/>
  <c r="I15" i="31"/>
  <c r="I16" i="31"/>
  <c r="R16" i="31"/>
  <c r="I17" i="31"/>
  <c r="I18" i="31"/>
  <c r="I19" i="31"/>
  <c r="R19" i="31"/>
  <c r="I20" i="31"/>
  <c r="I21" i="31"/>
  <c r="R21" i="31"/>
  <c r="I22" i="31"/>
  <c r="I23" i="31"/>
  <c r="R23" i="31"/>
  <c r="I24" i="31"/>
  <c r="R24" i="31"/>
  <c r="I25" i="31"/>
  <c r="R25" i="31"/>
  <c r="I26" i="31"/>
  <c r="I27" i="31"/>
  <c r="I28" i="31"/>
  <c r="I29" i="31"/>
  <c r="C36" i="31" s="1"/>
  <c r="N30" i="31"/>
  <c r="D31" i="31"/>
  <c r="G31" i="31"/>
  <c r="H31" i="31"/>
  <c r="J31" i="31"/>
  <c r="K31" i="31"/>
  <c r="L31" i="31"/>
  <c r="M31" i="31"/>
  <c r="O31" i="31"/>
  <c r="P31" i="31"/>
  <c r="Q31" i="31"/>
  <c r="H32" i="31"/>
  <c r="L35" i="31" s="1"/>
  <c r="L39" i="31" s="1"/>
  <c r="P34" i="31" s="1"/>
  <c r="C34" i="31"/>
  <c r="C37" i="31" s="1"/>
  <c r="C41" i="31" s="1"/>
  <c r="P37" i="31" s="1"/>
  <c r="E34" i="31"/>
  <c r="L34" i="31"/>
  <c r="M34" i="31"/>
  <c r="M35" i="31"/>
  <c r="E36" i="31"/>
  <c r="E37" i="31"/>
  <c r="M52" i="31" s="1"/>
  <c r="L52" i="31" s="1"/>
  <c r="M39" i="31"/>
  <c r="L42" i="31"/>
  <c r="M42" i="31"/>
  <c r="M43" i="31"/>
  <c r="L43" i="31" s="1"/>
  <c r="L47" i="31" s="1"/>
  <c r="P35" i="31" s="1"/>
  <c r="M47" i="31"/>
  <c r="L50" i="31"/>
  <c r="M50" i="31"/>
  <c r="M55" i="31" s="1"/>
  <c r="M51" i="31"/>
  <c r="L51" i="31" s="1"/>
  <c r="I3" i="32"/>
  <c r="I4" i="32"/>
  <c r="I5" i="32"/>
  <c r="I6" i="32"/>
  <c r="I7" i="32"/>
  <c r="I8" i="32"/>
  <c r="I9" i="32"/>
  <c r="R9" i="32"/>
  <c r="I10" i="32"/>
  <c r="R10" i="32"/>
  <c r="I11" i="32"/>
  <c r="R11" i="32"/>
  <c r="I12" i="32"/>
  <c r="I13" i="32"/>
  <c r="I14" i="32"/>
  <c r="I15" i="32"/>
  <c r="I16" i="32"/>
  <c r="I17" i="32"/>
  <c r="I18" i="32"/>
  <c r="I19" i="32"/>
  <c r="R19" i="32"/>
  <c r="I20" i="32"/>
  <c r="I21" i="32"/>
  <c r="I22" i="32"/>
  <c r="I23" i="32"/>
  <c r="R23" i="32"/>
  <c r="I24" i="32"/>
  <c r="D26" i="32"/>
  <c r="G26" i="32"/>
  <c r="H26" i="32"/>
  <c r="J26" i="32"/>
  <c r="K26" i="32"/>
  <c r="L26" i="32"/>
  <c r="M26" i="32"/>
  <c r="N26" i="32"/>
  <c r="O26" i="32"/>
  <c r="P26" i="32"/>
  <c r="Q26" i="32"/>
  <c r="H27" i="32"/>
  <c r="H28" i="32"/>
  <c r="E29" i="32"/>
  <c r="H29" i="32"/>
  <c r="L29" i="32"/>
  <c r="M29" i="32"/>
  <c r="M34" i="32" s="1"/>
  <c r="M30" i="32"/>
  <c r="C31" i="32"/>
  <c r="E31" i="32"/>
  <c r="E32" i="32"/>
  <c r="M39" i="32" s="1"/>
  <c r="L39" i="32" s="1"/>
  <c r="L37" i="32"/>
  <c r="M37" i="32"/>
  <c r="M42" i="32" s="1"/>
  <c r="M38" i="32"/>
  <c r="L38" i="32" s="1"/>
  <c r="L45" i="32"/>
  <c r="M45" i="32"/>
  <c r="M50" i="32" s="1"/>
  <c r="M46" i="32"/>
  <c r="L46" i="32" s="1"/>
  <c r="D3" i="19" a="1"/>
  <c r="I10" i="33"/>
  <c r="I22" i="33"/>
  <c r="I11" i="33"/>
  <c r="I23" i="33"/>
  <c r="I12" i="33"/>
  <c r="I24" i="33"/>
  <c r="I13" i="33"/>
  <c r="I25" i="33"/>
  <c r="I26" i="33"/>
  <c r="I14" i="33"/>
  <c r="I27" i="33"/>
  <c r="I3" i="33"/>
  <c r="I15" i="33"/>
  <c r="I28" i="33"/>
  <c r="I4" i="33"/>
  <c r="I16" i="33"/>
  <c r="I5" i="33"/>
  <c r="I17" i="33"/>
  <c r="I31" i="33"/>
  <c r="I6" i="33"/>
  <c r="I18" i="33"/>
  <c r="I7" i="33"/>
  <c r="I29" i="33"/>
  <c r="I19" i="33"/>
  <c r="I20" i="33"/>
  <c r="I21" i="33"/>
  <c r="I30" i="33"/>
  <c r="I8" i="33"/>
  <c r="I9" i="33"/>
  <c r="D33" i="33"/>
  <c r="G33" i="33"/>
  <c r="H33" i="33"/>
  <c r="J33" i="33"/>
  <c r="K33" i="33"/>
  <c r="L33" i="33"/>
  <c r="M33" i="33"/>
  <c r="N33" i="33"/>
  <c r="O33" i="33"/>
  <c r="P33" i="33"/>
  <c r="Q33" i="33"/>
  <c r="H34" i="33"/>
  <c r="L53" i="33" s="1"/>
  <c r="H35" i="33"/>
  <c r="E36" i="33"/>
  <c r="E39" i="33" s="1"/>
  <c r="M38" i="33" s="1"/>
  <c r="L38" i="33" s="1"/>
  <c r="L36" i="33"/>
  <c r="M36" i="33"/>
  <c r="M41" i="33" s="1"/>
  <c r="M37" i="33"/>
  <c r="L37" i="33" s="1"/>
  <c r="C38" i="33"/>
  <c r="E38" i="33"/>
  <c r="L44" i="33"/>
  <c r="M44" i="33"/>
  <c r="M49" i="33" s="1"/>
  <c r="M45" i="33"/>
  <c r="L45" i="33" s="1"/>
  <c r="L49" i="33" s="1"/>
  <c r="P37" i="33" s="1"/>
  <c r="L52" i="33"/>
  <c r="M52" i="33"/>
  <c r="M57" i="33" s="1"/>
  <c r="M53" i="33"/>
  <c r="C21" i="19"/>
  <c r="C4" i="19"/>
  <c r="D10" i="19" a="1"/>
  <c r="C22" i="19"/>
  <c r="D23" i="19" a="1"/>
  <c r="B5" i="19"/>
  <c r="C17" i="19"/>
  <c r="C24" i="19"/>
  <c r="C23" i="19"/>
  <c r="B17" i="19"/>
  <c r="C9" i="19"/>
  <c r="C15" i="19"/>
  <c r="B15" i="19"/>
  <c r="C25" i="19"/>
  <c r="D15" i="19" a="1"/>
  <c r="D21" i="19" a="1"/>
  <c r="D7" i="19" a="1"/>
  <c r="C3" i="19"/>
  <c r="B23" i="19"/>
  <c r="C6" i="19"/>
  <c r="B25" i="19"/>
  <c r="C12" i="19"/>
  <c r="D27" i="19" a="1"/>
  <c r="D14" i="19" a="1"/>
  <c r="C27" i="19"/>
  <c r="B10" i="19"/>
  <c r="D24" i="19" a="1"/>
  <c r="B9" i="19"/>
  <c r="D12" i="19" a="1"/>
  <c r="C13" i="19"/>
  <c r="C14" i="19"/>
  <c r="B18" i="19"/>
  <c r="D20" i="19" a="1"/>
  <c r="D9" i="19" a="1"/>
  <c r="D19" i="19" a="1"/>
  <c r="C8" i="19"/>
  <c r="D4" i="19" a="1"/>
  <c r="C20" i="19"/>
  <c r="B8" i="19"/>
  <c r="B20" i="19"/>
  <c r="B16" i="19"/>
  <c r="D5" i="19" a="1"/>
  <c r="D22" i="19" a="1"/>
  <c r="B6" i="19"/>
  <c r="B22" i="19"/>
  <c r="C11" i="19"/>
  <c r="B24" i="19"/>
  <c r="D18" i="19" a="1"/>
  <c r="B7" i="19"/>
  <c r="B11" i="19"/>
  <c r="D16" i="19" a="1"/>
  <c r="B19" i="19"/>
  <c r="C16" i="19"/>
  <c r="C7" i="19"/>
  <c r="D25" i="19" a="1"/>
  <c r="D8" i="19" a="1"/>
  <c r="D13" i="19" a="1"/>
  <c r="D3" i="19"/>
  <c r="D26" i="19" a="1"/>
  <c r="B21" i="19"/>
  <c r="C5" i="19"/>
  <c r="C26" i="19"/>
  <c r="B14" i="19"/>
  <c r="B13" i="19"/>
  <c r="D11" i="19" a="1"/>
  <c r="C10" i="19"/>
  <c r="C19" i="19"/>
  <c r="B12" i="19"/>
  <c r="B4" i="19"/>
  <c r="D6" i="19" a="1"/>
  <c r="C18" i="19"/>
  <c r="D17" i="19" a="1"/>
  <c r="I26" i="32" l="1"/>
  <c r="L50" i="32"/>
  <c r="P31" i="32" s="1"/>
  <c r="C29" i="32"/>
  <c r="C32" i="32" s="1"/>
  <c r="C36" i="32" s="1"/>
  <c r="P32" i="32" s="1"/>
  <c r="L57" i="33"/>
  <c r="P38" i="33" s="1"/>
  <c r="I33" i="33"/>
  <c r="D24" i="19"/>
  <c r="E24" i="19" s="1"/>
  <c r="D9" i="19"/>
  <c r="E9" i="19" s="1"/>
  <c r="D15" i="19"/>
  <c r="E15" i="19" s="1"/>
  <c r="D6" i="19"/>
  <c r="E6" i="19" s="1"/>
  <c r="D12" i="19"/>
  <c r="E12" i="19" s="1"/>
  <c r="D17" i="19"/>
  <c r="E17" i="19" s="1"/>
  <c r="D14" i="19"/>
  <c r="E14" i="19" s="1"/>
  <c r="D11" i="19"/>
  <c r="E11" i="19" s="1"/>
  <c r="D8" i="19"/>
  <c r="E8" i="19" s="1"/>
  <c r="D5" i="19"/>
  <c r="E5" i="19" s="1"/>
  <c r="D27" i="19"/>
  <c r="D26" i="19"/>
  <c r="D18" i="19"/>
  <c r="E18" i="19" s="1"/>
  <c r="D23" i="19"/>
  <c r="E23" i="19" s="1"/>
  <c r="D21" i="19"/>
  <c r="E21" i="19" s="1"/>
  <c r="D20" i="19"/>
  <c r="E20" i="19" s="1"/>
  <c r="D22" i="19"/>
  <c r="E22" i="19" s="1"/>
  <c r="D19" i="19"/>
  <c r="E19" i="19" s="1"/>
  <c r="D16" i="19"/>
  <c r="E16" i="19" s="1"/>
  <c r="D13" i="19"/>
  <c r="E13" i="19" s="1"/>
  <c r="D10" i="19"/>
  <c r="E10" i="19" s="1"/>
  <c r="D7" i="19"/>
  <c r="E7" i="19" s="1"/>
  <c r="D4" i="19"/>
  <c r="E4" i="19" s="1"/>
  <c r="D25" i="19"/>
  <c r="E25" i="19" s="1"/>
  <c r="I57" i="28"/>
  <c r="L49" i="17"/>
  <c r="P44" i="17" s="1"/>
  <c r="L52" i="30"/>
  <c r="P33" i="30" s="1"/>
  <c r="L62" i="24"/>
  <c r="P43" i="24" s="1"/>
  <c r="L73" i="17"/>
  <c r="P47" i="17" s="1"/>
  <c r="P43" i="10"/>
  <c r="L64" i="29"/>
  <c r="P38" i="29" s="1"/>
  <c r="L44" i="30"/>
  <c r="P32" i="30" s="1"/>
  <c r="L62" i="25"/>
  <c r="P50" i="25" s="1"/>
  <c r="L65" i="12"/>
  <c r="P46" i="12" s="1"/>
  <c r="P36" i="8"/>
  <c r="L54" i="24"/>
  <c r="P42" i="24" s="1"/>
  <c r="P44" i="16"/>
  <c r="L30" i="32"/>
  <c r="L34" i="32" s="1"/>
  <c r="C36" i="33"/>
  <c r="C39" i="33" s="1"/>
  <c r="C43" i="33" s="1"/>
  <c r="P39" i="33" s="1"/>
  <c r="L38" i="15"/>
  <c r="P33" i="15" s="1"/>
  <c r="P38" i="15" s="1"/>
  <c r="P46" i="11"/>
  <c r="L90" i="7"/>
  <c r="L41" i="33"/>
  <c r="L42" i="32"/>
  <c r="P30" i="32" s="1"/>
  <c r="P35" i="30"/>
  <c r="C33" i="27"/>
  <c r="C36" i="27" s="1"/>
  <c r="C40" i="27" s="1"/>
  <c r="P36" i="27" s="1"/>
  <c r="P37" i="27" s="1"/>
  <c r="I30" i="27"/>
  <c r="C49" i="25"/>
  <c r="C52" i="25" s="1"/>
  <c r="C56" i="25" s="1"/>
  <c r="P52" i="25" s="1"/>
  <c r="P53" i="25" s="1"/>
  <c r="L52" i="21"/>
  <c r="P47" i="21" s="1"/>
  <c r="P51" i="21" s="1"/>
  <c r="L52" i="20"/>
  <c r="P40" i="20" s="1"/>
  <c r="P43" i="20" s="1"/>
  <c r="L57" i="12"/>
  <c r="P45" i="12" s="1"/>
  <c r="P48" i="12" s="1"/>
  <c r="L65" i="9"/>
  <c r="P60" i="9" s="1"/>
  <c r="P64" i="9" s="1"/>
  <c r="L52" i="24"/>
  <c r="C43" i="24"/>
  <c r="C41" i="24"/>
  <c r="C44" i="24" s="1"/>
  <c r="C48" i="24" s="1"/>
  <c r="P45" i="24" s="1"/>
  <c r="L57" i="17"/>
  <c r="P45" i="17" s="1"/>
  <c r="L81" i="9"/>
  <c r="P62" i="9" s="1"/>
  <c r="P40" i="26"/>
  <c r="L40" i="29"/>
  <c r="P35" i="29" s="1"/>
  <c r="L55" i="23"/>
  <c r="P36" i="23" s="1"/>
  <c r="P39" i="23" s="1"/>
  <c r="L88" i="14"/>
  <c r="P69" i="14" s="1"/>
  <c r="P71" i="14" s="1"/>
  <c r="P42" i="13"/>
  <c r="P64" i="28"/>
  <c r="L55" i="31"/>
  <c r="P36" i="31" s="1"/>
  <c r="P38" i="31"/>
  <c r="I31" i="31"/>
  <c r="L70" i="24"/>
  <c r="P44" i="24" s="1"/>
  <c r="P46" i="24" s="1"/>
  <c r="C46" i="22"/>
  <c r="C49" i="22" s="1"/>
  <c r="C53" i="22" s="1"/>
  <c r="P50" i="22" s="1"/>
  <c r="P51" i="22" s="1"/>
  <c r="I36" i="10"/>
  <c r="I30" i="15"/>
  <c r="I41" i="12"/>
  <c r="I28" i="8"/>
  <c r="I57" i="9"/>
  <c r="I46" i="25"/>
  <c r="B26" i="19"/>
  <c r="B27" i="19"/>
  <c r="B3" i="19"/>
  <c r="P29" i="32" l="1"/>
  <c r="P33" i="32" s="1"/>
  <c r="E26" i="19"/>
  <c r="E27" i="19"/>
  <c r="P36" i="33"/>
  <c r="E3" i="19"/>
  <c r="P40" i="29"/>
  <c r="P40" i="33"/>
  <c r="P49" i="17"/>
  <c r="P64" i="7"/>
  <c r="P66" i="7" s="1"/>
  <c r="E29" i="19" a="1"/>
  <c r="E29" i="19" l="1"/>
  <c r="E28" i="19"/>
  <c r="E30" i="19" s="1"/>
  <c r="E31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<sst xmlns="http://schemas.openxmlformats.org/spreadsheetml/2006/main" count="8330" uniqueCount="2353">
  <si>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</si>
  <si>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</si>
  <si>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</si>
  <si>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</si>
  <si>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</si>
  <si>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</si>
  <si>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</si>
  <si>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</si>
  <si>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</si>
  <si>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</si>
  <si>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</si>
  <si>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</si>
  <si>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</si>
  <si>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</si>
  <si>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</si>
  <si>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</si>
  <si>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</si>
  <si>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</si>
  <si>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</si>
  <si>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</si>
  <si>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</si>
  <si>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</si>
  <si>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</si>
  <si>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</si>
  <si>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</si>
  <si>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</si>
  <si>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</si>
  <si>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</si>
  <si>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</si>
  <si>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</si>
  <si>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</si>
  <si>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</si>
  <si>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</si>
  <si>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</si>
  <si>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</si>
  <si>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</si>
  <si>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</si>
  <si>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</si>
  <si>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</si>
  <si>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</si>
  <si>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</si>
  <si>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</si>
  <si>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</si>
  <si>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</si>
  <si>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</si>
  <si>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</si>
  <si>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</si>
  <si>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</si>
  <si>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</si>
  <si>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</si>
  <si>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</si>
  <si>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</si>
  <si>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</si>
  <si>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</si>
  <si>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</si>
  <si>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</si>
  <si>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</si>
  <si>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</si>
  <si>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</si>
  <si>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</si>
  <si>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</si>
  <si>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</si>
  <si>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</si>
  <si>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</si>
  <si>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</si>
  <si>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</si>
  <si>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</si>
  <si>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</si>
  <si>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</si>
  <si>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</si>
  <si>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</si>
  <si>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</si>
  <si>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</si>
  <si>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</si>
  <si>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</si>
  <si>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</si>
  <si>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</si>
  <si>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</si>
  <si>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</si>
  <si>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</si>
  <si>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</si>
  <si>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</si>
  <si>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</si>
  <si>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</si>
  <si>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</si>
  <si>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</si>
  <si>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</si>
  <si>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</si>
  <si>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</si>
  <si>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</si>
  <si>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</si>
  <si>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</si>
  <si>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</si>
  <si>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</si>
  <si>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</si>
  <si>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</si>
  <si>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</si>
  <si>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</si>
  <si>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</si>
  <si>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</si>
  <si>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</si>
  <si>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</si>
  <si>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</si>
  <si>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</si>
  <si>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</si>
  <si>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</si>
  <si>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</si>
  <si>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</si>
  <si>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</si>
  <si>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</si>
  <si>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</si>
  <si>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</si>
  <si>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</si>
  <si>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</si>
  <si>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</si>
  <si>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</si>
  <si>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</si>
  <si>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</si>
  <si>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</si>
  <si>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</si>
  <si>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</si>
  <si>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</si>
  <si>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</si>
  <si>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</si>
  <si>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</si>
  <si>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</si>
  <si>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</si>
  <si>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</si>
  <si>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</si>
  <si>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</si>
  <si>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</si>
  <si>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</si>
  <si>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</si>
  <si>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</si>
  <si>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</si>
  <si>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</si>
  <si>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</si>
  <si>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</si>
  <si>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</si>
  <si>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</si>
  <si>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</si>
  <si>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</si>
  <si>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</si>
  <si>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</si>
  <si>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</si>
  <si>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</si>
  <si>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</si>
  <si>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</si>
  <si>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</si>
  <si>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</si>
  <si>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</si>
  <si>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</si>
  <si>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</si>
  <si>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</si>
  <si>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</si>
  <si>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</si>
  <si>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</si>
  <si>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</si>
  <si>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</si>
  <si>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</si>
  <si>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</si>
  <si>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</si>
  <si>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</si>
  <si>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</si>
  <si>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</si>
  <si>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</si>
  <si>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</si>
  <si>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</si>
  <si>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</si>
  <si>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</si>
  <si>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</si>
  <si>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</si>
  <si>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</si>
  <si>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</si>
  <si>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</si>
  <si>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</si>
  <si>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</si>
  <si>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</si>
  <si>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</si>
  <si>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</si>
  <si>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</si>
  <si>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</si>
  <si>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</si>
  <si>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</si>
  <si>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</si>
  <si>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</si>
  <si>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</si>
  <si>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</si>
  <si>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</si>
  <si>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</si>
  <si>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</si>
  <si>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</si>
  <si>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</si>
  <si>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</si>
  <si>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</si>
  <si>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</si>
  <si>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</si>
  <si>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</si>
  <si>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</si>
  <si>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</si>
  <si>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</si>
  <si>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</si>
  <si>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</si>
  <si>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</si>
  <si>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</si>
  <si>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</si>
  <si>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</si>
  <si>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</si>
  <si>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</si>
  <si>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</si>
  <si>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</si>
  <si>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</si>
  <si>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</si>
  <si>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</si>
  <si>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</si>
  <si>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</si>
  <si>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</si>
  <si>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</si>
  <si>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</si>
  <si>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</si>
  <si>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</si>
  <si>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</si>
  <si>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</si>
  <si>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</si>
  <si>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</si>
  <si>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</si>
  <si>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</si>
  <si>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</si>
  <si>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</si>
  <si>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</si>
  <si>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</si>
  <si>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</si>
  <si>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</si>
  <si>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</si>
  <si>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</si>
  <si>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</si>
  <si>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</si>
  <si>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</si>
  <si>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</si>
  <si>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</si>
  <si>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</si>
  <si>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</si>
  <si>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</si>
  <si>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</si>
  <si>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</si>
  <si>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</si>
  <si>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</si>
  <si>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</si>
  <si>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</si>
  <si>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</si>
  <si>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</si>
  <si>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</si>
  <si>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</si>
  <si>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</si>
  <si>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</si>
  <si>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</si>
  <si>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</si>
  <si>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</si>
  <si>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</si>
  <si>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</si>
  <si>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</si>
  <si>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</si>
  <si>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</si>
  <si>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</si>
  <si>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</si>
  <si>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</si>
  <si>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</si>
  <si>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</si>
  <si>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</si>
  <si>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</si>
  <si>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</si>
  <si>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</si>
  <si>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</si>
  <si>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</si>
  <si>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</si>
  <si>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</si>
  <si>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</si>
  <si>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</si>
  <si>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</si>
  <si>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</si>
  <si>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</si>
  <si>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</si>
  <si>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</si>
  <si>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</si>
  <si>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</si>
  <si>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</si>
  <si>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</si>
  <si>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</si>
  <si>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</si>
  <si>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</si>
  <si>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</si>
  <si>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</si>
  <si>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</si>
  <si>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</si>
  <si>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</si>
  <si>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</si>
  <si>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</si>
  <si>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</si>
  <si>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</si>
  <si>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</si>
  <si>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</si>
  <si>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</si>
  <si>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</si>
  <si>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</si>
  <si>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</si>
  <si>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</si>
  <si>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</si>
  <si>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</si>
  <si>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</si>
  <si>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</si>
  <si>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</si>
  <si>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</si>
  <si>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</si>
  <si>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</si>
  <si>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</si>
  <si>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</si>
  <si>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</si>
  <si>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</si>
  <si>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</si>
  <si>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</si>
  <si>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</si>
  <si>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</si>
  <si>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</si>
  <si>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</si>
  <si>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</si>
  <si>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</si>
  <si>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</si>
  <si>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</si>
  <si>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</si>
  <si>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</si>
  <si>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</si>
  <si>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</si>
  <si>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</si>
  <si>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</si>
  <si>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</si>
  <si>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</si>
  <si>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</si>
  <si>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</si>
  <si>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</si>
  <si>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</si>
  <si>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</si>
  <si>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</si>
  <si>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</si>
  <si>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</si>
  <si>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</si>
  <si>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</si>
  <si>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</si>
  <si>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</si>
  <si>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</si>
  <si>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</si>
  <si>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</si>
  <si>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</si>
  <si>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</si>
  <si>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</si>
  <si>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</si>
  <si>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</si>
  <si>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</si>
  <si>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</si>
  <si>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</si>
  <si>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</si>
  <si>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</si>
  <si>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</si>
  <si>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</si>
  <si>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</si>
  <si>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</si>
  <si>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</si>
  <si>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</si>
  <si>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</si>
  <si>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</si>
  <si>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</si>
  <si>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</si>
  <si>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</si>
  <si>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</si>
  <si>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</si>
  <si>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</si>
  <si>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</si>
  <si>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</si>
  <si>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</si>
  <si>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</si>
  <si>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</si>
  <si>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</si>
  <si>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</si>
  <si>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</si>
  <si>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</si>
  <si>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</si>
  <si>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</si>
  <si>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</si>
  <si>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</si>
  <si>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</si>
  <si>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</si>
  <si>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</si>
  <si>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</si>
  <si>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</si>
  <si>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</si>
  <si>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</si>
  <si>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</si>
  <si>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</si>
  <si>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</si>
  <si>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</si>
  <si>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</si>
  <si>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</si>
  <si>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</si>
  <si>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</si>
  <si>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</si>
  <si>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</si>
  <si>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</si>
  <si>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</si>
  <si>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</si>
  <si>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</si>
  <si>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</si>
  <si>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</si>
  <si>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</si>
  <si>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</si>
  <si>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</si>
  <si>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</si>
  <si>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</si>
  <si>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</si>
  <si>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</si>
  <si>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</si>
  <si>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</si>
  <si>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</si>
  <si>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</si>
  <si>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</si>
  <si>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</si>
  <si>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</si>
  <si>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</si>
  <si>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</si>
  <si>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</si>
  <si>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</si>
  <si>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</si>
  <si>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</si>
  <si>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</si>
  <si>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</si>
  <si>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</si>
  <si>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</si>
  <si>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</si>
  <si>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</si>
  <si>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</si>
  <si>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</si>
  <si>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</si>
  <si>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</si>
  <si>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</si>
  <si>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</si>
  <si>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</si>
  <si>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</si>
  <si>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</si>
  <si>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</si>
  <si>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</si>
  <si>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</si>
  <si>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</si>
  <si>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</si>
  <si>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</si>
  <si>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</si>
  <si>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</si>
  <si>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</si>
  <si>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</si>
  <si>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</si>
  <si>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</si>
  <si>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</si>
  <si>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</si>
  <si>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</si>
  <si>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</si>
  <si>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</si>
  <si>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</si>
  <si>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</si>
  <si>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</si>
  <si>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</si>
  <si>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</si>
  <si>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</si>
  <si>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</si>
  <si>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</si>
  <si>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</si>
  <si>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</si>
  <si>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</si>
  <si>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</si>
  <si>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</si>
  <si>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</si>
  <si>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</si>
  <si>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</si>
  <si>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</si>
  <si>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</si>
  <si>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</si>
  <si>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</si>
  <si>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</si>
  <si>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</si>
  <si>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</si>
  <si>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</si>
  <si>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</si>
  <si>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</si>
  <si>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</si>
  <si>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</si>
  <si>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</si>
  <si>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</si>
  <si>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</si>
  <si>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</si>
  <si>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</si>
  <si>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</si>
  <si>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</si>
  <si>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</si>
  <si>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</si>
  <si>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</si>
  <si>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</si>
  <si>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</si>
  <si>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</si>
  <si>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</si>
  <si>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</si>
  <si>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</si>
  <si>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</si>
  <si>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</si>
  <si>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</si>
  <si>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</si>
  <si>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</si>
  <si>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</si>
  <si>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</si>
  <si>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</si>
  <si>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</si>
  <si>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</si>
  <si>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</si>
  <si>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</si>
  <si>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</si>
  <si>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</si>
  <si>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</si>
  <si>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</si>
  <si>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</si>
  <si>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</si>
  <si>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</si>
  <si>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</si>
  <si>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</si>
  <si>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</si>
  <si>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</si>
  <si>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</si>
  <si>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</si>
  <si>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</si>
  <si>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</si>
  <si>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</si>
  <si>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</si>
  <si>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</si>
  <si>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</si>
  <si>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</si>
  <si>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</si>
  <si>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</si>
  <si>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</si>
  <si>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</si>
  <si>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</si>
  <si>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</si>
  <si>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</si>
  <si>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</si>
  <si>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</si>
  <si>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</si>
  <si>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</si>
  <si>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</si>
  <si>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</si>
  <si>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</si>
  <si>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</si>
  <si>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</si>
  <si>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</si>
  <si>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</si>
  <si>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</si>
  <si>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</si>
  <si>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</si>
  <si>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</si>
  <si>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</si>
  <si>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</si>
  <si>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</si>
  <si>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</si>
  <si>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</si>
  <si>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</si>
  <si>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</si>
  <si>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</si>
  <si>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</si>
  <si>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</si>
  <si>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</si>
  <si>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</si>
  <si>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</si>
  <si>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</si>
  <si>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</si>
  <si>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</si>
  <si>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</si>
  <si>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</si>
  <si>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</si>
  <si>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</si>
  <si>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</si>
  <si>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</si>
  <si>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</si>
  <si>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</si>
  <si>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</si>
  <si>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</si>
  <si>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</si>
  <si>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</si>
  <si>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</si>
  <si>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</si>
  <si>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</si>
  <si>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</si>
  <si>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</si>
  <si>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</si>
  <si>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</si>
  <si>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</si>
  <si>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</si>
  <si>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</si>
  <si>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</si>
  <si>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</si>
  <si>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</si>
  <si>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</si>
  <si>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</si>
  <si>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</si>
  <si>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</si>
  <si>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</si>
  <si>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</si>
  <si>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</si>
  <si>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</si>
  <si>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</si>
  <si>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</si>
  <si>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</si>
  <si>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</si>
  <si>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</si>
  <si>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</si>
  <si>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</si>
  <si>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</si>
  <si>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</si>
  <si>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</si>
  <si>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</si>
  <si>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</si>
  <si>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</si>
  <si>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</si>
  <si>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</si>
  <si>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</si>
  <si>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</si>
  <si>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</si>
  <si>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</si>
  <si>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</si>
  <si>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</si>
  <si>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</si>
  <si>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</si>
  <si>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</si>
  <si>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</si>
  <si>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</si>
  <si>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</si>
  <si>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</si>
  <si>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</si>
  <si>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</si>
  <si>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</si>
  <si>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</si>
  <si>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</si>
  <si>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</si>
  <si>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</si>
  <si>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</si>
  <si>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</si>
  <si>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</si>
  <si>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</si>
  <si>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</si>
  <si>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</si>
  <si>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</si>
  <si>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</si>
  <si>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</si>
  <si>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</si>
  <si>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</si>
  <si>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</si>
  <si>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</si>
  <si>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</si>
  <si>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</si>
  <si>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</si>
  <si>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</si>
  <si>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</si>
  <si>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</si>
  <si>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</si>
  <si>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</si>
  <si>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</si>
  <si>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</si>
  <si>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</si>
  <si>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</si>
  <si>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</si>
  <si>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</si>
  <si>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</si>
  <si>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</si>
  <si>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</si>
  <si>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</si>
  <si>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</si>
  <si>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</si>
  <si>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</si>
  <si>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</si>
  <si>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</si>
  <si>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</si>
  <si>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</si>
  <si>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</si>
  <si>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</si>
  <si>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</si>
  <si>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</si>
  <si>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</si>
  <si>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</si>
  <si>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</si>
  <si>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</si>
  <si>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</si>
  <si>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</si>
  <si>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</si>
  <si>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</si>
  <si>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</si>
  <si>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</si>
  <si>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</si>
  <si>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</si>
  <si>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</si>
  <si>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</si>
  <si>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</si>
  <si>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</si>
  <si>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</si>
  <si>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</si>
  <si>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</si>
  <si>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</si>
  <si>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</si>
  <si>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</si>
  <si>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</si>
  <si>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</si>
  <si>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</si>
  <si>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</si>
  <si>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</si>
  <si>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</si>
  <si>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</si>
  <si>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</si>
  <si>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</si>
  <si>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</si>
  <si>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</si>
  <si>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</si>
  <si>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</si>
  <si>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</si>
  <si>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</si>
  <si>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</si>
  <si>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</si>
  <si>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</si>
  <si>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</si>
  <si>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</si>
  <si>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</si>
  <si>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</si>
  <si>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</si>
  <si>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</si>
  <si>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</si>
  <si>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</si>
  <si>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</si>
  <si>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</si>
  <si>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</si>
  <si>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</si>
  <si>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</si>
  <si>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</si>
  <si>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</si>
  <si>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</si>
  <si>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</si>
  <si>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</si>
  <si>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</si>
  <si>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</si>
  <si>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</si>
  <si>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</si>
  <si>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</si>
  <si>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</si>
  <si>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</si>
  <si>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</si>
  <si>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</si>
  <si>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</si>
  <si>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</si>
  <si>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</si>
  <si>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</si>
  <si>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</si>
  <si>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</si>
  <si>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</si>
  <si>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</si>
  <si>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</si>
  <si>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</si>
  <si>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</si>
  <si>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</si>
  <si>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</si>
  <si>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</si>
  <si>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</si>
  <si>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</si>
  <si>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</si>
  <si>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</si>
  <si>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</si>
  <si>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</si>
  <si>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</si>
  <si>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</si>
  <si>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</si>
  <si>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</si>
  <si>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</si>
  <si>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</si>
  <si>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</si>
  <si>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</si>
  <si>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</si>
  <si>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</si>
  <si>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</si>
  <si>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</si>
  <si>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</si>
  <si>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</si>
  <si>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</si>
  <si>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</si>
  <si>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</si>
  <si>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</si>
  <si>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</si>
  <si>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</si>
  <si>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</si>
  <si>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</si>
  <si>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</si>
  <si>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</si>
  <si>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</si>
  <si>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</si>
  <si>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</si>
  <si>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</si>
  <si>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</si>
  <si>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</si>
  <si>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</si>
  <si>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</si>
  <si>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</si>
  <si>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</si>
  <si>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</si>
  <si>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</si>
  <si>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</si>
  <si>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</si>
  <si>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</si>
  <si>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</si>
  <si>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</si>
  <si>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</si>
  <si>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</si>
  <si>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</si>
  <si>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</si>
  <si>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</si>
  <si>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</si>
  <si>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</si>
  <si>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</si>
  <si>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</si>
  <si>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</si>
  <si>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</si>
  <si>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</si>
  <si>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</si>
  <si>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</si>
  <si>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</si>
  <si>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</si>
  <si>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</si>
  <si>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</si>
  <si>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</si>
  <si>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</si>
  <si>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</si>
  <si>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</si>
  <si>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</si>
  <si>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</si>
  <si>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</si>
  <si>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</si>
  <si>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</si>
  <si>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</si>
  <si>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</si>
  <si>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</si>
  <si>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</si>
  <si>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</si>
  <si>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</si>
  <si>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</si>
  <si>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</si>
  <si>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</si>
  <si>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</si>
  <si>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</si>
  <si>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</si>
  <si>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</si>
  <si>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</si>
  <si>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</si>
  <si>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</si>
  <si>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</si>
  <si>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</si>
  <si>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</si>
  <si>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</si>
  <si>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</si>
  <si>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</si>
  <si>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</si>
  <si>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</si>
  <si>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</si>
  <si>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</si>
  <si>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</si>
  <si>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</si>
  <si>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</si>
  <si>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</si>
  <si>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</si>
  <si>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</si>
  <si>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</si>
  <si>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</si>
  <si>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</si>
  <si>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</si>
  <si>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</si>
  <si>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</si>
  <si>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</si>
  <si>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</si>
  <si>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</si>
  <si>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</si>
  <si>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</si>
  <si>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</si>
  <si>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</si>
  <si>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</si>
  <si>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</si>
  <si>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</si>
  <si>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</si>
  <si>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</si>
  <si>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</si>
  <si>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</si>
  <si>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</si>
  <si>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</si>
  <si>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</si>
  <si>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</si>
  <si>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</si>
  <si>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</si>
  <si>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</si>
  <si>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</si>
  <si>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</si>
  <si>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</si>
  <si>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</si>
  <si>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</si>
  <si>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</si>
  <si>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</si>
  <si>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</si>
  <si>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</si>
  <si>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</si>
  <si>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</si>
  <si>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</si>
  <si>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</si>
  <si>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</si>
  <si>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</si>
  <si>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</si>
  <si>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</si>
  <si>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</si>
  <si>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</si>
  <si>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</si>
  <si>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</si>
  <si>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</si>
  <si>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</si>
  <si>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</si>
  <si>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</si>
  <si>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</si>
  <si>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</si>
  <si>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</si>
  <si>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</si>
  <si>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</si>
  <si>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</si>
  <si>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</si>
  <si>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</si>
  <si>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</si>
  <si>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</si>
  <si>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</si>
  <si>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</si>
  <si>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</si>
  <si>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</si>
  <si>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</si>
  <si>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</si>
  <si>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</si>
  <si>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</si>
  <si>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</si>
  <si>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</si>
  <si>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</si>
  <si>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</si>
  <si>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</si>
  <si>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</si>
  <si>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</si>
  <si>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</si>
  <si>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</si>
  <si>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</si>
  <si>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</si>
  <si>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</si>
  <si>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</si>
  <si>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</si>
  <si>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</si>
  <si>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</si>
  <si>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</si>
  <si>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</si>
  <si>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</si>
  <si>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</si>
  <si>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</si>
  <si>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</si>
  <si>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</si>
  <si>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</si>
  <si>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</si>
  <si>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</si>
  <si>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</si>
  <si>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</si>
  <si>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</si>
  <si>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</si>
  <si>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</si>
  <si>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</si>
  <si>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</si>
  <si>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</si>
  <si>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</si>
  <si>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</si>
  <si>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</si>
  <si>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</si>
  <si>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</si>
  <si>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</si>
  <si>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</si>
  <si>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</si>
  <si>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</si>
  <si>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</si>
  <si>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</si>
  <si>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</si>
  <si>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</si>
  <si>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</si>
  <si>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</si>
  <si>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</si>
  <si>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</si>
  <si>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</si>
  <si>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</si>
  <si>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</si>
  <si>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</si>
  <si>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</si>
  <si>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</si>
  <si>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</si>
  <si>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</si>
  <si>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</si>
  <si>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</si>
  <si>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đơn chuyển AT 12-05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</si>
  <si>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</si>
  <si>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</si>
  <si>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</si>
  <si>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</si>
  <si>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</si>
  <si>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</si>
  <si>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</si>
  <si>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</si>
  <si>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</si>
  <si>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</si>
  <si>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</si>
  <si>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</si>
  <si>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</si>
  <si>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</si>
  <si>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</si>
  <si>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</si>
  <si>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</si>
  <si>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</si>
  <si>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</si>
  <si>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</si>
  <si>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</si>
  <si>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</si>
  <si>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</si>
  <si>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</si>
  <si>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</si>
  <si>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</si>
  <si>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</si>
  <si>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</si>
  <si>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</si>
  <si>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</si>
  <si>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</si>
  <si>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</si>
  <si>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</si>
  <si>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</si>
  <si>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</si>
  <si>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</si>
  <si>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</si>
  <si>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at 12-05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</si>
  <si>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</si>
  <si>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</si>
  <si>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</si>
  <si>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</si>
  <si>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</si>
  <si>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</si>
  <si>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</si>
  <si>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</si>
  <si>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</si>
  <si>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</si>
  <si>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</si>
  <si>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</si>
  <si>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</si>
  <si>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</si>
  <si>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</si>
  <si>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</si>
  <si>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</si>
  <si>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</si>
  <si>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</si>
  <si>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</si>
  <si>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</si>
  <si>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</si>
  <si>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</si>
  <si>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</si>
  <si>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</si>
  <si>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</si>
  <si>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</si>
  <si>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</si>
  <si>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</si>
  <si>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</si>
  <si>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</si>
  <si>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</si>
  <si>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</si>
  <si>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</si>
  <si>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</si>
  <si>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</si>
  <si>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</si>
  <si>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</si>
  <si>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</si>
  <si>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</si>
  <si>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</si>
  <si>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</si>
  <si>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</si>
  <si>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</si>
  <si>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</si>
  <si>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</si>
  <si>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</si>
  <si>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</si>
  <si>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</si>
  <si>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</si>
  <si>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</si>
  <si>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</si>
  <si>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</si>
  <si>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</si>
  <si>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</si>
  <si>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</si>
  <si>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</si>
  <si>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</si>
  <si>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</si>
  <si>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</si>
  <si>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</si>
  <si>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</si>
  <si>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</si>
  <si>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</si>
  <si>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</si>
  <si>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</si>
  <si>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</si>
  <si>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</si>
  <si>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</si>
  <si>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</si>
  <si>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</si>
  <si>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</si>
  <si>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</si>
  <si>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</si>
  <si>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</si>
  <si>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</si>
  <si>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</si>
  <si>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</si>
  <si>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</si>
  <si>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</si>
  <si>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</si>
  <si>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</si>
  <si>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</si>
  <si>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</si>
  <si>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</si>
  <si>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</si>
  <si>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</si>
  <si>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at 13-05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</si>
  <si>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</si>
  <si>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</si>
  <si>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</si>
  <si>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</si>
  <si>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</si>
  <si>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</si>
  <si>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</si>
  <si>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</si>
  <si>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</si>
  <si>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</si>
  <si>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</si>
  <si>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</si>
  <si>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</si>
  <si>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</si>
  <si>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</si>
  <si>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</si>
  <si>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</si>
  <si>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</si>
  <si>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</si>
  <si>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</si>
  <si>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</si>
  <si>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</si>
  <si>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</si>
  <si>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</si>
  <si>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</si>
  <si>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</si>
  <si>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</si>
  <si>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</si>
  <si>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</si>
  <si>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</si>
  <si>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</si>
  <si>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</si>
  <si>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</si>
  <si>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</si>
  <si>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</si>
  <si>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</si>
  <si>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</si>
  <si>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</si>
  <si>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</si>
  <si>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</si>
  <si>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</si>
  <si>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</si>
  <si>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</si>
  <si>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</si>
  <si>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</si>
  <si>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</si>
  <si>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</si>
  <si>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</si>
  <si>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</si>
  <si>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</si>
  <si>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</si>
  <si>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</si>
  <si>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</si>
  <si>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</si>
  <si>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</si>
  <si>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</si>
  <si>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</si>
  <si>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</si>
  <si>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</si>
  <si>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</si>
  <si>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</si>
  <si>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</si>
  <si>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</si>
  <si>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</si>
  <si>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</si>
  <si>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</si>
  <si>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</si>
  <si>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</si>
  <si>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</si>
  <si>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</si>
  <si>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</si>
  <si>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</si>
  <si>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</si>
  <si>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</si>
  <si>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</si>
  <si>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</si>
  <si>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</si>
  <si>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</si>
  <si>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</si>
  <si>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</si>
  <si>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</si>
  <si>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</si>
  <si>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</si>
  <si>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</si>
  <si>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</si>
  <si>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</si>
  <si>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</si>
  <si>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</si>
  <si>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</si>
  <si>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</si>
  <si>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</si>
  <si>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</si>
  <si>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</si>
  <si>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</si>
  <si>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</si>
  <si>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</si>
  <si>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</si>
  <si>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</si>
  <si>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at 14-05</t>
  </si>
  <si>
    <t>S</t>
  </si>
  <si>
    <t>THƯƠNG 1994</t>
  </si>
  <si>
    <t>Tòa S501, Vinhome grand park, Long Thạnh Mỹ</t>
  </si>
  <si>
    <t>15-05-2026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</si>
  <si>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</si>
  <si>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</si>
  <si>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</si>
  <si>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</si>
  <si>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</si>
  <si>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</si>
  <si>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</si>
  <si>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</si>
  <si>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</si>
  <si>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</si>
  <si>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</si>
  <si>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</si>
  <si>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</si>
  <si>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</si>
  <si>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</si>
  <si>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</si>
  <si>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</si>
  <si>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</si>
  <si>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</si>
  <si>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</si>
  <si>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</si>
  <si>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</si>
  <si>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</si>
  <si>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</si>
  <si>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</si>
  <si>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</si>
  <si>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</si>
  <si>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</si>
  <si>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</si>
  <si>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</si>
  <si>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</si>
  <si>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</si>
  <si>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</si>
  <si>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</si>
  <si>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</si>
  <si>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</si>
  <si>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</si>
  <si>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</si>
  <si>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</si>
  <si>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</si>
  <si>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</si>
  <si>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</si>
  <si>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</si>
  <si>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</si>
  <si>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</si>
  <si>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</si>
  <si>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</si>
  <si>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</si>
  <si>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</si>
  <si>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</si>
  <si>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</si>
  <si>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</si>
  <si>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</si>
  <si>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</si>
  <si>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</si>
  <si>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</si>
  <si>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</si>
  <si>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</si>
  <si>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</si>
  <si>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</si>
  <si>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</si>
  <si>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</si>
  <si>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</si>
  <si>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</si>
  <si>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</si>
  <si>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</si>
  <si>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</si>
  <si>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</si>
  <si>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</si>
  <si>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</si>
  <si>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</si>
  <si>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</si>
  <si>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</si>
  <si>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</si>
  <si>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</si>
  <si>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</si>
  <si>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</si>
  <si>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</si>
  <si>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</si>
  <si>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</si>
  <si>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</si>
  <si>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</si>
  <si>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</si>
  <si>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</si>
  <si>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</si>
  <si>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</si>
  <si>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</si>
  <si>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at 15-05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</si>
  <si>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</si>
  <si>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</si>
  <si>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</si>
  <si>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</si>
  <si>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</si>
  <si>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</si>
  <si>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</si>
  <si>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</si>
  <si>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</si>
  <si>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</si>
  <si>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</si>
  <si>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</si>
  <si>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</si>
  <si>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</si>
  <si>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</si>
  <si>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</si>
  <si>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</si>
  <si>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</si>
  <si>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</si>
  <si>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</si>
  <si>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</si>
  <si>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</si>
  <si>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</si>
  <si>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</si>
  <si>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</si>
  <si>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</si>
  <si>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</si>
  <si>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</si>
  <si>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</si>
  <si>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</si>
  <si>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</si>
  <si>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</si>
  <si>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</si>
  <si>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</si>
  <si>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</si>
  <si>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</si>
  <si>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</si>
  <si>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</si>
  <si>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</si>
  <si>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</si>
  <si>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</si>
  <si>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</si>
  <si>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</si>
  <si>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</si>
  <si>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</si>
  <si>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</si>
  <si>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</si>
  <si>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</si>
  <si>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</si>
  <si>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</si>
  <si>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</si>
  <si>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</si>
  <si>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</si>
  <si>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</si>
  <si>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</si>
  <si>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</si>
  <si>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</si>
  <si>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</si>
  <si>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</si>
  <si>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</si>
  <si>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</si>
  <si>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</si>
  <si>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</si>
  <si>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</si>
  <si>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</si>
  <si>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</si>
  <si>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</si>
  <si>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</si>
  <si>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</si>
  <si>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</si>
  <si>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</si>
  <si>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</si>
  <si>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</si>
  <si>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</si>
  <si>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</si>
  <si>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</si>
  <si>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</si>
  <si>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</si>
  <si>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</si>
  <si>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</si>
  <si>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</si>
  <si>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</si>
  <si>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</si>
  <si>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</si>
  <si>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</si>
  <si>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</si>
  <si>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</si>
  <si>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</si>
  <si>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</si>
  <si>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</si>
  <si>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</si>
  <si>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</si>
  <si>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</si>
  <si>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</si>
  <si>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</si>
  <si>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AT 24-04</t>
  </si>
  <si>
    <t>24-04-2026</t>
  </si>
  <si>
    <t>at 16-05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</si>
  <si>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</si>
  <si>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</si>
  <si>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</si>
  <si>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</si>
  <si>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</si>
  <si>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</si>
  <si>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</si>
  <si>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</si>
  <si>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</si>
  <si>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</si>
  <si>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</si>
  <si>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</si>
  <si>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</si>
  <si>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</si>
  <si>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</si>
  <si>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</si>
  <si>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</si>
  <si>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</si>
  <si>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</si>
  <si>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</si>
  <si>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</si>
  <si>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</si>
  <si>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</si>
  <si>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</si>
  <si>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</si>
  <si>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</si>
  <si>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</si>
  <si>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</si>
  <si>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</si>
  <si>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</si>
  <si>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</si>
  <si>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</si>
  <si>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</si>
  <si>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</si>
  <si>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</si>
  <si>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</si>
  <si>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</si>
  <si>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</si>
  <si>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</si>
  <si>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</si>
  <si>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</si>
  <si>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</si>
  <si>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</si>
  <si>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</si>
  <si>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</si>
  <si>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</si>
  <si>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</si>
  <si>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</si>
  <si>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</si>
  <si>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</si>
  <si>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</si>
  <si>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</si>
  <si>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</si>
  <si>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</si>
  <si>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</si>
  <si>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</si>
  <si>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</si>
  <si>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</si>
  <si>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</si>
  <si>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</si>
  <si>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</si>
  <si>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</si>
  <si>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</si>
  <si>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</si>
  <si>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</si>
  <si>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</si>
  <si>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</si>
  <si>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</si>
  <si>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</si>
  <si>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</si>
  <si>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</si>
  <si>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</si>
  <si>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</si>
  <si>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</si>
  <si>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</si>
  <si>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</si>
  <si>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</si>
  <si>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</si>
  <si>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</si>
  <si>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</si>
  <si>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</si>
  <si>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</si>
  <si>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</si>
  <si>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</si>
  <si>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</si>
  <si>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</si>
  <si>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</si>
  <si>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</si>
  <si>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</si>
  <si>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</si>
  <si>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</si>
  <si>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</si>
  <si>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at 18-05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</si>
  <si>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</si>
  <si>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</si>
  <si>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</si>
  <si>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</si>
  <si>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</si>
  <si>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</si>
  <si>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</si>
  <si>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</si>
  <si>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</si>
  <si>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</si>
  <si>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</si>
  <si>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</si>
  <si>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</si>
  <si>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</si>
  <si>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</si>
  <si>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</si>
  <si>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</si>
  <si>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</si>
  <si>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</si>
  <si>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</si>
  <si>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</si>
  <si>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</si>
  <si>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</si>
  <si>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</si>
  <si>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</si>
  <si>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</si>
  <si>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</si>
  <si>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</si>
  <si>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</si>
  <si>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</si>
  <si>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</si>
  <si>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</si>
  <si>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</si>
  <si>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</si>
  <si>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</si>
  <si>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</si>
  <si>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</si>
  <si>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</si>
  <si>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</si>
  <si>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</si>
  <si>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</si>
  <si>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</si>
  <si>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</si>
  <si>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</si>
  <si>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</si>
  <si>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</si>
  <si>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</si>
  <si>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</si>
  <si>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</si>
  <si>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</si>
  <si>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</si>
  <si>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</si>
  <si>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</si>
  <si>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</si>
  <si>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</si>
  <si>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</si>
  <si>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</si>
  <si>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</si>
  <si>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</si>
  <si>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</si>
  <si>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</si>
  <si>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</si>
  <si>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</si>
  <si>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</si>
  <si>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</si>
  <si>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</si>
  <si>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</si>
  <si>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</si>
  <si>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at 19-05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</si>
  <si>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</si>
  <si>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</si>
  <si>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</si>
  <si>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</si>
  <si>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</si>
  <si>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</si>
  <si>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</si>
  <si>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</si>
  <si>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</si>
  <si>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</si>
  <si>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</si>
  <si>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</si>
  <si>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</si>
  <si>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</si>
  <si>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</si>
  <si>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</si>
  <si>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</si>
  <si>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</si>
  <si>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</si>
  <si>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</si>
  <si>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Vân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</si>
  <si>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</si>
  <si>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</si>
  <si>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</si>
  <si>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</si>
  <si>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</si>
  <si>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</si>
  <si>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</si>
  <si>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</si>
  <si>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</si>
  <si>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</si>
  <si>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</si>
  <si>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</si>
  <si>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</si>
  <si>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</si>
  <si>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</si>
  <si>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</si>
  <si>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</si>
  <si>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</si>
  <si>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</si>
  <si>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</si>
  <si>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</si>
  <si>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</si>
  <si>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</si>
  <si>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</si>
  <si>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</si>
  <si>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</si>
  <si>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</si>
  <si>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</si>
  <si>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</si>
  <si>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</si>
  <si>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</si>
  <si>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</si>
  <si>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</si>
  <si>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</si>
  <si>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</si>
  <si>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</si>
  <si>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</si>
  <si>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</si>
  <si>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</si>
  <si>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</si>
  <si>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</si>
  <si>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</si>
  <si>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</si>
  <si>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</si>
  <si>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</si>
  <si>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</si>
  <si>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</si>
  <si>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</si>
  <si>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</si>
  <si>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</si>
  <si>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</si>
  <si>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</si>
  <si>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</si>
  <si>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</si>
  <si>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at 20-05</t>
  </si>
  <si>
    <t>2 đơn</t>
  </si>
  <si>
    <t>Lý Thanh Tâm</t>
  </si>
  <si>
    <t>HD022564</t>
  </si>
  <si>
    <t>71/6/16 lê tấn bê an lạc</t>
  </si>
  <si>
    <t>AT 21-05</t>
  </si>
  <si>
    <t>21-05-2026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</si>
  <si>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</si>
  <si>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</si>
  <si>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</si>
  <si>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</si>
  <si>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</si>
  <si>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</si>
  <si>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</si>
  <si>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</si>
  <si>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</si>
  <si>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HD022628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</si>
  <si>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</si>
  <si>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</si>
  <si>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</si>
  <si>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</si>
  <si>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</si>
  <si>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</si>
  <si>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</si>
  <si>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</si>
  <si>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</si>
  <si>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</si>
  <si>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</si>
  <si>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</si>
  <si>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</si>
  <si>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</si>
  <si>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</si>
  <si>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</si>
  <si>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</si>
  <si>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</si>
  <si>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</si>
  <si>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</si>
  <si>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</si>
  <si>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</si>
  <si>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</si>
  <si>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</si>
  <si>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</si>
  <si>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</si>
  <si>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HD022342</t>
  </si>
  <si>
    <t>320/14 nguyễn văn linh phường bình thuận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</si>
  <si>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</si>
  <si>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</si>
  <si>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</si>
  <si>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</si>
  <si>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</si>
  <si>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</si>
  <si>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Anh Trúc Huỳnh</t>
  </si>
  <si>
    <t>HD022586</t>
  </si>
  <si>
    <t>Số 64 dg 38 hiep binh chanh</t>
  </si>
  <si>
    <t>BN182 miki chouchou Fb.</t>
  </si>
  <si>
    <t>HD022533</t>
  </si>
  <si>
    <t>163 Đường Trương Thị Hoa, phường Tân Thái Hiệp</t>
  </si>
  <si>
    <t>HD022429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</si>
  <si>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</si>
  <si>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</si>
  <si>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</si>
  <si>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</si>
  <si>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</si>
  <si>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</si>
  <si>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01우준</t>
  </si>
  <si>
    <t>HD022601</t>
  </si>
  <si>
    <t>Đảo kim cương phường bình trưng tây</t>
  </si>
  <si>
    <t>HD022503</t>
  </si>
  <si>
    <t>Toà Aster - Urban green (đối diện Vạn Phúc)</t>
  </si>
  <si>
    <t>Khánh Thư Nguyen</t>
  </si>
  <si>
    <t>HD022626</t>
  </si>
  <si>
    <t>88 dien Hồng phường 1</t>
  </si>
  <si>
    <t>Mỹ ý</t>
  </si>
  <si>
    <t>HD022613</t>
  </si>
  <si>
    <t>Nguyễn Thị Kim Hoàng</t>
  </si>
  <si>
    <t>HD022430</t>
  </si>
  <si>
    <t>265 Nơ Trang Long, phường Bình Lợi Trung</t>
  </si>
  <si>
    <t>NHƯ- Khanh sale- airmy</t>
  </si>
  <si>
    <t>HD022551</t>
  </si>
  <si>
    <t>144C Trần Thị Trọng, Phường 15</t>
  </si>
  <si>
    <t>PHƯƠNG DUNG</t>
  </si>
  <si>
    <t>23/4A đường 48 khu phố 6 hiệp bình chánh</t>
  </si>
  <si>
    <t>người nhận Hồng Sơn fb Duong Hyun</t>
  </si>
  <si>
    <t>HD022495</t>
  </si>
  <si>
    <t>135 Bạch Đằng, phường Tân Sơn Hòa (Phường 2) (CÔNG TY LÊ GIA EXPRESS)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</si>
  <si>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</si>
  <si>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</si>
  <si>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</si>
  <si>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</si>
  <si>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</si>
  <si>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</si>
  <si>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</si>
  <si>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</si>
  <si>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</si>
  <si>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</si>
  <si>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Sorinna items PhnomPenh ( Meng Kheang customer )</t>
  </si>
  <si>
    <t>HD022445</t>
  </si>
  <si>
    <t>301 phạm ngũ lão</t>
  </si>
  <si>
    <t>Mỹ Vinh</t>
  </si>
  <si>
    <t>HD022560</t>
  </si>
  <si>
    <t>Aqua1 vinhome bason bến nghé</t>
  </si>
  <si>
    <t>VVI EVA</t>
  </si>
  <si>
    <t>141 Hùng Vương phường 4</t>
  </si>
  <si>
    <t>HD020811</t>
  </si>
  <si>
    <t>at 21-05</t>
  </si>
  <si>
    <t>HD022758</t>
  </si>
  <si>
    <t>AT 22-05</t>
  </si>
  <si>
    <t>22-05-2026</t>
  </si>
  <si>
    <t>Trần Hương</t>
  </si>
  <si>
    <t>HD022721</t>
  </si>
  <si>
    <t>339 lê văn quới phường bình trị đông A</t>
  </si>
  <si>
    <t>VTS-36588MNG</t>
  </si>
  <si>
    <t>HD022692</t>
  </si>
  <si>
    <t>kh ck shop 1710k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</si>
  <si>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</si>
  <si>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</si>
  <si>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</si>
  <si>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</si>
  <si>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</si>
  <si>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</si>
  <si>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</si>
  <si>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</si>
  <si>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</si>
  <si>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</si>
  <si>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</si>
  <si>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</si>
  <si>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</si>
  <si>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</si>
  <si>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</si>
  <si>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</si>
  <si>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</si>
  <si>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</si>
  <si>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</si>
  <si>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</si>
  <si>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</si>
  <si>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Ngọc Tiên</t>
  </si>
  <si>
    <t>HD022897</t>
  </si>
  <si>
    <t>59 trần hưng đạo p tân thành</t>
  </si>
  <si>
    <t>HD022895</t>
  </si>
  <si>
    <t>1123 quốc lộ la, tân tạo, chung cư an gia the star</t>
  </si>
  <si>
    <t>Linh Chi Nguyễn</t>
  </si>
  <si>
    <t>HD022915</t>
  </si>
  <si>
    <t>54/24 đường 281 lý thường kiệt phường 15</t>
  </si>
  <si>
    <t>HD022893</t>
  </si>
  <si>
    <t>Diễm</t>
  </si>
  <si>
    <t>HD022790</t>
  </si>
  <si>
    <t>22/31/4 đường số 21, Phường 3</t>
  </si>
  <si>
    <t>Nguyễn Loan</t>
  </si>
  <si>
    <t>HD022726</t>
  </si>
  <si>
    <t>91/33 nguyên hồng</t>
  </si>
  <si>
    <t>HD022866</t>
  </si>
  <si>
    <t>Hương Quỳnh (Nhượng)</t>
  </si>
  <si>
    <t>HD022886</t>
  </si>
  <si>
    <t>15/3 Lê Văn Huân, P13</t>
  </si>
  <si>
    <t>Ivy Huyền</t>
  </si>
  <si>
    <t>Số 5 Nhất Chi Mai phường 13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</si>
  <si>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</si>
  <si>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</si>
  <si>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</si>
  <si>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</si>
  <si>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</si>
  <si>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</si>
  <si>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Hạnh Hạnh</t>
  </si>
  <si>
    <t>HD022865</t>
  </si>
  <si>
    <t>334 tô hiến thành p14 Chung cư kingdom101 block a</t>
  </si>
  <si>
    <t>Phạm Thùy Đan</t>
  </si>
  <si>
    <t>HD022634</t>
  </si>
  <si>
    <t>83/25b đường Hoà Hưng p12</t>
  </si>
  <si>
    <t>Nguyễn Kim Ann</t>
  </si>
  <si>
    <t>HD022824</t>
  </si>
  <si>
    <t>at 22-05</t>
  </si>
  <si>
    <t>HD023055</t>
  </si>
  <si>
    <t>AT 23-05</t>
  </si>
  <si>
    <t>23-05-2026</t>
  </si>
  <si>
    <t>HD023069</t>
  </si>
  <si>
    <t>HD023108</t>
  </si>
  <si>
    <t>41 Lê Quang Chiểu, Hiệp Tân</t>
  </si>
  <si>
    <t>Lê Chi</t>
  </si>
  <si>
    <t>HD023140</t>
  </si>
  <si>
    <t>270 quốc lộ 50 p6</t>
  </si>
  <si>
    <t>Cúc Phan</t>
  </si>
  <si>
    <t>HD023112</t>
  </si>
  <si>
    <t>A 12 liên ấp 1-2 vĩnh lộc b</t>
  </si>
  <si>
    <t>HD023096</t>
  </si>
  <si>
    <t>NGÂN HÀ</t>
  </si>
  <si>
    <t>40 đường 53 p10</t>
  </si>
  <si>
    <t>Bảo Như</t>
  </si>
  <si>
    <t>HD023066</t>
  </si>
  <si>
    <t>e208 nguyễn hữu cảnh p22 toà nhà landmark 3</t>
  </si>
  <si>
    <t>HƯNG (hàng của Huyền Jendy)</t>
  </si>
  <si>
    <t>HD023099</t>
  </si>
  <si>
    <t>HD023121</t>
  </si>
  <si>
    <t>624 Lê Thị Riêng, thới an</t>
  </si>
  <si>
    <t>TONY ĐI ÚC</t>
  </si>
  <si>
    <t>HD023116</t>
  </si>
  <si>
    <t>965/16/11 QUANG TRUNG</t>
  </si>
  <si>
    <t>HD022813</t>
  </si>
  <si>
    <t>Ngọc Nhi</t>
  </si>
  <si>
    <t>HD023141</t>
  </si>
  <si>
    <t>92 nguyễn hữu cảnh p.22 (cc sg pearl toà sapphire 1)</t>
  </si>
  <si>
    <t>HD023045</t>
  </si>
  <si>
    <t>22/31/4 đường số 21, Phường 8 (phường Thông Tây Hội mới)</t>
  </si>
  <si>
    <t>Trang Lê (note nhận đồ giúp chang)</t>
  </si>
  <si>
    <t>HD023127</t>
  </si>
  <si>
    <t>183/26 nguyễn hữu cảnh, f22</t>
  </si>
  <si>
    <t>HÀ VY</t>
  </si>
  <si>
    <t>482/10/26 nơ trang Long, p13</t>
  </si>
  <si>
    <t>CAYLA</t>
  </si>
  <si>
    <t>thanh (NHẬN HÀNG CHO TRÀ LY)</t>
  </si>
  <si>
    <t>HD023142</t>
  </si>
  <si>
    <t>404 VÕ VĂN TẦN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</si>
  <si>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</si>
  <si>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</si>
  <si>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</si>
  <si>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</si>
  <si>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</si>
  <si>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</si>
  <si>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Trinh Trần</t>
  </si>
  <si>
    <t>HD022990</t>
  </si>
  <si>
    <t>22A truong dinh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</si>
  <si>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</si>
  <si>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</si>
  <si>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</si>
  <si>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</si>
  <si>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</si>
  <si>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</si>
  <si>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</si>
  <si>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</si>
  <si>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Như Ý Nguyễn</t>
  </si>
  <si>
    <t>HD023113</t>
  </si>
  <si>
    <t>24 Yên Thế, Phường 2</t>
  </si>
  <si>
    <t>at 23-05</t>
  </si>
  <si>
    <t>Trần Mai Phương</t>
  </si>
  <si>
    <t>HD023562</t>
  </si>
  <si>
    <t>442 Tô Ký- Tân Chánh Hiệp</t>
  </si>
  <si>
    <t>AT 25-05</t>
  </si>
  <si>
    <t>25-05-2026</t>
  </si>
  <si>
    <t>HD023204</t>
  </si>
  <si>
    <t>Phương Thảo TA</t>
  </si>
  <si>
    <t>HD023551</t>
  </si>
  <si>
    <t>HD022939</t>
  </si>
  <si>
    <t>Chung cư aview KDC 13C ấp 5 xã phong phú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</si>
  <si>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</si>
  <si>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</si>
  <si>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</si>
  <si>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</si>
  <si>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</si>
  <si>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</si>
  <si>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</si>
  <si>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</si>
  <si>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</si>
  <si>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</si>
  <si>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Minh Thoan</t>
  </si>
  <si>
    <t>HD023208</t>
  </si>
  <si>
    <t>195 tân hương p phú thọ hoà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</si>
  <si>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</si>
  <si>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</si>
  <si>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</si>
  <si>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</si>
  <si>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</si>
  <si>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</si>
  <si>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</si>
  <si>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</si>
  <si>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</si>
  <si>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</si>
  <si>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</si>
  <si>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</si>
  <si>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</si>
  <si>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</si>
  <si>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</si>
  <si>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</si>
  <si>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</si>
  <si>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</si>
  <si>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Phạm Tuyết</t>
  </si>
  <si>
    <t>HD023561</t>
  </si>
  <si>
    <t>Chung Cư Gia Phú (lô A),cuối Hẻm 219 đường Số 5, Khu Phố 7, Phường Bình Hưng Hòa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</si>
  <si>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</si>
  <si>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</si>
  <si>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</si>
  <si>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</si>
  <si>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</si>
  <si>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</si>
  <si>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</si>
  <si>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</si>
  <si>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</si>
  <si>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</si>
  <si>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</si>
  <si>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</si>
  <si>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</si>
  <si>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</si>
  <si>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</si>
  <si>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</si>
  <si>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</si>
  <si>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</si>
  <si>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</si>
  <si>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</si>
  <si>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</si>
  <si>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</si>
  <si>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</si>
  <si>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HD023484</t>
  </si>
  <si>
    <t>Thơm Thơm</t>
  </si>
  <si>
    <t>HD023336</t>
  </si>
  <si>
    <t>119 nguyễn văn công p. Hạnh thông</t>
  </si>
  <si>
    <t>Nguyễn Phùng Thảo Như - fb Karen Van</t>
  </si>
  <si>
    <t>HD023580</t>
  </si>
  <si>
    <t>799/2 Nguyễn kiệm p3</t>
  </si>
  <si>
    <t>Khánh Ly</t>
  </si>
  <si>
    <t>HD023225</t>
  </si>
  <si>
    <t>67 Đg số 6, Kp4, phường Bình Trưng Tây</t>
  </si>
  <si>
    <t>HD023568</t>
  </si>
  <si>
    <t>Vũ Thị Hà</t>
  </si>
  <si>
    <t>HD023340</t>
  </si>
  <si>
    <t>20 Vũ Tông Phan, phường bình trưng</t>
  </si>
  <si>
    <t>HD023455</t>
  </si>
  <si>
    <t>433/11/2 Lê Đức Thọ, Phường Gò Vấp (phường 17 cũ)</t>
  </si>
  <si>
    <t>HD023569</t>
  </si>
  <si>
    <t>HD023507</t>
  </si>
  <si>
    <t>Hồ Thanh Phương</t>
  </si>
  <si>
    <t>HD023466</t>
  </si>
  <si>
    <t>158/56/21 Phạm Văn Chiêu, phường 8</t>
  </si>
  <si>
    <t>Hang</t>
  </si>
  <si>
    <t>HD023317</t>
  </si>
  <si>
    <t>75/2A nguyễn sỹ sách,p.15 cũ(tân sơn mới)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</si>
  <si>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</si>
  <si>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</si>
  <si>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</si>
  <si>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</si>
  <si>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</si>
  <si>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</si>
  <si>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</si>
  <si>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Zy Ka</t>
  </si>
  <si>
    <t>HD023410</t>
  </si>
  <si>
    <t>9 nguyễn trường tộ, p12</t>
  </si>
  <si>
    <t>Chế Vân</t>
  </si>
  <si>
    <t>HD023327</t>
  </si>
  <si>
    <t>140b nguyễn văn trỗi p8</t>
  </si>
  <si>
    <t>Tiger Nhỏ _ Gia Huy</t>
  </si>
  <si>
    <t>HD023468</t>
  </si>
  <si>
    <t>2/11 đường Thiên Phước, phường 9</t>
  </si>
  <si>
    <t>HD023354</t>
  </si>
  <si>
    <t>kh ck shop 2230k</t>
  </si>
  <si>
    <t>Khuê</t>
  </si>
  <si>
    <t>HD021688</t>
  </si>
  <si>
    <t>38/9 thích quảng đức p15</t>
  </si>
  <si>
    <t>HD023415</t>
  </si>
  <si>
    <t>672 đường 3/2 P14</t>
  </si>
  <si>
    <t>HD022967</t>
  </si>
  <si>
    <t>Trần Thị Anh Đào</t>
  </si>
  <si>
    <t>HD023440</t>
  </si>
  <si>
    <t>333/35 Lý Thái Tổ, Phường 9</t>
  </si>
  <si>
    <t>at 25-05</t>
  </si>
  <si>
    <t>NGÂN KIM</t>
  </si>
  <si>
    <t>T8-20 mahattan vinhomes grand park, phường long bình</t>
  </si>
  <si>
    <t>26-05-2026</t>
  </si>
  <si>
    <t>Kỳ Kỳ</t>
  </si>
  <si>
    <t>HD023748</t>
  </si>
  <si>
    <t>Trường Tiểu học Vinschool Grand Park, Vinhome Grand Park</t>
  </si>
  <si>
    <t>AT 26-05</t>
  </si>
  <si>
    <t>66 đường 17 p10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</si>
  <si>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</si>
  <si>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</si>
  <si>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</si>
  <si>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</si>
  <si>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</si>
  <si>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</si>
  <si>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Nhi Le</t>
  </si>
  <si>
    <t>HD023579</t>
  </si>
  <si>
    <t>743/11/10 hong bang p6</t>
  </si>
  <si>
    <t>HDO1779701391142_472517</t>
  </si>
  <si>
    <t>169/15 đường số 11 phường bình hưng hoà</t>
  </si>
  <si>
    <t>HD023631</t>
  </si>
  <si>
    <t>Huyền Trang Trần</t>
  </si>
  <si>
    <t>HD023630</t>
  </si>
  <si>
    <t>39/34 dạ nam</t>
  </si>
  <si>
    <t>Annie Annie</t>
  </si>
  <si>
    <t>HD023732</t>
  </si>
  <si>
    <t>110 đường 14 Him Lam tân hưng</t>
  </si>
  <si>
    <t>Linh Mỹ</t>
  </si>
  <si>
    <t>HD023715</t>
  </si>
  <si>
    <t>50/2/8 đường số 2, phường 3</t>
  </si>
  <si>
    <t>이 우준</t>
  </si>
  <si>
    <t>HD023636</t>
  </si>
  <si>
    <t>Linh P Pham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</si>
  <si>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</si>
  <si>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</si>
  <si>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</si>
  <si>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</si>
  <si>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</si>
  <si>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Truc Le</t>
  </si>
  <si>
    <t>HD023726</t>
  </si>
  <si>
    <t>69 đường số 2 khu phố 1 p tam bình</t>
  </si>
  <si>
    <t>Nguyen Minh Thu</t>
  </si>
  <si>
    <t>HD023677</t>
  </si>
  <si>
    <t>Số 2 đường số 51 p bình trưng đông</t>
  </si>
  <si>
    <t>BN1356</t>
  </si>
  <si>
    <t>HD023491</t>
  </si>
  <si>
    <t>HD023733</t>
  </si>
  <si>
    <t>32/11 Bùi Đình Tuý f12</t>
  </si>
  <si>
    <t>NGUYÊN NGUYÊN</t>
  </si>
  <si>
    <t>12 TÔN ĐẢN P13</t>
  </si>
  <si>
    <t>Nga Nga</t>
  </si>
  <si>
    <t>HD023717</t>
  </si>
  <si>
    <t>29b Nguyễn đình chiểu dakao</t>
  </si>
  <si>
    <t>Ngọc Thư</t>
  </si>
  <si>
    <t>HD023656</t>
  </si>
  <si>
    <t>400cd lê hồng phong p1</t>
  </si>
  <si>
    <t>Kim ngân</t>
  </si>
  <si>
    <t>HD023657</t>
  </si>
  <si>
    <t>50 An Dương Vương,P.9</t>
  </si>
  <si>
    <t>Thảo Ngân</t>
  </si>
  <si>
    <t>HD023768</t>
  </si>
  <si>
    <t>44/139 trần bình trọng</t>
  </si>
  <si>
    <t>FB HOÀNG THỦY</t>
  </si>
  <si>
    <t>HD023619</t>
  </si>
  <si>
    <t>86/36/3 PHỔ QUANG TÂN SƠN HÒA</t>
  </si>
  <si>
    <t>at 26-05</t>
  </si>
  <si>
    <t>HD023837</t>
  </si>
  <si>
    <t>Can 32.07 - the Pegasuite 1- số 1002 tạ quang bửu, phường 5</t>
  </si>
  <si>
    <t>AT 27-05</t>
  </si>
  <si>
    <t>27-05-2026</t>
  </si>
  <si>
    <t>HD023572</t>
  </si>
  <si>
    <t>HD023905</t>
  </si>
  <si>
    <t>HD023917</t>
  </si>
  <si>
    <t>195 tân hương P phú thọ hoà</t>
  </si>
  <si>
    <t>Nguyễn Thị Ngọc Hân</t>
  </si>
  <si>
    <t>HD023783</t>
  </si>
  <si>
    <t>512 phạm thế hiển p4</t>
  </si>
  <si>
    <t>Thiên An</t>
  </si>
  <si>
    <t>HD023884</t>
  </si>
  <si>
    <t>D aqua 301 bình động, phú định</t>
  </si>
  <si>
    <t>S$3164-Mrskill)</t>
  </si>
  <si>
    <t>HD022602</t>
  </si>
  <si>
    <t>674 đường số 2, Phường 13</t>
  </si>
  <si>
    <t>Khánh Như</t>
  </si>
  <si>
    <t>HD023944</t>
  </si>
  <si>
    <t>688/23/1c Hương Lộ 2, phường Bình Trị Đông A</t>
  </si>
  <si>
    <t>Hoàng Trang</t>
  </si>
  <si>
    <t>HD023850</t>
  </si>
  <si>
    <t>1041/80/3/5 trần xuân soạn phường tân hưng</t>
  </si>
  <si>
    <t>cô Loan fb Trịnh Trâm</t>
  </si>
  <si>
    <t>HD023930</t>
  </si>
  <si>
    <t>124/18/12 võ văn hát p long trường</t>
  </si>
  <si>
    <t>NHƯ THẢO</t>
  </si>
  <si>
    <t>259 đường 9a kdc Trung Sơn, Bình Hưng</t>
  </si>
  <si>
    <t>Nhận hộ fb Nguyễn Hà</t>
  </si>
  <si>
    <t>HD023711</t>
  </si>
  <si>
    <t>Thúy Nguyễn</t>
  </si>
  <si>
    <t>HD023794</t>
  </si>
  <si>
    <t>598/10 điện biên phủ, p.22</t>
  </si>
  <si>
    <t>ng nhận QP</t>
  </si>
  <si>
    <t>HD023827</t>
  </si>
  <si>
    <t>số 28 khu kdc nam long thạnh lộc</t>
  </si>
  <si>
    <t>Giang Phạm</t>
  </si>
  <si>
    <t>HD023787</t>
  </si>
  <si>
    <t>136 hoàng hoa thám, p7</t>
  </si>
  <si>
    <t>W24130 Miki (Chou)</t>
  </si>
  <si>
    <t>HD023903</t>
  </si>
  <si>
    <t>624 Lê thị riêng, thới an</t>
  </si>
  <si>
    <t>SỈ HƯƠNG TRẦN</t>
  </si>
  <si>
    <t>HUYỀN NGUYỄN</t>
  </si>
  <si>
    <t>HD023936</t>
  </si>
  <si>
    <t>Số 8 Ba Vì, P4</t>
  </si>
  <si>
    <t>HD023906</t>
  </si>
  <si>
    <t>77-89 nam kỳ khởi nghĩa bến thành</t>
  </si>
  <si>
    <t>KimVy Phương Anh</t>
  </si>
  <si>
    <t>HD023841</t>
  </si>
  <si>
    <t>214/B14A nguyễn trãi, cầu ông lãnh</t>
  </si>
  <si>
    <t>Thao Thanh Nguyen</t>
  </si>
  <si>
    <t>HD023781</t>
  </si>
  <si>
    <t>53 trần đình xu p cầu kho</t>
  </si>
  <si>
    <t>GIA HUY nhận hộ ELIS NGUYỄN (singapore)</t>
  </si>
  <si>
    <t>HD023838</t>
  </si>
  <si>
    <t>Ellie Quach</t>
  </si>
  <si>
    <t>8A Sông thương, Phường 2</t>
  </si>
  <si>
    <t>at 27-05</t>
  </si>
  <si>
    <t>Uyên Trần</t>
  </si>
  <si>
    <t>HD024168</t>
  </si>
  <si>
    <t>137/84D âu dương lân - p2</t>
  </si>
  <si>
    <t>AT 28-05</t>
  </si>
  <si>
    <t>28-05-2026</t>
  </si>
  <si>
    <t>Thanh Vy</t>
  </si>
  <si>
    <t>HD024163</t>
  </si>
  <si>
    <t>20B Trần Văn Quang, Phường Bảy Hiền</t>
  </si>
  <si>
    <t>Thủy Heri</t>
  </si>
  <si>
    <t>HD024145</t>
  </si>
  <si>
    <t>184/17/35 bãi sậy phường bình tiên</t>
  </si>
  <si>
    <t>Ngân</t>
  </si>
  <si>
    <t>HD023968</t>
  </si>
  <si>
    <t>Toà A2 Alnata diamond đường N1 Tân Sơn Nhì</t>
  </si>
  <si>
    <t>HD023918</t>
  </si>
  <si>
    <t>Diễm Phúc</t>
  </si>
  <si>
    <t>HD024175</t>
  </si>
  <si>
    <t>314/138 đường âu dương lân, p3</t>
  </si>
  <si>
    <t>khả trinh</t>
  </si>
  <si>
    <t>HD024033</t>
  </si>
  <si>
    <t>82/17/20đinh tiên hoàng p1</t>
  </si>
  <si>
    <t>Linh fb Phan Thị Tuyết Nhung</t>
  </si>
  <si>
    <t>HD023982</t>
  </si>
  <si>
    <t>201 Đường Hoàng Hoa Thám, Phường 13</t>
  </si>
  <si>
    <t>Nguyễn Châu Tuệ Lâm</t>
  </si>
  <si>
    <t>HD024027</t>
  </si>
  <si>
    <t>74/1h ds9 linh trung</t>
  </si>
  <si>
    <t>HD024142</t>
  </si>
  <si>
    <t>Nguyễn Trinh</t>
  </si>
  <si>
    <t>HD024157</t>
  </si>
  <si>
    <t>29/10c trần thái tông</t>
  </si>
  <si>
    <t>Minh Thư nhận hộ ( water) fb Thuỷ Vũ</t>
  </si>
  <si>
    <t>HD024179</t>
  </si>
  <si>
    <t>22, TÂN THỚI NHẤT 1B, Phường Tân Thới Nhất</t>
  </si>
  <si>
    <t>HD023972</t>
  </si>
  <si>
    <t>433/11, Lê Đức Thọ, Phường 17</t>
  </si>
  <si>
    <t>chị hương fb Kim Tien Pham</t>
  </si>
  <si>
    <t>HD024001</t>
  </si>
  <si>
    <t>Trần Lan</t>
  </si>
  <si>
    <t>HD024017</t>
  </si>
  <si>
    <t>190 võ văn ngân</t>
  </si>
  <si>
    <t>phạm minh phi_F3: Theer To Lao</t>
  </si>
  <si>
    <t>HD024093</t>
  </si>
  <si>
    <t>33 đường số 6 p26</t>
  </si>
  <si>
    <t>Đậu Đậu</t>
  </si>
  <si>
    <t>HD024181</t>
  </si>
  <si>
    <t>106/4 phan van tri phường 12</t>
  </si>
  <si>
    <t>kh ck shop 2020k</t>
  </si>
  <si>
    <t>HD024164</t>
  </si>
  <si>
    <t>Toà Aster - Urbun Green (đối diện Vạn Phúc)</t>
  </si>
  <si>
    <t>Linh Nga Anna</t>
  </si>
  <si>
    <t>Thảo My</t>
  </si>
  <si>
    <t>HD024170</t>
  </si>
  <si>
    <t>91/12 nguyễn thanh tuyền p1</t>
  </si>
  <si>
    <t>Kelly Phan</t>
  </si>
  <si>
    <t>HD024129</t>
  </si>
  <si>
    <t>240/6A lê thánh tôn phường bến thành</t>
  </si>
  <si>
    <t>Tuệ Nhi</t>
  </si>
  <si>
    <t>HD024045</t>
  </si>
  <si>
    <t>92-94 nam kỳ khởi nghĩa- bến nghé</t>
  </si>
  <si>
    <t>kh ck shop 845k</t>
  </si>
  <si>
    <t>HD024006</t>
  </si>
  <si>
    <t>24 Lê Thánh Tôn (BIDV), P.Bến Nghé</t>
  </si>
  <si>
    <t>kh ck shop 465k</t>
  </si>
  <si>
    <t>Tất Phú</t>
  </si>
  <si>
    <t>HD023941</t>
  </si>
  <si>
    <t>Bệnh viện Nhi đồng 1: 532 Lý Thái Tổ, P10</t>
  </si>
  <si>
    <t>Cô Kiều Hương fb Vân Trần</t>
  </si>
  <si>
    <t>HD023954</t>
  </si>
  <si>
    <t>168A Trần Huy Liệu Phường 15</t>
  </si>
  <si>
    <t>HD023966</t>
  </si>
  <si>
    <t>12 nguyễn công trứ, thái bình</t>
  </si>
  <si>
    <t>at 28-05</t>
  </si>
  <si>
    <t>Cẩm Tiên</t>
  </si>
  <si>
    <t>HD024200</t>
  </si>
  <si>
    <t>Chung cư topaz dragon 2A 457-459 tạ quang bửu - phường 4</t>
  </si>
  <si>
    <t>AT 29-05</t>
  </si>
  <si>
    <t>29-05-2026</t>
  </si>
  <si>
    <t>HD024203</t>
  </si>
  <si>
    <t>Phương Đoan</t>
  </si>
  <si>
    <t>HD024459</t>
  </si>
  <si>
    <t>số 17 đường số 13 bình hưng hòa</t>
  </si>
  <si>
    <t>Út Nhỏ (thu trần ) (Malaysia)</t>
  </si>
  <si>
    <t>HD024433</t>
  </si>
  <si>
    <t>24/5F, Ấp Đông Lân, Xã Bà Điểm</t>
  </si>
  <si>
    <t>HD024304</t>
  </si>
  <si>
    <t>Block d2, chung cư sài gòn riverside (số 4 đào trí phú thuận)</t>
  </si>
  <si>
    <t>Kim Anh Phạm</t>
  </si>
  <si>
    <t>HD024302</t>
  </si>
  <si>
    <t>16 cư xá bình minh, dương Bá Trạc, phường 1</t>
  </si>
  <si>
    <t>Thúy Duy</t>
  </si>
  <si>
    <t>HD024294</t>
  </si>
  <si>
    <t>539,22 hương lộ 3 phường bình hưng hòa</t>
  </si>
  <si>
    <t>Kim Tuyền</t>
  </si>
  <si>
    <t>HD024441</t>
  </si>
  <si>
    <t>451/40 phạm thế hiển phường 3</t>
  </si>
  <si>
    <t>Chan (inst char importshop) -BN2441</t>
  </si>
  <si>
    <t>HD024246</t>
  </si>
  <si>
    <t>163 Trương Thị Hoa phường Tân Thới Hiệp</t>
  </si>
  <si>
    <t>Uyên</t>
  </si>
  <si>
    <t>HD024442</t>
  </si>
  <si>
    <t>98 Vườn Lài, phường An Phú Đông</t>
  </si>
  <si>
    <t>Nguyễn Huỳnh Cẩm Tú</t>
  </si>
  <si>
    <t>HD024247</t>
  </si>
  <si>
    <t>78/63 đường số 11, phường thông tây hội</t>
  </si>
  <si>
    <t>Thùy</t>
  </si>
  <si>
    <t>HD024086</t>
  </si>
  <si>
    <t>175 quốc lộ 1k, linh xuân</t>
  </si>
  <si>
    <t>Tuyen Nguyen</t>
  </si>
  <si>
    <t>HD024412</t>
  </si>
  <si>
    <t>39/44/6 hoàng bật đạt p15</t>
  </si>
  <si>
    <t>Đào thị thanh tâm</t>
  </si>
  <si>
    <t>HD024429</t>
  </si>
  <si>
    <t>320/16 đường ĐHT 02 Phường đông hưng thuận</t>
  </si>
  <si>
    <t>HD024270</t>
  </si>
  <si>
    <t>Tạ Ngọc Mai</t>
  </si>
  <si>
    <t>HD024430</t>
  </si>
  <si>
    <t>Sarimi B1, khu chung cư Sala, P. An Lợi Đông</t>
  </si>
  <si>
    <t>BN1B2 mini chouchou Fb.</t>
  </si>
  <si>
    <t>HD024453</t>
  </si>
  <si>
    <t>401 Quang Trung f10</t>
  </si>
  <si>
    <t>Minh Hồng Nguyễn</t>
  </si>
  <si>
    <t>HD024438</t>
  </si>
  <si>
    <t>Jasmine 1 Hà đô - 118 Đường 3/2, phường 12</t>
  </si>
  <si>
    <t>Daisy Le</t>
  </si>
  <si>
    <t>HD024416</t>
  </si>
  <si>
    <t>418 Trường Sa, p2</t>
  </si>
  <si>
    <t>Ngọc Quyên</t>
  </si>
  <si>
    <t>HD024258</t>
  </si>
  <si>
    <t>148a hòa hưng p13</t>
  </si>
  <si>
    <t>HD024290</t>
  </si>
  <si>
    <t>at 29-05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</si>
  <si>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</si>
  <si>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</si>
  <si>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</si>
  <si>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</si>
  <si>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</si>
  <si>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</si>
  <si>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</si>
  <si>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</si>
  <si>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</si>
  <si>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</si>
  <si>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ĐỨC - FB MT MI Ngo</t>
  </si>
  <si>
    <t>HD024678</t>
  </si>
  <si>
    <t>39 an nhơn phường 17</t>
  </si>
  <si>
    <t>30-05-2026</t>
  </si>
  <si>
    <t>Phạm Thị Thanh Hồng</t>
  </si>
  <si>
    <t>HD024697</t>
  </si>
  <si>
    <t>Hẻm 95, nhà 95/5D, đường 15, phường tân hưng</t>
  </si>
  <si>
    <t>Ngọc Vũ</t>
  </si>
  <si>
    <t>HD024689</t>
  </si>
  <si>
    <t>42 đương so 6 binh trưng đông</t>
  </si>
  <si>
    <t>Nguyễn Cẩm Tú</t>
  </si>
  <si>
    <t>HD024680</t>
  </si>
  <si>
    <t>Sky garden 2, cổng đông 3, phường tân phong</t>
  </si>
  <si>
    <t>Ái Linh</t>
  </si>
  <si>
    <t>HD024455</t>
  </si>
  <si>
    <t>17/2 đường số 10 p bình trưng tây</t>
  </si>
  <si>
    <t>Irire Intara (phòng 505)</t>
  </si>
  <si>
    <t>HD024607</t>
  </si>
  <si>
    <t>A25 Hotel - 51-53-55 Cách Mạng Tháng 8, Phường Bến Thành</t>
  </si>
  <si>
    <t>Kiều Nhi</t>
  </si>
  <si>
    <t>HD024623</t>
  </si>
  <si>
    <t>4/2b đường số 26 phương an khánh</t>
  </si>
  <si>
    <t>Nguyễn Thu Phương</t>
  </si>
  <si>
    <t>HD024563</t>
  </si>
  <si>
    <t>Sunrise riverside tháp H Đường Nguyễn hữu thọ</t>
  </si>
  <si>
    <t>Hoàng Thu Thủy</t>
  </si>
  <si>
    <t>HD024597</t>
  </si>
  <si>
    <t>583 Nguyễn Thị Thập, phường Bình Thuận</t>
  </si>
  <si>
    <t>Ngô Hoàng Ánh</t>
  </si>
  <si>
    <t>HD024510</t>
  </si>
  <si>
    <t>235 QL13 Cũ, HBP</t>
  </si>
  <si>
    <t>Panhaketya (zalo_thiemuyen)</t>
  </si>
  <si>
    <t>HD024702</t>
  </si>
  <si>
    <t>Pham Ngu Lao A67 Nguyen Trai</t>
  </si>
  <si>
    <t>Nguyễn Thị Thùy Tiên</t>
  </si>
  <si>
    <t>HD024686</t>
  </si>
  <si>
    <t>1/10/2 nguyễn văn yến phường phú thạnh</t>
  </si>
  <si>
    <t>AT 30-05</t>
  </si>
  <si>
    <t>Trần Thị Mỹ Duyên</t>
  </si>
  <si>
    <t>HD024528</t>
  </si>
  <si>
    <t>84 song hành phường an phú</t>
  </si>
  <si>
    <t>HD024599</t>
  </si>
  <si>
    <t>Chị Bảo Châu</t>
  </si>
  <si>
    <t>HD024669</t>
  </si>
  <si>
    <t>W3370</t>
  </si>
  <si>
    <t>HD024406</t>
  </si>
  <si>
    <t>Ngọc Diệu</t>
  </si>
  <si>
    <t>HD024379</t>
  </si>
  <si>
    <t>132 Le van quoi p bình hưng hòa a</t>
  </si>
  <si>
    <t>HD024538</t>
  </si>
  <si>
    <t>320/16 đường ĐHT 02 phường đông hưng thuận</t>
  </si>
  <si>
    <t>Võ Hằng</t>
  </si>
  <si>
    <t>HD024527</t>
  </si>
  <si>
    <t>Cty leading star, lô C đường số 3, KCN Đồng An, Bình Hoà</t>
  </si>
  <si>
    <t>tinh</t>
  </si>
  <si>
    <t>hàng tỉnh</t>
  </si>
  <si>
    <t>Nhân (fb Cam Phu)</t>
  </si>
  <si>
    <t>HD024666</t>
  </si>
  <si>
    <t>11 đường 18 phường 4</t>
  </si>
  <si>
    <t>BN6352</t>
  </si>
  <si>
    <t>HD024138</t>
  </si>
  <si>
    <t>HD024704</t>
  </si>
  <si>
    <t>HD024659</t>
  </si>
  <si>
    <t>HD024670</t>
  </si>
  <si>
    <t>Phạm Duyên</t>
  </si>
  <si>
    <t>HD024075</t>
  </si>
  <si>
    <t>Số 107, Đường Dương Quảng Hàm phường 7 (tiệm rửa xe)</t>
  </si>
  <si>
    <t>An Nguyen - fb Nguyễn Hoàng Thúy An</t>
  </si>
  <si>
    <t>HD024454</t>
  </si>
  <si>
    <t>105/48 Nguyễn tư giản f12</t>
  </si>
  <si>
    <t>Đặng Trung</t>
  </si>
  <si>
    <t>HD023933</t>
  </si>
  <si>
    <t>206 khu phố Mỹ Hào, Hà Huy tập, P. Tân Phong</t>
  </si>
  <si>
    <t>Anh Hải nhận hàng (Thảo Trần)</t>
  </si>
  <si>
    <t>HD024613</t>
  </si>
  <si>
    <t>số 17 đường số 13 phường bình hưng hòa</t>
  </si>
  <si>
    <t>at 30-05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</si>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</sst>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46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horizontal="left"/>
    </xf>
    <xf numFmtId="0" fontId="4" fillId="4" borderId="0" xfId="0" applyFont="1" applyFill="1"/>
    <xf numFmtId="3" fontId="5" fillId="0" borderId="0" xfId="0" applyNumberFormat="1" applyFont="1" applyAlignment="1">
      <alignment horizontal="right"/>
    </xf>
    <xf numFmtId="3" fontId="0" fillId="0" borderId="1" xfId="0" quotePrefix="1" applyNumberFormat="1" applyBorder="1"/>
    <xf numFmtId="0" fontId="4" fillId="10" borderId="0" xfId="0" applyFont="1" applyFill="1"/>
    <xf numFmtId="0" fontId="0" fillId="10" borderId="0" xfId="0" applyFill="1"/>
    <xf numFmtId="0" fontId="5" fillId="10" borderId="0" xfId="0" applyFont="1" applyFill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  <xf numFmtId="0" fontId="4" fillId="10" borderId="0" xfId="0" applyFont="1" applyFill="1"/>
    <xf numFmtId="0" fontId="0" fillId="10" borderId="0" xfId="0" applyFill="1"/>
    <xf numFmtId="0" fontId="5" fillId="10" borderId="0" xfId="0" applyFon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K65" sqref="K65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18</v>
      </c>
      <c r="D3" s="15"/>
      <c r="E3" s="15" t="s">
        <v>19</v>
      </c>
      <c r="F3" s="16">
        <v>9</v>
      </c>
      <c r="G3" s="16">
        <v>895</v>
      </c>
      <c r="H3" s="16">
        <v>35</v>
      </c>
      <c r="I3" s="16">
        <f t="shared" ref="I3:I8" si="0">G3-H3</f>
        <v>860</v>
      </c>
      <c r="J3" s="15" t="s">
        <v>20</v>
      </c>
      <c r="K3" s="15" t="s">
        <v>21</v>
      </c>
      <c r="L3" s="15" t="s">
        <v>22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23</v>
      </c>
      <c r="D4" s="15" t="s">
        <v>24</v>
      </c>
      <c r="E4" s="15" t="s">
        <v>25</v>
      </c>
      <c r="F4" s="15" t="s">
        <v>26</v>
      </c>
      <c r="G4" s="16">
        <v>920</v>
      </c>
      <c r="H4" s="16">
        <v>30</v>
      </c>
      <c r="I4" s="16">
        <f t="shared" si="0"/>
        <v>890</v>
      </c>
      <c r="J4" s="15" t="s">
        <v>27</v>
      </c>
      <c r="K4" s="15" t="s">
        <v>21</v>
      </c>
      <c r="L4" s="15" t="s">
        <v>22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28</v>
      </c>
      <c r="D5" s="15" t="s">
        <v>29</v>
      </c>
      <c r="E5" s="15" t="s">
        <v>30</v>
      </c>
      <c r="F5" s="16">
        <v>12</v>
      </c>
      <c r="G5" s="16">
        <v>890</v>
      </c>
      <c r="H5" s="16">
        <v>30</v>
      </c>
      <c r="I5" s="16">
        <f t="shared" si="0"/>
        <v>860</v>
      </c>
      <c r="J5" s="15" t="s">
        <v>27</v>
      </c>
      <c r="K5" s="15" t="s">
        <v>21</v>
      </c>
      <c r="L5" s="15" t="s">
        <v>22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31</v>
      </c>
      <c r="D6" s="15" t="s">
        <v>32</v>
      </c>
      <c r="E6" s="15" t="s">
        <v>33</v>
      </c>
      <c r="F6" s="16">
        <v>12</v>
      </c>
      <c r="G6" s="16">
        <v>380</v>
      </c>
      <c r="H6" s="16">
        <v>30</v>
      </c>
      <c r="I6" s="16">
        <f t="shared" si="0"/>
        <v>350</v>
      </c>
      <c r="J6" s="15" t="s">
        <v>27</v>
      </c>
      <c r="K6" s="15" t="s">
        <v>21</v>
      </c>
      <c r="L6" s="15" t="s">
        <v>22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34</v>
      </c>
      <c r="D7" s="15" t="s">
        <v>35</v>
      </c>
      <c r="E7" s="15" t="s">
        <v>36</v>
      </c>
      <c r="F7" s="16">
        <v>8</v>
      </c>
      <c r="G7" s="16">
        <v>500</v>
      </c>
      <c r="H7" s="16">
        <v>30</v>
      </c>
      <c r="I7" s="16">
        <f t="shared" si="0"/>
        <v>470</v>
      </c>
      <c r="J7" s="15" t="s">
        <v>27</v>
      </c>
      <c r="K7" s="15" t="s">
        <v>21</v>
      </c>
      <c r="L7" s="15" t="s">
        <v>22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37</v>
      </c>
      <c r="D8" s="15" t="s">
        <v>38</v>
      </c>
      <c r="E8" s="15" t="s">
        <v>39</v>
      </c>
      <c r="F8" s="16">
        <v>8</v>
      </c>
      <c r="G8" s="16">
        <v>890</v>
      </c>
      <c r="H8" s="16">
        <v>30</v>
      </c>
      <c r="I8" s="16">
        <f t="shared" si="0"/>
        <v>860</v>
      </c>
      <c r="J8" s="15" t="s">
        <v>27</v>
      </c>
      <c r="K8" s="15" t="s">
        <v>21</v>
      </c>
      <c r="L8" s="15" t="s">
        <v>22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40</v>
      </c>
      <c r="D9" s="15" t="s">
        <v>41</v>
      </c>
      <c r="E9" s="15" t="s">
        <v>42</v>
      </c>
      <c r="F9" s="16">
        <v>12</v>
      </c>
      <c r="G9" s="16">
        <v>0</v>
      </c>
      <c r="H9" s="16">
        <v>30</v>
      </c>
      <c r="I9" s="16">
        <f>-H9</f>
        <v>-30</v>
      </c>
      <c r="J9" s="15" t="s">
        <v>27</v>
      </c>
      <c r="K9" s="15" t="s">
        <v>21</v>
      </c>
      <c r="L9" s="15" t="s">
        <v>22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43</v>
      </c>
      <c r="D10" s="15" t="s">
        <v>44</v>
      </c>
      <c r="E10" s="15" t="s">
        <v>45</v>
      </c>
      <c r="F10" s="15" t="s">
        <v>46</v>
      </c>
      <c r="G10" s="16">
        <v>785</v>
      </c>
      <c r="H10" s="16">
        <v>25</v>
      </c>
      <c r="I10" s="16">
        <f t="shared" ref="I10:I15" si="1">G10-H10</f>
        <v>760</v>
      </c>
      <c r="J10" s="15" t="s">
        <v>27</v>
      </c>
      <c r="K10" s="15" t="s">
        <v>21</v>
      </c>
      <c r="L10" s="15" t="s">
        <v>22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47</v>
      </c>
      <c r="D11" s="15" t="s">
        <v>48</v>
      </c>
      <c r="E11" s="15" t="s">
        <v>49</v>
      </c>
      <c r="F11" s="15" t="s">
        <v>26</v>
      </c>
      <c r="G11" s="16">
        <v>720</v>
      </c>
      <c r="H11" s="16">
        <v>30</v>
      </c>
      <c r="I11" s="16">
        <f t="shared" si="1"/>
        <v>690</v>
      </c>
      <c r="J11" s="15" t="s">
        <v>27</v>
      </c>
      <c r="K11" s="15" t="s">
        <v>21</v>
      </c>
      <c r="L11" s="15" t="s">
        <v>22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50</v>
      </c>
      <c r="D12" s="15" t="s">
        <v>51</v>
      </c>
      <c r="E12" s="15" t="s">
        <v>52</v>
      </c>
      <c r="F12" s="16">
        <v>8</v>
      </c>
      <c r="G12" s="16">
        <v>780</v>
      </c>
      <c r="H12" s="16">
        <v>30</v>
      </c>
      <c r="I12" s="16">
        <f t="shared" si="1"/>
        <v>750</v>
      </c>
      <c r="J12" s="15" t="s">
        <v>27</v>
      </c>
      <c r="K12" s="15" t="s">
        <v>21</v>
      </c>
      <c r="L12" s="15" t="s">
        <v>22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53</v>
      </c>
      <c r="D13" s="15" t="s">
        <v>54</v>
      </c>
      <c r="E13" s="15" t="s">
        <v>55</v>
      </c>
      <c r="F13" s="15" t="s">
        <v>26</v>
      </c>
      <c r="G13" s="16">
        <v>670</v>
      </c>
      <c r="H13" s="16">
        <v>30</v>
      </c>
      <c r="I13" s="16">
        <f t="shared" si="1"/>
        <v>640</v>
      </c>
      <c r="J13" s="15" t="s">
        <v>27</v>
      </c>
      <c r="K13" s="15" t="s">
        <v>21</v>
      </c>
      <c r="L13" s="15" t="s">
        <v>22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56</v>
      </c>
      <c r="D14" s="15" t="s">
        <v>57</v>
      </c>
      <c r="E14" s="15" t="s">
        <v>58</v>
      </c>
      <c r="F14" s="16">
        <v>6</v>
      </c>
      <c r="G14" s="16">
        <v>1445</v>
      </c>
      <c r="H14" s="16">
        <v>25</v>
      </c>
      <c r="I14" s="16">
        <f t="shared" si="1"/>
        <v>1420</v>
      </c>
      <c r="J14" s="15" t="s">
        <v>27</v>
      </c>
      <c r="K14" s="15" t="s">
        <v>21</v>
      </c>
      <c r="L14" s="15" t="s">
        <v>22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59</v>
      </c>
      <c r="D15" s="15" t="s">
        <v>60</v>
      </c>
      <c r="E15" s="15" t="s">
        <v>61</v>
      </c>
      <c r="F15" s="16">
        <v>9</v>
      </c>
      <c r="G15" s="16">
        <v>780</v>
      </c>
      <c r="H15" s="16">
        <v>30</v>
      </c>
      <c r="I15" s="16">
        <f t="shared" si="1"/>
        <v>750</v>
      </c>
      <c r="J15" s="15" t="s">
        <v>27</v>
      </c>
      <c r="K15" s="15" t="s">
        <v>21</v>
      </c>
      <c r="L15" s="15" t="s">
        <v>22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62</v>
      </c>
      <c r="D16" s="15" t="s">
        <v>63</v>
      </c>
      <c r="E16" s="15" t="s">
        <v>64</v>
      </c>
      <c r="F16" s="15" t="s">
        <v>26</v>
      </c>
      <c r="G16" s="16">
        <v>0</v>
      </c>
      <c r="H16" s="16">
        <v>30</v>
      </c>
      <c r="I16" s="16">
        <f>-H16</f>
        <v>-30</v>
      </c>
      <c r="J16" s="15" t="s">
        <v>27</v>
      </c>
      <c r="K16" s="15" t="s">
        <v>21</v>
      </c>
      <c r="L16" s="15" t="s">
        <v>22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65</v>
      </c>
      <c r="D17" s="15" t="s">
        <v>66</v>
      </c>
      <c r="E17" s="15" t="s">
        <v>67</v>
      </c>
      <c r="F17" s="16">
        <v>12</v>
      </c>
      <c r="G17" s="16">
        <v>690</v>
      </c>
      <c r="H17" s="16">
        <v>30</v>
      </c>
      <c r="I17" s="16">
        <f>G17-H17</f>
        <v>660</v>
      </c>
      <c r="J17" s="15" t="s">
        <v>27</v>
      </c>
      <c r="K17" s="15" t="s">
        <v>21</v>
      </c>
      <c r="L17" s="15" t="s">
        <v>22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68</v>
      </c>
      <c r="D18" s="15" t="s">
        <v>69</v>
      </c>
      <c r="E18" s="15" t="s">
        <v>70</v>
      </c>
      <c r="F18" s="16">
        <v>2</v>
      </c>
      <c r="G18" s="16">
        <v>820</v>
      </c>
      <c r="H18" s="16">
        <v>30</v>
      </c>
      <c r="I18" s="16">
        <f>G18-H18</f>
        <v>790</v>
      </c>
      <c r="J18" s="15" t="s">
        <v>21</v>
      </c>
      <c r="K18" s="15" t="s">
        <v>21</v>
      </c>
      <c r="L18" s="15" t="s">
        <v>22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71</v>
      </c>
      <c r="D19" s="15" t="s">
        <v>72</v>
      </c>
      <c r="E19" s="15" t="s">
        <v>73</v>
      </c>
      <c r="F19" s="16">
        <v>12</v>
      </c>
      <c r="G19" s="16">
        <v>0</v>
      </c>
      <c r="H19" s="16">
        <v>30</v>
      </c>
      <c r="I19" s="16">
        <f>-H19</f>
        <v>-30</v>
      </c>
      <c r="J19" s="15" t="s">
        <v>21</v>
      </c>
      <c r="K19" s="15" t="s">
        <v>21</v>
      </c>
      <c r="L19" s="15" t="s">
        <v>22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74</v>
      </c>
      <c r="D20" s="15" t="s">
        <v>75</v>
      </c>
      <c r="E20" s="15" t="s">
        <v>76</v>
      </c>
      <c r="F20" s="15" t="s">
        <v>77</v>
      </c>
      <c r="G20" s="16">
        <v>0</v>
      </c>
      <c r="H20" s="16">
        <v>40</v>
      </c>
      <c r="I20" s="16">
        <f>-H20</f>
        <v>-40</v>
      </c>
      <c r="J20" s="15" t="s">
        <v>21</v>
      </c>
      <c r="K20" s="15" t="s">
        <v>21</v>
      </c>
      <c r="L20" s="15" t="s">
        <v>22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78</v>
      </c>
      <c r="D21" s="15" t="s">
        <v>79</v>
      </c>
      <c r="E21" s="15" t="s">
        <v>80</v>
      </c>
      <c r="F21" s="15" t="s">
        <v>81</v>
      </c>
      <c r="G21" s="16">
        <v>690</v>
      </c>
      <c r="H21" s="16">
        <v>30</v>
      </c>
      <c r="I21" s="16">
        <f>G21-H21</f>
        <v>660</v>
      </c>
      <c r="J21" s="15" t="s">
        <v>21</v>
      </c>
      <c r="K21" s="15" t="s">
        <v>21</v>
      </c>
      <c r="L21" s="15" t="s">
        <v>22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82</v>
      </c>
      <c r="D22" s="15" t="s">
        <v>83</v>
      </c>
      <c r="E22" s="15" t="s">
        <v>84</v>
      </c>
      <c r="F22" s="15" t="s">
        <v>85</v>
      </c>
      <c r="G22" s="16">
        <v>660</v>
      </c>
      <c r="H22" s="16">
        <v>20</v>
      </c>
      <c r="I22" s="16">
        <f>G22-H22</f>
        <v>640</v>
      </c>
      <c r="J22" s="15" t="s">
        <v>21</v>
      </c>
      <c r="K22" s="15" t="s">
        <v>21</v>
      </c>
      <c r="L22" s="15" t="s">
        <v>22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86</v>
      </c>
      <c r="D23" s="15" t="s">
        <v>87</v>
      </c>
      <c r="E23" s="15" t="s">
        <v>88</v>
      </c>
      <c r="F23" s="15" t="s">
        <v>77</v>
      </c>
      <c r="G23" s="16">
        <v>375</v>
      </c>
      <c r="H23" s="16">
        <v>25</v>
      </c>
      <c r="I23" s="16">
        <f>G23-H23</f>
        <v>350</v>
      </c>
      <c r="J23" s="15" t="s">
        <v>21</v>
      </c>
      <c r="K23" s="15" t="s">
        <v>21</v>
      </c>
      <c r="L23" s="15" t="s">
        <v>22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89</v>
      </c>
      <c r="D24" s="15" t="s">
        <v>90</v>
      </c>
      <c r="E24" s="15" t="s">
        <v>91</v>
      </c>
      <c r="F24" s="15" t="s">
        <v>77</v>
      </c>
      <c r="G24" s="16">
        <v>0</v>
      </c>
      <c r="H24" s="16">
        <v>25</v>
      </c>
      <c r="I24" s="16">
        <f>-H24</f>
        <v>-25</v>
      </c>
      <c r="J24" s="15" t="s">
        <v>21</v>
      </c>
      <c r="K24" s="15" t="s">
        <v>21</v>
      </c>
      <c r="L24" s="15" t="s">
        <v>22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92</v>
      </c>
      <c r="D25" s="15" t="s">
        <v>93</v>
      </c>
      <c r="E25" s="15" t="s">
        <v>94</v>
      </c>
      <c r="F25" s="15" t="s">
        <v>95</v>
      </c>
      <c r="G25" s="16">
        <v>725</v>
      </c>
      <c r="H25" s="16">
        <v>25</v>
      </c>
      <c r="I25" s="16">
        <f>G25-H25</f>
        <v>700</v>
      </c>
      <c r="J25" s="15" t="s">
        <v>21</v>
      </c>
      <c r="K25" s="15" t="s">
        <v>21</v>
      </c>
      <c r="L25" s="15" t="s">
        <v>22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96</v>
      </c>
      <c r="D26" s="15" t="s">
        <v>97</v>
      </c>
      <c r="E26" s="15" t="s">
        <v>98</v>
      </c>
      <c r="F26" s="15" t="s">
        <v>77</v>
      </c>
      <c r="G26" s="16">
        <v>0</v>
      </c>
      <c r="H26" s="16">
        <v>25</v>
      </c>
      <c r="I26" s="16">
        <f>-H26</f>
        <v>-25</v>
      </c>
      <c r="J26" s="15" t="s">
        <v>21</v>
      </c>
      <c r="K26" s="15" t="s">
        <v>21</v>
      </c>
      <c r="L26" s="15" t="s">
        <v>22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99</v>
      </c>
      <c r="D27" s="15" t="s">
        <v>100</v>
      </c>
      <c r="E27" s="15" t="s">
        <v>101</v>
      </c>
      <c r="F27" s="15" t="s">
        <v>77</v>
      </c>
      <c r="G27" s="16">
        <v>1765</v>
      </c>
      <c r="H27" s="16">
        <v>25</v>
      </c>
      <c r="I27" s="16">
        <f>G27-H27</f>
        <v>1740</v>
      </c>
      <c r="J27" s="15" t="s">
        <v>21</v>
      </c>
      <c r="K27" s="15" t="s">
        <v>21</v>
      </c>
      <c r="L27" s="15" t="s">
        <v>22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102</v>
      </c>
      <c r="D28" s="15" t="s">
        <v>103</v>
      </c>
      <c r="E28" s="15" t="s">
        <v>104</v>
      </c>
      <c r="F28" s="15" t="s">
        <v>77</v>
      </c>
      <c r="G28" s="16">
        <v>0</v>
      </c>
      <c r="H28" s="16">
        <v>25</v>
      </c>
      <c r="I28" s="16">
        <f>-H28</f>
        <v>-25</v>
      </c>
      <c r="J28" s="15" t="s">
        <v>21</v>
      </c>
      <c r="K28" s="15" t="s">
        <v>21</v>
      </c>
      <c r="L28" s="15" t="s">
        <v>22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105</v>
      </c>
      <c r="D29" s="15" t="s">
        <v>106</v>
      </c>
      <c r="E29" s="15" t="s">
        <v>107</v>
      </c>
      <c r="F29" s="15" t="s">
        <v>77</v>
      </c>
      <c r="G29" s="16">
        <v>765</v>
      </c>
      <c r="H29" s="16">
        <v>25</v>
      </c>
      <c r="I29" s="16">
        <f>G29-H29</f>
        <v>740</v>
      </c>
      <c r="J29" s="15" t="s">
        <v>21</v>
      </c>
      <c r="K29" s="15" t="s">
        <v>21</v>
      </c>
      <c r="L29" s="15" t="s">
        <v>22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108</v>
      </c>
      <c r="D30" s="15" t="s">
        <v>109</v>
      </c>
      <c r="E30" s="15" t="s">
        <v>110</v>
      </c>
      <c r="F30" s="15" t="s">
        <v>81</v>
      </c>
      <c r="G30" s="16">
        <v>820</v>
      </c>
      <c r="H30" s="16">
        <v>30</v>
      </c>
      <c r="I30" s="16">
        <f>G30-H30</f>
        <v>790</v>
      </c>
      <c r="J30" s="15" t="s">
        <v>21</v>
      </c>
      <c r="K30" s="15" t="s">
        <v>21</v>
      </c>
      <c r="L30" s="15" t="s">
        <v>22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</v>
      </c>
      <c r="D31" s="15" t="s">
        <v>112</v>
      </c>
      <c r="E31" s="15" t="s">
        <v>113</v>
      </c>
      <c r="F31" s="15" t="s">
        <v>85</v>
      </c>
      <c r="G31" s="16">
        <v>740</v>
      </c>
      <c r="H31" s="16">
        <v>20</v>
      </c>
      <c r="I31" s="16">
        <f>G31-H31</f>
        <v>720</v>
      </c>
      <c r="J31" s="15" t="s">
        <v>21</v>
      </c>
      <c r="K31" s="15" t="s">
        <v>21</v>
      </c>
      <c r="L31" s="15" t="s">
        <v>22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114</v>
      </c>
      <c r="D32" s="15" t="s">
        <v>115</v>
      </c>
      <c r="E32" s="15" t="s">
        <v>116</v>
      </c>
      <c r="F32" s="15" t="s">
        <v>85</v>
      </c>
      <c r="G32" s="16">
        <v>770</v>
      </c>
      <c r="H32" s="16">
        <v>20</v>
      </c>
      <c r="I32" s="16">
        <f>G32-H32</f>
        <v>750</v>
      </c>
      <c r="J32" s="15" t="s">
        <v>21</v>
      </c>
      <c r="K32" s="15" t="s">
        <v>21</v>
      </c>
      <c r="L32" s="15" t="s">
        <v>22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117</v>
      </c>
      <c r="D33" s="15" t="s">
        <v>118</v>
      </c>
      <c r="E33" s="15" t="s">
        <v>119</v>
      </c>
      <c r="F33" s="16">
        <v>2</v>
      </c>
      <c r="G33" s="16">
        <v>0</v>
      </c>
      <c r="H33" s="16">
        <v>30</v>
      </c>
      <c r="I33" s="16">
        <f>-H33</f>
        <v>-30</v>
      </c>
      <c r="J33" s="15" t="s">
        <v>21</v>
      </c>
      <c r="K33" s="15" t="s">
        <v>21</v>
      </c>
      <c r="L33" s="15" t="s">
        <v>22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/>
      <c r="B34" s="15" t="s">
        <v>17</v>
      </c>
      <c r="C34" s="15" t="s">
        <v>120</v>
      </c>
      <c r="D34" s="15" t="s">
        <v>121</v>
      </c>
      <c r="E34" s="15" t="s">
        <v>122</v>
      </c>
      <c r="F34" s="15" t="s">
        <v>85</v>
      </c>
      <c r="G34" s="16">
        <v>590</v>
      </c>
      <c r="H34" s="16">
        <v>20</v>
      </c>
      <c r="I34" s="16">
        <f t="shared" ref="I34:I41" si="2">G34-H34</f>
        <v>570</v>
      </c>
      <c r="J34" s="15" t="s">
        <v>21</v>
      </c>
      <c r="K34" s="15" t="s">
        <v>21</v>
      </c>
      <c r="L34" s="15" t="s">
        <v>22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123</v>
      </c>
      <c r="D35" s="17" t="s">
        <v>124</v>
      </c>
      <c r="E35" s="17" t="s">
        <v>125</v>
      </c>
      <c r="F35" s="18">
        <v>2</v>
      </c>
      <c r="G35" s="18">
        <v>110</v>
      </c>
      <c r="H35" s="18">
        <v>30</v>
      </c>
      <c r="I35" s="18">
        <f t="shared" si="2"/>
        <v>80</v>
      </c>
      <c r="J35" s="17" t="s">
        <v>21</v>
      </c>
      <c r="K35" s="17" t="s">
        <v>21</v>
      </c>
      <c r="L35" s="17" t="s">
        <v>22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 t="s">
        <v>16</v>
      </c>
      <c r="B36" s="15" t="s">
        <v>17</v>
      </c>
      <c r="C36" s="15" t="s">
        <v>127</v>
      </c>
      <c r="D36" s="15"/>
      <c r="E36" s="15" t="s">
        <v>128</v>
      </c>
      <c r="F36" s="15" t="s">
        <v>81</v>
      </c>
      <c r="G36" s="16">
        <v>1165</v>
      </c>
      <c r="H36" s="16">
        <v>35</v>
      </c>
      <c r="I36" s="16">
        <f t="shared" si="2"/>
        <v>1130</v>
      </c>
      <c r="J36" s="15" t="s">
        <v>21</v>
      </c>
      <c r="K36" s="15" t="s">
        <v>21</v>
      </c>
      <c r="L36" s="15" t="s">
        <v>22</v>
      </c>
      <c r="M36" s="15"/>
      <c r="N36" s="15"/>
      <c r="O36" s="15"/>
      <c r="P36" s="15"/>
      <c r="Q36" s="15">
        <v>1</v>
      </c>
    </row>
    <row r="37" spans="1:18" x14ac:dyDescent="0.25">
      <c r="A37" s="15" t="s">
        <v>16</v>
      </c>
      <c r="B37" s="15" t="s">
        <v>17</v>
      </c>
      <c r="C37" s="15" t="s">
        <v>129</v>
      </c>
      <c r="D37" s="15"/>
      <c r="E37" s="15" t="s">
        <v>130</v>
      </c>
      <c r="F37" s="15" t="s">
        <v>77</v>
      </c>
      <c r="G37" s="16">
        <v>2985</v>
      </c>
      <c r="H37" s="16">
        <v>35</v>
      </c>
      <c r="I37" s="16">
        <f t="shared" si="2"/>
        <v>2950</v>
      </c>
      <c r="J37" s="15" t="s">
        <v>21</v>
      </c>
      <c r="K37" s="15" t="s">
        <v>21</v>
      </c>
      <c r="L37" s="15" t="s">
        <v>22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131</v>
      </c>
      <c r="D38" s="15" t="s">
        <v>132</v>
      </c>
      <c r="E38" s="15" t="s">
        <v>133</v>
      </c>
      <c r="F38" s="15" t="s">
        <v>134</v>
      </c>
      <c r="G38" s="16">
        <v>1145</v>
      </c>
      <c r="H38" s="16">
        <v>35</v>
      </c>
      <c r="I38" s="16">
        <f t="shared" si="2"/>
        <v>1110</v>
      </c>
      <c r="J38" s="15" t="s">
        <v>135</v>
      </c>
      <c r="K38" s="15" t="s">
        <v>21</v>
      </c>
      <c r="L38" s="15" t="s">
        <v>22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136</v>
      </c>
      <c r="D39" s="15" t="s">
        <v>137</v>
      </c>
      <c r="E39" s="15" t="s">
        <v>138</v>
      </c>
      <c r="F39" s="15" t="s">
        <v>139</v>
      </c>
      <c r="G39" s="16">
        <v>675</v>
      </c>
      <c r="H39" s="16">
        <v>35</v>
      </c>
      <c r="I39" s="16">
        <f t="shared" si="2"/>
        <v>640</v>
      </c>
      <c r="J39" s="15" t="s">
        <v>135</v>
      </c>
      <c r="K39" s="15" t="s">
        <v>21</v>
      </c>
      <c r="L39" s="15" t="s">
        <v>22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140</v>
      </c>
      <c r="D40" s="15" t="s">
        <v>141</v>
      </c>
      <c r="E40" s="15" t="s">
        <v>142</v>
      </c>
      <c r="F40" s="16">
        <v>5</v>
      </c>
      <c r="G40" s="16">
        <v>785</v>
      </c>
      <c r="H40" s="16">
        <v>25</v>
      </c>
      <c r="I40" s="16">
        <f t="shared" si="2"/>
        <v>760</v>
      </c>
      <c r="J40" s="15" t="s">
        <v>135</v>
      </c>
      <c r="K40" s="15" t="s">
        <v>21</v>
      </c>
      <c r="L40" s="15" t="s">
        <v>22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143</v>
      </c>
      <c r="D41" s="15" t="s">
        <v>144</v>
      </c>
      <c r="E41" s="15" t="s">
        <v>145</v>
      </c>
      <c r="F41" s="16">
        <v>1</v>
      </c>
      <c r="G41" s="16">
        <v>725</v>
      </c>
      <c r="H41" s="16">
        <v>25</v>
      </c>
      <c r="I41" s="16">
        <f t="shared" si="2"/>
        <v>700</v>
      </c>
      <c r="J41" s="15" t="s">
        <v>135</v>
      </c>
      <c r="K41" s="15" t="s">
        <v>21</v>
      </c>
      <c r="L41" s="15" t="s">
        <v>22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17</v>
      </c>
      <c r="C42" s="15" t="s">
        <v>146</v>
      </c>
      <c r="D42" s="15" t="s">
        <v>147</v>
      </c>
      <c r="E42" s="15" t="s">
        <v>148</v>
      </c>
      <c r="F42" s="16">
        <v>5</v>
      </c>
      <c r="G42" s="16">
        <v>0</v>
      </c>
      <c r="H42" s="16">
        <v>25</v>
      </c>
      <c r="I42" s="16">
        <f>-H42</f>
        <v>-25</v>
      </c>
      <c r="J42" s="15" t="s">
        <v>135</v>
      </c>
      <c r="K42" s="15" t="s">
        <v>21</v>
      </c>
      <c r="L42" s="15" t="s">
        <v>22</v>
      </c>
      <c r="M42" s="15"/>
      <c r="N42" s="15"/>
      <c r="O42" s="15"/>
      <c r="P42" s="15"/>
      <c r="Q42" s="15">
        <v>1</v>
      </c>
      <c r="R42" s="10">
        <f>H42</f>
        <v>25</v>
      </c>
    </row>
    <row r="43" spans="1:18" x14ac:dyDescent="0.25">
      <c r="A43" s="15"/>
      <c r="B43" s="15" t="s">
        <v>17</v>
      </c>
      <c r="C43" s="15" t="s">
        <v>149</v>
      </c>
      <c r="D43" s="15" t="s">
        <v>150</v>
      </c>
      <c r="E43" s="15" t="s">
        <v>151</v>
      </c>
      <c r="F43" s="16">
        <v>3</v>
      </c>
      <c r="G43" s="16">
        <v>1585</v>
      </c>
      <c r="H43" s="16">
        <v>25</v>
      </c>
      <c r="I43" s="16">
        <f>G43-H43</f>
        <v>1560</v>
      </c>
      <c r="J43" s="15" t="s">
        <v>135</v>
      </c>
      <c r="K43" s="15" t="s">
        <v>21</v>
      </c>
      <c r="L43" s="15" t="s">
        <v>22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17</v>
      </c>
      <c r="C44" s="15" t="s">
        <v>152</v>
      </c>
      <c r="D44" s="15" t="s">
        <v>153</v>
      </c>
      <c r="E44" s="15" t="s">
        <v>154</v>
      </c>
      <c r="F44" s="16">
        <v>3</v>
      </c>
      <c r="G44" s="16">
        <v>815</v>
      </c>
      <c r="H44" s="16">
        <v>25</v>
      </c>
      <c r="I44" s="16">
        <f>G44-H44</f>
        <v>790</v>
      </c>
      <c r="J44" s="15" t="s">
        <v>135</v>
      </c>
      <c r="K44" s="15" t="s">
        <v>21</v>
      </c>
      <c r="L44" s="15" t="s">
        <v>22</v>
      </c>
      <c r="M44" s="15"/>
      <c r="N44" s="15"/>
      <c r="O44" s="15"/>
      <c r="P44" s="15"/>
      <c r="Q44" s="15">
        <v>1</v>
      </c>
    </row>
    <row r="45" spans="1:18" x14ac:dyDescent="0.25">
      <c r="A45" s="15"/>
      <c r="B45" s="15" t="s">
        <v>17</v>
      </c>
      <c r="C45" s="15" t="s">
        <v>155</v>
      </c>
      <c r="D45" s="15" t="s">
        <v>156</v>
      </c>
      <c r="E45" s="15" t="s">
        <v>157</v>
      </c>
      <c r="F45" s="16">
        <v>7</v>
      </c>
      <c r="G45" s="16">
        <v>690</v>
      </c>
      <c r="H45" s="16">
        <v>30</v>
      </c>
      <c r="I45" s="16">
        <f>G45-H45</f>
        <v>660</v>
      </c>
      <c r="J45" s="15" t="s">
        <v>135</v>
      </c>
      <c r="K45" s="15" t="s">
        <v>21</v>
      </c>
      <c r="L45" s="15" t="s">
        <v>22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17</v>
      </c>
      <c r="C46" s="15" t="s">
        <v>158</v>
      </c>
      <c r="D46" s="15" t="s">
        <v>159</v>
      </c>
      <c r="E46" s="15" t="s">
        <v>160</v>
      </c>
      <c r="F46" s="15" t="s">
        <v>95</v>
      </c>
      <c r="G46" s="16">
        <v>0</v>
      </c>
      <c r="H46" s="16">
        <v>25</v>
      </c>
      <c r="I46" s="16">
        <f>-H46</f>
        <v>-25</v>
      </c>
      <c r="J46" s="15" t="s">
        <v>135</v>
      </c>
      <c r="K46" s="15" t="s">
        <v>21</v>
      </c>
      <c r="L46" s="15" t="s">
        <v>22</v>
      </c>
      <c r="M46" s="15"/>
      <c r="N46" s="15"/>
      <c r="O46" s="15"/>
      <c r="P46" s="15"/>
      <c r="Q46" s="15">
        <v>1</v>
      </c>
      <c r="R46" s="10">
        <f>H46</f>
        <v>25</v>
      </c>
    </row>
    <row r="47" spans="1:18" s="19" customFormat="1" x14ac:dyDescent="0.25">
      <c r="A47" s="17"/>
      <c r="B47" s="17" t="s">
        <v>17</v>
      </c>
      <c r="C47" s="17" t="s">
        <v>161</v>
      </c>
      <c r="D47" s="17" t="s">
        <v>162</v>
      </c>
      <c r="E47" s="17" t="s">
        <v>163</v>
      </c>
      <c r="F47" s="18">
        <v>7</v>
      </c>
      <c r="G47" s="18">
        <v>60</v>
      </c>
      <c r="H47" s="18">
        <v>30</v>
      </c>
      <c r="I47" s="18">
        <f>G47-H47</f>
        <v>30</v>
      </c>
      <c r="J47" s="17" t="s">
        <v>135</v>
      </c>
      <c r="K47" s="17" t="s">
        <v>21</v>
      </c>
      <c r="L47" s="17" t="s">
        <v>22</v>
      </c>
      <c r="M47" s="17" t="s">
        <v>126</v>
      </c>
      <c r="N47" s="17"/>
      <c r="O47" s="17"/>
      <c r="P47" s="17"/>
      <c r="Q47" s="17">
        <v>1</v>
      </c>
    </row>
    <row r="48" spans="1:18" x14ac:dyDescent="0.25">
      <c r="A48" s="15"/>
      <c r="B48" s="15" t="s">
        <v>17</v>
      </c>
      <c r="C48" s="15" t="s">
        <v>164</v>
      </c>
      <c r="D48" s="15" t="s">
        <v>165</v>
      </c>
      <c r="E48" s="15" t="s">
        <v>166</v>
      </c>
      <c r="F48" s="16">
        <v>1</v>
      </c>
      <c r="G48" s="16">
        <v>2040</v>
      </c>
      <c r="H48" s="16">
        <v>30</v>
      </c>
      <c r="I48" s="16">
        <f>G48-H48</f>
        <v>2010</v>
      </c>
      <c r="J48" s="15" t="s">
        <v>135</v>
      </c>
      <c r="K48" s="15" t="s">
        <v>21</v>
      </c>
      <c r="L48" s="15" t="s">
        <v>22</v>
      </c>
      <c r="M48" s="20" t="s">
        <v>167</v>
      </c>
      <c r="N48" s="15"/>
      <c r="O48" s="15"/>
      <c r="P48" s="15"/>
      <c r="Q48" s="15">
        <v>1</v>
      </c>
      <c r="R48" s="10">
        <f>H48</f>
        <v>30</v>
      </c>
    </row>
    <row r="49" spans="1:18" x14ac:dyDescent="0.25">
      <c r="A49" s="15"/>
      <c r="B49" s="15" t="s">
        <v>17</v>
      </c>
      <c r="C49" s="15" t="s">
        <v>168</v>
      </c>
      <c r="D49" s="15" t="s">
        <v>169</v>
      </c>
      <c r="E49" s="15" t="s">
        <v>170</v>
      </c>
      <c r="F49" s="16">
        <v>7</v>
      </c>
      <c r="G49" s="16">
        <v>1800</v>
      </c>
      <c r="H49" s="16">
        <v>30</v>
      </c>
      <c r="I49" s="16">
        <f>G49-H49</f>
        <v>1770</v>
      </c>
      <c r="J49" s="15" t="s">
        <v>135</v>
      </c>
      <c r="K49" s="15" t="s">
        <v>21</v>
      </c>
      <c r="L49" s="15" t="s">
        <v>22</v>
      </c>
      <c r="M49" s="15"/>
      <c r="N49" s="15"/>
      <c r="O49" s="15"/>
      <c r="P49" s="15"/>
      <c r="Q49" s="15">
        <v>1</v>
      </c>
    </row>
    <row r="50" spans="1:18" x14ac:dyDescent="0.25">
      <c r="A50" s="15"/>
      <c r="B50" s="15" t="s">
        <v>17</v>
      </c>
      <c r="C50" s="15" t="s">
        <v>171</v>
      </c>
      <c r="D50" s="15" t="s">
        <v>172</v>
      </c>
      <c r="E50" s="15" t="s">
        <v>173</v>
      </c>
      <c r="F50" s="16">
        <v>7</v>
      </c>
      <c r="G50" s="16">
        <v>770</v>
      </c>
      <c r="H50" s="16">
        <v>30</v>
      </c>
      <c r="I50" s="16">
        <f>G50-H50</f>
        <v>740</v>
      </c>
      <c r="J50" s="15" t="s">
        <v>135</v>
      </c>
      <c r="K50" s="15" t="s">
        <v>21</v>
      </c>
      <c r="L50" s="15" t="s">
        <v>22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17</v>
      </c>
      <c r="C51" s="15" t="s">
        <v>174</v>
      </c>
      <c r="D51" s="15" t="s">
        <v>175</v>
      </c>
      <c r="E51" s="15" t="s">
        <v>176</v>
      </c>
      <c r="F51" s="16">
        <v>7</v>
      </c>
      <c r="G51" s="16">
        <v>770</v>
      </c>
      <c r="H51" s="16">
        <v>30</v>
      </c>
      <c r="I51" s="16">
        <f>G51-H51</f>
        <v>740</v>
      </c>
      <c r="J51" s="15" t="s">
        <v>135</v>
      </c>
      <c r="K51" s="15" t="s">
        <v>21</v>
      </c>
      <c r="L51" s="15" t="s">
        <v>22</v>
      </c>
      <c r="M51" s="15"/>
      <c r="N51" s="15"/>
      <c r="O51" s="15"/>
      <c r="P51" s="15"/>
      <c r="Q51" s="15">
        <v>1</v>
      </c>
    </row>
    <row r="52" spans="1:18" x14ac:dyDescent="0.25">
      <c r="A52" s="15"/>
      <c r="B52" s="15" t="s">
        <v>17</v>
      </c>
      <c r="C52" s="15" t="s">
        <v>177</v>
      </c>
      <c r="D52" s="15" t="s">
        <v>178</v>
      </c>
      <c r="E52" s="15" t="s">
        <v>179</v>
      </c>
      <c r="F52" s="16">
        <v>8</v>
      </c>
      <c r="G52" s="16">
        <v>0</v>
      </c>
      <c r="H52" s="16">
        <v>25</v>
      </c>
      <c r="I52" s="16">
        <f>-H52</f>
        <v>-25</v>
      </c>
      <c r="J52" s="15" t="s">
        <v>135</v>
      </c>
      <c r="K52" s="15" t="s">
        <v>21</v>
      </c>
      <c r="L52" s="15" t="s">
        <v>22</v>
      </c>
      <c r="M52" s="15"/>
      <c r="N52" s="15"/>
      <c r="O52" s="15"/>
      <c r="P52" s="15"/>
      <c r="Q52" s="15">
        <v>1</v>
      </c>
      <c r="R52" s="10">
        <f>H52</f>
        <v>25</v>
      </c>
    </row>
    <row r="53" spans="1:18" x14ac:dyDescent="0.25">
      <c r="A53" s="15"/>
      <c r="B53" s="15" t="s">
        <v>17</v>
      </c>
      <c r="C53" s="15" t="s">
        <v>180</v>
      </c>
      <c r="D53" s="15" t="s">
        <v>181</v>
      </c>
      <c r="E53" s="15" t="s">
        <v>182</v>
      </c>
      <c r="F53" s="16">
        <v>3</v>
      </c>
      <c r="G53" s="16">
        <v>0</v>
      </c>
      <c r="H53" s="16">
        <v>25</v>
      </c>
      <c r="I53" s="16">
        <f>-H53</f>
        <v>-25</v>
      </c>
      <c r="J53" s="15" t="s">
        <v>135</v>
      </c>
      <c r="K53" s="15" t="s">
        <v>21</v>
      </c>
      <c r="L53" s="15" t="s">
        <v>22</v>
      </c>
      <c r="M53" s="15"/>
      <c r="N53" s="15"/>
      <c r="O53" s="15"/>
      <c r="P53" s="15"/>
      <c r="Q53" s="15">
        <v>1</v>
      </c>
      <c r="R53" s="10">
        <f>H53</f>
        <v>25</v>
      </c>
    </row>
    <row r="54" spans="1:18" x14ac:dyDescent="0.25">
      <c r="A54" s="15"/>
      <c r="B54" s="15" t="s">
        <v>17</v>
      </c>
      <c r="C54" s="15" t="s">
        <v>183</v>
      </c>
      <c r="D54" s="15" t="s">
        <v>184</v>
      </c>
      <c r="E54" s="15" t="s">
        <v>185</v>
      </c>
      <c r="F54" s="16">
        <v>4</v>
      </c>
      <c r="G54" s="16">
        <v>815</v>
      </c>
      <c r="H54" s="16">
        <v>25</v>
      </c>
      <c r="I54" s="16">
        <f>G54-H54</f>
        <v>790</v>
      </c>
      <c r="J54" s="15" t="s">
        <v>135</v>
      </c>
      <c r="K54" s="15" t="s">
        <v>21</v>
      </c>
      <c r="L54" s="15" t="s">
        <v>22</v>
      </c>
      <c r="M54" s="15"/>
      <c r="N54" s="15"/>
      <c r="O54" s="15"/>
      <c r="P54" s="15"/>
      <c r="Q54" s="15">
        <v>1</v>
      </c>
    </row>
    <row r="55" spans="1:18" x14ac:dyDescent="0.25">
      <c r="A55" s="15"/>
      <c r="B55" s="15" t="s">
        <v>17</v>
      </c>
      <c r="C55" s="15" t="s">
        <v>186</v>
      </c>
      <c r="D55" s="15" t="s">
        <v>187</v>
      </c>
      <c r="E55" s="15" t="s">
        <v>188</v>
      </c>
      <c r="F55" s="16">
        <v>4</v>
      </c>
      <c r="G55" s="16">
        <v>815</v>
      </c>
      <c r="H55" s="16">
        <v>25</v>
      </c>
      <c r="I55" s="16">
        <f>G55-H55</f>
        <v>790</v>
      </c>
      <c r="J55" s="15" t="s">
        <v>135</v>
      </c>
      <c r="K55" s="15" t="s">
        <v>21</v>
      </c>
      <c r="L55" s="15" t="s">
        <v>22</v>
      </c>
      <c r="M55" s="15"/>
      <c r="N55" s="15"/>
      <c r="O55" s="15"/>
      <c r="P55" s="15"/>
      <c r="Q55" s="15">
        <v>1</v>
      </c>
    </row>
    <row r="56" spans="1:18" x14ac:dyDescent="0.25">
      <c r="A56" s="15" t="s">
        <v>16</v>
      </c>
      <c r="B56" s="15" t="s">
        <v>17</v>
      </c>
      <c r="C56" s="15" t="s">
        <v>189</v>
      </c>
      <c r="D56" s="15"/>
      <c r="E56" s="15" t="s">
        <v>190</v>
      </c>
      <c r="F56" s="16">
        <v>5</v>
      </c>
      <c r="G56" s="16">
        <v>0</v>
      </c>
      <c r="H56" s="16">
        <v>30</v>
      </c>
      <c r="I56" s="16">
        <f>-H56</f>
        <v>-30</v>
      </c>
      <c r="J56" s="15" t="s">
        <v>135</v>
      </c>
      <c r="K56" s="15" t="s">
        <v>21</v>
      </c>
      <c r="L56" s="15" t="s">
        <v>22</v>
      </c>
      <c r="M56" s="15"/>
      <c r="N56" s="15"/>
      <c r="O56" s="15"/>
      <c r="P56" s="15"/>
      <c r="Q56" s="15">
        <v>1</v>
      </c>
      <c r="R56" s="10">
        <f>H56</f>
        <v>30</v>
      </c>
    </row>
    <row r="58" spans="1:18" x14ac:dyDescent="0.25">
      <c r="D58" s="1">
        <f>COUNTA(D3:D56)</f>
        <v>50</v>
      </c>
      <c r="G58" s="1">
        <f t="shared" ref="G58:Q58" si="3">SUBTOTAL(9,G3:G56)</f>
        <v>36815</v>
      </c>
      <c r="H58" s="1">
        <f t="shared" si="3"/>
        <v>1520</v>
      </c>
      <c r="I58" s="1">
        <f t="shared" si="3"/>
        <v>35295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1" t="s">
        <v>17</v>
      </c>
      <c r="C60" s="40" t="s">
        <v>191</v>
      </c>
      <c r="D60" s="40"/>
      <c r="E60" s="4" t="s">
        <v>192</v>
      </c>
      <c r="H60">
        <f>-9*25</f>
        <v>-225</v>
      </c>
      <c r="K60" s="11" t="s">
        <v>27</v>
      </c>
      <c r="L60" s="11" t="s">
        <v>193</v>
      </c>
      <c r="M60" s="11" t="s">
        <v>192</v>
      </c>
      <c r="O60" s="4" t="s">
        <v>194</v>
      </c>
    </row>
    <row r="61" spans="1:18" x14ac:dyDescent="0.25">
      <c r="A61" t="s">
        <v>22</v>
      </c>
      <c r="B61" s="3" t="s">
        <v>195</v>
      </c>
      <c r="C61" s="41">
        <f>SUMIFS(I$3:I$56,B$3:B$56,A$60,L$3:L$56,A$61)</f>
        <v>35295</v>
      </c>
      <c r="D61" s="41"/>
      <c r="E61" s="3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2" t="s">
        <v>199</v>
      </c>
      <c r="C62" s="42">
        <v>0</v>
      </c>
      <c r="D62" s="42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2" t="s">
        <v>201</v>
      </c>
      <c r="C63" s="42">
        <f>-SUMIFS(I$3:I$56,B$3:B$56,A$60,P$3:P$56,"xx",N$3:N$56,"x")</f>
        <v>0</v>
      </c>
      <c r="D63" s="42"/>
      <c r="E63" s="2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4" t="s">
        <v>203</v>
      </c>
      <c r="C64" s="40">
        <f>SUBTOTAL(9,C61:C63)</f>
        <v>35295</v>
      </c>
      <c r="D64" s="40"/>
      <c r="E64">
        <f>E61</f>
        <v>54</v>
      </c>
      <c r="K64" s="2" t="s">
        <v>204</v>
      </c>
      <c r="O64" t="s">
        <v>20</v>
      </c>
      <c r="P64">
        <f>L90</f>
        <v>865</v>
      </c>
    </row>
    <row r="65" spans="2:16" x14ac:dyDescent="0.25">
      <c r="B65" s="2" t="s">
        <v>205</v>
      </c>
      <c r="C65" s="38"/>
      <c r="D65" s="38"/>
      <c r="K65" s="2" t="s">
        <v>206</v>
      </c>
      <c r="O65" t="s">
        <v>207</v>
      </c>
      <c r="P65">
        <f>-C68</f>
        <v>-35295</v>
      </c>
    </row>
    <row r="66" spans="2:16" x14ac:dyDescent="0.25">
      <c r="B66" s="12" t="s">
        <v>208</v>
      </c>
      <c r="C66" s="38"/>
      <c r="D66" s="38"/>
      <c r="L66" s="13">
        <f>SUBTOTAL(9,L61:L65)</f>
        <v>9140</v>
      </c>
      <c r="M66" s="13">
        <f>M61</f>
        <v>14</v>
      </c>
      <c r="O66" s="4" t="s">
        <v>209</v>
      </c>
      <c r="P66" s="4">
        <f>SUBTOTAL(9,P61:P65)</f>
        <v>192</v>
      </c>
    </row>
    <row r="68" spans="2:16" x14ac:dyDescent="0.25">
      <c r="B68" s="1" t="s">
        <v>210</v>
      </c>
      <c r="C68" s="39">
        <f>C64+C65+C66</f>
        <v>35295</v>
      </c>
      <c r="D68" s="39"/>
      <c r="E68" s="1" t="s">
        <v>211</v>
      </c>
      <c r="K68" s="11" t="s">
        <v>135</v>
      </c>
      <c r="L68" s="11" t="s">
        <v>193</v>
      </c>
      <c r="M68" s="11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2" t="s">
        <v>204</v>
      </c>
    </row>
    <row r="73" spans="2:16" x14ac:dyDescent="0.25">
      <c r="K73" s="2" t="s">
        <v>206</v>
      </c>
    </row>
    <row r="74" spans="2:16" x14ac:dyDescent="0.25">
      <c r="L74" s="13">
        <f>SUBTOTAL(9,L69:L73)</f>
        <v>13055</v>
      </c>
      <c r="M74" s="13">
        <f>M69</f>
        <v>19</v>
      </c>
    </row>
    <row r="76" spans="2:16" x14ac:dyDescent="0.25">
      <c r="K76" s="11" t="s">
        <v>21</v>
      </c>
      <c r="L76" s="11" t="s">
        <v>193</v>
      </c>
      <c r="M76" s="11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2" t="s">
        <v>204</v>
      </c>
    </row>
    <row r="81" spans="11:13" x14ac:dyDescent="0.25">
      <c r="K81" s="2" t="s">
        <v>206</v>
      </c>
    </row>
    <row r="82" spans="11:13" x14ac:dyDescent="0.25">
      <c r="L82" s="13">
        <f>SUBTOTAL(9,L77:L81)</f>
        <v>12427</v>
      </c>
      <c r="M82" s="13">
        <f>M77</f>
        <v>20</v>
      </c>
    </row>
    <row r="84" spans="11:13" x14ac:dyDescent="0.25">
      <c r="K84" s="11" t="s">
        <v>20</v>
      </c>
      <c r="L84" s="11" t="s">
        <v>193</v>
      </c>
      <c r="M84" s="11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2" t="s">
        <v>204</v>
      </c>
    </row>
    <row r="89" spans="11:13" x14ac:dyDescent="0.25">
      <c r="K89" s="2" t="s">
        <v>206</v>
      </c>
    </row>
    <row r="90" spans="11:13" x14ac:dyDescent="0.25">
      <c r="L90" s="13">
        <f>SUBTOTAL(9,L85:L89)</f>
        <v>865</v>
      </c>
      <c r="M90" s="13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sqref="I24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213</v>
      </c>
      <c r="D3" s="15" t="s">
        <v>214</v>
      </c>
      <c r="E3" s="15" t="s">
        <v>215</v>
      </c>
      <c r="F3" s="16">
        <v>9</v>
      </c>
      <c r="G3" s="16">
        <v>60</v>
      </c>
      <c r="H3" s="16">
        <v>30</v>
      </c>
      <c r="I3" s="16">
        <f>G3-H3</f>
        <v>30</v>
      </c>
      <c r="J3" s="15" t="s">
        <v>20</v>
      </c>
      <c r="K3" s="15" t="s">
        <v>21</v>
      </c>
      <c r="L3" s="15" t="s">
        <v>216</v>
      </c>
      <c r="M3" s="15" t="s">
        <v>167</v>
      </c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217</v>
      </c>
      <c r="D4" s="15" t="s">
        <v>218</v>
      </c>
      <c r="E4" s="15" t="s">
        <v>219</v>
      </c>
      <c r="F4" s="16">
        <v>6</v>
      </c>
      <c r="G4" s="16">
        <v>0</v>
      </c>
      <c r="H4" s="16">
        <v>25</v>
      </c>
      <c r="I4" s="16">
        <f>-H4</f>
        <v>-25</v>
      </c>
      <c r="J4" s="15" t="s">
        <v>220</v>
      </c>
      <c r="K4" s="15" t="s">
        <v>21</v>
      </c>
      <c r="L4" s="15" t="s">
        <v>216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221</v>
      </c>
      <c r="D5" s="15" t="s">
        <v>222</v>
      </c>
      <c r="E5" s="15" t="s">
        <v>223</v>
      </c>
      <c r="F5" s="15" t="s">
        <v>26</v>
      </c>
      <c r="G5" s="16">
        <v>0</v>
      </c>
      <c r="H5" s="16">
        <v>30</v>
      </c>
      <c r="I5" s="16">
        <f>-H5</f>
        <v>-30</v>
      </c>
      <c r="J5" s="15" t="s">
        <v>220</v>
      </c>
      <c r="K5" s="15" t="s">
        <v>21</v>
      </c>
      <c r="L5" s="15" t="s">
        <v>216</v>
      </c>
      <c r="M5" s="15" t="s">
        <v>126</v>
      </c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224</v>
      </c>
      <c r="D6" s="15" t="s">
        <v>225</v>
      </c>
      <c r="E6" s="15" t="s">
        <v>226</v>
      </c>
      <c r="F6" s="15" t="s">
        <v>26</v>
      </c>
      <c r="G6" s="16">
        <v>0</v>
      </c>
      <c r="H6" s="16">
        <v>30</v>
      </c>
      <c r="I6" s="16">
        <f>-H6</f>
        <v>-30</v>
      </c>
      <c r="J6" s="15" t="s">
        <v>220</v>
      </c>
      <c r="K6" s="15" t="s">
        <v>21</v>
      </c>
      <c r="L6" s="15" t="s">
        <v>216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227</v>
      </c>
      <c r="D7" s="15" t="s">
        <v>228</v>
      </c>
      <c r="E7" s="15" t="s">
        <v>229</v>
      </c>
      <c r="F7" s="15" t="s">
        <v>26</v>
      </c>
      <c r="G7" s="16">
        <v>820</v>
      </c>
      <c r="H7" s="16">
        <v>30</v>
      </c>
      <c r="I7" s="16">
        <f t="shared" ref="I7:I12" si="0">G7-H7</f>
        <v>790</v>
      </c>
      <c r="J7" s="15" t="s">
        <v>220</v>
      </c>
      <c r="K7" s="15" t="s">
        <v>21</v>
      </c>
      <c r="L7" s="15" t="s">
        <v>216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230</v>
      </c>
      <c r="D8" s="15" t="s">
        <v>231</v>
      </c>
      <c r="E8" s="15" t="s">
        <v>232</v>
      </c>
      <c r="F8" s="15" t="s">
        <v>134</v>
      </c>
      <c r="G8" s="16">
        <v>35</v>
      </c>
      <c r="H8" s="16">
        <v>35</v>
      </c>
      <c r="I8" s="16">
        <f t="shared" si="0"/>
        <v>0</v>
      </c>
      <c r="J8" s="15" t="s">
        <v>220</v>
      </c>
      <c r="K8" s="15" t="s">
        <v>21</v>
      </c>
      <c r="L8" s="15" t="s">
        <v>216</v>
      </c>
      <c r="M8" s="15" t="s">
        <v>126</v>
      </c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233</v>
      </c>
      <c r="D9" s="15" t="s">
        <v>234</v>
      </c>
      <c r="E9" s="15" t="s">
        <v>235</v>
      </c>
      <c r="F9" s="15" t="s">
        <v>46</v>
      </c>
      <c r="G9" s="16">
        <v>985</v>
      </c>
      <c r="H9" s="16">
        <v>25</v>
      </c>
      <c r="I9" s="16">
        <f t="shared" si="0"/>
        <v>960</v>
      </c>
      <c r="J9" s="15" t="s">
        <v>220</v>
      </c>
      <c r="K9" s="15" t="s">
        <v>21</v>
      </c>
      <c r="L9" s="15" t="s">
        <v>216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236</v>
      </c>
      <c r="D10" s="15" t="s">
        <v>237</v>
      </c>
      <c r="E10" s="15" t="s">
        <v>238</v>
      </c>
      <c r="F10" s="15" t="s">
        <v>26</v>
      </c>
      <c r="G10" s="16">
        <v>1430</v>
      </c>
      <c r="H10" s="16">
        <v>30</v>
      </c>
      <c r="I10" s="16">
        <f t="shared" si="0"/>
        <v>1400</v>
      </c>
      <c r="J10" s="15" t="s">
        <v>220</v>
      </c>
      <c r="K10" s="15" t="s">
        <v>21</v>
      </c>
      <c r="L10" s="15" t="s">
        <v>216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239</v>
      </c>
      <c r="D11" s="15" t="s">
        <v>240</v>
      </c>
      <c r="E11" s="15" t="s">
        <v>241</v>
      </c>
      <c r="F11" s="16">
        <v>12</v>
      </c>
      <c r="G11" s="16">
        <v>890</v>
      </c>
      <c r="H11" s="16">
        <v>30</v>
      </c>
      <c r="I11" s="16">
        <f t="shared" si="0"/>
        <v>860</v>
      </c>
      <c r="J11" s="15" t="s">
        <v>220</v>
      </c>
      <c r="K11" s="15" t="s">
        <v>21</v>
      </c>
      <c r="L11" s="15" t="s">
        <v>216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242</v>
      </c>
      <c r="D12" s="15" t="s">
        <v>243</v>
      </c>
      <c r="E12" s="15" t="s">
        <v>244</v>
      </c>
      <c r="F12" s="15" t="s">
        <v>26</v>
      </c>
      <c r="G12" s="16">
        <v>770</v>
      </c>
      <c r="H12" s="16">
        <v>30</v>
      </c>
      <c r="I12" s="16">
        <f t="shared" si="0"/>
        <v>740</v>
      </c>
      <c r="J12" s="15" t="s">
        <v>220</v>
      </c>
      <c r="K12" s="15" t="s">
        <v>21</v>
      </c>
      <c r="L12" s="15" t="s">
        <v>216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245</v>
      </c>
      <c r="D13" s="15" t="s">
        <v>246</v>
      </c>
      <c r="E13" s="15" t="s">
        <v>247</v>
      </c>
      <c r="F13" s="15" t="s">
        <v>85</v>
      </c>
      <c r="G13" s="16">
        <v>0</v>
      </c>
      <c r="H13" s="16">
        <v>20</v>
      </c>
      <c r="I13" s="16">
        <f>-H13</f>
        <v>-20</v>
      </c>
      <c r="J13" s="15" t="s">
        <v>21</v>
      </c>
      <c r="K13" s="15" t="s">
        <v>21</v>
      </c>
      <c r="L13" s="15" t="s">
        <v>216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248</v>
      </c>
      <c r="D14" s="15" t="s">
        <v>249</v>
      </c>
      <c r="E14" s="15" t="s">
        <v>250</v>
      </c>
      <c r="F14" s="15" t="s">
        <v>77</v>
      </c>
      <c r="G14" s="16">
        <v>905</v>
      </c>
      <c r="H14" s="16">
        <v>25</v>
      </c>
      <c r="I14" s="16">
        <f>G14-H14</f>
        <v>880</v>
      </c>
      <c r="J14" s="15" t="s">
        <v>21</v>
      </c>
      <c r="K14" s="15" t="s">
        <v>21</v>
      </c>
      <c r="L14" s="15" t="s">
        <v>216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251</v>
      </c>
      <c r="D15" s="15" t="s">
        <v>252</v>
      </c>
      <c r="E15" s="15" t="s">
        <v>253</v>
      </c>
      <c r="F15" s="15" t="s">
        <v>85</v>
      </c>
      <c r="G15" s="16">
        <v>0</v>
      </c>
      <c r="H15" s="16">
        <v>20</v>
      </c>
      <c r="I15" s="16">
        <f>-H15</f>
        <v>-20</v>
      </c>
      <c r="J15" s="15" t="s">
        <v>21</v>
      </c>
      <c r="K15" s="15" t="s">
        <v>21</v>
      </c>
      <c r="L15" s="15" t="s">
        <v>216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254</v>
      </c>
      <c r="D16" s="15"/>
      <c r="E16" s="15" t="s">
        <v>255</v>
      </c>
      <c r="F16" s="15" t="s">
        <v>77</v>
      </c>
      <c r="G16" s="16">
        <v>0</v>
      </c>
      <c r="H16" s="16">
        <v>40</v>
      </c>
      <c r="I16" s="16">
        <f>-H16</f>
        <v>-40</v>
      </c>
      <c r="J16" s="15" t="s">
        <v>21</v>
      </c>
      <c r="K16" s="15" t="s">
        <v>21</v>
      </c>
      <c r="L16" s="15" t="s">
        <v>216</v>
      </c>
      <c r="M16" s="15"/>
      <c r="N16" s="15"/>
      <c r="O16" s="15"/>
      <c r="P16" s="15"/>
      <c r="Q16" s="15">
        <v>1</v>
      </c>
    </row>
    <row r="17" spans="1:17" x14ac:dyDescent="0.25">
      <c r="A17" s="15" t="s">
        <v>16</v>
      </c>
      <c r="B17" s="15" t="s">
        <v>17</v>
      </c>
      <c r="C17" s="15" t="s">
        <v>256</v>
      </c>
      <c r="D17" s="15"/>
      <c r="E17" s="15" t="s">
        <v>257</v>
      </c>
      <c r="F17" s="15" t="s">
        <v>77</v>
      </c>
      <c r="G17" s="16">
        <v>1720</v>
      </c>
      <c r="H17" s="16">
        <v>30</v>
      </c>
      <c r="I17" s="16">
        <f>G17-H17</f>
        <v>1690</v>
      </c>
      <c r="J17" s="15" t="s">
        <v>21</v>
      </c>
      <c r="K17" s="15" t="s">
        <v>21</v>
      </c>
      <c r="L17" s="15" t="s">
        <v>216</v>
      </c>
      <c r="M17" s="15"/>
      <c r="N17" s="15"/>
      <c r="O17" s="15"/>
      <c r="P17" s="15"/>
      <c r="Q17" s="15">
        <v>1</v>
      </c>
    </row>
    <row r="18" spans="1:17" x14ac:dyDescent="0.25">
      <c r="A18" s="15" t="s">
        <v>16</v>
      </c>
      <c r="B18" s="15" t="s">
        <v>17</v>
      </c>
      <c r="C18" s="15" t="s">
        <v>258</v>
      </c>
      <c r="D18" s="15"/>
      <c r="E18" s="15" t="s">
        <v>259</v>
      </c>
      <c r="F18" s="16">
        <v>12</v>
      </c>
      <c r="G18" s="16">
        <v>50</v>
      </c>
      <c r="H18" s="16">
        <v>50</v>
      </c>
      <c r="I18" s="16">
        <f>G18-H18</f>
        <v>0</v>
      </c>
      <c r="J18" s="15" t="s">
        <v>21</v>
      </c>
      <c r="K18" s="15" t="s">
        <v>21</v>
      </c>
      <c r="L18" s="15" t="s">
        <v>216</v>
      </c>
      <c r="M18" s="15"/>
      <c r="N18" s="15"/>
      <c r="O18" s="15"/>
      <c r="P18" s="15"/>
      <c r="Q18" s="15">
        <v>1</v>
      </c>
    </row>
    <row r="19" spans="1:17" x14ac:dyDescent="0.25">
      <c r="A19" s="15" t="s">
        <v>16</v>
      </c>
      <c r="B19" s="15" t="s">
        <v>17</v>
      </c>
      <c r="C19" s="15" t="s">
        <v>260</v>
      </c>
      <c r="D19" s="15"/>
      <c r="E19" s="15" t="s">
        <v>261</v>
      </c>
      <c r="F19" s="16">
        <v>1</v>
      </c>
      <c r="G19" s="16">
        <v>0</v>
      </c>
      <c r="H19" s="16">
        <v>25</v>
      </c>
      <c r="I19" s="16">
        <f>-H19</f>
        <v>-25</v>
      </c>
      <c r="J19" s="15" t="s">
        <v>135</v>
      </c>
      <c r="K19" s="15" t="s">
        <v>21</v>
      </c>
      <c r="L19" s="15" t="s">
        <v>216</v>
      </c>
      <c r="M19" s="15" t="s">
        <v>126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262</v>
      </c>
      <c r="D20" s="15" t="s">
        <v>263</v>
      </c>
      <c r="E20" s="15" t="s">
        <v>264</v>
      </c>
      <c r="F20" s="16">
        <v>11</v>
      </c>
      <c r="G20" s="16">
        <v>615</v>
      </c>
      <c r="H20" s="16">
        <v>25</v>
      </c>
      <c r="I20" s="16">
        <f t="shared" ref="I20:I25" si="1">G20-H20</f>
        <v>590</v>
      </c>
      <c r="J20" s="15" t="s">
        <v>135</v>
      </c>
      <c r="K20" s="15" t="s">
        <v>21</v>
      </c>
      <c r="L20" s="15" t="s">
        <v>216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265</v>
      </c>
      <c r="D21" s="15" t="s">
        <v>266</v>
      </c>
      <c r="E21" s="15" t="s">
        <v>267</v>
      </c>
      <c r="F21" s="16">
        <v>4</v>
      </c>
      <c r="G21" s="16">
        <v>815</v>
      </c>
      <c r="H21" s="16">
        <v>25</v>
      </c>
      <c r="I21" s="16">
        <f t="shared" si="1"/>
        <v>790</v>
      </c>
      <c r="J21" s="15" t="s">
        <v>135</v>
      </c>
      <c r="K21" s="15" t="s">
        <v>21</v>
      </c>
      <c r="L21" s="15" t="s">
        <v>216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268</v>
      </c>
      <c r="D22" s="15" t="s">
        <v>269</v>
      </c>
      <c r="E22" s="15" t="s">
        <v>270</v>
      </c>
      <c r="F22" s="15" t="s">
        <v>95</v>
      </c>
      <c r="G22" s="16">
        <v>765</v>
      </c>
      <c r="H22" s="16">
        <v>25</v>
      </c>
      <c r="I22" s="16">
        <f t="shared" si="1"/>
        <v>740</v>
      </c>
      <c r="J22" s="15" t="s">
        <v>135</v>
      </c>
      <c r="K22" s="15" t="s">
        <v>21</v>
      </c>
      <c r="L22" s="15" t="s">
        <v>216</v>
      </c>
      <c r="M22" s="15"/>
      <c r="N22" s="15"/>
      <c r="O22" s="15"/>
      <c r="P22" s="15"/>
      <c r="Q22" s="15">
        <v>1</v>
      </c>
    </row>
    <row r="23" spans="1:17" s="2" customFormat="1" x14ac:dyDescent="0.25">
      <c r="A23" s="21"/>
      <c r="B23" s="21" t="s">
        <v>17</v>
      </c>
      <c r="C23" s="21" t="s">
        <v>183</v>
      </c>
      <c r="D23" s="21" t="s">
        <v>184</v>
      </c>
      <c r="E23" s="21" t="s">
        <v>185</v>
      </c>
      <c r="F23" s="22">
        <v>4</v>
      </c>
      <c r="G23" s="22">
        <v>815</v>
      </c>
      <c r="H23" s="22">
        <v>25</v>
      </c>
      <c r="I23" s="22">
        <f t="shared" si="1"/>
        <v>790</v>
      </c>
      <c r="J23" s="21" t="s">
        <v>271</v>
      </c>
      <c r="K23" s="21" t="s">
        <v>21</v>
      </c>
      <c r="L23" s="21" t="s">
        <v>22</v>
      </c>
      <c r="M23" s="21" t="s">
        <v>204</v>
      </c>
      <c r="N23" s="21" t="s">
        <v>272</v>
      </c>
      <c r="O23" s="21" t="s">
        <v>272</v>
      </c>
      <c r="P23" s="21" t="s">
        <v>273</v>
      </c>
      <c r="Q23" s="22">
        <v>1</v>
      </c>
    </row>
    <row r="24" spans="1:17" s="2" customFormat="1" x14ac:dyDescent="0.25">
      <c r="A24" s="21"/>
      <c r="B24" s="21" t="s">
        <v>17</v>
      </c>
      <c r="C24" s="21" t="s">
        <v>274</v>
      </c>
      <c r="D24" s="21" t="s">
        <v>275</v>
      </c>
      <c r="E24" s="21" t="s">
        <v>276</v>
      </c>
      <c r="F24" s="22">
        <v>12</v>
      </c>
      <c r="G24" s="22">
        <v>860</v>
      </c>
      <c r="H24" s="22">
        <v>0</v>
      </c>
      <c r="I24" s="22">
        <f t="shared" si="1"/>
        <v>860</v>
      </c>
      <c r="J24" s="21" t="s">
        <v>271</v>
      </c>
      <c r="K24" s="21" t="s">
        <v>21</v>
      </c>
      <c r="L24" s="21" t="s">
        <v>277</v>
      </c>
      <c r="M24" s="21" t="s">
        <v>204</v>
      </c>
      <c r="N24" s="21" t="s">
        <v>272</v>
      </c>
      <c r="O24" s="21" t="s">
        <v>272</v>
      </c>
      <c r="P24" s="21" t="s">
        <v>273</v>
      </c>
      <c r="Q24" s="22">
        <v>1</v>
      </c>
    </row>
    <row r="25" spans="1:17" s="2" customFormat="1" x14ac:dyDescent="0.25">
      <c r="A25" s="21"/>
      <c r="B25" s="21" t="s">
        <v>17</v>
      </c>
      <c r="C25" s="21" t="s">
        <v>278</v>
      </c>
      <c r="D25" s="21" t="s">
        <v>279</v>
      </c>
      <c r="E25" s="21" t="s">
        <v>280</v>
      </c>
      <c r="F25" s="21" t="s">
        <v>46</v>
      </c>
      <c r="G25" s="22">
        <v>1455</v>
      </c>
      <c r="H25" s="22">
        <v>25</v>
      </c>
      <c r="I25" s="22">
        <f t="shared" si="1"/>
        <v>1430</v>
      </c>
      <c r="J25" s="21" t="s">
        <v>271</v>
      </c>
      <c r="K25" s="21" t="s">
        <v>21</v>
      </c>
      <c r="L25" s="21" t="s">
        <v>281</v>
      </c>
      <c r="M25" s="21" t="s">
        <v>204</v>
      </c>
      <c r="N25" s="21" t="s">
        <v>272</v>
      </c>
      <c r="O25" s="21" t="s">
        <v>272</v>
      </c>
      <c r="P25" s="21" t="s">
        <v>273</v>
      </c>
      <c r="Q25" s="22">
        <v>1</v>
      </c>
    </row>
    <row r="26" spans="1:17" s="2" customFormat="1" x14ac:dyDescent="0.25">
      <c r="A26" s="21"/>
      <c r="B26" s="21" t="s">
        <v>17</v>
      </c>
      <c r="C26" s="21" t="s">
        <v>282</v>
      </c>
      <c r="D26" s="21" t="s">
        <v>283</v>
      </c>
      <c r="E26" s="21" t="s">
        <v>284</v>
      </c>
      <c r="F26" s="22">
        <v>11</v>
      </c>
      <c r="G26" s="22">
        <v>0</v>
      </c>
      <c r="H26" s="22">
        <v>25</v>
      </c>
      <c r="I26" s="22">
        <f>-H26</f>
        <v>-25</v>
      </c>
      <c r="J26" s="21" t="s">
        <v>271</v>
      </c>
      <c r="K26" s="21" t="s">
        <v>21</v>
      </c>
      <c r="L26" s="21" t="s">
        <v>285</v>
      </c>
      <c r="M26" s="21" t="s">
        <v>204</v>
      </c>
      <c r="N26" s="21" t="s">
        <v>272</v>
      </c>
      <c r="O26" s="21" t="s">
        <v>272</v>
      </c>
      <c r="P26" s="21" t="s">
        <v>273</v>
      </c>
      <c r="Q26" s="22">
        <v>1</v>
      </c>
    </row>
    <row r="28" spans="1:17" x14ac:dyDescent="0.25">
      <c r="D28" s="1">
        <f>COUNTA(D3:D26)</f>
        <v>20</v>
      </c>
      <c r="G28" s="1">
        <f t="shared" ref="G28:Q28" si="2">SUBTOTAL(9,G3:G26)</f>
        <v>12990</v>
      </c>
      <c r="H28" s="1">
        <f t="shared" si="2"/>
        <v>655</v>
      </c>
      <c r="I28" s="1">
        <f t="shared" si="2"/>
        <v>12335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1" t="s">
        <v>17</v>
      </c>
      <c r="C30" s="40" t="s">
        <v>191</v>
      </c>
      <c r="D30" s="40"/>
      <c r="E30" s="4" t="s">
        <v>192</v>
      </c>
      <c r="H30">
        <f>-6*25</f>
        <v>-150</v>
      </c>
      <c r="I30">
        <v>17</v>
      </c>
      <c r="K30" s="11" t="s">
        <v>220</v>
      </c>
      <c r="L30" s="11" t="s">
        <v>193</v>
      </c>
      <c r="M30" s="11" t="s">
        <v>192</v>
      </c>
      <c r="O30" s="4" t="s">
        <v>194</v>
      </c>
    </row>
    <row r="31" spans="1:17" x14ac:dyDescent="0.25">
      <c r="A31" t="s">
        <v>216</v>
      </c>
      <c r="B31" s="3" t="s">
        <v>195</v>
      </c>
      <c r="C31" s="41">
        <f>SUMIFS(I$3:I$26,B$3:B$26,A$30,L$3:L$26,A$31)</f>
        <v>9280</v>
      </c>
      <c r="D31" s="41"/>
      <c r="E31" s="3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2" t="s">
        <v>199</v>
      </c>
      <c r="C32" s="42">
        <v>0</v>
      </c>
      <c r="D32" s="42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2" t="s">
        <v>201</v>
      </c>
      <c r="C33" s="42">
        <f>-SUMIFS(I$3:I$26,B$3:B$26,A$30,P$3:P$26,"xx",N$3:N$26,"x")</f>
        <v>-3055</v>
      </c>
      <c r="D33" s="42"/>
      <c r="E33" s="2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4" t="s">
        <v>203</v>
      </c>
      <c r="C34" s="40">
        <f>SUBTOTAL(9,C31:C33)</f>
        <v>6225</v>
      </c>
      <c r="D34" s="40"/>
      <c r="E34">
        <f>E31</f>
        <v>20</v>
      </c>
      <c r="K34" s="2" t="s">
        <v>204</v>
      </c>
      <c r="L34" s="23">
        <v>-2315</v>
      </c>
      <c r="M34" s="23" t="s">
        <v>287</v>
      </c>
      <c r="O34" t="s">
        <v>21</v>
      </c>
      <c r="P34">
        <f>L60</f>
        <v>2488</v>
      </c>
    </row>
    <row r="35" spans="2:16" x14ac:dyDescent="0.25">
      <c r="B35" s="2" t="s">
        <v>205</v>
      </c>
      <c r="C35" s="38"/>
      <c r="D35" s="38"/>
      <c r="K35" s="2" t="s">
        <v>206</v>
      </c>
      <c r="O35" t="s">
        <v>207</v>
      </c>
      <c r="P35">
        <f>-C38</f>
        <v>-6225</v>
      </c>
    </row>
    <row r="36" spans="2:16" x14ac:dyDescent="0.25">
      <c r="B36" s="12" t="s">
        <v>208</v>
      </c>
      <c r="C36" s="38"/>
      <c r="D36" s="38"/>
      <c r="L36" s="13">
        <f>SUBTOTAL(9,L31:L35)</f>
        <v>2401</v>
      </c>
      <c r="M36" s="13">
        <f>M31</f>
        <v>9</v>
      </c>
      <c r="O36" s="4" t="s">
        <v>209</v>
      </c>
      <c r="P36" s="4">
        <f>SUBTOTAL(9,P31:P35)</f>
        <v>19</v>
      </c>
    </row>
    <row r="38" spans="2:16" x14ac:dyDescent="0.25">
      <c r="B38" s="1" t="s">
        <v>210</v>
      </c>
      <c r="C38" s="39">
        <f>C34+C35+C36</f>
        <v>6225</v>
      </c>
      <c r="D38" s="39"/>
      <c r="E38" s="1" t="s">
        <v>211</v>
      </c>
      <c r="K38" s="11" t="s">
        <v>20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35</v>
      </c>
      <c r="M44" s="13">
        <f>M39</f>
        <v>1</v>
      </c>
    </row>
    <row r="46" spans="2:16" x14ac:dyDescent="0.25">
      <c r="K46" s="11" t="s">
        <v>135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2" t="s">
        <v>204</v>
      </c>
      <c r="L50" s="23">
        <v>-795</v>
      </c>
      <c r="M50" s="23" t="s">
        <v>288</v>
      </c>
    </row>
    <row r="51" spans="11:13" x14ac:dyDescent="0.25">
      <c r="K51" s="2" t="s">
        <v>206</v>
      </c>
    </row>
    <row r="52" spans="11:13" x14ac:dyDescent="0.25">
      <c r="L52" s="13">
        <f>SUBTOTAL(9,L47:L51)</f>
        <v>1320</v>
      </c>
      <c r="M52" s="13">
        <f>M47</f>
        <v>4</v>
      </c>
    </row>
    <row r="54" spans="11:13" x14ac:dyDescent="0.25">
      <c r="K54" s="11" t="s">
        <v>21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2488</v>
      </c>
      <c r="M60" s="13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s="19" customFormat="1" x14ac:dyDescent="0.25">
      <c r="A3" s="17"/>
      <c r="B3" s="17" t="s">
        <v>17</v>
      </c>
      <c r="C3" s="17" t="s">
        <v>289</v>
      </c>
      <c r="D3" s="17" t="s">
        <v>290</v>
      </c>
      <c r="E3" s="17" t="s">
        <v>291</v>
      </c>
      <c r="F3" s="18">
        <v>7</v>
      </c>
      <c r="G3" s="18">
        <v>30</v>
      </c>
      <c r="H3" s="18">
        <v>30</v>
      </c>
      <c r="I3" s="18">
        <f t="shared" ref="I3:I34" si="0">G3-H3</f>
        <v>0</v>
      </c>
      <c r="J3" s="17" t="s">
        <v>292</v>
      </c>
      <c r="K3" s="17" t="s">
        <v>21</v>
      </c>
      <c r="L3" s="17" t="s">
        <v>293</v>
      </c>
      <c r="M3" s="17" t="s">
        <v>126</v>
      </c>
      <c r="N3" s="17"/>
      <c r="O3" s="17"/>
      <c r="P3" s="17"/>
      <c r="Q3" s="17">
        <v>1</v>
      </c>
    </row>
    <row r="4" spans="1:17" x14ac:dyDescent="0.25">
      <c r="A4" s="15"/>
      <c r="B4" s="15" t="s">
        <v>17</v>
      </c>
      <c r="C4" s="15" t="s">
        <v>294</v>
      </c>
      <c r="D4" s="15" t="s">
        <v>295</v>
      </c>
      <c r="E4" s="15" t="s">
        <v>296</v>
      </c>
      <c r="F4" s="16">
        <v>6</v>
      </c>
      <c r="G4" s="16">
        <v>915</v>
      </c>
      <c r="H4" s="16">
        <v>25</v>
      </c>
      <c r="I4" s="24">
        <f t="shared" si="0"/>
        <v>890</v>
      </c>
      <c r="J4" s="15" t="s">
        <v>292</v>
      </c>
      <c r="K4" s="15" t="s">
        <v>21</v>
      </c>
      <c r="L4" s="15" t="s">
        <v>293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297</v>
      </c>
      <c r="D5" s="15" t="s">
        <v>298</v>
      </c>
      <c r="E5" s="15" t="s">
        <v>299</v>
      </c>
      <c r="F5" s="16">
        <v>7</v>
      </c>
      <c r="G5" s="16">
        <v>850</v>
      </c>
      <c r="H5" s="16">
        <v>30</v>
      </c>
      <c r="I5" s="24">
        <f t="shared" si="0"/>
        <v>820</v>
      </c>
      <c r="J5" s="15" t="s">
        <v>292</v>
      </c>
      <c r="K5" s="15" t="s">
        <v>21</v>
      </c>
      <c r="L5" s="15" t="s">
        <v>293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300</v>
      </c>
      <c r="D6" s="15" t="s">
        <v>301</v>
      </c>
      <c r="E6" s="15" t="s">
        <v>302</v>
      </c>
      <c r="F6" s="16">
        <v>12</v>
      </c>
      <c r="G6" s="16">
        <v>670</v>
      </c>
      <c r="H6" s="16">
        <v>30</v>
      </c>
      <c r="I6" s="24">
        <f t="shared" si="0"/>
        <v>640</v>
      </c>
      <c r="J6" s="15" t="s">
        <v>292</v>
      </c>
      <c r="K6" s="15" t="s">
        <v>21</v>
      </c>
      <c r="L6" s="15" t="s">
        <v>293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303</v>
      </c>
      <c r="D7" s="15" t="s">
        <v>304</v>
      </c>
      <c r="E7" s="15" t="s">
        <v>305</v>
      </c>
      <c r="F7" s="15" t="s">
        <v>139</v>
      </c>
      <c r="G7" s="16">
        <v>1515</v>
      </c>
      <c r="H7" s="16">
        <v>35</v>
      </c>
      <c r="I7" s="24">
        <f t="shared" si="0"/>
        <v>1480</v>
      </c>
      <c r="J7" s="15" t="s">
        <v>292</v>
      </c>
      <c r="K7" s="15" t="s">
        <v>21</v>
      </c>
      <c r="L7" s="15" t="s">
        <v>293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306</v>
      </c>
      <c r="D8" s="15" t="s">
        <v>307</v>
      </c>
      <c r="E8" s="15" t="s">
        <v>308</v>
      </c>
      <c r="F8" s="16">
        <v>8</v>
      </c>
      <c r="G8" s="16">
        <v>690</v>
      </c>
      <c r="H8" s="16">
        <v>30</v>
      </c>
      <c r="I8" s="24">
        <f t="shared" si="0"/>
        <v>660</v>
      </c>
      <c r="J8" s="15" t="s">
        <v>292</v>
      </c>
      <c r="K8" s="15" t="s">
        <v>21</v>
      </c>
      <c r="L8" s="15" t="s">
        <v>293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309</v>
      </c>
      <c r="D9" s="15" t="s">
        <v>310</v>
      </c>
      <c r="E9" s="15" t="s">
        <v>311</v>
      </c>
      <c r="F9" s="15" t="s">
        <v>95</v>
      </c>
      <c r="G9" s="16">
        <v>1345</v>
      </c>
      <c r="H9" s="16">
        <v>25</v>
      </c>
      <c r="I9" s="24">
        <f t="shared" si="0"/>
        <v>1320</v>
      </c>
      <c r="J9" s="15" t="s">
        <v>292</v>
      </c>
      <c r="K9" s="15" t="s">
        <v>21</v>
      </c>
      <c r="L9" s="15" t="s">
        <v>293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312</v>
      </c>
      <c r="D10" s="15" t="s">
        <v>313</v>
      </c>
      <c r="E10" s="15" t="s">
        <v>314</v>
      </c>
      <c r="F10" s="15" t="s">
        <v>26</v>
      </c>
      <c r="G10" s="16">
        <v>850</v>
      </c>
      <c r="H10" s="16">
        <v>30</v>
      </c>
      <c r="I10" s="24">
        <f t="shared" si="0"/>
        <v>820</v>
      </c>
      <c r="J10" s="15" t="s">
        <v>292</v>
      </c>
      <c r="K10" s="15" t="s">
        <v>21</v>
      </c>
      <c r="L10" s="15" t="s">
        <v>293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315</v>
      </c>
      <c r="D11" s="15" t="s">
        <v>316</v>
      </c>
      <c r="E11" s="15" t="s">
        <v>317</v>
      </c>
      <c r="F11" s="15" t="s">
        <v>26</v>
      </c>
      <c r="G11" s="16">
        <v>830</v>
      </c>
      <c r="H11" s="16">
        <v>30</v>
      </c>
      <c r="I11" s="24">
        <f t="shared" si="0"/>
        <v>800</v>
      </c>
      <c r="J11" s="15" t="s">
        <v>292</v>
      </c>
      <c r="K11" s="15" t="s">
        <v>21</v>
      </c>
      <c r="L11" s="15" t="s">
        <v>293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318</v>
      </c>
      <c r="D12" s="15" t="s">
        <v>319</v>
      </c>
      <c r="E12" s="15" t="s">
        <v>320</v>
      </c>
      <c r="F12" s="15" t="s">
        <v>46</v>
      </c>
      <c r="G12" s="16">
        <v>0</v>
      </c>
      <c r="H12" s="16">
        <v>25</v>
      </c>
      <c r="I12" s="24">
        <f t="shared" si="0"/>
        <v>-25</v>
      </c>
      <c r="J12" s="15" t="s">
        <v>292</v>
      </c>
      <c r="K12" s="15" t="s">
        <v>21</v>
      </c>
      <c r="L12" s="15" t="s">
        <v>293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321</v>
      </c>
      <c r="D13" s="15" t="s">
        <v>322</v>
      </c>
      <c r="E13" s="15" t="s">
        <v>323</v>
      </c>
      <c r="F13" s="15" t="s">
        <v>26</v>
      </c>
      <c r="G13" s="16">
        <v>780</v>
      </c>
      <c r="H13" s="16">
        <v>30</v>
      </c>
      <c r="I13" s="24">
        <f t="shared" si="0"/>
        <v>750</v>
      </c>
      <c r="J13" s="15" t="s">
        <v>292</v>
      </c>
      <c r="K13" s="15" t="s">
        <v>21</v>
      </c>
      <c r="L13" s="15" t="s">
        <v>293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324</v>
      </c>
      <c r="D14" s="15" t="s">
        <v>325</v>
      </c>
      <c r="E14" s="15" t="s">
        <v>326</v>
      </c>
      <c r="F14" s="16">
        <v>8</v>
      </c>
      <c r="G14" s="16">
        <v>740</v>
      </c>
      <c r="H14" s="16">
        <v>30</v>
      </c>
      <c r="I14" s="24">
        <f t="shared" si="0"/>
        <v>710</v>
      </c>
      <c r="J14" s="15" t="s">
        <v>292</v>
      </c>
      <c r="K14" s="15" t="s">
        <v>21</v>
      </c>
      <c r="L14" s="15" t="s">
        <v>293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327</v>
      </c>
      <c r="D15" s="15" t="s">
        <v>328</v>
      </c>
      <c r="E15" s="15" t="s">
        <v>329</v>
      </c>
      <c r="F15" s="15" t="s">
        <v>95</v>
      </c>
      <c r="G15" s="16">
        <v>755</v>
      </c>
      <c r="H15" s="16">
        <v>25</v>
      </c>
      <c r="I15" s="24">
        <f t="shared" si="0"/>
        <v>730</v>
      </c>
      <c r="J15" s="15" t="s">
        <v>292</v>
      </c>
      <c r="K15" s="15" t="s">
        <v>21</v>
      </c>
      <c r="L15" s="15" t="s">
        <v>293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65</v>
      </c>
      <c r="D16" s="15" t="s">
        <v>330</v>
      </c>
      <c r="E16" s="15" t="s">
        <v>67</v>
      </c>
      <c r="F16" s="16">
        <v>12</v>
      </c>
      <c r="G16" s="16">
        <v>770</v>
      </c>
      <c r="H16" s="16">
        <v>30</v>
      </c>
      <c r="I16" s="24">
        <f t="shared" si="0"/>
        <v>740</v>
      </c>
      <c r="J16" s="15" t="s">
        <v>292</v>
      </c>
      <c r="K16" s="15" t="s">
        <v>21</v>
      </c>
      <c r="L16" s="15" t="s">
        <v>293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331</v>
      </c>
      <c r="D17" s="15" t="s">
        <v>332</v>
      </c>
      <c r="E17" s="15" t="s">
        <v>333</v>
      </c>
      <c r="F17" s="15" t="s">
        <v>139</v>
      </c>
      <c r="G17" s="16">
        <v>735</v>
      </c>
      <c r="H17" s="16">
        <v>35</v>
      </c>
      <c r="I17" s="24">
        <f t="shared" si="0"/>
        <v>700</v>
      </c>
      <c r="J17" s="15" t="s">
        <v>292</v>
      </c>
      <c r="K17" s="15" t="s">
        <v>21</v>
      </c>
      <c r="L17" s="15" t="s">
        <v>293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334</v>
      </c>
      <c r="D18" s="15" t="s">
        <v>335</v>
      </c>
      <c r="E18" s="15" t="s">
        <v>336</v>
      </c>
      <c r="F18" s="15" t="s">
        <v>26</v>
      </c>
      <c r="G18" s="16">
        <v>0</v>
      </c>
      <c r="H18" s="16">
        <v>30</v>
      </c>
      <c r="I18" s="24">
        <f t="shared" si="0"/>
        <v>-30</v>
      </c>
      <c r="J18" s="15" t="s">
        <v>292</v>
      </c>
      <c r="K18" s="15" t="s">
        <v>21</v>
      </c>
      <c r="L18" s="15" t="s">
        <v>293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337</v>
      </c>
      <c r="D19" s="15" t="s">
        <v>338</v>
      </c>
      <c r="E19" s="15" t="s">
        <v>339</v>
      </c>
      <c r="F19" s="16">
        <v>8</v>
      </c>
      <c r="G19" s="16">
        <v>690</v>
      </c>
      <c r="H19" s="16">
        <v>30</v>
      </c>
      <c r="I19" s="24">
        <f t="shared" si="0"/>
        <v>660</v>
      </c>
      <c r="J19" s="15" t="s">
        <v>292</v>
      </c>
      <c r="K19" s="15" t="s">
        <v>21</v>
      </c>
      <c r="L19" s="15" t="s">
        <v>293</v>
      </c>
      <c r="M19" s="15"/>
      <c r="N19" s="15"/>
      <c r="O19" s="15"/>
      <c r="P19" s="15"/>
      <c r="Q19" s="15">
        <v>1</v>
      </c>
    </row>
    <row r="20" spans="1:17" x14ac:dyDescent="0.25">
      <c r="A20" s="15" t="s">
        <v>16</v>
      </c>
      <c r="B20" s="15" t="s">
        <v>17</v>
      </c>
      <c r="C20" s="15" t="s">
        <v>340</v>
      </c>
      <c r="D20" s="15"/>
      <c r="E20" s="15" t="s">
        <v>341</v>
      </c>
      <c r="F20" s="15" t="s">
        <v>26</v>
      </c>
      <c r="G20" s="16">
        <v>0</v>
      </c>
      <c r="H20" s="16">
        <v>35</v>
      </c>
      <c r="I20" s="24">
        <f t="shared" si="0"/>
        <v>-35</v>
      </c>
      <c r="J20" s="15" t="s">
        <v>292</v>
      </c>
      <c r="K20" s="15" t="s">
        <v>21</v>
      </c>
      <c r="L20" s="15" t="s">
        <v>293</v>
      </c>
      <c r="M20" s="15"/>
      <c r="N20" s="15"/>
      <c r="O20" s="15"/>
      <c r="P20" s="15"/>
      <c r="Q20" s="15">
        <v>1</v>
      </c>
    </row>
    <row r="21" spans="1:17" s="19" customFormat="1" x14ac:dyDescent="0.25">
      <c r="A21" s="17"/>
      <c r="B21" s="17" t="s">
        <v>17</v>
      </c>
      <c r="C21" s="17" t="s">
        <v>342</v>
      </c>
      <c r="D21" s="17" t="s">
        <v>343</v>
      </c>
      <c r="E21" s="17" t="s">
        <v>344</v>
      </c>
      <c r="F21" s="18">
        <v>2</v>
      </c>
      <c r="G21" s="18">
        <v>120</v>
      </c>
      <c r="H21" s="18">
        <v>60</v>
      </c>
      <c r="I21" s="18">
        <f t="shared" si="0"/>
        <v>60</v>
      </c>
      <c r="J21" s="17" t="s">
        <v>21</v>
      </c>
      <c r="K21" s="17" t="s">
        <v>21</v>
      </c>
      <c r="L21" s="17" t="s">
        <v>293</v>
      </c>
      <c r="M21" s="17" t="s">
        <v>345</v>
      </c>
      <c r="N21" s="17"/>
      <c r="O21" s="17"/>
      <c r="P21" s="17"/>
      <c r="Q21" s="17">
        <v>1</v>
      </c>
    </row>
    <row r="22" spans="1:17" s="19" customFormat="1" x14ac:dyDescent="0.25">
      <c r="A22" s="17"/>
      <c r="B22" s="17" t="s">
        <v>17</v>
      </c>
      <c r="C22" s="17" t="s">
        <v>342</v>
      </c>
      <c r="D22" s="17" t="s">
        <v>346</v>
      </c>
      <c r="E22" s="17" t="s">
        <v>344</v>
      </c>
      <c r="F22" s="18">
        <v>2</v>
      </c>
      <c r="G22" s="18">
        <v>0</v>
      </c>
      <c r="H22" s="18">
        <v>0</v>
      </c>
      <c r="I22" s="18">
        <f t="shared" si="0"/>
        <v>0</v>
      </c>
      <c r="J22" s="17" t="s">
        <v>21</v>
      </c>
      <c r="K22" s="17" t="s">
        <v>21</v>
      </c>
      <c r="L22" s="17" t="s">
        <v>293</v>
      </c>
      <c r="M22" s="17" t="s">
        <v>345</v>
      </c>
      <c r="N22" s="17"/>
      <c r="O22" s="17"/>
      <c r="P22" s="17"/>
      <c r="Q22" s="17">
        <v>1</v>
      </c>
    </row>
    <row r="23" spans="1:17" x14ac:dyDescent="0.25">
      <c r="A23" s="15"/>
      <c r="B23" s="15" t="s">
        <v>17</v>
      </c>
      <c r="C23" s="15" t="s">
        <v>347</v>
      </c>
      <c r="D23" s="15" t="s">
        <v>348</v>
      </c>
      <c r="E23" s="15" t="s">
        <v>349</v>
      </c>
      <c r="F23" s="16">
        <v>2</v>
      </c>
      <c r="G23" s="16">
        <v>1150</v>
      </c>
      <c r="H23" s="16">
        <v>30</v>
      </c>
      <c r="I23" s="24">
        <f t="shared" si="0"/>
        <v>1120</v>
      </c>
      <c r="J23" s="15" t="s">
        <v>21</v>
      </c>
      <c r="K23" s="15" t="s">
        <v>21</v>
      </c>
      <c r="L23" s="15" t="s">
        <v>293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15" t="s">
        <v>350</v>
      </c>
      <c r="D24" s="15" t="s">
        <v>351</v>
      </c>
      <c r="E24" s="15" t="s">
        <v>352</v>
      </c>
      <c r="F24" s="15" t="s">
        <v>85</v>
      </c>
      <c r="G24" s="16">
        <v>820</v>
      </c>
      <c r="H24" s="16">
        <v>20</v>
      </c>
      <c r="I24" s="24">
        <f t="shared" si="0"/>
        <v>800</v>
      </c>
      <c r="J24" s="15" t="s">
        <v>21</v>
      </c>
      <c r="K24" s="15" t="s">
        <v>21</v>
      </c>
      <c r="L24" s="15" t="s">
        <v>293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353</v>
      </c>
      <c r="D25" s="15" t="s">
        <v>354</v>
      </c>
      <c r="E25" s="15" t="s">
        <v>355</v>
      </c>
      <c r="F25" s="16">
        <v>2</v>
      </c>
      <c r="G25" s="16">
        <v>2120</v>
      </c>
      <c r="H25" s="16">
        <v>35</v>
      </c>
      <c r="I25" s="24">
        <f t="shared" si="0"/>
        <v>2085</v>
      </c>
      <c r="J25" s="15" t="s">
        <v>21</v>
      </c>
      <c r="K25" s="15" t="s">
        <v>21</v>
      </c>
      <c r="L25" s="15" t="s">
        <v>293</v>
      </c>
      <c r="M25" s="20" t="s">
        <v>167</v>
      </c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356</v>
      </c>
      <c r="D26" s="15" t="s">
        <v>357</v>
      </c>
      <c r="E26" s="15" t="s">
        <v>358</v>
      </c>
      <c r="F26" s="16">
        <v>12</v>
      </c>
      <c r="G26" s="16">
        <v>0</v>
      </c>
      <c r="H26" s="16">
        <v>30</v>
      </c>
      <c r="I26" s="24">
        <f t="shared" si="0"/>
        <v>-30</v>
      </c>
      <c r="J26" s="15" t="s">
        <v>21</v>
      </c>
      <c r="K26" s="15" t="s">
        <v>21</v>
      </c>
      <c r="L26" s="15" t="s">
        <v>293</v>
      </c>
      <c r="M26" s="15"/>
      <c r="N26" s="15"/>
      <c r="O26" s="15"/>
      <c r="P26" s="15"/>
      <c r="Q26" s="15">
        <v>1</v>
      </c>
    </row>
    <row r="27" spans="1:17" s="19" customFormat="1" x14ac:dyDescent="0.25">
      <c r="A27" s="17"/>
      <c r="B27" s="17" t="s">
        <v>17</v>
      </c>
      <c r="C27" s="17" t="s">
        <v>359</v>
      </c>
      <c r="D27" s="17" t="s">
        <v>360</v>
      </c>
      <c r="E27" s="17" t="s">
        <v>361</v>
      </c>
      <c r="F27" s="17" t="s">
        <v>85</v>
      </c>
      <c r="G27" s="18">
        <v>0</v>
      </c>
      <c r="H27" s="18">
        <v>20</v>
      </c>
      <c r="I27" s="18">
        <f t="shared" si="0"/>
        <v>-20</v>
      </c>
      <c r="J27" s="17" t="s">
        <v>21</v>
      </c>
      <c r="K27" s="17" t="s">
        <v>21</v>
      </c>
      <c r="L27" s="17" t="s">
        <v>293</v>
      </c>
      <c r="M27" s="17" t="s">
        <v>126</v>
      </c>
      <c r="N27" s="17"/>
      <c r="O27" s="17"/>
      <c r="P27" s="17"/>
      <c r="Q27" s="17">
        <v>1</v>
      </c>
    </row>
    <row r="28" spans="1:17" x14ac:dyDescent="0.25">
      <c r="A28" s="15"/>
      <c r="B28" s="15" t="s">
        <v>17</v>
      </c>
      <c r="C28" s="15" t="s">
        <v>362</v>
      </c>
      <c r="D28" s="15" t="s">
        <v>363</v>
      </c>
      <c r="E28" s="15" t="s">
        <v>364</v>
      </c>
      <c r="F28" s="16">
        <v>12</v>
      </c>
      <c r="G28" s="16">
        <v>0</v>
      </c>
      <c r="H28" s="16">
        <v>30</v>
      </c>
      <c r="I28" s="24">
        <f t="shared" si="0"/>
        <v>-30</v>
      </c>
      <c r="J28" s="15" t="s">
        <v>21</v>
      </c>
      <c r="K28" s="15" t="s">
        <v>21</v>
      </c>
      <c r="L28" s="15" t="s">
        <v>293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365</v>
      </c>
      <c r="D29" s="15" t="s">
        <v>366</v>
      </c>
      <c r="E29" s="15" t="s">
        <v>367</v>
      </c>
      <c r="F29" s="15" t="s">
        <v>77</v>
      </c>
      <c r="G29" s="16">
        <v>1165</v>
      </c>
      <c r="H29" s="16">
        <v>25</v>
      </c>
      <c r="I29" s="24">
        <f t="shared" si="0"/>
        <v>1140</v>
      </c>
      <c r="J29" s="15" t="s">
        <v>21</v>
      </c>
      <c r="K29" s="15" t="s">
        <v>21</v>
      </c>
      <c r="L29" s="15" t="s">
        <v>293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368</v>
      </c>
      <c r="D30" s="15"/>
      <c r="E30" s="15" t="s">
        <v>369</v>
      </c>
      <c r="F30" s="15" t="s">
        <v>77</v>
      </c>
      <c r="G30" s="16">
        <v>30</v>
      </c>
      <c r="H30" s="16">
        <v>30</v>
      </c>
      <c r="I30" s="24">
        <f t="shared" si="0"/>
        <v>0</v>
      </c>
      <c r="J30" s="15" t="s">
        <v>21</v>
      </c>
      <c r="K30" s="15" t="s">
        <v>21</v>
      </c>
      <c r="L30" s="15" t="s">
        <v>293</v>
      </c>
      <c r="M30" s="15"/>
      <c r="N30" s="15"/>
      <c r="O30" s="15"/>
      <c r="P30" s="15"/>
      <c r="Q30" s="15">
        <v>1</v>
      </c>
    </row>
    <row r="31" spans="1:17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30</v>
      </c>
      <c r="H31" s="16">
        <v>30</v>
      </c>
      <c r="I31" s="24">
        <f t="shared" si="0"/>
        <v>0</v>
      </c>
      <c r="J31" s="15" t="s">
        <v>21</v>
      </c>
      <c r="K31" s="15" t="s">
        <v>21</v>
      </c>
      <c r="L31" s="15" t="s">
        <v>293</v>
      </c>
      <c r="M31" s="15"/>
      <c r="N31" s="15"/>
      <c r="O31" s="15"/>
      <c r="P31" s="15"/>
      <c r="Q31" s="15">
        <v>1</v>
      </c>
    </row>
    <row r="32" spans="1:17" x14ac:dyDescent="0.25">
      <c r="A32" s="15" t="s">
        <v>16</v>
      </c>
      <c r="B32" s="15" t="s">
        <v>17</v>
      </c>
      <c r="C32" s="15" t="s">
        <v>372</v>
      </c>
      <c r="D32" s="15"/>
      <c r="E32" s="15" t="s">
        <v>373</v>
      </c>
      <c r="F32" s="15" t="s">
        <v>95</v>
      </c>
      <c r="G32" s="16">
        <v>40</v>
      </c>
      <c r="H32" s="16">
        <v>40</v>
      </c>
      <c r="I32" s="24">
        <f t="shared" si="0"/>
        <v>0</v>
      </c>
      <c r="J32" s="15" t="s">
        <v>21</v>
      </c>
      <c r="K32" s="15" t="s">
        <v>21</v>
      </c>
      <c r="L32" s="15" t="s">
        <v>293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374</v>
      </c>
      <c r="D33" s="15" t="s">
        <v>375</v>
      </c>
      <c r="E33" s="15" t="s">
        <v>376</v>
      </c>
      <c r="F33" s="16">
        <v>3</v>
      </c>
      <c r="G33" s="16">
        <v>775</v>
      </c>
      <c r="H33" s="16">
        <v>25</v>
      </c>
      <c r="I33" s="24">
        <f t="shared" si="0"/>
        <v>750</v>
      </c>
      <c r="J33" s="15" t="s">
        <v>135</v>
      </c>
      <c r="K33" s="15" t="s">
        <v>21</v>
      </c>
      <c r="L33" s="15" t="s">
        <v>293</v>
      </c>
      <c r="M33" s="20" t="s">
        <v>377</v>
      </c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374</v>
      </c>
      <c r="D34" s="15" t="s">
        <v>378</v>
      </c>
      <c r="E34" s="15" t="s">
        <v>376</v>
      </c>
      <c r="F34" s="16">
        <v>3</v>
      </c>
      <c r="G34" s="16">
        <v>790</v>
      </c>
      <c r="H34" s="16">
        <v>0</v>
      </c>
      <c r="I34" s="24">
        <f t="shared" si="0"/>
        <v>790</v>
      </c>
      <c r="J34" s="15" t="s">
        <v>135</v>
      </c>
      <c r="K34" s="15" t="s">
        <v>21</v>
      </c>
      <c r="L34" s="15" t="s">
        <v>293</v>
      </c>
      <c r="M34" s="20" t="s">
        <v>377</v>
      </c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379</v>
      </c>
      <c r="D35" s="15" t="s">
        <v>380</v>
      </c>
      <c r="E35" s="15" t="s">
        <v>381</v>
      </c>
      <c r="F35" s="16">
        <v>4</v>
      </c>
      <c r="G35" s="16">
        <v>535</v>
      </c>
      <c r="H35" s="16">
        <v>25</v>
      </c>
      <c r="I35" s="24">
        <f t="shared" ref="I35:I55" si="1">G35-H35</f>
        <v>510</v>
      </c>
      <c r="J35" s="15" t="s">
        <v>135</v>
      </c>
      <c r="K35" s="15" t="s">
        <v>21</v>
      </c>
      <c r="L35" s="15" t="s">
        <v>293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382</v>
      </c>
      <c r="D36" s="15" t="s">
        <v>383</v>
      </c>
      <c r="E36" s="15" t="s">
        <v>384</v>
      </c>
      <c r="F36" s="16">
        <v>7</v>
      </c>
      <c r="G36" s="16">
        <v>820</v>
      </c>
      <c r="H36" s="16">
        <v>30</v>
      </c>
      <c r="I36" s="24">
        <f t="shared" si="1"/>
        <v>790</v>
      </c>
      <c r="J36" s="15" t="s">
        <v>135</v>
      </c>
      <c r="K36" s="15" t="s">
        <v>21</v>
      </c>
      <c r="L36" s="15" t="s">
        <v>293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385</v>
      </c>
      <c r="D37" s="15" t="s">
        <v>386</v>
      </c>
      <c r="E37" s="15" t="s">
        <v>387</v>
      </c>
      <c r="F37" s="16">
        <v>10</v>
      </c>
      <c r="G37" s="16">
        <v>2620</v>
      </c>
      <c r="H37" s="16">
        <v>30</v>
      </c>
      <c r="I37" s="24">
        <f t="shared" si="1"/>
        <v>2590</v>
      </c>
      <c r="J37" s="15" t="s">
        <v>135</v>
      </c>
      <c r="K37" s="15" t="s">
        <v>21</v>
      </c>
      <c r="L37" s="15" t="s">
        <v>293</v>
      </c>
      <c r="M37" s="20" t="s">
        <v>167</v>
      </c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388</v>
      </c>
      <c r="D38" s="15" t="s">
        <v>389</v>
      </c>
      <c r="E38" s="15" t="s">
        <v>390</v>
      </c>
      <c r="F38" s="15" t="s">
        <v>139</v>
      </c>
      <c r="G38" s="16">
        <v>705</v>
      </c>
      <c r="H38" s="16">
        <v>35</v>
      </c>
      <c r="I38" s="24">
        <f t="shared" si="1"/>
        <v>670</v>
      </c>
      <c r="J38" s="15" t="s">
        <v>135</v>
      </c>
      <c r="K38" s="15" t="s">
        <v>21</v>
      </c>
      <c r="L38" s="15" t="s">
        <v>293</v>
      </c>
      <c r="M38" s="15"/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391</v>
      </c>
      <c r="D39" s="15" t="s">
        <v>392</v>
      </c>
      <c r="E39" s="15" t="s">
        <v>393</v>
      </c>
      <c r="F39" s="15" t="s">
        <v>95</v>
      </c>
      <c r="G39" s="16">
        <v>2860</v>
      </c>
      <c r="H39" s="16">
        <v>30</v>
      </c>
      <c r="I39" s="24">
        <f t="shared" si="1"/>
        <v>2830</v>
      </c>
      <c r="J39" s="15" t="s">
        <v>135</v>
      </c>
      <c r="K39" s="15" t="s">
        <v>21</v>
      </c>
      <c r="L39" s="15" t="s">
        <v>293</v>
      </c>
      <c r="M39" s="20" t="s">
        <v>167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394</v>
      </c>
      <c r="D40" s="15" t="s">
        <v>395</v>
      </c>
      <c r="E40" s="15" t="s">
        <v>396</v>
      </c>
      <c r="F40" s="16">
        <v>4</v>
      </c>
      <c r="G40" s="16">
        <v>1165</v>
      </c>
      <c r="H40" s="16">
        <v>25</v>
      </c>
      <c r="I40" s="24">
        <f t="shared" si="1"/>
        <v>1140</v>
      </c>
      <c r="J40" s="15" t="s">
        <v>135</v>
      </c>
      <c r="K40" s="15" t="s">
        <v>21</v>
      </c>
      <c r="L40" s="15" t="s">
        <v>293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397</v>
      </c>
      <c r="D41" s="15" t="s">
        <v>398</v>
      </c>
      <c r="E41" s="15" t="s">
        <v>399</v>
      </c>
      <c r="F41" s="16">
        <v>7</v>
      </c>
      <c r="G41" s="16">
        <v>1350</v>
      </c>
      <c r="H41" s="16">
        <v>30</v>
      </c>
      <c r="I41" s="24">
        <f t="shared" si="1"/>
        <v>1320</v>
      </c>
      <c r="J41" s="15" t="s">
        <v>135</v>
      </c>
      <c r="K41" s="15" t="s">
        <v>21</v>
      </c>
      <c r="L41" s="15" t="s">
        <v>293</v>
      </c>
      <c r="M41" s="15"/>
      <c r="N41" s="15"/>
      <c r="O41" s="15"/>
      <c r="P41" s="15"/>
      <c r="Q41" s="15">
        <v>1</v>
      </c>
    </row>
    <row r="42" spans="1:17" x14ac:dyDescent="0.25">
      <c r="A42" s="15"/>
      <c r="B42" s="15" t="s">
        <v>17</v>
      </c>
      <c r="C42" s="15" t="s">
        <v>400</v>
      </c>
      <c r="D42" s="15" t="s">
        <v>401</v>
      </c>
      <c r="E42" s="15" t="s">
        <v>402</v>
      </c>
      <c r="F42" s="15" t="s">
        <v>134</v>
      </c>
      <c r="G42" s="16">
        <v>675</v>
      </c>
      <c r="H42" s="16">
        <v>35</v>
      </c>
      <c r="I42" s="24">
        <f t="shared" si="1"/>
        <v>640</v>
      </c>
      <c r="J42" s="15" t="s">
        <v>135</v>
      </c>
      <c r="K42" s="15" t="s">
        <v>21</v>
      </c>
      <c r="L42" s="15" t="s">
        <v>293</v>
      </c>
      <c r="M42" s="15"/>
      <c r="N42" s="15"/>
      <c r="O42" s="15"/>
      <c r="P42" s="15"/>
      <c r="Q42" s="15">
        <v>1</v>
      </c>
    </row>
    <row r="43" spans="1:17" x14ac:dyDescent="0.25">
      <c r="A43" s="15"/>
      <c r="B43" s="15" t="s">
        <v>17</v>
      </c>
      <c r="C43" s="15" t="s">
        <v>403</v>
      </c>
      <c r="D43" s="15" t="s">
        <v>404</v>
      </c>
      <c r="E43" s="15" t="s">
        <v>405</v>
      </c>
      <c r="F43" s="15" t="s">
        <v>406</v>
      </c>
      <c r="G43" s="16">
        <v>660</v>
      </c>
      <c r="H43" s="16">
        <v>20</v>
      </c>
      <c r="I43" s="24">
        <f t="shared" si="1"/>
        <v>640</v>
      </c>
      <c r="J43" s="15" t="s">
        <v>135</v>
      </c>
      <c r="K43" s="15" t="s">
        <v>21</v>
      </c>
      <c r="L43" s="15" t="s">
        <v>293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407</v>
      </c>
      <c r="D44" s="15" t="s">
        <v>408</v>
      </c>
      <c r="E44" s="15" t="s">
        <v>409</v>
      </c>
      <c r="F44" s="16">
        <v>8</v>
      </c>
      <c r="G44" s="16">
        <v>1430</v>
      </c>
      <c r="H44" s="16">
        <v>30</v>
      </c>
      <c r="I44" s="24">
        <f t="shared" si="1"/>
        <v>1400</v>
      </c>
      <c r="J44" s="15" t="s">
        <v>135</v>
      </c>
      <c r="K44" s="15" t="s">
        <v>21</v>
      </c>
      <c r="L44" s="15" t="s">
        <v>293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131</v>
      </c>
      <c r="D45" s="15" t="s">
        <v>410</v>
      </c>
      <c r="E45" s="15" t="s">
        <v>411</v>
      </c>
      <c r="F45" s="15" t="s">
        <v>134</v>
      </c>
      <c r="G45" s="16">
        <v>855</v>
      </c>
      <c r="H45" s="16">
        <v>35</v>
      </c>
      <c r="I45" s="24">
        <f t="shared" si="1"/>
        <v>820</v>
      </c>
      <c r="J45" s="15" t="s">
        <v>135</v>
      </c>
      <c r="K45" s="15" t="s">
        <v>21</v>
      </c>
      <c r="L45" s="15" t="s">
        <v>293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412</v>
      </c>
      <c r="D46" s="15" t="s">
        <v>413</v>
      </c>
      <c r="E46" s="15" t="s">
        <v>414</v>
      </c>
      <c r="F46" s="16">
        <v>5</v>
      </c>
      <c r="G46" s="16">
        <v>2120</v>
      </c>
      <c r="H46" s="16">
        <v>30</v>
      </c>
      <c r="I46" s="24">
        <f t="shared" si="1"/>
        <v>2090</v>
      </c>
      <c r="J46" s="15" t="s">
        <v>135</v>
      </c>
      <c r="K46" s="15" t="s">
        <v>21</v>
      </c>
      <c r="L46" s="15" t="s">
        <v>293</v>
      </c>
      <c r="M46" s="20" t="s">
        <v>167</v>
      </c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415</v>
      </c>
      <c r="D47" s="15" t="s">
        <v>416</v>
      </c>
      <c r="E47" s="15" t="s">
        <v>417</v>
      </c>
      <c r="F47" s="16">
        <v>7</v>
      </c>
      <c r="G47" s="16">
        <v>0</v>
      </c>
      <c r="H47" s="16">
        <v>30</v>
      </c>
      <c r="I47" s="24">
        <f t="shared" si="1"/>
        <v>-30</v>
      </c>
      <c r="J47" s="15" t="s">
        <v>135</v>
      </c>
      <c r="K47" s="15" t="s">
        <v>21</v>
      </c>
      <c r="L47" s="15" t="s">
        <v>293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418</v>
      </c>
      <c r="D48" s="15" t="s">
        <v>419</v>
      </c>
      <c r="E48" s="15" t="s">
        <v>420</v>
      </c>
      <c r="F48" s="16">
        <v>1</v>
      </c>
      <c r="G48" s="16">
        <v>535</v>
      </c>
      <c r="H48" s="16">
        <v>25</v>
      </c>
      <c r="I48" s="24">
        <f t="shared" si="1"/>
        <v>510</v>
      </c>
      <c r="J48" s="15" t="s">
        <v>135</v>
      </c>
      <c r="K48" s="15" t="s">
        <v>21</v>
      </c>
      <c r="L48" s="15" t="s">
        <v>293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421</v>
      </c>
      <c r="D49" s="15" t="s">
        <v>422</v>
      </c>
      <c r="E49" s="15" t="s">
        <v>423</v>
      </c>
      <c r="F49" s="16">
        <v>1</v>
      </c>
      <c r="G49" s="16">
        <v>-180</v>
      </c>
      <c r="H49" s="16">
        <v>25</v>
      </c>
      <c r="I49" s="24">
        <f t="shared" si="1"/>
        <v>-205</v>
      </c>
      <c r="J49" s="15" t="s">
        <v>135</v>
      </c>
      <c r="K49" s="15" t="s">
        <v>21</v>
      </c>
      <c r="L49" s="15" t="s">
        <v>293</v>
      </c>
      <c r="M49" s="20" t="s">
        <v>424</v>
      </c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425</v>
      </c>
      <c r="D50" s="15" t="s">
        <v>426</v>
      </c>
      <c r="E50" s="15" t="s">
        <v>427</v>
      </c>
      <c r="F50" s="16">
        <v>4</v>
      </c>
      <c r="G50" s="16">
        <v>1355</v>
      </c>
      <c r="H50" s="16">
        <v>25</v>
      </c>
      <c r="I50" s="24">
        <f t="shared" si="1"/>
        <v>1330</v>
      </c>
      <c r="J50" s="15" t="s">
        <v>135</v>
      </c>
      <c r="K50" s="15" t="s">
        <v>21</v>
      </c>
      <c r="L50" s="15" t="s">
        <v>293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428</v>
      </c>
      <c r="D51" s="15" t="s">
        <v>429</v>
      </c>
      <c r="E51" s="15" t="s">
        <v>430</v>
      </c>
      <c r="F51" s="16">
        <v>7</v>
      </c>
      <c r="G51" s="16">
        <v>1890</v>
      </c>
      <c r="H51" s="16">
        <v>30</v>
      </c>
      <c r="I51" s="24">
        <f t="shared" si="1"/>
        <v>1860</v>
      </c>
      <c r="J51" s="15" t="s">
        <v>135</v>
      </c>
      <c r="K51" s="15" t="s">
        <v>21</v>
      </c>
      <c r="L51" s="15" t="s">
        <v>293</v>
      </c>
      <c r="M51" s="15"/>
      <c r="N51" s="15"/>
      <c r="O51" s="15"/>
      <c r="P51" s="15"/>
      <c r="Q51" s="15">
        <v>1</v>
      </c>
    </row>
    <row r="52" spans="1:17" s="19" customFormat="1" x14ac:dyDescent="0.25">
      <c r="A52" s="17"/>
      <c r="B52" s="17" t="s">
        <v>17</v>
      </c>
      <c r="C52" s="17" t="s">
        <v>171</v>
      </c>
      <c r="D52" s="17" t="s">
        <v>431</v>
      </c>
      <c r="E52" s="17" t="s">
        <v>173</v>
      </c>
      <c r="F52" s="18">
        <v>7</v>
      </c>
      <c r="G52" s="18">
        <v>30</v>
      </c>
      <c r="H52" s="18">
        <v>30</v>
      </c>
      <c r="I52" s="18">
        <f t="shared" si="1"/>
        <v>0</v>
      </c>
      <c r="J52" s="17" t="s">
        <v>135</v>
      </c>
      <c r="K52" s="17" t="s">
        <v>21</v>
      </c>
      <c r="L52" s="17" t="s">
        <v>293</v>
      </c>
      <c r="M52" s="17" t="s">
        <v>126</v>
      </c>
      <c r="N52" s="17"/>
      <c r="O52" s="17"/>
      <c r="P52" s="17"/>
      <c r="Q52" s="17">
        <v>1</v>
      </c>
    </row>
    <row r="53" spans="1:17" x14ac:dyDescent="0.25">
      <c r="A53" s="15"/>
      <c r="B53" s="15" t="s">
        <v>17</v>
      </c>
      <c r="C53" s="15" t="s">
        <v>432</v>
      </c>
      <c r="D53" s="15" t="s">
        <v>433</v>
      </c>
      <c r="E53" s="15" t="s">
        <v>434</v>
      </c>
      <c r="F53" s="16">
        <v>10</v>
      </c>
      <c r="G53" s="16">
        <v>25</v>
      </c>
      <c r="H53" s="16">
        <v>25</v>
      </c>
      <c r="I53" s="24">
        <f t="shared" si="1"/>
        <v>0</v>
      </c>
      <c r="J53" s="15" t="s">
        <v>135</v>
      </c>
      <c r="K53" s="15" t="s">
        <v>21</v>
      </c>
      <c r="L53" s="15" t="s">
        <v>293</v>
      </c>
      <c r="M53" s="15"/>
      <c r="N53" s="15"/>
      <c r="O53" s="15"/>
      <c r="P53" s="15"/>
      <c r="Q53" s="15">
        <v>1</v>
      </c>
    </row>
    <row r="54" spans="1:17" x14ac:dyDescent="0.25">
      <c r="A54" s="15" t="s">
        <v>16</v>
      </c>
      <c r="B54" s="15" t="s">
        <v>17</v>
      </c>
      <c r="C54" s="15" t="s">
        <v>435</v>
      </c>
      <c r="D54" s="15"/>
      <c r="E54" s="15" t="s">
        <v>436</v>
      </c>
      <c r="F54" s="15" t="s">
        <v>95</v>
      </c>
      <c r="G54" s="16">
        <v>750</v>
      </c>
      <c r="H54" s="16">
        <v>30</v>
      </c>
      <c r="I54" s="24">
        <f t="shared" si="1"/>
        <v>720</v>
      </c>
      <c r="J54" s="15" t="s">
        <v>135</v>
      </c>
      <c r="K54" s="15" t="s">
        <v>21</v>
      </c>
      <c r="L54" s="15" t="s">
        <v>293</v>
      </c>
      <c r="M54" s="15"/>
      <c r="N54" s="15"/>
      <c r="O54" s="15"/>
      <c r="P54" s="15"/>
      <c r="Q54" s="15">
        <v>1</v>
      </c>
    </row>
    <row r="55" spans="1:17" x14ac:dyDescent="0.25">
      <c r="A55" s="15" t="s">
        <v>16</v>
      </c>
      <c r="B55" s="15" t="s">
        <v>17</v>
      </c>
      <c r="C55" s="15" t="s">
        <v>437</v>
      </c>
      <c r="D55" s="15"/>
      <c r="E55" s="15" t="s">
        <v>438</v>
      </c>
      <c r="F55" s="16">
        <v>1</v>
      </c>
      <c r="G55" s="16">
        <v>0</v>
      </c>
      <c r="H55" s="16">
        <v>30</v>
      </c>
      <c r="I55" s="24">
        <f t="shared" si="1"/>
        <v>-30</v>
      </c>
      <c r="J55" s="15" t="s">
        <v>135</v>
      </c>
      <c r="K55" s="15" t="s">
        <v>21</v>
      </c>
      <c r="L55" s="15" t="s">
        <v>293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47</v>
      </c>
      <c r="G57" s="1">
        <f t="shared" ref="G57:Q57" si="2">SUBTOTAL(9,G3:G55)</f>
        <v>39405</v>
      </c>
      <c r="H57" s="1">
        <f t="shared" si="2"/>
        <v>1515</v>
      </c>
      <c r="I57" s="1">
        <f t="shared" si="2"/>
        <v>37890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1" t="s">
        <v>17</v>
      </c>
      <c r="C59" s="40" t="s">
        <v>191</v>
      </c>
      <c r="D59" s="40"/>
      <c r="E59" s="4" t="s">
        <v>192</v>
      </c>
      <c r="H59">
        <f>-7*25</f>
        <v>-175</v>
      </c>
      <c r="K59" s="11" t="s">
        <v>135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293</v>
      </c>
      <c r="B60" s="3" t="s">
        <v>195</v>
      </c>
      <c r="C60" s="41">
        <f>SUMIFS(I$3:I$55,B$3:B$55,A$59,L$3:L$55,A$60)</f>
        <v>37890</v>
      </c>
      <c r="D60" s="41"/>
      <c r="E60" s="3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2" t="s">
        <v>199</v>
      </c>
      <c r="C61" s="42">
        <v>0</v>
      </c>
      <c r="D61" s="42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2" t="s">
        <v>201</v>
      </c>
      <c r="C62" s="42">
        <f>-SUMIFS(I$3:I$55,B$3:B$55,A$59,P$3:P$55,"xx",N$3:N$55,"x")</f>
        <v>0</v>
      </c>
      <c r="D62" s="42"/>
      <c r="E62" s="2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4" t="s">
        <v>203</v>
      </c>
      <c r="C63" s="40">
        <f>SUBTOTAL(9,C60:C62)</f>
        <v>37890</v>
      </c>
      <c r="D63" s="40"/>
      <c r="E63">
        <f>E60</f>
        <v>53</v>
      </c>
      <c r="K63" s="2" t="s">
        <v>204</v>
      </c>
      <c r="O63" t="s">
        <v>207</v>
      </c>
      <c r="P63">
        <f>-C67</f>
        <v>-37860</v>
      </c>
    </row>
    <row r="64" spans="1:17" x14ac:dyDescent="0.25">
      <c r="B64" s="2" t="s">
        <v>205</v>
      </c>
      <c r="C64" s="38"/>
      <c r="D64" s="38"/>
      <c r="K64" s="2" t="s">
        <v>206</v>
      </c>
      <c r="O64" s="4" t="s">
        <v>209</v>
      </c>
      <c r="P64" s="4">
        <f>SUBTOTAL(9,P60:P63)</f>
        <v>240</v>
      </c>
    </row>
    <row r="65" spans="2:13" x14ac:dyDescent="0.25">
      <c r="B65" s="12" t="s">
        <v>208</v>
      </c>
      <c r="C65" s="38">
        <v>-30</v>
      </c>
      <c r="D65" s="38"/>
      <c r="L65" s="13">
        <f>SUBTOTAL(9,L60:L64)</f>
        <v>21245</v>
      </c>
      <c r="M65" s="13">
        <f>M60</f>
        <v>22</v>
      </c>
    </row>
    <row r="67" spans="2:13" x14ac:dyDescent="0.25">
      <c r="B67" s="1" t="s">
        <v>210</v>
      </c>
      <c r="C67" s="39">
        <f>C63+C64+C65</f>
        <v>37860</v>
      </c>
      <c r="D67" s="39"/>
      <c r="E67" s="1" t="s">
        <v>211</v>
      </c>
      <c r="K67" s="11" t="s">
        <v>292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11777</v>
      </c>
      <c r="M73" s="13">
        <f>M68</f>
        <v>18</v>
      </c>
    </row>
    <row r="75" spans="2:13" x14ac:dyDescent="0.25">
      <c r="K75" s="11" t="s">
        <v>21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5078</v>
      </c>
      <c r="M81" s="13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440</v>
      </c>
      <c r="D3" s="15" t="s">
        <v>441</v>
      </c>
      <c r="E3" s="15" t="s">
        <v>442</v>
      </c>
      <c r="F3" s="15" t="s">
        <v>46</v>
      </c>
      <c r="G3" s="16">
        <v>0</v>
      </c>
      <c r="H3" s="16">
        <v>25</v>
      </c>
      <c r="I3" s="16">
        <f t="shared" ref="I3:I34" si="0">G3-H3</f>
        <v>-25</v>
      </c>
      <c r="J3" s="15" t="s">
        <v>443</v>
      </c>
      <c r="K3" s="15" t="s">
        <v>21</v>
      </c>
      <c r="L3" s="15" t="s">
        <v>444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445</v>
      </c>
      <c r="D4" s="15" t="s">
        <v>446</v>
      </c>
      <c r="E4" s="15" t="s">
        <v>447</v>
      </c>
      <c r="F4" s="16">
        <v>12</v>
      </c>
      <c r="G4" s="16">
        <v>400</v>
      </c>
      <c r="H4" s="16">
        <v>30</v>
      </c>
      <c r="I4" s="16">
        <f t="shared" si="0"/>
        <v>370</v>
      </c>
      <c r="J4" s="15" t="s">
        <v>443</v>
      </c>
      <c r="K4" s="15" t="s">
        <v>21</v>
      </c>
      <c r="L4" s="15" t="s">
        <v>444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448</v>
      </c>
      <c r="D5" s="15" t="s">
        <v>449</v>
      </c>
      <c r="E5" s="15" t="s">
        <v>450</v>
      </c>
      <c r="F5" s="16">
        <v>8</v>
      </c>
      <c r="G5" s="16">
        <v>1060</v>
      </c>
      <c r="H5" s="16">
        <v>30</v>
      </c>
      <c r="I5" s="16">
        <f t="shared" si="0"/>
        <v>1030</v>
      </c>
      <c r="J5" s="15" t="s">
        <v>443</v>
      </c>
      <c r="K5" s="15" t="s">
        <v>21</v>
      </c>
      <c r="L5" s="15" t="s">
        <v>444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451</v>
      </c>
      <c r="D6" s="15" t="s">
        <v>452</v>
      </c>
      <c r="E6" s="15" t="s">
        <v>453</v>
      </c>
      <c r="F6" s="15" t="s">
        <v>26</v>
      </c>
      <c r="G6" s="16">
        <v>820</v>
      </c>
      <c r="H6" s="16">
        <v>30</v>
      </c>
      <c r="I6" s="16">
        <f t="shared" si="0"/>
        <v>790</v>
      </c>
      <c r="J6" s="15" t="s">
        <v>443</v>
      </c>
      <c r="K6" s="15" t="s">
        <v>21</v>
      </c>
      <c r="L6" s="15" t="s">
        <v>444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454</v>
      </c>
      <c r="D7" s="15" t="s">
        <v>455</v>
      </c>
      <c r="E7" s="15" t="s">
        <v>456</v>
      </c>
      <c r="F7" s="16">
        <v>6</v>
      </c>
      <c r="G7" s="16">
        <v>0</v>
      </c>
      <c r="H7" s="16">
        <v>25</v>
      </c>
      <c r="I7" s="16">
        <f t="shared" si="0"/>
        <v>-25</v>
      </c>
      <c r="J7" s="15" t="s">
        <v>443</v>
      </c>
      <c r="K7" s="15" t="s">
        <v>21</v>
      </c>
      <c r="L7" s="15" t="s">
        <v>444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457</v>
      </c>
      <c r="D8" s="15" t="s">
        <v>458</v>
      </c>
      <c r="E8" s="15" t="s">
        <v>459</v>
      </c>
      <c r="F8" s="15" t="s">
        <v>26</v>
      </c>
      <c r="G8" s="16">
        <v>890</v>
      </c>
      <c r="H8" s="16">
        <v>30</v>
      </c>
      <c r="I8" s="16">
        <f t="shared" si="0"/>
        <v>860</v>
      </c>
      <c r="J8" s="15" t="s">
        <v>443</v>
      </c>
      <c r="K8" s="15" t="s">
        <v>21</v>
      </c>
      <c r="L8" s="15" t="s">
        <v>444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460</v>
      </c>
      <c r="D9" s="15" t="s">
        <v>461</v>
      </c>
      <c r="E9" s="15" t="s">
        <v>462</v>
      </c>
      <c r="F9" s="15" t="s">
        <v>26</v>
      </c>
      <c r="G9" s="16">
        <v>850</v>
      </c>
      <c r="H9" s="16">
        <v>30</v>
      </c>
      <c r="I9" s="16">
        <f t="shared" si="0"/>
        <v>820</v>
      </c>
      <c r="J9" s="15" t="s">
        <v>443</v>
      </c>
      <c r="K9" s="15" t="s">
        <v>21</v>
      </c>
      <c r="L9" s="15" t="s">
        <v>444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463</v>
      </c>
      <c r="D10" s="15" t="s">
        <v>464</v>
      </c>
      <c r="E10" s="15" t="s">
        <v>465</v>
      </c>
      <c r="F10" s="15" t="s">
        <v>139</v>
      </c>
      <c r="G10" s="16">
        <v>855</v>
      </c>
      <c r="H10" s="16">
        <v>35</v>
      </c>
      <c r="I10" s="16">
        <f t="shared" si="0"/>
        <v>820</v>
      </c>
      <c r="J10" s="15" t="s">
        <v>443</v>
      </c>
      <c r="K10" s="15" t="s">
        <v>21</v>
      </c>
      <c r="L10" s="15" t="s">
        <v>444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466</v>
      </c>
      <c r="D11" s="15" t="s">
        <v>467</v>
      </c>
      <c r="E11" s="15" t="s">
        <v>468</v>
      </c>
      <c r="F11" s="15" t="s">
        <v>46</v>
      </c>
      <c r="G11" s="16">
        <v>1175</v>
      </c>
      <c r="H11" s="16">
        <v>25</v>
      </c>
      <c r="I11" s="16">
        <f t="shared" si="0"/>
        <v>1150</v>
      </c>
      <c r="J11" s="15" t="s">
        <v>443</v>
      </c>
      <c r="K11" s="15" t="s">
        <v>21</v>
      </c>
      <c r="L11" s="15" t="s">
        <v>444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469</v>
      </c>
      <c r="D12" s="15" t="s">
        <v>470</v>
      </c>
      <c r="E12" s="15" t="s">
        <v>471</v>
      </c>
      <c r="F12" s="15" t="s">
        <v>95</v>
      </c>
      <c r="G12" s="16">
        <v>715</v>
      </c>
      <c r="H12" s="16">
        <v>25</v>
      </c>
      <c r="I12" s="16">
        <f t="shared" si="0"/>
        <v>690</v>
      </c>
      <c r="J12" s="15" t="s">
        <v>443</v>
      </c>
      <c r="K12" s="15" t="s">
        <v>21</v>
      </c>
      <c r="L12" s="15" t="s">
        <v>444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472</v>
      </c>
      <c r="D13" s="15" t="s">
        <v>473</v>
      </c>
      <c r="E13" s="15" t="s">
        <v>474</v>
      </c>
      <c r="F13" s="16">
        <v>12</v>
      </c>
      <c r="G13" s="16">
        <v>1150</v>
      </c>
      <c r="H13" s="16">
        <v>30</v>
      </c>
      <c r="I13" s="16">
        <f t="shared" si="0"/>
        <v>1120</v>
      </c>
      <c r="J13" s="15" t="s">
        <v>443</v>
      </c>
      <c r="K13" s="15" t="s">
        <v>21</v>
      </c>
      <c r="L13" s="15" t="s">
        <v>444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475</v>
      </c>
      <c r="D14" s="15" t="s">
        <v>476</v>
      </c>
      <c r="E14" s="15" t="s">
        <v>477</v>
      </c>
      <c r="F14" s="15" t="s">
        <v>46</v>
      </c>
      <c r="G14" s="16">
        <v>0</v>
      </c>
      <c r="H14" s="16">
        <v>25</v>
      </c>
      <c r="I14" s="16">
        <f t="shared" si="0"/>
        <v>-25</v>
      </c>
      <c r="J14" s="15" t="s">
        <v>443</v>
      </c>
      <c r="K14" s="15" t="s">
        <v>21</v>
      </c>
      <c r="L14" s="15" t="s">
        <v>444</v>
      </c>
      <c r="M14" s="15"/>
      <c r="N14" s="15"/>
      <c r="O14" s="15"/>
      <c r="P14" s="15"/>
      <c r="Q14" s="15">
        <v>1</v>
      </c>
    </row>
    <row r="15" spans="1:17" s="19" customFormat="1" x14ac:dyDescent="0.25">
      <c r="A15" s="17" t="s">
        <v>16</v>
      </c>
      <c r="B15" s="17" t="s">
        <v>17</v>
      </c>
      <c r="C15" s="17" t="s">
        <v>478</v>
      </c>
      <c r="D15" s="17"/>
      <c r="E15" s="17" t="s">
        <v>479</v>
      </c>
      <c r="F15" s="17" t="s">
        <v>85</v>
      </c>
      <c r="G15" s="18">
        <v>0</v>
      </c>
      <c r="H15" s="18">
        <v>25</v>
      </c>
      <c r="I15" s="18">
        <f t="shared" si="0"/>
        <v>-25</v>
      </c>
      <c r="J15" s="17" t="s">
        <v>21</v>
      </c>
      <c r="K15" s="17" t="s">
        <v>21</v>
      </c>
      <c r="L15" s="17" t="s">
        <v>444</v>
      </c>
      <c r="M15" s="17" t="s">
        <v>126</v>
      </c>
      <c r="N15" s="17"/>
      <c r="O15" s="17"/>
      <c r="P15" s="17"/>
      <c r="Q15" s="17">
        <v>1</v>
      </c>
    </row>
    <row r="16" spans="1:17" x14ac:dyDescent="0.25">
      <c r="A16" s="15"/>
      <c r="B16" s="15" t="s">
        <v>17</v>
      </c>
      <c r="C16" s="15" t="s">
        <v>480</v>
      </c>
      <c r="D16" s="15" t="s">
        <v>481</v>
      </c>
      <c r="E16" s="15" t="s">
        <v>482</v>
      </c>
      <c r="F16" s="15" t="s">
        <v>95</v>
      </c>
      <c r="G16" s="16">
        <v>985</v>
      </c>
      <c r="H16" s="16">
        <v>25</v>
      </c>
      <c r="I16" s="16">
        <f t="shared" si="0"/>
        <v>960</v>
      </c>
      <c r="J16" s="15" t="s">
        <v>21</v>
      </c>
      <c r="K16" s="15" t="s">
        <v>21</v>
      </c>
      <c r="L16" s="15" t="s">
        <v>444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483</v>
      </c>
      <c r="D17" s="15" t="s">
        <v>484</v>
      </c>
      <c r="E17" s="15" t="s">
        <v>485</v>
      </c>
      <c r="F17" s="15" t="s">
        <v>81</v>
      </c>
      <c r="G17" s="16">
        <v>560</v>
      </c>
      <c r="H17" s="16">
        <v>30</v>
      </c>
      <c r="I17" s="16">
        <f t="shared" si="0"/>
        <v>530</v>
      </c>
      <c r="J17" s="15" t="s">
        <v>21</v>
      </c>
      <c r="K17" s="15" t="s">
        <v>21</v>
      </c>
      <c r="L17" s="15" t="s">
        <v>444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486</v>
      </c>
      <c r="D18" s="15" t="s">
        <v>487</v>
      </c>
      <c r="E18" s="15" t="s">
        <v>488</v>
      </c>
      <c r="F18" s="15" t="s">
        <v>95</v>
      </c>
      <c r="G18" s="16">
        <v>815</v>
      </c>
      <c r="H18" s="16">
        <v>25</v>
      </c>
      <c r="I18" s="16">
        <f t="shared" si="0"/>
        <v>790</v>
      </c>
      <c r="J18" s="15" t="s">
        <v>21</v>
      </c>
      <c r="K18" s="15" t="s">
        <v>21</v>
      </c>
      <c r="L18" s="15" t="s">
        <v>444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489</v>
      </c>
      <c r="D19" s="15" t="s">
        <v>490</v>
      </c>
      <c r="E19" s="15" t="s">
        <v>491</v>
      </c>
      <c r="F19" s="15" t="s">
        <v>85</v>
      </c>
      <c r="G19" s="16">
        <v>1140</v>
      </c>
      <c r="H19" s="16">
        <v>20</v>
      </c>
      <c r="I19" s="16">
        <f t="shared" si="0"/>
        <v>1120</v>
      </c>
      <c r="J19" s="15" t="s">
        <v>21</v>
      </c>
      <c r="K19" s="15" t="s">
        <v>21</v>
      </c>
      <c r="L19" s="15" t="s">
        <v>444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492</v>
      </c>
      <c r="D20" s="15" t="s">
        <v>493</v>
      </c>
      <c r="E20" s="15" t="s">
        <v>494</v>
      </c>
      <c r="F20" s="15" t="s">
        <v>81</v>
      </c>
      <c r="G20" s="16">
        <v>410</v>
      </c>
      <c r="H20" s="16">
        <v>30</v>
      </c>
      <c r="I20" s="16">
        <f t="shared" si="0"/>
        <v>380</v>
      </c>
      <c r="J20" s="15" t="s">
        <v>21</v>
      </c>
      <c r="K20" s="15" t="s">
        <v>21</v>
      </c>
      <c r="L20" s="15" t="s">
        <v>444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495</v>
      </c>
      <c r="D21" s="15" t="s">
        <v>496</v>
      </c>
      <c r="E21" s="15" t="s">
        <v>497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444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498</v>
      </c>
      <c r="D22" s="15" t="s">
        <v>499</v>
      </c>
      <c r="E22" s="15" t="s">
        <v>500</v>
      </c>
      <c r="F22" s="16">
        <v>12</v>
      </c>
      <c r="G22" s="16">
        <v>0</v>
      </c>
      <c r="H22" s="16">
        <v>30</v>
      </c>
      <c r="I22" s="16">
        <f t="shared" si="0"/>
        <v>-30</v>
      </c>
      <c r="J22" s="15" t="s">
        <v>21</v>
      </c>
      <c r="K22" s="15" t="s">
        <v>21</v>
      </c>
      <c r="L22" s="15" t="s">
        <v>444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501</v>
      </c>
      <c r="D23" s="15" t="s">
        <v>502</v>
      </c>
      <c r="E23" s="15" t="s">
        <v>503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21</v>
      </c>
      <c r="K23" s="15" t="s">
        <v>21</v>
      </c>
      <c r="L23" s="15" t="s">
        <v>444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504</v>
      </c>
      <c r="D24" s="15"/>
      <c r="E24" s="15" t="s">
        <v>505</v>
      </c>
      <c r="F24" s="15" t="s">
        <v>95</v>
      </c>
      <c r="G24" s="16">
        <v>0</v>
      </c>
      <c r="H24" s="16">
        <v>30</v>
      </c>
      <c r="I24" s="16">
        <f t="shared" si="0"/>
        <v>-30</v>
      </c>
      <c r="J24" s="15" t="s">
        <v>135</v>
      </c>
      <c r="K24" s="15" t="s">
        <v>21</v>
      </c>
      <c r="L24" s="15" t="s">
        <v>444</v>
      </c>
      <c r="M24" s="15"/>
      <c r="N24" s="15"/>
      <c r="O24" s="15"/>
      <c r="P24" s="15"/>
      <c r="Q24" s="15">
        <v>1</v>
      </c>
    </row>
    <row r="25" spans="1:17" x14ac:dyDescent="0.25">
      <c r="A25" s="15" t="s">
        <v>16</v>
      </c>
      <c r="B25" s="15" t="s">
        <v>17</v>
      </c>
      <c r="C25" s="15" t="s">
        <v>506</v>
      </c>
      <c r="D25" s="15"/>
      <c r="E25" s="15" t="s">
        <v>507</v>
      </c>
      <c r="F25" s="15" t="s">
        <v>95</v>
      </c>
      <c r="G25" s="16">
        <v>0</v>
      </c>
      <c r="H25" s="16">
        <v>30</v>
      </c>
      <c r="I25" s="16">
        <f t="shared" si="0"/>
        <v>-30</v>
      </c>
      <c r="J25" s="15" t="s">
        <v>135</v>
      </c>
      <c r="K25" s="15" t="s">
        <v>21</v>
      </c>
      <c r="L25" s="15" t="s">
        <v>444</v>
      </c>
      <c r="M25" s="15"/>
      <c r="N25" s="15"/>
      <c r="O25" s="15"/>
      <c r="P25" s="15"/>
      <c r="Q25" s="15">
        <v>1</v>
      </c>
    </row>
    <row r="26" spans="1:17" x14ac:dyDescent="0.25">
      <c r="A26" s="15" t="s">
        <v>16</v>
      </c>
      <c r="B26" s="15" t="s">
        <v>17</v>
      </c>
      <c r="C26" s="15" t="s">
        <v>508</v>
      </c>
      <c r="D26" s="15"/>
      <c r="E26" s="15" t="s">
        <v>509</v>
      </c>
      <c r="F26" s="15" t="s">
        <v>406</v>
      </c>
      <c r="G26" s="16">
        <v>25</v>
      </c>
      <c r="H26" s="16">
        <v>25</v>
      </c>
      <c r="I26" s="16">
        <f t="shared" si="0"/>
        <v>0</v>
      </c>
      <c r="J26" s="15" t="s">
        <v>135</v>
      </c>
      <c r="K26" s="15" t="s">
        <v>21</v>
      </c>
      <c r="L26" s="15" t="s">
        <v>444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510</v>
      </c>
      <c r="D27" s="15" t="s">
        <v>511</v>
      </c>
      <c r="E27" s="15" t="s">
        <v>512</v>
      </c>
      <c r="F27" s="15" t="s">
        <v>406</v>
      </c>
      <c r="G27" s="16">
        <v>4860</v>
      </c>
      <c r="H27" s="16">
        <v>30</v>
      </c>
      <c r="I27" s="16">
        <f t="shared" si="0"/>
        <v>4830</v>
      </c>
      <c r="J27" s="15" t="s">
        <v>135</v>
      </c>
      <c r="K27" s="15" t="s">
        <v>21</v>
      </c>
      <c r="L27" s="15" t="s">
        <v>444</v>
      </c>
      <c r="M27" s="20" t="s">
        <v>167</v>
      </c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513</v>
      </c>
      <c r="D28" s="15" t="s">
        <v>514</v>
      </c>
      <c r="E28" s="15" t="s">
        <v>515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444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516</v>
      </c>
      <c r="D29" s="15" t="s">
        <v>517</v>
      </c>
      <c r="E29" s="15" t="s">
        <v>518</v>
      </c>
      <c r="F29" s="15" t="s">
        <v>95</v>
      </c>
      <c r="G29" s="16">
        <v>795</v>
      </c>
      <c r="H29" s="16">
        <v>25</v>
      </c>
      <c r="I29" s="16">
        <f t="shared" si="0"/>
        <v>770</v>
      </c>
      <c r="J29" s="15" t="s">
        <v>135</v>
      </c>
      <c r="K29" s="15" t="s">
        <v>21</v>
      </c>
      <c r="L29" s="15" t="s">
        <v>444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519</v>
      </c>
      <c r="D30" s="15" t="s">
        <v>520</v>
      </c>
      <c r="E30" s="15" t="s">
        <v>521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444</v>
      </c>
      <c r="M30" s="15"/>
      <c r="N30" s="15"/>
      <c r="O30" s="15"/>
      <c r="P30" s="15"/>
      <c r="Q30" s="15">
        <v>1</v>
      </c>
    </row>
    <row r="31" spans="1:17" s="19" customFormat="1" x14ac:dyDescent="0.25">
      <c r="A31" s="17"/>
      <c r="B31" s="17" t="s">
        <v>17</v>
      </c>
      <c r="C31" s="17" t="s">
        <v>522</v>
      </c>
      <c r="D31" s="17" t="s">
        <v>523</v>
      </c>
      <c r="E31" s="17" t="s">
        <v>524</v>
      </c>
      <c r="F31" s="18">
        <v>5</v>
      </c>
      <c r="G31" s="18">
        <v>25</v>
      </c>
      <c r="H31" s="18">
        <v>25</v>
      </c>
      <c r="I31" s="18">
        <f t="shared" si="0"/>
        <v>0</v>
      </c>
      <c r="J31" s="17" t="s">
        <v>135</v>
      </c>
      <c r="K31" s="17" t="s">
        <v>21</v>
      </c>
      <c r="L31" s="17" t="s">
        <v>444</v>
      </c>
      <c r="M31" s="17" t="s">
        <v>126</v>
      </c>
      <c r="N31" s="17"/>
      <c r="O31" s="17"/>
      <c r="P31" s="17"/>
      <c r="Q31" s="17">
        <v>1</v>
      </c>
    </row>
    <row r="32" spans="1:17" x14ac:dyDescent="0.25">
      <c r="A32" s="15"/>
      <c r="B32" s="15" t="s">
        <v>17</v>
      </c>
      <c r="C32" s="15" t="s">
        <v>525</v>
      </c>
      <c r="D32" s="15" t="s">
        <v>526</v>
      </c>
      <c r="E32" s="15" t="s">
        <v>527</v>
      </c>
      <c r="F32" s="16">
        <v>1</v>
      </c>
      <c r="G32" s="16">
        <v>1475</v>
      </c>
      <c r="H32" s="16">
        <v>25</v>
      </c>
      <c r="I32" s="16">
        <f t="shared" si="0"/>
        <v>1450</v>
      </c>
      <c r="J32" s="15" t="s">
        <v>135</v>
      </c>
      <c r="K32" s="15" t="s">
        <v>21</v>
      </c>
      <c r="L32" s="15" t="s">
        <v>444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528</v>
      </c>
      <c r="D33" s="15" t="s">
        <v>529</v>
      </c>
      <c r="E33" s="15" t="s">
        <v>530</v>
      </c>
      <c r="F33" s="16">
        <v>4</v>
      </c>
      <c r="G33" s="16">
        <v>825</v>
      </c>
      <c r="H33" s="16">
        <v>25</v>
      </c>
      <c r="I33" s="16">
        <f t="shared" si="0"/>
        <v>800</v>
      </c>
      <c r="J33" s="15" t="s">
        <v>135</v>
      </c>
      <c r="K33" s="15" t="s">
        <v>21</v>
      </c>
      <c r="L33" s="15" t="s">
        <v>444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531</v>
      </c>
      <c r="D34" s="15" t="s">
        <v>532</v>
      </c>
      <c r="E34" s="15" t="s">
        <v>533</v>
      </c>
      <c r="F34" s="15" t="s">
        <v>95</v>
      </c>
      <c r="G34" s="16">
        <v>3370</v>
      </c>
      <c r="H34" s="16">
        <v>30</v>
      </c>
      <c r="I34" s="16">
        <f t="shared" si="0"/>
        <v>3340</v>
      </c>
      <c r="J34" s="15" t="s">
        <v>135</v>
      </c>
      <c r="K34" s="15" t="s">
        <v>21</v>
      </c>
      <c r="L34" s="15" t="s">
        <v>444</v>
      </c>
      <c r="M34" s="20" t="s">
        <v>167</v>
      </c>
      <c r="N34" s="15"/>
      <c r="O34" s="15"/>
      <c r="P34" s="15"/>
      <c r="Q34" s="15">
        <v>1</v>
      </c>
    </row>
    <row r="36" spans="1:17" x14ac:dyDescent="0.25">
      <c r="D36" s="1">
        <f>COUNTA(D3:D34)</f>
        <v>28</v>
      </c>
      <c r="G36" s="1">
        <f t="shared" ref="G36:Q36" si="1">SUBTOTAL(9,G3:G34)</f>
        <v>23200</v>
      </c>
      <c r="H36" s="1">
        <f t="shared" si="1"/>
        <v>875</v>
      </c>
      <c r="I36" s="1">
        <f t="shared" si="1"/>
        <v>22325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1" t="s">
        <v>17</v>
      </c>
      <c r="C38" s="40" t="s">
        <v>191</v>
      </c>
      <c r="D38" s="40"/>
      <c r="E38" s="4" t="s">
        <v>192</v>
      </c>
      <c r="H38">
        <f>-5*25</f>
        <v>-125</v>
      </c>
      <c r="K38" s="11" t="s">
        <v>135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444</v>
      </c>
      <c r="B39" s="3" t="s">
        <v>195</v>
      </c>
      <c r="C39" s="41">
        <f>SUMIFS(I$3:I$34,B$3:B$34,A$38,L$3:L$34,A$39)</f>
        <v>22325</v>
      </c>
      <c r="D39" s="41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2" t="s">
        <v>199</v>
      </c>
      <c r="C40" s="42">
        <v>0</v>
      </c>
      <c r="D40" s="42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2" t="s">
        <v>201</v>
      </c>
      <c r="C41" s="42">
        <f>-SUMIFS(I$3:I$34,B$3:B$34,A$38,P$3:P$34,"xx",N$3:N$34,"x")</f>
        <v>0</v>
      </c>
      <c r="D41" s="42"/>
      <c r="E41" s="2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4" t="s">
        <v>203</v>
      </c>
      <c r="C42" s="40">
        <f>SUBTOTAL(9,C39:C41)</f>
        <v>22325</v>
      </c>
      <c r="D42" s="40"/>
      <c r="E42">
        <f>E39</f>
        <v>32</v>
      </c>
      <c r="K42" s="2" t="s">
        <v>204</v>
      </c>
      <c r="O42" t="s">
        <v>207</v>
      </c>
      <c r="P42">
        <f>-C46</f>
        <v>-22325</v>
      </c>
    </row>
    <row r="43" spans="1:17" x14ac:dyDescent="0.25">
      <c r="B43" s="2" t="s">
        <v>205</v>
      </c>
      <c r="C43" s="38"/>
      <c r="D43" s="38"/>
      <c r="K43" s="2" t="s">
        <v>206</v>
      </c>
      <c r="O43" s="4" t="s">
        <v>209</v>
      </c>
      <c r="P43" s="4">
        <f>SUBTOTAL(9,P39:P42)</f>
        <v>119</v>
      </c>
    </row>
    <row r="44" spans="1:17" x14ac:dyDescent="0.25">
      <c r="B44" s="12" t="s">
        <v>208</v>
      </c>
      <c r="C44" s="38"/>
      <c r="D44" s="38"/>
      <c r="L44" s="13">
        <f>SUBTOTAL(9,L39:L43)</f>
        <v>11135</v>
      </c>
      <c r="M44" s="13">
        <f>M39</f>
        <v>11</v>
      </c>
    </row>
    <row r="46" spans="1:17" x14ac:dyDescent="0.25">
      <c r="B46" s="1" t="s">
        <v>210</v>
      </c>
      <c r="C46" s="39">
        <f>C42+C43+C44</f>
        <v>22325</v>
      </c>
      <c r="D46" s="39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3651</v>
      </c>
      <c r="M52" s="13">
        <f>M47</f>
        <v>9</v>
      </c>
    </row>
    <row r="54" spans="11:13" x14ac:dyDescent="0.25">
      <c r="K54" s="11" t="s">
        <v>443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7658</v>
      </c>
      <c r="M60" s="13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535</v>
      </c>
      <c r="D3" s="15" t="s">
        <v>536</v>
      </c>
      <c r="E3" s="15" t="s">
        <v>537</v>
      </c>
      <c r="F3" s="16">
        <v>9</v>
      </c>
      <c r="G3" s="16">
        <v>850</v>
      </c>
      <c r="H3" s="16">
        <v>30</v>
      </c>
      <c r="I3" s="16">
        <f t="shared" ref="I3:I16" si="0">G3-H3</f>
        <v>820</v>
      </c>
      <c r="J3" s="15" t="s">
        <v>20</v>
      </c>
      <c r="K3" s="15" t="s">
        <v>21</v>
      </c>
      <c r="L3" s="15" t="s">
        <v>538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539</v>
      </c>
      <c r="D4" s="15" t="s">
        <v>540</v>
      </c>
      <c r="E4" s="15" t="s">
        <v>541</v>
      </c>
      <c r="F4" s="16">
        <v>9</v>
      </c>
      <c r="G4" s="16">
        <v>750</v>
      </c>
      <c r="H4" s="16">
        <v>30</v>
      </c>
      <c r="I4" s="16">
        <f t="shared" si="0"/>
        <v>720</v>
      </c>
      <c r="J4" s="15" t="s">
        <v>20</v>
      </c>
      <c r="K4" s="15" t="s">
        <v>21</v>
      </c>
      <c r="L4" s="15" t="s">
        <v>538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542</v>
      </c>
      <c r="D5" s="15" t="s">
        <v>543</v>
      </c>
      <c r="E5" s="15" t="s">
        <v>544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545</v>
      </c>
      <c r="K5" s="15" t="s">
        <v>21</v>
      </c>
      <c r="L5" s="15" t="s">
        <v>538</v>
      </c>
      <c r="M5" s="15"/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546</v>
      </c>
      <c r="D6" s="15" t="s">
        <v>547</v>
      </c>
      <c r="E6" s="15" t="s">
        <v>548</v>
      </c>
      <c r="F6" s="15" t="s">
        <v>26</v>
      </c>
      <c r="G6" s="16">
        <v>900</v>
      </c>
      <c r="H6" s="16">
        <v>30</v>
      </c>
      <c r="I6" s="16">
        <f t="shared" si="0"/>
        <v>870</v>
      </c>
      <c r="J6" s="15" t="s">
        <v>545</v>
      </c>
      <c r="K6" s="15" t="s">
        <v>21</v>
      </c>
      <c r="L6" s="15" t="s">
        <v>538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549</v>
      </c>
      <c r="D7" s="15" t="s">
        <v>550</v>
      </c>
      <c r="E7" s="15" t="s">
        <v>551</v>
      </c>
      <c r="F7" s="16">
        <v>6</v>
      </c>
      <c r="G7" s="16">
        <v>775</v>
      </c>
      <c r="H7" s="16">
        <v>25</v>
      </c>
      <c r="I7" s="16">
        <f t="shared" si="0"/>
        <v>750</v>
      </c>
      <c r="J7" s="15" t="s">
        <v>545</v>
      </c>
      <c r="K7" s="15" t="s">
        <v>21</v>
      </c>
      <c r="L7" s="15" t="s">
        <v>538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552</v>
      </c>
      <c r="D8" s="15" t="s">
        <v>553</v>
      </c>
      <c r="E8" s="15" t="s">
        <v>554</v>
      </c>
      <c r="F8" s="16">
        <v>12</v>
      </c>
      <c r="G8" s="16">
        <v>400</v>
      </c>
      <c r="H8" s="16">
        <v>30</v>
      </c>
      <c r="I8" s="16">
        <f t="shared" si="0"/>
        <v>370</v>
      </c>
      <c r="J8" s="15" t="s">
        <v>545</v>
      </c>
      <c r="K8" s="15" t="s">
        <v>21</v>
      </c>
      <c r="L8" s="15" t="s">
        <v>538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555</v>
      </c>
      <c r="D9" s="15" t="s">
        <v>556</v>
      </c>
      <c r="E9" s="15" t="s">
        <v>557</v>
      </c>
      <c r="F9" s="15" t="s">
        <v>95</v>
      </c>
      <c r="G9" s="16">
        <v>0</v>
      </c>
      <c r="H9" s="16">
        <v>25</v>
      </c>
      <c r="I9" s="16">
        <f t="shared" si="0"/>
        <v>-25</v>
      </c>
      <c r="J9" s="15" t="s">
        <v>545</v>
      </c>
      <c r="K9" s="15" t="s">
        <v>21</v>
      </c>
      <c r="L9" s="15" t="s">
        <v>538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558</v>
      </c>
      <c r="D10" s="15" t="s">
        <v>559</v>
      </c>
      <c r="E10" s="15" t="s">
        <v>560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545</v>
      </c>
      <c r="K10" s="15" t="s">
        <v>21</v>
      </c>
      <c r="L10" s="15" t="s">
        <v>538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561</v>
      </c>
      <c r="D11" s="15" t="s">
        <v>562</v>
      </c>
      <c r="E11" s="15" t="s">
        <v>563</v>
      </c>
      <c r="F11" s="16">
        <v>7</v>
      </c>
      <c r="G11" s="16">
        <v>480</v>
      </c>
      <c r="H11" s="16">
        <v>30</v>
      </c>
      <c r="I11" s="16">
        <f t="shared" si="0"/>
        <v>450</v>
      </c>
      <c r="J11" s="15" t="s">
        <v>545</v>
      </c>
      <c r="K11" s="15" t="s">
        <v>21</v>
      </c>
      <c r="L11" s="15" t="s">
        <v>538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564</v>
      </c>
      <c r="D12" s="15" t="s">
        <v>565</v>
      </c>
      <c r="E12" s="15" t="s">
        <v>566</v>
      </c>
      <c r="F12" s="16">
        <v>1</v>
      </c>
      <c r="G12" s="16">
        <v>1135</v>
      </c>
      <c r="H12" s="16">
        <v>25</v>
      </c>
      <c r="I12" s="16">
        <f t="shared" si="0"/>
        <v>1110</v>
      </c>
      <c r="J12" s="15" t="s">
        <v>545</v>
      </c>
      <c r="K12" s="15" t="s">
        <v>21</v>
      </c>
      <c r="L12" s="15" t="s">
        <v>538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567</v>
      </c>
      <c r="D13" s="15" t="s">
        <v>568</v>
      </c>
      <c r="E13" s="15" t="s">
        <v>569</v>
      </c>
      <c r="F13" s="16">
        <v>8</v>
      </c>
      <c r="G13" s="16">
        <v>0</v>
      </c>
      <c r="H13" s="16">
        <v>30</v>
      </c>
      <c r="I13" s="16">
        <f t="shared" si="0"/>
        <v>-30</v>
      </c>
      <c r="J13" s="15" t="s">
        <v>545</v>
      </c>
      <c r="K13" s="15" t="s">
        <v>21</v>
      </c>
      <c r="L13" s="15" t="s">
        <v>538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570</v>
      </c>
      <c r="D14" s="15" t="s">
        <v>571</v>
      </c>
      <c r="E14" s="15" t="s">
        <v>572</v>
      </c>
      <c r="F14" s="16">
        <v>7</v>
      </c>
      <c r="G14" s="16">
        <v>670</v>
      </c>
      <c r="H14" s="16">
        <v>30</v>
      </c>
      <c r="I14" s="16">
        <f t="shared" si="0"/>
        <v>640</v>
      </c>
      <c r="J14" s="15" t="s">
        <v>545</v>
      </c>
      <c r="K14" s="15" t="s">
        <v>21</v>
      </c>
      <c r="L14" s="15" t="s">
        <v>538</v>
      </c>
      <c r="M14" s="15"/>
      <c r="N14" s="15"/>
      <c r="O14" s="15"/>
      <c r="P14" s="15"/>
      <c r="Q14" s="15">
        <v>1</v>
      </c>
    </row>
    <row r="15" spans="1:18" s="19" customFormat="1" x14ac:dyDescent="0.25">
      <c r="A15" s="17"/>
      <c r="B15" s="17" t="s">
        <v>17</v>
      </c>
      <c r="C15" s="17" t="s">
        <v>131</v>
      </c>
      <c r="D15" s="17" t="s">
        <v>573</v>
      </c>
      <c r="E15" s="17" t="s">
        <v>574</v>
      </c>
      <c r="F15" s="17" t="s">
        <v>134</v>
      </c>
      <c r="G15" s="18">
        <v>95</v>
      </c>
      <c r="H15" s="18">
        <v>35</v>
      </c>
      <c r="I15" s="18">
        <f t="shared" si="0"/>
        <v>60</v>
      </c>
      <c r="J15" s="17" t="s">
        <v>545</v>
      </c>
      <c r="K15" s="17" t="s">
        <v>21</v>
      </c>
      <c r="L15" s="17" t="s">
        <v>538</v>
      </c>
      <c r="M15" s="17" t="s">
        <v>126</v>
      </c>
      <c r="N15" s="17"/>
      <c r="O15" s="17"/>
      <c r="P15" s="17"/>
      <c r="Q15" s="17">
        <v>1</v>
      </c>
    </row>
    <row r="16" spans="1:18" x14ac:dyDescent="0.25">
      <c r="A16" s="15"/>
      <c r="B16" s="15" t="s">
        <v>17</v>
      </c>
      <c r="C16" s="15" t="s">
        <v>575</v>
      </c>
      <c r="D16" s="15" t="s">
        <v>576</v>
      </c>
      <c r="E16" s="15" t="s">
        <v>577</v>
      </c>
      <c r="F16" s="15" t="s">
        <v>139</v>
      </c>
      <c r="G16" s="16">
        <v>0</v>
      </c>
      <c r="H16" s="16">
        <v>35</v>
      </c>
      <c r="I16" s="16">
        <f t="shared" si="0"/>
        <v>-35</v>
      </c>
      <c r="J16" s="15" t="s">
        <v>545</v>
      </c>
      <c r="K16" s="15" t="s">
        <v>21</v>
      </c>
      <c r="L16" s="15" t="s">
        <v>538</v>
      </c>
      <c r="M16" s="20" t="s">
        <v>377</v>
      </c>
      <c r="N16" s="15"/>
      <c r="O16" s="15"/>
      <c r="P16" s="15"/>
      <c r="Q16" s="15">
        <v>1</v>
      </c>
      <c r="R16" s="10">
        <f>H16</f>
        <v>35</v>
      </c>
    </row>
    <row r="17" spans="1:18" x14ac:dyDescent="0.25">
      <c r="A17" s="15"/>
      <c r="B17" s="15" t="s">
        <v>17</v>
      </c>
      <c r="C17" s="15" t="s">
        <v>575</v>
      </c>
      <c r="D17" s="15" t="s">
        <v>578</v>
      </c>
      <c r="E17" s="15" t="s">
        <v>577</v>
      </c>
      <c r="F17" s="15" t="s">
        <v>139</v>
      </c>
      <c r="G17" s="16">
        <v>0</v>
      </c>
      <c r="H17" s="16">
        <v>0</v>
      </c>
      <c r="I17" s="16">
        <f>H17</f>
        <v>0</v>
      </c>
      <c r="J17" s="15" t="s">
        <v>545</v>
      </c>
      <c r="K17" s="15" t="s">
        <v>21</v>
      </c>
      <c r="L17" s="15" t="s">
        <v>538</v>
      </c>
      <c r="M17" s="20" t="s">
        <v>377</v>
      </c>
      <c r="N17" s="15"/>
      <c r="O17" s="15"/>
      <c r="P17" s="15"/>
      <c r="Q17" s="15">
        <v>1</v>
      </c>
      <c r="R17" s="10">
        <f>H17</f>
        <v>0</v>
      </c>
    </row>
    <row r="18" spans="1:18" x14ac:dyDescent="0.25">
      <c r="A18" s="15"/>
      <c r="B18" s="15" t="s">
        <v>17</v>
      </c>
      <c r="C18" s="15" t="s">
        <v>579</v>
      </c>
      <c r="D18" s="15" t="s">
        <v>580</v>
      </c>
      <c r="E18" s="15" t="s">
        <v>581</v>
      </c>
      <c r="F18" s="16">
        <v>2</v>
      </c>
      <c r="G18" s="16">
        <v>850</v>
      </c>
      <c r="H18" s="16">
        <v>30</v>
      </c>
      <c r="I18" s="16">
        <f t="shared" ref="I18:I36" si="1">G18-H18</f>
        <v>820</v>
      </c>
      <c r="J18" s="15" t="s">
        <v>21</v>
      </c>
      <c r="K18" s="15" t="s">
        <v>21</v>
      </c>
      <c r="L18" s="15" t="s">
        <v>538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582</v>
      </c>
      <c r="D19" s="15" t="s">
        <v>583</v>
      </c>
      <c r="E19" s="15" t="s">
        <v>584</v>
      </c>
      <c r="F19" s="16">
        <v>12</v>
      </c>
      <c r="G19" s="16">
        <v>0</v>
      </c>
      <c r="H19" s="16">
        <v>30</v>
      </c>
      <c r="I19" s="16">
        <f t="shared" si="1"/>
        <v>-30</v>
      </c>
      <c r="J19" s="15" t="s">
        <v>21</v>
      </c>
      <c r="K19" s="15" t="s">
        <v>21</v>
      </c>
      <c r="L19" s="15" t="s">
        <v>538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585</v>
      </c>
      <c r="D20" s="15" t="s">
        <v>586</v>
      </c>
      <c r="E20" s="15" t="s">
        <v>587</v>
      </c>
      <c r="F20" s="15" t="s">
        <v>95</v>
      </c>
      <c r="G20" s="16">
        <v>2200</v>
      </c>
      <c r="H20" s="16">
        <v>30</v>
      </c>
      <c r="I20" s="16">
        <f t="shared" si="1"/>
        <v>2170</v>
      </c>
      <c r="J20" s="15" t="s">
        <v>21</v>
      </c>
      <c r="K20" s="15" t="s">
        <v>21</v>
      </c>
      <c r="L20" s="15" t="s">
        <v>538</v>
      </c>
      <c r="M20" s="20" t="s">
        <v>167</v>
      </c>
      <c r="N20" s="15"/>
      <c r="O20" s="15"/>
      <c r="P20" s="15"/>
      <c r="Q20" s="15">
        <v>1</v>
      </c>
      <c r="R20" s="10">
        <f>H20</f>
        <v>30</v>
      </c>
    </row>
    <row r="21" spans="1:18" x14ac:dyDescent="0.25">
      <c r="A21" s="15"/>
      <c r="B21" s="15" t="s">
        <v>17</v>
      </c>
      <c r="C21" s="15" t="s">
        <v>588</v>
      </c>
      <c r="D21" s="15" t="s">
        <v>589</v>
      </c>
      <c r="E21" s="15" t="s">
        <v>590</v>
      </c>
      <c r="F21" s="15" t="s">
        <v>81</v>
      </c>
      <c r="G21" s="16">
        <v>670</v>
      </c>
      <c r="H21" s="16">
        <v>30</v>
      </c>
      <c r="I21" s="16">
        <f t="shared" si="1"/>
        <v>640</v>
      </c>
      <c r="J21" s="15" t="s">
        <v>21</v>
      </c>
      <c r="K21" s="15" t="s">
        <v>21</v>
      </c>
      <c r="L21" s="15" t="s">
        <v>538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591</v>
      </c>
      <c r="D22" s="15" t="s">
        <v>592</v>
      </c>
      <c r="E22" s="15" t="s">
        <v>593</v>
      </c>
      <c r="F22" s="15" t="s">
        <v>85</v>
      </c>
      <c r="G22" s="16">
        <v>0</v>
      </c>
      <c r="H22" s="16">
        <v>20</v>
      </c>
      <c r="I22" s="16">
        <f t="shared" si="1"/>
        <v>-20</v>
      </c>
      <c r="J22" s="15" t="s">
        <v>21</v>
      </c>
      <c r="K22" s="15" t="s">
        <v>21</v>
      </c>
      <c r="L22" s="15" t="s">
        <v>538</v>
      </c>
      <c r="M22" s="15"/>
      <c r="N22" s="15"/>
      <c r="O22" s="15"/>
      <c r="P22" s="15"/>
      <c r="Q22" s="15">
        <v>1</v>
      </c>
      <c r="R22" s="10">
        <f>H22</f>
        <v>20</v>
      </c>
    </row>
    <row r="23" spans="1:18" x14ac:dyDescent="0.25">
      <c r="A23" s="15"/>
      <c r="B23" s="15" t="s">
        <v>17</v>
      </c>
      <c r="C23" s="15" t="s">
        <v>594</v>
      </c>
      <c r="D23" s="15" t="s">
        <v>595</v>
      </c>
      <c r="E23" s="15" t="s">
        <v>596</v>
      </c>
      <c r="F23" s="16">
        <v>2</v>
      </c>
      <c r="G23" s="16">
        <v>690</v>
      </c>
      <c r="H23" s="16">
        <v>30</v>
      </c>
      <c r="I23" s="16">
        <f t="shared" si="1"/>
        <v>660</v>
      </c>
      <c r="J23" s="15" t="s">
        <v>21</v>
      </c>
      <c r="K23" s="15" t="s">
        <v>21</v>
      </c>
      <c r="L23" s="15" t="s">
        <v>538</v>
      </c>
      <c r="M23" s="15"/>
      <c r="N23" s="15"/>
      <c r="O23" s="15"/>
      <c r="P23" s="15"/>
      <c r="Q23" s="15">
        <v>1</v>
      </c>
    </row>
    <row r="24" spans="1:18" s="19" customFormat="1" x14ac:dyDescent="0.25">
      <c r="A24" s="17"/>
      <c r="B24" s="17" t="s">
        <v>17</v>
      </c>
      <c r="C24" s="17" t="s">
        <v>78</v>
      </c>
      <c r="D24" s="17" t="s">
        <v>597</v>
      </c>
      <c r="E24" s="17" t="s">
        <v>80</v>
      </c>
      <c r="F24" s="17" t="s">
        <v>81</v>
      </c>
      <c r="G24" s="18">
        <v>30</v>
      </c>
      <c r="H24" s="18">
        <v>30</v>
      </c>
      <c r="I24" s="18">
        <f t="shared" si="1"/>
        <v>0</v>
      </c>
      <c r="J24" s="17" t="s">
        <v>21</v>
      </c>
      <c r="K24" s="17" t="s">
        <v>21</v>
      </c>
      <c r="L24" s="17" t="s">
        <v>538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/>
      <c r="B25" s="15" t="s">
        <v>17</v>
      </c>
      <c r="C25" s="15" t="s">
        <v>598</v>
      </c>
      <c r="D25" s="15" t="s">
        <v>599</v>
      </c>
      <c r="E25" s="15" t="s">
        <v>600</v>
      </c>
      <c r="F25" s="15" t="s">
        <v>81</v>
      </c>
      <c r="G25" s="16">
        <v>780</v>
      </c>
      <c r="H25" s="16">
        <v>30</v>
      </c>
      <c r="I25" s="16">
        <f t="shared" si="1"/>
        <v>750</v>
      </c>
      <c r="J25" s="15" t="s">
        <v>21</v>
      </c>
      <c r="K25" s="15" t="s">
        <v>21</v>
      </c>
      <c r="L25" s="15" t="s">
        <v>538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601</v>
      </c>
      <c r="D26" s="15" t="s">
        <v>602</v>
      </c>
      <c r="E26" s="15" t="s">
        <v>603</v>
      </c>
      <c r="F26" s="16">
        <v>2</v>
      </c>
      <c r="G26" s="16">
        <v>850</v>
      </c>
      <c r="H26" s="16">
        <v>30</v>
      </c>
      <c r="I26" s="16">
        <f t="shared" si="1"/>
        <v>820</v>
      </c>
      <c r="J26" s="15" t="s">
        <v>21</v>
      </c>
      <c r="K26" s="15" t="s">
        <v>21</v>
      </c>
      <c r="L26" s="15" t="s">
        <v>538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604</v>
      </c>
      <c r="D27" s="15" t="s">
        <v>605</v>
      </c>
      <c r="E27" s="15" t="s">
        <v>606</v>
      </c>
      <c r="F27" s="15" t="s">
        <v>85</v>
      </c>
      <c r="G27" s="16">
        <v>0</v>
      </c>
      <c r="H27" s="16">
        <v>20</v>
      </c>
      <c r="I27" s="16">
        <f t="shared" si="1"/>
        <v>-20</v>
      </c>
      <c r="J27" s="15" t="s">
        <v>21</v>
      </c>
      <c r="K27" s="15" t="s">
        <v>21</v>
      </c>
      <c r="L27" s="15" t="s">
        <v>538</v>
      </c>
      <c r="M27" s="15"/>
      <c r="N27" s="15"/>
      <c r="O27" s="15"/>
      <c r="P27" s="15"/>
      <c r="Q27" s="15">
        <v>1</v>
      </c>
      <c r="R27" s="10">
        <f>H27</f>
        <v>20</v>
      </c>
    </row>
    <row r="28" spans="1:18" x14ac:dyDescent="0.25">
      <c r="A28" s="15" t="s">
        <v>16</v>
      </c>
      <c r="B28" s="15" t="s">
        <v>17</v>
      </c>
      <c r="C28" s="15" t="s">
        <v>370</v>
      </c>
      <c r="D28" s="15"/>
      <c r="E28" s="15" t="s">
        <v>371</v>
      </c>
      <c r="F28" s="15" t="s">
        <v>77</v>
      </c>
      <c r="G28" s="16">
        <v>30</v>
      </c>
      <c r="H28" s="16">
        <v>30</v>
      </c>
      <c r="I28" s="16">
        <f t="shared" si="1"/>
        <v>0</v>
      </c>
      <c r="J28" s="15" t="s">
        <v>21</v>
      </c>
      <c r="K28" s="15" t="s">
        <v>21</v>
      </c>
      <c r="L28" s="15" t="s">
        <v>538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607</v>
      </c>
      <c r="D29" s="15" t="s">
        <v>608</v>
      </c>
      <c r="E29" s="15" t="s">
        <v>609</v>
      </c>
      <c r="F29" s="16">
        <v>5</v>
      </c>
      <c r="G29" s="16">
        <v>1175</v>
      </c>
      <c r="H29" s="16">
        <v>25</v>
      </c>
      <c r="I29" s="16">
        <f t="shared" si="1"/>
        <v>1150</v>
      </c>
      <c r="J29" s="15" t="s">
        <v>135</v>
      </c>
      <c r="K29" s="15" t="s">
        <v>21</v>
      </c>
      <c r="L29" s="15" t="s">
        <v>538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610</v>
      </c>
      <c r="D30" s="15" t="s">
        <v>611</v>
      </c>
      <c r="E30" s="15" t="s">
        <v>612</v>
      </c>
      <c r="F30" s="16">
        <v>4</v>
      </c>
      <c r="G30" s="16">
        <v>765</v>
      </c>
      <c r="H30" s="16">
        <v>25</v>
      </c>
      <c r="I30" s="16">
        <f t="shared" si="1"/>
        <v>740</v>
      </c>
      <c r="J30" s="15" t="s">
        <v>135</v>
      </c>
      <c r="K30" s="15" t="s">
        <v>21</v>
      </c>
      <c r="L30" s="15" t="s">
        <v>538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613</v>
      </c>
      <c r="D31" s="15" t="s">
        <v>614</v>
      </c>
      <c r="E31" s="15" t="s">
        <v>615</v>
      </c>
      <c r="F31" s="16">
        <v>3</v>
      </c>
      <c r="G31" s="16">
        <v>0</v>
      </c>
      <c r="H31" s="16">
        <v>25</v>
      </c>
      <c r="I31" s="16">
        <f t="shared" si="1"/>
        <v>-25</v>
      </c>
      <c r="J31" s="15" t="s">
        <v>135</v>
      </c>
      <c r="K31" s="15" t="s">
        <v>21</v>
      </c>
      <c r="L31" s="15" t="s">
        <v>538</v>
      </c>
      <c r="M31" s="15"/>
      <c r="N31" s="15"/>
      <c r="O31" s="15"/>
      <c r="P31" s="15"/>
      <c r="Q31" s="15">
        <v>1</v>
      </c>
      <c r="R31" s="10">
        <f>H31</f>
        <v>25</v>
      </c>
    </row>
    <row r="32" spans="1:18" x14ac:dyDescent="0.25">
      <c r="A32" s="15"/>
      <c r="B32" s="15" t="s">
        <v>17</v>
      </c>
      <c r="C32" s="15" t="s">
        <v>616</v>
      </c>
      <c r="D32" s="15" t="s">
        <v>617</v>
      </c>
      <c r="E32" s="15" t="s">
        <v>270</v>
      </c>
      <c r="F32" s="15" t="s">
        <v>95</v>
      </c>
      <c r="G32" s="16">
        <v>685</v>
      </c>
      <c r="H32" s="16">
        <v>25</v>
      </c>
      <c r="I32" s="16">
        <f t="shared" si="1"/>
        <v>660</v>
      </c>
      <c r="J32" s="15" t="s">
        <v>135</v>
      </c>
      <c r="K32" s="15" t="s">
        <v>21</v>
      </c>
      <c r="L32" s="15" t="s">
        <v>538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618</v>
      </c>
      <c r="D33" s="15" t="s">
        <v>619</v>
      </c>
      <c r="E33" s="15" t="s">
        <v>620</v>
      </c>
      <c r="F33" s="16">
        <v>10</v>
      </c>
      <c r="G33" s="16">
        <v>865</v>
      </c>
      <c r="H33" s="16">
        <v>25</v>
      </c>
      <c r="I33" s="16">
        <f t="shared" si="1"/>
        <v>840</v>
      </c>
      <c r="J33" s="15" t="s">
        <v>135</v>
      </c>
      <c r="K33" s="15" t="s">
        <v>21</v>
      </c>
      <c r="L33" s="15" t="s">
        <v>538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17</v>
      </c>
      <c r="C34" s="15" t="s">
        <v>621</v>
      </c>
      <c r="D34" s="15" t="s">
        <v>622</v>
      </c>
      <c r="E34" s="15" t="s">
        <v>623</v>
      </c>
      <c r="F34" s="15" t="s">
        <v>95</v>
      </c>
      <c r="G34" s="16">
        <v>0</v>
      </c>
      <c r="H34" s="16">
        <v>25</v>
      </c>
      <c r="I34" s="16">
        <f t="shared" si="1"/>
        <v>-25</v>
      </c>
      <c r="J34" s="15" t="s">
        <v>135</v>
      </c>
      <c r="K34" s="15" t="s">
        <v>21</v>
      </c>
      <c r="L34" s="15" t="s">
        <v>538</v>
      </c>
      <c r="M34" s="15"/>
      <c r="N34" s="15"/>
      <c r="O34" s="15"/>
      <c r="P34" s="15"/>
      <c r="Q34" s="15">
        <v>1</v>
      </c>
      <c r="R34" s="10">
        <f>H34</f>
        <v>25</v>
      </c>
    </row>
    <row r="35" spans="1:18" x14ac:dyDescent="0.25">
      <c r="A35" s="15"/>
      <c r="B35" s="15" t="s">
        <v>17</v>
      </c>
      <c r="C35" s="15" t="s">
        <v>624</v>
      </c>
      <c r="D35" s="15" t="s">
        <v>625</v>
      </c>
      <c r="E35" s="15" t="s">
        <v>626</v>
      </c>
      <c r="F35" s="16">
        <v>5</v>
      </c>
      <c r="G35" s="16">
        <v>0</v>
      </c>
      <c r="H35" s="16">
        <v>25</v>
      </c>
      <c r="I35" s="16">
        <f t="shared" si="1"/>
        <v>-25</v>
      </c>
      <c r="J35" s="15" t="s">
        <v>135</v>
      </c>
      <c r="K35" s="15" t="s">
        <v>21</v>
      </c>
      <c r="L35" s="15" t="s">
        <v>538</v>
      </c>
      <c r="M35" s="15"/>
      <c r="N35" s="15"/>
      <c r="O35" s="15"/>
      <c r="P35" s="15"/>
      <c r="Q35" s="15">
        <v>1</v>
      </c>
      <c r="R35" s="10">
        <f>H35</f>
        <v>25</v>
      </c>
    </row>
    <row r="36" spans="1:18" x14ac:dyDescent="0.25">
      <c r="A36" s="15"/>
      <c r="B36" s="15" t="s">
        <v>17</v>
      </c>
      <c r="C36" s="15" t="s">
        <v>627</v>
      </c>
      <c r="D36" s="15" t="s">
        <v>628</v>
      </c>
      <c r="E36" s="15" t="s">
        <v>629</v>
      </c>
      <c r="F36" s="16">
        <v>1</v>
      </c>
      <c r="G36" s="16">
        <v>2050</v>
      </c>
      <c r="H36" s="16">
        <v>30</v>
      </c>
      <c r="I36" s="16">
        <f t="shared" si="1"/>
        <v>2020</v>
      </c>
      <c r="J36" s="15" t="s">
        <v>135</v>
      </c>
      <c r="K36" s="15" t="s">
        <v>21</v>
      </c>
      <c r="L36" s="15" t="s">
        <v>538</v>
      </c>
      <c r="M36" s="20" t="s">
        <v>167</v>
      </c>
      <c r="N36" s="15"/>
      <c r="O36" s="15"/>
      <c r="P36" s="15"/>
      <c r="Q36" s="15">
        <v>1</v>
      </c>
      <c r="R36" s="10">
        <f>H36</f>
        <v>30</v>
      </c>
    </row>
    <row r="38" spans="1:18" x14ac:dyDescent="0.25">
      <c r="D38" s="1">
        <f>COUNTA(D3:D36)</f>
        <v>33</v>
      </c>
      <c r="G38" s="1">
        <f t="shared" ref="G38:Q38" si="2">SUBTOTAL(9,G3:G36)</f>
        <v>18545</v>
      </c>
      <c r="H38" s="1">
        <f t="shared" si="2"/>
        <v>930</v>
      </c>
      <c r="I38" s="1">
        <f t="shared" si="2"/>
        <v>17615</v>
      </c>
      <c r="J38" s="1">
        <f t="shared" si="2"/>
        <v>0</v>
      </c>
      <c r="K38" s="1">
        <f t="shared" si="2"/>
        <v>0</v>
      </c>
      <c r="L38" s="1">
        <f t="shared" si="2"/>
        <v>0</v>
      </c>
      <c r="M38" s="1">
        <f t="shared" si="2"/>
        <v>0</v>
      </c>
      <c r="N38" s="1">
        <f t="shared" si="2"/>
        <v>0</v>
      </c>
      <c r="O38" s="1">
        <f t="shared" si="2"/>
        <v>0</v>
      </c>
      <c r="P38" s="1">
        <f t="shared" si="2"/>
        <v>0</v>
      </c>
      <c r="Q38" s="1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1" t="s">
        <v>17</v>
      </c>
      <c r="C40" s="40" t="s">
        <v>191</v>
      </c>
      <c r="D40" s="40"/>
      <c r="E40" s="4" t="s">
        <v>192</v>
      </c>
      <c r="H40">
        <f>-3*25</f>
        <v>-75</v>
      </c>
      <c r="K40" s="11" t="s">
        <v>545</v>
      </c>
      <c r="L40" s="11" t="s">
        <v>193</v>
      </c>
      <c r="M40" s="11" t="s">
        <v>192</v>
      </c>
      <c r="O40" s="4" t="s">
        <v>194</v>
      </c>
    </row>
    <row r="41" spans="1:18" x14ac:dyDescent="0.25">
      <c r="A41" t="s">
        <v>538</v>
      </c>
      <c r="B41" s="3" t="s">
        <v>195</v>
      </c>
      <c r="C41" s="41">
        <f>SUMIFS(I$3:I$36,B$3:B$36,A$40,L$3:L$36,A$41)</f>
        <v>17615</v>
      </c>
      <c r="D41" s="41"/>
      <c r="E41" s="3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2" t="s">
        <v>199</v>
      </c>
      <c r="C42" s="42">
        <v>0</v>
      </c>
      <c r="D42" s="42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2" t="s">
        <v>201</v>
      </c>
      <c r="C43" s="42">
        <f>-SUMIFS(I$3:I$36,B$3:B$36,A$40,P$3:P$36,"xx",N$3:N$36,"x")</f>
        <v>0</v>
      </c>
      <c r="D43" s="42"/>
      <c r="E43" s="2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4" t="s">
        <v>203</v>
      </c>
      <c r="C44" s="40">
        <f>SUBTOTAL(9,C41:C43)</f>
        <v>17615</v>
      </c>
      <c r="D44" s="40"/>
      <c r="E44">
        <f>E41</f>
        <v>34</v>
      </c>
      <c r="K44" s="2" t="s">
        <v>204</v>
      </c>
      <c r="O44" t="s">
        <v>21</v>
      </c>
      <c r="P44">
        <f>L70</f>
        <v>5779</v>
      </c>
    </row>
    <row r="45" spans="1:18" x14ac:dyDescent="0.25">
      <c r="B45" s="2" t="s">
        <v>205</v>
      </c>
      <c r="C45" s="38"/>
      <c r="D45" s="38"/>
      <c r="K45" s="2" t="s">
        <v>206</v>
      </c>
      <c r="O45" t="s">
        <v>207</v>
      </c>
      <c r="P45">
        <f>-C48</f>
        <v>-17615</v>
      </c>
    </row>
    <row r="46" spans="1:18" x14ac:dyDescent="0.25">
      <c r="B46" s="12" t="s">
        <v>208</v>
      </c>
      <c r="C46" s="38"/>
      <c r="D46" s="38"/>
      <c r="L46" s="13">
        <f>SUBTOTAL(9,L41:L45)</f>
        <v>5021</v>
      </c>
      <c r="M46" s="13">
        <f>M41</f>
        <v>12</v>
      </c>
      <c r="O46" s="4" t="s">
        <v>209</v>
      </c>
      <c r="P46" s="4">
        <f>SUBTOTAL(9,P41:P45)</f>
        <v>110</v>
      </c>
    </row>
    <row r="48" spans="1:18" x14ac:dyDescent="0.25">
      <c r="B48" s="1" t="s">
        <v>210</v>
      </c>
      <c r="C48" s="39">
        <f>C44+C45+C46</f>
        <v>17615</v>
      </c>
      <c r="D48" s="39"/>
      <c r="E48" s="1" t="s">
        <v>211</v>
      </c>
      <c r="K48" s="11" t="s">
        <v>135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2" t="s">
        <v>204</v>
      </c>
    </row>
    <row r="53" spans="11:13" x14ac:dyDescent="0.25">
      <c r="K53" s="2" t="s">
        <v>206</v>
      </c>
    </row>
    <row r="54" spans="11:13" x14ac:dyDescent="0.25">
      <c r="L54" s="13">
        <f>SUBTOTAL(9,L49:L53)</f>
        <v>5375</v>
      </c>
      <c r="M54" s="13">
        <f>M49</f>
        <v>8</v>
      </c>
    </row>
    <row r="56" spans="11:13" x14ac:dyDescent="0.25">
      <c r="K56" s="11" t="s">
        <v>20</v>
      </c>
      <c r="L56" s="11" t="s">
        <v>193</v>
      </c>
      <c r="M56" s="11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2" t="s">
        <v>204</v>
      </c>
    </row>
    <row r="61" spans="11:13" x14ac:dyDescent="0.25">
      <c r="K61" s="2" t="s">
        <v>206</v>
      </c>
    </row>
    <row r="62" spans="11:13" x14ac:dyDescent="0.25">
      <c r="L62" s="13">
        <f>SUBTOTAL(9,L57:L61)</f>
        <v>1550</v>
      </c>
      <c r="M62" s="13">
        <f>M57</f>
        <v>2</v>
      </c>
    </row>
    <row r="64" spans="11:13" x14ac:dyDescent="0.25">
      <c r="K64" s="11" t="s">
        <v>21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5779</v>
      </c>
      <c r="M70" s="13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B28" workbookViewId="0">
      <selection activeCell="M39" sqref="M39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631</v>
      </c>
      <c r="D3" s="15"/>
      <c r="E3" s="15" t="s">
        <v>632</v>
      </c>
      <c r="F3" s="16">
        <v>6</v>
      </c>
      <c r="G3" s="16">
        <v>0</v>
      </c>
      <c r="H3" s="16">
        <v>30</v>
      </c>
      <c r="I3" s="16">
        <f t="shared" ref="I3:I39" si="0">G3-H3</f>
        <v>-30</v>
      </c>
      <c r="J3" s="15" t="s">
        <v>633</v>
      </c>
      <c r="K3" s="15" t="s">
        <v>21</v>
      </c>
      <c r="L3" s="15" t="s">
        <v>634</v>
      </c>
      <c r="M3" s="15"/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 t="s">
        <v>16</v>
      </c>
      <c r="B4" s="15" t="s">
        <v>17</v>
      </c>
      <c r="C4" s="15" t="s">
        <v>635</v>
      </c>
      <c r="D4" s="15"/>
      <c r="E4" s="15" t="s">
        <v>636</v>
      </c>
      <c r="F4" s="15" t="s">
        <v>26</v>
      </c>
      <c r="G4" s="16">
        <v>0</v>
      </c>
      <c r="H4" s="16">
        <v>35</v>
      </c>
      <c r="I4" s="16">
        <f t="shared" si="0"/>
        <v>-35</v>
      </c>
      <c r="J4" s="15" t="s">
        <v>633</v>
      </c>
      <c r="K4" s="15" t="s">
        <v>21</v>
      </c>
      <c r="L4" s="15" t="s">
        <v>634</v>
      </c>
      <c r="M4" s="15"/>
      <c r="N4" s="15"/>
      <c r="O4" s="15"/>
      <c r="P4" s="15"/>
      <c r="Q4" s="15">
        <v>1</v>
      </c>
      <c r="R4" s="10">
        <f>H4</f>
        <v>35</v>
      </c>
    </row>
    <row r="5" spans="1:18" x14ac:dyDescent="0.25">
      <c r="A5" s="15"/>
      <c r="B5" s="15" t="s">
        <v>17</v>
      </c>
      <c r="C5" s="15" t="s">
        <v>637</v>
      </c>
      <c r="D5" s="15" t="s">
        <v>638</v>
      </c>
      <c r="E5" s="15" t="s">
        <v>639</v>
      </c>
      <c r="F5" s="16">
        <v>9</v>
      </c>
      <c r="G5" s="16">
        <v>2630</v>
      </c>
      <c r="H5" s="16">
        <v>30</v>
      </c>
      <c r="I5" s="16">
        <f t="shared" si="0"/>
        <v>2600</v>
      </c>
      <c r="J5" s="15" t="s">
        <v>633</v>
      </c>
      <c r="K5" s="15" t="s">
        <v>21</v>
      </c>
      <c r="L5" s="15" t="s">
        <v>634</v>
      </c>
      <c r="M5" s="20" t="s">
        <v>167</v>
      </c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640</v>
      </c>
      <c r="D6" s="15" t="s">
        <v>641</v>
      </c>
      <c r="E6" s="15" t="s">
        <v>642</v>
      </c>
      <c r="F6" s="15" t="s">
        <v>134</v>
      </c>
      <c r="G6" s="16">
        <v>905</v>
      </c>
      <c r="H6" s="16">
        <v>35</v>
      </c>
      <c r="I6" s="16">
        <f t="shared" si="0"/>
        <v>870</v>
      </c>
      <c r="J6" s="15" t="s">
        <v>633</v>
      </c>
      <c r="K6" s="15" t="s">
        <v>21</v>
      </c>
      <c r="L6" s="15" t="s">
        <v>634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643</v>
      </c>
      <c r="D7" s="15" t="s">
        <v>644</v>
      </c>
      <c r="E7" s="15" t="s">
        <v>645</v>
      </c>
      <c r="F7" s="16">
        <v>8</v>
      </c>
      <c r="G7" s="16">
        <v>0</v>
      </c>
      <c r="H7" s="16">
        <v>30</v>
      </c>
      <c r="I7" s="16">
        <f t="shared" si="0"/>
        <v>-30</v>
      </c>
      <c r="J7" s="15" t="s">
        <v>633</v>
      </c>
      <c r="K7" s="15" t="s">
        <v>21</v>
      </c>
      <c r="L7" s="15" t="s">
        <v>634</v>
      </c>
      <c r="M7" s="15"/>
      <c r="N7" s="15"/>
      <c r="O7" s="15"/>
      <c r="P7" s="15"/>
      <c r="Q7" s="15">
        <v>1</v>
      </c>
      <c r="R7" s="10">
        <f>H7</f>
        <v>30</v>
      </c>
    </row>
    <row r="8" spans="1:18" x14ac:dyDescent="0.25">
      <c r="A8" s="15"/>
      <c r="B8" s="15" t="s">
        <v>17</v>
      </c>
      <c r="C8" s="15" t="s">
        <v>646</v>
      </c>
      <c r="D8" s="15" t="s">
        <v>647</v>
      </c>
      <c r="E8" s="15" t="s">
        <v>648</v>
      </c>
      <c r="F8" s="16">
        <v>8</v>
      </c>
      <c r="G8" s="16">
        <v>470</v>
      </c>
      <c r="H8" s="16">
        <v>30</v>
      </c>
      <c r="I8" s="16">
        <f t="shared" si="0"/>
        <v>440</v>
      </c>
      <c r="J8" s="15" t="s">
        <v>633</v>
      </c>
      <c r="K8" s="15" t="s">
        <v>21</v>
      </c>
      <c r="L8" s="15" t="s">
        <v>634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649</v>
      </c>
      <c r="D9" s="15" t="s">
        <v>650</v>
      </c>
      <c r="E9" s="15" t="s">
        <v>544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633</v>
      </c>
      <c r="K9" s="15" t="s">
        <v>21</v>
      </c>
      <c r="L9" s="15" t="s">
        <v>634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651</v>
      </c>
      <c r="D10" s="15" t="s">
        <v>652</v>
      </c>
      <c r="E10" s="15" t="s">
        <v>653</v>
      </c>
      <c r="F10" s="15" t="s">
        <v>26</v>
      </c>
      <c r="G10" s="16">
        <v>980</v>
      </c>
      <c r="H10" s="16">
        <v>30</v>
      </c>
      <c r="I10" s="16">
        <f t="shared" si="0"/>
        <v>950</v>
      </c>
      <c r="J10" s="15" t="s">
        <v>633</v>
      </c>
      <c r="K10" s="15" t="s">
        <v>21</v>
      </c>
      <c r="L10" s="15" t="s">
        <v>634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654</v>
      </c>
      <c r="D11" s="15" t="s">
        <v>655</v>
      </c>
      <c r="E11" s="15" t="s">
        <v>656</v>
      </c>
      <c r="F11" s="16">
        <v>8</v>
      </c>
      <c r="G11" s="16">
        <v>950</v>
      </c>
      <c r="H11" s="16">
        <v>30</v>
      </c>
      <c r="I11" s="16">
        <f t="shared" si="0"/>
        <v>920</v>
      </c>
      <c r="J11" s="15" t="s">
        <v>633</v>
      </c>
      <c r="K11" s="15" t="s">
        <v>21</v>
      </c>
      <c r="L11" s="15" t="s">
        <v>634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657</v>
      </c>
      <c r="D12" s="15" t="s">
        <v>658</v>
      </c>
      <c r="E12" s="15" t="s">
        <v>659</v>
      </c>
      <c r="F12" s="15" t="s">
        <v>46</v>
      </c>
      <c r="G12" s="16">
        <v>895</v>
      </c>
      <c r="H12" s="16">
        <v>25</v>
      </c>
      <c r="I12" s="16">
        <f t="shared" si="0"/>
        <v>870</v>
      </c>
      <c r="J12" s="15" t="s">
        <v>633</v>
      </c>
      <c r="K12" s="15" t="s">
        <v>21</v>
      </c>
      <c r="L12" s="15" t="s">
        <v>634</v>
      </c>
      <c r="M12" s="15"/>
      <c r="N12" s="15"/>
      <c r="O12" s="15"/>
      <c r="P12" s="15"/>
      <c r="Q12" s="15">
        <v>1</v>
      </c>
    </row>
    <row r="13" spans="1:18" s="19" customFormat="1" x14ac:dyDescent="0.25">
      <c r="A13" s="17"/>
      <c r="B13" s="17" t="s">
        <v>17</v>
      </c>
      <c r="C13" s="17" t="s">
        <v>34</v>
      </c>
      <c r="D13" s="17" t="s">
        <v>660</v>
      </c>
      <c r="E13" s="17" t="s">
        <v>36</v>
      </c>
      <c r="F13" s="18">
        <v>8</v>
      </c>
      <c r="G13" s="18">
        <v>0</v>
      </c>
      <c r="H13" s="18">
        <v>30</v>
      </c>
      <c r="I13" s="18">
        <f t="shared" si="0"/>
        <v>-30</v>
      </c>
      <c r="J13" s="17" t="s">
        <v>633</v>
      </c>
      <c r="K13" s="17" t="s">
        <v>21</v>
      </c>
      <c r="L13" s="17" t="s">
        <v>634</v>
      </c>
      <c r="M13" s="17" t="s">
        <v>126</v>
      </c>
      <c r="N13" s="17"/>
      <c r="O13" s="17"/>
      <c r="P13" s="17"/>
      <c r="Q13" s="17">
        <v>1</v>
      </c>
      <c r="R13" s="25">
        <f>H13</f>
        <v>30</v>
      </c>
    </row>
    <row r="14" spans="1:18" x14ac:dyDescent="0.25">
      <c r="A14" s="15"/>
      <c r="B14" s="15" t="s">
        <v>17</v>
      </c>
      <c r="C14" s="15" t="s">
        <v>661</v>
      </c>
      <c r="D14" s="15" t="s">
        <v>662</v>
      </c>
      <c r="E14" s="15" t="s">
        <v>663</v>
      </c>
      <c r="F14" s="15" t="s">
        <v>26</v>
      </c>
      <c r="G14" s="16">
        <v>670</v>
      </c>
      <c r="H14" s="16">
        <v>30</v>
      </c>
      <c r="I14" s="16">
        <f t="shared" si="0"/>
        <v>640</v>
      </c>
      <c r="J14" s="15" t="s">
        <v>633</v>
      </c>
      <c r="K14" s="15" t="s">
        <v>21</v>
      </c>
      <c r="L14" s="15" t="s">
        <v>634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370</v>
      </c>
      <c r="D15" s="15"/>
      <c r="E15" s="15" t="s">
        <v>371</v>
      </c>
      <c r="F15" s="15" t="s">
        <v>77</v>
      </c>
      <c r="G15" s="16">
        <v>30</v>
      </c>
      <c r="H15" s="16">
        <v>30</v>
      </c>
      <c r="I15" s="16">
        <f t="shared" si="0"/>
        <v>0</v>
      </c>
      <c r="J15" s="15" t="s">
        <v>21</v>
      </c>
      <c r="K15" s="15" t="s">
        <v>21</v>
      </c>
      <c r="L15" s="15" t="s">
        <v>634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664</v>
      </c>
      <c r="D16" s="15" t="s">
        <v>665</v>
      </c>
      <c r="E16" s="15" t="s">
        <v>666</v>
      </c>
      <c r="F16" s="15" t="s">
        <v>77</v>
      </c>
      <c r="G16" s="16">
        <v>565</v>
      </c>
      <c r="H16" s="16">
        <v>25</v>
      </c>
      <c r="I16" s="16">
        <f t="shared" si="0"/>
        <v>540</v>
      </c>
      <c r="J16" s="15" t="s">
        <v>21</v>
      </c>
      <c r="K16" s="15" t="s">
        <v>21</v>
      </c>
      <c r="L16" s="15" t="s">
        <v>634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667</v>
      </c>
      <c r="D17" s="15" t="s">
        <v>668</v>
      </c>
      <c r="E17" s="15" t="s">
        <v>669</v>
      </c>
      <c r="F17" s="16">
        <v>2</v>
      </c>
      <c r="G17" s="16">
        <v>1670</v>
      </c>
      <c r="H17" s="16">
        <v>30</v>
      </c>
      <c r="I17" s="16">
        <f t="shared" si="0"/>
        <v>1640</v>
      </c>
      <c r="J17" s="15" t="s">
        <v>21</v>
      </c>
      <c r="K17" s="15" t="s">
        <v>21</v>
      </c>
      <c r="L17" s="15" t="s">
        <v>634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356</v>
      </c>
      <c r="D18" s="15" t="s">
        <v>670</v>
      </c>
      <c r="E18" s="15" t="s">
        <v>358</v>
      </c>
      <c r="F18" s="16">
        <v>12</v>
      </c>
      <c r="G18" s="16">
        <v>741</v>
      </c>
      <c r="H18" s="16">
        <v>30</v>
      </c>
      <c r="I18" s="16">
        <f t="shared" si="0"/>
        <v>711</v>
      </c>
      <c r="J18" s="15" t="s">
        <v>21</v>
      </c>
      <c r="K18" s="15" t="s">
        <v>21</v>
      </c>
      <c r="L18" s="15" t="s">
        <v>634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671</v>
      </c>
      <c r="D19" s="15" t="s">
        <v>672</v>
      </c>
      <c r="E19" s="15" t="s">
        <v>673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634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674</v>
      </c>
      <c r="D20" s="15" t="s">
        <v>675</v>
      </c>
      <c r="E20" s="15" t="s">
        <v>676</v>
      </c>
      <c r="F20" s="15" t="s">
        <v>95</v>
      </c>
      <c r="G20" s="16">
        <v>805</v>
      </c>
      <c r="H20" s="16">
        <v>25</v>
      </c>
      <c r="I20" s="16">
        <f t="shared" si="0"/>
        <v>780</v>
      </c>
      <c r="J20" s="15" t="s">
        <v>21</v>
      </c>
      <c r="K20" s="15" t="s">
        <v>21</v>
      </c>
      <c r="L20" s="15" t="s">
        <v>634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677</v>
      </c>
      <c r="D21" s="15" t="s">
        <v>678</v>
      </c>
      <c r="E21" s="15" t="s">
        <v>679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634</v>
      </c>
      <c r="M21" s="15"/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680</v>
      </c>
      <c r="D22" s="15" t="s">
        <v>681</v>
      </c>
      <c r="E22" s="15" t="s">
        <v>682</v>
      </c>
      <c r="F22" s="16">
        <v>2</v>
      </c>
      <c r="G22" s="16">
        <v>30</v>
      </c>
      <c r="H22" s="16">
        <v>30</v>
      </c>
      <c r="I22" s="16">
        <f t="shared" si="0"/>
        <v>0</v>
      </c>
      <c r="J22" s="15" t="s">
        <v>21</v>
      </c>
      <c r="K22" s="15" t="s">
        <v>21</v>
      </c>
      <c r="L22" s="15" t="s">
        <v>634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683</v>
      </c>
      <c r="D23" s="15" t="s">
        <v>684</v>
      </c>
      <c r="E23" s="15" t="s">
        <v>685</v>
      </c>
      <c r="F23" s="15" t="s">
        <v>95</v>
      </c>
      <c r="G23" s="16">
        <v>50</v>
      </c>
      <c r="H23" s="16">
        <v>50</v>
      </c>
      <c r="I23" s="16">
        <f t="shared" si="0"/>
        <v>0</v>
      </c>
      <c r="J23" s="15" t="s">
        <v>21</v>
      </c>
      <c r="K23" s="15" t="s">
        <v>21</v>
      </c>
      <c r="L23" s="15" t="s">
        <v>634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686</v>
      </c>
      <c r="D24" s="15" t="s">
        <v>687</v>
      </c>
      <c r="E24" s="15" t="s">
        <v>688</v>
      </c>
      <c r="F24" s="15" t="s">
        <v>85</v>
      </c>
      <c r="G24" s="16">
        <v>710</v>
      </c>
      <c r="H24" s="16">
        <v>20</v>
      </c>
      <c r="I24" s="16">
        <f t="shared" si="0"/>
        <v>690</v>
      </c>
      <c r="J24" s="15" t="s">
        <v>21</v>
      </c>
      <c r="K24" s="15" t="s">
        <v>21</v>
      </c>
      <c r="L24" s="15" t="s">
        <v>634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689</v>
      </c>
      <c r="D25" s="15" t="s">
        <v>690</v>
      </c>
      <c r="E25" s="15" t="s">
        <v>691</v>
      </c>
      <c r="F25" s="16">
        <v>2</v>
      </c>
      <c r="G25" s="16">
        <v>820</v>
      </c>
      <c r="H25" s="16">
        <v>30</v>
      </c>
      <c r="I25" s="16">
        <f t="shared" si="0"/>
        <v>790</v>
      </c>
      <c r="J25" s="15" t="s">
        <v>21</v>
      </c>
      <c r="K25" s="15" t="s">
        <v>21</v>
      </c>
      <c r="L25" s="15" t="s">
        <v>634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692</v>
      </c>
      <c r="D26" s="15" t="s">
        <v>693</v>
      </c>
      <c r="E26" s="15" t="s">
        <v>694</v>
      </c>
      <c r="F26" s="15" t="s">
        <v>85</v>
      </c>
      <c r="G26" s="16">
        <v>880</v>
      </c>
      <c r="H26" s="16">
        <v>20</v>
      </c>
      <c r="I26" s="16">
        <f t="shared" si="0"/>
        <v>860</v>
      </c>
      <c r="J26" s="15" t="s">
        <v>21</v>
      </c>
      <c r="K26" s="15" t="s">
        <v>21</v>
      </c>
      <c r="L26" s="15" t="s">
        <v>634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365</v>
      </c>
      <c r="D27" s="15" t="s">
        <v>695</v>
      </c>
      <c r="E27" s="15" t="s">
        <v>367</v>
      </c>
      <c r="F27" s="15" t="s">
        <v>77</v>
      </c>
      <c r="G27" s="16">
        <v>845</v>
      </c>
      <c r="H27" s="16">
        <v>25</v>
      </c>
      <c r="I27" s="16">
        <f t="shared" si="0"/>
        <v>820</v>
      </c>
      <c r="J27" s="15" t="s">
        <v>21</v>
      </c>
      <c r="K27" s="15" t="s">
        <v>21</v>
      </c>
      <c r="L27" s="15" t="s">
        <v>634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696</v>
      </c>
      <c r="D28" s="15" t="s">
        <v>697</v>
      </c>
      <c r="E28" s="15" t="s">
        <v>698</v>
      </c>
      <c r="F28" s="16">
        <v>12</v>
      </c>
      <c r="G28" s="16">
        <v>0</v>
      </c>
      <c r="H28" s="16">
        <v>30</v>
      </c>
      <c r="I28" s="16">
        <f t="shared" si="0"/>
        <v>-30</v>
      </c>
      <c r="J28" s="15" t="s">
        <v>21</v>
      </c>
      <c r="K28" s="15" t="s">
        <v>21</v>
      </c>
      <c r="L28" s="15" t="s">
        <v>634</v>
      </c>
      <c r="M28" s="15"/>
      <c r="N28" s="15"/>
      <c r="O28" s="15"/>
      <c r="P28" s="15"/>
      <c r="Q28" s="15">
        <v>1</v>
      </c>
      <c r="R28" s="10">
        <f>H28</f>
        <v>30</v>
      </c>
    </row>
    <row r="29" spans="1:18" x14ac:dyDescent="0.25">
      <c r="A29" s="15" t="s">
        <v>16</v>
      </c>
      <c r="B29" s="15" t="s">
        <v>17</v>
      </c>
      <c r="C29" s="15" t="s">
        <v>437</v>
      </c>
      <c r="D29" s="15"/>
      <c r="E29" s="15" t="s">
        <v>438</v>
      </c>
      <c r="F29" s="16">
        <v>1</v>
      </c>
      <c r="G29" s="16">
        <v>0</v>
      </c>
      <c r="H29" s="16">
        <v>30</v>
      </c>
      <c r="I29" s="16">
        <f t="shared" si="0"/>
        <v>-30</v>
      </c>
      <c r="J29" s="15" t="s">
        <v>135</v>
      </c>
      <c r="K29" s="15" t="s">
        <v>21</v>
      </c>
      <c r="L29" s="15" t="s">
        <v>634</v>
      </c>
      <c r="M29" s="15"/>
      <c r="N29" s="15"/>
      <c r="O29" s="15"/>
      <c r="P29" s="15"/>
      <c r="Q29" s="15">
        <v>1</v>
      </c>
      <c r="R29" s="10">
        <f>H29</f>
        <v>30</v>
      </c>
    </row>
    <row r="30" spans="1:18" x14ac:dyDescent="0.25">
      <c r="A30" s="15"/>
      <c r="B30" s="15" t="s">
        <v>17</v>
      </c>
      <c r="C30" s="15" t="s">
        <v>699</v>
      </c>
      <c r="D30" s="15" t="s">
        <v>700</v>
      </c>
      <c r="E30" s="15" t="s">
        <v>701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634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183</v>
      </c>
      <c r="D31" s="15" t="s">
        <v>702</v>
      </c>
      <c r="E31" s="15" t="s">
        <v>185</v>
      </c>
      <c r="F31" s="16">
        <v>4</v>
      </c>
      <c r="G31" s="16">
        <v>885</v>
      </c>
      <c r="H31" s="16">
        <v>25</v>
      </c>
      <c r="I31" s="16">
        <f t="shared" si="0"/>
        <v>860</v>
      </c>
      <c r="J31" s="15" t="s">
        <v>135</v>
      </c>
      <c r="K31" s="15" t="s">
        <v>21</v>
      </c>
      <c r="L31" s="15" t="s">
        <v>634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703</v>
      </c>
      <c r="D32" s="15" t="s">
        <v>704</v>
      </c>
      <c r="E32" s="15" t="s">
        <v>705</v>
      </c>
      <c r="F32" s="16">
        <v>1</v>
      </c>
      <c r="G32" s="16">
        <v>825</v>
      </c>
      <c r="H32" s="16">
        <v>25</v>
      </c>
      <c r="I32" s="16">
        <f t="shared" si="0"/>
        <v>800</v>
      </c>
      <c r="J32" s="15" t="s">
        <v>135</v>
      </c>
      <c r="K32" s="15" t="s">
        <v>21</v>
      </c>
      <c r="L32" s="15" t="s">
        <v>634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706</v>
      </c>
      <c r="D33" s="15" t="s">
        <v>707</v>
      </c>
      <c r="E33" s="15" t="s">
        <v>708</v>
      </c>
      <c r="F33" s="16">
        <v>10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634</v>
      </c>
      <c r="M33" s="15"/>
      <c r="N33" s="15"/>
      <c r="O33" s="15"/>
      <c r="P33" s="15"/>
      <c r="Q33" s="15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709</v>
      </c>
      <c r="D34" s="15" t="s">
        <v>710</v>
      </c>
      <c r="E34" s="15" t="s">
        <v>711</v>
      </c>
      <c r="F34" s="16">
        <v>10</v>
      </c>
      <c r="G34" s="16">
        <v>815</v>
      </c>
      <c r="H34" s="16">
        <v>25</v>
      </c>
      <c r="I34" s="16">
        <f t="shared" si="0"/>
        <v>790</v>
      </c>
      <c r="J34" s="15" t="s">
        <v>135</v>
      </c>
      <c r="K34" s="15" t="s">
        <v>21</v>
      </c>
      <c r="L34" s="15" t="s">
        <v>634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712</v>
      </c>
      <c r="D35" s="17" t="s">
        <v>713</v>
      </c>
      <c r="E35" s="17" t="s">
        <v>714</v>
      </c>
      <c r="F35" s="18">
        <v>1</v>
      </c>
      <c r="G35" s="18">
        <v>25</v>
      </c>
      <c r="H35" s="18">
        <v>25</v>
      </c>
      <c r="I35" s="18">
        <f t="shared" si="0"/>
        <v>0</v>
      </c>
      <c r="J35" s="17" t="s">
        <v>135</v>
      </c>
      <c r="K35" s="17" t="s">
        <v>21</v>
      </c>
      <c r="L35" s="17" t="s">
        <v>634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/>
      <c r="B36" s="15" t="s">
        <v>17</v>
      </c>
      <c r="C36" s="15" t="s">
        <v>715</v>
      </c>
      <c r="D36" s="15" t="s">
        <v>716</v>
      </c>
      <c r="E36" s="15" t="s">
        <v>717</v>
      </c>
      <c r="F36" s="16">
        <v>7</v>
      </c>
      <c r="G36" s="16">
        <v>850</v>
      </c>
      <c r="H36" s="16">
        <v>30</v>
      </c>
      <c r="I36" s="16">
        <f t="shared" si="0"/>
        <v>820</v>
      </c>
      <c r="J36" s="15" t="s">
        <v>135</v>
      </c>
      <c r="K36" s="15" t="s">
        <v>21</v>
      </c>
      <c r="L36" s="15" t="s">
        <v>634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718</v>
      </c>
      <c r="D37" s="15" t="s">
        <v>719</v>
      </c>
      <c r="E37" s="15" t="s">
        <v>720</v>
      </c>
      <c r="F37" s="16">
        <v>5</v>
      </c>
      <c r="G37" s="16">
        <v>0</v>
      </c>
      <c r="H37" s="16">
        <v>25</v>
      </c>
      <c r="I37" s="16">
        <f t="shared" si="0"/>
        <v>-25</v>
      </c>
      <c r="J37" s="15" t="s">
        <v>135</v>
      </c>
      <c r="K37" s="15" t="s">
        <v>21</v>
      </c>
      <c r="L37" s="15" t="s">
        <v>634</v>
      </c>
      <c r="M37" s="15"/>
      <c r="N37" s="15"/>
      <c r="O37" s="15"/>
      <c r="P37" s="15"/>
      <c r="Q37" s="15">
        <v>1</v>
      </c>
      <c r="R37" s="10">
        <f>H37</f>
        <v>25</v>
      </c>
    </row>
    <row r="38" spans="1:18" x14ac:dyDescent="0.25">
      <c r="A38" s="15"/>
      <c r="B38" s="15" t="s">
        <v>17</v>
      </c>
      <c r="C38" s="15" t="s">
        <v>721</v>
      </c>
      <c r="D38" s="15" t="s">
        <v>722</v>
      </c>
      <c r="E38" s="15" t="s">
        <v>723</v>
      </c>
      <c r="F38" s="16">
        <v>10</v>
      </c>
      <c r="G38" s="16">
        <v>455</v>
      </c>
      <c r="H38" s="16">
        <v>25</v>
      </c>
      <c r="I38" s="16">
        <f t="shared" si="0"/>
        <v>430</v>
      </c>
      <c r="J38" s="15" t="s">
        <v>135</v>
      </c>
      <c r="K38" s="15" t="s">
        <v>21</v>
      </c>
      <c r="L38" s="15" t="s">
        <v>634</v>
      </c>
      <c r="M38" s="15"/>
      <c r="N38" s="15"/>
      <c r="O38" s="15"/>
      <c r="P38" s="15"/>
      <c r="Q38" s="15">
        <v>1</v>
      </c>
    </row>
    <row r="39" spans="1:18" s="2" customFormat="1" x14ac:dyDescent="0.25">
      <c r="A39" s="21"/>
      <c r="B39" s="21" t="s">
        <v>17</v>
      </c>
      <c r="C39" s="26" t="s">
        <v>724</v>
      </c>
      <c r="D39" s="26" t="s">
        <v>725</v>
      </c>
      <c r="E39" s="26" t="s">
        <v>726</v>
      </c>
      <c r="F39" s="27">
        <v>7</v>
      </c>
      <c r="G39" s="27">
        <v>1980</v>
      </c>
      <c r="H39" s="27">
        <v>0</v>
      </c>
      <c r="I39" s="27">
        <f t="shared" si="0"/>
        <v>1980</v>
      </c>
      <c r="J39" s="26" t="s">
        <v>727</v>
      </c>
      <c r="K39" s="26" t="s">
        <v>21</v>
      </c>
      <c r="L39" s="26" t="s">
        <v>728</v>
      </c>
      <c r="M39" s="21" t="s">
        <v>206</v>
      </c>
      <c r="N39" s="21" t="s">
        <v>272</v>
      </c>
      <c r="O39" s="21" t="s">
        <v>272</v>
      </c>
      <c r="P39" s="21" t="s">
        <v>273</v>
      </c>
      <c r="Q39" s="21">
        <v>1</v>
      </c>
    </row>
    <row r="41" spans="1:18" x14ac:dyDescent="0.25">
      <c r="D41" s="1">
        <f>COUNTA(D3:D39)</f>
        <v>33</v>
      </c>
      <c r="G41" s="1">
        <f t="shared" ref="G41:Q41" si="1">SUBTOTAL(9,G3:G39)</f>
        <v>20481</v>
      </c>
      <c r="H41" s="1">
        <f t="shared" si="1"/>
        <v>1030</v>
      </c>
      <c r="I41" s="1">
        <f t="shared" si="1"/>
        <v>19451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1" t="s">
        <v>17</v>
      </c>
      <c r="C43" s="40" t="s">
        <v>191</v>
      </c>
      <c r="D43" s="40"/>
      <c r="E43" s="4" t="s">
        <v>192</v>
      </c>
      <c r="H43">
        <f>-5*25</f>
        <v>-125</v>
      </c>
      <c r="K43" s="11" t="s">
        <v>135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634</v>
      </c>
      <c r="B44" s="3" t="s">
        <v>195</v>
      </c>
      <c r="C44" s="41">
        <f>SUMIFS(I$3:I$39,B$3:B$39,A$43,L$3:L$39,A$44)</f>
        <v>17471</v>
      </c>
      <c r="D44" s="41"/>
      <c r="E44" s="3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2" t="s">
        <v>199</v>
      </c>
      <c r="C45" s="42">
        <v>0</v>
      </c>
      <c r="D45" s="42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2" t="s">
        <v>201</v>
      </c>
      <c r="C46" s="42">
        <f>-SUMIFS(I$3:I$39,B$3:B$39,A$43,P$3:P$39,"xx",N$3:N$39,"x")</f>
        <v>-1980</v>
      </c>
      <c r="D46" s="42"/>
      <c r="E46" s="2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4" t="s">
        <v>203</v>
      </c>
      <c r="C47" s="40">
        <f>SUBTOTAL(9,C44:C46)</f>
        <v>15491</v>
      </c>
      <c r="D47" s="40"/>
      <c r="E47">
        <f>E44</f>
        <v>36</v>
      </c>
      <c r="K47" s="2" t="s">
        <v>204</v>
      </c>
      <c r="O47" t="s">
        <v>207</v>
      </c>
      <c r="P47">
        <f>-C51</f>
        <v>-15491</v>
      </c>
    </row>
    <row r="48" spans="1:18" x14ac:dyDescent="0.25">
      <c r="B48" s="2" t="s">
        <v>205</v>
      </c>
      <c r="C48" s="38"/>
      <c r="D48" s="38"/>
      <c r="K48" s="2" t="s">
        <v>206</v>
      </c>
      <c r="O48" s="4" t="s">
        <v>209</v>
      </c>
      <c r="P48" s="4">
        <f>SUBTOTAL(9,P44:P47)</f>
        <v>156</v>
      </c>
    </row>
    <row r="49" spans="2:13" x14ac:dyDescent="0.25">
      <c r="B49" s="12" t="s">
        <v>208</v>
      </c>
      <c r="C49" s="38"/>
      <c r="D49" s="38"/>
      <c r="L49" s="13">
        <f>SUBTOTAL(9,L44:L48)</f>
        <v>3645</v>
      </c>
      <c r="M49" s="13">
        <f>M44</f>
        <v>10</v>
      </c>
    </row>
    <row r="51" spans="2:13" x14ac:dyDescent="0.25">
      <c r="B51" s="1" t="s">
        <v>210</v>
      </c>
      <c r="C51" s="39">
        <f>C47+C48+C49</f>
        <v>15491</v>
      </c>
      <c r="D51" s="39"/>
      <c r="E51" s="1" t="s">
        <v>211</v>
      </c>
      <c r="K51" s="11" t="s">
        <v>633</v>
      </c>
      <c r="L51" s="11" t="s">
        <v>193</v>
      </c>
      <c r="M51" s="11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2" t="s">
        <v>204</v>
      </c>
    </row>
    <row r="56" spans="2:13" x14ac:dyDescent="0.25">
      <c r="K56" s="2" t="s">
        <v>206</v>
      </c>
      <c r="L56" s="23">
        <v>-1980</v>
      </c>
      <c r="M56" s="23" t="s">
        <v>288</v>
      </c>
    </row>
    <row r="57" spans="2:13" x14ac:dyDescent="0.25">
      <c r="L57" s="13">
        <f>SUBTOTAL(9,L52:L56)</f>
        <v>5263</v>
      </c>
      <c r="M57" s="13">
        <f>M52</f>
        <v>12</v>
      </c>
    </row>
    <row r="59" spans="2:13" x14ac:dyDescent="0.25">
      <c r="K59" s="11" t="s">
        <v>21</v>
      </c>
      <c r="L59" s="11" t="s">
        <v>193</v>
      </c>
      <c r="M59" s="11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2" t="s">
        <v>204</v>
      </c>
    </row>
    <row r="64" spans="2:13" x14ac:dyDescent="0.25">
      <c r="K64" s="2" t="s">
        <v>206</v>
      </c>
    </row>
    <row r="65" spans="12:13" x14ac:dyDescent="0.25">
      <c r="L65" s="13">
        <f>SUBTOTAL(9,L60:L64)</f>
        <v>6739</v>
      </c>
      <c r="M65" s="13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730</v>
      </c>
      <c r="D3" s="15"/>
      <c r="E3" s="15" t="s">
        <v>731</v>
      </c>
      <c r="F3" s="16">
        <v>8</v>
      </c>
      <c r="G3" s="16">
        <v>30</v>
      </c>
      <c r="H3" s="16">
        <v>30</v>
      </c>
      <c r="I3" s="16">
        <f t="shared" ref="I3:I33" si="0">G3-H3</f>
        <v>0</v>
      </c>
      <c r="J3" s="15" t="s">
        <v>732</v>
      </c>
      <c r="K3" s="15" t="s">
        <v>21</v>
      </c>
      <c r="L3" s="15" t="s">
        <v>733</v>
      </c>
      <c r="M3" s="15"/>
      <c r="N3" s="15"/>
      <c r="O3" s="15"/>
      <c r="P3" s="15"/>
      <c r="Q3" s="15">
        <v>1</v>
      </c>
    </row>
    <row r="4" spans="1:18" x14ac:dyDescent="0.25">
      <c r="A4" s="15" t="s">
        <v>16</v>
      </c>
      <c r="B4" s="15" t="s">
        <v>17</v>
      </c>
      <c r="C4" s="15" t="s">
        <v>340</v>
      </c>
      <c r="D4" s="15"/>
      <c r="E4" s="15" t="s">
        <v>636</v>
      </c>
      <c r="F4" s="15" t="s">
        <v>26</v>
      </c>
      <c r="G4" s="16">
        <v>35</v>
      </c>
      <c r="H4" s="16">
        <v>35</v>
      </c>
      <c r="I4" s="16">
        <f t="shared" si="0"/>
        <v>0</v>
      </c>
      <c r="J4" s="15" t="s">
        <v>732</v>
      </c>
      <c r="K4" s="15" t="s">
        <v>21</v>
      </c>
      <c r="L4" s="15" t="s">
        <v>733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734</v>
      </c>
      <c r="D5" s="15"/>
      <c r="E5" s="15" t="s">
        <v>735</v>
      </c>
      <c r="F5" s="16">
        <v>12</v>
      </c>
      <c r="G5" s="16">
        <v>35</v>
      </c>
      <c r="H5" s="16">
        <v>35</v>
      </c>
      <c r="I5" s="16">
        <f t="shared" si="0"/>
        <v>0</v>
      </c>
      <c r="J5" s="15" t="s">
        <v>732</v>
      </c>
      <c r="K5" s="15" t="s">
        <v>21</v>
      </c>
      <c r="L5" s="15" t="s">
        <v>733</v>
      </c>
      <c r="M5" s="15"/>
      <c r="N5" s="15"/>
      <c r="O5" s="15"/>
      <c r="P5" s="15"/>
      <c r="Q5" s="15">
        <v>1</v>
      </c>
    </row>
    <row r="6" spans="1:18" x14ac:dyDescent="0.25">
      <c r="A6" s="15" t="s">
        <v>16</v>
      </c>
      <c r="B6" s="15" t="s">
        <v>17</v>
      </c>
      <c r="C6" s="15" t="s">
        <v>736</v>
      </c>
      <c r="D6" s="15"/>
      <c r="E6" s="15" t="s">
        <v>737</v>
      </c>
      <c r="F6" s="16">
        <v>6</v>
      </c>
      <c r="G6" s="16">
        <v>650</v>
      </c>
      <c r="H6" s="16">
        <v>30</v>
      </c>
      <c r="I6" s="16">
        <f t="shared" si="0"/>
        <v>620</v>
      </c>
      <c r="J6" s="15" t="s">
        <v>732</v>
      </c>
      <c r="K6" s="15" t="s">
        <v>21</v>
      </c>
      <c r="L6" s="15" t="s">
        <v>733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738</v>
      </c>
      <c r="D7" s="15" t="s">
        <v>739</v>
      </c>
      <c r="E7" s="15" t="s">
        <v>740</v>
      </c>
      <c r="F7" s="15" t="s">
        <v>46</v>
      </c>
      <c r="G7" s="16">
        <v>0</v>
      </c>
      <c r="H7" s="16">
        <v>25</v>
      </c>
      <c r="I7" s="16">
        <f t="shared" si="0"/>
        <v>-25</v>
      </c>
      <c r="J7" s="15" t="s">
        <v>732</v>
      </c>
      <c r="K7" s="15" t="s">
        <v>21</v>
      </c>
      <c r="L7" s="15" t="s">
        <v>733</v>
      </c>
      <c r="M7" s="15"/>
      <c r="N7" s="15"/>
      <c r="O7" s="15"/>
      <c r="P7" s="15"/>
      <c r="Q7" s="15">
        <v>1</v>
      </c>
      <c r="R7" s="10">
        <f>H7</f>
        <v>25</v>
      </c>
    </row>
    <row r="8" spans="1:18" s="19" customFormat="1" x14ac:dyDescent="0.25">
      <c r="A8" s="17"/>
      <c r="B8" s="17" t="s">
        <v>17</v>
      </c>
      <c r="C8" s="17" t="s">
        <v>131</v>
      </c>
      <c r="D8" s="17" t="s">
        <v>741</v>
      </c>
      <c r="E8" s="17" t="s">
        <v>574</v>
      </c>
      <c r="F8" s="17" t="s">
        <v>134</v>
      </c>
      <c r="G8" s="18">
        <v>35</v>
      </c>
      <c r="H8" s="18">
        <v>35</v>
      </c>
      <c r="I8" s="18">
        <f t="shared" si="0"/>
        <v>0</v>
      </c>
      <c r="J8" s="17" t="s">
        <v>732</v>
      </c>
      <c r="K8" s="17" t="s">
        <v>21</v>
      </c>
      <c r="L8" s="17" t="s">
        <v>733</v>
      </c>
      <c r="M8" s="17" t="s">
        <v>126</v>
      </c>
      <c r="N8" s="17"/>
      <c r="O8" s="17"/>
      <c r="P8" s="17"/>
      <c r="Q8" s="17">
        <v>1</v>
      </c>
    </row>
    <row r="9" spans="1:18" x14ac:dyDescent="0.25">
      <c r="A9" s="15"/>
      <c r="B9" s="15" t="s">
        <v>17</v>
      </c>
      <c r="C9" s="15" t="s">
        <v>742</v>
      </c>
      <c r="D9" s="15" t="s">
        <v>743</v>
      </c>
      <c r="E9" s="15" t="s">
        <v>744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732</v>
      </c>
      <c r="K9" s="15" t="s">
        <v>21</v>
      </c>
      <c r="L9" s="15" t="s">
        <v>733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745</v>
      </c>
      <c r="D10" s="15" t="s">
        <v>746</v>
      </c>
      <c r="E10" s="15" t="s">
        <v>747</v>
      </c>
      <c r="F10" s="15" t="s">
        <v>26</v>
      </c>
      <c r="G10" s="16">
        <v>400</v>
      </c>
      <c r="H10" s="16">
        <v>30</v>
      </c>
      <c r="I10" s="16">
        <f t="shared" si="0"/>
        <v>370</v>
      </c>
      <c r="J10" s="15" t="s">
        <v>732</v>
      </c>
      <c r="K10" s="15" t="s">
        <v>21</v>
      </c>
      <c r="L10" s="15" t="s">
        <v>733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748</v>
      </c>
      <c r="D11" s="15" t="s">
        <v>749</v>
      </c>
      <c r="E11" s="15" t="s">
        <v>750</v>
      </c>
      <c r="F11" s="16">
        <v>11</v>
      </c>
      <c r="G11" s="16">
        <v>665</v>
      </c>
      <c r="H11" s="16">
        <v>25</v>
      </c>
      <c r="I11" s="16">
        <f t="shared" si="0"/>
        <v>640</v>
      </c>
      <c r="J11" s="15" t="s">
        <v>732</v>
      </c>
      <c r="K11" s="15" t="s">
        <v>21</v>
      </c>
      <c r="L11" s="15" t="s">
        <v>733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751</v>
      </c>
      <c r="D12" s="15" t="s">
        <v>752</v>
      </c>
      <c r="E12" s="15" t="s">
        <v>753</v>
      </c>
      <c r="F12" s="15" t="s">
        <v>26</v>
      </c>
      <c r="G12" s="16">
        <v>820</v>
      </c>
      <c r="H12" s="16">
        <v>30</v>
      </c>
      <c r="I12" s="16">
        <f t="shared" si="0"/>
        <v>790</v>
      </c>
      <c r="J12" s="15" t="s">
        <v>732</v>
      </c>
      <c r="K12" s="15" t="s">
        <v>21</v>
      </c>
      <c r="L12" s="15" t="s">
        <v>733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754</v>
      </c>
      <c r="D13" s="15" t="s">
        <v>755</v>
      </c>
      <c r="E13" s="15" t="s">
        <v>756</v>
      </c>
      <c r="F13" s="16">
        <v>6</v>
      </c>
      <c r="G13" s="16">
        <v>0</v>
      </c>
      <c r="H13" s="16">
        <v>25</v>
      </c>
      <c r="I13" s="16">
        <f t="shared" si="0"/>
        <v>-25</v>
      </c>
      <c r="J13" s="15" t="s">
        <v>732</v>
      </c>
      <c r="K13" s="15" t="s">
        <v>21</v>
      </c>
      <c r="L13" s="15" t="s">
        <v>733</v>
      </c>
      <c r="M13" s="15"/>
      <c r="N13" s="15"/>
      <c r="O13" s="15"/>
      <c r="P13" s="15"/>
      <c r="Q13" s="15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757</v>
      </c>
      <c r="D14" s="15" t="s">
        <v>758</v>
      </c>
      <c r="E14" s="15" t="s">
        <v>759</v>
      </c>
      <c r="F14" s="16">
        <v>7</v>
      </c>
      <c r="G14" s="16">
        <v>770</v>
      </c>
      <c r="H14" s="16">
        <v>30</v>
      </c>
      <c r="I14" s="16">
        <f t="shared" si="0"/>
        <v>740</v>
      </c>
      <c r="J14" s="15" t="s">
        <v>732</v>
      </c>
      <c r="K14" s="15" t="s">
        <v>21</v>
      </c>
      <c r="L14" s="15" t="s">
        <v>733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760</v>
      </c>
      <c r="D15" s="15"/>
      <c r="E15" s="15" t="s">
        <v>761</v>
      </c>
      <c r="F15" s="15" t="s">
        <v>77</v>
      </c>
      <c r="G15" s="16">
        <v>0</v>
      </c>
      <c r="H15" s="16">
        <v>30</v>
      </c>
      <c r="I15" s="16">
        <f t="shared" si="0"/>
        <v>-30</v>
      </c>
      <c r="J15" s="15" t="s">
        <v>21</v>
      </c>
      <c r="K15" s="15" t="s">
        <v>21</v>
      </c>
      <c r="L15" s="15" t="s">
        <v>733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 t="s">
        <v>16</v>
      </c>
      <c r="B16" s="15" t="s">
        <v>17</v>
      </c>
      <c r="C16" s="15" t="s">
        <v>762</v>
      </c>
      <c r="D16" s="15"/>
      <c r="E16" s="15" t="s">
        <v>763</v>
      </c>
      <c r="F16" s="15" t="s">
        <v>46</v>
      </c>
      <c r="G16" s="16">
        <v>12110</v>
      </c>
      <c r="H16" s="16">
        <v>60</v>
      </c>
      <c r="I16" s="16">
        <f t="shared" si="0"/>
        <v>12050</v>
      </c>
      <c r="J16" s="15" t="s">
        <v>21</v>
      </c>
      <c r="K16" s="15" t="s">
        <v>21</v>
      </c>
      <c r="L16" s="15" t="s">
        <v>733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764</v>
      </c>
      <c r="D17" s="15" t="s">
        <v>765</v>
      </c>
      <c r="E17" s="15" t="s">
        <v>766</v>
      </c>
      <c r="F17" s="15" t="s">
        <v>95</v>
      </c>
      <c r="G17" s="16">
        <v>795</v>
      </c>
      <c r="H17" s="16">
        <v>25</v>
      </c>
      <c r="I17" s="16">
        <f t="shared" si="0"/>
        <v>770</v>
      </c>
      <c r="J17" s="15" t="s">
        <v>21</v>
      </c>
      <c r="K17" s="15" t="s">
        <v>21</v>
      </c>
      <c r="L17" s="15" t="s">
        <v>733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767</v>
      </c>
      <c r="D18" s="15" t="s">
        <v>768</v>
      </c>
      <c r="E18" s="15" t="s">
        <v>769</v>
      </c>
      <c r="F18" s="15" t="s">
        <v>77</v>
      </c>
      <c r="G18" s="16">
        <v>1145</v>
      </c>
      <c r="H18" s="16">
        <v>25</v>
      </c>
      <c r="I18" s="16">
        <f t="shared" si="0"/>
        <v>1120</v>
      </c>
      <c r="J18" s="15" t="s">
        <v>21</v>
      </c>
      <c r="K18" s="15" t="s">
        <v>21</v>
      </c>
      <c r="L18" s="15" t="s">
        <v>733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770</v>
      </c>
      <c r="D19" s="15" t="s">
        <v>771</v>
      </c>
      <c r="E19" s="15" t="s">
        <v>772</v>
      </c>
      <c r="F19" s="15" t="s">
        <v>85</v>
      </c>
      <c r="G19" s="16">
        <v>3640</v>
      </c>
      <c r="H19" s="16">
        <v>30</v>
      </c>
      <c r="I19" s="16">
        <f t="shared" si="0"/>
        <v>3610</v>
      </c>
      <c r="J19" s="15" t="s">
        <v>21</v>
      </c>
      <c r="K19" s="15" t="s">
        <v>21</v>
      </c>
      <c r="L19" s="15" t="s">
        <v>733</v>
      </c>
      <c r="M19" s="20" t="s">
        <v>167</v>
      </c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773</v>
      </c>
      <c r="D20" s="15" t="s">
        <v>774</v>
      </c>
      <c r="E20" s="15" t="s">
        <v>775</v>
      </c>
      <c r="F20" s="16">
        <v>2</v>
      </c>
      <c r="G20" s="16">
        <v>690</v>
      </c>
      <c r="H20" s="16">
        <v>30</v>
      </c>
      <c r="I20" s="16">
        <f t="shared" si="0"/>
        <v>660</v>
      </c>
      <c r="J20" s="15" t="s">
        <v>21</v>
      </c>
      <c r="K20" s="15" t="s">
        <v>21</v>
      </c>
      <c r="L20" s="15" t="s">
        <v>733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776</v>
      </c>
      <c r="D21" s="15" t="s">
        <v>777</v>
      </c>
      <c r="E21" s="15" t="s">
        <v>778</v>
      </c>
      <c r="F21" s="15" t="s">
        <v>95</v>
      </c>
      <c r="G21" s="16">
        <v>2310</v>
      </c>
      <c r="H21" s="16">
        <v>30</v>
      </c>
      <c r="I21" s="16">
        <f t="shared" si="0"/>
        <v>2280</v>
      </c>
      <c r="J21" s="15" t="s">
        <v>21</v>
      </c>
      <c r="K21" s="15" t="s">
        <v>21</v>
      </c>
      <c r="L21" s="15" t="s">
        <v>733</v>
      </c>
      <c r="M21" s="20" t="s">
        <v>167</v>
      </c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248</v>
      </c>
      <c r="D22" s="15" t="s">
        <v>779</v>
      </c>
      <c r="E22" s="15" t="s">
        <v>780</v>
      </c>
      <c r="F22" s="15" t="s">
        <v>77</v>
      </c>
      <c r="G22" s="16">
        <v>395</v>
      </c>
      <c r="H22" s="16">
        <v>25</v>
      </c>
      <c r="I22" s="16">
        <f t="shared" si="0"/>
        <v>370</v>
      </c>
      <c r="J22" s="15" t="s">
        <v>21</v>
      </c>
      <c r="K22" s="15" t="s">
        <v>21</v>
      </c>
      <c r="L22" s="15" t="s">
        <v>733</v>
      </c>
      <c r="M22" s="15"/>
      <c r="N22" s="15"/>
      <c r="O22" s="15"/>
      <c r="P22" s="15"/>
      <c r="Q22" s="15">
        <v>1</v>
      </c>
    </row>
    <row r="23" spans="1:18" s="19" customFormat="1" x14ac:dyDescent="0.25">
      <c r="A23" s="17"/>
      <c r="B23" s="17" t="s">
        <v>17</v>
      </c>
      <c r="C23" s="17" t="s">
        <v>692</v>
      </c>
      <c r="D23" s="17" t="s">
        <v>781</v>
      </c>
      <c r="E23" s="17" t="s">
        <v>694</v>
      </c>
      <c r="F23" s="17" t="s">
        <v>85</v>
      </c>
      <c r="G23" s="18">
        <v>200</v>
      </c>
      <c r="H23" s="18">
        <v>20</v>
      </c>
      <c r="I23" s="18">
        <f t="shared" si="0"/>
        <v>180</v>
      </c>
      <c r="J23" s="17" t="s">
        <v>21</v>
      </c>
      <c r="K23" s="17" t="s">
        <v>21</v>
      </c>
      <c r="L23" s="17" t="s">
        <v>733</v>
      </c>
      <c r="M23" s="17" t="s">
        <v>126</v>
      </c>
      <c r="N23" s="17"/>
      <c r="O23" s="17"/>
      <c r="P23" s="17"/>
      <c r="Q23" s="17">
        <v>1</v>
      </c>
    </row>
    <row r="24" spans="1:18" s="19" customFormat="1" x14ac:dyDescent="0.25">
      <c r="A24" s="17"/>
      <c r="B24" s="17" t="s">
        <v>17</v>
      </c>
      <c r="C24" s="17" t="s">
        <v>102</v>
      </c>
      <c r="D24" s="17" t="s">
        <v>782</v>
      </c>
      <c r="E24" s="17" t="s">
        <v>104</v>
      </c>
      <c r="F24" s="17" t="s">
        <v>77</v>
      </c>
      <c r="G24" s="18">
        <v>25</v>
      </c>
      <c r="H24" s="18">
        <v>25</v>
      </c>
      <c r="I24" s="18">
        <f t="shared" si="0"/>
        <v>0</v>
      </c>
      <c r="J24" s="17" t="s">
        <v>21</v>
      </c>
      <c r="K24" s="17" t="s">
        <v>21</v>
      </c>
      <c r="L24" s="17" t="s">
        <v>733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 t="s">
        <v>16</v>
      </c>
      <c r="B25" s="15" t="s">
        <v>17</v>
      </c>
      <c r="C25" s="15" t="s">
        <v>783</v>
      </c>
      <c r="D25" s="15"/>
      <c r="E25" s="15" t="s">
        <v>784</v>
      </c>
      <c r="F25" s="16">
        <v>3</v>
      </c>
      <c r="G25" s="16">
        <v>2070</v>
      </c>
      <c r="H25" s="16">
        <v>30</v>
      </c>
      <c r="I25" s="16">
        <f t="shared" si="0"/>
        <v>2040</v>
      </c>
      <c r="J25" s="15" t="s">
        <v>135</v>
      </c>
      <c r="K25" s="15" t="s">
        <v>21</v>
      </c>
      <c r="L25" s="15" t="s">
        <v>733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785</v>
      </c>
      <c r="D26" s="15"/>
      <c r="E26" s="15" t="s">
        <v>786</v>
      </c>
      <c r="F26" s="15" t="s">
        <v>95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733</v>
      </c>
      <c r="M26" s="15"/>
      <c r="N26" s="15"/>
      <c r="O26" s="15"/>
      <c r="P26" s="15"/>
      <c r="Q26" s="15">
        <v>1</v>
      </c>
      <c r="R26" s="10">
        <f>H26</f>
        <v>30</v>
      </c>
    </row>
    <row r="27" spans="1:18" x14ac:dyDescent="0.25">
      <c r="A27" s="15"/>
      <c r="B27" s="15" t="s">
        <v>17</v>
      </c>
      <c r="C27" s="15" t="s">
        <v>787</v>
      </c>
      <c r="D27" s="15" t="s">
        <v>788</v>
      </c>
      <c r="E27" s="15" t="s">
        <v>789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733</v>
      </c>
      <c r="M27" s="20" t="s">
        <v>790</v>
      </c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791</v>
      </c>
      <c r="D28" s="15" t="s">
        <v>792</v>
      </c>
      <c r="E28" s="15" t="s">
        <v>793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733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s="19" customFormat="1" x14ac:dyDescent="0.25">
      <c r="A29" s="17"/>
      <c r="B29" s="17" t="s">
        <v>17</v>
      </c>
      <c r="C29" s="17" t="s">
        <v>709</v>
      </c>
      <c r="D29" s="17" t="s">
        <v>794</v>
      </c>
      <c r="E29" s="17" t="s">
        <v>795</v>
      </c>
      <c r="F29" s="18">
        <v>10</v>
      </c>
      <c r="G29" s="18">
        <v>25</v>
      </c>
      <c r="H29" s="18">
        <v>25</v>
      </c>
      <c r="I29" s="18">
        <f t="shared" si="0"/>
        <v>0</v>
      </c>
      <c r="J29" s="17" t="s">
        <v>135</v>
      </c>
      <c r="K29" s="17" t="s">
        <v>21</v>
      </c>
      <c r="L29" s="17" t="s">
        <v>733</v>
      </c>
      <c r="M29" s="17" t="s">
        <v>126</v>
      </c>
      <c r="N29" s="17"/>
      <c r="O29" s="17"/>
      <c r="P29" s="17"/>
      <c r="Q29" s="17">
        <v>1</v>
      </c>
    </row>
    <row r="30" spans="1:18" x14ac:dyDescent="0.25">
      <c r="A30" s="15"/>
      <c r="B30" s="15" t="s">
        <v>17</v>
      </c>
      <c r="C30" s="15" t="s">
        <v>796</v>
      </c>
      <c r="D30" s="15" t="s">
        <v>797</v>
      </c>
      <c r="E30" s="15" t="s">
        <v>798</v>
      </c>
      <c r="F30" s="16">
        <v>1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733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799</v>
      </c>
      <c r="D31" s="15" t="s">
        <v>800</v>
      </c>
      <c r="E31" s="15" t="s">
        <v>801</v>
      </c>
      <c r="F31" s="16">
        <v>10</v>
      </c>
      <c r="G31" s="16">
        <v>815</v>
      </c>
      <c r="H31" s="16">
        <v>25</v>
      </c>
      <c r="I31" s="16">
        <f t="shared" si="0"/>
        <v>790</v>
      </c>
      <c r="J31" s="15" t="s">
        <v>135</v>
      </c>
      <c r="K31" s="15" t="s">
        <v>21</v>
      </c>
      <c r="L31" s="15" t="s">
        <v>733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802</v>
      </c>
      <c r="D32" s="15" t="s">
        <v>803</v>
      </c>
      <c r="E32" s="15" t="s">
        <v>804</v>
      </c>
      <c r="F32" s="16">
        <v>5</v>
      </c>
      <c r="G32" s="16">
        <v>775</v>
      </c>
      <c r="H32" s="16">
        <v>25</v>
      </c>
      <c r="I32" s="16">
        <f t="shared" si="0"/>
        <v>750</v>
      </c>
      <c r="J32" s="15" t="s">
        <v>135</v>
      </c>
      <c r="K32" s="15" t="s">
        <v>21</v>
      </c>
      <c r="L32" s="15" t="s">
        <v>733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805</v>
      </c>
      <c r="D33" s="15" t="s">
        <v>806</v>
      </c>
      <c r="E33" s="15" t="s">
        <v>807</v>
      </c>
      <c r="F33" s="16">
        <v>1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733</v>
      </c>
      <c r="M33" s="15"/>
      <c r="N33" s="15"/>
      <c r="O33" s="15"/>
      <c r="P33" s="15"/>
      <c r="Q33" s="15">
        <v>1</v>
      </c>
      <c r="R33" s="10">
        <f>H33</f>
        <v>25</v>
      </c>
    </row>
    <row r="35" spans="1:18" x14ac:dyDescent="0.25">
      <c r="D35" s="1">
        <f>COUNTA(D3:D33)</f>
        <v>23</v>
      </c>
      <c r="G35" s="1">
        <f t="shared" ref="G35:Q35" si="1">SUBTOTAL(9,G3:G33)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1" t="s">
        <v>17</v>
      </c>
      <c r="C37" s="40" t="s">
        <v>191</v>
      </c>
      <c r="D37" s="40"/>
      <c r="E37" s="4" t="s">
        <v>192</v>
      </c>
      <c r="H37">
        <f>-5*25</f>
        <v>-125</v>
      </c>
      <c r="K37" s="11" t="s">
        <v>732</v>
      </c>
      <c r="L37" s="11" t="s">
        <v>193</v>
      </c>
      <c r="M37" s="11" t="s">
        <v>192</v>
      </c>
      <c r="O37" s="4" t="s">
        <v>194</v>
      </c>
    </row>
    <row r="38" spans="1:18" x14ac:dyDescent="0.25">
      <c r="A38" t="s">
        <v>733</v>
      </c>
      <c r="B38" s="3" t="s">
        <v>195</v>
      </c>
      <c r="C38" s="41">
        <f>SUMIFS(I$3:I$33,B$3:B$33,A$37,L$3:L$33,A$38)</f>
        <v>27540</v>
      </c>
      <c r="D38" s="41"/>
      <c r="E38" s="3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2" t="s">
        <v>199</v>
      </c>
      <c r="C39" s="42">
        <v>0</v>
      </c>
      <c r="D39" s="42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2" t="s">
        <v>201</v>
      </c>
      <c r="C40" s="42">
        <f>-SUMIFS(I$3:I$33,B$3:B$33,A$37,P$3:P$33,"xx",N$3:N$33,"x")</f>
        <v>0</v>
      </c>
      <c r="D40" s="42"/>
      <c r="E40" s="2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4" t="s">
        <v>203</v>
      </c>
      <c r="C41" s="40">
        <f>SUBTOTAL(9,C38:C40)</f>
        <v>27540</v>
      </c>
      <c r="D41" s="40"/>
      <c r="E41">
        <f>E38</f>
        <v>31</v>
      </c>
      <c r="K41" s="2" t="s">
        <v>204</v>
      </c>
      <c r="O41" t="s">
        <v>207</v>
      </c>
      <c r="P41">
        <f>-C45</f>
        <v>-27540</v>
      </c>
    </row>
    <row r="42" spans="1:18" x14ac:dyDescent="0.25">
      <c r="B42" s="2" t="s">
        <v>205</v>
      </c>
      <c r="C42" s="38"/>
      <c r="D42" s="38"/>
      <c r="K42" s="2" t="s">
        <v>206</v>
      </c>
      <c r="O42" s="4" t="s">
        <v>209</v>
      </c>
      <c r="P42" s="4">
        <f>SUBTOTAL(9,P38:P41)</f>
        <v>136</v>
      </c>
    </row>
    <row r="43" spans="1:18" x14ac:dyDescent="0.25">
      <c r="B43" s="12" t="s">
        <v>208</v>
      </c>
      <c r="C43" s="38"/>
      <c r="D43" s="38"/>
      <c r="L43" s="13">
        <f>SUBTOTAL(9,L38:L42)</f>
        <v>3183</v>
      </c>
      <c r="M43" s="13">
        <f>M38</f>
        <v>12</v>
      </c>
    </row>
    <row r="45" spans="1:18" x14ac:dyDescent="0.25">
      <c r="B45" s="1" t="s">
        <v>210</v>
      </c>
      <c r="C45" s="39">
        <f>C41+C42+C43</f>
        <v>27540</v>
      </c>
      <c r="D45" s="39"/>
      <c r="E45" s="1" t="s">
        <v>211</v>
      </c>
      <c r="K45" s="11" t="s">
        <v>21</v>
      </c>
      <c r="L45" s="11" t="s">
        <v>193</v>
      </c>
      <c r="M45" s="11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2" t="s">
        <v>204</v>
      </c>
    </row>
    <row r="50" spans="11:13" x14ac:dyDescent="0.25">
      <c r="K50" s="2" t="s">
        <v>206</v>
      </c>
    </row>
    <row r="51" spans="11:13" x14ac:dyDescent="0.25">
      <c r="L51" s="13">
        <f>SUBTOTAL(9,L46:L50)</f>
        <v>20998</v>
      </c>
      <c r="M51" s="13">
        <f>M46</f>
        <v>10</v>
      </c>
    </row>
    <row r="53" spans="11:13" x14ac:dyDescent="0.25">
      <c r="K53" s="11" t="s">
        <v>135</v>
      </c>
      <c r="L53" s="11" t="s">
        <v>193</v>
      </c>
      <c r="M53" s="11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2" t="s">
        <v>204</v>
      </c>
    </row>
    <row r="58" spans="11:13" x14ac:dyDescent="0.25">
      <c r="K58" s="2" t="s">
        <v>206</v>
      </c>
    </row>
    <row r="59" spans="11:13" x14ac:dyDescent="0.25">
      <c r="L59" s="13">
        <f>SUBTOTAL(9,L54:L58)</f>
        <v>3495</v>
      </c>
      <c r="M59" s="13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opLeftCell="A54" workbookViewId="0">
      <selection activeCell="I62" sqref="I62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809</v>
      </c>
      <c r="D3" s="15" t="s">
        <v>810</v>
      </c>
      <c r="E3" s="15" t="s">
        <v>811</v>
      </c>
      <c r="F3" s="16">
        <v>12</v>
      </c>
      <c r="G3" s="16">
        <v>0</v>
      </c>
      <c r="H3" s="16">
        <v>30</v>
      </c>
      <c r="I3" s="16">
        <f t="shared" ref="I3:I34" si="0">G3-H3</f>
        <v>-30</v>
      </c>
      <c r="J3" s="15" t="s">
        <v>812</v>
      </c>
      <c r="K3" s="15" t="s">
        <v>21</v>
      </c>
      <c r="L3" s="15" t="s">
        <v>813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814</v>
      </c>
      <c r="D4" s="15" t="s">
        <v>815</v>
      </c>
      <c r="E4" s="15" t="s">
        <v>816</v>
      </c>
      <c r="F4" s="16">
        <v>7</v>
      </c>
      <c r="G4" s="16">
        <v>1800</v>
      </c>
      <c r="H4" s="16">
        <v>30</v>
      </c>
      <c r="I4" s="16">
        <f t="shared" si="0"/>
        <v>1770</v>
      </c>
      <c r="J4" s="15" t="s">
        <v>812</v>
      </c>
      <c r="K4" s="15" t="s">
        <v>21</v>
      </c>
      <c r="L4" s="15" t="s">
        <v>813</v>
      </c>
      <c r="M4" s="15"/>
      <c r="N4" s="15"/>
      <c r="O4" s="15"/>
      <c r="P4" s="15"/>
      <c r="Q4" s="15">
        <v>1</v>
      </c>
    </row>
    <row r="5" spans="1:17" s="19" customFormat="1" x14ac:dyDescent="0.25">
      <c r="A5" s="17"/>
      <c r="B5" s="17" t="s">
        <v>17</v>
      </c>
      <c r="C5" s="17" t="s">
        <v>463</v>
      </c>
      <c r="D5" s="17" t="s">
        <v>817</v>
      </c>
      <c r="E5" s="17" t="s">
        <v>818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812</v>
      </c>
      <c r="K5" s="17" t="s">
        <v>21</v>
      </c>
      <c r="L5" s="17" t="s">
        <v>813</v>
      </c>
      <c r="M5" s="17" t="s">
        <v>126</v>
      </c>
      <c r="N5" s="17"/>
      <c r="O5" s="17"/>
      <c r="P5" s="17"/>
      <c r="Q5" s="17">
        <v>1</v>
      </c>
    </row>
    <row r="6" spans="1:17" x14ac:dyDescent="0.25">
      <c r="A6" s="15"/>
      <c r="B6" s="15" t="s">
        <v>17</v>
      </c>
      <c r="C6" s="15" t="s">
        <v>819</v>
      </c>
      <c r="D6" s="15" t="s">
        <v>820</v>
      </c>
      <c r="E6" s="15" t="s">
        <v>821</v>
      </c>
      <c r="F6" s="16">
        <v>8</v>
      </c>
      <c r="G6" s="16">
        <v>820</v>
      </c>
      <c r="H6" s="16">
        <v>30</v>
      </c>
      <c r="I6" s="16">
        <f t="shared" si="0"/>
        <v>790</v>
      </c>
      <c r="J6" s="15" t="s">
        <v>812</v>
      </c>
      <c r="K6" s="15" t="s">
        <v>21</v>
      </c>
      <c r="L6" s="15" t="s">
        <v>813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822</v>
      </c>
      <c r="D7" s="15" t="s">
        <v>823</v>
      </c>
      <c r="E7" s="15" t="s">
        <v>824</v>
      </c>
      <c r="F7" s="15" t="s">
        <v>26</v>
      </c>
      <c r="G7" s="16">
        <v>790</v>
      </c>
      <c r="H7" s="16">
        <v>30</v>
      </c>
      <c r="I7" s="16">
        <f t="shared" si="0"/>
        <v>760</v>
      </c>
      <c r="J7" s="15" t="s">
        <v>812</v>
      </c>
      <c r="K7" s="15" t="s">
        <v>21</v>
      </c>
      <c r="L7" s="15" t="s">
        <v>813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825</v>
      </c>
      <c r="D8" s="15" t="s">
        <v>826</v>
      </c>
      <c r="E8" s="15" t="s">
        <v>827</v>
      </c>
      <c r="F8" s="16">
        <v>7</v>
      </c>
      <c r="G8" s="16">
        <v>780</v>
      </c>
      <c r="H8" s="16">
        <v>30</v>
      </c>
      <c r="I8" s="16">
        <f t="shared" si="0"/>
        <v>750</v>
      </c>
      <c r="J8" s="15" t="s">
        <v>812</v>
      </c>
      <c r="K8" s="15" t="s">
        <v>21</v>
      </c>
      <c r="L8" s="15" t="s">
        <v>813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828</v>
      </c>
      <c r="D9" s="15" t="s">
        <v>829</v>
      </c>
      <c r="E9" s="15" t="s">
        <v>830</v>
      </c>
      <c r="F9" s="15" t="s">
        <v>26</v>
      </c>
      <c r="G9" s="16">
        <v>1090</v>
      </c>
      <c r="H9" s="16">
        <v>30</v>
      </c>
      <c r="I9" s="16">
        <f t="shared" si="0"/>
        <v>1060</v>
      </c>
      <c r="J9" s="15" t="s">
        <v>812</v>
      </c>
      <c r="K9" s="15" t="s">
        <v>21</v>
      </c>
      <c r="L9" s="15" t="s">
        <v>813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831</v>
      </c>
      <c r="D10" s="15" t="s">
        <v>832</v>
      </c>
      <c r="E10" s="15" t="s">
        <v>833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812</v>
      </c>
      <c r="K10" s="15" t="s">
        <v>21</v>
      </c>
      <c r="L10" s="15" t="s">
        <v>813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834</v>
      </c>
      <c r="D11" s="15" t="s">
        <v>835</v>
      </c>
      <c r="E11" s="15" t="s">
        <v>836</v>
      </c>
      <c r="F11" s="15" t="s">
        <v>134</v>
      </c>
      <c r="G11" s="16">
        <v>1185</v>
      </c>
      <c r="H11" s="16">
        <v>35</v>
      </c>
      <c r="I11" s="16">
        <f t="shared" si="0"/>
        <v>1150</v>
      </c>
      <c r="J11" s="15" t="s">
        <v>812</v>
      </c>
      <c r="K11" s="15" t="s">
        <v>21</v>
      </c>
      <c r="L11" s="15" t="s">
        <v>813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837</v>
      </c>
      <c r="D12" s="15" t="s">
        <v>838</v>
      </c>
      <c r="E12" s="15" t="s">
        <v>839</v>
      </c>
      <c r="F12" s="15" t="s">
        <v>46</v>
      </c>
      <c r="G12" s="16">
        <v>975</v>
      </c>
      <c r="H12" s="16">
        <v>25</v>
      </c>
      <c r="I12" s="16">
        <f t="shared" si="0"/>
        <v>950</v>
      </c>
      <c r="J12" s="15" t="s">
        <v>812</v>
      </c>
      <c r="K12" s="15" t="s">
        <v>21</v>
      </c>
      <c r="L12" s="15" t="s">
        <v>813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840</v>
      </c>
      <c r="D13" s="15" t="s">
        <v>841</v>
      </c>
      <c r="E13" s="15" t="s">
        <v>842</v>
      </c>
      <c r="F13" s="15" t="s">
        <v>26</v>
      </c>
      <c r="G13" s="16">
        <v>0</v>
      </c>
      <c r="H13" s="16">
        <v>30</v>
      </c>
      <c r="I13" s="16">
        <f t="shared" si="0"/>
        <v>-30</v>
      </c>
      <c r="J13" s="15" t="s">
        <v>812</v>
      </c>
      <c r="K13" s="15" t="s">
        <v>21</v>
      </c>
      <c r="L13" s="15" t="s">
        <v>813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843</v>
      </c>
      <c r="D14" s="15" t="s">
        <v>844</v>
      </c>
      <c r="E14" s="15" t="s">
        <v>845</v>
      </c>
      <c r="F14" s="15" t="s">
        <v>139</v>
      </c>
      <c r="G14" s="16">
        <v>905</v>
      </c>
      <c r="H14" s="16">
        <v>35</v>
      </c>
      <c r="I14" s="16">
        <f t="shared" si="0"/>
        <v>870</v>
      </c>
      <c r="J14" s="15" t="s">
        <v>812</v>
      </c>
      <c r="K14" s="15" t="s">
        <v>21</v>
      </c>
      <c r="L14" s="15" t="s">
        <v>813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846</v>
      </c>
      <c r="D15" s="15" t="s">
        <v>847</v>
      </c>
      <c r="E15" s="15" t="s">
        <v>848</v>
      </c>
      <c r="F15" s="15" t="s">
        <v>46</v>
      </c>
      <c r="G15" s="16">
        <v>0</v>
      </c>
      <c r="H15" s="16">
        <v>25</v>
      </c>
      <c r="I15" s="16">
        <f t="shared" si="0"/>
        <v>-25</v>
      </c>
      <c r="J15" s="15" t="s">
        <v>812</v>
      </c>
      <c r="K15" s="15" t="s">
        <v>21</v>
      </c>
      <c r="L15" s="15" t="s">
        <v>813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849</v>
      </c>
      <c r="D16" s="15"/>
      <c r="E16" s="15" t="s">
        <v>850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812</v>
      </c>
      <c r="K16" s="15" t="s">
        <v>21</v>
      </c>
      <c r="L16" s="15" t="s">
        <v>813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851</v>
      </c>
      <c r="D17" s="15" t="s">
        <v>852</v>
      </c>
      <c r="E17" s="15" t="s">
        <v>853</v>
      </c>
      <c r="F17" s="16">
        <v>7</v>
      </c>
      <c r="G17" s="16">
        <v>820</v>
      </c>
      <c r="H17" s="16">
        <v>30</v>
      </c>
      <c r="I17" s="16">
        <f t="shared" si="0"/>
        <v>790</v>
      </c>
      <c r="J17" s="15" t="s">
        <v>812</v>
      </c>
      <c r="K17" s="15" t="s">
        <v>21</v>
      </c>
      <c r="L17" s="15" t="s">
        <v>813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854</v>
      </c>
      <c r="D18" s="15" t="s">
        <v>855</v>
      </c>
      <c r="E18" s="15" t="s">
        <v>856</v>
      </c>
      <c r="F18" s="16">
        <v>7</v>
      </c>
      <c r="G18" s="16">
        <v>780</v>
      </c>
      <c r="H18" s="16">
        <v>30</v>
      </c>
      <c r="I18" s="16">
        <f t="shared" si="0"/>
        <v>750</v>
      </c>
      <c r="J18" s="15" t="s">
        <v>812</v>
      </c>
      <c r="K18" s="15" t="s">
        <v>21</v>
      </c>
      <c r="L18" s="15" t="s">
        <v>813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857</v>
      </c>
      <c r="D19" s="15" t="s">
        <v>858</v>
      </c>
      <c r="E19" s="15" t="s">
        <v>859</v>
      </c>
      <c r="F19" s="16">
        <v>8</v>
      </c>
      <c r="G19" s="16">
        <v>890</v>
      </c>
      <c r="H19" s="16">
        <v>30</v>
      </c>
      <c r="I19" s="16">
        <f t="shared" si="0"/>
        <v>860</v>
      </c>
      <c r="J19" s="15" t="s">
        <v>812</v>
      </c>
      <c r="K19" s="15" t="s">
        <v>21</v>
      </c>
      <c r="L19" s="15" t="s">
        <v>813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860</v>
      </c>
      <c r="D20" s="15" t="s">
        <v>861</v>
      </c>
      <c r="E20" s="15" t="s">
        <v>862</v>
      </c>
      <c r="F20" s="16">
        <v>8</v>
      </c>
      <c r="G20" s="16">
        <v>900</v>
      </c>
      <c r="H20" s="16">
        <v>30</v>
      </c>
      <c r="I20" s="16">
        <f t="shared" si="0"/>
        <v>870</v>
      </c>
      <c r="J20" s="15" t="s">
        <v>812</v>
      </c>
      <c r="K20" s="15" t="s">
        <v>21</v>
      </c>
      <c r="L20" s="15" t="s">
        <v>813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863</v>
      </c>
      <c r="D21" s="15" t="s">
        <v>864</v>
      </c>
      <c r="E21" s="15" t="s">
        <v>865</v>
      </c>
      <c r="F21" s="15" t="s">
        <v>46</v>
      </c>
      <c r="G21" s="16">
        <v>845</v>
      </c>
      <c r="H21" s="16">
        <v>25</v>
      </c>
      <c r="I21" s="16">
        <f t="shared" si="0"/>
        <v>820</v>
      </c>
      <c r="J21" s="15" t="s">
        <v>812</v>
      </c>
      <c r="K21" s="15" t="s">
        <v>21</v>
      </c>
      <c r="L21" s="15" t="s">
        <v>813</v>
      </c>
      <c r="M21" s="15"/>
      <c r="N21" s="15"/>
      <c r="O21" s="15"/>
      <c r="P21" s="15"/>
      <c r="Q21" s="15">
        <v>1</v>
      </c>
    </row>
    <row r="22" spans="1:17" s="19" customFormat="1" x14ac:dyDescent="0.25">
      <c r="A22" s="17"/>
      <c r="B22" s="17" t="s">
        <v>17</v>
      </c>
      <c r="C22" s="17" t="s">
        <v>866</v>
      </c>
      <c r="D22" s="17" t="s">
        <v>867</v>
      </c>
      <c r="E22" s="17" t="s">
        <v>868</v>
      </c>
      <c r="F22" s="18">
        <v>7</v>
      </c>
      <c r="G22" s="18">
        <v>30</v>
      </c>
      <c r="H22" s="18">
        <v>30</v>
      </c>
      <c r="I22" s="18">
        <f t="shared" si="0"/>
        <v>0</v>
      </c>
      <c r="J22" s="17" t="s">
        <v>812</v>
      </c>
      <c r="K22" s="17" t="s">
        <v>21</v>
      </c>
      <c r="L22" s="17" t="s">
        <v>813</v>
      </c>
      <c r="M22" s="17" t="s">
        <v>126</v>
      </c>
      <c r="N22" s="17"/>
      <c r="O22" s="17"/>
      <c r="P22" s="17"/>
      <c r="Q22" s="17">
        <v>1</v>
      </c>
    </row>
    <row r="23" spans="1:17" x14ac:dyDescent="0.25">
      <c r="A23" s="15" t="s">
        <v>16</v>
      </c>
      <c r="B23" s="15" t="s">
        <v>17</v>
      </c>
      <c r="C23" s="15" t="s">
        <v>189</v>
      </c>
      <c r="D23" s="15"/>
      <c r="E23" s="15" t="s">
        <v>869</v>
      </c>
      <c r="F23" s="16">
        <v>5</v>
      </c>
      <c r="G23" s="16">
        <v>30</v>
      </c>
      <c r="H23" s="16">
        <v>30</v>
      </c>
      <c r="I23" s="16">
        <f t="shared" si="0"/>
        <v>0</v>
      </c>
      <c r="J23" s="15" t="s">
        <v>812</v>
      </c>
      <c r="K23" s="15" t="s">
        <v>21</v>
      </c>
      <c r="L23" s="15" t="s">
        <v>813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870</v>
      </c>
      <c r="D24" s="15"/>
      <c r="E24" s="15" t="s">
        <v>632</v>
      </c>
      <c r="F24" s="16">
        <v>6</v>
      </c>
      <c r="G24" s="16">
        <v>0</v>
      </c>
      <c r="H24" s="16">
        <v>30</v>
      </c>
      <c r="I24" s="16">
        <f t="shared" si="0"/>
        <v>-30</v>
      </c>
      <c r="J24" s="15" t="s">
        <v>812</v>
      </c>
      <c r="K24" s="15" t="s">
        <v>21</v>
      </c>
      <c r="L24" s="15" t="s">
        <v>813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871</v>
      </c>
      <c r="D25" s="15" t="s">
        <v>872</v>
      </c>
      <c r="E25" s="15" t="s">
        <v>873</v>
      </c>
      <c r="F25" s="15" t="s">
        <v>77</v>
      </c>
      <c r="G25" s="16">
        <v>975</v>
      </c>
      <c r="H25" s="16">
        <v>25</v>
      </c>
      <c r="I25" s="16">
        <f t="shared" si="0"/>
        <v>950</v>
      </c>
      <c r="J25" s="15" t="s">
        <v>21</v>
      </c>
      <c r="K25" s="15" t="s">
        <v>21</v>
      </c>
      <c r="L25" s="15" t="s">
        <v>813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874</v>
      </c>
      <c r="D26" s="15" t="s">
        <v>875</v>
      </c>
      <c r="E26" s="15" t="s">
        <v>876</v>
      </c>
      <c r="F26" s="16">
        <v>2</v>
      </c>
      <c r="G26" s="16">
        <v>850</v>
      </c>
      <c r="H26" s="16">
        <v>30</v>
      </c>
      <c r="I26" s="16">
        <f t="shared" si="0"/>
        <v>820</v>
      </c>
      <c r="J26" s="15" t="s">
        <v>21</v>
      </c>
      <c r="K26" s="15" t="s">
        <v>21</v>
      </c>
      <c r="L26" s="15" t="s">
        <v>813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877</v>
      </c>
      <c r="D27" s="15" t="s">
        <v>878</v>
      </c>
      <c r="E27" s="15" t="s">
        <v>879</v>
      </c>
      <c r="F27" s="16">
        <v>2</v>
      </c>
      <c r="G27" s="16">
        <v>400</v>
      </c>
      <c r="H27" s="16">
        <v>30</v>
      </c>
      <c r="I27" s="16">
        <f t="shared" si="0"/>
        <v>370</v>
      </c>
      <c r="J27" s="15" t="s">
        <v>21</v>
      </c>
      <c r="K27" s="15" t="s">
        <v>21</v>
      </c>
      <c r="L27" s="15" t="s">
        <v>813</v>
      </c>
      <c r="M27" s="15"/>
      <c r="N27" s="15"/>
      <c r="O27" s="15"/>
      <c r="P27" s="15"/>
      <c r="Q27" s="15">
        <v>1</v>
      </c>
    </row>
    <row r="28" spans="1:17" s="19" customFormat="1" x14ac:dyDescent="0.25">
      <c r="A28" s="17"/>
      <c r="B28" s="17" t="s">
        <v>17</v>
      </c>
      <c r="C28" s="17" t="s">
        <v>689</v>
      </c>
      <c r="D28" s="17" t="s">
        <v>880</v>
      </c>
      <c r="E28" s="17" t="s">
        <v>691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21</v>
      </c>
      <c r="K28" s="17" t="s">
        <v>21</v>
      </c>
      <c r="L28" s="17" t="s">
        <v>813</v>
      </c>
      <c r="M28" s="17" t="s">
        <v>126</v>
      </c>
      <c r="N28" s="17"/>
      <c r="O28" s="17"/>
      <c r="P28" s="17"/>
      <c r="Q28" s="17">
        <v>1</v>
      </c>
    </row>
    <row r="29" spans="1:17" x14ac:dyDescent="0.25">
      <c r="A29" s="15"/>
      <c r="B29" s="15" t="s">
        <v>17</v>
      </c>
      <c r="C29" s="15" t="s">
        <v>881</v>
      </c>
      <c r="D29" s="15" t="s">
        <v>882</v>
      </c>
      <c r="E29" s="15" t="s">
        <v>883</v>
      </c>
      <c r="F29" s="15" t="s">
        <v>85</v>
      </c>
      <c r="G29" s="16">
        <v>840</v>
      </c>
      <c r="H29" s="16">
        <v>20</v>
      </c>
      <c r="I29" s="16">
        <f t="shared" si="0"/>
        <v>820</v>
      </c>
      <c r="J29" s="15" t="s">
        <v>21</v>
      </c>
      <c r="K29" s="15" t="s">
        <v>21</v>
      </c>
      <c r="L29" s="15" t="s">
        <v>813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884</v>
      </c>
      <c r="D30" s="15" t="s">
        <v>885</v>
      </c>
      <c r="E30" s="15" t="s">
        <v>886</v>
      </c>
      <c r="F30" s="16">
        <v>2</v>
      </c>
      <c r="G30" s="16">
        <v>820</v>
      </c>
      <c r="H30" s="16">
        <v>30</v>
      </c>
      <c r="I30" s="16">
        <f t="shared" si="0"/>
        <v>790</v>
      </c>
      <c r="J30" s="15" t="s">
        <v>21</v>
      </c>
      <c r="K30" s="15" t="s">
        <v>21</v>
      </c>
      <c r="L30" s="15" t="s">
        <v>813</v>
      </c>
      <c r="M30" s="15"/>
      <c r="N30" s="15"/>
      <c r="O30" s="15"/>
      <c r="P30" s="15"/>
      <c r="Q30" s="15">
        <v>1</v>
      </c>
    </row>
    <row r="31" spans="1:17" x14ac:dyDescent="0.25">
      <c r="A31" s="15"/>
      <c r="B31" s="15" t="s">
        <v>17</v>
      </c>
      <c r="C31" s="15" t="s">
        <v>887</v>
      </c>
      <c r="D31" s="15" t="s">
        <v>888</v>
      </c>
      <c r="E31" s="15" t="s">
        <v>889</v>
      </c>
      <c r="F31" s="15" t="s">
        <v>85</v>
      </c>
      <c r="G31" s="16">
        <v>970</v>
      </c>
      <c r="H31" s="16">
        <v>20</v>
      </c>
      <c r="I31" s="16">
        <f t="shared" si="0"/>
        <v>950</v>
      </c>
      <c r="J31" s="15" t="s">
        <v>21</v>
      </c>
      <c r="K31" s="15" t="s">
        <v>21</v>
      </c>
      <c r="L31" s="15" t="s">
        <v>813</v>
      </c>
      <c r="M31" s="15"/>
      <c r="N31" s="15"/>
      <c r="O31" s="15"/>
      <c r="P31" s="15"/>
      <c r="Q31" s="15">
        <v>1</v>
      </c>
    </row>
    <row r="32" spans="1:17" x14ac:dyDescent="0.25">
      <c r="A32" s="15"/>
      <c r="B32" s="15" t="s">
        <v>17</v>
      </c>
      <c r="C32" s="15" t="s">
        <v>890</v>
      </c>
      <c r="D32" s="15" t="s">
        <v>891</v>
      </c>
      <c r="E32" s="15" t="s">
        <v>250</v>
      </c>
      <c r="F32" s="15" t="s">
        <v>77</v>
      </c>
      <c r="G32" s="16">
        <v>975</v>
      </c>
      <c r="H32" s="16">
        <v>25</v>
      </c>
      <c r="I32" s="16">
        <f t="shared" si="0"/>
        <v>950</v>
      </c>
      <c r="J32" s="15" t="s">
        <v>21</v>
      </c>
      <c r="K32" s="15" t="s">
        <v>21</v>
      </c>
      <c r="L32" s="15" t="s">
        <v>813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892</v>
      </c>
      <c r="D33" s="15" t="s">
        <v>893</v>
      </c>
      <c r="E33" s="15" t="s">
        <v>894</v>
      </c>
      <c r="F33" s="15" t="s">
        <v>81</v>
      </c>
      <c r="G33" s="16">
        <v>890</v>
      </c>
      <c r="H33" s="16">
        <v>30</v>
      </c>
      <c r="I33" s="16">
        <f t="shared" si="0"/>
        <v>860</v>
      </c>
      <c r="J33" s="15" t="s">
        <v>21</v>
      </c>
      <c r="K33" s="15" t="s">
        <v>21</v>
      </c>
      <c r="L33" s="15" t="s">
        <v>813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895</v>
      </c>
      <c r="D34" s="15" t="s">
        <v>896</v>
      </c>
      <c r="E34" s="15" t="s">
        <v>897</v>
      </c>
      <c r="F34" s="15" t="s">
        <v>85</v>
      </c>
      <c r="G34" s="16">
        <v>1300</v>
      </c>
      <c r="H34" s="16">
        <v>20</v>
      </c>
      <c r="I34" s="16">
        <f t="shared" si="0"/>
        <v>1280</v>
      </c>
      <c r="J34" s="15" t="s">
        <v>21</v>
      </c>
      <c r="K34" s="15" t="s">
        <v>21</v>
      </c>
      <c r="L34" s="15" t="s">
        <v>813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898</v>
      </c>
      <c r="D35" s="15" t="s">
        <v>899</v>
      </c>
      <c r="E35" s="15" t="s">
        <v>900</v>
      </c>
      <c r="F35" s="15" t="s">
        <v>81</v>
      </c>
      <c r="G35" s="16">
        <v>750</v>
      </c>
      <c r="H35" s="16">
        <v>30</v>
      </c>
      <c r="I35" s="16">
        <f t="shared" ref="I35:I62" si="1">G35-H35</f>
        <v>720</v>
      </c>
      <c r="J35" s="15" t="s">
        <v>21</v>
      </c>
      <c r="K35" s="15" t="s">
        <v>21</v>
      </c>
      <c r="L35" s="15" t="s">
        <v>813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773</v>
      </c>
      <c r="D36" s="15" t="s">
        <v>901</v>
      </c>
      <c r="E36" s="15" t="s">
        <v>902</v>
      </c>
      <c r="F36" s="16">
        <v>2</v>
      </c>
      <c r="G36" s="16">
        <v>380</v>
      </c>
      <c r="H36" s="16">
        <v>30</v>
      </c>
      <c r="I36" s="16">
        <f t="shared" si="1"/>
        <v>350</v>
      </c>
      <c r="J36" s="15" t="s">
        <v>21</v>
      </c>
      <c r="K36" s="15" t="s">
        <v>21</v>
      </c>
      <c r="L36" s="15" t="s">
        <v>813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903</v>
      </c>
      <c r="D37" s="15" t="s">
        <v>904</v>
      </c>
      <c r="E37" s="15" t="s">
        <v>905</v>
      </c>
      <c r="F37" s="15" t="s">
        <v>85</v>
      </c>
      <c r="G37" s="16">
        <v>0</v>
      </c>
      <c r="H37" s="16">
        <v>20</v>
      </c>
      <c r="I37" s="16">
        <f t="shared" si="1"/>
        <v>-20</v>
      </c>
      <c r="J37" s="15" t="s">
        <v>21</v>
      </c>
      <c r="K37" s="15" t="s">
        <v>21</v>
      </c>
      <c r="L37" s="15" t="s">
        <v>813</v>
      </c>
      <c r="M37" s="15"/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906</v>
      </c>
      <c r="D38" s="15" t="s">
        <v>907</v>
      </c>
      <c r="E38" s="15" t="s">
        <v>908</v>
      </c>
      <c r="F38" s="16">
        <v>2</v>
      </c>
      <c r="G38" s="16">
        <v>0</v>
      </c>
      <c r="H38" s="16">
        <v>30</v>
      </c>
      <c r="I38" s="16">
        <f t="shared" si="1"/>
        <v>-30</v>
      </c>
      <c r="J38" s="15" t="s">
        <v>21</v>
      </c>
      <c r="K38" s="15" t="s">
        <v>21</v>
      </c>
      <c r="L38" s="15" t="s">
        <v>813</v>
      </c>
      <c r="M38" s="15"/>
      <c r="N38" s="15"/>
      <c r="O38" s="15"/>
      <c r="P38" s="15"/>
      <c r="Q38" s="15">
        <v>1</v>
      </c>
    </row>
    <row r="39" spans="1:17" x14ac:dyDescent="0.25">
      <c r="A39" s="15" t="s">
        <v>16</v>
      </c>
      <c r="B39" s="15" t="s">
        <v>17</v>
      </c>
      <c r="C39" s="15" t="s">
        <v>909</v>
      </c>
      <c r="D39" s="15"/>
      <c r="E39" s="15" t="s">
        <v>910</v>
      </c>
      <c r="F39" s="15" t="s">
        <v>85</v>
      </c>
      <c r="G39" s="16">
        <v>455</v>
      </c>
      <c r="H39" s="16">
        <v>25</v>
      </c>
      <c r="I39" s="16">
        <f t="shared" si="1"/>
        <v>430</v>
      </c>
      <c r="J39" s="15" t="s">
        <v>21</v>
      </c>
      <c r="K39" s="15" t="s">
        <v>21</v>
      </c>
      <c r="L39" s="15" t="s">
        <v>813</v>
      </c>
      <c r="M39" s="15"/>
      <c r="N39" s="15"/>
      <c r="O39" s="15"/>
      <c r="P39" s="15"/>
      <c r="Q39" s="15">
        <v>1</v>
      </c>
    </row>
    <row r="40" spans="1:17" x14ac:dyDescent="0.25">
      <c r="A40" s="15" t="s">
        <v>16</v>
      </c>
      <c r="B40" s="15" t="s">
        <v>17</v>
      </c>
      <c r="C40" s="15" t="s">
        <v>911</v>
      </c>
      <c r="D40" s="15"/>
      <c r="E40" s="15" t="s">
        <v>912</v>
      </c>
      <c r="F40" s="16">
        <v>2</v>
      </c>
      <c r="G40" s="16">
        <v>1405</v>
      </c>
      <c r="H40" s="16">
        <v>35</v>
      </c>
      <c r="I40" s="16">
        <f t="shared" si="1"/>
        <v>1370</v>
      </c>
      <c r="J40" s="15" t="s">
        <v>21</v>
      </c>
      <c r="K40" s="15" t="s">
        <v>21</v>
      </c>
      <c r="L40" s="15" t="s">
        <v>813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913</v>
      </c>
      <c r="D41" s="15" t="s">
        <v>914</v>
      </c>
      <c r="E41" s="15" t="s">
        <v>915</v>
      </c>
      <c r="F41" s="16">
        <v>10</v>
      </c>
      <c r="G41" s="16">
        <v>685</v>
      </c>
      <c r="H41" s="16">
        <v>25</v>
      </c>
      <c r="I41" s="16">
        <f t="shared" si="1"/>
        <v>660</v>
      </c>
      <c r="J41" s="15" t="s">
        <v>135</v>
      </c>
      <c r="K41" s="15" t="s">
        <v>21</v>
      </c>
      <c r="L41" s="15" t="s">
        <v>813</v>
      </c>
      <c r="M41" s="15"/>
      <c r="N41" s="15"/>
      <c r="O41" s="15"/>
      <c r="P41" s="15"/>
      <c r="Q41" s="15">
        <v>1</v>
      </c>
    </row>
    <row r="42" spans="1:17" s="19" customFormat="1" x14ac:dyDescent="0.25">
      <c r="A42" s="17"/>
      <c r="B42" s="17" t="s">
        <v>17</v>
      </c>
      <c r="C42" s="17" t="s">
        <v>916</v>
      </c>
      <c r="D42" s="17" t="s">
        <v>917</v>
      </c>
      <c r="E42" s="17" t="s">
        <v>918</v>
      </c>
      <c r="F42" s="17" t="s">
        <v>406</v>
      </c>
      <c r="G42" s="18">
        <v>0</v>
      </c>
      <c r="H42" s="18">
        <v>20</v>
      </c>
      <c r="I42" s="18">
        <f t="shared" si="1"/>
        <v>-20</v>
      </c>
      <c r="J42" s="17" t="s">
        <v>135</v>
      </c>
      <c r="K42" s="17" t="s">
        <v>21</v>
      </c>
      <c r="L42" s="17" t="s">
        <v>813</v>
      </c>
      <c r="M42" s="17" t="s">
        <v>126</v>
      </c>
      <c r="N42" s="17"/>
      <c r="O42" s="17"/>
      <c r="P42" s="17"/>
      <c r="Q42" s="17">
        <v>1</v>
      </c>
    </row>
    <row r="43" spans="1:17" x14ac:dyDescent="0.25">
      <c r="A43" s="15"/>
      <c r="B43" s="15" t="s">
        <v>17</v>
      </c>
      <c r="C43" s="15" t="s">
        <v>919</v>
      </c>
      <c r="D43" s="15" t="s">
        <v>920</v>
      </c>
      <c r="E43" s="15" t="s">
        <v>921</v>
      </c>
      <c r="F43" s="15" t="s">
        <v>406</v>
      </c>
      <c r="G43" s="16">
        <v>1060</v>
      </c>
      <c r="H43" s="16">
        <v>20</v>
      </c>
      <c r="I43" s="16">
        <f t="shared" si="1"/>
        <v>1040</v>
      </c>
      <c r="J43" s="15" t="s">
        <v>135</v>
      </c>
      <c r="K43" s="15" t="s">
        <v>21</v>
      </c>
      <c r="L43" s="15" t="s">
        <v>813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922</v>
      </c>
      <c r="D44" s="15" t="s">
        <v>923</v>
      </c>
      <c r="E44" s="15" t="s">
        <v>924</v>
      </c>
      <c r="F44" s="16">
        <v>5</v>
      </c>
      <c r="G44" s="16">
        <v>0</v>
      </c>
      <c r="H44" s="16">
        <v>25</v>
      </c>
      <c r="I44" s="16">
        <f t="shared" si="1"/>
        <v>-25</v>
      </c>
      <c r="J44" s="15" t="s">
        <v>135</v>
      </c>
      <c r="K44" s="15" t="s">
        <v>21</v>
      </c>
      <c r="L44" s="15" t="s">
        <v>813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925</v>
      </c>
      <c r="D45" s="15" t="s">
        <v>926</v>
      </c>
      <c r="E45" s="15" t="s">
        <v>927</v>
      </c>
      <c r="F45" s="16">
        <v>3</v>
      </c>
      <c r="G45" s="16">
        <v>845</v>
      </c>
      <c r="H45" s="16">
        <v>25</v>
      </c>
      <c r="I45" s="16">
        <f t="shared" si="1"/>
        <v>820</v>
      </c>
      <c r="J45" s="15" t="s">
        <v>135</v>
      </c>
      <c r="K45" s="15" t="s">
        <v>21</v>
      </c>
      <c r="L45" s="15" t="s">
        <v>813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928</v>
      </c>
      <c r="D46" s="15" t="s">
        <v>929</v>
      </c>
      <c r="E46" s="15" t="s">
        <v>930</v>
      </c>
      <c r="F46" s="16">
        <v>1</v>
      </c>
      <c r="G46" s="16">
        <v>915</v>
      </c>
      <c r="H46" s="16">
        <v>25</v>
      </c>
      <c r="I46" s="16">
        <f t="shared" si="1"/>
        <v>890</v>
      </c>
      <c r="J46" s="15" t="s">
        <v>135</v>
      </c>
      <c r="K46" s="15" t="s">
        <v>21</v>
      </c>
      <c r="L46" s="15" t="s">
        <v>813</v>
      </c>
      <c r="M46" s="15"/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931</v>
      </c>
      <c r="D47" s="15" t="s">
        <v>932</v>
      </c>
      <c r="E47" s="15" t="s">
        <v>933</v>
      </c>
      <c r="F47" s="16">
        <v>1</v>
      </c>
      <c r="G47" s="16">
        <v>1135</v>
      </c>
      <c r="H47" s="16">
        <v>25</v>
      </c>
      <c r="I47" s="16">
        <f t="shared" si="1"/>
        <v>1110</v>
      </c>
      <c r="J47" s="15" t="s">
        <v>135</v>
      </c>
      <c r="K47" s="15" t="s">
        <v>21</v>
      </c>
      <c r="L47" s="15" t="s">
        <v>813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934</v>
      </c>
      <c r="D48" s="15" t="s">
        <v>935</v>
      </c>
      <c r="E48" s="15" t="s">
        <v>936</v>
      </c>
      <c r="F48" s="16">
        <v>4</v>
      </c>
      <c r="G48" s="16">
        <v>1065</v>
      </c>
      <c r="H48" s="16">
        <v>25</v>
      </c>
      <c r="I48" s="16">
        <f t="shared" si="1"/>
        <v>1040</v>
      </c>
      <c r="J48" s="15" t="s">
        <v>135</v>
      </c>
      <c r="K48" s="15" t="s">
        <v>21</v>
      </c>
      <c r="L48" s="15" t="s">
        <v>813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937</v>
      </c>
      <c r="D49" s="15" t="s">
        <v>938</v>
      </c>
      <c r="E49" s="15" t="s">
        <v>939</v>
      </c>
      <c r="F49" s="16">
        <v>4</v>
      </c>
      <c r="G49" s="16">
        <v>465</v>
      </c>
      <c r="H49" s="16">
        <v>25</v>
      </c>
      <c r="I49" s="16">
        <f t="shared" si="1"/>
        <v>440</v>
      </c>
      <c r="J49" s="15" t="s">
        <v>135</v>
      </c>
      <c r="K49" s="15" t="s">
        <v>21</v>
      </c>
      <c r="L49" s="15" t="s">
        <v>813</v>
      </c>
      <c r="M49" s="15"/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940</v>
      </c>
      <c r="D50" s="15" t="s">
        <v>941</v>
      </c>
      <c r="E50" s="15" t="s">
        <v>942</v>
      </c>
      <c r="F50" s="16">
        <v>3</v>
      </c>
      <c r="G50" s="16">
        <v>815</v>
      </c>
      <c r="H50" s="16">
        <v>25</v>
      </c>
      <c r="I50" s="16">
        <f t="shared" si="1"/>
        <v>790</v>
      </c>
      <c r="J50" s="15" t="s">
        <v>135</v>
      </c>
      <c r="K50" s="15" t="s">
        <v>21</v>
      </c>
      <c r="L50" s="15" t="s">
        <v>813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943</v>
      </c>
      <c r="D51" s="15" t="s">
        <v>944</v>
      </c>
      <c r="E51" s="15" t="s">
        <v>945</v>
      </c>
      <c r="F51" s="15" t="s">
        <v>95</v>
      </c>
      <c r="G51" s="16">
        <v>845</v>
      </c>
      <c r="H51" s="16">
        <v>25</v>
      </c>
      <c r="I51" s="16">
        <f t="shared" si="1"/>
        <v>820</v>
      </c>
      <c r="J51" s="15" t="s">
        <v>135</v>
      </c>
      <c r="K51" s="15" t="s">
        <v>21</v>
      </c>
      <c r="L51" s="15" t="s">
        <v>813</v>
      </c>
      <c r="M51" s="15"/>
      <c r="N51" s="15"/>
      <c r="O51" s="15"/>
      <c r="P51" s="15"/>
      <c r="Q51" s="15">
        <v>1</v>
      </c>
    </row>
    <row r="52" spans="1:17" x14ac:dyDescent="0.25">
      <c r="A52" s="15"/>
      <c r="B52" s="15" t="s">
        <v>17</v>
      </c>
      <c r="C52" s="15" t="s">
        <v>946</v>
      </c>
      <c r="D52" s="15" t="s">
        <v>947</v>
      </c>
      <c r="E52" s="15" t="s">
        <v>948</v>
      </c>
      <c r="F52" s="16">
        <v>10</v>
      </c>
      <c r="G52" s="16">
        <v>3360</v>
      </c>
      <c r="H52" s="16">
        <v>35</v>
      </c>
      <c r="I52" s="16">
        <f t="shared" si="1"/>
        <v>3325</v>
      </c>
      <c r="J52" s="15" t="s">
        <v>135</v>
      </c>
      <c r="K52" s="15" t="s">
        <v>21</v>
      </c>
      <c r="L52" s="15" t="s">
        <v>813</v>
      </c>
      <c r="M52" s="20" t="s">
        <v>167</v>
      </c>
      <c r="N52" s="15"/>
      <c r="O52" s="15"/>
      <c r="P52" s="15"/>
      <c r="Q52" s="15">
        <v>1</v>
      </c>
    </row>
    <row r="53" spans="1:17" x14ac:dyDescent="0.25">
      <c r="A53" s="15"/>
      <c r="B53" s="15" t="s">
        <v>17</v>
      </c>
      <c r="C53" s="15" t="s">
        <v>585</v>
      </c>
      <c r="D53" s="15" t="s">
        <v>949</v>
      </c>
      <c r="E53" s="15" t="s">
        <v>587</v>
      </c>
      <c r="F53" s="15" t="s">
        <v>95</v>
      </c>
      <c r="G53" s="16">
        <v>895</v>
      </c>
      <c r="H53" s="16">
        <v>25</v>
      </c>
      <c r="I53" s="16">
        <f t="shared" si="1"/>
        <v>870</v>
      </c>
      <c r="J53" s="15" t="s">
        <v>135</v>
      </c>
      <c r="K53" s="15" t="s">
        <v>21</v>
      </c>
      <c r="L53" s="15" t="s">
        <v>813</v>
      </c>
      <c r="M53" s="15"/>
      <c r="N53" s="15"/>
      <c r="O53" s="15"/>
      <c r="P53" s="15"/>
      <c r="Q53" s="15">
        <v>1</v>
      </c>
    </row>
    <row r="54" spans="1:17" x14ac:dyDescent="0.25">
      <c r="A54" s="15"/>
      <c r="B54" s="15" t="s">
        <v>17</v>
      </c>
      <c r="C54" s="15" t="s">
        <v>950</v>
      </c>
      <c r="D54" s="15" t="s">
        <v>951</v>
      </c>
      <c r="E54" s="15" t="s">
        <v>952</v>
      </c>
      <c r="F54" s="15" t="s">
        <v>95</v>
      </c>
      <c r="G54" s="16">
        <v>795</v>
      </c>
      <c r="H54" s="16">
        <v>25</v>
      </c>
      <c r="I54" s="16">
        <f t="shared" si="1"/>
        <v>770</v>
      </c>
      <c r="J54" s="15" t="s">
        <v>135</v>
      </c>
      <c r="K54" s="15" t="s">
        <v>21</v>
      </c>
      <c r="L54" s="15" t="s">
        <v>813</v>
      </c>
      <c r="M54" s="15"/>
      <c r="N54" s="15"/>
      <c r="O54" s="15"/>
      <c r="P54" s="15"/>
      <c r="Q54" s="15">
        <v>1</v>
      </c>
    </row>
    <row r="55" spans="1:17" x14ac:dyDescent="0.25">
      <c r="A55" s="15"/>
      <c r="B55" s="15" t="s">
        <v>17</v>
      </c>
      <c r="C55" s="15" t="s">
        <v>953</v>
      </c>
      <c r="D55" s="15" t="s">
        <v>954</v>
      </c>
      <c r="E55" s="15" t="s">
        <v>955</v>
      </c>
      <c r="F55" s="16">
        <v>5</v>
      </c>
      <c r="G55" s="16">
        <v>0</v>
      </c>
      <c r="H55" s="16">
        <v>25</v>
      </c>
      <c r="I55" s="16">
        <f t="shared" si="1"/>
        <v>-25</v>
      </c>
      <c r="J55" s="15" t="s">
        <v>135</v>
      </c>
      <c r="K55" s="15" t="s">
        <v>21</v>
      </c>
      <c r="L55" s="15" t="s">
        <v>813</v>
      </c>
      <c r="M55" s="15"/>
      <c r="N55" s="15"/>
      <c r="O55" s="15"/>
      <c r="P55" s="15"/>
      <c r="Q55" s="15">
        <v>1</v>
      </c>
    </row>
    <row r="56" spans="1:17" x14ac:dyDescent="0.25">
      <c r="A56" s="15"/>
      <c r="B56" s="15" t="s">
        <v>17</v>
      </c>
      <c r="C56" s="15" t="s">
        <v>956</v>
      </c>
      <c r="D56" s="15" t="s">
        <v>957</v>
      </c>
      <c r="E56" s="15" t="s">
        <v>958</v>
      </c>
      <c r="F56" s="16">
        <v>1</v>
      </c>
      <c r="G56" s="16">
        <v>865</v>
      </c>
      <c r="H56" s="16">
        <v>25</v>
      </c>
      <c r="I56" s="16">
        <f t="shared" si="1"/>
        <v>840</v>
      </c>
      <c r="J56" s="15" t="s">
        <v>135</v>
      </c>
      <c r="K56" s="15" t="s">
        <v>21</v>
      </c>
      <c r="L56" s="15" t="s">
        <v>813</v>
      </c>
      <c r="M56" s="15"/>
      <c r="N56" s="15"/>
      <c r="O56" s="15"/>
      <c r="P56" s="15"/>
      <c r="Q56" s="15">
        <v>1</v>
      </c>
    </row>
    <row r="57" spans="1:17" x14ac:dyDescent="0.25">
      <c r="A57" s="15"/>
      <c r="B57" s="15" t="s">
        <v>17</v>
      </c>
      <c r="C57" s="15" t="s">
        <v>959</v>
      </c>
      <c r="D57" s="15" t="s">
        <v>960</v>
      </c>
      <c r="E57" s="15" t="s">
        <v>961</v>
      </c>
      <c r="F57" s="15" t="s">
        <v>95</v>
      </c>
      <c r="G57" s="16">
        <v>915</v>
      </c>
      <c r="H57" s="16">
        <v>25</v>
      </c>
      <c r="I57" s="16">
        <f t="shared" si="1"/>
        <v>890</v>
      </c>
      <c r="J57" s="15" t="s">
        <v>135</v>
      </c>
      <c r="K57" s="15" t="s">
        <v>21</v>
      </c>
      <c r="L57" s="15" t="s">
        <v>813</v>
      </c>
      <c r="M57" s="15"/>
      <c r="N57" s="15"/>
      <c r="O57" s="15"/>
      <c r="P57" s="15"/>
      <c r="Q57" s="15">
        <v>1</v>
      </c>
    </row>
    <row r="58" spans="1:17" x14ac:dyDescent="0.25">
      <c r="A58" s="15"/>
      <c r="B58" s="15" t="s">
        <v>17</v>
      </c>
      <c r="C58" s="15" t="s">
        <v>962</v>
      </c>
      <c r="D58" s="15" t="s">
        <v>963</v>
      </c>
      <c r="E58" s="15" t="s">
        <v>964</v>
      </c>
      <c r="F58" s="16">
        <v>4</v>
      </c>
      <c r="G58" s="16">
        <v>715</v>
      </c>
      <c r="H58" s="16">
        <v>25</v>
      </c>
      <c r="I58" s="16">
        <f t="shared" si="1"/>
        <v>690</v>
      </c>
      <c r="J58" s="15" t="s">
        <v>135</v>
      </c>
      <c r="K58" s="15" t="s">
        <v>21</v>
      </c>
      <c r="L58" s="15" t="s">
        <v>813</v>
      </c>
      <c r="M58" s="15"/>
      <c r="N58" s="15"/>
      <c r="O58" s="15"/>
      <c r="P58" s="15"/>
      <c r="Q58" s="15">
        <v>1</v>
      </c>
    </row>
    <row r="59" spans="1:17" s="2" customFormat="1" x14ac:dyDescent="0.25">
      <c r="A59" s="21"/>
      <c r="B59" s="21" t="s">
        <v>17</v>
      </c>
      <c r="C59" s="21" t="s">
        <v>337</v>
      </c>
      <c r="D59" s="21" t="s">
        <v>338</v>
      </c>
      <c r="E59" s="21" t="s">
        <v>339</v>
      </c>
      <c r="F59" s="22">
        <v>8</v>
      </c>
      <c r="G59" s="22">
        <v>690</v>
      </c>
      <c r="H59" s="22">
        <v>30</v>
      </c>
      <c r="I59" s="22">
        <f t="shared" si="1"/>
        <v>660</v>
      </c>
      <c r="J59" s="21" t="s">
        <v>271</v>
      </c>
      <c r="K59" s="21" t="s">
        <v>21</v>
      </c>
      <c r="L59" s="21" t="s">
        <v>293</v>
      </c>
      <c r="M59" s="21" t="s">
        <v>204</v>
      </c>
      <c r="N59" s="21" t="s">
        <v>272</v>
      </c>
      <c r="O59" s="21" t="s">
        <v>272</v>
      </c>
      <c r="P59" s="21" t="s">
        <v>273</v>
      </c>
      <c r="Q59" s="22">
        <v>1</v>
      </c>
    </row>
    <row r="60" spans="1:17" s="2" customFormat="1" x14ac:dyDescent="0.25">
      <c r="A60" s="21"/>
      <c r="B60" s="21" t="s">
        <v>17</v>
      </c>
      <c r="C60" s="21" t="s">
        <v>47</v>
      </c>
      <c r="D60" s="21" t="s">
        <v>48</v>
      </c>
      <c r="E60" s="21" t="s">
        <v>49</v>
      </c>
      <c r="F60" s="21" t="s">
        <v>26</v>
      </c>
      <c r="G60" s="22">
        <v>720</v>
      </c>
      <c r="H60" s="22">
        <v>30</v>
      </c>
      <c r="I60" s="22">
        <f t="shared" si="1"/>
        <v>690</v>
      </c>
      <c r="J60" s="21" t="s">
        <v>271</v>
      </c>
      <c r="K60" s="21" t="s">
        <v>21</v>
      </c>
      <c r="L60" s="21" t="s">
        <v>22</v>
      </c>
      <c r="M60" s="21" t="s">
        <v>204</v>
      </c>
      <c r="N60" s="21" t="s">
        <v>272</v>
      </c>
      <c r="O60" s="21" t="s">
        <v>272</v>
      </c>
      <c r="P60" s="21" t="s">
        <v>273</v>
      </c>
      <c r="Q60" s="22">
        <v>1</v>
      </c>
    </row>
    <row r="61" spans="1:17" s="2" customFormat="1" x14ac:dyDescent="0.25">
      <c r="A61" s="21"/>
      <c r="B61" s="21" t="s">
        <v>17</v>
      </c>
      <c r="C61" s="21" t="s">
        <v>965</v>
      </c>
      <c r="D61" s="21" t="s">
        <v>966</v>
      </c>
      <c r="E61" s="21" t="s">
        <v>967</v>
      </c>
      <c r="F61" s="22">
        <v>7</v>
      </c>
      <c r="G61" s="22">
        <v>690</v>
      </c>
      <c r="H61" s="22">
        <v>30</v>
      </c>
      <c r="I61" s="22">
        <f t="shared" si="1"/>
        <v>660</v>
      </c>
      <c r="J61" s="21" t="s">
        <v>271</v>
      </c>
      <c r="K61" s="21" t="s">
        <v>21</v>
      </c>
      <c r="L61" s="21" t="s">
        <v>285</v>
      </c>
      <c r="M61" s="21" t="s">
        <v>204</v>
      </c>
      <c r="N61" s="21" t="s">
        <v>272</v>
      </c>
      <c r="O61" s="21" t="s">
        <v>272</v>
      </c>
      <c r="P61" s="21" t="s">
        <v>273</v>
      </c>
      <c r="Q61" s="22">
        <v>1</v>
      </c>
    </row>
    <row r="62" spans="1:17" s="2" customFormat="1" x14ac:dyDescent="0.25">
      <c r="A62" s="21"/>
      <c r="B62" s="21" t="s">
        <v>17</v>
      </c>
      <c r="C62" s="21" t="s">
        <v>968</v>
      </c>
      <c r="D62" s="21" t="s">
        <v>969</v>
      </c>
      <c r="E62" s="21" t="s">
        <v>970</v>
      </c>
      <c r="F62" s="22">
        <v>7</v>
      </c>
      <c r="G62" s="22">
        <v>1380</v>
      </c>
      <c r="H62" s="22">
        <v>30</v>
      </c>
      <c r="I62" s="22">
        <f t="shared" si="1"/>
        <v>1350</v>
      </c>
      <c r="J62" s="21" t="s">
        <v>271</v>
      </c>
      <c r="K62" s="21" t="s">
        <v>21</v>
      </c>
      <c r="L62" s="21" t="s">
        <v>971</v>
      </c>
      <c r="M62" s="21" t="s">
        <v>204</v>
      </c>
      <c r="N62" s="21" t="s">
        <v>272</v>
      </c>
      <c r="O62" s="21" t="s">
        <v>272</v>
      </c>
      <c r="P62" s="21" t="s">
        <v>273</v>
      </c>
      <c r="Q62" s="22">
        <v>1</v>
      </c>
    </row>
    <row r="64" spans="1:17" x14ac:dyDescent="0.25">
      <c r="D64" s="1">
        <f>COUNTA(D3:D62)</f>
        <v>55</v>
      </c>
      <c r="G64" s="1">
        <f t="shared" ref="G64:Q64" si="2">SUBTOTAL(9,G3:G62)</f>
        <v>43390</v>
      </c>
      <c r="H64" s="1">
        <f t="shared" si="2"/>
        <v>1660</v>
      </c>
      <c r="I64" s="1">
        <f t="shared" si="2"/>
        <v>41730</v>
      </c>
      <c r="J64" s="1">
        <f t="shared" si="2"/>
        <v>0</v>
      </c>
      <c r="K64" s="1">
        <f t="shared" si="2"/>
        <v>0</v>
      </c>
      <c r="L64" s="1">
        <f t="shared" si="2"/>
        <v>0</v>
      </c>
      <c r="M64" s="1">
        <f t="shared" si="2"/>
        <v>0</v>
      </c>
      <c r="N64" s="1">
        <f t="shared" si="2"/>
        <v>0</v>
      </c>
      <c r="O64" s="1">
        <f t="shared" si="2"/>
        <v>0</v>
      </c>
      <c r="P64" s="1">
        <f t="shared" si="2"/>
        <v>0</v>
      </c>
      <c r="Q64" s="1">
        <f t="shared" si="2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1" t="s">
        <v>17</v>
      </c>
      <c r="C66" s="40" t="s">
        <v>191</v>
      </c>
      <c r="D66" s="40"/>
      <c r="E66" s="4" t="s">
        <v>192</v>
      </c>
      <c r="H66">
        <f>-5*25</f>
        <v>-125</v>
      </c>
      <c r="I66">
        <f>3*17</f>
        <v>51</v>
      </c>
      <c r="K66" s="11" t="s">
        <v>135</v>
      </c>
      <c r="L66" s="11" t="s">
        <v>193</v>
      </c>
      <c r="M66" s="11" t="s">
        <v>192</v>
      </c>
      <c r="O66" s="4" t="s">
        <v>194</v>
      </c>
    </row>
    <row r="67" spans="1:16" x14ac:dyDescent="0.25">
      <c r="A67" t="s">
        <v>813</v>
      </c>
      <c r="B67" s="3" t="s">
        <v>195</v>
      </c>
      <c r="C67" s="41">
        <f>SUMIFS(I$3:I$62,B$3:B$62,A$66,L$3:L$62,A$67)</f>
        <v>38370</v>
      </c>
      <c r="D67" s="41"/>
      <c r="E67" s="3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2" t="s">
        <v>199</v>
      </c>
      <c r="C68" s="42">
        <v>0</v>
      </c>
      <c r="D68" s="42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972</v>
      </c>
      <c r="P68">
        <f>L80</f>
        <v>9636</v>
      </c>
    </row>
    <row r="69" spans="1:16" x14ac:dyDescent="0.25">
      <c r="B69" s="2" t="s">
        <v>201</v>
      </c>
      <c r="C69" s="42">
        <f>-SUMIFS(I$3:I$62,B$3:B$62,A$66,P$3:P$62,"xx",N$3:N$62,"x")</f>
        <v>-3360</v>
      </c>
      <c r="D69" s="42"/>
      <c r="E69" s="2">
        <f>SUMIFS(Q$3:Q$62,B$3:B$62,A$66,P$3:P$62,"xx",N$3:N$62,"x")</f>
        <v>4</v>
      </c>
      <c r="K69" t="s">
        <v>202</v>
      </c>
      <c r="O69" t="s">
        <v>21</v>
      </c>
      <c r="P69">
        <f>L88</f>
        <v>10556</v>
      </c>
    </row>
    <row r="70" spans="1:16" x14ac:dyDescent="0.25">
      <c r="B70" s="4" t="s">
        <v>203</v>
      </c>
      <c r="C70" s="40">
        <f>SUBTOTAL(9,C67:C69)</f>
        <v>35010</v>
      </c>
      <c r="D70" s="40"/>
      <c r="E70">
        <f>E67</f>
        <v>56</v>
      </c>
      <c r="K70" s="2" t="s">
        <v>204</v>
      </c>
      <c r="O70" t="s">
        <v>207</v>
      </c>
      <c r="P70">
        <f>-C74</f>
        <v>-35010</v>
      </c>
    </row>
    <row r="71" spans="1:16" x14ac:dyDescent="0.25">
      <c r="B71" s="2" t="s">
        <v>205</v>
      </c>
      <c r="C71" s="38"/>
      <c r="D71" s="38"/>
      <c r="K71" s="2" t="s">
        <v>206</v>
      </c>
      <c r="O71" s="4" t="s">
        <v>209</v>
      </c>
      <c r="P71" s="4">
        <f>SUBTOTAL(9,P67:P70)</f>
        <v>197</v>
      </c>
    </row>
    <row r="72" spans="1:16" x14ac:dyDescent="0.25">
      <c r="B72" s="12" t="s">
        <v>208</v>
      </c>
      <c r="C72" s="38"/>
      <c r="D72" s="38"/>
      <c r="L72" s="13">
        <f>SUBTOTAL(9,L67:L71)</f>
        <v>15015</v>
      </c>
      <c r="M72" s="13">
        <f>M67</f>
        <v>18</v>
      </c>
    </row>
    <row r="74" spans="1:16" x14ac:dyDescent="0.25">
      <c r="B74" s="1" t="s">
        <v>210</v>
      </c>
      <c r="C74" s="39">
        <f>C70+C71+C72</f>
        <v>35010</v>
      </c>
      <c r="D74" s="39"/>
      <c r="E74" s="1" t="s">
        <v>211</v>
      </c>
      <c r="K74" s="11" t="s">
        <v>812</v>
      </c>
      <c r="L74" s="11" t="s">
        <v>193</v>
      </c>
      <c r="M74" s="11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2" t="s">
        <v>204</v>
      </c>
      <c r="L78" s="23">
        <v>-3436</v>
      </c>
      <c r="M78" s="23" t="s">
        <v>973</v>
      </c>
    </row>
    <row r="79" spans="1:16" x14ac:dyDescent="0.25">
      <c r="K79" s="2" t="s">
        <v>206</v>
      </c>
    </row>
    <row r="80" spans="1:16" x14ac:dyDescent="0.25">
      <c r="L80" s="13">
        <f>SUBTOTAL(9,L75:L79)</f>
        <v>9636</v>
      </c>
      <c r="M80" s="13">
        <f>M75</f>
        <v>22</v>
      </c>
    </row>
    <row r="82" spans="11:13" x14ac:dyDescent="0.25">
      <c r="K82" s="11" t="s">
        <v>21</v>
      </c>
      <c r="L82" s="11" t="s">
        <v>193</v>
      </c>
      <c r="M82" s="11" t="s">
        <v>192</v>
      </c>
    </row>
    <row r="83" spans="11:13" x14ac:dyDescent="0.25">
      <c r="K83" t="s">
        <v>197</v>
      </c>
      <c r="L83">
        <f>SUMIFS(G$3:G$62,J$3:J$62,K$82)</f>
        <v>11010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2" t="s">
        <v>204</v>
      </c>
    </row>
    <row r="87" spans="11:13" x14ac:dyDescent="0.25">
      <c r="K87" s="2" t="s">
        <v>206</v>
      </c>
    </row>
    <row r="88" spans="11:13" x14ac:dyDescent="0.25">
      <c r="L88" s="13">
        <f>SUBTOTAL(9,L83:L87)</f>
        <v>10556</v>
      </c>
      <c r="M88" s="13">
        <f>M83</f>
        <v>16</v>
      </c>
    </row>
  </sheetData>
  <autoFilter ref="A2:P62" xr:uid="{00000000-0009-0000-0000-000007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63"/>
  <sheetViews>
    <sheetView topLeftCell="A10" zoomScale="90" zoomScaleNormal="90" workbookViewId="0">
      <selection activeCell="K21" sqref="K21"/>
    </sheetView>
  </sheetViews>
  <sheetFormatPr defaultRowHeight="15" x14ac:dyDescent="0.25"/>
  <cols>
    <col min="1" max="1" width="12.7109375" customWidth="1"/>
    <col min="2" max="2" width="17.7109375" customWidth="1"/>
    <col min="3" max="3" width="21" customWidth="1"/>
    <col min="4" max="4" width="27.5703125" bestFit="1" customWidth="1"/>
    <col min="5" max="5" width="79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974</v>
      </c>
      <c r="D3" s="15" t="s">
        <v>975</v>
      </c>
      <c r="E3" s="15" t="s">
        <v>976</v>
      </c>
      <c r="F3" s="16">
        <v>9</v>
      </c>
      <c r="G3" s="16">
        <v>820</v>
      </c>
      <c r="H3" s="16">
        <v>30</v>
      </c>
      <c r="I3" s="16">
        <f t="shared" ref="I3:I28" si="0">G3-H3</f>
        <v>790</v>
      </c>
      <c r="J3" s="15" t="s">
        <v>20</v>
      </c>
      <c r="K3" s="15" t="s">
        <v>21</v>
      </c>
      <c r="L3" s="15" t="s">
        <v>977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978</v>
      </c>
      <c r="D4" s="15" t="s">
        <v>979</v>
      </c>
      <c r="E4" s="15" t="s">
        <v>980</v>
      </c>
      <c r="F4" s="16">
        <v>8</v>
      </c>
      <c r="G4" s="16">
        <v>1020</v>
      </c>
      <c r="H4" s="16">
        <v>30</v>
      </c>
      <c r="I4" s="16">
        <f t="shared" si="0"/>
        <v>990</v>
      </c>
      <c r="J4" s="15" t="s">
        <v>981</v>
      </c>
      <c r="K4" s="15" t="s">
        <v>21</v>
      </c>
      <c r="L4" s="15" t="s">
        <v>977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982</v>
      </c>
      <c r="D5" s="15" t="s">
        <v>983</v>
      </c>
      <c r="E5" s="15" t="s">
        <v>984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981</v>
      </c>
      <c r="K5" s="15" t="s">
        <v>21</v>
      </c>
      <c r="L5" s="15" t="s">
        <v>977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985</v>
      </c>
      <c r="D6" s="15" t="s">
        <v>986</v>
      </c>
      <c r="E6" s="15" t="s">
        <v>987</v>
      </c>
      <c r="F6" s="16">
        <v>7</v>
      </c>
      <c r="G6" s="16">
        <v>400</v>
      </c>
      <c r="H6" s="16">
        <v>30</v>
      </c>
      <c r="I6" s="16">
        <f t="shared" si="0"/>
        <v>370</v>
      </c>
      <c r="J6" s="15" t="s">
        <v>981</v>
      </c>
      <c r="K6" s="15" t="s">
        <v>21</v>
      </c>
      <c r="L6" s="15" t="s">
        <v>977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988</v>
      </c>
      <c r="D7" s="15" t="s">
        <v>989</v>
      </c>
      <c r="E7" s="15" t="s">
        <v>990</v>
      </c>
      <c r="F7" s="15" t="s">
        <v>26</v>
      </c>
      <c r="G7" s="16">
        <v>920</v>
      </c>
      <c r="H7" s="16">
        <v>30</v>
      </c>
      <c r="I7" s="16">
        <f t="shared" si="0"/>
        <v>890</v>
      </c>
      <c r="J7" s="15" t="s">
        <v>981</v>
      </c>
      <c r="K7" s="15" t="s">
        <v>21</v>
      </c>
      <c r="L7" s="15" t="s">
        <v>977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991</v>
      </c>
      <c r="D8" s="15" t="s">
        <v>992</v>
      </c>
      <c r="E8" s="15" t="s">
        <v>993</v>
      </c>
      <c r="F8" s="16">
        <v>7</v>
      </c>
      <c r="G8" s="16">
        <v>920</v>
      </c>
      <c r="H8" s="16">
        <v>30</v>
      </c>
      <c r="I8" s="16">
        <f t="shared" si="0"/>
        <v>890</v>
      </c>
      <c r="J8" s="15" t="s">
        <v>981</v>
      </c>
      <c r="K8" s="15" t="s">
        <v>21</v>
      </c>
      <c r="L8" s="15" t="s">
        <v>977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994</v>
      </c>
      <c r="D9" s="15" t="s">
        <v>995</v>
      </c>
      <c r="E9" s="15" t="s">
        <v>996</v>
      </c>
      <c r="F9" s="16">
        <v>8</v>
      </c>
      <c r="G9" s="16">
        <v>980</v>
      </c>
      <c r="H9" s="16">
        <v>30</v>
      </c>
      <c r="I9" s="16">
        <f t="shared" si="0"/>
        <v>950</v>
      </c>
      <c r="J9" s="15" t="s">
        <v>981</v>
      </c>
      <c r="K9" s="15" t="s">
        <v>21</v>
      </c>
      <c r="L9" s="15" t="s">
        <v>977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549</v>
      </c>
      <c r="D10" s="15" t="s">
        <v>997</v>
      </c>
      <c r="E10" s="15" t="s">
        <v>998</v>
      </c>
      <c r="F10" s="16">
        <v>8</v>
      </c>
      <c r="G10" s="16">
        <v>900</v>
      </c>
      <c r="H10" s="16">
        <v>30</v>
      </c>
      <c r="I10" s="16">
        <f t="shared" si="0"/>
        <v>870</v>
      </c>
      <c r="J10" s="15" t="s">
        <v>981</v>
      </c>
      <c r="K10" s="15" t="s">
        <v>21</v>
      </c>
      <c r="L10" s="15" t="s">
        <v>977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999</v>
      </c>
      <c r="D11" s="15" t="s">
        <v>1000</v>
      </c>
      <c r="E11" s="15" t="s">
        <v>1001</v>
      </c>
      <c r="F11" s="15" t="s">
        <v>26</v>
      </c>
      <c r="G11" s="16">
        <v>670</v>
      </c>
      <c r="H11" s="16">
        <v>30</v>
      </c>
      <c r="I11" s="16">
        <f t="shared" si="0"/>
        <v>640</v>
      </c>
      <c r="J11" s="15" t="s">
        <v>981</v>
      </c>
      <c r="K11" s="15" t="s">
        <v>21</v>
      </c>
      <c r="L11" s="15" t="s">
        <v>977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1002</v>
      </c>
      <c r="D12" s="15" t="s">
        <v>1003</v>
      </c>
      <c r="E12" s="15" t="s">
        <v>1004</v>
      </c>
      <c r="F12" s="15" t="s">
        <v>26</v>
      </c>
      <c r="G12" s="16">
        <v>920</v>
      </c>
      <c r="H12" s="16">
        <v>30</v>
      </c>
      <c r="I12" s="16">
        <f t="shared" si="0"/>
        <v>890</v>
      </c>
      <c r="J12" s="15" t="s">
        <v>981</v>
      </c>
      <c r="K12" s="15" t="s">
        <v>21</v>
      </c>
      <c r="L12" s="15" t="s">
        <v>977</v>
      </c>
      <c r="M12" s="15"/>
      <c r="N12" s="15"/>
      <c r="O12" s="15"/>
      <c r="P12" s="15"/>
      <c r="Q12" s="15">
        <v>1</v>
      </c>
    </row>
    <row r="13" spans="1:18" s="30" customFormat="1" x14ac:dyDescent="0.25">
      <c r="A13" s="28"/>
      <c r="B13" s="28" t="s">
        <v>17</v>
      </c>
      <c r="C13" s="28" t="s">
        <v>959</v>
      </c>
      <c r="D13" s="28" t="s">
        <v>960</v>
      </c>
      <c r="E13" s="28" t="s">
        <v>961</v>
      </c>
      <c r="F13" s="28" t="s">
        <v>95</v>
      </c>
      <c r="G13" s="29">
        <v>915</v>
      </c>
      <c r="H13" s="29">
        <v>25</v>
      </c>
      <c r="I13" s="29">
        <f t="shared" si="0"/>
        <v>890</v>
      </c>
      <c r="J13" s="28" t="s">
        <v>981</v>
      </c>
      <c r="K13" s="28" t="s">
        <v>21</v>
      </c>
      <c r="L13" s="28" t="s">
        <v>813</v>
      </c>
      <c r="M13" s="28" t="s">
        <v>1005</v>
      </c>
      <c r="N13" s="28"/>
      <c r="O13" s="28"/>
      <c r="P13" s="28"/>
      <c r="Q13" s="28">
        <v>1</v>
      </c>
    </row>
    <row r="14" spans="1:18" x14ac:dyDescent="0.25">
      <c r="A14" s="15"/>
      <c r="B14" s="15" t="s">
        <v>17</v>
      </c>
      <c r="C14" s="15" t="s">
        <v>1006</v>
      </c>
      <c r="D14" s="15" t="s">
        <v>1007</v>
      </c>
      <c r="E14" s="15" t="s">
        <v>1008</v>
      </c>
      <c r="F14" s="16">
        <v>2</v>
      </c>
      <c r="G14" s="16">
        <v>1760</v>
      </c>
      <c r="H14" s="16">
        <v>30</v>
      </c>
      <c r="I14" s="16">
        <f t="shared" si="0"/>
        <v>1730</v>
      </c>
      <c r="J14" s="15" t="s">
        <v>21</v>
      </c>
      <c r="K14" s="15" t="s">
        <v>21</v>
      </c>
      <c r="L14" s="15" t="s">
        <v>977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1009</v>
      </c>
      <c r="D15" s="15" t="s">
        <v>1010</v>
      </c>
      <c r="E15" s="15" t="s">
        <v>1011</v>
      </c>
      <c r="F15" s="15" t="s">
        <v>81</v>
      </c>
      <c r="G15" s="16">
        <v>920</v>
      </c>
      <c r="H15" s="16">
        <v>30</v>
      </c>
      <c r="I15" s="16">
        <f t="shared" si="0"/>
        <v>890</v>
      </c>
      <c r="J15" s="15" t="s">
        <v>21</v>
      </c>
      <c r="K15" s="15" t="s">
        <v>21</v>
      </c>
      <c r="L15" s="15" t="s">
        <v>977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1012</v>
      </c>
      <c r="D16" s="15" t="s">
        <v>1013</v>
      </c>
      <c r="E16" s="15" t="s">
        <v>1014</v>
      </c>
      <c r="F16" s="15" t="s">
        <v>77</v>
      </c>
      <c r="G16" s="16">
        <v>0</v>
      </c>
      <c r="H16" s="16">
        <v>25</v>
      </c>
      <c r="I16" s="16">
        <f t="shared" si="0"/>
        <v>-25</v>
      </c>
      <c r="J16" s="15" t="s">
        <v>21</v>
      </c>
      <c r="K16" s="15" t="s">
        <v>21</v>
      </c>
      <c r="L16" s="15" t="s">
        <v>977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1015</v>
      </c>
      <c r="D17" s="15" t="s">
        <v>1016</v>
      </c>
      <c r="E17" s="15" t="s">
        <v>1017</v>
      </c>
      <c r="F17" s="15" t="s">
        <v>85</v>
      </c>
      <c r="G17" s="16">
        <v>910</v>
      </c>
      <c r="H17" s="16">
        <v>20</v>
      </c>
      <c r="I17" s="16">
        <f t="shared" si="0"/>
        <v>890</v>
      </c>
      <c r="J17" s="15" t="s">
        <v>21</v>
      </c>
      <c r="K17" s="15" t="s">
        <v>21</v>
      </c>
      <c r="L17" s="15" t="s">
        <v>977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1018</v>
      </c>
      <c r="D18" s="15" t="s">
        <v>1019</v>
      </c>
      <c r="E18" s="15" t="s">
        <v>1020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977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1021</v>
      </c>
      <c r="D19" s="15" t="s">
        <v>1022</v>
      </c>
      <c r="E19" s="15" t="s">
        <v>1023</v>
      </c>
      <c r="F19" s="15" t="s">
        <v>95</v>
      </c>
      <c r="G19" s="16">
        <v>865</v>
      </c>
      <c r="H19" s="16">
        <v>25</v>
      </c>
      <c r="I19" s="16">
        <f t="shared" si="0"/>
        <v>840</v>
      </c>
      <c r="J19" s="15" t="s">
        <v>21</v>
      </c>
      <c r="K19" s="15" t="s">
        <v>21</v>
      </c>
      <c r="L19" s="15" t="s">
        <v>977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1024</v>
      </c>
      <c r="D20" s="15"/>
      <c r="E20" s="15" t="s">
        <v>503</v>
      </c>
      <c r="F20" s="16">
        <v>12</v>
      </c>
      <c r="G20" s="16">
        <v>0</v>
      </c>
      <c r="H20" s="16">
        <v>40</v>
      </c>
      <c r="I20" s="16">
        <f t="shared" si="0"/>
        <v>-40</v>
      </c>
      <c r="J20" s="15" t="s">
        <v>21</v>
      </c>
      <c r="K20" s="15" t="s">
        <v>21</v>
      </c>
      <c r="L20" s="15" t="s">
        <v>977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1025</v>
      </c>
      <c r="D21" s="15" t="s">
        <v>1026</v>
      </c>
      <c r="E21" s="15" t="s">
        <v>1027</v>
      </c>
      <c r="F21" s="16">
        <v>1</v>
      </c>
      <c r="G21" s="16">
        <v>975</v>
      </c>
      <c r="H21" s="16">
        <v>25</v>
      </c>
      <c r="I21" s="16">
        <f t="shared" si="0"/>
        <v>950</v>
      </c>
      <c r="J21" s="15" t="s">
        <v>135</v>
      </c>
      <c r="K21" s="15" t="s">
        <v>21</v>
      </c>
      <c r="L21" s="15" t="s">
        <v>977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1028</v>
      </c>
      <c r="D22" s="15" t="s">
        <v>1029</v>
      </c>
      <c r="E22" s="15" t="s">
        <v>1030</v>
      </c>
      <c r="F22" s="16">
        <v>5</v>
      </c>
      <c r="G22" s="16">
        <v>2070</v>
      </c>
      <c r="H22" s="16">
        <v>25</v>
      </c>
      <c r="I22" s="16">
        <f t="shared" si="0"/>
        <v>2045</v>
      </c>
      <c r="J22" s="15" t="s">
        <v>135</v>
      </c>
      <c r="K22" s="15" t="s">
        <v>21</v>
      </c>
      <c r="L22" s="15" t="s">
        <v>977</v>
      </c>
      <c r="M22" s="20" t="s">
        <v>167</v>
      </c>
      <c r="N22" s="15"/>
      <c r="O22" s="15"/>
      <c r="P22" s="15"/>
      <c r="Q22" s="15">
        <v>1</v>
      </c>
      <c r="R22" s="10">
        <f>H22</f>
        <v>25</v>
      </c>
    </row>
    <row r="23" spans="1:18" x14ac:dyDescent="0.25">
      <c r="A23" s="15"/>
      <c r="B23" s="15" t="s">
        <v>17</v>
      </c>
      <c r="C23" s="15" t="s">
        <v>791</v>
      </c>
      <c r="D23" s="15" t="s">
        <v>1031</v>
      </c>
      <c r="E23" s="15" t="s">
        <v>1032</v>
      </c>
      <c r="F23" s="16">
        <v>1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977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x14ac:dyDescent="0.25">
      <c r="A24" s="15"/>
      <c r="B24" s="15" t="s">
        <v>17</v>
      </c>
      <c r="C24" s="15" t="s">
        <v>706</v>
      </c>
      <c r="D24" s="15" t="s">
        <v>1033</v>
      </c>
      <c r="E24" s="15" t="s">
        <v>1034</v>
      </c>
      <c r="F24" s="16">
        <v>10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977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1035</v>
      </c>
      <c r="D25" s="15" t="s">
        <v>1036</v>
      </c>
      <c r="E25" s="15" t="s">
        <v>1037</v>
      </c>
      <c r="F25" s="16">
        <v>10</v>
      </c>
      <c r="G25" s="16">
        <v>1145</v>
      </c>
      <c r="H25" s="16">
        <v>25</v>
      </c>
      <c r="I25" s="16">
        <f t="shared" si="0"/>
        <v>1120</v>
      </c>
      <c r="J25" s="15" t="s">
        <v>135</v>
      </c>
      <c r="K25" s="15" t="s">
        <v>21</v>
      </c>
      <c r="L25" s="15" t="s">
        <v>977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1038</v>
      </c>
      <c r="D26" s="15" t="s">
        <v>1039</v>
      </c>
      <c r="E26" s="15" t="s">
        <v>1040</v>
      </c>
      <c r="F26" s="16">
        <v>4</v>
      </c>
      <c r="G26" s="16">
        <v>845</v>
      </c>
      <c r="H26" s="16">
        <v>25</v>
      </c>
      <c r="I26" s="16">
        <f t="shared" si="0"/>
        <v>820</v>
      </c>
      <c r="J26" s="15" t="s">
        <v>135</v>
      </c>
      <c r="K26" s="15" t="s">
        <v>21</v>
      </c>
      <c r="L26" s="15" t="s">
        <v>977</v>
      </c>
      <c r="M26" s="15"/>
      <c r="N26" s="15"/>
      <c r="O26" s="15"/>
      <c r="P26" s="15"/>
      <c r="Q26" s="15">
        <v>1</v>
      </c>
    </row>
    <row r="27" spans="1:18" x14ac:dyDescent="0.25">
      <c r="A27" s="15" t="s">
        <v>16</v>
      </c>
      <c r="B27" s="15" t="s">
        <v>17</v>
      </c>
      <c r="C27" s="15" t="s">
        <v>1041</v>
      </c>
      <c r="D27" s="15"/>
      <c r="E27" s="15" t="s">
        <v>1042</v>
      </c>
      <c r="F27" s="16">
        <v>5</v>
      </c>
      <c r="G27" s="16">
        <v>0</v>
      </c>
      <c r="H27" s="16">
        <v>35</v>
      </c>
      <c r="I27" s="16">
        <f t="shared" si="0"/>
        <v>-35</v>
      </c>
      <c r="J27" s="15" t="s">
        <v>135</v>
      </c>
      <c r="K27" s="15" t="s">
        <v>21</v>
      </c>
      <c r="L27" s="15" t="s">
        <v>977</v>
      </c>
      <c r="M27" s="15"/>
      <c r="N27" s="15"/>
      <c r="O27" s="15"/>
      <c r="P27" s="15"/>
      <c r="Q27" s="15">
        <v>1</v>
      </c>
      <c r="R27" s="10">
        <f>H27</f>
        <v>35</v>
      </c>
    </row>
    <row r="28" spans="1:18" x14ac:dyDescent="0.25">
      <c r="A28" s="15" t="s">
        <v>16</v>
      </c>
      <c r="B28" s="15" t="s">
        <v>17</v>
      </c>
      <c r="C28" s="15" t="s">
        <v>437</v>
      </c>
      <c r="D28" s="15"/>
      <c r="E28" s="15" t="s">
        <v>438</v>
      </c>
      <c r="F28" s="16">
        <v>1</v>
      </c>
      <c r="G28" s="16">
        <v>0</v>
      </c>
      <c r="H28" s="16">
        <v>30</v>
      </c>
      <c r="I28" s="16">
        <f t="shared" si="0"/>
        <v>-30</v>
      </c>
      <c r="J28" s="15" t="s">
        <v>135</v>
      </c>
      <c r="K28" s="15" t="s">
        <v>21</v>
      </c>
      <c r="L28" s="15" t="s">
        <v>977</v>
      </c>
      <c r="M28" s="15"/>
      <c r="N28" s="15"/>
      <c r="O28" s="15"/>
      <c r="P28" s="15"/>
      <c r="Q28" s="15">
        <v>1</v>
      </c>
    </row>
    <row r="30" spans="1:18" x14ac:dyDescent="0.25">
      <c r="D30" s="1">
        <f>COUNTA(D3:D28)</f>
        <v>23</v>
      </c>
      <c r="G30" s="1">
        <f t="shared" ref="G30:Q30" si="1">SUBTOTAL(9,G3:G28)</f>
        <v>18875</v>
      </c>
      <c r="H30" s="1">
        <f t="shared" si="1"/>
        <v>735</v>
      </c>
      <c r="I30" s="1">
        <f t="shared" si="1"/>
        <v>18140</v>
      </c>
      <c r="J30" s="1">
        <f t="shared" si="1"/>
        <v>0</v>
      </c>
      <c r="K30" s="1">
        <f t="shared" si="1"/>
        <v>0</v>
      </c>
      <c r="L30" s="1">
        <f t="shared" si="1"/>
        <v>0</v>
      </c>
      <c r="M30" s="1">
        <f t="shared" si="1"/>
        <v>0</v>
      </c>
      <c r="N30" s="1">
        <f t="shared" si="1"/>
        <v>0</v>
      </c>
      <c r="O30" s="1">
        <f t="shared" si="1"/>
        <v>0</v>
      </c>
      <c r="P30" s="1">
        <f t="shared" si="1"/>
        <v>0</v>
      </c>
      <c r="Q30" s="1">
        <f t="shared" si="1"/>
        <v>26</v>
      </c>
    </row>
    <row r="31" spans="1:18" x14ac:dyDescent="0.25">
      <c r="H31">
        <f>-7*17</f>
        <v>-119</v>
      </c>
    </row>
    <row r="32" spans="1:18" x14ac:dyDescent="0.25">
      <c r="A32" s="1" t="s">
        <v>17</v>
      </c>
      <c r="C32" s="40" t="s">
        <v>191</v>
      </c>
      <c r="D32" s="40"/>
      <c r="E32" s="4" t="s">
        <v>192</v>
      </c>
      <c r="H32">
        <f>-3*25</f>
        <v>-75</v>
      </c>
      <c r="K32" s="11" t="s">
        <v>21</v>
      </c>
      <c r="L32" s="11" t="s">
        <v>193</v>
      </c>
      <c r="M32" s="11" t="s">
        <v>192</v>
      </c>
      <c r="O32" s="4" t="s">
        <v>194</v>
      </c>
    </row>
    <row r="33" spans="1:16" x14ac:dyDescent="0.25">
      <c r="A33" t="s">
        <v>977</v>
      </c>
      <c r="B33" s="3" t="s">
        <v>195</v>
      </c>
      <c r="C33" s="41">
        <f>SUMIFS(I$3:I$28,B$3:B$28,A$32,L$3:L$28,A$33)</f>
        <v>17250</v>
      </c>
      <c r="D33" s="41"/>
      <c r="E33" s="3">
        <f>SUMIFS(Q$3:Q$28,B$3:B$28,A$32,L$3:L$28,A$33)</f>
        <v>25</v>
      </c>
      <c r="F33" t="s">
        <v>196</v>
      </c>
      <c r="K33" t="s">
        <v>197</v>
      </c>
      <c r="L33">
        <f>SUMIFS(G$3:G$28,J$3:J$28,K$32)</f>
        <v>5375</v>
      </c>
      <c r="M33">
        <f>SUMIFS(Q$3:Q$28,J$3:J$28,K$32)-INT(COUNTIFS(J$3:J$28,K$32,M$3:M$28,"*gộp*")/2)</f>
        <v>7</v>
      </c>
      <c r="O33" t="s">
        <v>21</v>
      </c>
      <c r="P33">
        <f>L38</f>
        <v>5160</v>
      </c>
    </row>
    <row r="34" spans="1:16" x14ac:dyDescent="0.25">
      <c r="B34" s="2" t="s">
        <v>199</v>
      </c>
      <c r="C34" s="42">
        <v>0</v>
      </c>
      <c r="D34" s="42"/>
      <c r="K34" t="s">
        <v>200</v>
      </c>
      <c r="L34">
        <f>-SUMIFS(H$3:H$28,J$3:J$28,K$32)+M34*5</f>
        <v>-165</v>
      </c>
      <c r="M34">
        <f>SUMIFS(Q$3:Q$28,J$3:J$28,K$32)-INT(COUNTIFS(J$3:J$28,K$32,M$3:M$28,"*gộp*")/2)</f>
        <v>7</v>
      </c>
      <c r="O34" t="s">
        <v>1043</v>
      </c>
      <c r="P34">
        <f>L46</f>
        <v>7451</v>
      </c>
    </row>
    <row r="35" spans="1:16" x14ac:dyDescent="0.25">
      <c r="B35" s="2" t="s">
        <v>201</v>
      </c>
      <c r="C35" s="42">
        <f>-SUMIFS(I$3:I$28,B$3:B$28,A$32,P$3:P$28,"xx",N$3:N$28,"x")</f>
        <v>0</v>
      </c>
      <c r="D35" s="42"/>
      <c r="E35" s="2">
        <f>SUMIFS(Q$3:Q$28,B$3:B$28,A$32,P$3:P$28,"xx",N$3:N$28,"x")</f>
        <v>0</v>
      </c>
      <c r="K35" t="s">
        <v>202</v>
      </c>
      <c r="L35">
        <f>-M35*2</f>
        <v>-50</v>
      </c>
      <c r="M35">
        <f>E36-(COUNTIFS(M$3:M$28,"*gộp*")/2)-COUNTIFS(M$3:M$28,"*đơn trả*")-COUNTIFS(M$3:M$28,"*hàng tỉnh*")</f>
        <v>25</v>
      </c>
      <c r="O35" t="s">
        <v>135</v>
      </c>
      <c r="P35">
        <f>L55</f>
        <v>3945</v>
      </c>
    </row>
    <row r="36" spans="1:16" x14ac:dyDescent="0.25">
      <c r="B36" s="4" t="s">
        <v>203</v>
      </c>
      <c r="C36" s="40">
        <f>SUBTOTAL(9,C33:C35)</f>
        <v>17250</v>
      </c>
      <c r="D36" s="40"/>
      <c r="E36">
        <f>E33</f>
        <v>25</v>
      </c>
      <c r="K36" s="2" t="s">
        <v>204</v>
      </c>
      <c r="O36" t="s">
        <v>20</v>
      </c>
      <c r="P36">
        <f>L63</f>
        <v>795</v>
      </c>
    </row>
    <row r="37" spans="1:16" x14ac:dyDescent="0.25">
      <c r="B37" s="2" t="s">
        <v>205</v>
      </c>
      <c r="C37" s="38"/>
      <c r="D37" s="38"/>
      <c r="K37" s="2" t="s">
        <v>206</v>
      </c>
      <c r="O37" t="s">
        <v>207</v>
      </c>
      <c r="P37">
        <f>-C40</f>
        <v>-17250</v>
      </c>
    </row>
    <row r="38" spans="1:16" x14ac:dyDescent="0.25">
      <c r="B38" s="12" t="s">
        <v>208</v>
      </c>
      <c r="C38" s="38"/>
      <c r="D38" s="38"/>
      <c r="L38" s="13">
        <f>SUBTOTAL(9,L33:L37)</f>
        <v>5160</v>
      </c>
      <c r="M38" s="13">
        <f>M33</f>
        <v>7</v>
      </c>
      <c r="O38" s="4" t="s">
        <v>209</v>
      </c>
      <c r="P38" s="4">
        <f>SUBTOTAL(9,P33:P37)</f>
        <v>101</v>
      </c>
    </row>
    <row r="40" spans="1:16" x14ac:dyDescent="0.25">
      <c r="B40" s="1" t="s">
        <v>210</v>
      </c>
      <c r="C40" s="39">
        <f>C36+C37+C38</f>
        <v>17250</v>
      </c>
      <c r="D40" s="39"/>
      <c r="E40" s="1" t="s">
        <v>211</v>
      </c>
      <c r="K40" s="11" t="s">
        <v>981</v>
      </c>
      <c r="L40" s="11" t="s">
        <v>193</v>
      </c>
      <c r="M40" s="11" t="s">
        <v>192</v>
      </c>
    </row>
    <row r="41" spans="1:16" x14ac:dyDescent="0.25">
      <c r="K41" t="s">
        <v>197</v>
      </c>
      <c r="L41">
        <f>SUMIFS(G$3:G$28,J$3:J$28,K$40)</f>
        <v>7645</v>
      </c>
      <c r="M41">
        <f>SUMIFS(Q$3:Q$28,J$3:J$28,K$40)-INT(COUNTIFS(J$3:J$28,K$40,M$3:M$28,"*gộp*")/2)</f>
        <v>10</v>
      </c>
    </row>
    <row r="42" spans="1:16" x14ac:dyDescent="0.25">
      <c r="A42" s="35"/>
      <c r="B42" s="36"/>
      <c r="C42" s="43"/>
      <c r="D42" s="43"/>
      <c r="E42" s="35"/>
      <c r="F42" s="36"/>
      <c r="K42" t="s">
        <v>200</v>
      </c>
      <c r="L42">
        <f>SUM(H31:H32)+SUMIFS(H$3:H$28,J$3:J$28,K$40,M$3:M$28,"*gộp*")/2</f>
        <v>-194</v>
      </c>
      <c r="M42">
        <f>SUMIFS(Q$3:Q$28,J$3:J$28,K$40)</f>
        <v>10</v>
      </c>
    </row>
    <row r="43" spans="1:16" x14ac:dyDescent="0.25">
      <c r="A43" s="36"/>
      <c r="B43" s="36"/>
      <c r="C43" s="44"/>
      <c r="D43" s="44"/>
      <c r="E43" s="36"/>
      <c r="F43" s="36"/>
      <c r="K43" t="s">
        <v>202</v>
      </c>
    </row>
    <row r="44" spans="1:16" x14ac:dyDescent="0.25">
      <c r="A44" s="36"/>
      <c r="B44" s="37"/>
      <c r="C44" s="45"/>
      <c r="D44" s="45"/>
      <c r="E44" s="36"/>
      <c r="F44" s="36"/>
      <c r="K44" s="2" t="s">
        <v>204</v>
      </c>
    </row>
    <row r="45" spans="1:16" x14ac:dyDescent="0.25">
      <c r="A45" s="36"/>
      <c r="B45" s="37"/>
      <c r="C45" s="45"/>
      <c r="D45" s="45"/>
      <c r="E45" s="37"/>
      <c r="F45" s="36"/>
      <c r="K45" s="2" t="s">
        <v>206</v>
      </c>
    </row>
    <row r="46" spans="1:16" x14ac:dyDescent="0.25">
      <c r="A46" s="36"/>
      <c r="B46" s="35"/>
      <c r="C46" s="43"/>
      <c r="D46" s="43"/>
      <c r="E46" s="36"/>
      <c r="F46" s="36"/>
      <c r="L46" s="13">
        <f>SUBTOTAL(9,L41:L45)</f>
        <v>7451</v>
      </c>
      <c r="M46" s="13">
        <f>M41</f>
        <v>10</v>
      </c>
    </row>
    <row r="47" spans="1:16" x14ac:dyDescent="0.25">
      <c r="A47" s="36"/>
      <c r="B47" s="37"/>
      <c r="C47" s="44"/>
      <c r="D47" s="44"/>
      <c r="E47" s="36"/>
      <c r="F47" s="36"/>
    </row>
    <row r="48" spans="1:16" x14ac:dyDescent="0.25">
      <c r="A48" s="36"/>
      <c r="B48" s="36"/>
      <c r="C48" s="44"/>
      <c r="D48" s="44"/>
      <c r="E48" s="36"/>
      <c r="F48" s="36"/>
      <c r="K48" s="11" t="s">
        <v>135</v>
      </c>
      <c r="L48" s="11" t="s">
        <v>193</v>
      </c>
      <c r="M48" s="11" t="s">
        <v>192</v>
      </c>
    </row>
    <row r="49" spans="1:13" x14ac:dyDescent="0.25">
      <c r="A49" s="36"/>
      <c r="B49" s="36"/>
      <c r="C49" s="36"/>
      <c r="D49" s="36"/>
      <c r="E49" s="36"/>
      <c r="F49" s="36"/>
      <c r="K49" t="s">
        <v>197</v>
      </c>
      <c r="L49">
        <f>SUMIFS(G$3:G$28,J$3:J$28,K$48)</f>
        <v>5035</v>
      </c>
      <c r="M49">
        <f>SUMIFS(Q$3:Q$28,J$3:J$28,K$48)-INT(COUNTIFS(J$3:J$28,K$48,M$3:M$28,"*gộp*")/2)</f>
        <v>8</v>
      </c>
    </row>
    <row r="50" spans="1:13" x14ac:dyDescent="0.25">
      <c r="A50" s="36"/>
      <c r="B50" s="35"/>
      <c r="C50" s="43"/>
      <c r="D50" s="43"/>
      <c r="E50" s="35"/>
      <c r="F50" s="36"/>
      <c r="K50" t="s">
        <v>200</v>
      </c>
      <c r="L50">
        <f>-SUMIFS(H$3:H$28,J$3:J$28,K$48)+M50*5</f>
        <v>-175</v>
      </c>
      <c r="M50">
        <f>SUMIFS(Q$3:Q$28,J$3:J$28,K$48)-INT(COUNTIFS(J$3:J$28,K$48,M$3:M$28,"*gộp*")/2)</f>
        <v>8</v>
      </c>
    </row>
    <row r="51" spans="1:13" x14ac:dyDescent="0.25">
      <c r="A51" s="36"/>
      <c r="B51" s="36"/>
      <c r="C51" s="36"/>
      <c r="D51" s="36"/>
      <c r="E51" s="36"/>
      <c r="F51" s="36"/>
      <c r="K51" t="s">
        <v>202</v>
      </c>
    </row>
    <row r="52" spans="1:13" x14ac:dyDescent="0.25">
      <c r="K52" s="2" t="s">
        <v>204</v>
      </c>
    </row>
    <row r="53" spans="1:13" x14ac:dyDescent="0.25">
      <c r="K53" s="31" t="s">
        <v>206</v>
      </c>
      <c r="L53" s="23"/>
      <c r="M53" s="23"/>
    </row>
    <row r="54" spans="1:13" x14ac:dyDescent="0.25">
      <c r="K54" s="2" t="s">
        <v>1005</v>
      </c>
      <c r="L54" s="23">
        <v>-915</v>
      </c>
      <c r="M54" s="23" t="s">
        <v>288</v>
      </c>
    </row>
    <row r="55" spans="1:13" x14ac:dyDescent="0.25">
      <c r="L55" s="13">
        <f>SUBTOTAL(9,L49:L54)</f>
        <v>3945</v>
      </c>
      <c r="M55" s="13">
        <f>M49</f>
        <v>8</v>
      </c>
    </row>
    <row r="57" spans="1:13" x14ac:dyDescent="0.25">
      <c r="K57" s="11" t="s">
        <v>20</v>
      </c>
      <c r="L57" s="11" t="s">
        <v>193</v>
      </c>
      <c r="M57" s="11" t="s">
        <v>192</v>
      </c>
    </row>
    <row r="58" spans="1:13" x14ac:dyDescent="0.25">
      <c r="K58" t="s">
        <v>197</v>
      </c>
      <c r="L58">
        <f>SUMIFS(G$3:G$28,J$3:J$28,K$57)</f>
        <v>820</v>
      </c>
      <c r="M58">
        <f>SUMIFS(Q$3:Q$28,J$3:J$28,K$57)-INT(COUNTIFS(J$3:J$28,K$57,M$3:M$28,"*gộp*")/2)</f>
        <v>1</v>
      </c>
    </row>
    <row r="59" spans="1:13" x14ac:dyDescent="0.25">
      <c r="K59" t="s">
        <v>200</v>
      </c>
      <c r="L59">
        <f>-SUMIFS(H$3:H$28,J$3:J$28,K$57)+M59*5</f>
        <v>-25</v>
      </c>
      <c r="M59">
        <f>SUMIFS(Q$3:Q$28,J$3:J$28,K$57)-INT(COUNTIFS(J$3:J$28,K$57,M$3:M$28,"*gộp*")/2)</f>
        <v>1</v>
      </c>
    </row>
    <row r="60" spans="1:13" x14ac:dyDescent="0.25">
      <c r="K60" t="s">
        <v>202</v>
      </c>
    </row>
    <row r="61" spans="1:13" x14ac:dyDescent="0.25">
      <c r="K61" s="2" t="s">
        <v>204</v>
      </c>
    </row>
    <row r="62" spans="1:13" x14ac:dyDescent="0.25">
      <c r="K62" s="2" t="s">
        <v>206</v>
      </c>
    </row>
    <row r="63" spans="1:13" x14ac:dyDescent="0.25">
      <c r="L63" s="13">
        <f>SUBTOTAL(9,L58:L62)</f>
        <v>795</v>
      </c>
      <c r="M63" s="13">
        <f>M58</f>
        <v>1</v>
      </c>
    </row>
  </sheetData>
  <autoFilter ref="A2:P28" xr:uid="{00000000-0009-0000-0000-000008000000}">
    <sortState xmlns:xlrd2="http://schemas.microsoft.com/office/spreadsheetml/2017/richdata2" ref="A3:P28">
      <sortCondition ref="J2:J28"/>
    </sortState>
  </autoFilter>
  <mergeCells count="16">
    <mergeCell ref="C50:D50"/>
    <mergeCell ref="C44:D44"/>
    <mergeCell ref="C45:D45"/>
    <mergeCell ref="C46:D46"/>
    <mergeCell ref="C47:D47"/>
    <mergeCell ref="C48:D48"/>
    <mergeCell ref="C37:D37"/>
    <mergeCell ref="C38:D38"/>
    <mergeCell ref="C40:D40"/>
    <mergeCell ref="C42:D42"/>
    <mergeCell ref="C43:D43"/>
    <mergeCell ref="C32:D32"/>
    <mergeCell ref="C33:D33"/>
    <mergeCell ref="C34:D34"/>
    <mergeCell ref="C35:D35"/>
    <mergeCell ref="C36:D36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1"/>
  <sheetViews>
    <sheetView topLeftCell="A28" workbookViewId="0">
      <selection activeCell="L15" sqref="L15"/>
    </sheetView>
  </sheetViews>
  <sheetFormatPr defaultRowHeight="15" x14ac:dyDescent="0.25"/>
  <cols>
    <col min="1" max="1" width="12.7109375" customWidth="1"/>
    <col min="2" max="2" width="17.7109375" customWidth="1"/>
    <col min="3" max="3" width="28" customWidth="1"/>
    <col min="4" max="4" width="9.85546875" customWidth="1"/>
    <col min="5" max="5" width="5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8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1044</v>
      </c>
      <c r="D3" s="15" t="s">
        <v>1045</v>
      </c>
      <c r="E3" s="15" t="s">
        <v>1046</v>
      </c>
      <c r="F3" s="16">
        <v>7</v>
      </c>
      <c r="G3" s="16">
        <v>980</v>
      </c>
      <c r="H3" s="16">
        <v>30</v>
      </c>
      <c r="I3" s="16">
        <f t="shared" ref="I3:I35" si="0">G3-H3</f>
        <v>950</v>
      </c>
      <c r="J3" s="15" t="s">
        <v>1047</v>
      </c>
      <c r="K3" s="15" t="s">
        <v>21</v>
      </c>
      <c r="L3" s="15" t="s">
        <v>1048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1049</v>
      </c>
      <c r="D4" s="15" t="s">
        <v>1050</v>
      </c>
      <c r="E4" s="15" t="s">
        <v>1051</v>
      </c>
      <c r="F4" s="15" t="s">
        <v>95</v>
      </c>
      <c r="G4" s="16">
        <v>845</v>
      </c>
      <c r="H4" s="16">
        <v>25</v>
      </c>
      <c r="I4" s="16">
        <f t="shared" si="0"/>
        <v>820</v>
      </c>
      <c r="J4" s="15" t="s">
        <v>1047</v>
      </c>
      <c r="K4" s="15" t="s">
        <v>21</v>
      </c>
      <c r="L4" s="15" t="s">
        <v>1048</v>
      </c>
      <c r="M4" s="15"/>
      <c r="N4" s="15"/>
      <c r="O4" s="15"/>
      <c r="P4" s="15"/>
      <c r="Q4" s="15">
        <v>1</v>
      </c>
    </row>
    <row r="5" spans="1:18" s="19" customFormat="1" x14ac:dyDescent="0.25">
      <c r="A5" s="17"/>
      <c r="B5" s="17" t="s">
        <v>17</v>
      </c>
      <c r="C5" s="17" t="s">
        <v>1052</v>
      </c>
      <c r="D5" s="17" t="s">
        <v>1053</v>
      </c>
      <c r="E5" s="17" t="s">
        <v>1054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1047</v>
      </c>
      <c r="K5" s="17" t="s">
        <v>21</v>
      </c>
      <c r="L5" s="17" t="s">
        <v>1048</v>
      </c>
      <c r="M5" s="17" t="s">
        <v>126</v>
      </c>
      <c r="N5" s="17"/>
      <c r="O5" s="17"/>
      <c r="P5" s="17"/>
      <c r="Q5" s="17">
        <v>1</v>
      </c>
    </row>
    <row r="6" spans="1:18" x14ac:dyDescent="0.25">
      <c r="A6" s="15"/>
      <c r="B6" s="15" t="s">
        <v>17</v>
      </c>
      <c r="C6" s="15" t="s">
        <v>1055</v>
      </c>
      <c r="D6" s="15" t="s">
        <v>1056</v>
      </c>
      <c r="E6" s="15" t="s">
        <v>1057</v>
      </c>
      <c r="F6" s="16">
        <v>7</v>
      </c>
      <c r="G6" s="16">
        <v>900</v>
      </c>
      <c r="H6" s="16">
        <v>30</v>
      </c>
      <c r="I6" s="16">
        <f t="shared" si="0"/>
        <v>870</v>
      </c>
      <c r="J6" s="15" t="s">
        <v>1047</v>
      </c>
      <c r="K6" s="15" t="s">
        <v>21</v>
      </c>
      <c r="L6" s="15" t="s">
        <v>1048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1058</v>
      </c>
      <c r="D7" s="15" t="s">
        <v>1059</v>
      </c>
      <c r="E7" s="15" t="s">
        <v>1060</v>
      </c>
      <c r="F7" s="15" t="s">
        <v>26</v>
      </c>
      <c r="G7" s="16">
        <v>1570</v>
      </c>
      <c r="H7" s="16">
        <v>35</v>
      </c>
      <c r="I7" s="16">
        <f t="shared" si="0"/>
        <v>1535</v>
      </c>
      <c r="J7" s="15" t="s">
        <v>1047</v>
      </c>
      <c r="K7" s="15" t="s">
        <v>21</v>
      </c>
      <c r="L7" s="15" t="s">
        <v>1048</v>
      </c>
      <c r="M7" s="20" t="s">
        <v>1061</v>
      </c>
      <c r="N7" s="15"/>
      <c r="O7" s="15"/>
      <c r="P7" s="15"/>
      <c r="Q7" s="15">
        <v>1</v>
      </c>
      <c r="R7" s="10">
        <f>H7</f>
        <v>35</v>
      </c>
    </row>
    <row r="8" spans="1:18" x14ac:dyDescent="0.25">
      <c r="A8" s="15"/>
      <c r="B8" s="15" t="s">
        <v>17</v>
      </c>
      <c r="C8" s="15" t="s">
        <v>1062</v>
      </c>
      <c r="D8" s="15" t="s">
        <v>1063</v>
      </c>
      <c r="E8" s="15" t="s">
        <v>1064</v>
      </c>
      <c r="F8" s="15" t="s">
        <v>26</v>
      </c>
      <c r="G8" s="16">
        <v>3930</v>
      </c>
      <c r="H8" s="16">
        <v>40</v>
      </c>
      <c r="I8" s="16">
        <f t="shared" si="0"/>
        <v>3890</v>
      </c>
      <c r="J8" s="15" t="s">
        <v>1047</v>
      </c>
      <c r="K8" s="15" t="s">
        <v>21</v>
      </c>
      <c r="L8" s="15" t="s">
        <v>1048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1065</v>
      </c>
      <c r="D9" s="15" t="s">
        <v>1066</v>
      </c>
      <c r="E9" s="15" t="s">
        <v>1067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1047</v>
      </c>
      <c r="K9" s="15" t="s">
        <v>21</v>
      </c>
      <c r="L9" s="15" t="s">
        <v>1048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1068</v>
      </c>
      <c r="D10" s="15" t="s">
        <v>1069</v>
      </c>
      <c r="E10" s="15" t="s">
        <v>744</v>
      </c>
      <c r="F10" s="15" t="s">
        <v>26</v>
      </c>
      <c r="G10" s="16">
        <v>0</v>
      </c>
      <c r="H10" s="16">
        <v>30</v>
      </c>
      <c r="I10" s="16">
        <f t="shared" si="0"/>
        <v>-30</v>
      </c>
      <c r="J10" s="15" t="s">
        <v>1047</v>
      </c>
      <c r="K10" s="15" t="s">
        <v>21</v>
      </c>
      <c r="L10" s="15" t="s">
        <v>1048</v>
      </c>
      <c r="M10" s="15"/>
      <c r="N10" s="15"/>
      <c r="O10" s="15"/>
      <c r="P10" s="15"/>
      <c r="Q10" s="15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637</v>
      </c>
      <c r="D11" s="15" t="s">
        <v>1070</v>
      </c>
      <c r="E11" s="15" t="s">
        <v>639</v>
      </c>
      <c r="F11" s="16">
        <v>9</v>
      </c>
      <c r="G11" s="16">
        <v>880</v>
      </c>
      <c r="H11" s="16">
        <v>30</v>
      </c>
      <c r="I11" s="16">
        <f t="shared" si="0"/>
        <v>850</v>
      </c>
      <c r="J11" s="15" t="s">
        <v>1047</v>
      </c>
      <c r="K11" s="15" t="s">
        <v>21</v>
      </c>
      <c r="L11" s="15" t="s">
        <v>1048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1071</v>
      </c>
      <c r="D12" s="15" t="s">
        <v>1072</v>
      </c>
      <c r="E12" s="15" t="s">
        <v>1073</v>
      </c>
      <c r="F12" s="15" t="s">
        <v>46</v>
      </c>
      <c r="G12" s="16">
        <v>875</v>
      </c>
      <c r="H12" s="16">
        <v>25</v>
      </c>
      <c r="I12" s="16">
        <f t="shared" si="0"/>
        <v>850</v>
      </c>
      <c r="J12" s="15" t="s">
        <v>1047</v>
      </c>
      <c r="K12" s="15" t="s">
        <v>21</v>
      </c>
      <c r="L12" s="15" t="s">
        <v>1048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1074</v>
      </c>
      <c r="D13" s="15" t="s">
        <v>1075</v>
      </c>
      <c r="E13" s="15" t="s">
        <v>1076</v>
      </c>
      <c r="F13" s="16">
        <v>7</v>
      </c>
      <c r="G13" s="16">
        <v>0</v>
      </c>
      <c r="H13" s="16">
        <v>30</v>
      </c>
      <c r="I13" s="16">
        <f t="shared" si="0"/>
        <v>-30</v>
      </c>
      <c r="J13" s="15" t="s">
        <v>1047</v>
      </c>
      <c r="K13" s="15" t="s">
        <v>21</v>
      </c>
      <c r="L13" s="15" t="s">
        <v>1048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1058</v>
      </c>
      <c r="D14" s="15" t="s">
        <v>1077</v>
      </c>
      <c r="E14" s="15" t="s">
        <v>1078</v>
      </c>
      <c r="F14" s="15" t="s">
        <v>26</v>
      </c>
      <c r="G14" s="16">
        <v>780</v>
      </c>
      <c r="H14" s="16">
        <v>0</v>
      </c>
      <c r="I14" s="16">
        <f t="shared" si="0"/>
        <v>780</v>
      </c>
      <c r="J14" s="15" t="s">
        <v>1047</v>
      </c>
      <c r="K14" s="15" t="s">
        <v>21</v>
      </c>
      <c r="L14" s="15" t="s">
        <v>1048</v>
      </c>
      <c r="M14" s="20" t="s">
        <v>377</v>
      </c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1079</v>
      </c>
      <c r="D15" s="15"/>
      <c r="E15" s="15" t="s">
        <v>1080</v>
      </c>
      <c r="F15" s="15" t="s">
        <v>26</v>
      </c>
      <c r="G15" s="16">
        <v>50</v>
      </c>
      <c r="H15" s="16">
        <v>50</v>
      </c>
      <c r="I15" s="16">
        <f t="shared" si="0"/>
        <v>0</v>
      </c>
      <c r="J15" s="15" t="s">
        <v>1047</v>
      </c>
      <c r="K15" s="15" t="s">
        <v>21</v>
      </c>
      <c r="L15" s="15" t="s">
        <v>1048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1081</v>
      </c>
      <c r="D16" s="15" t="s">
        <v>1082</v>
      </c>
      <c r="E16" s="15" t="s">
        <v>1083</v>
      </c>
      <c r="F16" s="15" t="s">
        <v>77</v>
      </c>
      <c r="G16" s="16">
        <v>875</v>
      </c>
      <c r="H16" s="16">
        <v>25</v>
      </c>
      <c r="I16" s="16">
        <f t="shared" si="0"/>
        <v>850</v>
      </c>
      <c r="J16" s="15" t="s">
        <v>21</v>
      </c>
      <c r="K16" s="15" t="s">
        <v>21</v>
      </c>
      <c r="L16" s="15" t="s">
        <v>1048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1084</v>
      </c>
      <c r="D17" s="15" t="s">
        <v>1085</v>
      </c>
      <c r="E17" s="15" t="s">
        <v>1086</v>
      </c>
      <c r="F17" s="15" t="s">
        <v>81</v>
      </c>
      <c r="G17" s="16">
        <v>0</v>
      </c>
      <c r="H17" s="16">
        <v>30</v>
      </c>
      <c r="I17" s="16">
        <f t="shared" si="0"/>
        <v>-30</v>
      </c>
      <c r="J17" s="15" t="s">
        <v>21</v>
      </c>
      <c r="K17" s="15" t="s">
        <v>21</v>
      </c>
      <c r="L17" s="15" t="s">
        <v>1048</v>
      </c>
      <c r="M17" s="15"/>
      <c r="N17" s="15"/>
      <c r="O17" s="15"/>
      <c r="P17" s="15"/>
      <c r="Q17" s="15">
        <v>1</v>
      </c>
      <c r="R17" s="10">
        <f>H17</f>
        <v>30</v>
      </c>
    </row>
    <row r="18" spans="1:18" x14ac:dyDescent="0.25">
      <c r="A18" s="15"/>
      <c r="B18" s="15" t="s">
        <v>17</v>
      </c>
      <c r="C18" s="15" t="s">
        <v>1087</v>
      </c>
      <c r="D18" s="15" t="s">
        <v>1088</v>
      </c>
      <c r="E18" s="15" t="s">
        <v>1089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1048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120</v>
      </c>
      <c r="D19" s="15" t="s">
        <v>1090</v>
      </c>
      <c r="E19" s="15" t="s">
        <v>122</v>
      </c>
      <c r="F19" s="15" t="s">
        <v>85</v>
      </c>
      <c r="G19" s="16">
        <v>870</v>
      </c>
      <c r="H19" s="16">
        <v>20</v>
      </c>
      <c r="I19" s="16">
        <f t="shared" si="0"/>
        <v>850</v>
      </c>
      <c r="J19" s="15" t="s">
        <v>21</v>
      </c>
      <c r="K19" s="15" t="s">
        <v>21</v>
      </c>
      <c r="L19" s="15" t="s">
        <v>1048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1091</v>
      </c>
      <c r="D20" s="15" t="s">
        <v>1092</v>
      </c>
      <c r="E20" s="15" t="s">
        <v>1093</v>
      </c>
      <c r="F20" s="15" t="s">
        <v>85</v>
      </c>
      <c r="G20" s="16">
        <v>20</v>
      </c>
      <c r="H20" s="16">
        <v>20</v>
      </c>
      <c r="I20" s="16">
        <f t="shared" si="0"/>
        <v>0</v>
      </c>
      <c r="J20" s="15" t="s">
        <v>21</v>
      </c>
      <c r="K20" s="15" t="s">
        <v>21</v>
      </c>
      <c r="L20" s="15" t="s">
        <v>1048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1094</v>
      </c>
      <c r="D21" s="15" t="s">
        <v>1095</v>
      </c>
      <c r="E21" s="15" t="s">
        <v>1096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1048</v>
      </c>
      <c r="M21" s="15"/>
      <c r="N21" s="15"/>
      <c r="O21" s="15"/>
      <c r="P21" s="15"/>
      <c r="Q21" s="15">
        <v>1</v>
      </c>
      <c r="R21" s="10">
        <f>H21</f>
        <v>25</v>
      </c>
    </row>
    <row r="22" spans="1:18" x14ac:dyDescent="0.25">
      <c r="A22" s="15"/>
      <c r="B22" s="15" t="s">
        <v>17</v>
      </c>
      <c r="C22" s="15" t="s">
        <v>1097</v>
      </c>
      <c r="D22" s="15" t="s">
        <v>1098</v>
      </c>
      <c r="E22" s="15" t="s">
        <v>1099</v>
      </c>
      <c r="F22" s="15" t="s">
        <v>77</v>
      </c>
      <c r="G22" s="16">
        <v>875</v>
      </c>
      <c r="H22" s="16">
        <v>25</v>
      </c>
      <c r="I22" s="16">
        <f t="shared" si="0"/>
        <v>850</v>
      </c>
      <c r="J22" s="15" t="s">
        <v>21</v>
      </c>
      <c r="K22" s="15" t="s">
        <v>21</v>
      </c>
      <c r="L22" s="15" t="s">
        <v>1048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1100</v>
      </c>
      <c r="D23" s="15" t="s">
        <v>1101</v>
      </c>
      <c r="E23" s="15" t="s">
        <v>1102</v>
      </c>
      <c r="F23" s="15" t="s">
        <v>85</v>
      </c>
      <c r="G23" s="16">
        <v>0</v>
      </c>
      <c r="H23" s="16">
        <v>20</v>
      </c>
      <c r="I23" s="16">
        <f t="shared" si="0"/>
        <v>-20</v>
      </c>
      <c r="J23" s="15" t="s">
        <v>21</v>
      </c>
      <c r="K23" s="15" t="s">
        <v>21</v>
      </c>
      <c r="L23" s="15" t="s">
        <v>1048</v>
      </c>
      <c r="M23" s="15"/>
      <c r="N23" s="15"/>
      <c r="O23" s="15"/>
      <c r="P23" s="15"/>
      <c r="Q23" s="15">
        <v>1</v>
      </c>
      <c r="R23" s="10">
        <f>H23</f>
        <v>20</v>
      </c>
    </row>
    <row r="24" spans="1:18" x14ac:dyDescent="0.25">
      <c r="A24" s="15"/>
      <c r="B24" s="15" t="s">
        <v>17</v>
      </c>
      <c r="C24" s="15" t="s">
        <v>1103</v>
      </c>
      <c r="D24" s="15" t="s">
        <v>1104</v>
      </c>
      <c r="E24" s="15" t="s">
        <v>1105</v>
      </c>
      <c r="F24" s="15" t="s">
        <v>85</v>
      </c>
      <c r="G24" s="16">
        <v>840</v>
      </c>
      <c r="H24" s="16">
        <v>20</v>
      </c>
      <c r="I24" s="16">
        <f t="shared" si="0"/>
        <v>820</v>
      </c>
      <c r="J24" s="15" t="s">
        <v>21</v>
      </c>
      <c r="K24" s="15" t="s">
        <v>21</v>
      </c>
      <c r="L24" s="15" t="s">
        <v>1048</v>
      </c>
      <c r="M24" s="15"/>
      <c r="N24" s="15"/>
      <c r="O24" s="15"/>
      <c r="P24" s="15"/>
      <c r="Q24" s="15">
        <v>1</v>
      </c>
    </row>
    <row r="25" spans="1:18" x14ac:dyDescent="0.25">
      <c r="A25" s="15" t="s">
        <v>16</v>
      </c>
      <c r="B25" s="15" t="s">
        <v>17</v>
      </c>
      <c r="C25" s="15" t="s">
        <v>370</v>
      </c>
      <c r="D25" s="15"/>
      <c r="E25" s="15" t="s">
        <v>371</v>
      </c>
      <c r="F25" s="15" t="s">
        <v>77</v>
      </c>
      <c r="G25" s="16">
        <v>30</v>
      </c>
      <c r="H25" s="16">
        <v>30</v>
      </c>
      <c r="I25" s="16">
        <f t="shared" si="0"/>
        <v>0</v>
      </c>
      <c r="J25" s="15" t="s">
        <v>21</v>
      </c>
      <c r="K25" s="15" t="s">
        <v>21</v>
      </c>
      <c r="L25" s="15" t="s">
        <v>1048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129</v>
      </c>
      <c r="D26" s="15"/>
      <c r="E26" s="15" t="s">
        <v>1106</v>
      </c>
      <c r="F26" s="15" t="s">
        <v>77</v>
      </c>
      <c r="G26" s="16">
        <v>3955</v>
      </c>
      <c r="H26" s="16">
        <v>35</v>
      </c>
      <c r="I26" s="16">
        <f t="shared" si="0"/>
        <v>3920</v>
      </c>
      <c r="J26" s="15" t="s">
        <v>21</v>
      </c>
      <c r="K26" s="15" t="s">
        <v>21</v>
      </c>
      <c r="L26" s="15" t="s">
        <v>1048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1107</v>
      </c>
      <c r="D27" s="15" t="s">
        <v>1108</v>
      </c>
      <c r="E27" s="15" t="s">
        <v>1109</v>
      </c>
      <c r="F27" s="15" t="s">
        <v>77</v>
      </c>
      <c r="G27" s="16">
        <v>815</v>
      </c>
      <c r="H27" s="16">
        <v>25</v>
      </c>
      <c r="I27" s="16">
        <f t="shared" si="0"/>
        <v>790</v>
      </c>
      <c r="J27" s="15" t="s">
        <v>135</v>
      </c>
      <c r="K27" s="15" t="s">
        <v>21</v>
      </c>
      <c r="L27" s="15" t="s">
        <v>1048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1110</v>
      </c>
      <c r="D28" s="15" t="s">
        <v>1111</v>
      </c>
      <c r="E28" s="15" t="s">
        <v>1112</v>
      </c>
      <c r="F28" s="16">
        <v>4</v>
      </c>
      <c r="G28" s="16">
        <v>765</v>
      </c>
      <c r="H28" s="16">
        <v>25</v>
      </c>
      <c r="I28" s="16">
        <f t="shared" si="0"/>
        <v>740</v>
      </c>
      <c r="J28" s="15" t="s">
        <v>135</v>
      </c>
      <c r="K28" s="15" t="s">
        <v>21</v>
      </c>
      <c r="L28" s="15" t="s">
        <v>1048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1113</v>
      </c>
      <c r="D29" s="15" t="s">
        <v>1114</v>
      </c>
      <c r="E29" s="15" t="s">
        <v>1115</v>
      </c>
      <c r="F29" s="15" t="s">
        <v>95</v>
      </c>
      <c r="G29" s="16">
        <v>25</v>
      </c>
      <c r="H29" s="16">
        <v>25</v>
      </c>
      <c r="I29" s="16">
        <f t="shared" si="0"/>
        <v>0</v>
      </c>
      <c r="J29" s="15" t="s">
        <v>135</v>
      </c>
      <c r="K29" s="15" t="s">
        <v>21</v>
      </c>
      <c r="L29" s="15" t="s">
        <v>1048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1116</v>
      </c>
      <c r="D30" s="15" t="s">
        <v>1117</v>
      </c>
      <c r="E30" s="15" t="s">
        <v>1118</v>
      </c>
      <c r="F30" s="16">
        <v>10</v>
      </c>
      <c r="G30" s="16">
        <v>725</v>
      </c>
      <c r="H30" s="16">
        <v>25</v>
      </c>
      <c r="I30" s="16">
        <f t="shared" si="0"/>
        <v>700</v>
      </c>
      <c r="J30" s="15" t="s">
        <v>135</v>
      </c>
      <c r="K30" s="15" t="s">
        <v>21</v>
      </c>
      <c r="L30" s="15" t="s">
        <v>1048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1119</v>
      </c>
      <c r="D31" s="15" t="s">
        <v>1120</v>
      </c>
      <c r="E31" s="15" t="s">
        <v>1121</v>
      </c>
      <c r="F31" s="16">
        <v>3</v>
      </c>
      <c r="G31" s="16">
        <v>765</v>
      </c>
      <c r="H31" s="16">
        <v>25</v>
      </c>
      <c r="I31" s="16">
        <f t="shared" si="0"/>
        <v>740</v>
      </c>
      <c r="J31" s="15" t="s">
        <v>135</v>
      </c>
      <c r="K31" s="15" t="s">
        <v>21</v>
      </c>
      <c r="L31" s="15" t="s">
        <v>1048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1122</v>
      </c>
      <c r="D32" s="15" t="s">
        <v>1123</v>
      </c>
      <c r="E32" s="15" t="s">
        <v>1124</v>
      </c>
      <c r="F32" s="16">
        <v>5</v>
      </c>
      <c r="G32" s="16">
        <v>1115</v>
      </c>
      <c r="H32" s="16">
        <v>25</v>
      </c>
      <c r="I32" s="16">
        <f t="shared" si="0"/>
        <v>1090</v>
      </c>
      <c r="J32" s="15" t="s">
        <v>135</v>
      </c>
      <c r="K32" s="15" t="s">
        <v>21</v>
      </c>
      <c r="L32" s="15" t="s">
        <v>1048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943</v>
      </c>
      <c r="D33" s="15" t="s">
        <v>1125</v>
      </c>
      <c r="E33" s="15" t="s">
        <v>1126</v>
      </c>
      <c r="F33" s="15" t="s">
        <v>95</v>
      </c>
      <c r="G33" s="16">
        <v>815</v>
      </c>
      <c r="H33" s="16">
        <v>25</v>
      </c>
      <c r="I33" s="16">
        <f t="shared" si="0"/>
        <v>790</v>
      </c>
      <c r="J33" s="15" t="s">
        <v>135</v>
      </c>
      <c r="K33" s="15" t="s">
        <v>21</v>
      </c>
      <c r="L33" s="15" t="s">
        <v>1048</v>
      </c>
      <c r="M33" s="15"/>
      <c r="N33" s="15"/>
      <c r="O33" s="15"/>
      <c r="P33" s="15"/>
      <c r="Q33" s="15">
        <v>1</v>
      </c>
    </row>
    <row r="34" spans="1:17" s="19" customFormat="1" x14ac:dyDescent="0.25">
      <c r="A34" s="17"/>
      <c r="B34" s="17" t="s">
        <v>17</v>
      </c>
      <c r="C34" s="17" t="s">
        <v>1038</v>
      </c>
      <c r="D34" s="17" t="s">
        <v>1127</v>
      </c>
      <c r="E34" s="17" t="s">
        <v>1040</v>
      </c>
      <c r="F34" s="18">
        <v>4</v>
      </c>
      <c r="G34" s="18">
        <v>45</v>
      </c>
      <c r="H34" s="18">
        <v>25</v>
      </c>
      <c r="I34" s="18">
        <f t="shared" si="0"/>
        <v>20</v>
      </c>
      <c r="J34" s="17" t="s">
        <v>135</v>
      </c>
      <c r="K34" s="17" t="s">
        <v>21</v>
      </c>
      <c r="L34" s="17" t="s">
        <v>1048</v>
      </c>
      <c r="M34" s="17" t="s">
        <v>126</v>
      </c>
      <c r="N34" s="17"/>
      <c r="O34" s="17"/>
      <c r="P34" s="17"/>
      <c r="Q34" s="17">
        <v>1</v>
      </c>
    </row>
    <row r="35" spans="1:17" x14ac:dyDescent="0.25">
      <c r="A35" s="15"/>
      <c r="B35" s="15" t="s">
        <v>17</v>
      </c>
      <c r="C35" s="15" t="s">
        <v>1128</v>
      </c>
      <c r="D35" s="15" t="s">
        <v>1129</v>
      </c>
      <c r="E35" s="15" t="s">
        <v>1130</v>
      </c>
      <c r="F35" s="16">
        <v>1</v>
      </c>
      <c r="G35" s="16">
        <v>765</v>
      </c>
      <c r="H35" s="16">
        <v>25</v>
      </c>
      <c r="I35" s="16">
        <f t="shared" si="0"/>
        <v>740</v>
      </c>
      <c r="J35" s="15" t="s">
        <v>135</v>
      </c>
      <c r="K35" s="15" t="s">
        <v>21</v>
      </c>
      <c r="L35" s="15" t="s">
        <v>1048</v>
      </c>
      <c r="M35" s="15"/>
      <c r="N35" s="15"/>
      <c r="O35" s="15"/>
      <c r="P35" s="15"/>
      <c r="Q35" s="15">
        <v>1</v>
      </c>
    </row>
    <row r="37" spans="1:17" x14ac:dyDescent="0.25">
      <c r="D37" s="1">
        <f>COUNTA(D3:D35)</f>
        <v>30</v>
      </c>
      <c r="G37" s="1">
        <f t="shared" ref="G37:Q37" si="1">SUBTOTAL(9,G3:G35)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</row>
    <row r="38" spans="1:17" x14ac:dyDescent="0.25">
      <c r="H38">
        <f>-5*17</f>
        <v>-85</v>
      </c>
    </row>
    <row r="39" spans="1:17" x14ac:dyDescent="0.25">
      <c r="A39" s="1" t="s">
        <v>17</v>
      </c>
      <c r="C39" s="40" t="s">
        <v>191</v>
      </c>
      <c r="D39" s="40"/>
      <c r="E39" s="4" t="s">
        <v>192</v>
      </c>
      <c r="H39">
        <f>-7*25</f>
        <v>-175</v>
      </c>
      <c r="K39" s="11" t="s">
        <v>135</v>
      </c>
      <c r="L39" s="11" t="s">
        <v>193</v>
      </c>
      <c r="M39" s="11" t="s">
        <v>192</v>
      </c>
      <c r="O39" s="4" t="s">
        <v>194</v>
      </c>
    </row>
    <row r="40" spans="1:17" x14ac:dyDescent="0.25">
      <c r="A40" t="s">
        <v>1048</v>
      </c>
      <c r="B40" s="3" t="s">
        <v>195</v>
      </c>
      <c r="C40" s="41">
        <f>SUMIFS(I$3:I$35,B$3:B$35,A$39,L$3:L$35,A$40)</f>
        <v>24170</v>
      </c>
      <c r="D40" s="41"/>
      <c r="E40" s="3">
        <f>SUMIFS(Q$3:Q$35,B$3:B$35,A$39,L$3:L$35,A$40)</f>
        <v>33</v>
      </c>
      <c r="F40" t="s">
        <v>196</v>
      </c>
      <c r="H40">
        <f>-1*30</f>
        <v>-30</v>
      </c>
      <c r="K40" t="s">
        <v>197</v>
      </c>
      <c r="L40">
        <f>SUMIFS(G$3:G$35,J$3:J$35,K$39)</f>
        <v>5835</v>
      </c>
      <c r="M40">
        <f>SUMIFS(Q$3:Q$35,J$3:J$35,K$39)-INT(COUNTIFS(J$3:J$35,K$39,M$3:M$35,"*gộp*")/2)</f>
        <v>9</v>
      </c>
      <c r="O40" t="s">
        <v>135</v>
      </c>
      <c r="P40">
        <f>L45</f>
        <v>5655</v>
      </c>
    </row>
    <row r="41" spans="1:17" x14ac:dyDescent="0.25">
      <c r="B41" s="2" t="s">
        <v>199</v>
      </c>
      <c r="C41" s="42">
        <v>0</v>
      </c>
      <c r="D41" s="42"/>
      <c r="K41" t="s">
        <v>200</v>
      </c>
      <c r="L41">
        <f>-SUMIFS(H$3:H$35,J$3:J$35,K$39)+M41*5</f>
        <v>-180</v>
      </c>
      <c r="M41">
        <f>SUMIFS(Q$3:Q$35,J$3:J$35,K$39)-INT(COUNTIFS(J$3:J$35,K$39,M$3:M$35,"*gộp*")/2)</f>
        <v>9</v>
      </c>
      <c r="O41" t="s">
        <v>1131</v>
      </c>
      <c r="P41">
        <f>L53</f>
        <v>10555</v>
      </c>
    </row>
    <row r="42" spans="1:17" x14ac:dyDescent="0.25">
      <c r="B42" s="2" t="s">
        <v>201</v>
      </c>
      <c r="C42" s="42">
        <f>-SUMIFS(I$3:I$35,B$3:B$35,A$39,P$3:P$35,"xx",N$3:N$35,"x")</f>
        <v>0</v>
      </c>
      <c r="D42" s="42"/>
      <c r="E42" s="2">
        <f>SUMIFS(Q$3:Q$35,B$3:B$35,A$39,P$3:P$35,"xx",N$3:N$35,"x")</f>
        <v>0</v>
      </c>
      <c r="K42" t="s">
        <v>202</v>
      </c>
      <c r="O42" t="s">
        <v>21</v>
      </c>
      <c r="P42">
        <f>L61</f>
        <v>8096</v>
      </c>
    </row>
    <row r="43" spans="1:17" x14ac:dyDescent="0.25">
      <c r="B43" s="4" t="s">
        <v>203</v>
      </c>
      <c r="C43" s="40">
        <f>SUBTOTAL(9,C40:C42)</f>
        <v>24170</v>
      </c>
      <c r="D43" s="40"/>
      <c r="E43">
        <f>E40</f>
        <v>33</v>
      </c>
      <c r="K43" s="2" t="s">
        <v>204</v>
      </c>
      <c r="O43" t="s">
        <v>207</v>
      </c>
      <c r="P43">
        <f>-C47</f>
        <v>-24170</v>
      </c>
    </row>
    <row r="44" spans="1:17" x14ac:dyDescent="0.25">
      <c r="B44" s="2" t="s">
        <v>205</v>
      </c>
      <c r="C44" s="38"/>
      <c r="D44" s="38"/>
      <c r="K44" s="2" t="s">
        <v>206</v>
      </c>
      <c r="O44" s="4" t="s">
        <v>209</v>
      </c>
      <c r="P44" s="4">
        <f>SUBTOTAL(9,P40:P43)</f>
        <v>136</v>
      </c>
    </row>
    <row r="45" spans="1:17" x14ac:dyDescent="0.25">
      <c r="B45" s="12" t="s">
        <v>208</v>
      </c>
      <c r="C45" s="38"/>
      <c r="D45" s="38"/>
      <c r="L45" s="13">
        <f>SUBTOTAL(9,L40:L44)</f>
        <v>5655</v>
      </c>
      <c r="M45" s="13">
        <f>M40</f>
        <v>9</v>
      </c>
    </row>
    <row r="47" spans="1:17" x14ac:dyDescent="0.25">
      <c r="B47" s="1" t="s">
        <v>210</v>
      </c>
      <c r="C47" s="39">
        <f>C43+C44+C45</f>
        <v>24170</v>
      </c>
      <c r="D47" s="39"/>
      <c r="E47" s="1" t="s">
        <v>211</v>
      </c>
      <c r="K47" s="11" t="s">
        <v>1047</v>
      </c>
      <c r="L47" s="11" t="s">
        <v>193</v>
      </c>
      <c r="M47" s="11" t="s">
        <v>192</v>
      </c>
    </row>
    <row r="48" spans="1:17" x14ac:dyDescent="0.25">
      <c r="K48" t="s">
        <v>197</v>
      </c>
      <c r="L48">
        <f>SUMIFS(G$3:G$35,J$3:J$35,K$47)</f>
        <v>10845</v>
      </c>
      <c r="M48">
        <f>SUMIFS(Q$3:Q$35,J$3:J$35,K$47)-INT(COUNTIFS(J$3:J$35,K$47,M$3:M$35,"*gộp*")/2)</f>
        <v>12</v>
      </c>
    </row>
    <row r="49" spans="11:13" x14ac:dyDescent="0.25">
      <c r="K49" t="s">
        <v>200</v>
      </c>
      <c r="L49">
        <f>SUM(H38:H40)</f>
        <v>-290</v>
      </c>
      <c r="M49">
        <f>SUMIFS(Q$3:Q$35,J$3:J$35,K$47)-INT(COUNTIFS(J$3:J$35,K$47,M$3:M$35,"*gộp*")/2)</f>
        <v>12</v>
      </c>
    </row>
    <row r="50" spans="11:13" x14ac:dyDescent="0.25">
      <c r="K50" t="s">
        <v>202</v>
      </c>
    </row>
    <row r="51" spans="11:13" x14ac:dyDescent="0.25">
      <c r="K51" s="2" t="s">
        <v>204</v>
      </c>
    </row>
    <row r="52" spans="11:13" x14ac:dyDescent="0.25">
      <c r="K52" s="2" t="s">
        <v>206</v>
      </c>
    </row>
    <row r="53" spans="11:13" x14ac:dyDescent="0.25">
      <c r="L53" s="13">
        <f>SUBTOTAL(9,L48:L52)</f>
        <v>10555</v>
      </c>
      <c r="M53" s="13">
        <f>M48</f>
        <v>12</v>
      </c>
    </row>
    <row r="55" spans="11:13" x14ac:dyDescent="0.25">
      <c r="K55" s="11" t="s">
        <v>21</v>
      </c>
      <c r="L55" s="11" t="s">
        <v>193</v>
      </c>
      <c r="M55" s="11" t="s">
        <v>192</v>
      </c>
    </row>
    <row r="56" spans="11:13" x14ac:dyDescent="0.25">
      <c r="K56" t="s">
        <v>197</v>
      </c>
      <c r="L56">
        <f>SUMIFS(G$3:G$35,J$3:J$35,K$55)</f>
        <v>8385</v>
      </c>
      <c r="M56">
        <f>SUMIFS(Q$3:Q$35,J$3:J$35,K$55)-INT(COUNTIFS(J$3:J$35,K$55,M$3:M$35,"*gộp*")/2)</f>
        <v>11</v>
      </c>
    </row>
    <row r="57" spans="11:13" x14ac:dyDescent="0.25">
      <c r="K57" t="s">
        <v>200</v>
      </c>
      <c r="L57">
        <f>-SUMIFS(H$3:H$35,J$3:J$35,K$55)+M57*5</f>
        <v>-225</v>
      </c>
      <c r="M57">
        <f>SUMIFS(Q$3:Q$35,J$3:J$35,K$55)-INT(COUNTIFS(J$3:J$35,K$55,M$3:M$35,"*gộp*")/2)</f>
        <v>11</v>
      </c>
    </row>
    <row r="58" spans="11:13" x14ac:dyDescent="0.25">
      <c r="K58" t="s">
        <v>202</v>
      </c>
      <c r="L58">
        <f>-M58*2</f>
        <v>-64</v>
      </c>
      <c r="M58">
        <f>E43-(COUNTIFS(M$3:M$35,"*gộp*")/2)-COUNTIFS(M$3:M$35,"*đơn trả*")-COUNTIFS(M$3:M$35,"*hàng tỉnh*")</f>
        <v>32</v>
      </c>
    </row>
    <row r="59" spans="11:13" x14ac:dyDescent="0.25">
      <c r="K59" s="2" t="s">
        <v>204</v>
      </c>
    </row>
    <row r="60" spans="11:13" x14ac:dyDescent="0.25">
      <c r="K60" s="2" t="s">
        <v>206</v>
      </c>
    </row>
    <row r="61" spans="11:13" x14ac:dyDescent="0.25">
      <c r="L61" s="13">
        <f>SUBTOTAL(9,L56:L60)</f>
        <v>8096</v>
      </c>
      <c r="M61" s="13">
        <f>M56</f>
        <v>11</v>
      </c>
    </row>
  </sheetData>
  <autoFilter ref="A2:P35" xr:uid="{00000000-0009-0000-0000-000009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73"/>
  <sheetViews>
    <sheetView topLeftCell="A31" workbookViewId="0">
      <selection activeCell="P47" sqref="P47"/>
    </sheetView>
  </sheetViews>
  <sheetFormatPr defaultRowHeight="15" x14ac:dyDescent="0.25"/>
  <cols>
    <col min="1" max="1" width="12.7109375" customWidth="1"/>
    <col min="2" max="2" width="17.7109375" customWidth="1"/>
    <col min="3" max="3" width="31.140625" bestFit="1" customWidth="1"/>
    <col min="4" max="4" width="9.5703125" bestFit="1" customWidth="1"/>
    <col min="5" max="5" width="78" bestFit="1" customWidth="1"/>
    <col min="6" max="6" width="10.57031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28515625" bestFit="1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32" t="s">
        <v>15</v>
      </c>
    </row>
    <row r="3" spans="1:18" x14ac:dyDescent="0.25">
      <c r="A3" s="15"/>
      <c r="B3" s="15" t="s">
        <v>17</v>
      </c>
      <c r="C3" s="15" t="s">
        <v>1132</v>
      </c>
      <c r="D3" s="15" t="s">
        <v>1133</v>
      </c>
      <c r="E3" s="15" t="s">
        <v>1134</v>
      </c>
      <c r="F3" s="16">
        <v>9</v>
      </c>
      <c r="G3" s="16">
        <v>980</v>
      </c>
      <c r="H3" s="16">
        <v>30</v>
      </c>
      <c r="I3" s="16">
        <f t="shared" ref="I3:I39" si="0">G3-H3</f>
        <v>950</v>
      </c>
      <c r="J3" s="15" t="s">
        <v>20</v>
      </c>
      <c r="K3" s="15" t="s">
        <v>21</v>
      </c>
      <c r="L3" s="15" t="s">
        <v>1135</v>
      </c>
      <c r="M3" s="15"/>
      <c r="N3" s="15"/>
      <c r="O3" s="15"/>
      <c r="Q3">
        <v>1</v>
      </c>
    </row>
    <row r="4" spans="1:18" x14ac:dyDescent="0.25">
      <c r="A4" s="15"/>
      <c r="B4" s="15" t="s">
        <v>17</v>
      </c>
      <c r="C4" s="15" t="s">
        <v>1136</v>
      </c>
      <c r="D4" s="15" t="s">
        <v>1137</v>
      </c>
      <c r="E4" s="15" t="s">
        <v>1138</v>
      </c>
      <c r="F4" s="15" t="s">
        <v>26</v>
      </c>
      <c r="G4" s="16">
        <v>0</v>
      </c>
      <c r="H4" s="16">
        <v>30</v>
      </c>
      <c r="I4" s="16">
        <f t="shared" si="0"/>
        <v>-30</v>
      </c>
      <c r="J4" s="15" t="s">
        <v>1139</v>
      </c>
      <c r="K4" s="15" t="s">
        <v>21</v>
      </c>
      <c r="L4" s="15" t="s">
        <v>1135</v>
      </c>
      <c r="M4" s="15"/>
      <c r="N4" s="15"/>
      <c r="O4" s="15"/>
      <c r="Q4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1140</v>
      </c>
      <c r="D5" s="15" t="s">
        <v>1141</v>
      </c>
      <c r="E5" s="15" t="s">
        <v>1142</v>
      </c>
      <c r="F5" s="16">
        <v>7</v>
      </c>
      <c r="G5" s="16">
        <v>810</v>
      </c>
      <c r="H5" s="16">
        <v>30</v>
      </c>
      <c r="I5" s="16">
        <f t="shared" si="0"/>
        <v>780</v>
      </c>
      <c r="J5" s="15" t="s">
        <v>1139</v>
      </c>
      <c r="K5" s="15" t="s">
        <v>21</v>
      </c>
      <c r="L5" s="15" t="s">
        <v>1135</v>
      </c>
      <c r="M5" s="15"/>
      <c r="N5" s="15"/>
      <c r="O5" s="15"/>
      <c r="Q5">
        <v>1</v>
      </c>
    </row>
    <row r="6" spans="1:18" x14ac:dyDescent="0.25">
      <c r="A6" s="15"/>
      <c r="B6" s="15" t="s">
        <v>17</v>
      </c>
      <c r="C6" s="15" t="s">
        <v>1143</v>
      </c>
      <c r="D6" s="15" t="s">
        <v>1144</v>
      </c>
      <c r="E6" s="15" t="s">
        <v>1145</v>
      </c>
      <c r="F6" s="16">
        <v>8</v>
      </c>
      <c r="G6" s="16">
        <v>1550</v>
      </c>
      <c r="H6" s="16">
        <v>30</v>
      </c>
      <c r="I6" s="16">
        <f t="shared" si="0"/>
        <v>1520</v>
      </c>
      <c r="J6" s="15" t="s">
        <v>1139</v>
      </c>
      <c r="K6" s="15" t="s">
        <v>21</v>
      </c>
      <c r="L6" s="15" t="s">
        <v>1135</v>
      </c>
      <c r="M6" s="15"/>
      <c r="N6" s="15"/>
      <c r="O6" s="15"/>
      <c r="Q6">
        <v>1</v>
      </c>
    </row>
    <row r="7" spans="1:18" x14ac:dyDescent="0.25">
      <c r="A7" s="15"/>
      <c r="B7" s="15" t="s">
        <v>17</v>
      </c>
      <c r="C7" s="15" t="s">
        <v>1146</v>
      </c>
      <c r="D7" s="15" t="s">
        <v>1147</v>
      </c>
      <c r="E7" s="15" t="s">
        <v>1148</v>
      </c>
      <c r="F7" s="15" t="s">
        <v>46</v>
      </c>
      <c r="G7" s="16">
        <v>835</v>
      </c>
      <c r="H7" s="16">
        <v>25</v>
      </c>
      <c r="I7" s="16">
        <f t="shared" si="0"/>
        <v>810</v>
      </c>
      <c r="J7" s="15" t="s">
        <v>1139</v>
      </c>
      <c r="K7" s="15" t="s">
        <v>21</v>
      </c>
      <c r="L7" s="15" t="s">
        <v>1135</v>
      </c>
      <c r="M7" s="15"/>
      <c r="N7" s="15"/>
      <c r="O7" s="15"/>
      <c r="Q7">
        <v>1</v>
      </c>
    </row>
    <row r="8" spans="1:18" x14ac:dyDescent="0.25">
      <c r="A8" s="15"/>
      <c r="B8" s="15" t="s">
        <v>17</v>
      </c>
      <c r="C8" s="15" t="s">
        <v>1149</v>
      </c>
      <c r="D8" s="15" t="s">
        <v>1150</v>
      </c>
      <c r="E8" s="15" t="s">
        <v>1151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1139</v>
      </c>
      <c r="K8" s="15" t="s">
        <v>21</v>
      </c>
      <c r="L8" s="15" t="s">
        <v>1135</v>
      </c>
      <c r="M8" s="15"/>
      <c r="N8" s="15"/>
      <c r="O8" s="15"/>
      <c r="Q8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1152</v>
      </c>
      <c r="D9" s="15" t="s">
        <v>1153</v>
      </c>
      <c r="E9" s="15" t="s">
        <v>1154</v>
      </c>
      <c r="F9" s="15" t="s">
        <v>46</v>
      </c>
      <c r="G9" s="16">
        <v>805</v>
      </c>
      <c r="H9" s="16">
        <v>25</v>
      </c>
      <c r="I9" s="16">
        <f t="shared" si="0"/>
        <v>780</v>
      </c>
      <c r="J9" s="15" t="s">
        <v>1139</v>
      </c>
      <c r="K9" s="15" t="s">
        <v>21</v>
      </c>
      <c r="L9" s="15" t="s">
        <v>1135</v>
      </c>
      <c r="M9" s="15"/>
      <c r="N9" s="15"/>
      <c r="O9" s="15"/>
      <c r="Q9">
        <v>1</v>
      </c>
    </row>
    <row r="10" spans="1:18" x14ac:dyDescent="0.25">
      <c r="A10" s="15"/>
      <c r="B10" s="15" t="s">
        <v>17</v>
      </c>
      <c r="C10" s="15" t="s">
        <v>1155</v>
      </c>
      <c r="D10" s="15" t="s">
        <v>1156</v>
      </c>
      <c r="E10" s="15" t="s">
        <v>1157</v>
      </c>
      <c r="F10" s="15" t="s">
        <v>26</v>
      </c>
      <c r="G10" s="16">
        <v>0</v>
      </c>
      <c r="H10" s="16">
        <v>30</v>
      </c>
      <c r="I10" s="16">
        <f t="shared" si="0"/>
        <v>-30</v>
      </c>
      <c r="J10" s="15" t="s">
        <v>1139</v>
      </c>
      <c r="K10" s="15" t="s">
        <v>21</v>
      </c>
      <c r="L10" s="15" t="s">
        <v>1135</v>
      </c>
      <c r="M10" s="15"/>
      <c r="N10" s="15"/>
      <c r="O10" s="15"/>
      <c r="Q10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1158</v>
      </c>
      <c r="D11" s="15" t="s">
        <v>1159</v>
      </c>
      <c r="E11" s="15" t="s">
        <v>1160</v>
      </c>
      <c r="F11" s="15" t="s">
        <v>26</v>
      </c>
      <c r="G11" s="16">
        <v>810</v>
      </c>
      <c r="H11" s="16">
        <v>30</v>
      </c>
      <c r="I11" s="16">
        <f t="shared" si="0"/>
        <v>780</v>
      </c>
      <c r="J11" s="15" t="s">
        <v>1139</v>
      </c>
      <c r="K11" s="15" t="s">
        <v>21</v>
      </c>
      <c r="L11" s="15" t="s">
        <v>1135</v>
      </c>
      <c r="M11" s="15"/>
      <c r="N11" s="15"/>
      <c r="O11" s="15"/>
      <c r="Q11">
        <v>1</v>
      </c>
    </row>
    <row r="12" spans="1:18" x14ac:dyDescent="0.25">
      <c r="A12" s="15"/>
      <c r="B12" s="15" t="s">
        <v>17</v>
      </c>
      <c r="C12" s="15" t="s">
        <v>1161</v>
      </c>
      <c r="D12" s="15" t="s">
        <v>1162</v>
      </c>
      <c r="E12" s="15" t="s">
        <v>1163</v>
      </c>
      <c r="F12" s="16">
        <v>7</v>
      </c>
      <c r="G12" s="16">
        <v>720</v>
      </c>
      <c r="H12" s="16">
        <v>30</v>
      </c>
      <c r="I12" s="16">
        <f t="shared" si="0"/>
        <v>690</v>
      </c>
      <c r="J12" s="15" t="s">
        <v>1139</v>
      </c>
      <c r="K12" s="15" t="s">
        <v>21</v>
      </c>
      <c r="L12" s="15" t="s">
        <v>1135</v>
      </c>
      <c r="M12" s="15"/>
      <c r="N12" s="15"/>
      <c r="O12" s="15"/>
      <c r="Q12">
        <v>1</v>
      </c>
    </row>
    <row r="13" spans="1:18" x14ac:dyDescent="0.25">
      <c r="A13" s="15"/>
      <c r="B13" s="15" t="s">
        <v>17</v>
      </c>
      <c r="C13" s="15" t="s">
        <v>1164</v>
      </c>
      <c r="D13" s="15" t="s">
        <v>1165</v>
      </c>
      <c r="E13" s="15" t="s">
        <v>1166</v>
      </c>
      <c r="F13" s="15" t="s">
        <v>46</v>
      </c>
      <c r="G13" s="16">
        <v>0</v>
      </c>
      <c r="H13" s="16">
        <v>25</v>
      </c>
      <c r="I13" s="16">
        <f t="shared" si="0"/>
        <v>-25</v>
      </c>
      <c r="J13" s="15" t="s">
        <v>1139</v>
      </c>
      <c r="K13" s="15" t="s">
        <v>21</v>
      </c>
      <c r="L13" s="15" t="s">
        <v>1135</v>
      </c>
      <c r="M13" s="15"/>
      <c r="N13" s="15"/>
      <c r="O13" s="15"/>
      <c r="Q13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1167</v>
      </c>
      <c r="D14" s="15" t="s">
        <v>1168</v>
      </c>
      <c r="E14" s="15" t="s">
        <v>1169</v>
      </c>
      <c r="F14" s="16">
        <v>8</v>
      </c>
      <c r="G14" s="16">
        <v>810</v>
      </c>
      <c r="H14" s="16">
        <v>30</v>
      </c>
      <c r="I14" s="16">
        <f t="shared" si="0"/>
        <v>780</v>
      </c>
      <c r="J14" s="15" t="s">
        <v>1139</v>
      </c>
      <c r="K14" s="15" t="s">
        <v>21</v>
      </c>
      <c r="L14" s="15" t="s">
        <v>1135</v>
      </c>
      <c r="M14" s="15"/>
      <c r="N14" s="15"/>
      <c r="O14" s="15"/>
      <c r="Q14">
        <v>1</v>
      </c>
    </row>
    <row r="15" spans="1:18" x14ac:dyDescent="0.25">
      <c r="A15" s="15"/>
      <c r="B15" s="15" t="s">
        <v>17</v>
      </c>
      <c r="C15" s="15" t="s">
        <v>1170</v>
      </c>
      <c r="D15" s="15" t="s">
        <v>1171</v>
      </c>
      <c r="E15" s="15" t="s">
        <v>1172</v>
      </c>
      <c r="F15" s="15" t="s">
        <v>26</v>
      </c>
      <c r="G15" s="16">
        <v>750</v>
      </c>
      <c r="H15" s="16">
        <v>30</v>
      </c>
      <c r="I15" s="16">
        <f t="shared" si="0"/>
        <v>720</v>
      </c>
      <c r="J15" s="15" t="s">
        <v>1139</v>
      </c>
      <c r="K15" s="15" t="s">
        <v>21</v>
      </c>
      <c r="L15" s="15" t="s">
        <v>1135</v>
      </c>
      <c r="M15" s="15"/>
      <c r="N15" s="15"/>
      <c r="O15" s="15"/>
      <c r="Q15">
        <v>1</v>
      </c>
    </row>
    <row r="16" spans="1:18" x14ac:dyDescent="0.25">
      <c r="A16" s="15" t="s">
        <v>16</v>
      </c>
      <c r="B16" s="15" t="s">
        <v>17</v>
      </c>
      <c r="C16" s="15" t="s">
        <v>1173</v>
      </c>
      <c r="D16" s="15"/>
      <c r="E16" s="15" t="s">
        <v>1174</v>
      </c>
      <c r="F16" s="15" t="s">
        <v>95</v>
      </c>
      <c r="G16" s="16">
        <v>0</v>
      </c>
      <c r="H16" s="16">
        <v>40</v>
      </c>
      <c r="I16" s="16">
        <f t="shared" si="0"/>
        <v>-40</v>
      </c>
      <c r="J16" s="15" t="s">
        <v>21</v>
      </c>
      <c r="K16" s="15" t="s">
        <v>21</v>
      </c>
      <c r="L16" s="15" t="s">
        <v>1135</v>
      </c>
      <c r="M16" s="15"/>
      <c r="N16" s="15"/>
      <c r="O16" s="15"/>
      <c r="Q16">
        <v>1</v>
      </c>
      <c r="R16" s="10">
        <f>H16</f>
        <v>40</v>
      </c>
    </row>
    <row r="17" spans="1:18" x14ac:dyDescent="0.25">
      <c r="A17" s="15" t="s">
        <v>16</v>
      </c>
      <c r="B17" s="15" t="s">
        <v>17</v>
      </c>
      <c r="C17" s="15" t="s">
        <v>370</v>
      </c>
      <c r="D17" s="15"/>
      <c r="E17" s="15" t="s">
        <v>1175</v>
      </c>
      <c r="F17" s="15" t="s">
        <v>77</v>
      </c>
      <c r="G17" s="16">
        <v>30</v>
      </c>
      <c r="H17" s="16">
        <v>30</v>
      </c>
      <c r="I17" s="16">
        <f t="shared" si="0"/>
        <v>0</v>
      </c>
      <c r="J17" s="15" t="s">
        <v>21</v>
      </c>
      <c r="K17" s="15" t="s">
        <v>21</v>
      </c>
      <c r="L17" s="15" t="s">
        <v>1135</v>
      </c>
      <c r="M17" s="15"/>
      <c r="N17" s="15"/>
      <c r="O17" s="15"/>
      <c r="Q17">
        <v>1</v>
      </c>
    </row>
    <row r="18" spans="1:18" x14ac:dyDescent="0.25">
      <c r="A18" s="15"/>
      <c r="B18" s="15" t="s">
        <v>17</v>
      </c>
      <c r="C18" s="15" t="s">
        <v>1176</v>
      </c>
      <c r="D18" s="15" t="s">
        <v>1177</v>
      </c>
      <c r="E18" s="15" t="s">
        <v>1178</v>
      </c>
      <c r="F18" s="15" t="s">
        <v>77</v>
      </c>
      <c r="G18" s="16">
        <v>25</v>
      </c>
      <c r="H18" s="16">
        <v>25</v>
      </c>
      <c r="I18" s="16">
        <f t="shared" si="0"/>
        <v>0</v>
      </c>
      <c r="J18" s="15" t="s">
        <v>21</v>
      </c>
      <c r="K18" s="15" t="s">
        <v>21</v>
      </c>
      <c r="L18" s="15" t="s">
        <v>1135</v>
      </c>
      <c r="M18" s="15"/>
      <c r="N18" s="15"/>
      <c r="O18" s="15"/>
      <c r="Q18">
        <v>1</v>
      </c>
    </row>
    <row r="19" spans="1:18" x14ac:dyDescent="0.25">
      <c r="A19" s="15"/>
      <c r="B19" s="15" t="s">
        <v>17</v>
      </c>
      <c r="C19" s="15" t="s">
        <v>809</v>
      </c>
      <c r="D19" s="15" t="s">
        <v>1179</v>
      </c>
      <c r="E19" s="15" t="s">
        <v>811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1135</v>
      </c>
      <c r="M19" s="15"/>
      <c r="N19" s="15"/>
      <c r="O19" s="15"/>
      <c r="Q19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1180</v>
      </c>
      <c r="D20" s="15" t="s">
        <v>1181</v>
      </c>
      <c r="E20" s="15" t="s">
        <v>1182</v>
      </c>
      <c r="F20" s="15" t="s">
        <v>95</v>
      </c>
      <c r="G20" s="16">
        <v>1145</v>
      </c>
      <c r="H20" s="16">
        <v>25</v>
      </c>
      <c r="I20" s="16">
        <f t="shared" si="0"/>
        <v>1120</v>
      </c>
      <c r="J20" s="15" t="s">
        <v>21</v>
      </c>
      <c r="K20" s="15" t="s">
        <v>21</v>
      </c>
      <c r="L20" s="15" t="s">
        <v>1135</v>
      </c>
      <c r="M20" s="15"/>
      <c r="N20" s="15"/>
      <c r="O20" s="15"/>
      <c r="Q20">
        <v>1</v>
      </c>
    </row>
    <row r="21" spans="1:18" x14ac:dyDescent="0.25">
      <c r="A21" s="15"/>
      <c r="B21" s="15" t="s">
        <v>17</v>
      </c>
      <c r="C21" s="15" t="s">
        <v>1183</v>
      </c>
      <c r="D21" s="15" t="s">
        <v>1184</v>
      </c>
      <c r="E21" s="15" t="s">
        <v>1185</v>
      </c>
      <c r="F21" s="15" t="s">
        <v>81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1135</v>
      </c>
      <c r="M21" s="15"/>
      <c r="N21" s="15"/>
      <c r="O21" s="15"/>
      <c r="Q21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1186</v>
      </c>
      <c r="D22" s="15" t="s">
        <v>1187</v>
      </c>
      <c r="E22" s="15" t="s">
        <v>1188</v>
      </c>
      <c r="F22" s="15" t="s">
        <v>85</v>
      </c>
      <c r="G22" s="16">
        <v>660</v>
      </c>
      <c r="H22" s="16">
        <v>20</v>
      </c>
      <c r="I22" s="16">
        <f t="shared" si="0"/>
        <v>640</v>
      </c>
      <c r="J22" s="15" t="s">
        <v>21</v>
      </c>
      <c r="K22" s="15" t="s">
        <v>21</v>
      </c>
      <c r="L22" s="15" t="s">
        <v>1135</v>
      </c>
      <c r="M22" s="15"/>
      <c r="N22" s="15"/>
      <c r="O22" s="15"/>
      <c r="Q22">
        <v>1</v>
      </c>
    </row>
    <row r="23" spans="1:18" x14ac:dyDescent="0.25">
      <c r="A23" s="15"/>
      <c r="B23" s="15" t="s">
        <v>17</v>
      </c>
      <c r="C23" s="15" t="s">
        <v>120</v>
      </c>
      <c r="D23" s="15" t="s">
        <v>1189</v>
      </c>
      <c r="E23" s="15" t="s">
        <v>1190</v>
      </c>
      <c r="F23" s="15" t="s">
        <v>85</v>
      </c>
      <c r="G23" s="16">
        <v>800</v>
      </c>
      <c r="H23" s="16">
        <v>20</v>
      </c>
      <c r="I23" s="16">
        <f t="shared" si="0"/>
        <v>780</v>
      </c>
      <c r="J23" s="15" t="s">
        <v>21</v>
      </c>
      <c r="K23" s="15" t="s">
        <v>21</v>
      </c>
      <c r="L23" s="15" t="s">
        <v>1135</v>
      </c>
      <c r="M23" s="15"/>
      <c r="N23" s="15"/>
      <c r="O23" s="15"/>
      <c r="Q23">
        <v>1</v>
      </c>
    </row>
    <row r="24" spans="1:18" x14ac:dyDescent="0.25">
      <c r="A24" s="15"/>
      <c r="B24" s="15" t="s">
        <v>17</v>
      </c>
      <c r="C24" s="15" t="s">
        <v>1191</v>
      </c>
      <c r="D24" s="15" t="s">
        <v>1192</v>
      </c>
      <c r="E24" s="15" t="s">
        <v>1193</v>
      </c>
      <c r="F24" s="15" t="s">
        <v>77</v>
      </c>
      <c r="G24" s="16">
        <v>825</v>
      </c>
      <c r="H24" s="16">
        <v>25</v>
      </c>
      <c r="I24" s="16">
        <f t="shared" si="0"/>
        <v>800</v>
      </c>
      <c r="J24" s="15" t="s">
        <v>21</v>
      </c>
      <c r="K24" s="15" t="s">
        <v>21</v>
      </c>
      <c r="L24" s="15" t="s">
        <v>1135</v>
      </c>
      <c r="M24" s="15"/>
      <c r="N24" s="15"/>
      <c r="O24" s="15"/>
      <c r="Q24">
        <v>1</v>
      </c>
    </row>
    <row r="25" spans="1:18" x14ac:dyDescent="0.25">
      <c r="A25" s="15" t="s">
        <v>16</v>
      </c>
      <c r="B25" s="15" t="s">
        <v>17</v>
      </c>
      <c r="C25" s="15" t="s">
        <v>1194</v>
      </c>
      <c r="D25" s="15"/>
      <c r="E25" s="15" t="s">
        <v>1195</v>
      </c>
      <c r="F25" s="15" t="s">
        <v>95</v>
      </c>
      <c r="G25" s="16">
        <v>0</v>
      </c>
      <c r="H25" s="16">
        <v>40</v>
      </c>
      <c r="I25" s="16">
        <f t="shared" si="0"/>
        <v>-40</v>
      </c>
      <c r="J25" s="15" t="s">
        <v>21</v>
      </c>
      <c r="K25" s="15" t="s">
        <v>21</v>
      </c>
      <c r="L25" s="15" t="s">
        <v>1135</v>
      </c>
      <c r="M25" s="15"/>
      <c r="N25" s="15"/>
      <c r="O25" s="15"/>
      <c r="Q25">
        <v>1</v>
      </c>
      <c r="R25" s="10">
        <f>H25</f>
        <v>40</v>
      </c>
    </row>
    <row r="26" spans="1:18" x14ac:dyDescent="0.25">
      <c r="A26" s="15" t="s">
        <v>16</v>
      </c>
      <c r="B26" s="15" t="s">
        <v>17</v>
      </c>
      <c r="C26" s="15" t="s">
        <v>1196</v>
      </c>
      <c r="D26" s="15"/>
      <c r="E26" s="15" t="s">
        <v>1197</v>
      </c>
      <c r="F26" s="16">
        <v>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1135</v>
      </c>
      <c r="M26" s="15"/>
      <c r="N26" s="15"/>
      <c r="O26" s="15"/>
      <c r="Q26">
        <v>1</v>
      </c>
      <c r="R26" s="10">
        <f>H26</f>
        <v>30</v>
      </c>
    </row>
    <row r="27" spans="1:18" x14ac:dyDescent="0.25">
      <c r="A27" s="15" t="s">
        <v>16</v>
      </c>
      <c r="B27" s="15" t="s">
        <v>17</v>
      </c>
      <c r="C27" s="15" t="s">
        <v>504</v>
      </c>
      <c r="D27" s="15"/>
      <c r="E27" s="15" t="s">
        <v>505</v>
      </c>
      <c r="F27" s="15" t="s">
        <v>95</v>
      </c>
      <c r="G27" s="16">
        <v>0</v>
      </c>
      <c r="H27" s="16">
        <v>30</v>
      </c>
      <c r="I27" s="16">
        <f t="shared" si="0"/>
        <v>-30</v>
      </c>
      <c r="J27" s="15" t="s">
        <v>135</v>
      </c>
      <c r="K27" s="15" t="s">
        <v>21</v>
      </c>
      <c r="L27" s="15" t="s">
        <v>1135</v>
      </c>
      <c r="M27" s="15"/>
      <c r="N27" s="15"/>
      <c r="O27" s="15"/>
      <c r="Q27">
        <v>1</v>
      </c>
      <c r="R27" s="10">
        <f>H27</f>
        <v>30</v>
      </c>
    </row>
    <row r="28" spans="1:18" x14ac:dyDescent="0.25">
      <c r="A28" s="15"/>
      <c r="B28" s="15" t="s">
        <v>17</v>
      </c>
      <c r="C28" s="15" t="s">
        <v>1198</v>
      </c>
      <c r="D28" s="15" t="s">
        <v>1199</v>
      </c>
      <c r="E28" s="15" t="s">
        <v>1200</v>
      </c>
      <c r="F28" s="16">
        <v>10</v>
      </c>
      <c r="G28" s="16">
        <v>805</v>
      </c>
      <c r="H28" s="16">
        <v>25</v>
      </c>
      <c r="I28" s="16">
        <f t="shared" si="0"/>
        <v>780</v>
      </c>
      <c r="J28" s="15" t="s">
        <v>135</v>
      </c>
      <c r="K28" s="15" t="s">
        <v>21</v>
      </c>
      <c r="L28" s="15" t="s">
        <v>1135</v>
      </c>
      <c r="M28" s="15"/>
      <c r="N28" s="15"/>
      <c r="O28" s="15"/>
      <c r="Q28">
        <v>1</v>
      </c>
    </row>
    <row r="29" spans="1:18" x14ac:dyDescent="0.25">
      <c r="A29" s="15"/>
      <c r="B29" s="15" t="s">
        <v>17</v>
      </c>
      <c r="C29" s="15" t="s">
        <v>1201</v>
      </c>
      <c r="D29" s="15" t="s">
        <v>1202</v>
      </c>
      <c r="E29" s="15" t="s">
        <v>1203</v>
      </c>
      <c r="F29" s="16">
        <v>4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1135</v>
      </c>
      <c r="M29" s="15"/>
      <c r="N29" s="15"/>
      <c r="O29" s="15"/>
      <c r="Q29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1204</v>
      </c>
      <c r="D30" s="15" t="s">
        <v>1205</v>
      </c>
      <c r="E30" s="15" t="s">
        <v>1206</v>
      </c>
      <c r="F30" s="15" t="s">
        <v>95</v>
      </c>
      <c r="G30" s="16">
        <v>1655</v>
      </c>
      <c r="H30" s="16">
        <v>25</v>
      </c>
      <c r="I30" s="16">
        <f t="shared" si="0"/>
        <v>1630</v>
      </c>
      <c r="J30" s="15" t="s">
        <v>135</v>
      </c>
      <c r="K30" s="15" t="s">
        <v>21</v>
      </c>
      <c r="L30" s="15" t="s">
        <v>1135</v>
      </c>
      <c r="M30" s="15"/>
      <c r="N30" s="15"/>
      <c r="O30" s="15"/>
      <c r="Q30">
        <v>1</v>
      </c>
    </row>
    <row r="31" spans="1:18" x14ac:dyDescent="0.25">
      <c r="A31" s="15"/>
      <c r="B31" s="15" t="s">
        <v>17</v>
      </c>
      <c r="C31" s="15" t="s">
        <v>1207</v>
      </c>
      <c r="D31" s="15" t="s">
        <v>1208</v>
      </c>
      <c r="E31" s="15" t="s">
        <v>1209</v>
      </c>
      <c r="F31" s="16">
        <v>10</v>
      </c>
      <c r="G31" s="16">
        <v>375</v>
      </c>
      <c r="H31" s="16">
        <v>25</v>
      </c>
      <c r="I31" s="16">
        <f t="shared" si="0"/>
        <v>350</v>
      </c>
      <c r="J31" s="15" t="s">
        <v>135</v>
      </c>
      <c r="K31" s="15" t="s">
        <v>21</v>
      </c>
      <c r="L31" s="15" t="s">
        <v>1135</v>
      </c>
      <c r="M31" s="15"/>
      <c r="N31" s="15"/>
      <c r="O31" s="15"/>
      <c r="Q31">
        <v>1</v>
      </c>
    </row>
    <row r="32" spans="1:18" x14ac:dyDescent="0.25">
      <c r="A32" s="15"/>
      <c r="B32" s="15" t="s">
        <v>17</v>
      </c>
      <c r="C32" s="15" t="s">
        <v>1210</v>
      </c>
      <c r="D32" s="15" t="s">
        <v>1211</v>
      </c>
      <c r="E32" s="15" t="s">
        <v>1212</v>
      </c>
      <c r="F32" s="16">
        <v>4</v>
      </c>
      <c r="G32" s="16">
        <v>1455</v>
      </c>
      <c r="H32" s="16">
        <v>25</v>
      </c>
      <c r="I32" s="16">
        <f t="shared" si="0"/>
        <v>1430</v>
      </c>
      <c r="J32" s="15" t="s">
        <v>135</v>
      </c>
      <c r="K32" s="15" t="s">
        <v>21</v>
      </c>
      <c r="L32" s="15" t="s">
        <v>1135</v>
      </c>
      <c r="M32" s="15"/>
      <c r="N32" s="15"/>
      <c r="O32" s="15"/>
      <c r="Q32">
        <v>1</v>
      </c>
    </row>
    <row r="33" spans="1:18" x14ac:dyDescent="0.25">
      <c r="A33" s="15"/>
      <c r="B33" s="15" t="s">
        <v>17</v>
      </c>
      <c r="C33" s="15" t="s">
        <v>1213</v>
      </c>
      <c r="D33" s="15" t="s">
        <v>1214</v>
      </c>
      <c r="E33" s="15" t="s">
        <v>1215</v>
      </c>
      <c r="F33" s="16">
        <v>5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1135</v>
      </c>
      <c r="M33" s="15"/>
      <c r="N33" s="15"/>
      <c r="O33" s="15"/>
      <c r="Q33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1119</v>
      </c>
      <c r="D34" s="15" t="s">
        <v>1216</v>
      </c>
      <c r="E34" s="15" t="s">
        <v>1121</v>
      </c>
      <c r="F34" s="16">
        <v>3</v>
      </c>
      <c r="G34" s="16">
        <v>715</v>
      </c>
      <c r="H34" s="16">
        <v>25</v>
      </c>
      <c r="I34" s="16">
        <f t="shared" si="0"/>
        <v>690</v>
      </c>
      <c r="J34" s="15" t="s">
        <v>135</v>
      </c>
      <c r="K34" s="15" t="s">
        <v>21</v>
      </c>
      <c r="L34" s="15" t="s">
        <v>1135</v>
      </c>
      <c r="M34" s="15"/>
      <c r="N34" s="15"/>
      <c r="O34" s="15"/>
      <c r="Q34">
        <v>1</v>
      </c>
    </row>
    <row r="35" spans="1:18" x14ac:dyDescent="0.25">
      <c r="A35" s="15"/>
      <c r="B35" s="15" t="s">
        <v>17</v>
      </c>
      <c r="C35" s="15" t="s">
        <v>114</v>
      </c>
      <c r="D35" s="15" t="s">
        <v>1217</v>
      </c>
      <c r="E35" s="15" t="s">
        <v>1218</v>
      </c>
      <c r="F35" s="16">
        <v>10</v>
      </c>
      <c r="G35" s="16">
        <v>895</v>
      </c>
      <c r="H35" s="16">
        <v>25</v>
      </c>
      <c r="I35" s="16">
        <f t="shared" si="0"/>
        <v>870</v>
      </c>
      <c r="J35" s="15" t="s">
        <v>135</v>
      </c>
      <c r="K35" s="15" t="s">
        <v>21</v>
      </c>
      <c r="L35" s="15" t="s">
        <v>1135</v>
      </c>
      <c r="M35" s="15"/>
      <c r="N35" s="15"/>
      <c r="O35" s="15"/>
      <c r="Q35">
        <v>1</v>
      </c>
    </row>
    <row r="36" spans="1:18" x14ac:dyDescent="0.25">
      <c r="A36" s="15"/>
      <c r="B36" s="15" t="s">
        <v>17</v>
      </c>
      <c r="C36" s="15" t="s">
        <v>180</v>
      </c>
      <c r="D36" s="15" t="s">
        <v>1219</v>
      </c>
      <c r="E36" s="15" t="s">
        <v>182</v>
      </c>
      <c r="F36" s="16">
        <v>3</v>
      </c>
      <c r="G36" s="16">
        <v>0</v>
      </c>
      <c r="H36" s="16">
        <v>25</v>
      </c>
      <c r="I36" s="16">
        <f t="shared" si="0"/>
        <v>-25</v>
      </c>
      <c r="J36" s="15" t="s">
        <v>135</v>
      </c>
      <c r="K36" s="15" t="s">
        <v>21</v>
      </c>
      <c r="L36" s="15" t="s">
        <v>1135</v>
      </c>
      <c r="M36" s="15"/>
      <c r="N36" s="15"/>
      <c r="O36" s="15"/>
      <c r="Q36">
        <v>1</v>
      </c>
      <c r="R36" s="10">
        <f>H36</f>
        <v>25</v>
      </c>
    </row>
    <row r="37" spans="1:18" x14ac:dyDescent="0.25">
      <c r="A37" s="15"/>
      <c r="B37" s="15" t="s">
        <v>17</v>
      </c>
      <c r="C37" s="15" t="s">
        <v>1220</v>
      </c>
      <c r="D37" s="15" t="s">
        <v>1221</v>
      </c>
      <c r="E37" s="15" t="s">
        <v>1222</v>
      </c>
      <c r="F37" s="16">
        <v>4</v>
      </c>
      <c r="G37" s="16">
        <v>815</v>
      </c>
      <c r="H37" s="16">
        <v>25</v>
      </c>
      <c r="I37" s="16">
        <f t="shared" si="0"/>
        <v>790</v>
      </c>
      <c r="J37" s="15" t="s">
        <v>135</v>
      </c>
      <c r="K37" s="15" t="s">
        <v>21</v>
      </c>
      <c r="L37" s="15" t="s">
        <v>1135</v>
      </c>
      <c r="M37" s="15"/>
      <c r="N37" s="15"/>
      <c r="O37" s="15"/>
      <c r="Q37">
        <v>1</v>
      </c>
    </row>
    <row r="38" spans="1:18" x14ac:dyDescent="0.25">
      <c r="A38" s="15"/>
      <c r="B38" s="15" t="s">
        <v>17</v>
      </c>
      <c r="C38" s="15" t="s">
        <v>1223</v>
      </c>
      <c r="D38" s="15" t="s">
        <v>1224</v>
      </c>
      <c r="E38" s="15" t="s">
        <v>1225</v>
      </c>
      <c r="F38" s="16">
        <v>4</v>
      </c>
      <c r="G38" s="16">
        <v>3100</v>
      </c>
      <c r="H38" s="16">
        <v>35</v>
      </c>
      <c r="I38" s="16">
        <f t="shared" si="0"/>
        <v>3065</v>
      </c>
      <c r="J38" s="15" t="s">
        <v>135</v>
      </c>
      <c r="K38" s="15" t="s">
        <v>21</v>
      </c>
      <c r="L38" s="15" t="s">
        <v>1135</v>
      </c>
      <c r="M38" s="20" t="s">
        <v>167</v>
      </c>
      <c r="N38" s="15"/>
      <c r="O38" s="15"/>
      <c r="Q38">
        <v>1</v>
      </c>
      <c r="R38" s="10">
        <f>H38</f>
        <v>35</v>
      </c>
    </row>
    <row r="39" spans="1:18" x14ac:dyDescent="0.25">
      <c r="A39" s="15"/>
      <c r="B39" s="15" t="s">
        <v>17</v>
      </c>
      <c r="C39" s="15" t="s">
        <v>1226</v>
      </c>
      <c r="D39" s="15" t="s">
        <v>1227</v>
      </c>
      <c r="E39" s="15" t="s">
        <v>1228</v>
      </c>
      <c r="F39" s="16">
        <v>5</v>
      </c>
      <c r="G39" s="16">
        <v>0</v>
      </c>
      <c r="H39" s="16">
        <v>25</v>
      </c>
      <c r="I39" s="16">
        <f t="shared" si="0"/>
        <v>-25</v>
      </c>
      <c r="J39" s="15" t="s">
        <v>135</v>
      </c>
      <c r="K39" s="15" t="s">
        <v>21</v>
      </c>
      <c r="L39" s="15" t="s">
        <v>1135</v>
      </c>
      <c r="M39" s="20" t="s">
        <v>1229</v>
      </c>
      <c r="N39" s="15"/>
      <c r="O39" s="15"/>
      <c r="Q39">
        <v>1</v>
      </c>
      <c r="R39" s="10">
        <f>H39</f>
        <v>25</v>
      </c>
    </row>
    <row r="41" spans="1:18" x14ac:dyDescent="0.25">
      <c r="D41" s="1">
        <f>COUNTA(D3:D39)</f>
        <v>32</v>
      </c>
      <c r="G41" s="1">
        <f t="shared" ref="G41:Q41" si="1">SUBTOTAL(9,G3:G39)</f>
        <v>21370</v>
      </c>
      <c r="H41" s="1">
        <f t="shared" si="1"/>
        <v>1030</v>
      </c>
      <c r="I41" s="1">
        <f t="shared" si="1"/>
        <v>20340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-7*17</f>
        <v>-119</v>
      </c>
    </row>
    <row r="43" spans="1:18" x14ac:dyDescent="0.25">
      <c r="A43" s="1" t="s">
        <v>17</v>
      </c>
      <c r="C43" s="40" t="s">
        <v>191</v>
      </c>
      <c r="D43" s="40"/>
      <c r="E43" s="4" t="s">
        <v>192</v>
      </c>
      <c r="H43">
        <f>-5*25</f>
        <v>-125</v>
      </c>
      <c r="K43" s="11" t="s">
        <v>21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1135</v>
      </c>
      <c r="B44" s="3" t="s">
        <v>195</v>
      </c>
      <c r="C44" s="41">
        <f>SUMIFS(I$3:I$39,B$3:B$39,A$43,L$3:L$39,A$44)</f>
        <v>20340</v>
      </c>
      <c r="D44" s="41"/>
      <c r="E44" s="3">
        <f>SUMIFS(Q$3:Q$39,B$3:B$39,A$43,L$3:L$39,A$44)</f>
        <v>37</v>
      </c>
      <c r="F44" t="s">
        <v>196</v>
      </c>
      <c r="K44" t="s">
        <v>197</v>
      </c>
      <c r="L44">
        <f>SUMIFS(G$3:G$39,J$3:J$39,K$43)</f>
        <v>3485</v>
      </c>
      <c r="M44">
        <f>SUMIFS(Q$3:Q$39,J$3:J$39,K$43)-INT(COUNTIFS(J$3:J$39,K$43,M$3:M$39,"*gộp*")/2)</f>
        <v>10</v>
      </c>
      <c r="O44" t="s">
        <v>21</v>
      </c>
      <c r="P44">
        <f>L49</f>
        <v>3176</v>
      </c>
    </row>
    <row r="45" spans="1:18" x14ac:dyDescent="0.25">
      <c r="B45" s="2" t="s">
        <v>199</v>
      </c>
      <c r="C45" s="42">
        <v>0</v>
      </c>
      <c r="D45" s="42"/>
      <c r="K45" t="s">
        <v>200</v>
      </c>
      <c r="L45">
        <f>-SUMIFS(H$3:H$39,J$3:J$39,K$43)+M45*5</f>
        <v>-235</v>
      </c>
      <c r="M45">
        <f>SUMIFS(Q$3:Q$39,J$3:J$39,K$43)-INT(COUNTIFS(J$3:J$39,K$43,M$3:M$39,"*gộp*")/2)</f>
        <v>10</v>
      </c>
      <c r="O45" t="s">
        <v>135</v>
      </c>
      <c r="P45">
        <f>L57</f>
        <v>9515</v>
      </c>
    </row>
    <row r="46" spans="1:18" x14ac:dyDescent="0.25">
      <c r="B46" s="2" t="s">
        <v>201</v>
      </c>
      <c r="C46" s="42">
        <f>-SUMIFS(I$3:I$39,B$3:B$39,A$43,P$3:P$39,"xx",N$3:N$39,"x")</f>
        <v>0</v>
      </c>
      <c r="D46" s="42"/>
      <c r="E46" s="2">
        <f>SUMIFS(Q$3:Q$39,B$3:B$39,A$43,P$3:P$39,"xx",N$3:N$39,"x")</f>
        <v>0</v>
      </c>
      <c r="K46" t="s">
        <v>202</v>
      </c>
      <c r="L46">
        <f>-M46*2</f>
        <v>-74</v>
      </c>
      <c r="M46">
        <f>E47-(COUNTIFS(M$3:M$39,"*gộp*")/2)-COUNTIFS(M$3:M$39,"*đơn trả*")-COUNTIFS(M$3:M$39,"*hàng tỉnh*")</f>
        <v>37</v>
      </c>
      <c r="O46" t="s">
        <v>1230</v>
      </c>
      <c r="P46">
        <f>L65</f>
        <v>6846</v>
      </c>
    </row>
    <row r="47" spans="1:18" x14ac:dyDescent="0.25">
      <c r="B47" s="4" t="s">
        <v>203</v>
      </c>
      <c r="C47" s="40">
        <f>SUBTOTAL(9,C44:C46)</f>
        <v>20340</v>
      </c>
      <c r="D47" s="40"/>
      <c r="E47">
        <f>E44</f>
        <v>37</v>
      </c>
      <c r="K47" s="2" t="s">
        <v>204</v>
      </c>
      <c r="O47" t="s">
        <v>20</v>
      </c>
      <c r="P47">
        <f>L73</f>
        <v>955</v>
      </c>
    </row>
    <row r="48" spans="1:18" x14ac:dyDescent="0.25">
      <c r="B48" s="2" t="s">
        <v>205</v>
      </c>
      <c r="C48" s="38"/>
      <c r="D48" s="38"/>
      <c r="K48" s="2" t="s">
        <v>206</v>
      </c>
      <c r="O48" t="s">
        <v>207</v>
      </c>
      <c r="P48">
        <f>-C51</f>
        <v>-20340</v>
      </c>
    </row>
    <row r="49" spans="2:17" x14ac:dyDescent="0.25">
      <c r="B49" s="12" t="s">
        <v>208</v>
      </c>
      <c r="C49" s="38"/>
      <c r="D49" s="38"/>
      <c r="L49" s="13">
        <f>SUBTOTAL(9,L44:L48)</f>
        <v>3176</v>
      </c>
      <c r="M49" s="13">
        <f>M44</f>
        <v>10</v>
      </c>
      <c r="O49" s="4" t="s">
        <v>209</v>
      </c>
      <c r="P49" s="4">
        <f>SUBTOTAL(9,P44:P48)</f>
        <v>152</v>
      </c>
    </row>
    <row r="51" spans="2:17" x14ac:dyDescent="0.25">
      <c r="B51" s="1" t="s">
        <v>210</v>
      </c>
      <c r="C51" s="39">
        <f>C47+C48+C49</f>
        <v>20340</v>
      </c>
      <c r="D51" s="39"/>
      <c r="E51" s="1" t="s">
        <v>211</v>
      </c>
      <c r="K51" s="11" t="s">
        <v>135</v>
      </c>
      <c r="L51" s="11" t="s">
        <v>193</v>
      </c>
      <c r="M51" s="11" t="s">
        <v>192</v>
      </c>
    </row>
    <row r="52" spans="2:17" x14ac:dyDescent="0.25">
      <c r="K52" t="s">
        <v>197</v>
      </c>
      <c r="L52">
        <f>SUMIFS(G$3:G$39,J$3:J$39,K$51)</f>
        <v>9815</v>
      </c>
      <c r="M52">
        <f>SUMIFS(Q$3:Q$39,J$3:J$39,K$51)-INT(COUNTIFS(J$3:J$39,K$51,M$3:M$39,"*gộp*")/2)</f>
        <v>14</v>
      </c>
    </row>
    <row r="53" spans="2:17" x14ac:dyDescent="0.25">
      <c r="K53" t="s">
        <v>200</v>
      </c>
      <c r="L53">
        <f>-SUMIFS(H$3:H$39,J$3:J$39,K$51)+M53*5</f>
        <v>-300</v>
      </c>
      <c r="M53">
        <f>SUMIFS(Q$3:Q$39,J$3:J$39,K$51)-INT(COUNTIFS(J$3:J$39,K$51,M$3:M$39,"*gộp*")/2)</f>
        <v>14</v>
      </c>
    </row>
    <row r="54" spans="2:17" x14ac:dyDescent="0.25">
      <c r="K54" t="s">
        <v>202</v>
      </c>
      <c r="Q54" t="s">
        <v>1231</v>
      </c>
    </row>
    <row r="55" spans="2:17" x14ac:dyDescent="0.25">
      <c r="K55" s="2" t="s">
        <v>204</v>
      </c>
    </row>
    <row r="56" spans="2:17" x14ac:dyDescent="0.25">
      <c r="K56" s="2" t="s">
        <v>206</v>
      </c>
    </row>
    <row r="57" spans="2:17" x14ac:dyDescent="0.25">
      <c r="L57" s="13">
        <f>SUBTOTAL(9,L52:L56)</f>
        <v>9515</v>
      </c>
      <c r="M57" s="13">
        <f>M52</f>
        <v>14</v>
      </c>
    </row>
    <row r="59" spans="2:17" x14ac:dyDescent="0.25">
      <c r="K59" s="11" t="s">
        <v>1139</v>
      </c>
      <c r="L59" s="11" t="s">
        <v>193</v>
      </c>
      <c r="M59" s="11" t="s">
        <v>192</v>
      </c>
    </row>
    <row r="60" spans="2:17" x14ac:dyDescent="0.25">
      <c r="K60" t="s">
        <v>197</v>
      </c>
      <c r="L60">
        <f>SUMIFS(G$3:G$39,J$3:J$39,K$59)</f>
        <v>7090</v>
      </c>
      <c r="M60">
        <f>SUMIFS(Q$3:Q$39,J$3:J$39,K$59)-INT(COUNTIFS(J$3:J$39,K$59,M$3:M$39,"*gộp*")/2)</f>
        <v>12</v>
      </c>
    </row>
    <row r="61" spans="2:17" x14ac:dyDescent="0.25">
      <c r="K61" t="s">
        <v>200</v>
      </c>
      <c r="L61">
        <f>SUM(H42:H43)</f>
        <v>-244</v>
      </c>
      <c r="M61">
        <f>SUMIFS(Q$3:Q$39,J$3:J$39,K$59)-INT(COUNTIFS(J$3:J$39,K$59,M$3:M$39,"*gộp*")/2)</f>
        <v>12</v>
      </c>
    </row>
    <row r="62" spans="2:17" x14ac:dyDescent="0.25">
      <c r="K62" t="s">
        <v>202</v>
      </c>
    </row>
    <row r="63" spans="2:17" x14ac:dyDescent="0.25">
      <c r="K63" s="2" t="s">
        <v>204</v>
      </c>
    </row>
    <row r="64" spans="2:17" x14ac:dyDescent="0.25">
      <c r="K64" s="2" t="s">
        <v>206</v>
      </c>
    </row>
    <row r="65" spans="11:13" x14ac:dyDescent="0.25">
      <c r="L65" s="13">
        <f>SUBTOTAL(9,L60:L64)</f>
        <v>6846</v>
      </c>
      <c r="M65" s="13">
        <f>M60</f>
        <v>12</v>
      </c>
    </row>
    <row r="67" spans="11:13" x14ac:dyDescent="0.25">
      <c r="K67" s="11" t="s">
        <v>20</v>
      </c>
      <c r="L67" s="11" t="s">
        <v>193</v>
      </c>
      <c r="M67" s="11" t="s">
        <v>192</v>
      </c>
    </row>
    <row r="68" spans="11:13" x14ac:dyDescent="0.25">
      <c r="K68" t="s">
        <v>197</v>
      </c>
      <c r="L68">
        <f>SUMIFS(G$3:G$39,J$3:J$39,K$67)</f>
        <v>980</v>
      </c>
      <c r="M68">
        <f>SUMIFS(Q$3:Q$39,J$3:J$39,K$67)-INT(COUNTIFS(J$3:J$39,K$67,M$3:M$39,"*gộp*")/2)</f>
        <v>1</v>
      </c>
    </row>
    <row r="69" spans="11:13" x14ac:dyDescent="0.25">
      <c r="K69" t="s">
        <v>200</v>
      </c>
      <c r="L69">
        <f>-SUMIFS(H$3:H$39,J$3:J$39,K$67)+M69*5</f>
        <v>-25</v>
      </c>
      <c r="M69">
        <f>SUMIFS(Q$3:Q$39,J$3:J$39,K$67)-INT(COUNTIFS(J$3:J$39,K$67,M$3:M$39,"*gộp*")/2)</f>
        <v>1</v>
      </c>
    </row>
    <row r="70" spans="11:13" x14ac:dyDescent="0.25">
      <c r="K70" t="s">
        <v>202</v>
      </c>
    </row>
    <row r="71" spans="11:13" x14ac:dyDescent="0.25">
      <c r="K71" s="2" t="s">
        <v>204</v>
      </c>
    </row>
    <row r="72" spans="11:13" x14ac:dyDescent="0.25">
      <c r="K72" s="2" t="s">
        <v>206</v>
      </c>
    </row>
    <row r="73" spans="11:13" x14ac:dyDescent="0.25">
      <c r="L73" s="13">
        <f>SUBTOTAL(9,L68:L72)</f>
        <v>955</v>
      </c>
      <c r="M73" s="13">
        <f>M68</f>
        <v>1</v>
      </c>
    </row>
  </sheetData>
  <autoFilter ref="A2:P39" xr:uid="{00000000-0009-0000-0000-00000A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60"/>
  <sheetViews>
    <sheetView topLeftCell="A31" workbookViewId="0">
      <selection activeCell="H39" sqref="H39"/>
    </sheetView>
  </sheetViews>
  <sheetFormatPr defaultRowHeight="15" x14ac:dyDescent="0.25"/>
  <cols>
    <col min="1" max="1" width="12.7109375" customWidth="1"/>
    <col min="2" max="2" width="17.7109375" customWidth="1"/>
    <col min="3" max="3" width="27" customWidth="1"/>
    <col min="4" max="4" width="10.28515625" customWidth="1"/>
    <col min="5" max="5" width="5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1232</v>
      </c>
      <c r="D3" s="15"/>
      <c r="E3" s="15" t="s">
        <v>1233</v>
      </c>
      <c r="F3" s="16">
        <v>9</v>
      </c>
      <c r="G3" s="16">
        <v>35</v>
      </c>
      <c r="H3" s="16">
        <v>35</v>
      </c>
      <c r="I3" s="16">
        <f t="shared" ref="I3:I34" si="0">G3-H3</f>
        <v>0</v>
      </c>
      <c r="J3" s="15" t="s">
        <v>20</v>
      </c>
      <c r="K3" s="15" t="s">
        <v>21</v>
      </c>
      <c r="L3" s="15" t="s">
        <v>1234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1235</v>
      </c>
      <c r="D4" s="15" t="s">
        <v>1236</v>
      </c>
      <c r="E4" s="15" t="s">
        <v>1237</v>
      </c>
      <c r="F4" s="16">
        <v>3</v>
      </c>
      <c r="G4" s="16">
        <v>865</v>
      </c>
      <c r="H4" s="16">
        <v>25</v>
      </c>
      <c r="I4" s="16">
        <f t="shared" si="0"/>
        <v>840</v>
      </c>
      <c r="J4" s="15" t="s">
        <v>1238</v>
      </c>
      <c r="K4" s="15" t="s">
        <v>21</v>
      </c>
      <c r="L4" s="15" t="s">
        <v>1234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1239</v>
      </c>
      <c r="D5" s="15" t="s">
        <v>1240</v>
      </c>
      <c r="E5" s="15" t="s">
        <v>1241</v>
      </c>
      <c r="F5" s="16">
        <v>8</v>
      </c>
      <c r="G5" s="16">
        <v>1890</v>
      </c>
      <c r="H5" s="16">
        <v>30</v>
      </c>
      <c r="I5" s="16">
        <f t="shared" si="0"/>
        <v>1860</v>
      </c>
      <c r="J5" s="15" t="s">
        <v>1238</v>
      </c>
      <c r="K5" s="15" t="s">
        <v>21</v>
      </c>
      <c r="L5" s="15" t="s">
        <v>1234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1242</v>
      </c>
      <c r="D6" s="15" t="s">
        <v>1243</v>
      </c>
      <c r="E6" s="15" t="s">
        <v>1244</v>
      </c>
      <c r="F6" s="15" t="s">
        <v>46</v>
      </c>
      <c r="G6" s="16">
        <v>815</v>
      </c>
      <c r="H6" s="16">
        <v>25</v>
      </c>
      <c r="I6" s="16">
        <f t="shared" si="0"/>
        <v>790</v>
      </c>
      <c r="J6" s="15" t="s">
        <v>1238</v>
      </c>
      <c r="K6" s="15" t="s">
        <v>21</v>
      </c>
      <c r="L6" s="15" t="s">
        <v>1234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1245</v>
      </c>
      <c r="D7" s="15" t="s">
        <v>1246</v>
      </c>
      <c r="E7" s="15" t="s">
        <v>1247</v>
      </c>
      <c r="F7" s="16">
        <v>4</v>
      </c>
      <c r="G7" s="16">
        <v>895</v>
      </c>
      <c r="H7" s="16">
        <v>25</v>
      </c>
      <c r="I7" s="16">
        <f t="shared" si="0"/>
        <v>870</v>
      </c>
      <c r="J7" s="15" t="s">
        <v>1238</v>
      </c>
      <c r="K7" s="15" t="s">
        <v>21</v>
      </c>
      <c r="L7" s="15" t="s">
        <v>1234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1248</v>
      </c>
      <c r="D8" s="15" t="s">
        <v>1249</v>
      </c>
      <c r="E8" s="15" t="s">
        <v>1250</v>
      </c>
      <c r="F8" s="16">
        <v>8</v>
      </c>
      <c r="G8" s="16">
        <v>0</v>
      </c>
      <c r="H8" s="16">
        <v>30</v>
      </c>
      <c r="I8" s="16">
        <f t="shared" si="0"/>
        <v>-30</v>
      </c>
      <c r="J8" s="15" t="s">
        <v>1238</v>
      </c>
      <c r="K8" s="15" t="s">
        <v>21</v>
      </c>
      <c r="L8" s="15" t="s">
        <v>1234</v>
      </c>
      <c r="M8" s="15"/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233</v>
      </c>
      <c r="D9" s="15" t="s">
        <v>1251</v>
      </c>
      <c r="E9" s="15" t="s">
        <v>235</v>
      </c>
      <c r="F9" s="15" t="s">
        <v>46</v>
      </c>
      <c r="G9" s="16">
        <v>1765</v>
      </c>
      <c r="H9" s="16">
        <v>25</v>
      </c>
      <c r="I9" s="16">
        <f t="shared" si="0"/>
        <v>1740</v>
      </c>
      <c r="J9" s="15" t="s">
        <v>1238</v>
      </c>
      <c r="K9" s="15" t="s">
        <v>21</v>
      </c>
      <c r="L9" s="15" t="s">
        <v>1234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1252</v>
      </c>
      <c r="D10" s="15" t="s">
        <v>1253</v>
      </c>
      <c r="E10" s="15" t="s">
        <v>1254</v>
      </c>
      <c r="F10" s="15" t="s">
        <v>134</v>
      </c>
      <c r="G10" s="16">
        <v>815</v>
      </c>
      <c r="H10" s="16">
        <v>35</v>
      </c>
      <c r="I10" s="16">
        <f t="shared" si="0"/>
        <v>780</v>
      </c>
      <c r="J10" s="15" t="s">
        <v>1238</v>
      </c>
      <c r="K10" s="15" t="s">
        <v>21</v>
      </c>
      <c r="L10" s="15" t="s">
        <v>1234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294</v>
      </c>
      <c r="D11" s="15" t="s">
        <v>1255</v>
      </c>
      <c r="E11" s="15" t="s">
        <v>296</v>
      </c>
      <c r="F11" s="16">
        <v>6</v>
      </c>
      <c r="G11" s="16">
        <v>805</v>
      </c>
      <c r="H11" s="16">
        <v>25</v>
      </c>
      <c r="I11" s="16">
        <f t="shared" si="0"/>
        <v>780</v>
      </c>
      <c r="J11" s="15" t="s">
        <v>1238</v>
      </c>
      <c r="K11" s="15" t="s">
        <v>21</v>
      </c>
      <c r="L11" s="15" t="s">
        <v>1234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1256</v>
      </c>
      <c r="D12" s="15" t="s">
        <v>1257</v>
      </c>
      <c r="E12" s="15" t="s">
        <v>1258</v>
      </c>
      <c r="F12" s="15" t="s">
        <v>26</v>
      </c>
      <c r="G12" s="16">
        <v>690</v>
      </c>
      <c r="H12" s="16">
        <v>30</v>
      </c>
      <c r="I12" s="16">
        <f t="shared" si="0"/>
        <v>660</v>
      </c>
      <c r="J12" s="15" t="s">
        <v>1238</v>
      </c>
      <c r="K12" s="15" t="s">
        <v>21</v>
      </c>
      <c r="L12" s="15" t="s">
        <v>1234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1259</v>
      </c>
      <c r="D13" s="15" t="s">
        <v>1260</v>
      </c>
      <c r="E13" s="15" t="s">
        <v>1261</v>
      </c>
      <c r="F13" s="16">
        <v>7</v>
      </c>
      <c r="G13" s="16">
        <v>1420</v>
      </c>
      <c r="H13" s="16">
        <v>30</v>
      </c>
      <c r="I13" s="16">
        <f t="shared" si="0"/>
        <v>1390</v>
      </c>
      <c r="J13" s="15" t="s">
        <v>1238</v>
      </c>
      <c r="K13" s="15" t="s">
        <v>21</v>
      </c>
      <c r="L13" s="15" t="s">
        <v>1234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1262</v>
      </c>
      <c r="D14" s="15" t="s">
        <v>1263</v>
      </c>
      <c r="E14" s="15" t="s">
        <v>1264</v>
      </c>
      <c r="F14" s="16">
        <v>6</v>
      </c>
      <c r="G14" s="16">
        <v>0</v>
      </c>
      <c r="H14" s="16">
        <v>25</v>
      </c>
      <c r="I14" s="16">
        <f t="shared" si="0"/>
        <v>-25</v>
      </c>
      <c r="J14" s="15" t="s">
        <v>1238</v>
      </c>
      <c r="K14" s="15" t="s">
        <v>21</v>
      </c>
      <c r="L14" s="15" t="s">
        <v>1234</v>
      </c>
      <c r="M14" s="15"/>
      <c r="N14" s="15"/>
      <c r="O14" s="15"/>
      <c r="P14" s="15"/>
      <c r="Q14" s="15">
        <v>1</v>
      </c>
      <c r="R14" s="10">
        <f>H14</f>
        <v>25</v>
      </c>
    </row>
    <row r="15" spans="1:18" x14ac:dyDescent="0.25">
      <c r="A15" s="15"/>
      <c r="B15" s="15" t="s">
        <v>17</v>
      </c>
      <c r="C15" s="15" t="s">
        <v>1265</v>
      </c>
      <c r="D15" s="15" t="s">
        <v>1266</v>
      </c>
      <c r="E15" s="15" t="s">
        <v>1267</v>
      </c>
      <c r="F15" s="15" t="s">
        <v>26</v>
      </c>
      <c r="G15" s="16">
        <v>0</v>
      </c>
      <c r="H15" s="16">
        <v>30</v>
      </c>
      <c r="I15" s="16">
        <f t="shared" si="0"/>
        <v>-30</v>
      </c>
      <c r="J15" s="15" t="s">
        <v>1238</v>
      </c>
      <c r="K15" s="15" t="s">
        <v>21</v>
      </c>
      <c r="L15" s="15" t="s">
        <v>1234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/>
      <c r="B16" s="15" t="s">
        <v>17</v>
      </c>
      <c r="C16" s="15" t="s">
        <v>1268</v>
      </c>
      <c r="D16" s="15" t="s">
        <v>1269</v>
      </c>
      <c r="E16" s="15" t="s">
        <v>1270</v>
      </c>
      <c r="F16" s="15" t="s">
        <v>26</v>
      </c>
      <c r="G16" s="16">
        <v>1390</v>
      </c>
      <c r="H16" s="16">
        <v>30</v>
      </c>
      <c r="I16" s="16">
        <f t="shared" si="0"/>
        <v>1360</v>
      </c>
      <c r="J16" s="15" t="s">
        <v>1238</v>
      </c>
      <c r="K16" s="15" t="s">
        <v>21</v>
      </c>
      <c r="L16" s="15" t="s">
        <v>1234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1271</v>
      </c>
      <c r="D17" s="15" t="s">
        <v>1272</v>
      </c>
      <c r="E17" s="15" t="s">
        <v>1273</v>
      </c>
      <c r="F17" s="16">
        <v>7</v>
      </c>
      <c r="G17" s="16">
        <v>1630</v>
      </c>
      <c r="H17" s="16">
        <v>30</v>
      </c>
      <c r="I17" s="16">
        <f t="shared" si="0"/>
        <v>1600</v>
      </c>
      <c r="J17" s="15" t="s">
        <v>1238</v>
      </c>
      <c r="K17" s="15" t="s">
        <v>21</v>
      </c>
      <c r="L17" s="15" t="s">
        <v>1234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1274</v>
      </c>
      <c r="D18" s="15" t="s">
        <v>1275</v>
      </c>
      <c r="E18" s="15" t="s">
        <v>1276</v>
      </c>
      <c r="F18" s="16">
        <v>10</v>
      </c>
      <c r="G18" s="16">
        <v>815</v>
      </c>
      <c r="H18" s="16">
        <v>25</v>
      </c>
      <c r="I18" s="16">
        <f t="shared" si="0"/>
        <v>790</v>
      </c>
      <c r="J18" s="15" t="s">
        <v>1238</v>
      </c>
      <c r="K18" s="15" t="s">
        <v>21</v>
      </c>
      <c r="L18" s="15" t="s">
        <v>1234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1277</v>
      </c>
      <c r="D19" s="15" t="s">
        <v>1278</v>
      </c>
      <c r="E19" s="15" t="s">
        <v>1279</v>
      </c>
      <c r="F19" s="15" t="s">
        <v>406</v>
      </c>
      <c r="G19" s="16">
        <v>0</v>
      </c>
      <c r="H19" s="16">
        <v>20</v>
      </c>
      <c r="I19" s="16">
        <f t="shared" si="0"/>
        <v>-20</v>
      </c>
      <c r="J19" s="15" t="s">
        <v>21</v>
      </c>
      <c r="K19" s="15" t="s">
        <v>21</v>
      </c>
      <c r="L19" s="15" t="s">
        <v>1234</v>
      </c>
      <c r="M19" s="15"/>
      <c r="N19" s="15"/>
      <c r="O19" s="15"/>
      <c r="P19" s="15"/>
      <c r="Q19" s="15">
        <v>1</v>
      </c>
      <c r="R19" s="10">
        <f>H19</f>
        <v>20</v>
      </c>
    </row>
    <row r="20" spans="1:18" x14ac:dyDescent="0.25">
      <c r="A20" s="15"/>
      <c r="B20" s="15" t="s">
        <v>17</v>
      </c>
      <c r="C20" s="15" t="s">
        <v>1280</v>
      </c>
      <c r="D20" s="15" t="s">
        <v>1281</v>
      </c>
      <c r="E20" s="15" t="s">
        <v>1282</v>
      </c>
      <c r="F20" s="16">
        <v>1</v>
      </c>
      <c r="G20" s="16">
        <v>845</v>
      </c>
      <c r="H20" s="16">
        <v>25</v>
      </c>
      <c r="I20" s="16">
        <f t="shared" si="0"/>
        <v>820</v>
      </c>
      <c r="J20" s="15" t="s">
        <v>21</v>
      </c>
      <c r="K20" s="15" t="s">
        <v>21</v>
      </c>
      <c r="L20" s="15" t="s">
        <v>1234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1283</v>
      </c>
      <c r="D21" s="15" t="s">
        <v>1284</v>
      </c>
      <c r="E21" s="15" t="s">
        <v>1285</v>
      </c>
      <c r="F21" s="16">
        <v>12</v>
      </c>
      <c r="G21" s="16">
        <v>0</v>
      </c>
      <c r="H21" s="16">
        <v>40</v>
      </c>
      <c r="I21" s="16">
        <f t="shared" si="0"/>
        <v>-40</v>
      </c>
      <c r="J21" s="15" t="s">
        <v>21</v>
      </c>
      <c r="K21" s="15" t="s">
        <v>21</v>
      </c>
      <c r="L21" s="15" t="s">
        <v>1234</v>
      </c>
      <c r="M21" s="15"/>
      <c r="N21" s="15"/>
      <c r="O21" s="15"/>
      <c r="P21" s="15"/>
      <c r="Q21" s="15">
        <v>1</v>
      </c>
      <c r="R21" s="10">
        <f>H21</f>
        <v>40</v>
      </c>
    </row>
    <row r="22" spans="1:18" x14ac:dyDescent="0.25">
      <c r="A22" s="15"/>
      <c r="B22" s="15" t="s">
        <v>17</v>
      </c>
      <c r="C22" s="15" t="s">
        <v>1286</v>
      </c>
      <c r="D22" s="15" t="s">
        <v>1287</v>
      </c>
      <c r="E22" s="15" t="s">
        <v>1288</v>
      </c>
      <c r="F22" s="15" t="s">
        <v>95</v>
      </c>
      <c r="G22" s="16">
        <v>805</v>
      </c>
      <c r="H22" s="16">
        <v>25</v>
      </c>
      <c r="I22" s="16">
        <f t="shared" si="0"/>
        <v>780</v>
      </c>
      <c r="J22" s="15" t="s">
        <v>21</v>
      </c>
      <c r="K22" s="15" t="s">
        <v>21</v>
      </c>
      <c r="L22" s="15" t="s">
        <v>1234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1289</v>
      </c>
      <c r="D23" s="15" t="s">
        <v>1290</v>
      </c>
      <c r="E23" s="15" t="s">
        <v>1291</v>
      </c>
      <c r="F23" s="15" t="s">
        <v>77</v>
      </c>
      <c r="G23" s="16">
        <v>695</v>
      </c>
      <c r="H23" s="16">
        <v>25</v>
      </c>
      <c r="I23" s="16">
        <f t="shared" si="0"/>
        <v>670</v>
      </c>
      <c r="J23" s="15" t="s">
        <v>21</v>
      </c>
      <c r="K23" s="15" t="s">
        <v>21</v>
      </c>
      <c r="L23" s="15" t="s">
        <v>1234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1292</v>
      </c>
      <c r="D24" s="15" t="s">
        <v>1293</v>
      </c>
      <c r="E24" s="15" t="s">
        <v>500</v>
      </c>
      <c r="F24" s="16">
        <v>12</v>
      </c>
      <c r="G24" s="16">
        <v>0</v>
      </c>
      <c r="H24" s="16">
        <v>30</v>
      </c>
      <c r="I24" s="16">
        <f t="shared" si="0"/>
        <v>-30</v>
      </c>
      <c r="J24" s="15" t="s">
        <v>21</v>
      </c>
      <c r="K24" s="15" t="s">
        <v>21</v>
      </c>
      <c r="L24" s="15" t="s">
        <v>1234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1294</v>
      </c>
      <c r="D25" s="15" t="s">
        <v>1295</v>
      </c>
      <c r="E25" s="15" t="s">
        <v>1296</v>
      </c>
      <c r="F25" s="15" t="s">
        <v>77</v>
      </c>
      <c r="G25" s="16">
        <v>3600</v>
      </c>
      <c r="H25" s="16">
        <v>35</v>
      </c>
      <c r="I25" s="16">
        <f t="shared" si="0"/>
        <v>3565</v>
      </c>
      <c r="J25" s="15" t="s">
        <v>21</v>
      </c>
      <c r="K25" s="15" t="s">
        <v>21</v>
      </c>
      <c r="L25" s="15" t="s">
        <v>1234</v>
      </c>
      <c r="M25" s="20" t="s">
        <v>167</v>
      </c>
      <c r="N25" s="15"/>
      <c r="O25" s="15"/>
      <c r="P25" s="15"/>
      <c r="Q25" s="15">
        <v>1</v>
      </c>
      <c r="R25" s="10">
        <f>H25</f>
        <v>35</v>
      </c>
    </row>
    <row r="26" spans="1:18" x14ac:dyDescent="0.25">
      <c r="A26" s="15"/>
      <c r="B26" s="15" t="s">
        <v>17</v>
      </c>
      <c r="C26" s="15" t="s">
        <v>1113</v>
      </c>
      <c r="D26" s="15" t="s">
        <v>1297</v>
      </c>
      <c r="E26" s="15" t="s">
        <v>1298</v>
      </c>
      <c r="F26" s="15" t="s">
        <v>95</v>
      </c>
      <c r="G26" s="16">
        <v>25</v>
      </c>
      <c r="H26" s="16">
        <v>25</v>
      </c>
      <c r="I26" s="16">
        <f t="shared" si="0"/>
        <v>0</v>
      </c>
      <c r="J26" s="15" t="s">
        <v>21</v>
      </c>
      <c r="K26" s="15" t="s">
        <v>21</v>
      </c>
      <c r="L26" s="15" t="s">
        <v>1234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1299</v>
      </c>
      <c r="D27" s="15" t="s">
        <v>1300</v>
      </c>
      <c r="E27" s="15" t="s">
        <v>1301</v>
      </c>
      <c r="F27" s="15" t="s">
        <v>406</v>
      </c>
      <c r="G27" s="16">
        <v>660</v>
      </c>
      <c r="H27" s="16">
        <v>20</v>
      </c>
      <c r="I27" s="16">
        <f t="shared" si="0"/>
        <v>640</v>
      </c>
      <c r="J27" s="15" t="s">
        <v>21</v>
      </c>
      <c r="K27" s="15" t="s">
        <v>21</v>
      </c>
      <c r="L27" s="15" t="s">
        <v>1234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1302</v>
      </c>
      <c r="D28" s="15" t="s">
        <v>1303</v>
      </c>
      <c r="E28" s="15" t="s">
        <v>1304</v>
      </c>
      <c r="F28" s="15" t="s">
        <v>95</v>
      </c>
      <c r="G28" s="16">
        <v>985</v>
      </c>
      <c r="H28" s="16">
        <v>25</v>
      </c>
      <c r="I28" s="16">
        <f t="shared" si="0"/>
        <v>960</v>
      </c>
      <c r="J28" s="15" t="s">
        <v>21</v>
      </c>
      <c r="K28" s="15" t="s">
        <v>21</v>
      </c>
      <c r="L28" s="15" t="s">
        <v>1234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1305</v>
      </c>
      <c r="D29" s="15" t="s">
        <v>1306</v>
      </c>
      <c r="E29" s="15" t="s">
        <v>1307</v>
      </c>
      <c r="F29" s="15" t="s">
        <v>77</v>
      </c>
      <c r="G29" s="16">
        <v>1695</v>
      </c>
      <c r="H29" s="16">
        <v>25</v>
      </c>
      <c r="I29" s="16">
        <f t="shared" si="0"/>
        <v>1670</v>
      </c>
      <c r="J29" s="15" t="s">
        <v>21</v>
      </c>
      <c r="K29" s="15" t="s">
        <v>21</v>
      </c>
      <c r="L29" s="15" t="s">
        <v>1234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1308</v>
      </c>
      <c r="D30" s="15" t="s">
        <v>1309</v>
      </c>
      <c r="E30" s="15" t="s">
        <v>1310</v>
      </c>
      <c r="F30" s="15" t="s">
        <v>85</v>
      </c>
      <c r="G30" s="16">
        <v>990</v>
      </c>
      <c r="H30" s="16">
        <v>20</v>
      </c>
      <c r="I30" s="16">
        <f t="shared" si="0"/>
        <v>970</v>
      </c>
      <c r="J30" s="15" t="s">
        <v>21</v>
      </c>
      <c r="K30" s="15" t="s">
        <v>21</v>
      </c>
      <c r="L30" s="15" t="s">
        <v>1234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1311</v>
      </c>
      <c r="D31" s="15" t="s">
        <v>1312</v>
      </c>
      <c r="E31" s="15" t="s">
        <v>1313</v>
      </c>
      <c r="F31" s="15" t="s">
        <v>81</v>
      </c>
      <c r="G31" s="16">
        <v>540</v>
      </c>
      <c r="H31" s="16">
        <v>30</v>
      </c>
      <c r="I31" s="16">
        <f t="shared" si="0"/>
        <v>510</v>
      </c>
      <c r="J31" s="15" t="s">
        <v>21</v>
      </c>
      <c r="K31" s="15" t="s">
        <v>21</v>
      </c>
      <c r="L31" s="15" t="s">
        <v>1234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1314</v>
      </c>
      <c r="D32" s="15" t="s">
        <v>1315</v>
      </c>
      <c r="E32" s="15" t="s">
        <v>1316</v>
      </c>
      <c r="F32" s="16">
        <v>12</v>
      </c>
      <c r="G32" s="16">
        <v>1530</v>
      </c>
      <c r="H32" s="16">
        <v>30</v>
      </c>
      <c r="I32" s="16">
        <f t="shared" si="0"/>
        <v>1500</v>
      </c>
      <c r="J32" s="15" t="s">
        <v>21</v>
      </c>
      <c r="K32" s="15" t="s">
        <v>21</v>
      </c>
      <c r="L32" s="15" t="s">
        <v>1234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1317</v>
      </c>
      <c r="D33" s="15" t="s">
        <v>1318</v>
      </c>
      <c r="E33" s="15" t="s">
        <v>1319</v>
      </c>
      <c r="F33" s="15" t="s">
        <v>95</v>
      </c>
      <c r="G33" s="16">
        <v>765</v>
      </c>
      <c r="H33" s="16">
        <v>25</v>
      </c>
      <c r="I33" s="16">
        <f t="shared" si="0"/>
        <v>740</v>
      </c>
      <c r="J33" s="15" t="s">
        <v>21</v>
      </c>
      <c r="K33" s="15" t="s">
        <v>21</v>
      </c>
      <c r="L33" s="15" t="s">
        <v>1234</v>
      </c>
      <c r="M33" s="15"/>
      <c r="N33" s="15"/>
      <c r="O33" s="15"/>
      <c r="P33" s="15"/>
      <c r="Q33" s="15">
        <v>1</v>
      </c>
    </row>
    <row r="34" spans="1:17" x14ac:dyDescent="0.25">
      <c r="A34" s="15" t="s">
        <v>16</v>
      </c>
      <c r="B34" s="15" t="s">
        <v>17</v>
      </c>
      <c r="C34" s="15" t="s">
        <v>1320</v>
      </c>
      <c r="D34" s="15"/>
      <c r="E34" s="15" t="s">
        <v>1321</v>
      </c>
      <c r="F34" s="15" t="s">
        <v>95</v>
      </c>
      <c r="G34" s="16">
        <v>30</v>
      </c>
      <c r="H34" s="16">
        <v>30</v>
      </c>
      <c r="I34" s="16">
        <f t="shared" si="0"/>
        <v>0</v>
      </c>
      <c r="J34" s="15" t="s">
        <v>21</v>
      </c>
      <c r="K34" s="15" t="s">
        <v>21</v>
      </c>
      <c r="L34" s="15" t="s">
        <v>1234</v>
      </c>
      <c r="M34" s="15"/>
      <c r="N34" s="15"/>
      <c r="O34" s="15"/>
      <c r="P34" s="15"/>
      <c r="Q34" s="15">
        <v>1</v>
      </c>
    </row>
    <row r="36" spans="1:17" x14ac:dyDescent="0.25">
      <c r="D36" s="1">
        <f>COUNTA(D3:D34)</f>
        <v>30</v>
      </c>
      <c r="G36" s="1">
        <f t="shared" ref="G36:Q36" si="1">SUBTOTAL(9,G3:G34)</f>
        <v>26995</v>
      </c>
      <c r="H36" s="1">
        <f t="shared" si="1"/>
        <v>885</v>
      </c>
      <c r="I36" s="1">
        <f t="shared" si="1"/>
        <v>26110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-11*17</f>
        <v>-187</v>
      </c>
    </row>
    <row r="38" spans="1:17" x14ac:dyDescent="0.25">
      <c r="A38" s="1" t="s">
        <v>17</v>
      </c>
      <c r="C38" s="40" t="s">
        <v>191</v>
      </c>
      <c r="D38" s="40"/>
      <c r="E38" s="4" t="s">
        <v>192</v>
      </c>
      <c r="H38">
        <f>-3*25</f>
        <v>-75</v>
      </c>
      <c r="K38" s="11" t="s">
        <v>1238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1234</v>
      </c>
      <c r="B39" s="3" t="s">
        <v>195</v>
      </c>
      <c r="C39" s="41">
        <f>SUMIFS(I$3:I$34,B$3:B$34,A$38,L$3:L$34,A$39)</f>
        <v>26110</v>
      </c>
      <c r="D39" s="41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13795</v>
      </c>
      <c r="M39">
        <f>SUMIFS(Q$3:Q$34,J$3:J$34,K$38)-INT(COUNTIFS(J$3:J$34,K$38,M$3:M$34,"*gộp*")/2)</f>
        <v>15</v>
      </c>
      <c r="O39" t="s">
        <v>1322</v>
      </c>
      <c r="P39">
        <f>L44</f>
        <v>13503</v>
      </c>
    </row>
    <row r="40" spans="1:17" x14ac:dyDescent="0.25">
      <c r="B40" s="2" t="s">
        <v>199</v>
      </c>
      <c r="C40" s="42">
        <v>0</v>
      </c>
      <c r="D40" s="42"/>
      <c r="K40" t="s">
        <v>200</v>
      </c>
      <c r="L40">
        <f>SUM(H37:H39)</f>
        <v>-292</v>
      </c>
      <c r="M40">
        <f>SUMIFS(Q$3:Q$34,J$3:J$34,K$38)-INT(COUNTIFS(J$3:J$34,K$38,M$3:M$34,"*gộp*")/2)</f>
        <v>15</v>
      </c>
      <c r="O40" t="s">
        <v>21</v>
      </c>
      <c r="P40">
        <f>L52</f>
        <v>12751</v>
      </c>
    </row>
    <row r="41" spans="1:17" x14ac:dyDescent="0.25">
      <c r="B41" s="2" t="s">
        <v>201</v>
      </c>
      <c r="C41" s="42">
        <f>-SUMIFS(I$3:I$34,B$3:B$34,A$38,P$3:P$34,"xx",N$3:N$34,"x")</f>
        <v>0</v>
      </c>
      <c r="D41" s="42"/>
      <c r="E41" s="2">
        <f>SUMIFS(Q$3:Q$34,B$3:B$34,A$38,P$3:P$34,"xx",N$3:N$34,"x")</f>
        <v>0</v>
      </c>
      <c r="K41" t="s">
        <v>202</v>
      </c>
      <c r="O41" t="s">
        <v>20</v>
      </c>
      <c r="P41">
        <f>L60</f>
        <v>5</v>
      </c>
    </row>
    <row r="42" spans="1:17" x14ac:dyDescent="0.25">
      <c r="B42" s="4" t="s">
        <v>203</v>
      </c>
      <c r="C42" s="40">
        <f>SUBTOTAL(9,C39:C41)</f>
        <v>26110</v>
      </c>
      <c r="D42" s="40"/>
      <c r="E42">
        <f>E39</f>
        <v>32</v>
      </c>
      <c r="K42" s="2" t="s">
        <v>204</v>
      </c>
      <c r="O42" t="s">
        <v>207</v>
      </c>
      <c r="P42">
        <f>-C46</f>
        <v>-26110</v>
      </c>
    </row>
    <row r="43" spans="1:17" x14ac:dyDescent="0.25">
      <c r="B43" s="2" t="s">
        <v>205</v>
      </c>
      <c r="C43" s="38"/>
      <c r="D43" s="38"/>
      <c r="K43" s="2" t="s">
        <v>206</v>
      </c>
      <c r="O43" s="4" t="s">
        <v>209</v>
      </c>
      <c r="P43" s="4">
        <f>SUBTOTAL(9,P39:P42)</f>
        <v>149</v>
      </c>
    </row>
    <row r="44" spans="1:17" x14ac:dyDescent="0.25">
      <c r="B44" s="12" t="s">
        <v>208</v>
      </c>
      <c r="C44" s="38"/>
      <c r="D44" s="38"/>
      <c r="L44" s="13">
        <f>SUBTOTAL(9,L39:L43)</f>
        <v>13503</v>
      </c>
      <c r="M44" s="13">
        <f>M39</f>
        <v>15</v>
      </c>
    </row>
    <row r="46" spans="1:17" x14ac:dyDescent="0.25">
      <c r="B46" s="1" t="s">
        <v>210</v>
      </c>
      <c r="C46" s="39">
        <f>C42+C43+C44</f>
        <v>26110</v>
      </c>
      <c r="D46" s="39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13165</v>
      </c>
      <c r="M47">
        <f>SUMIFS(Q$3:Q$34,J$3:J$34,K$46)-INT(COUNTIFS(J$3:J$34,K$46,M$3:M$34,"*gộp*")/2)</f>
        <v>16</v>
      </c>
    </row>
    <row r="48" spans="1:17" x14ac:dyDescent="0.25">
      <c r="K48" t="s">
        <v>200</v>
      </c>
      <c r="L48">
        <f>-SUMIFS(H$3:H$34,J$3:J$34,K$46)+M48*5</f>
        <v>-350</v>
      </c>
      <c r="M48">
        <f>SUMIFS(Q$3:Q$34,J$3:J$34,K$46)-INT(COUNTIFS(J$3:J$34,K$46,M$3:M$34,"*gộp*")/2)</f>
        <v>16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12751</v>
      </c>
      <c r="M52" s="13">
        <f>M47</f>
        <v>16</v>
      </c>
    </row>
    <row r="54" spans="11:13" x14ac:dyDescent="0.25">
      <c r="K54" s="11" t="s">
        <v>20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35</v>
      </c>
      <c r="M55">
        <f>SUMIFS(Q$3:Q$34,J$3:J$34,K$54)-INT(COUNTIFS(J$3:J$34,K$54,M$3:M$34,"*gộp*")/2)</f>
        <v>1</v>
      </c>
    </row>
    <row r="56" spans="11:13" x14ac:dyDescent="0.25">
      <c r="K56" t="s">
        <v>200</v>
      </c>
      <c r="L56">
        <f>-SUMIFS(H$3:H$34,J$3:J$34,K$54)+M56*5</f>
        <v>-30</v>
      </c>
      <c r="M56">
        <f>SUMIFS(Q$3:Q$34,J$3:J$34,K$54)-INT(COUNTIFS(J$3:J$34,K$54,M$3:M$34,"*gộp*")/2)</f>
        <v>1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5</v>
      </c>
      <c r="M60" s="13">
        <f>M55</f>
        <v>1</v>
      </c>
    </row>
  </sheetData>
  <autoFilter ref="A2:P34" xr:uid="{00000000-0009-0000-0000-00000B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68"/>
  <sheetViews>
    <sheetView topLeftCell="A37" workbookViewId="0">
      <selection activeCell="F60" sqref="F60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9.85546875" customWidth="1"/>
    <col min="5" max="5" width="74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1323</v>
      </c>
      <c r="D3" s="15" t="s">
        <v>1324</v>
      </c>
      <c r="E3" s="15" t="s">
        <v>1325</v>
      </c>
      <c r="F3" s="15" t="s">
        <v>26</v>
      </c>
      <c r="G3" s="16">
        <v>0</v>
      </c>
      <c r="H3" s="16">
        <v>30</v>
      </c>
      <c r="I3" s="16">
        <f t="shared" ref="I3:I42" si="0">G3-H3</f>
        <v>-30</v>
      </c>
      <c r="J3" s="15" t="s">
        <v>1326</v>
      </c>
      <c r="K3" s="15" t="s">
        <v>21</v>
      </c>
      <c r="L3" s="15" t="s">
        <v>1327</v>
      </c>
      <c r="M3" s="20" t="s">
        <v>1328</v>
      </c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/>
      <c r="B4" s="15" t="s">
        <v>17</v>
      </c>
      <c r="C4" s="15" t="s">
        <v>1329</v>
      </c>
      <c r="D4" s="15" t="s">
        <v>1330</v>
      </c>
      <c r="E4" s="15" t="s">
        <v>1331</v>
      </c>
      <c r="F4" s="16">
        <v>8</v>
      </c>
      <c r="G4" s="16">
        <v>0</v>
      </c>
      <c r="H4" s="16">
        <v>25</v>
      </c>
      <c r="I4" s="16">
        <f t="shared" si="0"/>
        <v>-25</v>
      </c>
      <c r="J4" s="15" t="s">
        <v>1326</v>
      </c>
      <c r="K4" s="15" t="s">
        <v>21</v>
      </c>
      <c r="L4" s="15" t="s">
        <v>1327</v>
      </c>
      <c r="M4" s="15"/>
      <c r="N4" s="15"/>
      <c r="O4" s="15"/>
      <c r="P4" s="15"/>
      <c r="Q4" s="15">
        <v>1</v>
      </c>
      <c r="R4" s="10">
        <f>H4</f>
        <v>25</v>
      </c>
    </row>
    <row r="5" spans="1:18" x14ac:dyDescent="0.25">
      <c r="A5" s="15"/>
      <c r="B5" s="15" t="s">
        <v>17</v>
      </c>
      <c r="C5" s="15" t="s">
        <v>1332</v>
      </c>
      <c r="D5" s="15" t="s">
        <v>1333</v>
      </c>
      <c r="E5" s="15" t="s">
        <v>1334</v>
      </c>
      <c r="F5" s="15" t="s">
        <v>1335</v>
      </c>
      <c r="G5" s="16">
        <v>865</v>
      </c>
      <c r="H5" s="16">
        <v>35</v>
      </c>
      <c r="I5" s="16">
        <f t="shared" si="0"/>
        <v>830</v>
      </c>
      <c r="J5" s="15" t="s">
        <v>1326</v>
      </c>
      <c r="K5" s="15" t="s">
        <v>21</v>
      </c>
      <c r="L5" s="15" t="s">
        <v>1327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1336</v>
      </c>
      <c r="D6" s="15" t="s">
        <v>1337</v>
      </c>
      <c r="E6" s="15" t="s">
        <v>1338</v>
      </c>
      <c r="F6" s="15" t="s">
        <v>139</v>
      </c>
      <c r="G6" s="16">
        <v>1135</v>
      </c>
      <c r="H6" s="16">
        <v>35</v>
      </c>
      <c r="I6" s="16">
        <f t="shared" si="0"/>
        <v>1100</v>
      </c>
      <c r="J6" s="15" t="s">
        <v>1326</v>
      </c>
      <c r="K6" s="15" t="s">
        <v>21</v>
      </c>
      <c r="L6" s="15" t="s">
        <v>1327</v>
      </c>
      <c r="M6" s="20" t="s">
        <v>1061</v>
      </c>
      <c r="N6" s="15"/>
      <c r="O6" s="15"/>
      <c r="P6" s="15"/>
      <c r="Q6" s="15">
        <v>1</v>
      </c>
      <c r="R6" s="10">
        <f>H6</f>
        <v>35</v>
      </c>
    </row>
    <row r="7" spans="1:18" x14ac:dyDescent="0.25">
      <c r="A7" s="15"/>
      <c r="B7" s="15" t="s">
        <v>17</v>
      </c>
      <c r="C7" s="15" t="s">
        <v>1339</v>
      </c>
      <c r="D7" s="15" t="s">
        <v>1340</v>
      </c>
      <c r="E7" s="15" t="s">
        <v>1338</v>
      </c>
      <c r="F7" s="15" t="s">
        <v>139</v>
      </c>
      <c r="G7" s="16">
        <v>0</v>
      </c>
      <c r="H7" s="16">
        <v>0</v>
      </c>
      <c r="I7" s="16">
        <f t="shared" si="0"/>
        <v>0</v>
      </c>
      <c r="J7" s="15" t="s">
        <v>1326</v>
      </c>
      <c r="K7" s="15" t="s">
        <v>21</v>
      </c>
      <c r="L7" s="15" t="s">
        <v>1327</v>
      </c>
      <c r="M7" s="20" t="s">
        <v>377</v>
      </c>
      <c r="N7" s="15"/>
      <c r="O7" s="15"/>
      <c r="P7" s="15"/>
      <c r="Q7" s="15">
        <v>1</v>
      </c>
      <c r="R7" s="10">
        <f>H7</f>
        <v>0</v>
      </c>
    </row>
    <row r="8" spans="1:18" x14ac:dyDescent="0.25">
      <c r="A8" s="15"/>
      <c r="B8" s="15" t="s">
        <v>17</v>
      </c>
      <c r="C8" s="15" t="s">
        <v>1341</v>
      </c>
      <c r="D8" s="15" t="s">
        <v>1342</v>
      </c>
      <c r="E8" s="15" t="s">
        <v>1343</v>
      </c>
      <c r="F8" s="16">
        <v>11</v>
      </c>
      <c r="G8" s="16">
        <v>1135</v>
      </c>
      <c r="H8" s="16">
        <v>25</v>
      </c>
      <c r="I8" s="16">
        <f t="shared" si="0"/>
        <v>1110</v>
      </c>
      <c r="J8" s="15" t="s">
        <v>1326</v>
      </c>
      <c r="K8" s="15" t="s">
        <v>21</v>
      </c>
      <c r="L8" s="15" t="s">
        <v>1327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1344</v>
      </c>
      <c r="D9" s="15" t="s">
        <v>1345</v>
      </c>
      <c r="E9" s="15" t="s">
        <v>1346</v>
      </c>
      <c r="F9" s="16">
        <v>7</v>
      </c>
      <c r="G9" s="16">
        <v>470</v>
      </c>
      <c r="H9" s="16">
        <v>30</v>
      </c>
      <c r="I9" s="16">
        <f t="shared" si="0"/>
        <v>440</v>
      </c>
      <c r="J9" s="15" t="s">
        <v>1326</v>
      </c>
      <c r="K9" s="15" t="s">
        <v>21</v>
      </c>
      <c r="L9" s="15" t="s">
        <v>1327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1347</v>
      </c>
      <c r="D10" s="15" t="s">
        <v>1348</v>
      </c>
      <c r="E10" s="15" t="s">
        <v>1349</v>
      </c>
      <c r="F10" s="15" t="s">
        <v>46</v>
      </c>
      <c r="G10" s="16">
        <v>985</v>
      </c>
      <c r="H10" s="16">
        <v>25</v>
      </c>
      <c r="I10" s="16">
        <f t="shared" si="0"/>
        <v>960</v>
      </c>
      <c r="J10" s="15" t="s">
        <v>1326</v>
      </c>
      <c r="K10" s="15" t="s">
        <v>21</v>
      </c>
      <c r="L10" s="15" t="s">
        <v>1327</v>
      </c>
      <c r="M10" s="20" t="s">
        <v>377</v>
      </c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1347</v>
      </c>
      <c r="D11" s="15" t="s">
        <v>1350</v>
      </c>
      <c r="E11" s="15" t="s">
        <v>1351</v>
      </c>
      <c r="F11" s="15" t="s">
        <v>46</v>
      </c>
      <c r="G11" s="16">
        <v>850</v>
      </c>
      <c r="H11" s="16">
        <v>0</v>
      </c>
      <c r="I11" s="16">
        <f t="shared" si="0"/>
        <v>850</v>
      </c>
      <c r="J11" s="15" t="s">
        <v>1326</v>
      </c>
      <c r="K11" s="15" t="s">
        <v>21</v>
      </c>
      <c r="L11" s="15" t="s">
        <v>1327</v>
      </c>
      <c r="M11" s="20" t="s">
        <v>377</v>
      </c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1352</v>
      </c>
      <c r="D12" s="15" t="s">
        <v>1353</v>
      </c>
      <c r="E12" s="15" t="s">
        <v>1354</v>
      </c>
      <c r="F12" s="16">
        <v>8</v>
      </c>
      <c r="G12" s="16">
        <v>0</v>
      </c>
      <c r="H12" s="16">
        <v>30</v>
      </c>
      <c r="I12" s="16">
        <f t="shared" si="0"/>
        <v>-30</v>
      </c>
      <c r="J12" s="15" t="s">
        <v>1326</v>
      </c>
      <c r="K12" s="15" t="s">
        <v>21</v>
      </c>
      <c r="L12" s="15" t="s">
        <v>1327</v>
      </c>
      <c r="M12" s="20" t="s">
        <v>1355</v>
      </c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1356</v>
      </c>
      <c r="D13" s="15" t="s">
        <v>1357</v>
      </c>
      <c r="E13" s="15" t="s">
        <v>1358</v>
      </c>
      <c r="F13" s="16">
        <v>7</v>
      </c>
      <c r="G13" s="16">
        <v>850</v>
      </c>
      <c r="H13" s="16">
        <v>30</v>
      </c>
      <c r="I13" s="16">
        <f t="shared" si="0"/>
        <v>820</v>
      </c>
      <c r="J13" s="15" t="s">
        <v>1326</v>
      </c>
      <c r="K13" s="15" t="s">
        <v>21</v>
      </c>
      <c r="L13" s="15" t="s">
        <v>1327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1359</v>
      </c>
      <c r="D14" s="15" t="s">
        <v>1360</v>
      </c>
      <c r="E14" s="15" t="s">
        <v>1361</v>
      </c>
      <c r="F14" s="16">
        <v>7</v>
      </c>
      <c r="G14" s="16">
        <v>820</v>
      </c>
      <c r="H14" s="16">
        <v>30</v>
      </c>
      <c r="I14" s="16">
        <f t="shared" si="0"/>
        <v>790</v>
      </c>
      <c r="J14" s="15" t="s">
        <v>1326</v>
      </c>
      <c r="K14" s="15" t="s">
        <v>21</v>
      </c>
      <c r="L14" s="15" t="s">
        <v>1327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1362</v>
      </c>
      <c r="D15" s="15" t="s">
        <v>1363</v>
      </c>
      <c r="E15" s="15" t="s">
        <v>1364</v>
      </c>
      <c r="F15" s="16">
        <v>11</v>
      </c>
      <c r="G15" s="16">
        <v>1505</v>
      </c>
      <c r="H15" s="16">
        <v>25</v>
      </c>
      <c r="I15" s="16">
        <f t="shared" si="0"/>
        <v>1480</v>
      </c>
      <c r="J15" s="15" t="s">
        <v>1326</v>
      </c>
      <c r="K15" s="15" t="s">
        <v>21</v>
      </c>
      <c r="L15" s="15" t="s">
        <v>1327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738</v>
      </c>
      <c r="D16" s="15" t="s">
        <v>1365</v>
      </c>
      <c r="E16" s="15" t="s">
        <v>1366</v>
      </c>
      <c r="F16" s="15" t="s">
        <v>46</v>
      </c>
      <c r="G16" s="16">
        <v>725</v>
      </c>
      <c r="H16" s="16">
        <v>25</v>
      </c>
      <c r="I16" s="16">
        <f t="shared" si="0"/>
        <v>700</v>
      </c>
      <c r="J16" s="15" t="s">
        <v>1326</v>
      </c>
      <c r="K16" s="15" t="s">
        <v>21</v>
      </c>
      <c r="L16" s="15" t="s">
        <v>1327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1367</v>
      </c>
      <c r="D17" s="15" t="s">
        <v>1368</v>
      </c>
      <c r="E17" s="15" t="s">
        <v>1369</v>
      </c>
      <c r="F17" s="15" t="s">
        <v>77</v>
      </c>
      <c r="G17" s="16">
        <v>715</v>
      </c>
      <c r="H17" s="16">
        <v>25</v>
      </c>
      <c r="I17" s="16">
        <f t="shared" si="0"/>
        <v>690</v>
      </c>
      <c r="J17" s="15" t="s">
        <v>21</v>
      </c>
      <c r="K17" s="15" t="s">
        <v>21</v>
      </c>
      <c r="L17" s="15" t="s">
        <v>1327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890</v>
      </c>
      <c r="D18" s="15" t="s">
        <v>1370</v>
      </c>
      <c r="E18" s="15" t="s">
        <v>250</v>
      </c>
      <c r="F18" s="15" t="s">
        <v>77</v>
      </c>
      <c r="G18" s="16">
        <v>0</v>
      </c>
      <c r="H18" s="16">
        <v>25</v>
      </c>
      <c r="I18" s="16">
        <f t="shared" si="0"/>
        <v>-25</v>
      </c>
      <c r="J18" s="15" t="s">
        <v>21</v>
      </c>
      <c r="K18" s="15" t="s">
        <v>21</v>
      </c>
      <c r="L18" s="15" t="s">
        <v>1327</v>
      </c>
      <c r="M18" s="15"/>
      <c r="N18" s="15"/>
      <c r="O18" s="15"/>
      <c r="P18" s="15"/>
      <c r="Q18" s="15">
        <v>1</v>
      </c>
      <c r="R18" s="10">
        <f>H18</f>
        <v>25</v>
      </c>
    </row>
    <row r="19" spans="1:18" x14ac:dyDescent="0.25">
      <c r="A19" s="15"/>
      <c r="B19" s="15" t="s">
        <v>17</v>
      </c>
      <c r="C19" s="15" t="s">
        <v>892</v>
      </c>
      <c r="D19" s="15" t="s">
        <v>1371</v>
      </c>
      <c r="E19" s="15" t="s">
        <v>1372</v>
      </c>
      <c r="F19" s="15" t="s">
        <v>81</v>
      </c>
      <c r="G19" s="16">
        <v>380</v>
      </c>
      <c r="H19" s="16">
        <v>30</v>
      </c>
      <c r="I19" s="16">
        <f t="shared" si="0"/>
        <v>350</v>
      </c>
      <c r="J19" s="15" t="s">
        <v>21</v>
      </c>
      <c r="K19" s="15" t="s">
        <v>21</v>
      </c>
      <c r="L19" s="15" t="s">
        <v>1327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1373</v>
      </c>
      <c r="D20" s="15" t="s">
        <v>1374</v>
      </c>
      <c r="E20" s="15" t="s">
        <v>1375</v>
      </c>
      <c r="F20" s="15" t="s">
        <v>85</v>
      </c>
      <c r="G20" s="16">
        <v>810</v>
      </c>
      <c r="H20" s="16">
        <v>20</v>
      </c>
      <c r="I20" s="16">
        <f t="shared" si="0"/>
        <v>790</v>
      </c>
      <c r="J20" s="15" t="s">
        <v>21</v>
      </c>
      <c r="K20" s="15" t="s">
        <v>21</v>
      </c>
      <c r="L20" s="15" t="s">
        <v>1327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1376</v>
      </c>
      <c r="D21" s="15" t="s">
        <v>1377</v>
      </c>
      <c r="E21" s="15" t="s">
        <v>1378</v>
      </c>
      <c r="F21" s="15" t="s">
        <v>81</v>
      </c>
      <c r="G21" s="16">
        <v>820</v>
      </c>
      <c r="H21" s="16">
        <v>30</v>
      </c>
      <c r="I21" s="16">
        <f t="shared" si="0"/>
        <v>790</v>
      </c>
      <c r="J21" s="15" t="s">
        <v>21</v>
      </c>
      <c r="K21" s="15" t="s">
        <v>21</v>
      </c>
      <c r="L21" s="15" t="s">
        <v>1327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1379</v>
      </c>
      <c r="D22" s="15" t="s">
        <v>1380</v>
      </c>
      <c r="E22" s="15" t="s">
        <v>1381</v>
      </c>
      <c r="F22" s="16">
        <v>2</v>
      </c>
      <c r="G22" s="16">
        <v>990</v>
      </c>
      <c r="H22" s="16">
        <v>30</v>
      </c>
      <c r="I22" s="16">
        <f t="shared" si="0"/>
        <v>960</v>
      </c>
      <c r="J22" s="15" t="s">
        <v>21</v>
      </c>
      <c r="K22" s="15" t="s">
        <v>21</v>
      </c>
      <c r="L22" s="15" t="s">
        <v>1327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120</v>
      </c>
      <c r="D23" s="15" t="s">
        <v>1382</v>
      </c>
      <c r="E23" s="15" t="s">
        <v>122</v>
      </c>
      <c r="F23" s="15" t="s">
        <v>85</v>
      </c>
      <c r="G23" s="16">
        <v>1770</v>
      </c>
      <c r="H23" s="16">
        <v>20</v>
      </c>
      <c r="I23" s="16">
        <f t="shared" si="0"/>
        <v>1750</v>
      </c>
      <c r="J23" s="15" t="s">
        <v>21</v>
      </c>
      <c r="K23" s="15" t="s">
        <v>21</v>
      </c>
      <c r="L23" s="15" t="s">
        <v>1327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1383</v>
      </c>
      <c r="D24" s="15" t="s">
        <v>1384</v>
      </c>
      <c r="E24" s="15" t="s">
        <v>503</v>
      </c>
      <c r="F24" s="16">
        <v>12</v>
      </c>
      <c r="G24" s="16">
        <v>0</v>
      </c>
      <c r="H24" s="16">
        <v>30</v>
      </c>
      <c r="I24" s="16">
        <f t="shared" si="0"/>
        <v>-30</v>
      </c>
      <c r="J24" s="15" t="s">
        <v>21</v>
      </c>
      <c r="K24" s="15" t="s">
        <v>21</v>
      </c>
      <c r="L24" s="15" t="s">
        <v>1327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1385</v>
      </c>
      <c r="D25" s="15" t="s">
        <v>1386</v>
      </c>
      <c r="E25" s="15" t="s">
        <v>1387</v>
      </c>
      <c r="F25" s="15" t="s">
        <v>81</v>
      </c>
      <c r="G25" s="16">
        <v>880</v>
      </c>
      <c r="H25" s="16">
        <v>30</v>
      </c>
      <c r="I25" s="16">
        <f t="shared" si="0"/>
        <v>850</v>
      </c>
      <c r="J25" s="15" t="s">
        <v>21</v>
      </c>
      <c r="K25" s="15" t="s">
        <v>21</v>
      </c>
      <c r="L25" s="15" t="s">
        <v>1327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1388</v>
      </c>
      <c r="D26" s="15" t="s">
        <v>1389</v>
      </c>
      <c r="E26" s="15" t="s">
        <v>1390</v>
      </c>
      <c r="F26" s="16">
        <v>12</v>
      </c>
      <c r="G26" s="16">
        <v>880</v>
      </c>
      <c r="H26" s="16">
        <v>30</v>
      </c>
      <c r="I26" s="16">
        <f t="shared" si="0"/>
        <v>850</v>
      </c>
      <c r="J26" s="15" t="s">
        <v>21</v>
      </c>
      <c r="K26" s="15" t="s">
        <v>21</v>
      </c>
      <c r="L26" s="15" t="s">
        <v>1327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1391</v>
      </c>
      <c r="D27" s="15" t="s">
        <v>1392</v>
      </c>
      <c r="E27" s="15" t="s">
        <v>1393</v>
      </c>
      <c r="F27" s="16">
        <v>2</v>
      </c>
      <c r="G27" s="16">
        <v>820</v>
      </c>
      <c r="H27" s="16">
        <v>30</v>
      </c>
      <c r="I27" s="16">
        <f t="shared" si="0"/>
        <v>790</v>
      </c>
      <c r="J27" s="15" t="s">
        <v>21</v>
      </c>
      <c r="K27" s="15" t="s">
        <v>21</v>
      </c>
      <c r="L27" s="15" t="s">
        <v>1327</v>
      </c>
      <c r="M27" s="15"/>
      <c r="N27" s="15"/>
      <c r="O27" s="15"/>
      <c r="P27" s="15"/>
      <c r="Q27" s="15">
        <v>1</v>
      </c>
    </row>
    <row r="28" spans="1:18" x14ac:dyDescent="0.25">
      <c r="A28" s="15" t="s">
        <v>16</v>
      </c>
      <c r="B28" s="15" t="s">
        <v>17</v>
      </c>
      <c r="C28" s="15" t="s">
        <v>1394</v>
      </c>
      <c r="D28" s="15"/>
      <c r="E28" s="15" t="s">
        <v>1395</v>
      </c>
      <c r="F28" s="16">
        <v>12</v>
      </c>
      <c r="G28" s="16">
        <v>0</v>
      </c>
      <c r="H28" s="16">
        <v>35</v>
      </c>
      <c r="I28" s="16">
        <f t="shared" si="0"/>
        <v>-35</v>
      </c>
      <c r="J28" s="15" t="s">
        <v>21</v>
      </c>
      <c r="K28" s="15" t="s">
        <v>21</v>
      </c>
      <c r="L28" s="15" t="s">
        <v>1327</v>
      </c>
      <c r="M28" s="15"/>
      <c r="N28" s="15"/>
      <c r="O28" s="15"/>
      <c r="P28" s="15"/>
      <c r="Q28" s="15">
        <v>1</v>
      </c>
      <c r="R28" s="10">
        <f>H28</f>
        <v>35</v>
      </c>
    </row>
    <row r="29" spans="1:18" x14ac:dyDescent="0.25">
      <c r="A29" s="15" t="s">
        <v>16</v>
      </c>
      <c r="B29" s="15" t="s">
        <v>17</v>
      </c>
      <c r="C29" s="15" t="s">
        <v>127</v>
      </c>
      <c r="D29" s="15"/>
      <c r="E29" s="15" t="s">
        <v>128</v>
      </c>
      <c r="F29" s="15" t="s">
        <v>81</v>
      </c>
      <c r="G29" s="16">
        <v>865</v>
      </c>
      <c r="H29" s="16">
        <v>35</v>
      </c>
      <c r="I29" s="16">
        <f t="shared" si="0"/>
        <v>830</v>
      </c>
      <c r="J29" s="15" t="s">
        <v>21</v>
      </c>
      <c r="K29" s="15" t="s">
        <v>21</v>
      </c>
      <c r="L29" s="15" t="s">
        <v>1327</v>
      </c>
      <c r="M29" s="15"/>
      <c r="N29" s="15"/>
      <c r="O29" s="15"/>
      <c r="P29" s="15"/>
      <c r="Q29" s="15">
        <v>1</v>
      </c>
    </row>
    <row r="30" spans="1:18" x14ac:dyDescent="0.25">
      <c r="A30" s="15" t="s">
        <v>16</v>
      </c>
      <c r="B30" s="15" t="s">
        <v>17</v>
      </c>
      <c r="C30" s="15" t="s">
        <v>368</v>
      </c>
      <c r="D30" s="15"/>
      <c r="E30" s="15" t="s">
        <v>1396</v>
      </c>
      <c r="F30" s="15" t="s">
        <v>77</v>
      </c>
      <c r="G30" s="16">
        <v>30</v>
      </c>
      <c r="H30" s="16">
        <v>30</v>
      </c>
      <c r="I30" s="16">
        <f t="shared" si="0"/>
        <v>0</v>
      </c>
      <c r="J30" s="15" t="s">
        <v>21</v>
      </c>
      <c r="K30" s="15" t="s">
        <v>21</v>
      </c>
      <c r="L30" s="15" t="s">
        <v>1327</v>
      </c>
      <c r="M30" s="15"/>
      <c r="N30" s="15"/>
      <c r="O30" s="15"/>
      <c r="P30" s="15"/>
      <c r="Q30" s="15">
        <v>1</v>
      </c>
    </row>
    <row r="31" spans="1:18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860</v>
      </c>
      <c r="H31" s="16">
        <v>30</v>
      </c>
      <c r="I31" s="16">
        <f t="shared" si="0"/>
        <v>830</v>
      </c>
      <c r="J31" s="15" t="s">
        <v>21</v>
      </c>
      <c r="K31" s="15" t="s">
        <v>21</v>
      </c>
      <c r="L31" s="15" t="s">
        <v>1327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1397</v>
      </c>
      <c r="D32" s="15" t="s">
        <v>1398</v>
      </c>
      <c r="E32" s="15" t="s">
        <v>1399</v>
      </c>
      <c r="F32" s="16">
        <v>1</v>
      </c>
      <c r="G32" s="16">
        <v>0</v>
      </c>
      <c r="H32" s="16">
        <v>25</v>
      </c>
      <c r="I32" s="16">
        <f t="shared" si="0"/>
        <v>-25</v>
      </c>
      <c r="J32" s="15" t="s">
        <v>135</v>
      </c>
      <c r="K32" s="15" t="s">
        <v>21</v>
      </c>
      <c r="L32" s="15" t="s">
        <v>1327</v>
      </c>
      <c r="M32" s="20" t="s">
        <v>377</v>
      </c>
      <c r="N32" s="15"/>
      <c r="O32" s="15"/>
      <c r="P32" s="15"/>
      <c r="Q32" s="15">
        <v>1</v>
      </c>
      <c r="R32" s="10">
        <f>H32</f>
        <v>25</v>
      </c>
    </row>
    <row r="33" spans="1:18" x14ac:dyDescent="0.25">
      <c r="A33" s="15"/>
      <c r="B33" s="15" t="s">
        <v>17</v>
      </c>
      <c r="C33" s="15" t="s">
        <v>1397</v>
      </c>
      <c r="D33" s="15" t="s">
        <v>1400</v>
      </c>
      <c r="E33" s="15" t="s">
        <v>1401</v>
      </c>
      <c r="F33" s="16">
        <v>1</v>
      </c>
      <c r="G33" s="16">
        <v>0</v>
      </c>
      <c r="H33" s="16">
        <v>0</v>
      </c>
      <c r="I33" s="16">
        <f t="shared" si="0"/>
        <v>0</v>
      </c>
      <c r="J33" s="15" t="s">
        <v>135</v>
      </c>
      <c r="K33" s="15" t="s">
        <v>21</v>
      </c>
      <c r="L33" s="15" t="s">
        <v>1327</v>
      </c>
      <c r="M33" s="20" t="s">
        <v>377</v>
      </c>
      <c r="N33" s="15"/>
      <c r="O33" s="15"/>
      <c r="P33" s="15"/>
      <c r="Q33" s="15">
        <v>1</v>
      </c>
      <c r="R33" s="10">
        <f>H33</f>
        <v>0</v>
      </c>
    </row>
    <row r="34" spans="1:18" x14ac:dyDescent="0.25">
      <c r="A34" s="15"/>
      <c r="B34" s="15" t="s">
        <v>17</v>
      </c>
      <c r="C34" s="15" t="s">
        <v>1402</v>
      </c>
      <c r="D34" s="15" t="s">
        <v>1403</v>
      </c>
      <c r="E34" s="15" t="s">
        <v>1404</v>
      </c>
      <c r="F34" s="15" t="s">
        <v>406</v>
      </c>
      <c r="G34" s="16">
        <v>780</v>
      </c>
      <c r="H34" s="16">
        <v>20</v>
      </c>
      <c r="I34" s="16">
        <f t="shared" si="0"/>
        <v>760</v>
      </c>
      <c r="J34" s="15" t="s">
        <v>135</v>
      </c>
      <c r="K34" s="15" t="s">
        <v>21</v>
      </c>
      <c r="L34" s="15" t="s">
        <v>1327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17</v>
      </c>
      <c r="C35" s="15" t="s">
        <v>1405</v>
      </c>
      <c r="D35" s="15" t="s">
        <v>1406</v>
      </c>
      <c r="E35" s="15" t="s">
        <v>1407</v>
      </c>
      <c r="F35" s="16">
        <v>1</v>
      </c>
      <c r="G35" s="16">
        <v>755</v>
      </c>
      <c r="H35" s="16">
        <v>25</v>
      </c>
      <c r="I35" s="16">
        <f t="shared" si="0"/>
        <v>730</v>
      </c>
      <c r="J35" s="15" t="s">
        <v>135</v>
      </c>
      <c r="K35" s="15" t="s">
        <v>21</v>
      </c>
      <c r="L35" s="15" t="s">
        <v>1327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17</v>
      </c>
      <c r="C36" s="15" t="s">
        <v>1408</v>
      </c>
      <c r="D36" s="15" t="s">
        <v>1409</v>
      </c>
      <c r="E36" s="15" t="s">
        <v>1410</v>
      </c>
      <c r="F36" s="16">
        <v>4</v>
      </c>
      <c r="G36" s="16">
        <v>985</v>
      </c>
      <c r="H36" s="16">
        <v>25</v>
      </c>
      <c r="I36" s="16">
        <f t="shared" si="0"/>
        <v>960</v>
      </c>
      <c r="J36" s="15" t="s">
        <v>135</v>
      </c>
      <c r="K36" s="15" t="s">
        <v>21</v>
      </c>
      <c r="L36" s="15" t="s">
        <v>1327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1411</v>
      </c>
      <c r="D37" s="15" t="s">
        <v>1412</v>
      </c>
      <c r="E37" s="15" t="s">
        <v>1413</v>
      </c>
      <c r="F37" s="16">
        <v>1</v>
      </c>
      <c r="G37" s="16">
        <v>925</v>
      </c>
      <c r="H37" s="16">
        <v>25</v>
      </c>
      <c r="I37" s="16">
        <f t="shared" si="0"/>
        <v>900</v>
      </c>
      <c r="J37" s="15" t="s">
        <v>135</v>
      </c>
      <c r="K37" s="15" t="s">
        <v>21</v>
      </c>
      <c r="L37" s="15" t="s">
        <v>1327</v>
      </c>
      <c r="M37" s="15"/>
      <c r="N37" s="15"/>
      <c r="O37" s="15"/>
      <c r="P37" s="15"/>
      <c r="Q37" s="15">
        <v>1</v>
      </c>
    </row>
    <row r="38" spans="1:18" x14ac:dyDescent="0.25">
      <c r="A38" s="15" t="s">
        <v>16</v>
      </c>
      <c r="B38" s="15" t="s">
        <v>17</v>
      </c>
      <c r="C38" s="15" t="s">
        <v>508</v>
      </c>
      <c r="D38" s="15"/>
      <c r="E38" s="15" t="s">
        <v>509</v>
      </c>
      <c r="F38" s="15" t="s">
        <v>406</v>
      </c>
      <c r="G38" s="16">
        <v>25</v>
      </c>
      <c r="H38" s="16">
        <v>25</v>
      </c>
      <c r="I38" s="16">
        <f t="shared" si="0"/>
        <v>0</v>
      </c>
      <c r="J38" s="15" t="s">
        <v>135</v>
      </c>
      <c r="K38" s="15" t="s">
        <v>21</v>
      </c>
      <c r="L38" s="15" t="s">
        <v>1327</v>
      </c>
      <c r="M38" s="15"/>
      <c r="N38" s="15"/>
      <c r="O38" s="15"/>
      <c r="P38" s="15"/>
      <c r="Q38" s="15">
        <v>1</v>
      </c>
    </row>
    <row r="39" spans="1:18" x14ac:dyDescent="0.25">
      <c r="A39" s="15" t="s">
        <v>16</v>
      </c>
      <c r="B39" s="15" t="s">
        <v>17</v>
      </c>
      <c r="C39" s="15" t="s">
        <v>1414</v>
      </c>
      <c r="D39" s="15"/>
      <c r="E39" s="15" t="s">
        <v>1042</v>
      </c>
      <c r="F39" s="16">
        <v>5</v>
      </c>
      <c r="G39" s="16">
        <v>0</v>
      </c>
      <c r="H39" s="16">
        <v>30</v>
      </c>
      <c r="I39" s="16">
        <f t="shared" si="0"/>
        <v>-30</v>
      </c>
      <c r="J39" s="15" t="s">
        <v>135</v>
      </c>
      <c r="K39" s="15" t="s">
        <v>21</v>
      </c>
      <c r="L39" s="15" t="s">
        <v>1327</v>
      </c>
      <c r="M39" s="15"/>
      <c r="N39" s="15"/>
      <c r="O39" s="15"/>
      <c r="P39" s="15"/>
      <c r="Q39" s="15">
        <v>1</v>
      </c>
      <c r="R39" s="10">
        <f>H39</f>
        <v>30</v>
      </c>
    </row>
    <row r="40" spans="1:18" s="2" customFormat="1" x14ac:dyDescent="0.25">
      <c r="A40" s="21"/>
      <c r="B40" s="21" t="s">
        <v>17</v>
      </c>
      <c r="C40" s="21" t="s">
        <v>1415</v>
      </c>
      <c r="D40" s="21" t="s">
        <v>1416</v>
      </c>
      <c r="E40" s="21" t="s">
        <v>1417</v>
      </c>
      <c r="F40" s="22">
        <v>7</v>
      </c>
      <c r="G40" s="22">
        <v>870</v>
      </c>
      <c r="H40" s="22">
        <v>0</v>
      </c>
      <c r="I40" s="22">
        <f t="shared" si="0"/>
        <v>870</v>
      </c>
      <c r="J40" s="21" t="s">
        <v>1418</v>
      </c>
      <c r="K40" s="21" t="s">
        <v>21</v>
      </c>
      <c r="L40" s="21" t="s">
        <v>1419</v>
      </c>
      <c r="M40" s="21" t="s">
        <v>206</v>
      </c>
      <c r="N40" s="21" t="s">
        <v>272</v>
      </c>
      <c r="O40" s="21" t="s">
        <v>272</v>
      </c>
      <c r="P40" s="21" t="s">
        <v>273</v>
      </c>
      <c r="Q40" s="21">
        <v>1</v>
      </c>
    </row>
    <row r="41" spans="1:18" s="2" customFormat="1" x14ac:dyDescent="0.25">
      <c r="A41" s="21"/>
      <c r="B41" s="21" t="s">
        <v>17</v>
      </c>
      <c r="C41" s="21" t="s">
        <v>1035</v>
      </c>
      <c r="D41" s="21" t="s">
        <v>1036</v>
      </c>
      <c r="E41" s="21" t="s">
        <v>1037</v>
      </c>
      <c r="F41" s="22">
        <v>10</v>
      </c>
      <c r="G41" s="22">
        <v>1145</v>
      </c>
      <c r="H41" s="22">
        <v>25</v>
      </c>
      <c r="I41" s="22">
        <f t="shared" si="0"/>
        <v>1120</v>
      </c>
      <c r="J41" s="21" t="s">
        <v>271</v>
      </c>
      <c r="K41" s="21" t="s">
        <v>21</v>
      </c>
      <c r="L41" s="21" t="s">
        <v>977</v>
      </c>
      <c r="M41" s="21" t="s">
        <v>204</v>
      </c>
      <c r="N41" s="21" t="s">
        <v>272</v>
      </c>
      <c r="O41" s="21" t="s">
        <v>272</v>
      </c>
      <c r="P41" s="21" t="s">
        <v>273</v>
      </c>
      <c r="Q41" s="22">
        <v>1</v>
      </c>
    </row>
    <row r="42" spans="1:18" s="2" customFormat="1" x14ac:dyDescent="0.25">
      <c r="A42" s="21"/>
      <c r="B42" s="21" t="s">
        <v>17</v>
      </c>
      <c r="C42" s="21" t="s">
        <v>1087</v>
      </c>
      <c r="D42" s="21" t="s">
        <v>1088</v>
      </c>
      <c r="E42" s="21" t="s">
        <v>1089</v>
      </c>
      <c r="F42" s="22">
        <v>2</v>
      </c>
      <c r="G42" s="22">
        <v>920</v>
      </c>
      <c r="H42" s="22">
        <v>30</v>
      </c>
      <c r="I42" s="22">
        <f t="shared" si="0"/>
        <v>890</v>
      </c>
      <c r="J42" s="21" t="s">
        <v>271</v>
      </c>
      <c r="K42" s="21" t="s">
        <v>21</v>
      </c>
      <c r="L42" s="21" t="s">
        <v>1048</v>
      </c>
      <c r="M42" s="21" t="s">
        <v>204</v>
      </c>
      <c r="N42" s="21" t="s">
        <v>272</v>
      </c>
      <c r="O42" s="21" t="s">
        <v>272</v>
      </c>
      <c r="P42" s="21" t="s">
        <v>273</v>
      </c>
      <c r="Q42" s="22">
        <v>1</v>
      </c>
    </row>
    <row r="44" spans="1:18" x14ac:dyDescent="0.25">
      <c r="D44" s="1">
        <f>COUNTA(D3:D42)</f>
        <v>34</v>
      </c>
      <c r="G44" s="1">
        <f t="shared" ref="G44:Q44" si="1">SUBTOTAL(9,G3:G42)</f>
        <v>25565</v>
      </c>
      <c r="H44" s="1">
        <f t="shared" si="1"/>
        <v>1005</v>
      </c>
      <c r="I44" s="1">
        <f t="shared" si="1"/>
        <v>24560</v>
      </c>
      <c r="J44" s="1">
        <f t="shared" si="1"/>
        <v>0</v>
      </c>
      <c r="K44" s="1">
        <f t="shared" si="1"/>
        <v>0</v>
      </c>
      <c r="L44" s="1">
        <f t="shared" si="1"/>
        <v>0</v>
      </c>
      <c r="M44" s="1">
        <f t="shared" si="1"/>
        <v>0</v>
      </c>
      <c r="N44" s="1">
        <f t="shared" si="1"/>
        <v>0</v>
      </c>
      <c r="O44" s="1">
        <f t="shared" si="1"/>
        <v>0</v>
      </c>
      <c r="P44" s="1">
        <f t="shared" si="1"/>
        <v>0</v>
      </c>
      <c r="Q44" s="1">
        <f t="shared" si="1"/>
        <v>40</v>
      </c>
    </row>
    <row r="45" spans="1:18" x14ac:dyDescent="0.25">
      <c r="H45">
        <f>-9*17</f>
        <v>-153</v>
      </c>
    </row>
    <row r="46" spans="1:18" x14ac:dyDescent="0.25">
      <c r="A46" s="1" t="s">
        <v>17</v>
      </c>
      <c r="C46" s="40" t="s">
        <v>191</v>
      </c>
      <c r="D46" s="40"/>
      <c r="E46" s="4" t="s">
        <v>192</v>
      </c>
      <c r="H46">
        <f>-1*25</f>
        <v>-25</v>
      </c>
      <c r="K46" s="11" t="s">
        <v>21</v>
      </c>
      <c r="L46" s="11" t="s">
        <v>193</v>
      </c>
      <c r="M46" s="11" t="s">
        <v>192</v>
      </c>
      <c r="O46" s="4" t="s">
        <v>194</v>
      </c>
    </row>
    <row r="47" spans="1:18" x14ac:dyDescent="0.25">
      <c r="A47" t="s">
        <v>1327</v>
      </c>
      <c r="B47" s="3" t="s">
        <v>195</v>
      </c>
      <c r="C47" s="41">
        <f>SUMIFS(I$3:I$42,B$3:B$42,A$46,L$3:L$42,A$47)</f>
        <v>21680</v>
      </c>
      <c r="D47" s="41"/>
      <c r="E47" s="3">
        <f>SUMIFS(Q$3:Q$42,B$3:B$42,A$46,L$3:L$42,A$47)</f>
        <v>37</v>
      </c>
      <c r="F47" t="s">
        <v>196</v>
      </c>
      <c r="H47">
        <f>-2*30</f>
        <v>-60</v>
      </c>
      <c r="K47" t="s">
        <v>197</v>
      </c>
      <c r="L47">
        <f>SUMIFS(G$3:G$42,J$3:J$42,K$46)</f>
        <v>9820</v>
      </c>
      <c r="M47">
        <f>SUMIFS(Q$3:Q$42,J$3:J$42,K$46)-INT(COUNTIFS(J$3:J$42,K$46,M$3:M$42,"*gộp*")/2)</f>
        <v>15</v>
      </c>
      <c r="O47" t="s">
        <v>21</v>
      </c>
      <c r="P47">
        <f>L52</f>
        <v>8506</v>
      </c>
    </row>
    <row r="48" spans="1:18" x14ac:dyDescent="0.25">
      <c r="B48" s="2" t="s">
        <v>199</v>
      </c>
      <c r="C48" s="42">
        <v>0</v>
      </c>
      <c r="D48" s="42"/>
      <c r="K48" t="s">
        <v>200</v>
      </c>
      <c r="L48">
        <f>-SUMIFS(H$3:H$42,J$3:J$42,K$46)+M48*5</f>
        <v>-355</v>
      </c>
      <c r="M48">
        <f>SUMIFS(Q$3:Q$42,J$3:J$42,K$46)-INT(COUNTIFS(J$3:J$42,K$46,M$3:M$42,"*gộp*")/2)</f>
        <v>15</v>
      </c>
      <c r="O48" t="s">
        <v>1420</v>
      </c>
      <c r="P48">
        <f>L60</f>
        <v>8232</v>
      </c>
    </row>
    <row r="49" spans="2:16" x14ac:dyDescent="0.25">
      <c r="B49" s="2" t="s">
        <v>201</v>
      </c>
      <c r="C49" s="42">
        <f>-SUMIFS(I$3:I$42,B$3:B$42,A$46,P$3:P$42,"xx",N$3:N$42,"x")</f>
        <v>-2880</v>
      </c>
      <c r="D49" s="42"/>
      <c r="E49" s="2">
        <f>SUMIFS(Q$3:Q$42,B$3:B$42,A$46,P$3:P$42,"xx",N$3:N$42,"x")</f>
        <v>3</v>
      </c>
      <c r="K49" t="s">
        <v>202</v>
      </c>
      <c r="L49">
        <f>-M49*2</f>
        <v>-64</v>
      </c>
      <c r="M49">
        <f>E50-(COUNTIFS(M$3:M$42,"*gộp*")/2)-COUNTIFS(M$3:M$42,"*đơn trả*")-COUNTIFS(M$3:M$42,"*hàng tỉnh*")</f>
        <v>32</v>
      </c>
      <c r="O49" t="s">
        <v>135</v>
      </c>
      <c r="P49">
        <f>L68</f>
        <v>2205</v>
      </c>
    </row>
    <row r="50" spans="2:16" x14ac:dyDescent="0.25">
      <c r="B50" s="4" t="s">
        <v>203</v>
      </c>
      <c r="C50" s="40">
        <f>SUBTOTAL(9,C47:C49)</f>
        <v>18800</v>
      </c>
      <c r="D50" s="40"/>
      <c r="E50">
        <f>E47</f>
        <v>37</v>
      </c>
      <c r="K50" s="2" t="s">
        <v>204</v>
      </c>
      <c r="L50" s="23">
        <v>-895</v>
      </c>
      <c r="M50" s="23" t="s">
        <v>288</v>
      </c>
      <c r="O50" t="s">
        <v>207</v>
      </c>
      <c r="P50">
        <f>-C54</f>
        <v>-18800</v>
      </c>
    </row>
    <row r="51" spans="2:16" x14ac:dyDescent="0.25">
      <c r="B51" s="2" t="s">
        <v>205</v>
      </c>
      <c r="C51" s="38"/>
      <c r="D51" s="38"/>
      <c r="K51" s="2" t="s">
        <v>206</v>
      </c>
      <c r="O51" s="4" t="s">
        <v>209</v>
      </c>
      <c r="P51" s="4">
        <f>SUBTOTAL(9,P47:P50)</f>
        <v>143</v>
      </c>
    </row>
    <row r="52" spans="2:16" x14ac:dyDescent="0.25">
      <c r="B52" s="12" t="s">
        <v>208</v>
      </c>
      <c r="C52" s="38"/>
      <c r="D52" s="38"/>
      <c r="L52" s="13">
        <f>SUBTOTAL(9,L47:L51)</f>
        <v>8506</v>
      </c>
      <c r="M52" s="13">
        <f>M47</f>
        <v>15</v>
      </c>
    </row>
    <row r="54" spans="2:16" x14ac:dyDescent="0.25">
      <c r="B54" s="1" t="s">
        <v>210</v>
      </c>
      <c r="C54" s="39">
        <f>C50+C51+C52</f>
        <v>18800</v>
      </c>
      <c r="D54" s="39"/>
      <c r="E54" s="1" t="s">
        <v>211</v>
      </c>
      <c r="K54" s="11" t="s">
        <v>1326</v>
      </c>
      <c r="L54" s="11" t="s">
        <v>193</v>
      </c>
      <c r="M54" s="11" t="s">
        <v>192</v>
      </c>
    </row>
    <row r="55" spans="2:16" x14ac:dyDescent="0.25">
      <c r="K55" t="s">
        <v>197</v>
      </c>
      <c r="L55">
        <f>SUMIFS(G$3:G$42,J$3:J$42,K$54)</f>
        <v>9340</v>
      </c>
      <c r="M55">
        <f>SUMIFS(Q$3:Q$42,J$3:J$42,K$54)-INT(COUNTIFS(J$3:J$42,K$54,M$3:M$42,"*gộp*")/2)</f>
        <v>12</v>
      </c>
    </row>
    <row r="56" spans="2:16" x14ac:dyDescent="0.25">
      <c r="K56" t="s">
        <v>200</v>
      </c>
      <c r="L56">
        <f>SUM(H45:H47)</f>
        <v>-238</v>
      </c>
      <c r="M56">
        <f>SUMIFS(Q$3:Q$42,J$3:J$42,K$54)-INT(COUNTIFS(J$3:J$42,K$54,M$3:M$42,"*gộp*")/2)</f>
        <v>12</v>
      </c>
    </row>
    <row r="57" spans="2:16" x14ac:dyDescent="0.25">
      <c r="K57" t="s">
        <v>202</v>
      </c>
    </row>
    <row r="58" spans="2:16" x14ac:dyDescent="0.25">
      <c r="K58" s="2" t="s">
        <v>204</v>
      </c>
    </row>
    <row r="59" spans="2:16" x14ac:dyDescent="0.25">
      <c r="K59" s="2" t="s">
        <v>206</v>
      </c>
      <c r="L59" s="23">
        <v>-870</v>
      </c>
      <c r="M59" s="23" t="s">
        <v>288</v>
      </c>
    </row>
    <row r="60" spans="2:16" x14ac:dyDescent="0.25">
      <c r="L60" s="13">
        <f>SUBTOTAL(9,L55:L59)</f>
        <v>8232</v>
      </c>
      <c r="M60" s="13">
        <f>M55</f>
        <v>12</v>
      </c>
    </row>
    <row r="62" spans="2:16" x14ac:dyDescent="0.25">
      <c r="K62" s="11" t="s">
        <v>135</v>
      </c>
      <c r="L62" s="11" t="s">
        <v>193</v>
      </c>
      <c r="M62" s="11" t="s">
        <v>192</v>
      </c>
    </row>
    <row r="63" spans="2:16" x14ac:dyDescent="0.25">
      <c r="K63" t="s">
        <v>197</v>
      </c>
      <c r="L63">
        <f>SUMIFS(G$3:G$42,J$3:J$42,K$62)</f>
        <v>3470</v>
      </c>
      <c r="M63">
        <f>SUMIFS(Q$3:Q$42,J$3:J$42,K$62)-INT(COUNTIFS(J$3:J$42,K$62,M$3:M$42,"*gộp*")/2)</f>
        <v>7</v>
      </c>
    </row>
    <row r="64" spans="2:16" x14ac:dyDescent="0.25">
      <c r="K64" t="s">
        <v>200</v>
      </c>
      <c r="L64">
        <f>-SUMIFS(H$3:H$42,J$3:J$42,K$62)+M64*5</f>
        <v>-140</v>
      </c>
      <c r="M64">
        <f>SUMIFS(Q$3:Q$42,J$3:J$42,K$62)-INT(COUNTIFS(J$3:J$42,K$62,M$3:M$42,"*gộp*")/2)</f>
        <v>7</v>
      </c>
    </row>
    <row r="65" spans="11:13" x14ac:dyDescent="0.25">
      <c r="K65" t="s">
        <v>202</v>
      </c>
    </row>
    <row r="66" spans="11:13" x14ac:dyDescent="0.25">
      <c r="K66" s="2" t="s">
        <v>204</v>
      </c>
      <c r="L66" s="23">
        <v>-1125</v>
      </c>
      <c r="M66" s="23" t="s">
        <v>288</v>
      </c>
    </row>
    <row r="67" spans="11:13" x14ac:dyDescent="0.25">
      <c r="K67" s="2" t="s">
        <v>206</v>
      </c>
    </row>
    <row r="68" spans="11:13" x14ac:dyDescent="0.25">
      <c r="L68" s="13">
        <f>SUBTOTAL(9,L63:L67)</f>
        <v>2205</v>
      </c>
      <c r="M68" s="13">
        <f>M63</f>
        <v>7</v>
      </c>
    </row>
  </sheetData>
  <autoFilter ref="A2:P42" xr:uid="{00000000-0009-0000-0000-00000C000000}">
    <sortState xmlns:xlrd2="http://schemas.microsoft.com/office/spreadsheetml/2017/richdata2" ref="A3:P42">
      <sortCondition ref="J2:J42"/>
    </sortState>
  </autoFilter>
  <mergeCells count="8">
    <mergeCell ref="C51:D51"/>
    <mergeCell ref="C52:D52"/>
    <mergeCell ref="C54:D54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R75"/>
  <sheetViews>
    <sheetView topLeftCell="A49" workbookViewId="0">
      <selection activeCell="K11" sqref="K11"/>
    </sheetView>
  </sheetViews>
  <sheetFormatPr defaultRowHeight="15" x14ac:dyDescent="0.25"/>
  <cols>
    <col min="1" max="1" width="12.7109375" customWidth="1"/>
    <col min="2" max="2" width="17.7109375" customWidth="1"/>
    <col min="3" max="3" width="39.710937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1421</v>
      </c>
      <c r="D3" s="15" t="s">
        <v>1422</v>
      </c>
      <c r="E3" s="15" t="s">
        <v>1423</v>
      </c>
      <c r="F3" s="16">
        <v>9</v>
      </c>
      <c r="G3" s="16">
        <v>850</v>
      </c>
      <c r="H3" s="16">
        <v>30</v>
      </c>
      <c r="I3" s="16">
        <f t="shared" ref="I3:I41" si="0">G3-H3</f>
        <v>820</v>
      </c>
      <c r="J3" s="15" t="s">
        <v>20</v>
      </c>
      <c r="K3" s="15" t="s">
        <v>21</v>
      </c>
      <c r="L3" s="15" t="s">
        <v>1424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1425</v>
      </c>
      <c r="D4" s="15" t="s">
        <v>1426</v>
      </c>
      <c r="E4" s="15" t="s">
        <v>1427</v>
      </c>
      <c r="F4" s="16">
        <v>9</v>
      </c>
      <c r="G4" s="16">
        <v>600</v>
      </c>
      <c r="H4" s="16">
        <v>30</v>
      </c>
      <c r="I4" s="16">
        <f t="shared" si="0"/>
        <v>570</v>
      </c>
      <c r="J4" s="15" t="s">
        <v>20</v>
      </c>
      <c r="K4" s="15" t="s">
        <v>21</v>
      </c>
      <c r="L4" s="15" t="s">
        <v>1424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870</v>
      </c>
      <c r="D5" s="15"/>
      <c r="E5" s="15" t="s">
        <v>632</v>
      </c>
      <c r="F5" s="16">
        <v>6</v>
      </c>
      <c r="G5" s="16">
        <v>0</v>
      </c>
      <c r="H5" s="16">
        <v>30</v>
      </c>
      <c r="I5" s="16">
        <f t="shared" si="0"/>
        <v>-30</v>
      </c>
      <c r="J5" s="15" t="s">
        <v>1428</v>
      </c>
      <c r="K5" s="15" t="s">
        <v>21</v>
      </c>
      <c r="L5" s="15" t="s">
        <v>1424</v>
      </c>
      <c r="M5" s="15"/>
      <c r="N5" s="15"/>
      <c r="O5" s="15"/>
      <c r="P5" s="15"/>
      <c r="Q5" s="15">
        <v>1</v>
      </c>
      <c r="R5" s="10">
        <f>H5</f>
        <v>30</v>
      </c>
    </row>
    <row r="6" spans="1:18" s="19" customFormat="1" x14ac:dyDescent="0.25">
      <c r="A6" s="17"/>
      <c r="B6" s="17" t="s">
        <v>17</v>
      </c>
      <c r="C6" s="17" t="s">
        <v>1352</v>
      </c>
      <c r="D6" s="17" t="s">
        <v>1429</v>
      </c>
      <c r="E6" s="17" t="s">
        <v>1354</v>
      </c>
      <c r="F6" s="18">
        <v>8</v>
      </c>
      <c r="G6" s="18">
        <v>380</v>
      </c>
      <c r="H6" s="18">
        <v>30</v>
      </c>
      <c r="I6" s="18">
        <f t="shared" si="0"/>
        <v>350</v>
      </c>
      <c r="J6" s="17" t="s">
        <v>1428</v>
      </c>
      <c r="K6" s="17" t="s">
        <v>21</v>
      </c>
      <c r="L6" s="17" t="s">
        <v>1424</v>
      </c>
      <c r="M6" s="17" t="s">
        <v>126</v>
      </c>
      <c r="N6" s="17"/>
      <c r="O6" s="17"/>
      <c r="P6" s="17"/>
      <c r="Q6" s="17">
        <v>1</v>
      </c>
    </row>
    <row r="7" spans="1:18" x14ac:dyDescent="0.25">
      <c r="A7" s="15"/>
      <c r="B7" s="15" t="s">
        <v>17</v>
      </c>
      <c r="C7" s="15" t="s">
        <v>1430</v>
      </c>
      <c r="D7" s="15" t="s">
        <v>1431</v>
      </c>
      <c r="E7" s="15" t="s">
        <v>744</v>
      </c>
      <c r="F7" s="15" t="s">
        <v>26</v>
      </c>
      <c r="G7" s="16">
        <v>0</v>
      </c>
      <c r="H7" s="16">
        <v>30</v>
      </c>
      <c r="I7" s="16">
        <f t="shared" si="0"/>
        <v>-30</v>
      </c>
      <c r="J7" s="15" t="s">
        <v>1428</v>
      </c>
      <c r="K7" s="15" t="s">
        <v>21</v>
      </c>
      <c r="L7" s="15" t="s">
        <v>1424</v>
      </c>
      <c r="M7" s="15"/>
      <c r="N7" s="15"/>
      <c r="O7" s="15"/>
      <c r="P7" s="15"/>
      <c r="Q7" s="15">
        <v>1</v>
      </c>
      <c r="R7" s="10">
        <f t="shared" ref="R7:R13" si="1">H7</f>
        <v>30</v>
      </c>
    </row>
    <row r="8" spans="1:18" x14ac:dyDescent="0.25">
      <c r="A8" s="15"/>
      <c r="B8" s="15" t="s">
        <v>17</v>
      </c>
      <c r="C8" s="15" t="s">
        <v>1065</v>
      </c>
      <c r="D8" s="15" t="s">
        <v>1432</v>
      </c>
      <c r="E8" s="15" t="s">
        <v>1067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1428</v>
      </c>
      <c r="K8" s="15" t="s">
        <v>21</v>
      </c>
      <c r="L8" s="15" t="s">
        <v>1424</v>
      </c>
      <c r="M8" s="15"/>
      <c r="N8" s="15"/>
      <c r="O8" s="15"/>
      <c r="P8" s="15"/>
      <c r="Q8" s="15">
        <v>1</v>
      </c>
      <c r="R8" s="10">
        <f t="shared" si="1"/>
        <v>30</v>
      </c>
    </row>
    <row r="9" spans="1:18" x14ac:dyDescent="0.25">
      <c r="A9" s="15"/>
      <c r="B9" s="15" t="s">
        <v>17</v>
      </c>
      <c r="C9" s="15" t="s">
        <v>1433</v>
      </c>
      <c r="D9" s="15" t="s">
        <v>1434</v>
      </c>
      <c r="E9" s="15" t="s">
        <v>1435</v>
      </c>
      <c r="F9" s="16">
        <v>7</v>
      </c>
      <c r="G9" s="16">
        <v>0</v>
      </c>
      <c r="H9" s="16">
        <v>30</v>
      </c>
      <c r="I9" s="16">
        <f t="shared" si="0"/>
        <v>-30</v>
      </c>
      <c r="J9" s="15" t="s">
        <v>1428</v>
      </c>
      <c r="K9" s="15" t="s">
        <v>21</v>
      </c>
      <c r="L9" s="15" t="s">
        <v>1424</v>
      </c>
      <c r="M9" s="15"/>
      <c r="N9" s="15"/>
      <c r="O9" s="15"/>
      <c r="P9" s="15"/>
      <c r="Q9" s="15">
        <v>1</v>
      </c>
      <c r="R9" s="10">
        <f t="shared" si="1"/>
        <v>30</v>
      </c>
    </row>
    <row r="10" spans="1:18" x14ac:dyDescent="0.25">
      <c r="A10" s="15"/>
      <c r="B10" s="15" t="s">
        <v>17</v>
      </c>
      <c r="C10" s="15" t="s">
        <v>1436</v>
      </c>
      <c r="D10" s="15" t="s">
        <v>1437</v>
      </c>
      <c r="E10" s="15" t="s">
        <v>632</v>
      </c>
      <c r="F10" s="16">
        <v>6</v>
      </c>
      <c r="G10" s="16">
        <v>0</v>
      </c>
      <c r="H10" s="16">
        <v>25</v>
      </c>
      <c r="I10" s="16">
        <f t="shared" si="0"/>
        <v>-25</v>
      </c>
      <c r="J10" s="15" t="s">
        <v>1428</v>
      </c>
      <c r="K10" s="15" t="s">
        <v>21</v>
      </c>
      <c r="L10" s="15" t="s">
        <v>1424</v>
      </c>
      <c r="M10" s="15"/>
      <c r="N10" s="15"/>
      <c r="O10" s="15"/>
      <c r="P10" s="15"/>
      <c r="Q10" s="15">
        <v>1</v>
      </c>
      <c r="R10" s="10">
        <f t="shared" si="1"/>
        <v>25</v>
      </c>
    </row>
    <row r="11" spans="1:18" x14ac:dyDescent="0.25">
      <c r="A11" s="15"/>
      <c r="B11" s="15" t="s">
        <v>17</v>
      </c>
      <c r="C11" s="15" t="s">
        <v>1438</v>
      </c>
      <c r="D11" s="15" t="s">
        <v>1439</v>
      </c>
      <c r="E11" s="15" t="s">
        <v>1440</v>
      </c>
      <c r="F11" s="15" t="s">
        <v>26</v>
      </c>
      <c r="G11" s="16">
        <v>0</v>
      </c>
      <c r="H11" s="16">
        <v>30</v>
      </c>
      <c r="I11" s="16">
        <f t="shared" si="0"/>
        <v>-30</v>
      </c>
      <c r="J11" s="15" t="s">
        <v>1428</v>
      </c>
      <c r="K11" s="15" t="s">
        <v>21</v>
      </c>
      <c r="L11" s="15" t="s">
        <v>1424</v>
      </c>
      <c r="M11" s="15"/>
      <c r="N11" s="15"/>
      <c r="O11" s="15"/>
      <c r="P11" s="15"/>
      <c r="Q11" s="15">
        <v>1</v>
      </c>
      <c r="R11" s="10">
        <f t="shared" si="1"/>
        <v>30</v>
      </c>
    </row>
    <row r="12" spans="1:18" x14ac:dyDescent="0.25">
      <c r="A12" s="15"/>
      <c r="B12" s="15" t="s">
        <v>17</v>
      </c>
      <c r="C12" s="15" t="s">
        <v>1441</v>
      </c>
      <c r="D12" s="15" t="s">
        <v>1442</v>
      </c>
      <c r="E12" s="15" t="s">
        <v>1443</v>
      </c>
      <c r="F12" s="15" t="s">
        <v>26</v>
      </c>
      <c r="G12" s="16">
        <v>0</v>
      </c>
      <c r="H12" s="16">
        <v>30</v>
      </c>
      <c r="I12" s="16">
        <f t="shared" si="0"/>
        <v>-30</v>
      </c>
      <c r="J12" s="15" t="s">
        <v>1428</v>
      </c>
      <c r="K12" s="15" t="s">
        <v>21</v>
      </c>
      <c r="L12" s="15" t="s">
        <v>1424</v>
      </c>
      <c r="M12" s="15"/>
      <c r="N12" s="15"/>
      <c r="O12" s="15"/>
      <c r="P12" s="15"/>
      <c r="Q12" s="15">
        <v>1</v>
      </c>
      <c r="R12" s="10">
        <f t="shared" si="1"/>
        <v>30</v>
      </c>
    </row>
    <row r="13" spans="1:18" s="19" customFormat="1" x14ac:dyDescent="0.25">
      <c r="A13" s="17"/>
      <c r="B13" s="17" t="s">
        <v>17</v>
      </c>
      <c r="C13" s="17" t="s">
        <v>1444</v>
      </c>
      <c r="D13" s="17"/>
      <c r="E13" s="17" t="s">
        <v>1445</v>
      </c>
      <c r="F13" s="17" t="s">
        <v>139</v>
      </c>
      <c r="G13" s="18">
        <v>0</v>
      </c>
      <c r="H13" s="18">
        <v>35</v>
      </c>
      <c r="I13" s="18">
        <f t="shared" si="0"/>
        <v>-35</v>
      </c>
      <c r="J13" s="17" t="s">
        <v>1428</v>
      </c>
      <c r="K13" s="17" t="s">
        <v>21</v>
      </c>
      <c r="L13" s="17" t="s">
        <v>1424</v>
      </c>
      <c r="M13" s="17" t="s">
        <v>126</v>
      </c>
      <c r="N13" s="17"/>
      <c r="O13" s="17"/>
      <c r="P13" s="17"/>
      <c r="Q13" s="17">
        <v>1</v>
      </c>
      <c r="R13" s="25">
        <f t="shared" si="1"/>
        <v>35</v>
      </c>
    </row>
    <row r="14" spans="1:18" x14ac:dyDescent="0.25">
      <c r="A14" s="15"/>
      <c r="B14" s="15" t="s">
        <v>17</v>
      </c>
      <c r="C14" s="15" t="s">
        <v>1239</v>
      </c>
      <c r="D14" s="15" t="s">
        <v>1446</v>
      </c>
      <c r="E14" s="15" t="s">
        <v>1447</v>
      </c>
      <c r="F14" s="16">
        <v>8</v>
      </c>
      <c r="G14" s="16">
        <v>980</v>
      </c>
      <c r="H14" s="16">
        <v>30</v>
      </c>
      <c r="I14" s="16">
        <f t="shared" si="0"/>
        <v>950</v>
      </c>
      <c r="J14" s="15" t="s">
        <v>1428</v>
      </c>
      <c r="K14" s="15" t="s">
        <v>21</v>
      </c>
      <c r="L14" s="15" t="s">
        <v>1424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1448</v>
      </c>
      <c r="D15" s="15" t="s">
        <v>1449</v>
      </c>
      <c r="E15" s="15" t="s">
        <v>1450</v>
      </c>
      <c r="F15" s="16">
        <v>8</v>
      </c>
      <c r="G15" s="16">
        <v>380</v>
      </c>
      <c r="H15" s="16">
        <v>30</v>
      </c>
      <c r="I15" s="16">
        <f t="shared" si="0"/>
        <v>350</v>
      </c>
      <c r="J15" s="15" t="s">
        <v>1428</v>
      </c>
      <c r="K15" s="15" t="s">
        <v>21</v>
      </c>
      <c r="L15" s="15" t="s">
        <v>1424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1451</v>
      </c>
      <c r="D16" s="15" t="s">
        <v>1452</v>
      </c>
      <c r="E16" s="15" t="s">
        <v>1453</v>
      </c>
      <c r="F16" s="15" t="s">
        <v>139</v>
      </c>
      <c r="G16" s="16">
        <v>695</v>
      </c>
      <c r="H16" s="16">
        <v>35</v>
      </c>
      <c r="I16" s="16">
        <f t="shared" si="0"/>
        <v>660</v>
      </c>
      <c r="J16" s="15" t="s">
        <v>1428</v>
      </c>
      <c r="K16" s="15" t="s">
        <v>21</v>
      </c>
      <c r="L16" s="15" t="s">
        <v>1424</v>
      </c>
      <c r="M16" s="20" t="s">
        <v>377</v>
      </c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1454</v>
      </c>
      <c r="D17" s="15" t="s">
        <v>1455</v>
      </c>
      <c r="E17" s="15" t="s">
        <v>1456</v>
      </c>
      <c r="F17" s="15" t="s">
        <v>139</v>
      </c>
      <c r="G17" s="16">
        <v>820</v>
      </c>
      <c r="H17" s="16">
        <v>0</v>
      </c>
      <c r="I17" s="16">
        <f t="shared" si="0"/>
        <v>820</v>
      </c>
      <c r="J17" s="15" t="s">
        <v>1428</v>
      </c>
      <c r="K17" s="15" t="s">
        <v>21</v>
      </c>
      <c r="L17" s="15" t="s">
        <v>1424</v>
      </c>
      <c r="M17" s="20" t="s">
        <v>377</v>
      </c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1457</v>
      </c>
      <c r="D18" s="15" t="s">
        <v>1458</v>
      </c>
      <c r="E18" s="15" t="s">
        <v>1459</v>
      </c>
      <c r="F18" s="16">
        <v>7</v>
      </c>
      <c r="G18" s="16">
        <v>980</v>
      </c>
      <c r="H18" s="16">
        <v>30</v>
      </c>
      <c r="I18" s="16">
        <f t="shared" si="0"/>
        <v>950</v>
      </c>
      <c r="J18" s="15" t="s">
        <v>1428</v>
      </c>
      <c r="K18" s="15" t="s">
        <v>21</v>
      </c>
      <c r="L18" s="15" t="s">
        <v>1424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1460</v>
      </c>
      <c r="D19" s="15" t="s">
        <v>1461</v>
      </c>
      <c r="E19" s="15" t="s">
        <v>1462</v>
      </c>
      <c r="F19" s="16">
        <v>11</v>
      </c>
      <c r="G19" s="16">
        <v>985</v>
      </c>
      <c r="H19" s="16">
        <v>25</v>
      </c>
      <c r="I19" s="16">
        <f t="shared" si="0"/>
        <v>960</v>
      </c>
      <c r="J19" s="15" t="s">
        <v>1428</v>
      </c>
      <c r="K19" s="15" t="s">
        <v>21</v>
      </c>
      <c r="L19" s="15" t="s">
        <v>1424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1463</v>
      </c>
      <c r="D20" s="15"/>
      <c r="E20" s="15" t="s">
        <v>259</v>
      </c>
      <c r="F20" s="16">
        <v>12</v>
      </c>
      <c r="G20" s="16">
        <v>0</v>
      </c>
      <c r="H20" s="16">
        <v>60</v>
      </c>
      <c r="I20" s="16">
        <f t="shared" si="0"/>
        <v>-60</v>
      </c>
      <c r="J20" s="15" t="s">
        <v>21</v>
      </c>
      <c r="K20" s="15" t="s">
        <v>21</v>
      </c>
      <c r="L20" s="15" t="s">
        <v>1424</v>
      </c>
      <c r="M20" s="15"/>
      <c r="N20" s="15"/>
      <c r="O20" s="15"/>
      <c r="P20" s="15"/>
      <c r="Q20" s="15">
        <v>1</v>
      </c>
      <c r="R20" s="10">
        <f>H20</f>
        <v>60</v>
      </c>
    </row>
    <row r="21" spans="1:18" x14ac:dyDescent="0.25">
      <c r="A21" s="15" t="s">
        <v>16</v>
      </c>
      <c r="B21" s="15" t="s">
        <v>17</v>
      </c>
      <c r="C21" s="15" t="s">
        <v>368</v>
      </c>
      <c r="D21" s="15"/>
      <c r="E21" s="15" t="s">
        <v>369</v>
      </c>
      <c r="F21" s="15" t="s">
        <v>77</v>
      </c>
      <c r="G21" s="16">
        <v>30</v>
      </c>
      <c r="H21" s="16">
        <v>30</v>
      </c>
      <c r="I21" s="16">
        <f t="shared" si="0"/>
        <v>0</v>
      </c>
      <c r="J21" s="15" t="s">
        <v>21</v>
      </c>
      <c r="K21" s="15" t="s">
        <v>21</v>
      </c>
      <c r="L21" s="15" t="s">
        <v>1424</v>
      </c>
      <c r="M21" s="15"/>
      <c r="N21" s="15"/>
      <c r="O21" s="15"/>
      <c r="P21" s="15"/>
      <c r="Q21" s="15">
        <v>1</v>
      </c>
    </row>
    <row r="22" spans="1:18" x14ac:dyDescent="0.25">
      <c r="A22" s="15" t="s">
        <v>16</v>
      </c>
      <c r="B22" s="15" t="s">
        <v>17</v>
      </c>
      <c r="C22" s="15" t="s">
        <v>1394</v>
      </c>
      <c r="D22" s="15"/>
      <c r="E22" s="15" t="s">
        <v>1395</v>
      </c>
      <c r="F22" s="16">
        <v>12</v>
      </c>
      <c r="G22" s="16">
        <v>595</v>
      </c>
      <c r="H22" s="16">
        <v>35</v>
      </c>
      <c r="I22" s="16">
        <f t="shared" si="0"/>
        <v>560</v>
      </c>
      <c r="J22" s="15" t="s">
        <v>21</v>
      </c>
      <c r="K22" s="15" t="s">
        <v>21</v>
      </c>
      <c r="L22" s="15" t="s">
        <v>1424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1464</v>
      </c>
      <c r="D23" s="15" t="s">
        <v>1465</v>
      </c>
      <c r="E23" s="15" t="s">
        <v>1466</v>
      </c>
      <c r="F23" s="16">
        <v>2</v>
      </c>
      <c r="G23" s="16">
        <v>890</v>
      </c>
      <c r="H23" s="16">
        <v>30</v>
      </c>
      <c r="I23" s="16">
        <f t="shared" si="0"/>
        <v>860</v>
      </c>
      <c r="J23" s="15" t="s">
        <v>21</v>
      </c>
      <c r="K23" s="15" t="s">
        <v>21</v>
      </c>
      <c r="L23" s="15" t="s">
        <v>1424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1006</v>
      </c>
      <c r="D24" s="15" t="s">
        <v>1467</v>
      </c>
      <c r="E24" s="15" t="s">
        <v>1008</v>
      </c>
      <c r="F24" s="16">
        <v>2</v>
      </c>
      <c r="G24" s="16">
        <v>380</v>
      </c>
      <c r="H24" s="16">
        <v>30</v>
      </c>
      <c r="I24" s="16">
        <f t="shared" si="0"/>
        <v>350</v>
      </c>
      <c r="J24" s="15" t="s">
        <v>21</v>
      </c>
      <c r="K24" s="15" t="s">
        <v>21</v>
      </c>
      <c r="L24" s="15" t="s">
        <v>1424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1468</v>
      </c>
      <c r="D25" s="15" t="s">
        <v>1469</v>
      </c>
      <c r="E25" s="15" t="s">
        <v>1470</v>
      </c>
      <c r="F25" s="16">
        <v>2</v>
      </c>
      <c r="G25" s="16">
        <v>1020</v>
      </c>
      <c r="H25" s="16">
        <v>30</v>
      </c>
      <c r="I25" s="16">
        <f t="shared" si="0"/>
        <v>990</v>
      </c>
      <c r="J25" s="15" t="s">
        <v>21</v>
      </c>
      <c r="K25" s="15" t="s">
        <v>21</v>
      </c>
      <c r="L25" s="15" t="s">
        <v>1424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1471</v>
      </c>
      <c r="D26" s="15" t="s">
        <v>1472</v>
      </c>
      <c r="E26" s="15" t="s">
        <v>1473</v>
      </c>
      <c r="F26" s="15" t="s">
        <v>81</v>
      </c>
      <c r="G26" s="16">
        <v>0</v>
      </c>
      <c r="H26" s="16">
        <v>30</v>
      </c>
      <c r="I26" s="16">
        <f t="shared" si="0"/>
        <v>-30</v>
      </c>
      <c r="J26" s="15" t="s">
        <v>21</v>
      </c>
      <c r="K26" s="15" t="s">
        <v>21</v>
      </c>
      <c r="L26" s="15" t="s">
        <v>1424</v>
      </c>
      <c r="M26" s="15"/>
      <c r="N26" s="15"/>
      <c r="O26" s="15"/>
      <c r="P26" s="15"/>
      <c r="Q26" s="15">
        <v>1</v>
      </c>
      <c r="R26" s="10">
        <f>H26</f>
        <v>30</v>
      </c>
    </row>
    <row r="27" spans="1:18" s="19" customFormat="1" x14ac:dyDescent="0.25">
      <c r="A27" s="17"/>
      <c r="B27" s="17" t="s">
        <v>17</v>
      </c>
      <c r="C27" s="17" t="s">
        <v>1474</v>
      </c>
      <c r="D27" s="17" t="s">
        <v>1475</v>
      </c>
      <c r="E27" s="17" t="s">
        <v>1476</v>
      </c>
      <c r="F27" s="17" t="s">
        <v>77</v>
      </c>
      <c r="G27" s="18">
        <v>295</v>
      </c>
      <c r="H27" s="18">
        <v>25</v>
      </c>
      <c r="I27" s="18">
        <f t="shared" si="0"/>
        <v>270</v>
      </c>
      <c r="J27" s="17" t="s">
        <v>21</v>
      </c>
      <c r="K27" s="17" t="s">
        <v>21</v>
      </c>
      <c r="L27" s="17" t="s">
        <v>1424</v>
      </c>
      <c r="M27" s="17" t="s">
        <v>126</v>
      </c>
      <c r="N27" s="17"/>
      <c r="O27" s="17"/>
      <c r="P27" s="17"/>
      <c r="Q27" s="17">
        <v>1</v>
      </c>
    </row>
    <row r="28" spans="1:18" x14ac:dyDescent="0.25">
      <c r="A28" s="15"/>
      <c r="B28" s="15" t="s">
        <v>17</v>
      </c>
      <c r="C28" s="15" t="s">
        <v>1477</v>
      </c>
      <c r="D28" s="15" t="s">
        <v>1478</v>
      </c>
      <c r="E28" s="15" t="s">
        <v>1479</v>
      </c>
      <c r="F28" s="15" t="s">
        <v>85</v>
      </c>
      <c r="G28" s="16">
        <v>1190</v>
      </c>
      <c r="H28" s="16">
        <v>20</v>
      </c>
      <c r="I28" s="16">
        <f t="shared" si="0"/>
        <v>1170</v>
      </c>
      <c r="J28" s="15" t="s">
        <v>21</v>
      </c>
      <c r="K28" s="15" t="s">
        <v>21</v>
      </c>
      <c r="L28" s="15" t="s">
        <v>1424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483</v>
      </c>
      <c r="D29" s="15" t="s">
        <v>1480</v>
      </c>
      <c r="E29" s="15" t="s">
        <v>1481</v>
      </c>
      <c r="F29" s="15" t="s">
        <v>77</v>
      </c>
      <c r="G29" s="16">
        <v>0</v>
      </c>
      <c r="H29" s="16">
        <v>25</v>
      </c>
      <c r="I29" s="16">
        <f t="shared" si="0"/>
        <v>-25</v>
      </c>
      <c r="J29" s="15" t="s">
        <v>21</v>
      </c>
      <c r="K29" s="15" t="s">
        <v>21</v>
      </c>
      <c r="L29" s="15" t="s">
        <v>1424</v>
      </c>
      <c r="M29" s="15"/>
      <c r="N29" s="15"/>
      <c r="O29" s="15"/>
      <c r="P29" s="15"/>
      <c r="Q29" s="15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1482</v>
      </c>
      <c r="D30" s="15" t="s">
        <v>1483</v>
      </c>
      <c r="E30" s="15" t="s">
        <v>1484</v>
      </c>
      <c r="F30" s="15" t="s">
        <v>77</v>
      </c>
      <c r="G30" s="16">
        <v>885</v>
      </c>
      <c r="H30" s="16">
        <v>25</v>
      </c>
      <c r="I30" s="16">
        <f t="shared" si="0"/>
        <v>860</v>
      </c>
      <c r="J30" s="15" t="s">
        <v>21</v>
      </c>
      <c r="K30" s="15" t="s">
        <v>21</v>
      </c>
      <c r="L30" s="15" t="s">
        <v>1424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1485</v>
      </c>
      <c r="D31" s="15" t="s">
        <v>1486</v>
      </c>
      <c r="E31" s="15" t="s">
        <v>1487</v>
      </c>
      <c r="F31" s="15" t="s">
        <v>77</v>
      </c>
      <c r="G31" s="16">
        <v>915</v>
      </c>
      <c r="H31" s="16">
        <v>25</v>
      </c>
      <c r="I31" s="16">
        <f t="shared" si="0"/>
        <v>890</v>
      </c>
      <c r="J31" s="15" t="s">
        <v>21</v>
      </c>
      <c r="K31" s="15" t="s">
        <v>21</v>
      </c>
      <c r="L31" s="15" t="s">
        <v>1424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1488</v>
      </c>
      <c r="D32" s="15" t="s">
        <v>1489</v>
      </c>
      <c r="E32" s="15" t="s">
        <v>1490</v>
      </c>
      <c r="F32" s="15" t="s">
        <v>77</v>
      </c>
      <c r="G32" s="16">
        <v>815</v>
      </c>
      <c r="H32" s="16">
        <v>25</v>
      </c>
      <c r="I32" s="16">
        <f t="shared" si="0"/>
        <v>790</v>
      </c>
      <c r="J32" s="15" t="s">
        <v>21</v>
      </c>
      <c r="K32" s="15" t="s">
        <v>21</v>
      </c>
      <c r="L32" s="15" t="s">
        <v>1424</v>
      </c>
      <c r="M32" s="15"/>
      <c r="N32" s="15"/>
      <c r="O32" s="15"/>
      <c r="P32" s="15"/>
      <c r="Q32" s="15">
        <v>1</v>
      </c>
    </row>
    <row r="33" spans="1:18" x14ac:dyDescent="0.25">
      <c r="A33" s="15" t="s">
        <v>16</v>
      </c>
      <c r="B33" s="15" t="s">
        <v>17</v>
      </c>
      <c r="C33" s="15" t="s">
        <v>1491</v>
      </c>
      <c r="D33" s="15"/>
      <c r="E33" s="15" t="s">
        <v>507</v>
      </c>
      <c r="F33" s="15" t="s">
        <v>95</v>
      </c>
      <c r="G33" s="16">
        <v>0</v>
      </c>
      <c r="H33" s="16">
        <v>30</v>
      </c>
      <c r="I33" s="16">
        <f t="shared" si="0"/>
        <v>-30</v>
      </c>
      <c r="J33" s="15" t="s">
        <v>135</v>
      </c>
      <c r="K33" s="15" t="s">
        <v>21</v>
      </c>
      <c r="L33" s="15" t="s">
        <v>1424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 t="s">
        <v>16</v>
      </c>
      <c r="B34" s="15" t="s">
        <v>17</v>
      </c>
      <c r="C34" s="15" t="s">
        <v>1492</v>
      </c>
      <c r="D34" s="15"/>
      <c r="E34" s="15" t="s">
        <v>1493</v>
      </c>
      <c r="F34" s="15" t="s">
        <v>95</v>
      </c>
      <c r="G34" s="16">
        <v>30</v>
      </c>
      <c r="H34" s="16">
        <v>30</v>
      </c>
      <c r="I34" s="16">
        <f t="shared" si="0"/>
        <v>0</v>
      </c>
      <c r="J34" s="15" t="s">
        <v>135</v>
      </c>
      <c r="K34" s="15" t="s">
        <v>21</v>
      </c>
      <c r="L34" s="15" t="s">
        <v>1424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17</v>
      </c>
      <c r="C35" s="15" t="s">
        <v>1494</v>
      </c>
      <c r="D35" s="15" t="s">
        <v>1495</v>
      </c>
      <c r="E35" s="15" t="s">
        <v>1496</v>
      </c>
      <c r="F35" s="15" t="s">
        <v>95</v>
      </c>
      <c r="G35" s="16">
        <v>0</v>
      </c>
      <c r="H35" s="16">
        <v>25</v>
      </c>
      <c r="I35" s="16">
        <f t="shared" si="0"/>
        <v>-25</v>
      </c>
      <c r="J35" s="15" t="s">
        <v>135</v>
      </c>
      <c r="K35" s="15" t="s">
        <v>21</v>
      </c>
      <c r="L35" s="15" t="s">
        <v>1424</v>
      </c>
      <c r="M35" s="15"/>
      <c r="N35" s="15"/>
      <c r="O35" s="15"/>
      <c r="P35" s="15"/>
      <c r="Q35" s="15">
        <v>1</v>
      </c>
      <c r="R35" s="10">
        <f>H35</f>
        <v>25</v>
      </c>
    </row>
    <row r="36" spans="1:18" x14ac:dyDescent="0.25">
      <c r="A36" s="15"/>
      <c r="B36" s="15" t="s">
        <v>17</v>
      </c>
      <c r="C36" s="15" t="s">
        <v>1497</v>
      </c>
      <c r="D36" s="15" t="s">
        <v>1498</v>
      </c>
      <c r="E36" s="15" t="s">
        <v>1499</v>
      </c>
      <c r="F36" s="16">
        <v>4</v>
      </c>
      <c r="G36" s="16">
        <v>1075</v>
      </c>
      <c r="H36" s="16">
        <v>25</v>
      </c>
      <c r="I36" s="16">
        <f t="shared" si="0"/>
        <v>1050</v>
      </c>
      <c r="J36" s="15" t="s">
        <v>135</v>
      </c>
      <c r="K36" s="15" t="s">
        <v>21</v>
      </c>
      <c r="L36" s="15" t="s">
        <v>1424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607</v>
      </c>
      <c r="D37" s="15" t="s">
        <v>1500</v>
      </c>
      <c r="E37" s="15" t="s">
        <v>609</v>
      </c>
      <c r="F37" s="16">
        <v>5</v>
      </c>
      <c r="G37" s="16">
        <v>1065</v>
      </c>
      <c r="H37" s="16">
        <v>25</v>
      </c>
      <c r="I37" s="16">
        <f t="shared" si="0"/>
        <v>1040</v>
      </c>
      <c r="J37" s="15" t="s">
        <v>135</v>
      </c>
      <c r="K37" s="15" t="s">
        <v>21</v>
      </c>
      <c r="L37" s="15" t="s">
        <v>1424</v>
      </c>
      <c r="M37" s="15"/>
      <c r="N37" s="15"/>
      <c r="O37" s="15"/>
      <c r="P37" s="15"/>
      <c r="Q37" s="15">
        <v>1</v>
      </c>
    </row>
    <row r="38" spans="1:18" s="19" customFormat="1" x14ac:dyDescent="0.25">
      <c r="A38" s="17"/>
      <c r="B38" s="17" t="s">
        <v>17</v>
      </c>
      <c r="C38" s="17" t="s">
        <v>1501</v>
      </c>
      <c r="D38" s="17" t="s">
        <v>1502</v>
      </c>
      <c r="E38" s="17" t="s">
        <v>1503</v>
      </c>
      <c r="F38" s="18">
        <v>3</v>
      </c>
      <c r="G38" s="18">
        <v>25</v>
      </c>
      <c r="H38" s="18">
        <v>25</v>
      </c>
      <c r="I38" s="18">
        <f t="shared" si="0"/>
        <v>0</v>
      </c>
      <c r="J38" s="17" t="s">
        <v>135</v>
      </c>
      <c r="K38" s="17" t="s">
        <v>21</v>
      </c>
      <c r="L38" s="17" t="s">
        <v>1424</v>
      </c>
      <c r="M38" s="17" t="s">
        <v>126</v>
      </c>
      <c r="N38" s="17"/>
      <c r="O38" s="17"/>
      <c r="P38" s="17"/>
      <c r="Q38" s="17">
        <v>1</v>
      </c>
    </row>
    <row r="39" spans="1:18" x14ac:dyDescent="0.25">
      <c r="A39" s="15"/>
      <c r="B39" s="15" t="s">
        <v>17</v>
      </c>
      <c r="C39" s="15" t="s">
        <v>1504</v>
      </c>
      <c r="D39" s="15" t="s">
        <v>1505</v>
      </c>
      <c r="E39" s="15" t="s">
        <v>1506</v>
      </c>
      <c r="F39" s="16">
        <v>1</v>
      </c>
      <c r="G39" s="16">
        <v>915</v>
      </c>
      <c r="H39" s="16">
        <v>25</v>
      </c>
      <c r="I39" s="16">
        <f t="shared" si="0"/>
        <v>890</v>
      </c>
      <c r="J39" s="15" t="s">
        <v>135</v>
      </c>
      <c r="K39" s="15" t="s">
        <v>21</v>
      </c>
      <c r="L39" s="15" t="s">
        <v>1424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1507</v>
      </c>
      <c r="D40" s="15" t="s">
        <v>1508</v>
      </c>
      <c r="E40" s="15" t="s">
        <v>1509</v>
      </c>
      <c r="F40" s="16">
        <v>3</v>
      </c>
      <c r="G40" s="16">
        <v>765</v>
      </c>
      <c r="H40" s="16">
        <v>25</v>
      </c>
      <c r="I40" s="16">
        <f t="shared" si="0"/>
        <v>740</v>
      </c>
      <c r="J40" s="15" t="s">
        <v>135</v>
      </c>
      <c r="K40" s="15" t="s">
        <v>21</v>
      </c>
      <c r="L40" s="15" t="s">
        <v>1424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1510</v>
      </c>
      <c r="D41" s="15" t="s">
        <v>1511</v>
      </c>
      <c r="E41" s="15" t="s">
        <v>1512</v>
      </c>
      <c r="F41" s="16">
        <v>1</v>
      </c>
      <c r="G41" s="16">
        <v>855</v>
      </c>
      <c r="H41" s="16">
        <v>25</v>
      </c>
      <c r="I41" s="16">
        <f t="shared" si="0"/>
        <v>830</v>
      </c>
      <c r="J41" s="15" t="s">
        <v>135</v>
      </c>
      <c r="K41" s="15" t="s">
        <v>21</v>
      </c>
      <c r="L41" s="15" t="s">
        <v>1424</v>
      </c>
      <c r="M41" s="15"/>
      <c r="N41" s="15"/>
      <c r="O41" s="15"/>
      <c r="P41" s="15"/>
      <c r="Q41" s="15">
        <v>1</v>
      </c>
    </row>
    <row r="43" spans="1:18" x14ac:dyDescent="0.25">
      <c r="D43" s="1">
        <f>COUNTA(D3:D41)</f>
        <v>32</v>
      </c>
      <c r="G43" s="1">
        <f t="shared" ref="G43:Q43" si="2">SUBTOTAL(9,G3:G41)</f>
        <v>18415</v>
      </c>
      <c r="H43" s="1">
        <f t="shared" si="2"/>
        <v>1105</v>
      </c>
      <c r="I43" s="1">
        <f t="shared" si="2"/>
        <v>17310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si="2"/>
        <v>0</v>
      </c>
      <c r="P43" s="1">
        <f t="shared" si="2"/>
        <v>0</v>
      </c>
      <c r="Q43" s="1">
        <f t="shared" si="2"/>
        <v>39</v>
      </c>
    </row>
    <row r="44" spans="1:18" x14ac:dyDescent="0.25">
      <c r="H44">
        <f>-8*17</f>
        <v>-136</v>
      </c>
    </row>
    <row r="45" spans="1:18" x14ac:dyDescent="0.25">
      <c r="A45" s="1" t="s">
        <v>17</v>
      </c>
      <c r="C45" s="40" t="s">
        <v>191</v>
      </c>
      <c r="D45" s="40"/>
      <c r="E45" s="4" t="s">
        <v>192</v>
      </c>
      <c r="H45">
        <f>-4*25</f>
        <v>-100</v>
      </c>
      <c r="K45" s="11" t="s">
        <v>135</v>
      </c>
      <c r="L45" s="11" t="s">
        <v>193</v>
      </c>
      <c r="M45" s="11" t="s">
        <v>192</v>
      </c>
      <c r="O45" s="4" t="s">
        <v>194</v>
      </c>
    </row>
    <row r="46" spans="1:18" x14ac:dyDescent="0.25">
      <c r="A46" t="s">
        <v>1424</v>
      </c>
      <c r="B46" s="3" t="s">
        <v>195</v>
      </c>
      <c r="C46" s="41">
        <f>SUMIFS(I$3:I$41,B$3:B$41,A$45,L$3:L$41,A$46)</f>
        <v>17310</v>
      </c>
      <c r="D46" s="41"/>
      <c r="E46" s="3">
        <f>SUMIFS(Q$3:Q$41,B$3:B$41,A$45,L$3:L$41,A$46)</f>
        <v>39</v>
      </c>
      <c r="F46" t="s">
        <v>196</v>
      </c>
      <c r="H46">
        <f>-2*30</f>
        <v>-60</v>
      </c>
      <c r="K46" t="s">
        <v>197</v>
      </c>
      <c r="L46">
        <f>SUMIFS(G$3:G$41,J$3:J$41,K$45)</f>
        <v>4730</v>
      </c>
      <c r="M46">
        <f>SUMIFS(Q$3:Q$41,J$3:J$41,K$45)-INT(COUNTIFS(J$3:J$41,K$45,M$3:M$41,"*gộp*")/2)</f>
        <v>9</v>
      </c>
      <c r="O46" t="s">
        <v>135</v>
      </c>
      <c r="P46">
        <f>L51</f>
        <v>4540</v>
      </c>
    </row>
    <row r="47" spans="1:18" x14ac:dyDescent="0.25">
      <c r="B47" s="2" t="s">
        <v>199</v>
      </c>
      <c r="C47" s="42">
        <v>0</v>
      </c>
      <c r="D47" s="42"/>
      <c r="K47" t="s">
        <v>200</v>
      </c>
      <c r="L47">
        <f>-SUMIFS(H$3:H$41,J$3:J$41,K$45)+M47*5</f>
        <v>-190</v>
      </c>
      <c r="M47">
        <f>SUMIFS(Q$3:Q$41,J$3:J$41,K$45)-INT(COUNTIFS(J$3:J$41,K$45,M$3:M$41,"*gộp*")/2)</f>
        <v>9</v>
      </c>
      <c r="O47" t="s">
        <v>21</v>
      </c>
      <c r="P47">
        <f>L59</f>
        <v>6614</v>
      </c>
    </row>
    <row r="48" spans="1:18" x14ac:dyDescent="0.25">
      <c r="B48" s="2" t="s">
        <v>201</v>
      </c>
      <c r="C48" s="42">
        <f>-SUMIFS(I$3:I$41,B$3:B$41,A$45,P$3:P$41,"xx",N$3:N$41,"x")</f>
        <v>0</v>
      </c>
      <c r="D48" s="42"/>
      <c r="E48" s="2">
        <f>SUMIFS(Q$3:Q$41,B$3:B$41,A$45,P$3:P$41,"xx",N$3:N$41,"x")</f>
        <v>0</v>
      </c>
      <c r="K48" t="s">
        <v>202</v>
      </c>
      <c r="O48" t="s">
        <v>1513</v>
      </c>
      <c r="P48">
        <f>L67</f>
        <v>4924</v>
      </c>
    </row>
    <row r="49" spans="2:16" x14ac:dyDescent="0.25">
      <c r="B49" s="4" t="s">
        <v>203</v>
      </c>
      <c r="C49" s="40">
        <f>SUBTOTAL(9,C46:C48)</f>
        <v>17310</v>
      </c>
      <c r="D49" s="40"/>
      <c r="E49">
        <f>E46</f>
        <v>39</v>
      </c>
      <c r="K49" s="2" t="s">
        <v>204</v>
      </c>
      <c r="O49" t="s">
        <v>20</v>
      </c>
      <c r="P49">
        <f>L75</f>
        <v>1400</v>
      </c>
    </row>
    <row r="50" spans="2:16" x14ac:dyDescent="0.25">
      <c r="B50" s="2" t="s">
        <v>205</v>
      </c>
      <c r="C50" s="38"/>
      <c r="D50" s="38"/>
      <c r="K50" s="2" t="s">
        <v>206</v>
      </c>
      <c r="O50" t="s">
        <v>207</v>
      </c>
      <c r="P50">
        <f>-C53</f>
        <v>-17310</v>
      </c>
    </row>
    <row r="51" spans="2:16" x14ac:dyDescent="0.25">
      <c r="B51" s="12" t="s">
        <v>208</v>
      </c>
      <c r="C51" s="38"/>
      <c r="D51" s="38"/>
      <c r="L51" s="13">
        <f>SUBTOTAL(9,L46:L50)</f>
        <v>4540</v>
      </c>
      <c r="M51" s="13">
        <f>M46</f>
        <v>9</v>
      </c>
      <c r="O51" s="4" t="s">
        <v>209</v>
      </c>
      <c r="P51" s="4">
        <f>SUBTOTAL(9,P46:P50)</f>
        <v>168</v>
      </c>
    </row>
    <row r="53" spans="2:16" x14ac:dyDescent="0.25">
      <c r="B53" s="1" t="s">
        <v>210</v>
      </c>
      <c r="C53" s="39">
        <f>C49+C50+C51</f>
        <v>17310</v>
      </c>
      <c r="D53" s="39"/>
      <c r="E53" s="1" t="s">
        <v>211</v>
      </c>
      <c r="K53" s="11" t="s">
        <v>21</v>
      </c>
      <c r="L53" s="11" t="s">
        <v>193</v>
      </c>
      <c r="M53" s="11" t="s">
        <v>192</v>
      </c>
    </row>
    <row r="54" spans="2:16" x14ac:dyDescent="0.25">
      <c r="K54" t="s">
        <v>197</v>
      </c>
      <c r="L54">
        <f>SUMIFS(G$3:G$41,J$3:J$41,K$53)</f>
        <v>7015</v>
      </c>
      <c r="M54">
        <f>SUMIFS(Q$3:Q$41,J$3:J$41,K$53)-INT(COUNTIFS(J$3:J$41,K$53,M$3:M$41,"*gộp*")/2)</f>
        <v>13</v>
      </c>
    </row>
    <row r="55" spans="2:16" x14ac:dyDescent="0.25">
      <c r="K55" t="s">
        <v>200</v>
      </c>
      <c r="L55">
        <f>-SUMIFS(H$3:H$41,J$3:J$41,K$53)+M55*5</f>
        <v>-325</v>
      </c>
      <c r="M55">
        <f>SUMIFS(Q$3:Q$41,J$3:J$41,K$53)-INT(COUNTIFS(J$3:J$41,K$53,M$3:M$41,"*gộp*")/2)</f>
        <v>13</v>
      </c>
    </row>
    <row r="56" spans="2:16" x14ac:dyDescent="0.25">
      <c r="K56" t="s">
        <v>202</v>
      </c>
      <c r="L56">
        <f>-M56*2</f>
        <v>-76</v>
      </c>
      <c r="M56">
        <f>E49-(COUNTIFS(M$3:M$41,"*gộp*")/2)-COUNTIFS(M$3:M$41,"*đơn trả*")-COUNTIFS(M$3:M$41,"*hàng tỉnh*")</f>
        <v>38</v>
      </c>
    </row>
    <row r="57" spans="2:16" x14ac:dyDescent="0.25">
      <c r="K57" s="2" t="s">
        <v>204</v>
      </c>
    </row>
    <row r="58" spans="2:16" x14ac:dyDescent="0.25">
      <c r="K58" s="2" t="s">
        <v>206</v>
      </c>
    </row>
    <row r="59" spans="2:16" x14ac:dyDescent="0.25">
      <c r="L59" s="13">
        <f>SUBTOTAL(9,L54:L58)</f>
        <v>6614</v>
      </c>
      <c r="M59" s="13">
        <f>M54</f>
        <v>13</v>
      </c>
    </row>
    <row r="61" spans="2:16" x14ac:dyDescent="0.25">
      <c r="K61" s="11" t="s">
        <v>1428</v>
      </c>
      <c r="L61" s="11" t="s">
        <v>193</v>
      </c>
      <c r="M61" s="11" t="s">
        <v>192</v>
      </c>
    </row>
    <row r="62" spans="2:16" x14ac:dyDescent="0.25">
      <c r="K62" t="s">
        <v>197</v>
      </c>
      <c r="L62">
        <f>SUMIFS(G$3:G$41,J$3:J$41,K$61)</f>
        <v>5220</v>
      </c>
      <c r="M62">
        <f>SUMIFS(Q$3:Q$41,J$3:J$41,K$61)-INT(COUNTIFS(J$3:J$41,K$61,M$3:M$41,"*gộp*")/2)</f>
        <v>14</v>
      </c>
    </row>
    <row r="63" spans="2:16" x14ac:dyDescent="0.25">
      <c r="K63" t="s">
        <v>200</v>
      </c>
      <c r="L63">
        <f>SUM(H44:H46)</f>
        <v>-296</v>
      </c>
      <c r="M63">
        <f>SUMIFS(Q$3:Q$41,J$3:J$41,K$61)-INT(COUNTIFS(J$3:J$41,K$61,M$3:M$41,"*gộp*")/2)</f>
        <v>14</v>
      </c>
    </row>
    <row r="64" spans="2:16" x14ac:dyDescent="0.25">
      <c r="K64" t="s">
        <v>202</v>
      </c>
    </row>
    <row r="65" spans="11:13" x14ac:dyDescent="0.25">
      <c r="K65" s="2" t="s">
        <v>204</v>
      </c>
    </row>
    <row r="66" spans="11:13" x14ac:dyDescent="0.25">
      <c r="K66" s="2" t="s">
        <v>206</v>
      </c>
    </row>
    <row r="67" spans="11:13" x14ac:dyDescent="0.25">
      <c r="L67" s="13">
        <f>SUBTOTAL(9,L62:L66)</f>
        <v>4924</v>
      </c>
      <c r="M67" s="13">
        <f>M62</f>
        <v>14</v>
      </c>
    </row>
    <row r="69" spans="11:13" x14ac:dyDescent="0.25">
      <c r="K69" s="11" t="s">
        <v>20</v>
      </c>
      <c r="L69" s="11" t="s">
        <v>193</v>
      </c>
      <c r="M69" s="11" t="s">
        <v>192</v>
      </c>
    </row>
    <row r="70" spans="11:13" x14ac:dyDescent="0.25">
      <c r="K70" t="s">
        <v>197</v>
      </c>
      <c r="L70">
        <f>SUMIFS(G$3:G$41,J$3:J$41,K$69)</f>
        <v>1450</v>
      </c>
      <c r="M70">
        <f>SUMIFS(Q$3:Q$41,J$3:J$41,K$69)-INT(COUNTIFS(J$3:J$41,K$69,M$3:M$41,"*gộp*")/2)</f>
        <v>2</v>
      </c>
    </row>
    <row r="71" spans="11:13" x14ac:dyDescent="0.25">
      <c r="K71" t="s">
        <v>200</v>
      </c>
      <c r="L71">
        <f>-SUMIFS(H$3:H$41,J$3:J$41,K$69)+M71*5</f>
        <v>-50</v>
      </c>
      <c r="M71">
        <f>SUMIFS(Q$3:Q$41,J$3:J$41,K$69)-INT(COUNTIFS(J$3:J$41,K$69,M$3:M$41,"*gộp*")/2)</f>
        <v>2</v>
      </c>
    </row>
    <row r="72" spans="11:13" x14ac:dyDescent="0.25">
      <c r="K72" t="s">
        <v>202</v>
      </c>
    </row>
    <row r="73" spans="11:13" x14ac:dyDescent="0.25">
      <c r="K73" s="2" t="s">
        <v>204</v>
      </c>
    </row>
    <row r="74" spans="11:13" x14ac:dyDescent="0.25">
      <c r="K74" s="2" t="s">
        <v>206</v>
      </c>
    </row>
    <row r="75" spans="11:13" x14ac:dyDescent="0.25">
      <c r="L75" s="13">
        <f>SUBTOTAL(9,L70:L74)</f>
        <v>1400</v>
      </c>
      <c r="M75" s="13">
        <f>M70</f>
        <v>2</v>
      </c>
    </row>
  </sheetData>
  <autoFilter ref="A2:P41" xr:uid="{00000000-0009-0000-0000-00000D000000}">
    <sortState xmlns:xlrd2="http://schemas.microsoft.com/office/spreadsheetml/2017/richdata2" ref="A3:P41">
      <sortCondition ref="J2:J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R63"/>
  <sheetViews>
    <sheetView topLeftCell="A37" workbookViewId="0">
      <selection activeCell="H25" sqref="H25 H25:H29"/>
    </sheetView>
  </sheetViews>
  <sheetFormatPr defaultRowHeight="15" x14ac:dyDescent="0.25"/>
  <cols>
    <col min="1" max="1" width="12.7109375" customWidth="1"/>
    <col min="2" max="2" width="17.7109375" customWidth="1"/>
    <col min="3" max="3" width="35" customWidth="1"/>
    <col min="4" max="4" width="9.85546875" customWidth="1"/>
    <col min="5" max="5" width="61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1514</v>
      </c>
      <c r="D3" s="15" t="s">
        <v>1515</v>
      </c>
      <c r="E3" s="15" t="s">
        <v>1516</v>
      </c>
      <c r="F3" s="16">
        <v>9</v>
      </c>
      <c r="G3" s="16">
        <v>830</v>
      </c>
      <c r="H3" s="16">
        <v>30</v>
      </c>
      <c r="I3" s="16">
        <f t="shared" ref="I3:I29" si="0">G3-H3</f>
        <v>800</v>
      </c>
      <c r="J3" s="15" t="s">
        <v>20</v>
      </c>
      <c r="K3" s="15" t="s">
        <v>21</v>
      </c>
      <c r="L3" s="15" t="s">
        <v>1517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331</v>
      </c>
      <c r="D4" s="15" t="s">
        <v>1518</v>
      </c>
      <c r="E4" s="15" t="s">
        <v>333</v>
      </c>
      <c r="F4" s="15" t="s">
        <v>139</v>
      </c>
      <c r="G4" s="16">
        <v>735</v>
      </c>
      <c r="H4" s="16">
        <v>35</v>
      </c>
      <c r="I4" s="16">
        <f t="shared" si="0"/>
        <v>700</v>
      </c>
      <c r="J4" s="15" t="s">
        <v>1519</v>
      </c>
      <c r="K4" s="15" t="s">
        <v>21</v>
      </c>
      <c r="L4" s="15" t="s">
        <v>1517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837</v>
      </c>
      <c r="D5" s="15" t="s">
        <v>1520</v>
      </c>
      <c r="E5" s="15" t="s">
        <v>1521</v>
      </c>
      <c r="F5" s="15" t="s">
        <v>46</v>
      </c>
      <c r="G5" s="16">
        <v>985</v>
      </c>
      <c r="H5" s="16">
        <v>25</v>
      </c>
      <c r="I5" s="16">
        <f t="shared" si="0"/>
        <v>960</v>
      </c>
      <c r="J5" s="15" t="s">
        <v>1519</v>
      </c>
      <c r="K5" s="15" t="s">
        <v>21</v>
      </c>
      <c r="L5" s="15" t="s">
        <v>1517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745</v>
      </c>
      <c r="D6" s="15" t="s">
        <v>1522</v>
      </c>
      <c r="E6" s="15" t="s">
        <v>1523</v>
      </c>
      <c r="F6" s="15" t="s">
        <v>95</v>
      </c>
      <c r="G6" s="16">
        <v>860</v>
      </c>
      <c r="H6" s="16">
        <v>30</v>
      </c>
      <c r="I6" s="16">
        <f t="shared" si="0"/>
        <v>830</v>
      </c>
      <c r="J6" s="15" t="s">
        <v>1519</v>
      </c>
      <c r="K6" s="15" t="s">
        <v>21</v>
      </c>
      <c r="L6" s="15" t="s">
        <v>1517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1524</v>
      </c>
      <c r="D7" s="15" t="s">
        <v>1525</v>
      </c>
      <c r="E7" s="15" t="s">
        <v>1526</v>
      </c>
      <c r="F7" s="16">
        <v>7</v>
      </c>
      <c r="G7" s="16">
        <v>850</v>
      </c>
      <c r="H7" s="16">
        <v>30</v>
      </c>
      <c r="I7" s="16">
        <f t="shared" si="0"/>
        <v>820</v>
      </c>
      <c r="J7" s="15" t="s">
        <v>1519</v>
      </c>
      <c r="K7" s="15" t="s">
        <v>21</v>
      </c>
      <c r="L7" s="15" t="s">
        <v>1517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1527</v>
      </c>
      <c r="D8" s="15" t="s">
        <v>1528</v>
      </c>
      <c r="E8" s="15" t="s">
        <v>1529</v>
      </c>
      <c r="F8" s="15" t="s">
        <v>46</v>
      </c>
      <c r="G8" s="16">
        <v>1115</v>
      </c>
      <c r="H8" s="16">
        <v>25</v>
      </c>
      <c r="I8" s="16">
        <f t="shared" si="0"/>
        <v>1090</v>
      </c>
      <c r="J8" s="15" t="s">
        <v>1519</v>
      </c>
      <c r="K8" s="15" t="s">
        <v>21</v>
      </c>
      <c r="L8" s="15" t="s">
        <v>1517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1530</v>
      </c>
      <c r="D9" s="15" t="s">
        <v>1531</v>
      </c>
      <c r="E9" s="15" t="s">
        <v>219</v>
      </c>
      <c r="F9" s="16">
        <v>6</v>
      </c>
      <c r="G9" s="16">
        <v>0</v>
      </c>
      <c r="H9" s="16">
        <v>25</v>
      </c>
      <c r="I9" s="16">
        <f t="shared" si="0"/>
        <v>-25</v>
      </c>
      <c r="J9" s="15" t="s">
        <v>1519</v>
      </c>
      <c r="K9" s="15" t="s">
        <v>21</v>
      </c>
      <c r="L9" s="15" t="s">
        <v>1517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1532</v>
      </c>
      <c r="D10" s="15" t="s">
        <v>1533</v>
      </c>
      <c r="E10" s="15" t="s">
        <v>1534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1519</v>
      </c>
      <c r="K10" s="15" t="s">
        <v>21</v>
      </c>
      <c r="L10" s="15" t="s">
        <v>1517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1535</v>
      </c>
      <c r="D11" s="15" t="s">
        <v>1536</v>
      </c>
      <c r="E11" s="15" t="s">
        <v>1537</v>
      </c>
      <c r="F11" s="16">
        <v>7</v>
      </c>
      <c r="G11" s="16">
        <v>380</v>
      </c>
      <c r="H11" s="16">
        <v>30</v>
      </c>
      <c r="I11" s="16">
        <f t="shared" si="0"/>
        <v>350</v>
      </c>
      <c r="J11" s="15" t="s">
        <v>1519</v>
      </c>
      <c r="K11" s="15" t="s">
        <v>21</v>
      </c>
      <c r="L11" s="15" t="s">
        <v>1517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1538</v>
      </c>
      <c r="D12" s="15" t="s">
        <v>1539</v>
      </c>
      <c r="E12" s="15" t="s">
        <v>1540</v>
      </c>
      <c r="F12" s="15" t="s">
        <v>46</v>
      </c>
      <c r="G12" s="16">
        <v>0</v>
      </c>
      <c r="H12" s="16">
        <v>25</v>
      </c>
      <c r="I12" s="16">
        <f t="shared" si="0"/>
        <v>-25</v>
      </c>
      <c r="J12" s="15" t="s">
        <v>1519</v>
      </c>
      <c r="K12" s="15" t="s">
        <v>21</v>
      </c>
      <c r="L12" s="15" t="s">
        <v>1517</v>
      </c>
      <c r="M12" s="15"/>
      <c r="N12" s="15"/>
      <c r="O12" s="15"/>
      <c r="P12" s="15"/>
      <c r="Q12" s="15">
        <v>1</v>
      </c>
      <c r="R12" s="10">
        <f>H12</f>
        <v>25</v>
      </c>
    </row>
    <row r="13" spans="1:18" x14ac:dyDescent="0.25">
      <c r="A13" s="15"/>
      <c r="B13" s="15" t="s">
        <v>17</v>
      </c>
      <c r="C13" s="15" t="s">
        <v>1541</v>
      </c>
      <c r="D13" s="15" t="s">
        <v>1542</v>
      </c>
      <c r="E13" s="15" t="s">
        <v>1543</v>
      </c>
      <c r="F13" s="16">
        <v>6</v>
      </c>
      <c r="G13" s="16">
        <v>765</v>
      </c>
      <c r="H13" s="16">
        <v>25</v>
      </c>
      <c r="I13" s="16">
        <f t="shared" si="0"/>
        <v>740</v>
      </c>
      <c r="J13" s="15" t="s">
        <v>1519</v>
      </c>
      <c r="K13" s="15" t="s">
        <v>21</v>
      </c>
      <c r="L13" s="15" t="s">
        <v>1517</v>
      </c>
      <c r="M13" s="15"/>
      <c r="N13" s="15"/>
      <c r="O13" s="15"/>
      <c r="P13" s="15"/>
      <c r="Q13" s="15">
        <v>1</v>
      </c>
    </row>
    <row r="14" spans="1:18" x14ac:dyDescent="0.25">
      <c r="A14" s="15" t="s">
        <v>16</v>
      </c>
      <c r="B14" s="15" t="s">
        <v>17</v>
      </c>
      <c r="C14" s="15" t="s">
        <v>1544</v>
      </c>
      <c r="D14" s="15"/>
      <c r="E14" s="15" t="s">
        <v>1545</v>
      </c>
      <c r="F14" s="16">
        <v>6</v>
      </c>
      <c r="G14" s="16">
        <v>40</v>
      </c>
      <c r="H14" s="16">
        <v>40</v>
      </c>
      <c r="I14" s="16">
        <f t="shared" si="0"/>
        <v>0</v>
      </c>
      <c r="J14" s="15" t="s">
        <v>1519</v>
      </c>
      <c r="K14" s="15" t="s">
        <v>21</v>
      </c>
      <c r="L14" s="15" t="s">
        <v>1517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1546</v>
      </c>
      <c r="D15" s="15" t="s">
        <v>1547</v>
      </c>
      <c r="E15" s="15" t="s">
        <v>1548</v>
      </c>
      <c r="F15" s="15" t="s">
        <v>85</v>
      </c>
      <c r="G15" s="16">
        <v>0</v>
      </c>
      <c r="H15" s="16">
        <v>20</v>
      </c>
      <c r="I15" s="16">
        <f t="shared" si="0"/>
        <v>-20</v>
      </c>
      <c r="J15" s="15" t="s">
        <v>21</v>
      </c>
      <c r="K15" s="15" t="s">
        <v>21</v>
      </c>
      <c r="L15" s="15" t="s">
        <v>1517</v>
      </c>
      <c r="M15" s="15"/>
      <c r="N15" s="15"/>
      <c r="O15" s="15"/>
      <c r="P15" s="15"/>
      <c r="Q15" s="15">
        <v>1</v>
      </c>
      <c r="R15" s="10">
        <f>H15</f>
        <v>20</v>
      </c>
    </row>
    <row r="16" spans="1:18" x14ac:dyDescent="0.25">
      <c r="A16" s="15"/>
      <c r="B16" s="15" t="s">
        <v>17</v>
      </c>
      <c r="C16" s="15" t="s">
        <v>1549</v>
      </c>
      <c r="D16" s="15" t="s">
        <v>1550</v>
      </c>
      <c r="E16" s="15" t="s">
        <v>1551</v>
      </c>
      <c r="F16" s="15" t="s">
        <v>81</v>
      </c>
      <c r="G16" s="16">
        <v>1020</v>
      </c>
      <c r="H16" s="16">
        <v>30</v>
      </c>
      <c r="I16" s="16">
        <f t="shared" si="0"/>
        <v>990</v>
      </c>
      <c r="J16" s="15" t="s">
        <v>21</v>
      </c>
      <c r="K16" s="15" t="s">
        <v>21</v>
      </c>
      <c r="L16" s="15" t="s">
        <v>1517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1552</v>
      </c>
      <c r="D17" s="15" t="s">
        <v>1553</v>
      </c>
      <c r="E17" s="15" t="s">
        <v>1554</v>
      </c>
      <c r="F17" s="15" t="s">
        <v>77</v>
      </c>
      <c r="G17" s="16">
        <v>0</v>
      </c>
      <c r="H17" s="16">
        <v>25</v>
      </c>
      <c r="I17" s="16">
        <f t="shared" si="0"/>
        <v>-25</v>
      </c>
      <c r="J17" s="15" t="s">
        <v>21</v>
      </c>
      <c r="K17" s="15" t="s">
        <v>21</v>
      </c>
      <c r="L17" s="15" t="s">
        <v>1517</v>
      </c>
      <c r="M17" s="15"/>
      <c r="N17" s="15"/>
      <c r="O17" s="15"/>
      <c r="P17" s="15"/>
      <c r="Q17" s="15">
        <v>1</v>
      </c>
      <c r="R17" s="10">
        <f>H17</f>
        <v>25</v>
      </c>
    </row>
    <row r="18" spans="1:18" x14ac:dyDescent="0.25">
      <c r="A18" s="15"/>
      <c r="B18" s="15" t="s">
        <v>17</v>
      </c>
      <c r="C18" s="15" t="s">
        <v>1555</v>
      </c>
      <c r="D18" s="15" t="s">
        <v>1556</v>
      </c>
      <c r="E18" s="15" t="s">
        <v>1557</v>
      </c>
      <c r="F18" s="16">
        <v>2</v>
      </c>
      <c r="G18" s="16">
        <v>1020</v>
      </c>
      <c r="H18" s="16">
        <v>30</v>
      </c>
      <c r="I18" s="16">
        <f t="shared" si="0"/>
        <v>990</v>
      </c>
      <c r="J18" s="15" t="s">
        <v>21</v>
      </c>
      <c r="K18" s="15" t="s">
        <v>21</v>
      </c>
      <c r="L18" s="15" t="s">
        <v>1517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1558</v>
      </c>
      <c r="D19" s="15" t="s">
        <v>1559</v>
      </c>
      <c r="E19" s="15" t="s">
        <v>1560</v>
      </c>
      <c r="F19" s="16">
        <v>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1517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1561</v>
      </c>
      <c r="D20" s="15" t="s">
        <v>1562</v>
      </c>
      <c r="E20" s="15" t="s">
        <v>1563</v>
      </c>
      <c r="F20" s="15" t="s">
        <v>85</v>
      </c>
      <c r="G20" s="16">
        <v>0</v>
      </c>
      <c r="H20" s="16">
        <v>20</v>
      </c>
      <c r="I20" s="16">
        <f t="shared" si="0"/>
        <v>-20</v>
      </c>
      <c r="J20" s="15" t="s">
        <v>21</v>
      </c>
      <c r="K20" s="15" t="s">
        <v>21</v>
      </c>
      <c r="L20" s="15" t="s">
        <v>1517</v>
      </c>
      <c r="M20" s="15"/>
      <c r="N20" s="15"/>
      <c r="O20" s="15"/>
      <c r="P20" s="15"/>
      <c r="Q20" s="15">
        <v>1</v>
      </c>
      <c r="R20" s="10">
        <f>H20</f>
        <v>20</v>
      </c>
    </row>
    <row r="21" spans="1:18" x14ac:dyDescent="0.25">
      <c r="A21" s="15"/>
      <c r="B21" s="15" t="s">
        <v>17</v>
      </c>
      <c r="C21" s="15" t="s">
        <v>1564</v>
      </c>
      <c r="D21" s="15" t="s">
        <v>1565</v>
      </c>
      <c r="E21" s="15" t="s">
        <v>1566</v>
      </c>
      <c r="F21" s="15" t="s">
        <v>85</v>
      </c>
      <c r="G21" s="16">
        <v>0</v>
      </c>
      <c r="H21" s="16">
        <v>20</v>
      </c>
      <c r="I21" s="16">
        <f t="shared" si="0"/>
        <v>-20</v>
      </c>
      <c r="J21" s="15" t="s">
        <v>21</v>
      </c>
      <c r="K21" s="15" t="s">
        <v>21</v>
      </c>
      <c r="L21" s="15" t="s">
        <v>1517</v>
      </c>
      <c r="M21" s="15"/>
      <c r="N21" s="15"/>
      <c r="O21" s="15"/>
      <c r="P21" s="15"/>
      <c r="Q21" s="15">
        <v>1</v>
      </c>
      <c r="R21" s="10">
        <f>H21</f>
        <v>20</v>
      </c>
    </row>
    <row r="22" spans="1:18" x14ac:dyDescent="0.25">
      <c r="A22" s="15"/>
      <c r="B22" s="15" t="s">
        <v>17</v>
      </c>
      <c r="C22" s="15" t="s">
        <v>770</v>
      </c>
      <c r="D22" s="15" t="s">
        <v>1567</v>
      </c>
      <c r="E22" s="15" t="s">
        <v>772</v>
      </c>
      <c r="F22" s="15" t="s">
        <v>85</v>
      </c>
      <c r="G22" s="16">
        <v>1420</v>
      </c>
      <c r="H22" s="16">
        <v>20</v>
      </c>
      <c r="I22" s="16">
        <f t="shared" si="0"/>
        <v>1400</v>
      </c>
      <c r="J22" s="15" t="s">
        <v>21</v>
      </c>
      <c r="K22" s="15" t="s">
        <v>21</v>
      </c>
      <c r="L22" s="15" t="s">
        <v>1517</v>
      </c>
      <c r="M22" s="15"/>
      <c r="N22" s="15"/>
      <c r="O22" s="15"/>
      <c r="P22" s="15"/>
      <c r="Q22" s="15">
        <v>1</v>
      </c>
    </row>
    <row r="23" spans="1:18" x14ac:dyDescent="0.25">
      <c r="A23" s="15" t="s">
        <v>16</v>
      </c>
      <c r="B23" s="15" t="s">
        <v>17</v>
      </c>
      <c r="C23" s="15" t="s">
        <v>1568</v>
      </c>
      <c r="D23" s="15"/>
      <c r="E23" s="15" t="s">
        <v>1569</v>
      </c>
      <c r="F23" s="16">
        <v>12</v>
      </c>
      <c r="G23" s="16">
        <v>0</v>
      </c>
      <c r="H23" s="16">
        <v>60</v>
      </c>
      <c r="I23" s="16">
        <f t="shared" si="0"/>
        <v>-60</v>
      </c>
      <c r="J23" s="15" t="s">
        <v>21</v>
      </c>
      <c r="K23" s="15" t="s">
        <v>21</v>
      </c>
      <c r="L23" s="15" t="s">
        <v>1517</v>
      </c>
      <c r="M23" s="15"/>
      <c r="N23" s="15"/>
      <c r="O23" s="15"/>
      <c r="P23" s="15"/>
      <c r="Q23" s="15">
        <v>1</v>
      </c>
      <c r="R23" s="10">
        <f>H23</f>
        <v>60</v>
      </c>
    </row>
    <row r="24" spans="1:18" x14ac:dyDescent="0.25">
      <c r="A24" s="15" t="s">
        <v>16</v>
      </c>
      <c r="B24" s="15" t="s">
        <v>17</v>
      </c>
      <c r="C24" s="15" t="s">
        <v>1570</v>
      </c>
      <c r="D24" s="15"/>
      <c r="E24" s="15" t="s">
        <v>503</v>
      </c>
      <c r="F24" s="16">
        <v>12</v>
      </c>
      <c r="G24" s="16">
        <v>0</v>
      </c>
      <c r="H24" s="16">
        <v>60</v>
      </c>
      <c r="I24" s="16">
        <f t="shared" si="0"/>
        <v>-60</v>
      </c>
      <c r="J24" s="15" t="s">
        <v>21</v>
      </c>
      <c r="K24" s="15" t="s">
        <v>21</v>
      </c>
      <c r="L24" s="15" t="s">
        <v>1517</v>
      </c>
      <c r="M24" s="15"/>
      <c r="N24" s="15"/>
      <c r="O24" s="15"/>
      <c r="P24" s="15"/>
      <c r="Q24" s="15">
        <v>1</v>
      </c>
      <c r="R24" s="10">
        <f>H24</f>
        <v>60</v>
      </c>
    </row>
    <row r="25" spans="1:18" x14ac:dyDescent="0.25">
      <c r="A25" s="15"/>
      <c r="B25" s="15" t="s">
        <v>17</v>
      </c>
      <c r="C25" s="15" t="s">
        <v>510</v>
      </c>
      <c r="D25" s="15" t="s">
        <v>1571</v>
      </c>
      <c r="E25" s="15" t="s">
        <v>1572</v>
      </c>
      <c r="F25" s="15" t="s">
        <v>95</v>
      </c>
      <c r="G25" s="16">
        <v>1015</v>
      </c>
      <c r="H25" s="16">
        <v>25</v>
      </c>
      <c r="I25" s="16">
        <f t="shared" si="0"/>
        <v>990</v>
      </c>
      <c r="J25" s="15" t="s">
        <v>135</v>
      </c>
      <c r="K25" s="15" t="s">
        <v>21</v>
      </c>
      <c r="L25" s="15" t="s">
        <v>1517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1573</v>
      </c>
      <c r="D26" s="15" t="s">
        <v>1574</v>
      </c>
      <c r="E26" s="15" t="s">
        <v>1575</v>
      </c>
      <c r="F26" s="16">
        <v>10</v>
      </c>
      <c r="G26" s="16">
        <v>1665</v>
      </c>
      <c r="H26" s="16">
        <v>25</v>
      </c>
      <c r="I26" s="16">
        <f t="shared" si="0"/>
        <v>1640</v>
      </c>
      <c r="J26" s="15" t="s">
        <v>135</v>
      </c>
      <c r="K26" s="15" t="s">
        <v>21</v>
      </c>
      <c r="L26" s="15" t="s">
        <v>1517</v>
      </c>
      <c r="M26" s="15"/>
      <c r="N26" s="15"/>
      <c r="O26" s="15"/>
      <c r="P26" s="15"/>
      <c r="Q26" s="15">
        <v>1</v>
      </c>
    </row>
    <row r="27" spans="1:18" s="19" customFormat="1" x14ac:dyDescent="0.25">
      <c r="A27" s="17"/>
      <c r="B27" s="17" t="s">
        <v>17</v>
      </c>
      <c r="C27" s="17" t="s">
        <v>627</v>
      </c>
      <c r="D27" s="17" t="s">
        <v>1576</v>
      </c>
      <c r="E27" s="17" t="s">
        <v>629</v>
      </c>
      <c r="F27" s="18">
        <v>1</v>
      </c>
      <c r="G27" s="18">
        <v>25</v>
      </c>
      <c r="H27" s="18">
        <v>25</v>
      </c>
      <c r="I27" s="18">
        <f t="shared" si="0"/>
        <v>0</v>
      </c>
      <c r="J27" s="17" t="s">
        <v>135</v>
      </c>
      <c r="K27" s="17" t="s">
        <v>21</v>
      </c>
      <c r="L27" s="17" t="s">
        <v>1517</v>
      </c>
      <c r="M27" s="17" t="s">
        <v>126</v>
      </c>
      <c r="N27" s="17"/>
      <c r="O27" s="17"/>
      <c r="P27" s="17"/>
      <c r="Q27" s="17">
        <v>1</v>
      </c>
    </row>
    <row r="28" spans="1:18" x14ac:dyDescent="0.25">
      <c r="A28" s="15"/>
      <c r="B28" s="15" t="s">
        <v>17</v>
      </c>
      <c r="C28" s="15" t="s">
        <v>1577</v>
      </c>
      <c r="D28" s="15" t="s">
        <v>1578</v>
      </c>
      <c r="E28" s="15" t="s">
        <v>1579</v>
      </c>
      <c r="F28" s="16">
        <v>5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1517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 t="s">
        <v>16</v>
      </c>
      <c r="B29" s="15" t="s">
        <v>17</v>
      </c>
      <c r="C29" s="15" t="s">
        <v>1580</v>
      </c>
      <c r="D29" s="15"/>
      <c r="E29" s="15" t="s">
        <v>1581</v>
      </c>
      <c r="F29" s="15" t="s">
        <v>95</v>
      </c>
      <c r="G29" s="16">
        <v>0</v>
      </c>
      <c r="H29" s="16">
        <v>50</v>
      </c>
      <c r="I29" s="16">
        <f t="shared" si="0"/>
        <v>-50</v>
      </c>
      <c r="J29" s="15" t="s">
        <v>135</v>
      </c>
      <c r="K29" s="15" t="s">
        <v>21</v>
      </c>
      <c r="L29" s="15" t="s">
        <v>1517</v>
      </c>
      <c r="M29" s="15"/>
      <c r="N29" s="15"/>
      <c r="O29" s="15"/>
      <c r="P29" s="15"/>
      <c r="Q29" s="15">
        <v>1</v>
      </c>
      <c r="R29" s="10">
        <f>H29</f>
        <v>50</v>
      </c>
    </row>
    <row r="31" spans="1:18" x14ac:dyDescent="0.25">
      <c r="D31" s="1">
        <f>COUNTA(D3:D29)</f>
        <v>23</v>
      </c>
      <c r="G31" s="1">
        <f t="shared" ref="G31:Q31" si="1">SUBTOTAL(9,G3:G29)</f>
        <v>13575</v>
      </c>
      <c r="H31" s="1">
        <f t="shared" si="1"/>
        <v>815</v>
      </c>
      <c r="I31" s="1">
        <f t="shared" si="1"/>
        <v>12760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</row>
    <row r="32" spans="1:18" x14ac:dyDescent="0.25">
      <c r="H32">
        <f>-10*17</f>
        <v>-170</v>
      </c>
    </row>
    <row r="33" spans="1:16" x14ac:dyDescent="0.25">
      <c r="A33" s="1" t="s">
        <v>17</v>
      </c>
      <c r="C33" s="40" t="s">
        <v>191</v>
      </c>
      <c r="D33" s="40"/>
      <c r="E33" s="4" t="s">
        <v>192</v>
      </c>
      <c r="H33">
        <f>-1*30</f>
        <v>-30</v>
      </c>
      <c r="K33" s="11" t="s">
        <v>21</v>
      </c>
      <c r="L33" s="11" t="s">
        <v>193</v>
      </c>
      <c r="M33" s="11" t="s">
        <v>192</v>
      </c>
      <c r="O33" s="4" t="s">
        <v>194</v>
      </c>
    </row>
    <row r="34" spans="1:16" x14ac:dyDescent="0.25">
      <c r="A34" t="s">
        <v>1517</v>
      </c>
      <c r="B34" s="3" t="s">
        <v>195</v>
      </c>
      <c r="C34" s="41">
        <f>SUMIFS(I$3:I$29,B$3:B$29,A$33,L$3:L$29,A$34)</f>
        <v>12760</v>
      </c>
      <c r="D34" s="41"/>
      <c r="E34" s="3">
        <f>SUMIFS(Q$3:Q$29,B$3:B$29,A$33,L$3:L$29,A$34)</f>
        <v>27</v>
      </c>
      <c r="F34" t="s">
        <v>196</v>
      </c>
      <c r="K34" t="s">
        <v>197</v>
      </c>
      <c r="L34">
        <f>SUMIFS(G$3:G$29,J$3:J$29,K$33)</f>
        <v>3460</v>
      </c>
      <c r="M34">
        <f>SUMIFS(Q$3:Q$29,J$3:J$29,K$33)-INT(COUNTIFS(J$3:J$29,K$33,M$3:M$29,"*gộp*")/2)</f>
        <v>10</v>
      </c>
      <c r="O34" t="s">
        <v>21</v>
      </c>
      <c r="P34">
        <f>L39</f>
        <v>3141</v>
      </c>
    </row>
    <row r="35" spans="1:16" x14ac:dyDescent="0.25">
      <c r="B35" s="2" t="s">
        <v>199</v>
      </c>
      <c r="C35" s="42">
        <v>0</v>
      </c>
      <c r="D35" s="42"/>
      <c r="K35" t="s">
        <v>200</v>
      </c>
      <c r="L35">
        <f>-SUMIFS(H$3:H$29,J$3:J$29,K$33)+M35*5</f>
        <v>-265</v>
      </c>
      <c r="M35">
        <f>SUMIFS(Q$3:Q$29,J$3:J$29,K$33)-INT(COUNTIFS(J$3:J$29,K$33,M$3:M$29,"*gộp*")/2)</f>
        <v>10</v>
      </c>
      <c r="O35" t="s">
        <v>1582</v>
      </c>
      <c r="P35">
        <f>L47</f>
        <v>6380</v>
      </c>
    </row>
    <row r="36" spans="1:16" x14ac:dyDescent="0.25">
      <c r="B36" s="2" t="s">
        <v>201</v>
      </c>
      <c r="C36" s="42">
        <f>-SUMIFS(I$3:I$29,B$3:B$29,A$33,P$3:P$29,"xx",N$3:N$29,"x")</f>
        <v>0</v>
      </c>
      <c r="D36" s="42"/>
      <c r="E36" s="2">
        <f>SUMIFS(Q$3:Q$29,B$3:B$29,A$33,P$3:P$29,"xx",N$3:N$29,"x")</f>
        <v>0</v>
      </c>
      <c r="K36" t="s">
        <v>202</v>
      </c>
      <c r="L36">
        <f>-M36*2</f>
        <v>-54</v>
      </c>
      <c r="M36">
        <f>E37-(COUNTIFS(M$3:M$29,"*gộp*")/2)-COUNTIFS(M$3:M$29,"*đơn trả*")-COUNTIFS(M$3:M$29,"*hàng tỉnh*")</f>
        <v>27</v>
      </c>
      <c r="O36" t="s">
        <v>20</v>
      </c>
      <c r="P36">
        <f>L55</f>
        <v>805</v>
      </c>
    </row>
    <row r="37" spans="1:16" x14ac:dyDescent="0.25">
      <c r="B37" s="4" t="s">
        <v>203</v>
      </c>
      <c r="C37" s="40">
        <f>SUBTOTAL(9,C34:C36)</f>
        <v>12760</v>
      </c>
      <c r="D37" s="40"/>
      <c r="E37">
        <f>E34</f>
        <v>27</v>
      </c>
      <c r="K37" s="2" t="s">
        <v>204</v>
      </c>
      <c r="O37" t="s">
        <v>135</v>
      </c>
      <c r="P37">
        <f>L63</f>
        <v>2580</v>
      </c>
    </row>
    <row r="38" spans="1:16" x14ac:dyDescent="0.25">
      <c r="B38" s="2" t="s">
        <v>205</v>
      </c>
      <c r="C38" s="38"/>
      <c r="D38" s="38"/>
      <c r="K38" s="2" t="s">
        <v>206</v>
      </c>
      <c r="O38" t="s">
        <v>207</v>
      </c>
      <c r="P38">
        <f>-C41</f>
        <v>-12760</v>
      </c>
    </row>
    <row r="39" spans="1:16" x14ac:dyDescent="0.25">
      <c r="B39" s="12" t="s">
        <v>208</v>
      </c>
      <c r="C39" s="38"/>
      <c r="D39" s="38"/>
      <c r="L39" s="13">
        <f>SUBTOTAL(9,L34:L38)</f>
        <v>3141</v>
      </c>
      <c r="M39" s="13">
        <f>M34</f>
        <v>10</v>
      </c>
      <c r="O39" s="4" t="s">
        <v>209</v>
      </c>
      <c r="P39" s="4">
        <f>SUBTOTAL(9,P34:P38)</f>
        <v>146</v>
      </c>
    </row>
    <row r="41" spans="1:16" x14ac:dyDescent="0.25">
      <c r="B41" s="1" t="s">
        <v>210</v>
      </c>
      <c r="C41" s="39">
        <f>C37+C38+C39</f>
        <v>12760</v>
      </c>
      <c r="D41" s="39"/>
      <c r="E41" s="1" t="s">
        <v>211</v>
      </c>
      <c r="K41" s="11" t="s">
        <v>1519</v>
      </c>
      <c r="L41" s="11" t="s">
        <v>193</v>
      </c>
      <c r="M41" s="11" t="s">
        <v>192</v>
      </c>
    </row>
    <row r="42" spans="1:16" x14ac:dyDescent="0.25">
      <c r="K42" t="s">
        <v>197</v>
      </c>
      <c r="L42">
        <f>SUMIFS(G$3:G$29,J$3:J$29,K$41)</f>
        <v>6580</v>
      </c>
      <c r="M42">
        <f>SUMIFS(Q$3:Q$29,J$3:J$29,K$41)-INT(COUNTIFS(J$3:J$29,K$41,M$3:M$29,"*gộp*")/2)</f>
        <v>11</v>
      </c>
    </row>
    <row r="43" spans="1:16" x14ac:dyDescent="0.25">
      <c r="K43" t="s">
        <v>200</v>
      </c>
      <c r="L43">
        <f>SUM(H32:H33)</f>
        <v>-200</v>
      </c>
      <c r="M43">
        <f>SUMIFS(Q$3:Q$29,J$3:J$29,K$41)-INT(COUNTIFS(J$3:J$29,K$41,M$3:M$29,"*gộp*")/2)</f>
        <v>11</v>
      </c>
    </row>
    <row r="44" spans="1:16" x14ac:dyDescent="0.25">
      <c r="K44" t="s">
        <v>202</v>
      </c>
    </row>
    <row r="45" spans="1:16" x14ac:dyDescent="0.25">
      <c r="K45" s="2" t="s">
        <v>204</v>
      </c>
    </row>
    <row r="46" spans="1:16" x14ac:dyDescent="0.25">
      <c r="K46" s="2" t="s">
        <v>206</v>
      </c>
    </row>
    <row r="47" spans="1:16" x14ac:dyDescent="0.25">
      <c r="L47" s="13">
        <f>SUBTOTAL(9,L42:L46)</f>
        <v>6380</v>
      </c>
      <c r="M47" s="13">
        <f>M42</f>
        <v>11</v>
      </c>
    </row>
    <row r="49" spans="11:13" x14ac:dyDescent="0.25">
      <c r="K49" s="11" t="s">
        <v>20</v>
      </c>
      <c r="L49" s="11" t="s">
        <v>193</v>
      </c>
      <c r="M49" s="11" t="s">
        <v>192</v>
      </c>
    </row>
    <row r="50" spans="11:13" x14ac:dyDescent="0.25">
      <c r="K50" t="s">
        <v>197</v>
      </c>
      <c r="L50">
        <f>SUMIFS(G$3:G$29,J$3:J$29,K$49)</f>
        <v>830</v>
      </c>
      <c r="M50">
        <f>SUMIFS(Q$3:Q$29,J$3:J$29,K$49)-INT(COUNTIFS(J$3:J$29,K$49,M$3:M$29,"*gộp*")/2)</f>
        <v>1</v>
      </c>
    </row>
    <row r="51" spans="11:13" x14ac:dyDescent="0.25">
      <c r="K51" t="s">
        <v>200</v>
      </c>
      <c r="L51">
        <f>-SUMIFS(H$3:H$29,J$3:J$29,K$49)+M51*5</f>
        <v>-25</v>
      </c>
      <c r="M51">
        <f>SUMIFS(Q$3:Q$29,J$3:J$29,K$49)-INT(COUNTIFS(J$3:J$29,K$49,M$3:M$29,"*gộp*")/2)</f>
        <v>1</v>
      </c>
    </row>
    <row r="52" spans="11:13" x14ac:dyDescent="0.25">
      <c r="K52" t="s">
        <v>202</v>
      </c>
    </row>
    <row r="53" spans="11:13" x14ac:dyDescent="0.25">
      <c r="K53" s="2" t="s">
        <v>204</v>
      </c>
    </row>
    <row r="54" spans="11:13" x14ac:dyDescent="0.25">
      <c r="K54" s="2" t="s">
        <v>206</v>
      </c>
    </row>
    <row r="55" spans="11:13" x14ac:dyDescent="0.25">
      <c r="L55" s="13">
        <f>SUBTOTAL(9,L50:L54)</f>
        <v>805</v>
      </c>
      <c r="M55" s="13">
        <f>M50</f>
        <v>1</v>
      </c>
    </row>
    <row r="57" spans="11:13" x14ac:dyDescent="0.25">
      <c r="K57" s="11" t="s">
        <v>135</v>
      </c>
      <c r="L57" s="11" t="s">
        <v>193</v>
      </c>
      <c r="M57" s="11" t="s">
        <v>192</v>
      </c>
    </row>
    <row r="58" spans="11:13" x14ac:dyDescent="0.25">
      <c r="K58" t="s">
        <v>197</v>
      </c>
      <c r="L58">
        <f>SUMIFS(G$3:G$29,J$3:J$29,K$57)</f>
        <v>2705</v>
      </c>
      <c r="M58">
        <f>SUMIFS(Q$3:Q$29,J$3:J$29,K$57)-INT(COUNTIFS(J$3:J$29,K$57,M$3:M$29,"*gộp*")/2)</f>
        <v>5</v>
      </c>
    </row>
    <row r="59" spans="11:13" x14ac:dyDescent="0.25">
      <c r="K59" t="s">
        <v>200</v>
      </c>
      <c r="L59">
        <f>-SUMIFS(H$3:H$29,J$3:J$29,K$57)+M59*5</f>
        <v>-125</v>
      </c>
      <c r="M59">
        <f>SUMIFS(Q$3:Q$29,J$3:J$29,K$57)-INT(COUNTIFS(J$3:J$29,K$57,M$3:M$29,"*gộp*")/2)</f>
        <v>5</v>
      </c>
    </row>
    <row r="60" spans="11:13" x14ac:dyDescent="0.25">
      <c r="K60" t="s">
        <v>202</v>
      </c>
    </row>
    <row r="61" spans="11:13" x14ac:dyDescent="0.25">
      <c r="K61" s="2" t="s">
        <v>204</v>
      </c>
    </row>
    <row r="62" spans="11:13" x14ac:dyDescent="0.25">
      <c r="K62" s="2" t="s">
        <v>206</v>
      </c>
    </row>
    <row r="63" spans="11:13" x14ac:dyDescent="0.25">
      <c r="L63" s="13">
        <f>SUBTOTAL(9,L58:L62)</f>
        <v>2580</v>
      </c>
      <c r="M63" s="13">
        <f>M58</f>
        <v>5</v>
      </c>
    </row>
  </sheetData>
  <autoFilter ref="A2:P29" xr:uid="{00000000-0009-0000-0000-00000E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R70"/>
  <sheetViews>
    <sheetView topLeftCell="A8" workbookViewId="0">
      <selection activeCell="A8" sqref="A8 A8:XFD8"/>
    </sheetView>
  </sheetViews>
  <sheetFormatPr defaultRowHeight="15" x14ac:dyDescent="0.25"/>
  <cols>
    <col min="1" max="1" width="12.7109375" customWidth="1"/>
    <col min="2" max="2" width="17.7109375" customWidth="1"/>
    <col min="3" max="3" width="27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1132</v>
      </c>
      <c r="D3" s="15" t="s">
        <v>1583</v>
      </c>
      <c r="E3" s="15" t="s">
        <v>1134</v>
      </c>
      <c r="F3" s="16">
        <v>9</v>
      </c>
      <c r="G3" s="16">
        <v>900</v>
      </c>
      <c r="H3" s="16">
        <v>30</v>
      </c>
      <c r="I3" s="16">
        <f t="shared" ref="I3:I36" si="0">G3-H3</f>
        <v>870</v>
      </c>
      <c r="J3" s="15" t="s">
        <v>20</v>
      </c>
      <c r="K3" s="15" t="s">
        <v>21</v>
      </c>
      <c r="L3" s="15" t="s">
        <v>1584</v>
      </c>
      <c r="M3" s="15"/>
      <c r="N3" s="15"/>
      <c r="O3" s="15"/>
      <c r="P3" s="15"/>
      <c r="Q3" s="15">
        <v>1</v>
      </c>
    </row>
    <row r="4" spans="1:18" x14ac:dyDescent="0.25">
      <c r="A4" s="15" t="s">
        <v>16</v>
      </c>
      <c r="B4" s="15" t="s">
        <v>17</v>
      </c>
      <c r="C4" s="15" t="s">
        <v>1585</v>
      </c>
      <c r="D4" s="15"/>
      <c r="E4" s="15" t="s">
        <v>1586</v>
      </c>
      <c r="F4" s="16">
        <v>6</v>
      </c>
      <c r="G4" s="16">
        <v>0</v>
      </c>
      <c r="H4" s="16">
        <v>30</v>
      </c>
      <c r="I4" s="16">
        <f t="shared" si="0"/>
        <v>-30</v>
      </c>
      <c r="J4" s="15" t="s">
        <v>1587</v>
      </c>
      <c r="K4" s="15" t="s">
        <v>21</v>
      </c>
      <c r="L4" s="15" t="s">
        <v>1584</v>
      </c>
      <c r="M4" s="15"/>
      <c r="N4" s="15"/>
      <c r="O4" s="15"/>
      <c r="P4" s="15"/>
      <c r="Q4" s="15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1588</v>
      </c>
      <c r="D5" s="15" t="s">
        <v>1589</v>
      </c>
      <c r="E5" s="15" t="s">
        <v>1590</v>
      </c>
      <c r="F5" s="16">
        <v>6</v>
      </c>
      <c r="G5" s="16">
        <v>1875</v>
      </c>
      <c r="H5" s="16">
        <v>25</v>
      </c>
      <c r="I5" s="16">
        <f t="shared" si="0"/>
        <v>1850</v>
      </c>
      <c r="J5" s="15" t="s">
        <v>1587</v>
      </c>
      <c r="K5" s="15" t="s">
        <v>21</v>
      </c>
      <c r="L5" s="15" t="s">
        <v>1584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1591</v>
      </c>
      <c r="D6" s="15" t="s">
        <v>1592</v>
      </c>
      <c r="E6" s="15" t="s">
        <v>1593</v>
      </c>
      <c r="F6" s="15" t="s">
        <v>46</v>
      </c>
      <c r="G6" s="16">
        <v>895</v>
      </c>
      <c r="H6" s="16">
        <v>25</v>
      </c>
      <c r="I6" s="16">
        <f t="shared" si="0"/>
        <v>870</v>
      </c>
      <c r="J6" s="15" t="s">
        <v>1587</v>
      </c>
      <c r="K6" s="15" t="s">
        <v>21</v>
      </c>
      <c r="L6" s="15" t="s">
        <v>1584</v>
      </c>
      <c r="M6" s="20" t="s">
        <v>377</v>
      </c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1591</v>
      </c>
      <c r="D7" s="15" t="s">
        <v>1594</v>
      </c>
      <c r="E7" s="15" t="s">
        <v>1593</v>
      </c>
      <c r="F7" s="15" t="s">
        <v>46</v>
      </c>
      <c r="G7" s="16">
        <v>770</v>
      </c>
      <c r="H7" s="16">
        <v>0</v>
      </c>
      <c r="I7" s="16">
        <f t="shared" si="0"/>
        <v>770</v>
      </c>
      <c r="J7" s="15" t="s">
        <v>1587</v>
      </c>
      <c r="K7" s="15" t="s">
        <v>21</v>
      </c>
      <c r="L7" s="15" t="s">
        <v>1584</v>
      </c>
      <c r="M7" s="20" t="s">
        <v>377</v>
      </c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1595</v>
      </c>
      <c r="D8" s="15" t="s">
        <v>1596</v>
      </c>
      <c r="E8" s="15" t="s">
        <v>1267</v>
      </c>
      <c r="F8" s="15" t="s">
        <v>26</v>
      </c>
      <c r="G8" s="16">
        <v>810</v>
      </c>
      <c r="H8" s="16">
        <v>30</v>
      </c>
      <c r="I8" s="16">
        <f t="shared" si="0"/>
        <v>780</v>
      </c>
      <c r="J8" s="15" t="s">
        <v>1587</v>
      </c>
      <c r="K8" s="15" t="s">
        <v>21</v>
      </c>
      <c r="L8" s="15" t="s">
        <v>1584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1597</v>
      </c>
      <c r="D9" s="15" t="s">
        <v>1598</v>
      </c>
      <c r="E9" s="15" t="s">
        <v>1599</v>
      </c>
      <c r="F9" s="16">
        <v>12</v>
      </c>
      <c r="G9" s="16">
        <v>850</v>
      </c>
      <c r="H9" s="16">
        <v>30</v>
      </c>
      <c r="I9" s="16">
        <f t="shared" si="0"/>
        <v>820</v>
      </c>
      <c r="J9" s="15" t="s">
        <v>1587</v>
      </c>
      <c r="K9" s="15" t="s">
        <v>21</v>
      </c>
      <c r="L9" s="15" t="s">
        <v>1584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1600</v>
      </c>
      <c r="D10" s="15" t="s">
        <v>1601</v>
      </c>
      <c r="E10" s="15" t="s">
        <v>1602</v>
      </c>
      <c r="F10" s="16">
        <v>7</v>
      </c>
      <c r="G10" s="16">
        <v>0</v>
      </c>
      <c r="H10" s="16">
        <v>30</v>
      </c>
      <c r="I10" s="16">
        <f t="shared" si="0"/>
        <v>-30</v>
      </c>
      <c r="J10" s="15" t="s">
        <v>1587</v>
      </c>
      <c r="K10" s="15" t="s">
        <v>21</v>
      </c>
      <c r="L10" s="15" t="s">
        <v>1584</v>
      </c>
      <c r="M10" s="15"/>
      <c r="N10" s="15"/>
      <c r="O10" s="15"/>
      <c r="P10" s="15"/>
      <c r="Q10" s="15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1603</v>
      </c>
      <c r="D11" s="15" t="s">
        <v>1604</v>
      </c>
      <c r="E11" s="15" t="s">
        <v>1605</v>
      </c>
      <c r="F11" s="15" t="s">
        <v>46</v>
      </c>
      <c r="G11" s="16">
        <v>375</v>
      </c>
      <c r="H11" s="16">
        <v>25</v>
      </c>
      <c r="I11" s="16">
        <f t="shared" si="0"/>
        <v>350</v>
      </c>
      <c r="J11" s="15" t="s">
        <v>1587</v>
      </c>
      <c r="K11" s="15" t="s">
        <v>21</v>
      </c>
      <c r="L11" s="15" t="s">
        <v>1584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1606</v>
      </c>
      <c r="D12" s="15" t="s">
        <v>1607</v>
      </c>
      <c r="E12" s="15" t="s">
        <v>1608</v>
      </c>
      <c r="F12" s="15" t="s">
        <v>1335</v>
      </c>
      <c r="G12" s="16">
        <v>825</v>
      </c>
      <c r="H12" s="16">
        <v>35</v>
      </c>
      <c r="I12" s="16">
        <f t="shared" si="0"/>
        <v>790</v>
      </c>
      <c r="J12" s="15" t="s">
        <v>1587</v>
      </c>
      <c r="K12" s="15" t="s">
        <v>21</v>
      </c>
      <c r="L12" s="15" t="s">
        <v>1584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1609</v>
      </c>
      <c r="D13" s="15" t="s">
        <v>1610</v>
      </c>
      <c r="E13" s="15" t="s">
        <v>1270</v>
      </c>
      <c r="F13" s="15" t="s">
        <v>26</v>
      </c>
      <c r="G13" s="16">
        <v>0</v>
      </c>
      <c r="H13" s="16">
        <v>30</v>
      </c>
      <c r="I13" s="16">
        <f t="shared" si="0"/>
        <v>-30</v>
      </c>
      <c r="J13" s="15" t="s">
        <v>1587</v>
      </c>
      <c r="K13" s="15" t="s">
        <v>21</v>
      </c>
      <c r="L13" s="15" t="s">
        <v>1584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1611</v>
      </c>
      <c r="D14" s="15" t="s">
        <v>1612</v>
      </c>
      <c r="E14" s="15" t="s">
        <v>1613</v>
      </c>
      <c r="F14" s="16">
        <v>12</v>
      </c>
      <c r="G14" s="16">
        <v>1530</v>
      </c>
      <c r="H14" s="16">
        <v>30</v>
      </c>
      <c r="I14" s="16">
        <f t="shared" si="0"/>
        <v>1500</v>
      </c>
      <c r="J14" s="15" t="s">
        <v>1587</v>
      </c>
      <c r="K14" s="15" t="s">
        <v>21</v>
      </c>
      <c r="L14" s="15" t="s">
        <v>1584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1614</v>
      </c>
      <c r="D15" s="15" t="s">
        <v>1615</v>
      </c>
      <c r="E15" s="15" t="s">
        <v>1616</v>
      </c>
      <c r="F15" s="16">
        <v>7</v>
      </c>
      <c r="G15" s="16">
        <v>1020</v>
      </c>
      <c r="H15" s="16">
        <v>30</v>
      </c>
      <c r="I15" s="16">
        <f t="shared" si="0"/>
        <v>990</v>
      </c>
      <c r="J15" s="15" t="s">
        <v>1587</v>
      </c>
      <c r="K15" s="15" t="s">
        <v>21</v>
      </c>
      <c r="L15" s="15" t="s">
        <v>1584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1617</v>
      </c>
      <c r="D16" s="15" t="s">
        <v>1618</v>
      </c>
      <c r="E16" s="15" t="s">
        <v>1619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1587</v>
      </c>
      <c r="K16" s="15" t="s">
        <v>21</v>
      </c>
      <c r="L16" s="15" t="s">
        <v>1584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1451</v>
      </c>
      <c r="D17" s="15" t="s">
        <v>1620</v>
      </c>
      <c r="E17" s="15" t="s">
        <v>1453</v>
      </c>
      <c r="F17" s="15" t="s">
        <v>139</v>
      </c>
      <c r="G17" s="16">
        <v>695</v>
      </c>
      <c r="H17" s="16">
        <v>35</v>
      </c>
      <c r="I17" s="16">
        <f t="shared" si="0"/>
        <v>660</v>
      </c>
      <c r="J17" s="15" t="s">
        <v>1587</v>
      </c>
      <c r="K17" s="15" t="s">
        <v>21</v>
      </c>
      <c r="L17" s="15" t="s">
        <v>1584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1621</v>
      </c>
      <c r="D18" s="15" t="s">
        <v>1622</v>
      </c>
      <c r="E18" s="15" t="s">
        <v>1623</v>
      </c>
      <c r="F18" s="16">
        <v>7</v>
      </c>
      <c r="G18" s="16">
        <v>2710</v>
      </c>
      <c r="H18" s="16">
        <v>35</v>
      </c>
      <c r="I18" s="16">
        <f t="shared" si="0"/>
        <v>2675</v>
      </c>
      <c r="J18" s="15" t="s">
        <v>1587</v>
      </c>
      <c r="K18" s="15" t="s">
        <v>21</v>
      </c>
      <c r="L18" s="15" t="s">
        <v>1584</v>
      </c>
      <c r="M18" s="20" t="s">
        <v>167</v>
      </c>
      <c r="N18" s="15"/>
      <c r="O18" s="15"/>
      <c r="P18" s="15"/>
      <c r="Q18" s="15">
        <v>1</v>
      </c>
      <c r="R18" s="10">
        <f>H18</f>
        <v>35</v>
      </c>
    </row>
    <row r="19" spans="1:18" x14ac:dyDescent="0.25">
      <c r="A19" s="15"/>
      <c r="B19" s="15" t="s">
        <v>17</v>
      </c>
      <c r="C19" s="15" t="s">
        <v>1624</v>
      </c>
      <c r="D19" s="15" t="s">
        <v>1625</v>
      </c>
      <c r="E19" s="15" t="s">
        <v>1626</v>
      </c>
      <c r="F19" s="15" t="s">
        <v>139</v>
      </c>
      <c r="G19" s="16">
        <v>1685</v>
      </c>
      <c r="H19" s="16">
        <v>35</v>
      </c>
      <c r="I19" s="16">
        <f t="shared" si="0"/>
        <v>1650</v>
      </c>
      <c r="J19" s="15" t="s">
        <v>1587</v>
      </c>
      <c r="K19" s="15" t="s">
        <v>21</v>
      </c>
      <c r="L19" s="15" t="s">
        <v>1584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1627</v>
      </c>
      <c r="D20" s="15" t="s">
        <v>1628</v>
      </c>
      <c r="E20" s="15" t="s">
        <v>1629</v>
      </c>
      <c r="F20" s="15" t="s">
        <v>46</v>
      </c>
      <c r="G20" s="16">
        <v>855</v>
      </c>
      <c r="H20" s="16">
        <v>25</v>
      </c>
      <c r="I20" s="16">
        <f t="shared" si="0"/>
        <v>830</v>
      </c>
      <c r="J20" s="15" t="s">
        <v>1587</v>
      </c>
      <c r="K20" s="15" t="s">
        <v>21</v>
      </c>
      <c r="L20" s="15" t="s">
        <v>1584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16</v>
      </c>
      <c r="B21" s="15" t="s">
        <v>17</v>
      </c>
      <c r="C21" s="15" t="s">
        <v>370</v>
      </c>
      <c r="D21" s="15"/>
      <c r="E21" s="15" t="s">
        <v>371</v>
      </c>
      <c r="F21" s="15" t="s">
        <v>77</v>
      </c>
      <c r="G21" s="16">
        <v>30</v>
      </c>
      <c r="H21" s="16">
        <v>30</v>
      </c>
      <c r="I21" s="16">
        <f t="shared" si="0"/>
        <v>0</v>
      </c>
      <c r="J21" s="15" t="s">
        <v>21</v>
      </c>
      <c r="K21" s="15" t="s">
        <v>21</v>
      </c>
      <c r="L21" s="15" t="s">
        <v>1584</v>
      </c>
      <c r="M21" s="15"/>
      <c r="N21" s="15"/>
      <c r="O21" s="15"/>
      <c r="P21" s="15"/>
      <c r="Q21" s="15">
        <v>1</v>
      </c>
    </row>
    <row r="22" spans="1:18" x14ac:dyDescent="0.25">
      <c r="A22" s="15" t="s">
        <v>16</v>
      </c>
      <c r="B22" s="15" t="s">
        <v>17</v>
      </c>
      <c r="C22" s="15" t="s">
        <v>368</v>
      </c>
      <c r="D22" s="15"/>
      <c r="E22" s="15" t="s">
        <v>369</v>
      </c>
      <c r="F22" s="15" t="s">
        <v>77</v>
      </c>
      <c r="G22" s="16">
        <v>0</v>
      </c>
      <c r="H22" s="16">
        <v>30</v>
      </c>
      <c r="I22" s="16">
        <f t="shared" si="0"/>
        <v>-30</v>
      </c>
      <c r="J22" s="15" t="s">
        <v>21</v>
      </c>
      <c r="K22" s="15" t="s">
        <v>21</v>
      </c>
      <c r="L22" s="15" t="s">
        <v>1584</v>
      </c>
      <c r="M22" s="15"/>
      <c r="N22" s="15"/>
      <c r="O22" s="15"/>
      <c r="P22" s="15"/>
      <c r="Q22" s="15">
        <v>1</v>
      </c>
      <c r="R22" s="10">
        <f>H22</f>
        <v>30</v>
      </c>
    </row>
    <row r="23" spans="1:18" x14ac:dyDescent="0.25">
      <c r="A23" s="15" t="s">
        <v>16</v>
      </c>
      <c r="B23" s="15" t="s">
        <v>17</v>
      </c>
      <c r="C23" s="15" t="s">
        <v>1630</v>
      </c>
      <c r="D23" s="15"/>
      <c r="E23" s="15" t="s">
        <v>1631</v>
      </c>
      <c r="F23" s="15" t="s">
        <v>85</v>
      </c>
      <c r="G23" s="16">
        <v>0</v>
      </c>
      <c r="H23" s="16">
        <v>35</v>
      </c>
      <c r="I23" s="16">
        <f t="shared" si="0"/>
        <v>-35</v>
      </c>
      <c r="J23" s="15" t="s">
        <v>21</v>
      </c>
      <c r="K23" s="15" t="s">
        <v>21</v>
      </c>
      <c r="L23" s="15" t="s">
        <v>1584</v>
      </c>
      <c r="M23" s="15"/>
      <c r="N23" s="15"/>
      <c r="O23" s="15"/>
      <c r="P23" s="15"/>
      <c r="Q23" s="15">
        <v>1</v>
      </c>
      <c r="R23" s="10">
        <f>H23</f>
        <v>35</v>
      </c>
    </row>
    <row r="24" spans="1:18" x14ac:dyDescent="0.25">
      <c r="A24" s="15"/>
      <c r="B24" s="15" t="s">
        <v>17</v>
      </c>
      <c r="C24" s="15" t="s">
        <v>1632</v>
      </c>
      <c r="D24" s="15" t="s">
        <v>1633</v>
      </c>
      <c r="E24" s="15" t="s">
        <v>1634</v>
      </c>
      <c r="F24" s="15" t="s">
        <v>77</v>
      </c>
      <c r="G24" s="16">
        <v>595</v>
      </c>
      <c r="H24" s="16">
        <v>25</v>
      </c>
      <c r="I24" s="16">
        <f t="shared" si="0"/>
        <v>570</v>
      </c>
      <c r="J24" s="15" t="s">
        <v>21</v>
      </c>
      <c r="K24" s="15" t="s">
        <v>21</v>
      </c>
      <c r="L24" s="15" t="s">
        <v>1584</v>
      </c>
      <c r="M24" s="20" t="s">
        <v>167</v>
      </c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1635</v>
      </c>
      <c r="D25" s="15" t="s">
        <v>1636</v>
      </c>
      <c r="E25" s="15" t="s">
        <v>1637</v>
      </c>
      <c r="F25" s="16">
        <v>1</v>
      </c>
      <c r="G25" s="16">
        <v>0</v>
      </c>
      <c r="H25" s="16">
        <v>25</v>
      </c>
      <c r="I25" s="16">
        <f t="shared" si="0"/>
        <v>-25</v>
      </c>
      <c r="J25" s="15" t="s">
        <v>135</v>
      </c>
      <c r="K25" s="15" t="s">
        <v>21</v>
      </c>
      <c r="L25" s="15" t="s">
        <v>1584</v>
      </c>
      <c r="M25" s="15"/>
      <c r="N25" s="15"/>
      <c r="O25" s="15"/>
      <c r="P25" s="15"/>
      <c r="Q25" s="15">
        <v>1</v>
      </c>
      <c r="R25" s="10">
        <f>H25</f>
        <v>25</v>
      </c>
    </row>
    <row r="26" spans="1:18" x14ac:dyDescent="0.25">
      <c r="A26" s="15"/>
      <c r="B26" s="15" t="s">
        <v>17</v>
      </c>
      <c r="C26" s="15" t="s">
        <v>796</v>
      </c>
      <c r="D26" s="15" t="s">
        <v>1638</v>
      </c>
      <c r="E26" s="15" t="s">
        <v>1639</v>
      </c>
      <c r="F26" s="16">
        <v>1</v>
      </c>
      <c r="G26" s="16">
        <v>0</v>
      </c>
      <c r="H26" s="16">
        <v>25</v>
      </c>
      <c r="I26" s="16">
        <f t="shared" si="0"/>
        <v>-25</v>
      </c>
      <c r="J26" s="15" t="s">
        <v>135</v>
      </c>
      <c r="K26" s="15" t="s">
        <v>21</v>
      </c>
      <c r="L26" s="15" t="s">
        <v>1584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1113</v>
      </c>
      <c r="D27" s="15" t="s">
        <v>1640</v>
      </c>
      <c r="E27" s="15" t="s">
        <v>1641</v>
      </c>
      <c r="F27" s="15" t="s">
        <v>95</v>
      </c>
      <c r="G27" s="16">
        <v>25</v>
      </c>
      <c r="H27" s="16">
        <v>25</v>
      </c>
      <c r="I27" s="16">
        <f t="shared" si="0"/>
        <v>0</v>
      </c>
      <c r="J27" s="15" t="s">
        <v>135</v>
      </c>
      <c r="K27" s="15" t="s">
        <v>21</v>
      </c>
      <c r="L27" s="15" t="s">
        <v>1584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1642</v>
      </c>
      <c r="D28" s="15" t="s">
        <v>1643</v>
      </c>
      <c r="E28" s="15" t="s">
        <v>1644</v>
      </c>
      <c r="F28" s="16">
        <v>3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1584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1645</v>
      </c>
      <c r="D29" s="15" t="s">
        <v>1646</v>
      </c>
      <c r="E29" s="15" t="s">
        <v>1647</v>
      </c>
      <c r="F29" s="15" t="s">
        <v>95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1584</v>
      </c>
      <c r="M29" s="15"/>
      <c r="N29" s="15"/>
      <c r="O29" s="15"/>
      <c r="P29" s="15"/>
      <c r="Q29" s="15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1648</v>
      </c>
      <c r="D30" s="15" t="s">
        <v>1649</v>
      </c>
      <c r="E30" s="15" t="s">
        <v>1650</v>
      </c>
      <c r="F30" s="15" t="s">
        <v>406</v>
      </c>
      <c r="G30" s="16">
        <v>0</v>
      </c>
      <c r="H30" s="16">
        <v>20</v>
      </c>
      <c r="I30" s="16">
        <f t="shared" si="0"/>
        <v>-20</v>
      </c>
      <c r="J30" s="15" t="s">
        <v>135</v>
      </c>
      <c r="K30" s="15" t="s">
        <v>21</v>
      </c>
      <c r="L30" s="15" t="s">
        <v>1584</v>
      </c>
      <c r="M30" s="15"/>
      <c r="N30" s="15"/>
      <c r="O30" s="15"/>
      <c r="P30" s="15"/>
      <c r="Q30" s="15">
        <v>1</v>
      </c>
      <c r="R30" s="10">
        <f>H30</f>
        <v>20</v>
      </c>
    </row>
    <row r="31" spans="1:18" x14ac:dyDescent="0.25">
      <c r="A31" s="15"/>
      <c r="B31" s="15" t="s">
        <v>17</v>
      </c>
      <c r="C31" s="15" t="s">
        <v>585</v>
      </c>
      <c r="D31" s="15" t="s">
        <v>1651</v>
      </c>
      <c r="E31" s="15" t="s">
        <v>587</v>
      </c>
      <c r="F31" s="15" t="s">
        <v>95</v>
      </c>
      <c r="G31" s="16">
        <v>875</v>
      </c>
      <c r="H31" s="16">
        <v>25</v>
      </c>
      <c r="I31" s="16">
        <f t="shared" si="0"/>
        <v>850</v>
      </c>
      <c r="J31" s="15" t="s">
        <v>135</v>
      </c>
      <c r="K31" s="15" t="s">
        <v>21</v>
      </c>
      <c r="L31" s="15" t="s">
        <v>1584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1652</v>
      </c>
      <c r="D32" s="15" t="s">
        <v>1653</v>
      </c>
      <c r="E32" s="15" t="s">
        <v>1654</v>
      </c>
      <c r="F32" s="16">
        <v>1</v>
      </c>
      <c r="G32" s="16">
        <v>1015</v>
      </c>
      <c r="H32" s="16">
        <v>25</v>
      </c>
      <c r="I32" s="16">
        <f t="shared" si="0"/>
        <v>990</v>
      </c>
      <c r="J32" s="15" t="s">
        <v>135</v>
      </c>
      <c r="K32" s="15" t="s">
        <v>21</v>
      </c>
      <c r="L32" s="15" t="s">
        <v>1584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1655</v>
      </c>
      <c r="D33" s="15" t="s">
        <v>1656</v>
      </c>
      <c r="E33" s="15" t="s">
        <v>1657</v>
      </c>
      <c r="F33" s="16">
        <v>3</v>
      </c>
      <c r="G33" s="16">
        <v>915</v>
      </c>
      <c r="H33" s="16">
        <v>25</v>
      </c>
      <c r="I33" s="16">
        <f t="shared" si="0"/>
        <v>890</v>
      </c>
      <c r="J33" s="15" t="s">
        <v>135</v>
      </c>
      <c r="K33" s="15" t="s">
        <v>21</v>
      </c>
      <c r="L33" s="15" t="s">
        <v>1584</v>
      </c>
      <c r="M33" s="15"/>
      <c r="N33" s="15"/>
      <c r="O33" s="15"/>
      <c r="P33" s="15"/>
      <c r="Q33" s="15">
        <v>1</v>
      </c>
    </row>
    <row r="34" spans="1:17" s="2" customFormat="1" x14ac:dyDescent="0.25">
      <c r="A34" s="21"/>
      <c r="B34" s="21" t="s">
        <v>17</v>
      </c>
      <c r="C34" s="21" t="s">
        <v>751</v>
      </c>
      <c r="D34" s="21" t="s">
        <v>752</v>
      </c>
      <c r="E34" s="21" t="s">
        <v>753</v>
      </c>
      <c r="F34" s="21" t="s">
        <v>26</v>
      </c>
      <c r="G34" s="22">
        <v>820</v>
      </c>
      <c r="H34" s="22">
        <v>30</v>
      </c>
      <c r="I34" s="22">
        <f t="shared" si="0"/>
        <v>790</v>
      </c>
      <c r="J34" s="21" t="s">
        <v>271</v>
      </c>
      <c r="K34" s="21" t="s">
        <v>21</v>
      </c>
      <c r="L34" s="21" t="s">
        <v>733</v>
      </c>
      <c r="M34" s="21" t="s">
        <v>204</v>
      </c>
      <c r="N34" s="21" t="s">
        <v>272</v>
      </c>
      <c r="O34" s="21" t="s">
        <v>272</v>
      </c>
      <c r="P34" s="21" t="s">
        <v>273</v>
      </c>
      <c r="Q34" s="22">
        <v>1</v>
      </c>
    </row>
    <row r="35" spans="1:17" s="2" customFormat="1" x14ac:dyDescent="0.25">
      <c r="A35" s="21"/>
      <c r="B35" s="21" t="s">
        <v>17</v>
      </c>
      <c r="C35" s="21" t="s">
        <v>834</v>
      </c>
      <c r="D35" s="21" t="s">
        <v>835</v>
      </c>
      <c r="E35" s="21" t="s">
        <v>836</v>
      </c>
      <c r="F35" s="21" t="s">
        <v>134</v>
      </c>
      <c r="G35" s="22">
        <v>1185</v>
      </c>
      <c r="H35" s="22">
        <v>35</v>
      </c>
      <c r="I35" s="22">
        <f t="shared" si="0"/>
        <v>1150</v>
      </c>
      <c r="J35" s="21" t="s">
        <v>271</v>
      </c>
      <c r="K35" s="21" t="s">
        <v>21</v>
      </c>
      <c r="L35" s="21" t="s">
        <v>813</v>
      </c>
      <c r="M35" s="21" t="s">
        <v>204</v>
      </c>
      <c r="N35" s="21" t="s">
        <v>272</v>
      </c>
      <c r="O35" s="21" t="s">
        <v>272</v>
      </c>
      <c r="P35" s="21" t="s">
        <v>273</v>
      </c>
      <c r="Q35" s="22">
        <v>1</v>
      </c>
    </row>
    <row r="36" spans="1:17" s="2" customFormat="1" x14ac:dyDescent="0.25">
      <c r="A36" s="21"/>
      <c r="B36" s="21" t="s">
        <v>17</v>
      </c>
      <c r="C36" s="21" t="s">
        <v>1549</v>
      </c>
      <c r="D36" s="21" t="s">
        <v>1550</v>
      </c>
      <c r="E36" s="21" t="s">
        <v>1551</v>
      </c>
      <c r="F36" s="21" t="s">
        <v>81</v>
      </c>
      <c r="G36" s="22">
        <v>1020</v>
      </c>
      <c r="H36" s="22">
        <v>30</v>
      </c>
      <c r="I36" s="22">
        <f t="shared" si="0"/>
        <v>990</v>
      </c>
      <c r="J36" s="21" t="s">
        <v>271</v>
      </c>
      <c r="K36" s="21" t="s">
        <v>21</v>
      </c>
      <c r="L36" s="21" t="s">
        <v>1517</v>
      </c>
      <c r="M36" s="21" t="s">
        <v>204</v>
      </c>
      <c r="N36" s="21" t="s">
        <v>272</v>
      </c>
      <c r="O36" s="21" t="s">
        <v>272</v>
      </c>
      <c r="P36" s="21" t="s">
        <v>273</v>
      </c>
      <c r="Q36" s="22">
        <v>1</v>
      </c>
    </row>
    <row r="38" spans="1:17" x14ac:dyDescent="0.25">
      <c r="D38" s="1">
        <f>COUNTA(D3:D36)</f>
        <v>30</v>
      </c>
      <c r="G38" s="1">
        <f t="shared" ref="G38:Q38" si="1">SUBTOTAL(9,G3:G36)</f>
        <v>22275</v>
      </c>
      <c r="H38" s="1">
        <f t="shared" si="1"/>
        <v>945</v>
      </c>
      <c r="I38" s="1">
        <f t="shared" si="1"/>
        <v>21330</v>
      </c>
      <c r="J38" s="1">
        <f t="shared" si="1"/>
        <v>0</v>
      </c>
      <c r="K38" s="1">
        <f t="shared" si="1"/>
        <v>0</v>
      </c>
      <c r="L38" s="1">
        <f t="shared" si="1"/>
        <v>0</v>
      </c>
      <c r="M38" s="1">
        <f t="shared" si="1"/>
        <v>0</v>
      </c>
      <c r="N38" s="1">
        <f t="shared" si="1"/>
        <v>0</v>
      </c>
      <c r="O38" s="1">
        <f t="shared" si="1"/>
        <v>0</v>
      </c>
      <c r="P38" s="1">
        <f t="shared" si="1"/>
        <v>0</v>
      </c>
      <c r="Q38" s="1">
        <f t="shared" si="1"/>
        <v>34</v>
      </c>
    </row>
    <row r="39" spans="1:17" x14ac:dyDescent="0.25">
      <c r="H39">
        <f>-8*17</f>
        <v>-136</v>
      </c>
      <c r="I39">
        <v>25</v>
      </c>
    </row>
    <row r="40" spans="1:17" x14ac:dyDescent="0.25">
      <c r="A40" s="1" t="s">
        <v>17</v>
      </c>
      <c r="C40" s="40" t="s">
        <v>191</v>
      </c>
      <c r="D40" s="40"/>
      <c r="E40" s="4" t="s">
        <v>192</v>
      </c>
      <c r="H40">
        <f>-5*25</f>
        <v>-125</v>
      </c>
      <c r="I40">
        <v>30</v>
      </c>
      <c r="K40" s="11" t="s">
        <v>21</v>
      </c>
      <c r="L40" s="11" t="s">
        <v>193</v>
      </c>
      <c r="M40" s="11" t="s">
        <v>192</v>
      </c>
      <c r="O40" s="4" t="s">
        <v>194</v>
      </c>
    </row>
    <row r="41" spans="1:17" x14ac:dyDescent="0.25">
      <c r="A41" t="s">
        <v>1584</v>
      </c>
      <c r="B41" s="3" t="s">
        <v>195</v>
      </c>
      <c r="C41" s="41">
        <f>SUMIFS(I$3:I$36,B$3:B$36,A$40,L$3:L$36,A$41)</f>
        <v>18400</v>
      </c>
      <c r="D41" s="41"/>
      <c r="E41" s="3">
        <f>SUMIFS(Q$3:Q$36,B$3:B$36,A$40,L$3:L$36,A$41)</f>
        <v>31</v>
      </c>
      <c r="F41" t="s">
        <v>196</v>
      </c>
      <c r="H41">
        <f>-3*30</f>
        <v>-90</v>
      </c>
      <c r="K41" t="s">
        <v>197</v>
      </c>
      <c r="L41">
        <f>SUMIFS(G$3:G$36,J$3:J$36,K$40)</f>
        <v>625</v>
      </c>
      <c r="M41">
        <f>SUMIFS(Q$3:Q$36,J$3:J$36,K$40)-INT(COUNTIFS(J$3:J$36,K$40,M$3:M$36,"*gộp*")/2)</f>
        <v>4</v>
      </c>
      <c r="O41" t="s">
        <v>21</v>
      </c>
      <c r="P41">
        <f>L46</f>
        <v>-524</v>
      </c>
    </row>
    <row r="42" spans="1:17" x14ac:dyDescent="0.25">
      <c r="B42" s="2" t="s">
        <v>199</v>
      </c>
      <c r="C42" s="42">
        <v>0</v>
      </c>
      <c r="D42" s="42"/>
      <c r="K42" t="s">
        <v>200</v>
      </c>
      <c r="L42">
        <f>-SUMIFS(H$3:H$36,J$3:J$36,K$40)+M42*5</f>
        <v>-100</v>
      </c>
      <c r="M42">
        <f>SUMIFS(Q$3:Q$36,J$3:J$36,K$40)-INT(COUNTIFS(J$3:J$36,K$40,M$3:M$36,"*gộp*")/2)</f>
        <v>4</v>
      </c>
      <c r="O42" t="s">
        <v>1658</v>
      </c>
      <c r="P42">
        <f>L54</f>
        <v>12549</v>
      </c>
    </row>
    <row r="43" spans="1:17" x14ac:dyDescent="0.25">
      <c r="B43" s="2" t="s">
        <v>201</v>
      </c>
      <c r="C43" s="42">
        <f>-SUMIFS(I$3:I$36,B$3:B$36,A$40,P$3:P$36,"xx",N$3:N$36,"x")</f>
        <v>-2930</v>
      </c>
      <c r="D43" s="42"/>
      <c r="E43" s="2">
        <f>SUMIFS(Q$3:Q$36,B$3:B$36,A$40,P$3:P$36,"xx",N$3:N$36,"x")</f>
        <v>3</v>
      </c>
      <c r="K43" t="s">
        <v>202</v>
      </c>
      <c r="L43">
        <f>-M43*2</f>
        <v>-54</v>
      </c>
      <c r="M43">
        <f>E44-(COUNTIFS(M$3:M$36,"*gộp*")/2)-COUNTIFS(M$3:M$36,"*đơn trả*")-COUNTIFS(M$3:M$36,"*hàng tỉnh*")</f>
        <v>27</v>
      </c>
      <c r="O43" t="s">
        <v>135</v>
      </c>
      <c r="P43">
        <f>L62</f>
        <v>2655</v>
      </c>
    </row>
    <row r="44" spans="1:17" x14ac:dyDescent="0.25">
      <c r="B44" s="4" t="s">
        <v>203</v>
      </c>
      <c r="C44" s="40">
        <f>SUBTOTAL(9,C41:C43)</f>
        <v>15470</v>
      </c>
      <c r="D44" s="40"/>
      <c r="E44">
        <f>E41</f>
        <v>31</v>
      </c>
      <c r="K44" s="2" t="s">
        <v>204</v>
      </c>
      <c r="L44" s="23">
        <v>-995</v>
      </c>
      <c r="M44" s="23" t="s">
        <v>288</v>
      </c>
      <c r="O44" t="s">
        <v>20</v>
      </c>
      <c r="P44">
        <f>L70</f>
        <v>875</v>
      </c>
    </row>
    <row r="45" spans="1:17" x14ac:dyDescent="0.25">
      <c r="B45" s="2" t="s">
        <v>205</v>
      </c>
      <c r="C45" s="38"/>
      <c r="D45" s="38"/>
      <c r="K45" s="2" t="s">
        <v>206</v>
      </c>
      <c r="O45" t="s">
        <v>207</v>
      </c>
      <c r="P45">
        <f>-C48</f>
        <v>-15470</v>
      </c>
    </row>
    <row r="46" spans="1:17" x14ac:dyDescent="0.25">
      <c r="B46" s="12" t="s">
        <v>208</v>
      </c>
      <c r="C46" s="38"/>
      <c r="D46" s="38"/>
      <c r="L46" s="13">
        <f>SUBTOTAL(9,L41:L45)</f>
        <v>-524</v>
      </c>
      <c r="M46" s="13">
        <f>M41</f>
        <v>4</v>
      </c>
      <c r="O46" s="4" t="s">
        <v>209</v>
      </c>
      <c r="P46" s="4">
        <f>SUBTOTAL(9,P41:P45)</f>
        <v>85</v>
      </c>
    </row>
    <row r="48" spans="1:17" x14ac:dyDescent="0.25">
      <c r="B48" s="1" t="s">
        <v>210</v>
      </c>
      <c r="C48" s="39">
        <f>C44+C45+C46</f>
        <v>15470</v>
      </c>
      <c r="D48" s="39"/>
      <c r="E48" s="1" t="s">
        <v>211</v>
      </c>
      <c r="K48" s="11" t="s">
        <v>1587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SUMIFS(G$3:G$36,J$3:J$36,K$48)</f>
        <v>14895</v>
      </c>
      <c r="M49">
        <f>SUMIFS(Q$3:Q$36,J$3:J$36,K$48)-INT(COUNTIFS(J$3:J$36,K$48,M$3:M$36,"*gộp*")/2)</f>
        <v>16</v>
      </c>
    </row>
    <row r="50" spans="11:13" x14ac:dyDescent="0.25">
      <c r="K50" t="s">
        <v>200</v>
      </c>
      <c r="L50">
        <f>SUM(H39:H41)</f>
        <v>-351</v>
      </c>
      <c r="M50">
        <f>SUMIFS(Q$3:Q$36,J$3:J$36,K$48)-INT(COUNTIFS(J$3:J$36,K$48,M$3:M$36,"*gộp*")/2)</f>
        <v>16</v>
      </c>
    </row>
    <row r="51" spans="11:13" x14ac:dyDescent="0.25">
      <c r="K51" t="s">
        <v>202</v>
      </c>
    </row>
    <row r="52" spans="11:13" x14ac:dyDescent="0.25">
      <c r="K52" s="2" t="s">
        <v>204</v>
      </c>
      <c r="L52" s="33">
        <f>-SUM(I34,I35,I39,I40)</f>
        <v>-1995</v>
      </c>
      <c r="M52" s="23" t="s">
        <v>1659</v>
      </c>
    </row>
    <row r="53" spans="11:13" x14ac:dyDescent="0.25">
      <c r="K53" s="2" t="s">
        <v>206</v>
      </c>
    </row>
    <row r="54" spans="11:13" x14ac:dyDescent="0.25">
      <c r="L54" s="13">
        <f>SUBTOTAL(9,L49:L53)</f>
        <v>12549</v>
      </c>
      <c r="M54" s="13">
        <f>M49</f>
        <v>16</v>
      </c>
    </row>
    <row r="56" spans="11:13" x14ac:dyDescent="0.25">
      <c r="K56" s="11" t="s">
        <v>135</v>
      </c>
      <c r="L56" s="11" t="s">
        <v>193</v>
      </c>
      <c r="M56" s="11" t="s">
        <v>192</v>
      </c>
    </row>
    <row r="57" spans="11:13" x14ac:dyDescent="0.25">
      <c r="K57" t="s">
        <v>197</v>
      </c>
      <c r="L57">
        <f>SUMIFS(G$3:G$36,J$3:J$36,K$56)</f>
        <v>2830</v>
      </c>
      <c r="M57">
        <f>SUMIFS(Q$3:Q$36,J$3:J$36,K$56)-INT(COUNTIFS(J$3:J$36,K$56,M$3:M$36,"*gộp*")/2)</f>
        <v>9</v>
      </c>
    </row>
    <row r="58" spans="11:13" x14ac:dyDescent="0.25">
      <c r="K58" t="s">
        <v>200</v>
      </c>
      <c r="L58">
        <f>-SUMIFS(H$3:H$36,J$3:J$36,K$56)+M58*5</f>
        <v>-175</v>
      </c>
      <c r="M58">
        <f>SUMIFS(Q$3:Q$36,J$3:J$36,K$56)-INT(COUNTIFS(J$3:J$36,K$56,M$3:M$36,"*gộp*")/2)</f>
        <v>9</v>
      </c>
    </row>
    <row r="59" spans="11:13" x14ac:dyDescent="0.25">
      <c r="K59" t="s">
        <v>202</v>
      </c>
    </row>
    <row r="60" spans="11:13" x14ac:dyDescent="0.25">
      <c r="K60" s="2" t="s">
        <v>204</v>
      </c>
    </row>
    <row r="61" spans="11:13" x14ac:dyDescent="0.25">
      <c r="K61" s="2" t="s">
        <v>206</v>
      </c>
    </row>
    <row r="62" spans="11:13" x14ac:dyDescent="0.25">
      <c r="L62" s="13">
        <f>SUBTOTAL(9,L57:L61)</f>
        <v>2655</v>
      </c>
      <c r="M62" s="13">
        <f>M57</f>
        <v>9</v>
      </c>
    </row>
    <row r="64" spans="11:13" x14ac:dyDescent="0.25">
      <c r="K64" s="11" t="s">
        <v>20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SUMIFS(G$3:G$36,J$3:J$36,K$64)</f>
        <v>900</v>
      </c>
      <c r="M65">
        <f>SUMIFS(Q$3:Q$36,J$3:J$36,K$64)-INT(COUNTIFS(J$3:J$36,K$64,M$3:M$36,"*gộp*")/2)</f>
        <v>1</v>
      </c>
    </row>
    <row r="66" spans="11:13" x14ac:dyDescent="0.25">
      <c r="K66" t="s">
        <v>200</v>
      </c>
      <c r="L66">
        <f>-SUMIFS(H$3:H$36,J$3:J$36,K$64)+M66*5</f>
        <v>-25</v>
      </c>
      <c r="M66">
        <f>SUMIFS(Q$3:Q$36,J$3:J$36,K$64)-INT(COUNTIFS(J$3:J$36,K$64,M$3:M$36,"*gộp*")/2)</f>
        <v>1</v>
      </c>
    </row>
    <row r="67" spans="11:13" x14ac:dyDescent="0.25">
      <c r="K67" t="s">
        <v>202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875</v>
      </c>
      <c r="M70" s="13">
        <f>M65</f>
        <v>1</v>
      </c>
    </row>
  </sheetData>
  <autoFilter ref="A2:P36" xr:uid="{00000000-0009-0000-0000-00000F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R70"/>
  <sheetViews>
    <sheetView topLeftCell="B12" workbookViewId="0">
      <selection activeCell="B12" sqref="B12 A12:XFD12"/>
    </sheetView>
  </sheetViews>
  <sheetFormatPr defaultRowHeight="15" x14ac:dyDescent="0.25"/>
  <cols>
    <col min="1" max="1" width="12.7109375" customWidth="1"/>
    <col min="2" max="2" width="17.7109375" customWidth="1"/>
    <col min="3" max="3" width="49.28515625" customWidth="1"/>
    <col min="4" max="4" width="9.85546875" customWidth="1"/>
    <col min="5" max="5" width="68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1660</v>
      </c>
      <c r="D3" s="15" t="s">
        <v>1661</v>
      </c>
      <c r="E3" s="15" t="s">
        <v>1662</v>
      </c>
      <c r="F3" s="15" t="s">
        <v>26</v>
      </c>
      <c r="G3" s="16">
        <v>850</v>
      </c>
      <c r="H3" s="16">
        <v>30</v>
      </c>
      <c r="I3" s="16">
        <f t="shared" ref="I3:I44" si="0">G3-H3</f>
        <v>820</v>
      </c>
      <c r="J3" s="15" t="s">
        <v>1663</v>
      </c>
      <c r="K3" s="15" t="s">
        <v>21</v>
      </c>
      <c r="L3" s="15" t="s">
        <v>1664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1665</v>
      </c>
      <c r="D4" s="15" t="s">
        <v>1666</v>
      </c>
      <c r="E4" s="15" t="s">
        <v>1667</v>
      </c>
      <c r="F4" s="15" t="s">
        <v>26</v>
      </c>
      <c r="G4" s="16">
        <v>470</v>
      </c>
      <c r="H4" s="16">
        <v>30</v>
      </c>
      <c r="I4" s="16">
        <f t="shared" si="0"/>
        <v>440</v>
      </c>
      <c r="J4" s="15" t="s">
        <v>1663</v>
      </c>
      <c r="K4" s="15" t="s">
        <v>21</v>
      </c>
      <c r="L4" s="15" t="s">
        <v>1664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1668</v>
      </c>
      <c r="D5" s="15" t="s">
        <v>1669</v>
      </c>
      <c r="E5" s="15" t="s">
        <v>1670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1663</v>
      </c>
      <c r="K5" s="15" t="s">
        <v>21</v>
      </c>
      <c r="L5" s="15" t="s">
        <v>1664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1671</v>
      </c>
      <c r="D6" s="15" t="s">
        <v>1672</v>
      </c>
      <c r="E6" s="15" t="s">
        <v>1673</v>
      </c>
      <c r="F6" s="16">
        <v>8</v>
      </c>
      <c r="G6" s="16">
        <v>850</v>
      </c>
      <c r="H6" s="16">
        <v>30</v>
      </c>
      <c r="I6" s="16">
        <f t="shared" si="0"/>
        <v>820</v>
      </c>
      <c r="J6" s="15" t="s">
        <v>1663</v>
      </c>
      <c r="K6" s="15" t="s">
        <v>21</v>
      </c>
      <c r="L6" s="15" t="s">
        <v>1664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837</v>
      </c>
      <c r="D7" s="15" t="s">
        <v>1674</v>
      </c>
      <c r="E7" s="15" t="s">
        <v>1521</v>
      </c>
      <c r="F7" s="15" t="s">
        <v>46</v>
      </c>
      <c r="G7" s="16">
        <v>915</v>
      </c>
      <c r="H7" s="16">
        <v>25</v>
      </c>
      <c r="I7" s="16">
        <f t="shared" si="0"/>
        <v>890</v>
      </c>
      <c r="J7" s="15" t="s">
        <v>1663</v>
      </c>
      <c r="K7" s="15" t="s">
        <v>21</v>
      </c>
      <c r="L7" s="15" t="s">
        <v>1664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1675</v>
      </c>
      <c r="D8" s="15" t="s">
        <v>1676</v>
      </c>
      <c r="E8" s="15" t="s">
        <v>1677</v>
      </c>
      <c r="F8" s="15" t="s">
        <v>46</v>
      </c>
      <c r="G8" s="16">
        <v>1855</v>
      </c>
      <c r="H8" s="16">
        <v>25</v>
      </c>
      <c r="I8" s="16">
        <f t="shared" si="0"/>
        <v>1830</v>
      </c>
      <c r="J8" s="15" t="s">
        <v>1663</v>
      </c>
      <c r="K8" s="15" t="s">
        <v>21</v>
      </c>
      <c r="L8" s="15" t="s">
        <v>1664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1678</v>
      </c>
      <c r="D9" s="15" t="s">
        <v>1679</v>
      </c>
      <c r="E9" s="15" t="s">
        <v>1680</v>
      </c>
      <c r="F9" s="15" t="s">
        <v>46</v>
      </c>
      <c r="G9" s="16">
        <v>795</v>
      </c>
      <c r="H9" s="16">
        <v>25</v>
      </c>
      <c r="I9" s="16">
        <f t="shared" si="0"/>
        <v>770</v>
      </c>
      <c r="J9" s="15" t="s">
        <v>1663</v>
      </c>
      <c r="K9" s="15" t="s">
        <v>21</v>
      </c>
      <c r="L9" s="15" t="s">
        <v>1664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1681</v>
      </c>
      <c r="D10" s="15" t="s">
        <v>1682</v>
      </c>
      <c r="E10" s="15" t="s">
        <v>1683</v>
      </c>
      <c r="F10" s="15" t="s">
        <v>26</v>
      </c>
      <c r="G10" s="16">
        <v>1120</v>
      </c>
      <c r="H10" s="16">
        <v>30</v>
      </c>
      <c r="I10" s="16">
        <f t="shared" si="0"/>
        <v>1090</v>
      </c>
      <c r="J10" s="15" t="s">
        <v>1663</v>
      </c>
      <c r="K10" s="15" t="s">
        <v>21</v>
      </c>
      <c r="L10" s="15" t="s">
        <v>1664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1684</v>
      </c>
      <c r="D11" s="15" t="s">
        <v>1685</v>
      </c>
      <c r="E11" s="15" t="s">
        <v>1686</v>
      </c>
      <c r="F11" s="15" t="s">
        <v>46</v>
      </c>
      <c r="G11" s="16">
        <v>0</v>
      </c>
      <c r="H11" s="16">
        <v>25</v>
      </c>
      <c r="I11" s="16">
        <f t="shared" si="0"/>
        <v>-25</v>
      </c>
      <c r="J11" s="15" t="s">
        <v>1663</v>
      </c>
      <c r="K11" s="15" t="s">
        <v>21</v>
      </c>
      <c r="L11" s="15" t="s">
        <v>1664</v>
      </c>
      <c r="M11" s="15"/>
      <c r="N11" s="15"/>
      <c r="O11" s="15"/>
      <c r="P11" s="15"/>
      <c r="Q11" s="15">
        <v>1</v>
      </c>
      <c r="R11" s="10">
        <f>H11</f>
        <v>25</v>
      </c>
    </row>
    <row r="12" spans="1:18" x14ac:dyDescent="0.25">
      <c r="A12" s="15"/>
      <c r="B12" s="15" t="s">
        <v>17</v>
      </c>
      <c r="C12" s="15" t="s">
        <v>1332</v>
      </c>
      <c r="D12" s="15" t="s">
        <v>1687</v>
      </c>
      <c r="E12" s="15" t="s">
        <v>1334</v>
      </c>
      <c r="F12" s="15" t="s">
        <v>1335</v>
      </c>
      <c r="G12" s="16">
        <v>775</v>
      </c>
      <c r="H12" s="16">
        <v>35</v>
      </c>
      <c r="I12" s="16">
        <f t="shared" si="0"/>
        <v>740</v>
      </c>
      <c r="J12" s="15" t="s">
        <v>1663</v>
      </c>
      <c r="K12" s="15" t="s">
        <v>21</v>
      </c>
      <c r="L12" s="15" t="s">
        <v>1664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1256</v>
      </c>
      <c r="D13" s="15" t="s">
        <v>1688</v>
      </c>
      <c r="E13" s="15" t="s">
        <v>1258</v>
      </c>
      <c r="F13" s="15" t="s">
        <v>26</v>
      </c>
      <c r="G13" s="16">
        <v>710</v>
      </c>
      <c r="H13" s="16">
        <v>30</v>
      </c>
      <c r="I13" s="16">
        <f t="shared" si="0"/>
        <v>680</v>
      </c>
      <c r="J13" s="15" t="s">
        <v>1663</v>
      </c>
      <c r="K13" s="15" t="s">
        <v>21</v>
      </c>
      <c r="L13" s="15" t="s">
        <v>1664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1689</v>
      </c>
      <c r="D14" s="15" t="s">
        <v>1690</v>
      </c>
      <c r="E14" s="15" t="s">
        <v>1691</v>
      </c>
      <c r="F14" s="16">
        <v>7</v>
      </c>
      <c r="G14" s="16">
        <v>520</v>
      </c>
      <c r="H14" s="16">
        <v>30</v>
      </c>
      <c r="I14" s="16">
        <f t="shared" si="0"/>
        <v>490</v>
      </c>
      <c r="J14" s="15" t="s">
        <v>1663</v>
      </c>
      <c r="K14" s="15" t="s">
        <v>21</v>
      </c>
      <c r="L14" s="15" t="s">
        <v>1664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1692</v>
      </c>
      <c r="D15" s="15" t="s">
        <v>1693</v>
      </c>
      <c r="E15" s="15" t="s">
        <v>1694</v>
      </c>
      <c r="F15" s="16">
        <v>8</v>
      </c>
      <c r="G15" s="16">
        <v>0</v>
      </c>
      <c r="H15" s="16">
        <v>30</v>
      </c>
      <c r="I15" s="16">
        <f t="shared" si="0"/>
        <v>-30</v>
      </c>
      <c r="J15" s="15" t="s">
        <v>1663</v>
      </c>
      <c r="K15" s="15" t="s">
        <v>21</v>
      </c>
      <c r="L15" s="15" t="s">
        <v>1664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/>
      <c r="B16" s="15" t="s">
        <v>17</v>
      </c>
      <c r="C16" s="15" t="s">
        <v>1695</v>
      </c>
      <c r="D16" s="15" t="s">
        <v>1696</v>
      </c>
      <c r="E16" s="15" t="s">
        <v>1697</v>
      </c>
      <c r="F16" s="16">
        <v>5</v>
      </c>
      <c r="G16" s="16">
        <v>0</v>
      </c>
      <c r="H16" s="16">
        <v>25</v>
      </c>
      <c r="I16" s="16">
        <f t="shared" si="0"/>
        <v>-25</v>
      </c>
      <c r="J16" s="15" t="s">
        <v>1663</v>
      </c>
      <c r="K16" s="15" t="s">
        <v>21</v>
      </c>
      <c r="L16" s="15" t="s">
        <v>1664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1698</v>
      </c>
      <c r="D17" s="15" t="s">
        <v>1699</v>
      </c>
      <c r="E17" s="15" t="s">
        <v>1700</v>
      </c>
      <c r="F17" s="16">
        <v>9</v>
      </c>
      <c r="G17" s="16">
        <v>520</v>
      </c>
      <c r="H17" s="16">
        <v>30</v>
      </c>
      <c r="I17" s="16">
        <f t="shared" si="0"/>
        <v>490</v>
      </c>
      <c r="J17" s="15" t="s">
        <v>1663</v>
      </c>
      <c r="K17" s="15" t="s">
        <v>21</v>
      </c>
      <c r="L17" s="15" t="s">
        <v>1664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1256</v>
      </c>
      <c r="D18" s="15" t="s">
        <v>1701</v>
      </c>
      <c r="E18" s="15" t="s">
        <v>1702</v>
      </c>
      <c r="F18" s="16">
        <v>7</v>
      </c>
      <c r="G18" s="16">
        <v>990</v>
      </c>
      <c r="H18" s="16">
        <v>30</v>
      </c>
      <c r="I18" s="16">
        <f t="shared" si="0"/>
        <v>960</v>
      </c>
      <c r="J18" s="15" t="s">
        <v>1663</v>
      </c>
      <c r="K18" s="15" t="s">
        <v>21</v>
      </c>
      <c r="L18" s="15" t="s">
        <v>1664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1703</v>
      </c>
      <c r="D19" s="15" t="s">
        <v>1704</v>
      </c>
      <c r="E19" s="15" t="s">
        <v>1705</v>
      </c>
      <c r="F19" s="16">
        <v>8</v>
      </c>
      <c r="G19" s="16">
        <v>1020</v>
      </c>
      <c r="H19" s="16">
        <v>30</v>
      </c>
      <c r="I19" s="16">
        <f t="shared" si="0"/>
        <v>990</v>
      </c>
      <c r="J19" s="15" t="s">
        <v>1663</v>
      </c>
      <c r="K19" s="15" t="s">
        <v>21</v>
      </c>
      <c r="L19" s="15" t="s">
        <v>1664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1706</v>
      </c>
      <c r="D20" s="15" t="s">
        <v>1707</v>
      </c>
      <c r="E20" s="15" t="s">
        <v>1708</v>
      </c>
      <c r="F20" s="15" t="s">
        <v>26</v>
      </c>
      <c r="G20" s="16">
        <v>860</v>
      </c>
      <c r="H20" s="16">
        <v>30</v>
      </c>
      <c r="I20" s="16">
        <f t="shared" si="0"/>
        <v>830</v>
      </c>
      <c r="J20" s="15" t="s">
        <v>1663</v>
      </c>
      <c r="K20" s="15" t="s">
        <v>21</v>
      </c>
      <c r="L20" s="15" t="s">
        <v>1664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16</v>
      </c>
      <c r="B21" s="15" t="s">
        <v>17</v>
      </c>
      <c r="C21" s="15" t="s">
        <v>189</v>
      </c>
      <c r="D21" s="15"/>
      <c r="E21" s="15" t="s">
        <v>869</v>
      </c>
      <c r="F21" s="16">
        <v>5</v>
      </c>
      <c r="G21" s="16">
        <v>30</v>
      </c>
      <c r="H21" s="16">
        <v>30</v>
      </c>
      <c r="I21" s="16">
        <f t="shared" si="0"/>
        <v>0</v>
      </c>
      <c r="J21" s="15" t="s">
        <v>1663</v>
      </c>
      <c r="K21" s="15" t="s">
        <v>21</v>
      </c>
      <c r="L21" s="15" t="s">
        <v>1664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1709</v>
      </c>
      <c r="D22" s="15" t="s">
        <v>1710</v>
      </c>
      <c r="E22" s="15" t="s">
        <v>1711</v>
      </c>
      <c r="F22" s="15" t="s">
        <v>81</v>
      </c>
      <c r="G22" s="16">
        <v>1500</v>
      </c>
      <c r="H22" s="16">
        <v>30</v>
      </c>
      <c r="I22" s="16">
        <f t="shared" si="0"/>
        <v>1470</v>
      </c>
      <c r="J22" s="15" t="s">
        <v>21</v>
      </c>
      <c r="K22" s="15" t="s">
        <v>21</v>
      </c>
      <c r="L22" s="15" t="s">
        <v>1664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1712</v>
      </c>
      <c r="D23" s="15" t="s">
        <v>1713</v>
      </c>
      <c r="E23" s="15" t="s">
        <v>1714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21</v>
      </c>
      <c r="K23" s="15" t="s">
        <v>21</v>
      </c>
      <c r="L23" s="15" t="s">
        <v>1664</v>
      </c>
      <c r="M23" s="15"/>
      <c r="N23" s="15"/>
      <c r="O23" s="15"/>
      <c r="P23" s="15"/>
      <c r="Q23" s="15">
        <v>1</v>
      </c>
      <c r="R23" s="10">
        <f>H23</f>
        <v>30</v>
      </c>
    </row>
    <row r="24" spans="1:18" x14ac:dyDescent="0.25">
      <c r="A24" s="15"/>
      <c r="B24" s="15" t="s">
        <v>17</v>
      </c>
      <c r="C24" s="15" t="s">
        <v>1006</v>
      </c>
      <c r="D24" s="15" t="s">
        <v>1715</v>
      </c>
      <c r="E24" s="15" t="s">
        <v>1008</v>
      </c>
      <c r="F24" s="16">
        <v>2</v>
      </c>
      <c r="G24" s="16">
        <v>720</v>
      </c>
      <c r="H24" s="16">
        <v>30</v>
      </c>
      <c r="I24" s="16">
        <f t="shared" si="0"/>
        <v>690</v>
      </c>
      <c r="J24" s="15" t="s">
        <v>21</v>
      </c>
      <c r="K24" s="15" t="s">
        <v>21</v>
      </c>
      <c r="L24" s="15" t="s">
        <v>1664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1716</v>
      </c>
      <c r="D25" s="15" t="s">
        <v>1717</v>
      </c>
      <c r="E25" s="15" t="s">
        <v>1718</v>
      </c>
      <c r="F25" s="15" t="s">
        <v>85</v>
      </c>
      <c r="G25" s="16">
        <v>510</v>
      </c>
      <c r="H25" s="16">
        <v>20</v>
      </c>
      <c r="I25" s="16">
        <f t="shared" si="0"/>
        <v>490</v>
      </c>
      <c r="J25" s="15" t="s">
        <v>21</v>
      </c>
      <c r="K25" s="15" t="s">
        <v>21</v>
      </c>
      <c r="L25" s="15" t="s">
        <v>1664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1719</v>
      </c>
      <c r="D26" s="15" t="s">
        <v>1720</v>
      </c>
      <c r="E26" s="15" t="s">
        <v>1721</v>
      </c>
      <c r="F26" s="15" t="s">
        <v>77</v>
      </c>
      <c r="G26" s="16">
        <v>0</v>
      </c>
      <c r="H26" s="16">
        <v>25</v>
      </c>
      <c r="I26" s="16">
        <f t="shared" si="0"/>
        <v>-25</v>
      </c>
      <c r="J26" s="15" t="s">
        <v>21</v>
      </c>
      <c r="K26" s="15" t="s">
        <v>21</v>
      </c>
      <c r="L26" s="15" t="s">
        <v>1664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1722</v>
      </c>
      <c r="D27" s="15" t="s">
        <v>1723</v>
      </c>
      <c r="E27" s="15" t="s">
        <v>1724</v>
      </c>
      <c r="F27" s="16">
        <v>2</v>
      </c>
      <c r="G27" s="16">
        <v>850</v>
      </c>
      <c r="H27" s="16">
        <v>30</v>
      </c>
      <c r="I27" s="16">
        <f t="shared" si="0"/>
        <v>820</v>
      </c>
      <c r="J27" s="15" t="s">
        <v>21</v>
      </c>
      <c r="K27" s="15" t="s">
        <v>21</v>
      </c>
      <c r="L27" s="15" t="s">
        <v>1664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111</v>
      </c>
      <c r="D28" s="15" t="s">
        <v>1725</v>
      </c>
      <c r="E28" s="15" t="s">
        <v>1726</v>
      </c>
      <c r="F28" s="15" t="s">
        <v>81</v>
      </c>
      <c r="G28" s="16">
        <v>520</v>
      </c>
      <c r="H28" s="16">
        <v>30</v>
      </c>
      <c r="I28" s="16">
        <f t="shared" si="0"/>
        <v>490</v>
      </c>
      <c r="J28" s="15" t="s">
        <v>21</v>
      </c>
      <c r="K28" s="15" t="s">
        <v>21</v>
      </c>
      <c r="L28" s="15" t="s">
        <v>1664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1727</v>
      </c>
      <c r="D29" s="15" t="s">
        <v>1728</v>
      </c>
      <c r="E29" s="15" t="s">
        <v>1729</v>
      </c>
      <c r="F29" s="15" t="s">
        <v>85</v>
      </c>
      <c r="G29" s="16">
        <v>800</v>
      </c>
      <c r="H29" s="16">
        <v>20</v>
      </c>
      <c r="I29" s="16">
        <f t="shared" si="0"/>
        <v>780</v>
      </c>
      <c r="J29" s="15" t="s">
        <v>21</v>
      </c>
      <c r="K29" s="15" t="s">
        <v>21</v>
      </c>
      <c r="L29" s="15" t="s">
        <v>1664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1730</v>
      </c>
      <c r="D30" s="15" t="s">
        <v>1731</v>
      </c>
      <c r="E30" s="15" t="s">
        <v>685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21</v>
      </c>
      <c r="K30" s="15" t="s">
        <v>21</v>
      </c>
      <c r="L30" s="15" t="s">
        <v>1664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1732</v>
      </c>
      <c r="D31" s="15" t="s">
        <v>1733</v>
      </c>
      <c r="E31" s="15" t="s">
        <v>1734</v>
      </c>
      <c r="F31" s="15" t="s">
        <v>85</v>
      </c>
      <c r="G31" s="16">
        <v>850</v>
      </c>
      <c r="H31" s="16">
        <v>20</v>
      </c>
      <c r="I31" s="16">
        <f t="shared" si="0"/>
        <v>830</v>
      </c>
      <c r="J31" s="15" t="s">
        <v>21</v>
      </c>
      <c r="K31" s="15" t="s">
        <v>21</v>
      </c>
      <c r="L31" s="15" t="s">
        <v>1664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1735</v>
      </c>
      <c r="D32" s="15" t="s">
        <v>1736</v>
      </c>
      <c r="E32" s="15" t="s">
        <v>1737</v>
      </c>
      <c r="F32" s="15" t="s">
        <v>95</v>
      </c>
      <c r="G32" s="16">
        <v>0</v>
      </c>
      <c r="H32" s="16">
        <v>25</v>
      </c>
      <c r="I32" s="16">
        <f t="shared" si="0"/>
        <v>-25</v>
      </c>
      <c r="J32" s="15" t="s">
        <v>21</v>
      </c>
      <c r="K32" s="15" t="s">
        <v>21</v>
      </c>
      <c r="L32" s="15" t="s">
        <v>1664</v>
      </c>
      <c r="M32" s="15"/>
      <c r="N32" s="15"/>
      <c r="O32" s="15"/>
      <c r="P32" s="15"/>
      <c r="Q32" s="15">
        <v>1</v>
      </c>
      <c r="R32" s="10">
        <f>H32</f>
        <v>25</v>
      </c>
    </row>
    <row r="33" spans="1:18" x14ac:dyDescent="0.25">
      <c r="A33" s="15" t="s">
        <v>16</v>
      </c>
      <c r="B33" s="15" t="s">
        <v>17</v>
      </c>
      <c r="C33" s="15" t="s">
        <v>254</v>
      </c>
      <c r="D33" s="15"/>
      <c r="E33" s="15" t="s">
        <v>255</v>
      </c>
      <c r="F33" s="15" t="s">
        <v>77</v>
      </c>
      <c r="G33" s="16">
        <v>0</v>
      </c>
      <c r="H33" s="16">
        <v>40</v>
      </c>
      <c r="I33" s="16">
        <f t="shared" si="0"/>
        <v>-40</v>
      </c>
      <c r="J33" s="15" t="s">
        <v>21</v>
      </c>
      <c r="K33" s="15" t="s">
        <v>21</v>
      </c>
      <c r="L33" s="15" t="s">
        <v>1664</v>
      </c>
      <c r="M33" s="15"/>
      <c r="N33" s="15"/>
      <c r="O33" s="15"/>
      <c r="P33" s="15"/>
      <c r="Q33" s="15">
        <v>1</v>
      </c>
      <c r="R33" s="10">
        <f>H33</f>
        <v>40</v>
      </c>
    </row>
    <row r="34" spans="1:18" x14ac:dyDescent="0.25">
      <c r="A34" s="15" t="s">
        <v>16</v>
      </c>
      <c r="B34" s="15" t="s">
        <v>17</v>
      </c>
      <c r="C34" s="15" t="s">
        <v>1738</v>
      </c>
      <c r="D34" s="15"/>
      <c r="E34" s="15" t="s">
        <v>1739</v>
      </c>
      <c r="F34" s="15" t="s">
        <v>81</v>
      </c>
      <c r="G34" s="16">
        <v>0</v>
      </c>
      <c r="H34" s="16">
        <v>30</v>
      </c>
      <c r="I34" s="16">
        <f t="shared" si="0"/>
        <v>-30</v>
      </c>
      <c r="J34" s="15" t="s">
        <v>21</v>
      </c>
      <c r="K34" s="15" t="s">
        <v>21</v>
      </c>
      <c r="L34" s="15" t="s">
        <v>1664</v>
      </c>
      <c r="M34" s="15"/>
      <c r="N34" s="15"/>
      <c r="O34" s="15"/>
      <c r="P34" s="15"/>
      <c r="Q34" s="15">
        <v>1</v>
      </c>
      <c r="R34" s="10">
        <f>H34</f>
        <v>30</v>
      </c>
    </row>
    <row r="35" spans="1:18" x14ac:dyDescent="0.25">
      <c r="A35" s="15"/>
      <c r="B35" s="15" t="s">
        <v>17</v>
      </c>
      <c r="C35" s="15" t="s">
        <v>1740</v>
      </c>
      <c r="D35" s="15" t="s">
        <v>1741</v>
      </c>
      <c r="E35" s="15" t="s">
        <v>1742</v>
      </c>
      <c r="F35" s="15" t="s">
        <v>95</v>
      </c>
      <c r="G35" s="16">
        <v>4400</v>
      </c>
      <c r="H35" s="16">
        <v>35</v>
      </c>
      <c r="I35" s="16">
        <f t="shared" si="0"/>
        <v>4365</v>
      </c>
      <c r="J35" s="15" t="s">
        <v>135</v>
      </c>
      <c r="K35" s="15" t="s">
        <v>21</v>
      </c>
      <c r="L35" s="15" t="s">
        <v>1664</v>
      </c>
      <c r="M35" s="20" t="s">
        <v>167</v>
      </c>
      <c r="N35" s="15"/>
      <c r="O35" s="15"/>
      <c r="P35" s="15"/>
      <c r="Q35" s="15">
        <v>1</v>
      </c>
      <c r="R35" s="10">
        <f>H35</f>
        <v>35</v>
      </c>
    </row>
    <row r="36" spans="1:18" x14ac:dyDescent="0.25">
      <c r="A36" s="15"/>
      <c r="B36" s="15" t="s">
        <v>17</v>
      </c>
      <c r="C36" s="15" t="s">
        <v>1743</v>
      </c>
      <c r="D36" s="15" t="s">
        <v>1744</v>
      </c>
      <c r="E36" s="15" t="s">
        <v>1745</v>
      </c>
      <c r="F36" s="16">
        <v>10</v>
      </c>
      <c r="G36" s="16">
        <v>515</v>
      </c>
      <c r="H36" s="16">
        <v>25</v>
      </c>
      <c r="I36" s="16">
        <f t="shared" si="0"/>
        <v>490</v>
      </c>
      <c r="J36" s="15" t="s">
        <v>135</v>
      </c>
      <c r="K36" s="15" t="s">
        <v>21</v>
      </c>
      <c r="L36" s="15" t="s">
        <v>1664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1746</v>
      </c>
      <c r="D37" s="15" t="s">
        <v>1747</v>
      </c>
      <c r="E37" s="15" t="s">
        <v>1748</v>
      </c>
      <c r="F37" s="16">
        <v>5</v>
      </c>
      <c r="G37" s="16">
        <v>895</v>
      </c>
      <c r="H37" s="16">
        <v>25</v>
      </c>
      <c r="I37" s="16">
        <f t="shared" si="0"/>
        <v>870</v>
      </c>
      <c r="J37" s="15" t="s">
        <v>135</v>
      </c>
      <c r="K37" s="15" t="s">
        <v>21</v>
      </c>
      <c r="L37" s="15" t="s">
        <v>1664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1277</v>
      </c>
      <c r="D38" s="15" t="s">
        <v>1749</v>
      </c>
      <c r="E38" s="15" t="s">
        <v>1279</v>
      </c>
      <c r="F38" s="15" t="s">
        <v>406</v>
      </c>
      <c r="G38" s="16">
        <v>710</v>
      </c>
      <c r="H38" s="16">
        <v>20</v>
      </c>
      <c r="I38" s="16">
        <f t="shared" si="0"/>
        <v>690</v>
      </c>
      <c r="J38" s="15" t="s">
        <v>135</v>
      </c>
      <c r="K38" s="15" t="s">
        <v>21</v>
      </c>
      <c r="L38" s="15" t="s">
        <v>1664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1750</v>
      </c>
      <c r="D39" s="15" t="s">
        <v>1751</v>
      </c>
      <c r="E39" s="15" t="s">
        <v>1752</v>
      </c>
      <c r="F39" s="16">
        <v>3</v>
      </c>
      <c r="G39" s="16">
        <v>515</v>
      </c>
      <c r="H39" s="16">
        <v>25</v>
      </c>
      <c r="I39" s="16">
        <f t="shared" si="0"/>
        <v>490</v>
      </c>
      <c r="J39" s="15" t="s">
        <v>135</v>
      </c>
      <c r="K39" s="15" t="s">
        <v>21</v>
      </c>
      <c r="L39" s="15" t="s">
        <v>1664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1753</v>
      </c>
      <c r="D40" s="15" t="s">
        <v>1754</v>
      </c>
      <c r="E40" s="15" t="s">
        <v>1755</v>
      </c>
      <c r="F40" s="16">
        <v>1</v>
      </c>
      <c r="G40" s="16">
        <v>0</v>
      </c>
      <c r="H40" s="16">
        <v>25</v>
      </c>
      <c r="I40" s="16">
        <f t="shared" si="0"/>
        <v>-25</v>
      </c>
      <c r="J40" s="15" t="s">
        <v>135</v>
      </c>
      <c r="K40" s="15" t="s">
        <v>21</v>
      </c>
      <c r="L40" s="15" t="s">
        <v>1664</v>
      </c>
      <c r="M40" s="15"/>
      <c r="N40" s="15"/>
      <c r="O40" s="15"/>
      <c r="P40" s="15"/>
      <c r="Q40" s="15">
        <v>1</v>
      </c>
      <c r="R40" s="10">
        <f>H40</f>
        <v>25</v>
      </c>
    </row>
    <row r="41" spans="1:18" x14ac:dyDescent="0.25">
      <c r="A41" s="15"/>
      <c r="B41" s="15" t="s">
        <v>17</v>
      </c>
      <c r="C41" s="15" t="s">
        <v>1756</v>
      </c>
      <c r="D41" s="15" t="s">
        <v>1757</v>
      </c>
      <c r="E41" s="15" t="s">
        <v>1758</v>
      </c>
      <c r="F41" s="16">
        <v>1</v>
      </c>
      <c r="G41" s="16">
        <v>915</v>
      </c>
      <c r="H41" s="16">
        <v>25</v>
      </c>
      <c r="I41" s="16">
        <f t="shared" si="0"/>
        <v>890</v>
      </c>
      <c r="J41" s="15" t="s">
        <v>135</v>
      </c>
      <c r="K41" s="15" t="s">
        <v>21</v>
      </c>
      <c r="L41" s="15" t="s">
        <v>1664</v>
      </c>
      <c r="M41" s="15"/>
      <c r="N41" s="15"/>
      <c r="O41" s="15"/>
      <c r="P41" s="15"/>
      <c r="Q41" s="15">
        <v>1</v>
      </c>
    </row>
    <row r="42" spans="1:18" x14ac:dyDescent="0.25">
      <c r="A42" s="15" t="s">
        <v>16</v>
      </c>
      <c r="B42" s="15" t="s">
        <v>17</v>
      </c>
      <c r="C42" s="15" t="s">
        <v>1759</v>
      </c>
      <c r="D42" s="15"/>
      <c r="E42" s="15" t="s">
        <v>1760</v>
      </c>
      <c r="F42" s="16">
        <v>5</v>
      </c>
      <c r="G42" s="16">
        <v>30</v>
      </c>
      <c r="H42" s="16">
        <v>30</v>
      </c>
      <c r="I42" s="16">
        <f t="shared" si="0"/>
        <v>0</v>
      </c>
      <c r="J42" s="15" t="s">
        <v>135</v>
      </c>
      <c r="K42" s="15" t="s">
        <v>21</v>
      </c>
      <c r="L42" s="15" t="s">
        <v>1664</v>
      </c>
      <c r="M42" s="15"/>
      <c r="N42" s="15"/>
      <c r="O42" s="15"/>
      <c r="P42" s="15"/>
      <c r="Q42" s="15">
        <v>1</v>
      </c>
    </row>
    <row r="43" spans="1:18" s="2" customFormat="1" x14ac:dyDescent="0.25">
      <c r="A43" s="21"/>
      <c r="B43" s="21" t="s">
        <v>17</v>
      </c>
      <c r="C43" s="21" t="s">
        <v>1140</v>
      </c>
      <c r="D43" s="21" t="s">
        <v>1761</v>
      </c>
      <c r="E43" s="21" t="s">
        <v>1142</v>
      </c>
      <c r="F43" s="22">
        <v>7</v>
      </c>
      <c r="G43" s="22">
        <v>810</v>
      </c>
      <c r="H43" s="22">
        <v>30</v>
      </c>
      <c r="I43" s="22">
        <f t="shared" si="0"/>
        <v>780</v>
      </c>
      <c r="J43" s="21" t="s">
        <v>271</v>
      </c>
      <c r="K43" s="21" t="s">
        <v>21</v>
      </c>
      <c r="L43" s="21" t="s">
        <v>1135</v>
      </c>
      <c r="M43" s="21" t="s">
        <v>204</v>
      </c>
      <c r="N43" s="21" t="s">
        <v>272</v>
      </c>
      <c r="O43" s="21" t="s">
        <v>272</v>
      </c>
      <c r="P43" s="21" t="s">
        <v>273</v>
      </c>
      <c r="Q43" s="22">
        <v>1</v>
      </c>
    </row>
    <row r="44" spans="1:18" s="2" customFormat="1" x14ac:dyDescent="0.25">
      <c r="A44" s="21"/>
      <c r="B44" s="21" t="s">
        <v>17</v>
      </c>
      <c r="C44" s="21" t="s">
        <v>1603</v>
      </c>
      <c r="D44" s="21" t="s">
        <v>1604</v>
      </c>
      <c r="E44" s="21" t="s">
        <v>1605</v>
      </c>
      <c r="F44" s="22" t="s">
        <v>46</v>
      </c>
      <c r="G44" s="22">
        <v>375</v>
      </c>
      <c r="H44" s="22">
        <v>0</v>
      </c>
      <c r="I44" s="22">
        <f t="shared" si="0"/>
        <v>375</v>
      </c>
      <c r="J44" s="21" t="s">
        <v>1587</v>
      </c>
      <c r="K44" s="21" t="s">
        <v>21</v>
      </c>
      <c r="L44" s="21" t="s">
        <v>1584</v>
      </c>
      <c r="M44" s="21" t="s">
        <v>206</v>
      </c>
      <c r="N44" s="21" t="s">
        <v>272</v>
      </c>
      <c r="O44" s="21" t="s">
        <v>272</v>
      </c>
      <c r="P44" s="21" t="s">
        <v>273</v>
      </c>
      <c r="Q44" s="22">
        <v>1</v>
      </c>
    </row>
    <row r="46" spans="1:18" x14ac:dyDescent="0.25">
      <c r="D46" s="1">
        <f>COUNTA(D3:D44)</f>
        <v>38</v>
      </c>
      <c r="G46" s="1">
        <f t="shared" ref="G46:Q46" si="1">SUBTOTAL(9,G3:G44)</f>
        <v>27195</v>
      </c>
      <c r="H46" s="1">
        <f t="shared" si="1"/>
        <v>1140</v>
      </c>
      <c r="I46" s="1">
        <f t="shared" si="1"/>
        <v>26055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8" x14ac:dyDescent="0.25">
      <c r="H47">
        <f>-12*17</f>
        <v>-204</v>
      </c>
      <c r="I47">
        <v>17</v>
      </c>
    </row>
    <row r="48" spans="1:18" x14ac:dyDescent="0.25">
      <c r="A48" s="1" t="s">
        <v>17</v>
      </c>
      <c r="C48" s="40" t="s">
        <v>191</v>
      </c>
      <c r="D48" s="40"/>
      <c r="E48" s="4" t="s">
        <v>192</v>
      </c>
      <c r="H48">
        <f>-6*25</f>
        <v>-150</v>
      </c>
      <c r="K48" s="11" t="s">
        <v>1663</v>
      </c>
      <c r="L48" s="11" t="s">
        <v>193</v>
      </c>
      <c r="M48" s="11" t="s">
        <v>192</v>
      </c>
      <c r="O48" s="4" t="s">
        <v>194</v>
      </c>
    </row>
    <row r="49" spans="1:16" x14ac:dyDescent="0.25">
      <c r="A49" t="s">
        <v>1664</v>
      </c>
      <c r="B49" s="3" t="s">
        <v>195</v>
      </c>
      <c r="C49" s="41">
        <f>SUMIFS(I$3:I$44,B$3:B$44,A$48,L$3:L$44,A$49)</f>
        <v>24900</v>
      </c>
      <c r="D49" s="41"/>
      <c r="E49" s="3">
        <f>SUMIFS(Q$3:Q$44,B$3:B$44,A$48,L$3:L$44,A$49)</f>
        <v>40</v>
      </c>
      <c r="F49" t="s">
        <v>196</v>
      </c>
      <c r="H49">
        <f>-1*30</f>
        <v>-30</v>
      </c>
      <c r="K49" t="s">
        <v>197</v>
      </c>
      <c r="L49">
        <f>SUMIFS(G$3:G$44,J$3:J$44,K$48)</f>
        <v>12280</v>
      </c>
      <c r="M49">
        <f>SUMIFS(Q$3:Q$44,J$3:J$44,K$48)-INT(COUNTIFS(J$3:J$44,K$48,M$3:M$44,"*gộp*")/2)</f>
        <v>19</v>
      </c>
      <c r="O49" t="s">
        <v>1762</v>
      </c>
      <c r="P49">
        <f>L54</f>
        <v>10724</v>
      </c>
    </row>
    <row r="50" spans="1:16" x14ac:dyDescent="0.25">
      <c r="B50" s="2" t="s">
        <v>199</v>
      </c>
      <c r="C50" s="42">
        <v>0</v>
      </c>
      <c r="D50" s="42"/>
      <c r="K50" t="s">
        <v>200</v>
      </c>
      <c r="L50">
        <f>SUM(H47:H49)</f>
        <v>-384</v>
      </c>
      <c r="M50">
        <f>SUMIFS(Q$3:Q$44,J$3:J$44,K$48)-INT(COUNTIFS(J$3:J$44,K$48,M$3:M$44,"*gộp*")/2)</f>
        <v>19</v>
      </c>
      <c r="O50" t="s">
        <v>21</v>
      </c>
      <c r="P50">
        <f>L62</f>
        <v>5382</v>
      </c>
    </row>
    <row r="51" spans="1:16" x14ac:dyDescent="0.25">
      <c r="B51" s="2" t="s">
        <v>201</v>
      </c>
      <c r="C51" s="42">
        <f>-SUMIFS(I$3:I$44,B$3:B$44,A$48,P$3:P$44,"xx",N$3:N$44,"x")</f>
        <v>-1155</v>
      </c>
      <c r="D51" s="42"/>
      <c r="E51" s="2">
        <f>SUMIFS(Q$3:Q$44,B$3:B$44,A$48,P$3:P$44,"xx",N$3:N$44,"x")</f>
        <v>2</v>
      </c>
      <c r="K51" t="s">
        <v>202</v>
      </c>
      <c r="O51" t="s">
        <v>135</v>
      </c>
      <c r="P51">
        <f>L70</f>
        <v>7810</v>
      </c>
    </row>
    <row r="52" spans="1:16" x14ac:dyDescent="0.25">
      <c r="B52" s="4" t="s">
        <v>203</v>
      </c>
      <c r="C52" s="40">
        <f>SUBTOTAL(9,C49:C51)</f>
        <v>23745</v>
      </c>
      <c r="D52" s="40"/>
      <c r="E52">
        <f>E49</f>
        <v>40</v>
      </c>
      <c r="K52" s="2" t="s">
        <v>204</v>
      </c>
      <c r="L52" s="23">
        <v>-797</v>
      </c>
      <c r="M52" s="23" t="s">
        <v>288</v>
      </c>
      <c r="O52" t="s">
        <v>207</v>
      </c>
      <c r="P52">
        <f>-C56</f>
        <v>-23745</v>
      </c>
    </row>
    <row r="53" spans="1:16" x14ac:dyDescent="0.25">
      <c r="B53" s="2" t="s">
        <v>205</v>
      </c>
      <c r="C53" s="38"/>
      <c r="D53" s="38"/>
      <c r="K53" s="2" t="s">
        <v>206</v>
      </c>
      <c r="L53" s="23">
        <v>-375</v>
      </c>
      <c r="M53" s="23" t="s">
        <v>288</v>
      </c>
      <c r="O53" s="4" t="s">
        <v>209</v>
      </c>
      <c r="P53" s="4">
        <f>SUBTOTAL(9,P49:P52)</f>
        <v>171</v>
      </c>
    </row>
    <row r="54" spans="1:16" x14ac:dyDescent="0.25">
      <c r="B54" s="12" t="s">
        <v>208</v>
      </c>
      <c r="C54" s="38"/>
      <c r="D54" s="38"/>
      <c r="L54" s="13">
        <f>SUBTOTAL(9,L49:L53)</f>
        <v>10724</v>
      </c>
      <c r="M54" s="13">
        <f>M49</f>
        <v>19</v>
      </c>
    </row>
    <row r="56" spans="1:16" x14ac:dyDescent="0.25">
      <c r="B56" s="1" t="s">
        <v>210</v>
      </c>
      <c r="C56" s="39">
        <f>C52+C53+C54</f>
        <v>23745</v>
      </c>
      <c r="D56" s="39"/>
      <c r="E56" s="1" t="s">
        <v>211</v>
      </c>
      <c r="K56" s="11" t="s">
        <v>21</v>
      </c>
      <c r="L56" s="11" t="s">
        <v>193</v>
      </c>
      <c r="M56" s="11" t="s">
        <v>192</v>
      </c>
    </row>
    <row r="57" spans="1:16" x14ac:dyDescent="0.25">
      <c r="K57" t="s">
        <v>197</v>
      </c>
      <c r="L57">
        <f>SUMIFS(G$3:G$44,J$3:J$44,K$56)</f>
        <v>5750</v>
      </c>
      <c r="M57">
        <f>SUMIFS(Q$3:Q$44,J$3:J$44,K$56)-INT(COUNTIFS(J$3:J$44,K$56,M$3:M$44,"*gộp*")/2)</f>
        <v>13</v>
      </c>
    </row>
    <row r="58" spans="1:16" x14ac:dyDescent="0.25">
      <c r="K58" t="s">
        <v>200</v>
      </c>
      <c r="L58">
        <f>-SUMIFS(H$3:H$44,J$3:J$44,K$56)+M58*5</f>
        <v>-290</v>
      </c>
      <c r="M58">
        <f>SUMIFS(Q$3:Q$44,J$3:J$44,K$56)-INT(COUNTIFS(J$3:J$44,K$56,M$3:M$44,"*gộp*")/2)</f>
        <v>13</v>
      </c>
    </row>
    <row r="59" spans="1:16" x14ac:dyDescent="0.25">
      <c r="K59" t="s">
        <v>202</v>
      </c>
      <c r="L59">
        <f>-M59*2</f>
        <v>-78</v>
      </c>
      <c r="M59">
        <f>E52-(COUNTIFS(M$3:M$44,"*gộp*")/2)-COUNTIFS(M$3:M$44,"*đơn trả*")-COUNTIFS(M$3:M$44,"*hàng tỉnh*")</f>
        <v>39</v>
      </c>
    </row>
    <row r="60" spans="1:16" x14ac:dyDescent="0.25">
      <c r="K60" s="2" t="s">
        <v>204</v>
      </c>
    </row>
    <row r="61" spans="1:16" x14ac:dyDescent="0.25">
      <c r="K61" s="2" t="s">
        <v>206</v>
      </c>
    </row>
    <row r="62" spans="1:16" x14ac:dyDescent="0.25">
      <c r="L62" s="13">
        <f>SUBTOTAL(9,L57:L61)</f>
        <v>5382</v>
      </c>
      <c r="M62" s="13">
        <f>M57</f>
        <v>13</v>
      </c>
    </row>
    <row r="64" spans="1:16" x14ac:dyDescent="0.25">
      <c r="K64" s="11" t="s">
        <v>135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SUMIFS(G$3:G$44,J$3:J$44,K$64)</f>
        <v>7980</v>
      </c>
      <c r="M65">
        <f>SUMIFS(Q$3:Q$44,J$3:J$44,K$64)-INT(COUNTIFS(J$3:J$44,K$64,M$3:M$44,"*gộp*")/2)</f>
        <v>8</v>
      </c>
    </row>
    <row r="66" spans="11:13" x14ac:dyDescent="0.25">
      <c r="K66" t="s">
        <v>200</v>
      </c>
      <c r="L66">
        <f>-SUMIFS(H$3:H$44,J$3:J$44,K$64)+M66*5</f>
        <v>-170</v>
      </c>
      <c r="M66">
        <f>SUMIFS(Q$3:Q$44,J$3:J$44,K$64)-INT(COUNTIFS(J$3:J$44,K$64,M$3:M$44,"*gộp*")/2)</f>
        <v>8</v>
      </c>
    </row>
    <row r="67" spans="11:13" x14ac:dyDescent="0.25">
      <c r="K67" t="s">
        <v>202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7810</v>
      </c>
      <c r="M70" s="13">
        <f>M65</f>
        <v>8</v>
      </c>
    </row>
  </sheetData>
  <autoFilter ref="A2:P44" xr:uid="{00000000-0009-0000-0000-000010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R57"/>
  <sheetViews>
    <sheetView topLeftCell="A31" workbookViewId="0">
      <selection activeCell="M56" sqref="M56"/>
    </sheetView>
  </sheetViews>
  <sheetFormatPr defaultRowHeight="15" x14ac:dyDescent="0.25"/>
  <cols>
    <col min="1" max="1" width="12.7109375" customWidth="1"/>
    <col min="2" max="2" width="17.7109375" customWidth="1"/>
    <col min="3" max="3" width="23.42578125" customWidth="1"/>
    <col min="4" max="4" width="9.85546875" customWidth="1"/>
    <col min="5" max="5" width="48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1252</v>
      </c>
      <c r="D3" s="15" t="s">
        <v>1763</v>
      </c>
      <c r="E3" s="15" t="s">
        <v>1254</v>
      </c>
      <c r="F3" s="15" t="s">
        <v>134</v>
      </c>
      <c r="G3" s="16">
        <v>855</v>
      </c>
      <c r="H3" s="16">
        <v>35</v>
      </c>
      <c r="I3" s="16">
        <f t="shared" ref="I3:I31" si="0">G3-H3</f>
        <v>820</v>
      </c>
      <c r="J3" s="15" t="s">
        <v>1764</v>
      </c>
      <c r="K3" s="15" t="s">
        <v>21</v>
      </c>
      <c r="L3" s="15" t="s">
        <v>1765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1766</v>
      </c>
      <c r="D4" s="15" t="s">
        <v>1767</v>
      </c>
      <c r="E4" s="15" t="s">
        <v>1768</v>
      </c>
      <c r="F4" s="15" t="s">
        <v>26</v>
      </c>
      <c r="G4" s="16">
        <v>400</v>
      </c>
      <c r="H4" s="16">
        <v>30</v>
      </c>
      <c r="I4" s="16">
        <f t="shared" si="0"/>
        <v>370</v>
      </c>
      <c r="J4" s="15" t="s">
        <v>1764</v>
      </c>
      <c r="K4" s="15" t="s">
        <v>21</v>
      </c>
      <c r="L4" s="15" t="s">
        <v>1765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1769</v>
      </c>
      <c r="D5" s="15" t="s">
        <v>1770</v>
      </c>
      <c r="E5" s="15" t="s">
        <v>1267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1764</v>
      </c>
      <c r="K5" s="15" t="s">
        <v>21</v>
      </c>
      <c r="L5" s="15" t="s">
        <v>1765</v>
      </c>
      <c r="M5" s="20" t="s">
        <v>1771</v>
      </c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1772</v>
      </c>
      <c r="D6" s="15" t="s">
        <v>1773</v>
      </c>
      <c r="E6" s="15" t="s">
        <v>1774</v>
      </c>
      <c r="F6" s="16">
        <v>12</v>
      </c>
      <c r="G6" s="16">
        <v>0</v>
      </c>
      <c r="H6" s="16">
        <v>30</v>
      </c>
      <c r="I6" s="16">
        <f t="shared" si="0"/>
        <v>-30</v>
      </c>
      <c r="J6" s="15" t="s">
        <v>1764</v>
      </c>
      <c r="K6" s="15" t="s">
        <v>21</v>
      </c>
      <c r="L6" s="15" t="s">
        <v>1765</v>
      </c>
      <c r="M6" s="15"/>
      <c r="N6" s="15"/>
      <c r="O6" s="15"/>
      <c r="P6" s="15"/>
      <c r="Q6" s="15">
        <v>1</v>
      </c>
      <c r="R6" s="10">
        <f>H6</f>
        <v>30</v>
      </c>
    </row>
    <row r="7" spans="1:18" s="19" customFormat="1" x14ac:dyDescent="0.25">
      <c r="A7" s="17"/>
      <c r="B7" s="17" t="s">
        <v>17</v>
      </c>
      <c r="C7" s="17" t="s">
        <v>1611</v>
      </c>
      <c r="D7" s="17" t="s">
        <v>1775</v>
      </c>
      <c r="E7" s="17" t="s">
        <v>1613</v>
      </c>
      <c r="F7" s="18">
        <v>12</v>
      </c>
      <c r="G7" s="18">
        <v>330</v>
      </c>
      <c r="H7" s="18">
        <v>30</v>
      </c>
      <c r="I7" s="18">
        <f t="shared" si="0"/>
        <v>300</v>
      </c>
      <c r="J7" s="17" t="s">
        <v>1764</v>
      </c>
      <c r="K7" s="17" t="s">
        <v>21</v>
      </c>
      <c r="L7" s="17" t="s">
        <v>1765</v>
      </c>
      <c r="M7" s="17" t="s">
        <v>126</v>
      </c>
      <c r="N7" s="17"/>
      <c r="O7" s="17"/>
      <c r="P7" s="17"/>
      <c r="Q7" s="17">
        <v>1</v>
      </c>
    </row>
    <row r="8" spans="1:18" x14ac:dyDescent="0.25">
      <c r="A8" s="15"/>
      <c r="B8" s="15" t="s">
        <v>17</v>
      </c>
      <c r="C8" s="15" t="s">
        <v>1776</v>
      </c>
      <c r="D8" s="15" t="s">
        <v>1777</v>
      </c>
      <c r="E8" s="15" t="s">
        <v>1778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1764</v>
      </c>
      <c r="K8" s="15" t="s">
        <v>21</v>
      </c>
      <c r="L8" s="15" t="s">
        <v>1765</v>
      </c>
      <c r="M8" s="15"/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1779</v>
      </c>
      <c r="D9" s="15" t="s">
        <v>1780</v>
      </c>
      <c r="E9" s="15" t="s">
        <v>830</v>
      </c>
      <c r="F9" s="15" t="s">
        <v>26</v>
      </c>
      <c r="G9" s="16">
        <v>860</v>
      </c>
      <c r="H9" s="16">
        <v>30</v>
      </c>
      <c r="I9" s="16">
        <f t="shared" si="0"/>
        <v>830</v>
      </c>
      <c r="J9" s="15" t="s">
        <v>1764</v>
      </c>
      <c r="K9" s="15" t="s">
        <v>21</v>
      </c>
      <c r="L9" s="15" t="s">
        <v>1765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1781</v>
      </c>
      <c r="D10" s="15" t="s">
        <v>1782</v>
      </c>
      <c r="E10" s="15" t="s">
        <v>1783</v>
      </c>
      <c r="F10" s="16">
        <v>8</v>
      </c>
      <c r="G10" s="16">
        <v>690</v>
      </c>
      <c r="H10" s="16">
        <v>30</v>
      </c>
      <c r="I10" s="16">
        <f t="shared" si="0"/>
        <v>660</v>
      </c>
      <c r="J10" s="15" t="s">
        <v>1764</v>
      </c>
      <c r="K10" s="15" t="s">
        <v>21</v>
      </c>
      <c r="L10" s="15" t="s">
        <v>1765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1784</v>
      </c>
      <c r="D11" s="15" t="s">
        <v>1785</v>
      </c>
      <c r="E11" s="15" t="s">
        <v>1786</v>
      </c>
      <c r="F11" s="16">
        <v>7</v>
      </c>
      <c r="G11" s="16">
        <v>920</v>
      </c>
      <c r="H11" s="16">
        <v>30</v>
      </c>
      <c r="I11" s="16">
        <f t="shared" si="0"/>
        <v>890</v>
      </c>
      <c r="J11" s="15" t="s">
        <v>1764</v>
      </c>
      <c r="K11" s="15" t="s">
        <v>21</v>
      </c>
      <c r="L11" s="15" t="s">
        <v>1765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1787</v>
      </c>
      <c r="D12" s="15" t="s">
        <v>752</v>
      </c>
      <c r="E12" s="15" t="s">
        <v>1788</v>
      </c>
      <c r="F12" s="15" t="s">
        <v>26</v>
      </c>
      <c r="G12" s="16">
        <v>820</v>
      </c>
      <c r="H12" s="16">
        <v>30</v>
      </c>
      <c r="I12" s="16">
        <f t="shared" si="0"/>
        <v>790</v>
      </c>
      <c r="J12" s="15" t="s">
        <v>1764</v>
      </c>
      <c r="K12" s="15" t="s">
        <v>21</v>
      </c>
      <c r="L12" s="15" t="s">
        <v>1765</v>
      </c>
      <c r="M12" s="20" t="s">
        <v>377</v>
      </c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1787</v>
      </c>
      <c r="D13" s="15" t="s">
        <v>1789</v>
      </c>
      <c r="E13" s="15" t="s">
        <v>1788</v>
      </c>
      <c r="F13" s="15" t="s">
        <v>26</v>
      </c>
      <c r="G13" s="16">
        <v>660</v>
      </c>
      <c r="H13" s="16">
        <v>0</v>
      </c>
      <c r="I13" s="16">
        <f t="shared" si="0"/>
        <v>660</v>
      </c>
      <c r="J13" s="15" t="s">
        <v>1764</v>
      </c>
      <c r="K13" s="15" t="s">
        <v>21</v>
      </c>
      <c r="L13" s="15" t="s">
        <v>1765</v>
      </c>
      <c r="M13" s="20" t="s">
        <v>377</v>
      </c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1790</v>
      </c>
      <c r="D14" s="15" t="s">
        <v>1791</v>
      </c>
      <c r="E14" s="15" t="s">
        <v>1792</v>
      </c>
      <c r="F14" s="15" t="s">
        <v>26</v>
      </c>
      <c r="G14" s="16">
        <v>510</v>
      </c>
      <c r="H14" s="16">
        <v>30</v>
      </c>
      <c r="I14" s="16">
        <f t="shared" si="0"/>
        <v>480</v>
      </c>
      <c r="J14" s="15" t="s">
        <v>1764</v>
      </c>
      <c r="K14" s="15" t="s">
        <v>21</v>
      </c>
      <c r="L14" s="15" t="s">
        <v>1765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1793</v>
      </c>
      <c r="D15" s="15" t="s">
        <v>1794</v>
      </c>
      <c r="E15" s="15" t="s">
        <v>1795</v>
      </c>
      <c r="F15" s="15" t="s">
        <v>46</v>
      </c>
      <c r="G15" s="16">
        <v>915</v>
      </c>
      <c r="H15" s="16">
        <v>25</v>
      </c>
      <c r="I15" s="16">
        <f t="shared" si="0"/>
        <v>890</v>
      </c>
      <c r="J15" s="15" t="s">
        <v>1764</v>
      </c>
      <c r="K15" s="15" t="s">
        <v>21</v>
      </c>
      <c r="L15" s="15" t="s">
        <v>1765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895</v>
      </c>
      <c r="D16" s="15" t="s">
        <v>1796</v>
      </c>
      <c r="E16" s="15" t="s">
        <v>1797</v>
      </c>
      <c r="F16" s="15" t="s">
        <v>26</v>
      </c>
      <c r="G16" s="16">
        <v>850</v>
      </c>
      <c r="H16" s="16">
        <v>30</v>
      </c>
      <c r="I16" s="16">
        <f t="shared" si="0"/>
        <v>820</v>
      </c>
      <c r="J16" s="15" t="s">
        <v>1764</v>
      </c>
      <c r="K16" s="15" t="s">
        <v>21</v>
      </c>
      <c r="L16" s="15" t="s">
        <v>1765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1798</v>
      </c>
      <c r="D17" s="15" t="s">
        <v>1799</v>
      </c>
      <c r="E17" s="15" t="s">
        <v>1800</v>
      </c>
      <c r="F17" s="16">
        <v>11</v>
      </c>
      <c r="G17" s="16">
        <v>865</v>
      </c>
      <c r="H17" s="16">
        <v>25</v>
      </c>
      <c r="I17" s="16">
        <f t="shared" si="0"/>
        <v>840</v>
      </c>
      <c r="J17" s="15" t="s">
        <v>1764</v>
      </c>
      <c r="K17" s="15" t="s">
        <v>21</v>
      </c>
      <c r="L17" s="15" t="s">
        <v>1765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591</v>
      </c>
      <c r="D18" s="15" t="s">
        <v>1801</v>
      </c>
      <c r="E18" s="15" t="s">
        <v>593</v>
      </c>
      <c r="F18" s="15" t="s">
        <v>85</v>
      </c>
      <c r="G18" s="16">
        <v>910</v>
      </c>
      <c r="H18" s="16">
        <v>20</v>
      </c>
      <c r="I18" s="16">
        <f t="shared" si="0"/>
        <v>890</v>
      </c>
      <c r="J18" s="15" t="s">
        <v>21</v>
      </c>
      <c r="K18" s="15" t="s">
        <v>21</v>
      </c>
      <c r="L18" s="15" t="s">
        <v>1765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1802</v>
      </c>
      <c r="D19" s="15" t="s">
        <v>1803</v>
      </c>
      <c r="E19" s="15" t="s">
        <v>1804</v>
      </c>
      <c r="F19" s="15" t="s">
        <v>77</v>
      </c>
      <c r="G19" s="16">
        <v>1155</v>
      </c>
      <c r="H19" s="16">
        <v>25</v>
      </c>
      <c r="I19" s="16">
        <f t="shared" si="0"/>
        <v>1130</v>
      </c>
      <c r="J19" s="15" t="s">
        <v>21</v>
      </c>
      <c r="K19" s="15" t="s">
        <v>21</v>
      </c>
      <c r="L19" s="15" t="s">
        <v>1765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1805</v>
      </c>
      <c r="D20" s="15" t="s">
        <v>1806</v>
      </c>
      <c r="E20" s="15" t="s">
        <v>1807</v>
      </c>
      <c r="F20" s="15" t="s">
        <v>77</v>
      </c>
      <c r="G20" s="16">
        <v>915</v>
      </c>
      <c r="H20" s="16">
        <v>25</v>
      </c>
      <c r="I20" s="16">
        <f t="shared" si="0"/>
        <v>890</v>
      </c>
      <c r="J20" s="15" t="s">
        <v>21</v>
      </c>
      <c r="K20" s="15" t="s">
        <v>21</v>
      </c>
      <c r="L20" s="15" t="s">
        <v>1765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674</v>
      </c>
      <c r="D21" s="15" t="s">
        <v>1808</v>
      </c>
      <c r="E21" s="15" t="s">
        <v>676</v>
      </c>
      <c r="F21" s="15" t="s">
        <v>95</v>
      </c>
      <c r="G21" s="16">
        <v>2520</v>
      </c>
      <c r="H21" s="16">
        <v>30</v>
      </c>
      <c r="I21" s="16">
        <f t="shared" si="0"/>
        <v>2490</v>
      </c>
      <c r="J21" s="15" t="s">
        <v>21</v>
      </c>
      <c r="K21" s="15" t="s">
        <v>21</v>
      </c>
      <c r="L21" s="15" t="s">
        <v>1765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1809</v>
      </c>
      <c r="D22" s="15" t="s">
        <v>1810</v>
      </c>
      <c r="E22" s="15" t="s">
        <v>1811</v>
      </c>
      <c r="F22" s="15" t="s">
        <v>95</v>
      </c>
      <c r="G22" s="16">
        <v>0</v>
      </c>
      <c r="H22" s="16">
        <v>25</v>
      </c>
      <c r="I22" s="16">
        <f t="shared" si="0"/>
        <v>-25</v>
      </c>
      <c r="J22" s="15" t="s">
        <v>21</v>
      </c>
      <c r="K22" s="15" t="s">
        <v>21</v>
      </c>
      <c r="L22" s="15" t="s">
        <v>1765</v>
      </c>
      <c r="M22" s="15"/>
      <c r="N22" s="15"/>
      <c r="O22" s="15"/>
      <c r="P22" s="15"/>
      <c r="Q22" s="15">
        <v>1</v>
      </c>
      <c r="R22" s="10">
        <f>H22</f>
        <v>25</v>
      </c>
    </row>
    <row r="23" spans="1:18" x14ac:dyDescent="0.25">
      <c r="A23" s="15" t="s">
        <v>16</v>
      </c>
      <c r="B23" s="15" t="s">
        <v>17</v>
      </c>
      <c r="C23" s="15" t="s">
        <v>1812</v>
      </c>
      <c r="D23" s="15"/>
      <c r="E23" s="15" t="s">
        <v>1813</v>
      </c>
      <c r="F23" s="15" t="s">
        <v>95</v>
      </c>
      <c r="G23" s="16">
        <v>40</v>
      </c>
      <c r="H23" s="16">
        <v>40</v>
      </c>
      <c r="I23" s="16">
        <f t="shared" si="0"/>
        <v>0</v>
      </c>
      <c r="J23" s="15" t="s">
        <v>21</v>
      </c>
      <c r="K23" s="15" t="s">
        <v>21</v>
      </c>
      <c r="L23" s="15" t="s">
        <v>1765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1814</v>
      </c>
      <c r="D24" s="15" t="s">
        <v>1815</v>
      </c>
      <c r="E24" s="15" t="s">
        <v>1816</v>
      </c>
      <c r="F24" s="15" t="s">
        <v>95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1765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1817</v>
      </c>
      <c r="D25" s="15" t="s">
        <v>1818</v>
      </c>
      <c r="E25" s="15" t="s">
        <v>1819</v>
      </c>
      <c r="F25" s="15" t="s">
        <v>95</v>
      </c>
      <c r="G25" s="16">
        <v>1595</v>
      </c>
      <c r="H25" s="16">
        <v>25</v>
      </c>
      <c r="I25" s="16">
        <f t="shared" si="0"/>
        <v>1570</v>
      </c>
      <c r="J25" s="15" t="s">
        <v>135</v>
      </c>
      <c r="K25" s="15" t="s">
        <v>21</v>
      </c>
      <c r="L25" s="15" t="s">
        <v>1765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1820</v>
      </c>
      <c r="D26" s="15" t="s">
        <v>1821</v>
      </c>
      <c r="E26" s="15" t="s">
        <v>1822</v>
      </c>
      <c r="F26" s="16">
        <v>10</v>
      </c>
      <c r="G26" s="16">
        <v>915</v>
      </c>
      <c r="H26" s="16">
        <v>25</v>
      </c>
      <c r="I26" s="16">
        <f t="shared" si="0"/>
        <v>890</v>
      </c>
      <c r="J26" s="15" t="s">
        <v>135</v>
      </c>
      <c r="K26" s="15" t="s">
        <v>21</v>
      </c>
      <c r="L26" s="15" t="s">
        <v>1765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1823</v>
      </c>
      <c r="D27" s="15" t="s">
        <v>1824</v>
      </c>
      <c r="E27" s="15" t="s">
        <v>1825</v>
      </c>
      <c r="F27" s="16">
        <v>10</v>
      </c>
      <c r="G27" s="16">
        <v>1225</v>
      </c>
      <c r="H27" s="16">
        <v>25</v>
      </c>
      <c r="I27" s="16">
        <f t="shared" si="0"/>
        <v>1200</v>
      </c>
      <c r="J27" s="15" t="s">
        <v>135</v>
      </c>
      <c r="K27" s="15" t="s">
        <v>21</v>
      </c>
      <c r="L27" s="15" t="s">
        <v>1765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1826</v>
      </c>
      <c r="D28" s="15" t="s">
        <v>1827</v>
      </c>
      <c r="E28" s="15" t="s">
        <v>396</v>
      </c>
      <c r="F28" s="16">
        <v>4</v>
      </c>
      <c r="G28" s="16">
        <v>855</v>
      </c>
      <c r="H28" s="16">
        <v>25</v>
      </c>
      <c r="I28" s="16">
        <f t="shared" si="0"/>
        <v>830</v>
      </c>
      <c r="J28" s="15" t="s">
        <v>135</v>
      </c>
      <c r="K28" s="15" t="s">
        <v>21</v>
      </c>
      <c r="L28" s="15" t="s">
        <v>1765</v>
      </c>
      <c r="M28" s="15"/>
      <c r="N28" s="15"/>
      <c r="O28" s="15"/>
      <c r="P28" s="15"/>
      <c r="Q28" s="15">
        <v>1</v>
      </c>
    </row>
    <row r="29" spans="1:18" s="2" customFormat="1" x14ac:dyDescent="0.25">
      <c r="A29" s="21"/>
      <c r="B29" s="21" t="s">
        <v>17</v>
      </c>
      <c r="C29" s="21" t="s">
        <v>1595</v>
      </c>
      <c r="D29" s="21" t="s">
        <v>1596</v>
      </c>
      <c r="E29" s="21" t="s">
        <v>1267</v>
      </c>
      <c r="F29" s="21" t="s">
        <v>26</v>
      </c>
      <c r="G29" s="22">
        <v>810</v>
      </c>
      <c r="H29" s="22">
        <v>0</v>
      </c>
      <c r="I29" s="22">
        <f t="shared" si="0"/>
        <v>810</v>
      </c>
      <c r="J29" s="21" t="s">
        <v>1587</v>
      </c>
      <c r="K29" s="21" t="s">
        <v>21</v>
      </c>
      <c r="L29" s="21" t="s">
        <v>1584</v>
      </c>
      <c r="M29" s="21" t="s">
        <v>206</v>
      </c>
      <c r="N29" s="21" t="s">
        <v>272</v>
      </c>
      <c r="O29" s="21" t="s">
        <v>272</v>
      </c>
      <c r="P29" s="21" t="s">
        <v>273</v>
      </c>
      <c r="Q29" s="21">
        <v>1</v>
      </c>
    </row>
    <row r="30" spans="1:18" s="2" customFormat="1" x14ac:dyDescent="0.25">
      <c r="A30" s="21"/>
      <c r="B30" s="21" t="s">
        <v>17</v>
      </c>
      <c r="C30" s="21" t="s">
        <v>1332</v>
      </c>
      <c r="D30" s="21" t="s">
        <v>1687</v>
      </c>
      <c r="E30" s="21" t="s">
        <v>1334</v>
      </c>
      <c r="F30" s="21" t="s">
        <v>1335</v>
      </c>
      <c r="G30" s="22">
        <v>775</v>
      </c>
      <c r="H30" s="22">
        <v>0</v>
      </c>
      <c r="I30" s="22">
        <f t="shared" si="0"/>
        <v>775</v>
      </c>
      <c r="J30" s="21" t="s">
        <v>1663</v>
      </c>
      <c r="K30" s="21" t="s">
        <v>21</v>
      </c>
      <c r="L30" s="21" t="s">
        <v>1664</v>
      </c>
      <c r="M30" s="21" t="s">
        <v>206</v>
      </c>
      <c r="N30" s="21" t="s">
        <v>272</v>
      </c>
      <c r="O30" s="21" t="s">
        <v>272</v>
      </c>
      <c r="P30" s="21" t="s">
        <v>273</v>
      </c>
      <c r="Q30" s="21">
        <v>1</v>
      </c>
    </row>
    <row r="31" spans="1:18" s="2" customFormat="1" x14ac:dyDescent="0.25">
      <c r="A31" s="21"/>
      <c r="B31" s="21" t="s">
        <v>17</v>
      </c>
      <c r="C31" s="21" t="s">
        <v>627</v>
      </c>
      <c r="D31" s="21" t="s">
        <v>1576</v>
      </c>
      <c r="E31" s="21" t="s">
        <v>629</v>
      </c>
      <c r="F31" s="22">
        <v>1</v>
      </c>
      <c r="G31" s="22">
        <v>25</v>
      </c>
      <c r="H31" s="22">
        <v>25</v>
      </c>
      <c r="I31" s="22">
        <f t="shared" si="0"/>
        <v>0</v>
      </c>
      <c r="J31" s="21" t="s">
        <v>271</v>
      </c>
      <c r="K31" s="21" t="s">
        <v>21</v>
      </c>
      <c r="L31" s="21" t="s">
        <v>1517</v>
      </c>
      <c r="M31" s="21" t="s">
        <v>204</v>
      </c>
      <c r="N31" s="21" t="s">
        <v>272</v>
      </c>
      <c r="O31" s="21" t="s">
        <v>272</v>
      </c>
      <c r="P31" s="21" t="s">
        <v>273</v>
      </c>
      <c r="Q31" s="22">
        <v>1</v>
      </c>
    </row>
    <row r="33" spans="1:17" x14ac:dyDescent="0.25">
      <c r="D33" s="1">
        <f>COUNTA(D3:D31)</f>
        <v>28</v>
      </c>
      <c r="G33" s="1">
        <f t="shared" ref="G33:Q33" si="1">SUBTOTAL(9,G3:G31)</f>
        <v>20415</v>
      </c>
      <c r="H33" s="1">
        <f t="shared" si="1"/>
        <v>730</v>
      </c>
      <c r="I33" s="1">
        <f t="shared" si="1"/>
        <v>19685</v>
      </c>
      <c r="J33" s="1">
        <f t="shared" si="1"/>
        <v>0</v>
      </c>
      <c r="K33" s="1">
        <f t="shared" si="1"/>
        <v>0</v>
      </c>
      <c r="L33" s="1">
        <f t="shared" si="1"/>
        <v>0</v>
      </c>
      <c r="M33" s="1">
        <f t="shared" si="1"/>
        <v>0</v>
      </c>
      <c r="N33" s="1">
        <f t="shared" si="1"/>
        <v>0</v>
      </c>
      <c r="O33" s="1">
        <f t="shared" si="1"/>
        <v>0</v>
      </c>
      <c r="P33" s="1">
        <f t="shared" si="1"/>
        <v>0</v>
      </c>
      <c r="Q33" s="1">
        <f t="shared" si="1"/>
        <v>29</v>
      </c>
    </row>
    <row r="34" spans="1:17" x14ac:dyDescent="0.25">
      <c r="H34">
        <f>-4*17</f>
        <v>-68</v>
      </c>
    </row>
    <row r="35" spans="1:17" x14ac:dyDescent="0.25">
      <c r="A35" s="1" t="s">
        <v>17</v>
      </c>
      <c r="C35" s="40" t="s">
        <v>191</v>
      </c>
      <c r="D35" s="40"/>
      <c r="E35" s="4" t="s">
        <v>192</v>
      </c>
      <c r="H35">
        <f>-9*25</f>
        <v>-225</v>
      </c>
      <c r="K35" s="11" t="s">
        <v>21</v>
      </c>
      <c r="L35" s="11" t="s">
        <v>193</v>
      </c>
      <c r="M35" s="11" t="s">
        <v>192</v>
      </c>
      <c r="O35" s="4" t="s">
        <v>194</v>
      </c>
    </row>
    <row r="36" spans="1:17" x14ac:dyDescent="0.25">
      <c r="A36" t="s">
        <v>1765</v>
      </c>
      <c r="B36" s="3" t="s">
        <v>195</v>
      </c>
      <c r="C36" s="41">
        <f>SUMIFS(I$3:I$31,B$3:B$31,A$35,L$3:L$31,A$36)</f>
        <v>18100</v>
      </c>
      <c r="D36" s="41"/>
      <c r="E36" s="3">
        <f>SUMIFS(Q$3:Q$31,B$3:B$31,A$35,L$3:L$31,A$36)</f>
        <v>26</v>
      </c>
      <c r="F36" t="s">
        <v>196</v>
      </c>
      <c r="H36">
        <f>-1*30</f>
        <v>-30</v>
      </c>
      <c r="K36" t="s">
        <v>197</v>
      </c>
      <c r="L36">
        <f>SUMIFS(G$3:G$31,J$3:J$31,K$35)</f>
        <v>5540</v>
      </c>
      <c r="M36">
        <f>SUMIFS(Q$3:Q$31,J$3:J$31,K$35)-INT(COUNTIFS(J$3:J$31,K$35,M$3:M$31,"*gộp*")/2)</f>
        <v>6</v>
      </c>
      <c r="O36" t="s">
        <v>21</v>
      </c>
      <c r="P36">
        <f>L41</f>
        <v>5357</v>
      </c>
    </row>
    <row r="37" spans="1:17" x14ac:dyDescent="0.25">
      <c r="B37" s="2" t="s">
        <v>199</v>
      </c>
      <c r="C37" s="42">
        <v>0</v>
      </c>
      <c r="D37" s="42"/>
      <c r="K37" t="s">
        <v>200</v>
      </c>
      <c r="L37">
        <f>-SUMIFS(H$3:H$31,J$3:J$31,K$35)+M37*5</f>
        <v>-135</v>
      </c>
      <c r="M37">
        <f>SUMIFS(Q$3:Q$31,J$3:J$31,K$35)-INT(COUNTIFS(J$3:J$31,K$35,M$3:M$31,"*gộp*")/2)</f>
        <v>6</v>
      </c>
      <c r="O37" t="s">
        <v>135</v>
      </c>
      <c r="P37">
        <f>L49</f>
        <v>4485</v>
      </c>
    </row>
    <row r="38" spans="1:17" x14ac:dyDescent="0.25">
      <c r="B38" s="2" t="s">
        <v>201</v>
      </c>
      <c r="C38" s="42">
        <f>-SUMIFS(I$3:I$31,B$3:B$31,A$35,P$3:P$31,"xx",N$3:N$31,"x")</f>
        <v>-1585</v>
      </c>
      <c r="D38" s="42"/>
      <c r="E38" s="2">
        <f>SUMIFS(Q$3:Q$31,B$3:B$31,A$35,P$3:P$31,"xx",N$3:N$31,"x")</f>
        <v>3</v>
      </c>
      <c r="K38" t="s">
        <v>202</v>
      </c>
      <c r="L38">
        <f>-M38*2</f>
        <v>-48</v>
      </c>
      <c r="M38">
        <f>E39-(COUNTIFS(M$3:M$31,"*gộp*")/2)-COUNTIFS(M$3:M$31,"*đơn trả*")-COUNTIFS(M$3:M$31,"*hàng tỉnh*")</f>
        <v>24</v>
      </c>
      <c r="O38" t="s">
        <v>1828</v>
      </c>
      <c r="P38">
        <f>L57</f>
        <v>6767</v>
      </c>
    </row>
    <row r="39" spans="1:17" x14ac:dyDescent="0.25">
      <c r="B39" s="4" t="s">
        <v>203</v>
      </c>
      <c r="C39" s="40">
        <f>SUBTOTAL(9,C36:C38)</f>
        <v>16515</v>
      </c>
      <c r="D39" s="40"/>
      <c r="E39">
        <f>E36</f>
        <v>26</v>
      </c>
      <c r="K39" s="2" t="s">
        <v>204</v>
      </c>
      <c r="O39" t="s">
        <v>207</v>
      </c>
      <c r="P39">
        <f>-C43</f>
        <v>-16515</v>
      </c>
    </row>
    <row r="40" spans="1:17" x14ac:dyDescent="0.25">
      <c r="B40" s="2" t="s">
        <v>205</v>
      </c>
      <c r="C40" s="38"/>
      <c r="D40" s="38"/>
      <c r="K40" s="2" t="s">
        <v>206</v>
      </c>
      <c r="O40" s="4" t="s">
        <v>209</v>
      </c>
      <c r="P40" s="4">
        <f>SUBTOTAL(9,P36:P39)</f>
        <v>94</v>
      </c>
    </row>
    <row r="41" spans="1:17" x14ac:dyDescent="0.25">
      <c r="B41" s="12" t="s">
        <v>208</v>
      </c>
      <c r="C41" s="38"/>
      <c r="D41" s="38"/>
      <c r="L41" s="13">
        <f>SUBTOTAL(9,L36:L40)</f>
        <v>5357</v>
      </c>
      <c r="M41" s="13">
        <f>M36</f>
        <v>6</v>
      </c>
    </row>
    <row r="43" spans="1:17" x14ac:dyDescent="0.25">
      <c r="B43" s="1" t="s">
        <v>210</v>
      </c>
      <c r="C43" s="39">
        <f>C39+C40+C41</f>
        <v>16515</v>
      </c>
      <c r="D43" s="39"/>
      <c r="E43" s="1" t="s">
        <v>211</v>
      </c>
      <c r="K43" s="11" t="s">
        <v>135</v>
      </c>
      <c r="L43" s="11" t="s">
        <v>193</v>
      </c>
      <c r="M43" s="11" t="s">
        <v>192</v>
      </c>
    </row>
    <row r="44" spans="1:17" x14ac:dyDescent="0.25">
      <c r="K44" t="s">
        <v>197</v>
      </c>
      <c r="L44">
        <f>SUMIFS(G$3:G$31,J$3:J$31,K$43)</f>
        <v>4590</v>
      </c>
      <c r="M44">
        <f>SUMIFS(Q$3:Q$31,J$3:J$31,K$43)-INT(COUNTIFS(J$3:J$31,K$43,M$3:M$31,"*gộp*")/2)</f>
        <v>5</v>
      </c>
    </row>
    <row r="45" spans="1:17" x14ac:dyDescent="0.25">
      <c r="K45" t="s">
        <v>200</v>
      </c>
      <c r="L45">
        <f>-SUMIFS(H$3:H$31,J$3:J$31,K$43)+M45*5</f>
        <v>-100</v>
      </c>
      <c r="M45">
        <f>SUMIFS(Q$3:Q$31,J$3:J$31,K$43)-INT(COUNTIFS(J$3:J$31,K$43,M$3:M$31,"*gộp*")/2)</f>
        <v>5</v>
      </c>
    </row>
    <row r="46" spans="1:17" x14ac:dyDescent="0.25">
      <c r="K46" t="s">
        <v>202</v>
      </c>
    </row>
    <row r="47" spans="1:17" x14ac:dyDescent="0.25">
      <c r="K47" s="2" t="s">
        <v>204</v>
      </c>
      <c r="L47" s="23">
        <v>-5</v>
      </c>
      <c r="M47" s="23" t="s">
        <v>288</v>
      </c>
    </row>
    <row r="48" spans="1:17" x14ac:dyDescent="0.25">
      <c r="K48" s="2" t="s">
        <v>206</v>
      </c>
    </row>
    <row r="49" spans="11:13" x14ac:dyDescent="0.25">
      <c r="L49" s="13">
        <f>SUBTOTAL(9,L44:L48)</f>
        <v>4485</v>
      </c>
      <c r="M49" s="13">
        <f>M44</f>
        <v>5</v>
      </c>
    </row>
    <row r="51" spans="11:13" x14ac:dyDescent="0.25">
      <c r="K51" s="11" t="s">
        <v>1764</v>
      </c>
      <c r="L51" s="11" t="s">
        <v>193</v>
      </c>
      <c r="M51" s="11" t="s">
        <v>192</v>
      </c>
    </row>
    <row r="52" spans="11:13" x14ac:dyDescent="0.25">
      <c r="K52" t="s">
        <v>197</v>
      </c>
      <c r="L52">
        <f>SUMIFS(G$3:G$31,J$3:J$31,K$51)</f>
        <v>8675</v>
      </c>
      <c r="M52">
        <f>SUMIFS(Q$3:Q$31,J$3:J$31,K$51)-INT(COUNTIFS(J$3:J$31,K$51,M$3:M$31,"*gộp*")/2)</f>
        <v>14</v>
      </c>
    </row>
    <row r="53" spans="11:13" x14ac:dyDescent="0.25">
      <c r="K53" t="s">
        <v>200</v>
      </c>
      <c r="L53">
        <f>SUM(H34:H36)</f>
        <v>-323</v>
      </c>
      <c r="M53">
        <f>SUMIFS(Q$3:Q$31,J$3:J$31,K$51)-INT(COUNTIFS(J$3:J$31,K$51,M$3:M$31,"*gộp*")/2)</f>
        <v>14</v>
      </c>
    </row>
    <row r="54" spans="11:13" x14ac:dyDescent="0.25">
      <c r="K54" t="s">
        <v>202</v>
      </c>
    </row>
    <row r="55" spans="11:13" x14ac:dyDescent="0.25">
      <c r="K55" s="2" t="s">
        <v>204</v>
      </c>
    </row>
    <row r="56" spans="11:13" x14ac:dyDescent="0.25">
      <c r="K56" s="2" t="s">
        <v>206</v>
      </c>
      <c r="L56" s="33">
        <f>-SUM(I29:I30)</f>
        <v>-1585</v>
      </c>
      <c r="M56" s="23" t="s">
        <v>1659</v>
      </c>
    </row>
    <row r="57" spans="11:13" x14ac:dyDescent="0.25">
      <c r="L57" s="13">
        <f>SUBTOTAL(9,L52:L56)</f>
        <v>6767</v>
      </c>
      <c r="M57" s="13">
        <f>M52</f>
        <v>14</v>
      </c>
    </row>
  </sheetData>
  <autoFilter ref="A2:P31" xr:uid="{00000000-0009-0000-0000-000011000000}">
    <sortState xmlns:xlrd2="http://schemas.microsoft.com/office/spreadsheetml/2017/richdata2" ref="A3:P31">
      <sortCondition ref="J2:J31"/>
    </sortState>
  </autoFilter>
  <mergeCells count="8">
    <mergeCell ref="C40:D40"/>
    <mergeCell ref="C41:D41"/>
    <mergeCell ref="C43:D43"/>
    <mergeCell ref="C35:D35"/>
    <mergeCell ref="C36:D36"/>
    <mergeCell ref="C37:D37"/>
    <mergeCell ref="C38:D38"/>
    <mergeCell ref="C39:D39"/>
  </mergeCells>
  <pageMargins left="0.75" right="0.75" top="0.75" bottom="0.5" header="0.5" footer="0.75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R54"/>
  <sheetViews>
    <sheetView workbookViewId="0">
      <selection activeCell="R43" sqref="R43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s="19" customFormat="1" x14ac:dyDescent="0.25">
      <c r="A3" s="17"/>
      <c r="B3" s="17" t="s">
        <v>17</v>
      </c>
      <c r="C3" s="17" t="s">
        <v>1611</v>
      </c>
      <c r="D3" s="17" t="s">
        <v>1829</v>
      </c>
      <c r="E3" s="17" t="s">
        <v>1613</v>
      </c>
      <c r="F3" s="18">
        <v>12</v>
      </c>
      <c r="G3" s="18">
        <v>785</v>
      </c>
      <c r="H3" s="18">
        <v>30</v>
      </c>
      <c r="I3" s="18">
        <f t="shared" ref="I3:I28" si="0">G3-H3</f>
        <v>755</v>
      </c>
      <c r="J3" s="17" t="s">
        <v>1830</v>
      </c>
      <c r="K3" s="17" t="s">
        <v>21</v>
      </c>
      <c r="L3" s="17" t="s">
        <v>1831</v>
      </c>
      <c r="M3" s="17" t="s">
        <v>126</v>
      </c>
      <c r="N3" s="17"/>
      <c r="O3" s="17"/>
      <c r="P3" s="17"/>
      <c r="Q3" s="17">
        <v>1</v>
      </c>
    </row>
    <row r="4" spans="1:18" x14ac:dyDescent="0.25">
      <c r="A4" s="15"/>
      <c r="B4" s="15" t="s">
        <v>17</v>
      </c>
      <c r="C4" s="15" t="s">
        <v>53</v>
      </c>
      <c r="D4" s="15" t="s">
        <v>1832</v>
      </c>
      <c r="E4" s="15" t="s">
        <v>55</v>
      </c>
      <c r="F4" s="15" t="s">
        <v>26</v>
      </c>
      <c r="G4" s="16">
        <v>1550</v>
      </c>
      <c r="H4" s="16">
        <v>30</v>
      </c>
      <c r="I4" s="16">
        <f t="shared" si="0"/>
        <v>1520</v>
      </c>
      <c r="J4" s="15" t="s">
        <v>1830</v>
      </c>
      <c r="K4" s="15" t="s">
        <v>21</v>
      </c>
      <c r="L4" s="15" t="s">
        <v>1831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837</v>
      </c>
      <c r="D5" s="15" t="s">
        <v>1833</v>
      </c>
      <c r="E5" s="15" t="s">
        <v>1834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1830</v>
      </c>
      <c r="K5" s="15" t="s">
        <v>21</v>
      </c>
      <c r="L5" s="15" t="s">
        <v>1831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1835</v>
      </c>
      <c r="D6" s="15" t="s">
        <v>1836</v>
      </c>
      <c r="E6" s="15" t="s">
        <v>1837</v>
      </c>
      <c r="F6" s="16">
        <v>8</v>
      </c>
      <c r="G6" s="16">
        <v>820</v>
      </c>
      <c r="H6" s="16">
        <v>30</v>
      </c>
      <c r="I6" s="16">
        <f t="shared" si="0"/>
        <v>790</v>
      </c>
      <c r="J6" s="15" t="s">
        <v>1830</v>
      </c>
      <c r="K6" s="15" t="s">
        <v>21</v>
      </c>
      <c r="L6" s="15" t="s">
        <v>1831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1838</v>
      </c>
      <c r="D7" s="15" t="s">
        <v>1839</v>
      </c>
      <c r="E7" s="15" t="s">
        <v>1840</v>
      </c>
      <c r="F7" s="15" t="s">
        <v>139</v>
      </c>
      <c r="G7" s="16">
        <v>1025</v>
      </c>
      <c r="H7" s="16">
        <v>35</v>
      </c>
      <c r="I7" s="16">
        <f t="shared" si="0"/>
        <v>990</v>
      </c>
      <c r="J7" s="15" t="s">
        <v>1830</v>
      </c>
      <c r="K7" s="15" t="s">
        <v>21</v>
      </c>
      <c r="L7" s="15" t="s">
        <v>1831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1784</v>
      </c>
      <c r="D8" s="15" t="s">
        <v>1841</v>
      </c>
      <c r="E8" s="15" t="s">
        <v>1786</v>
      </c>
      <c r="F8" s="16">
        <v>7</v>
      </c>
      <c r="G8" s="16">
        <v>820</v>
      </c>
      <c r="H8" s="16">
        <v>30</v>
      </c>
      <c r="I8" s="16">
        <f t="shared" si="0"/>
        <v>790</v>
      </c>
      <c r="J8" s="15" t="s">
        <v>1830</v>
      </c>
      <c r="K8" s="15" t="s">
        <v>21</v>
      </c>
      <c r="L8" s="15" t="s">
        <v>1831</v>
      </c>
      <c r="M8" s="20" t="s">
        <v>167</v>
      </c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 t="s">
        <v>16</v>
      </c>
      <c r="B9" s="15" t="s">
        <v>17</v>
      </c>
      <c r="C9" s="15" t="s">
        <v>1842</v>
      </c>
      <c r="D9" s="15"/>
      <c r="E9" s="15" t="s">
        <v>1843</v>
      </c>
      <c r="F9" s="16">
        <v>6</v>
      </c>
      <c r="G9" s="16">
        <v>1400</v>
      </c>
      <c r="H9" s="16">
        <v>30</v>
      </c>
      <c r="I9" s="16">
        <f t="shared" si="0"/>
        <v>1370</v>
      </c>
      <c r="J9" s="15" t="s">
        <v>1830</v>
      </c>
      <c r="K9" s="15" t="s">
        <v>21</v>
      </c>
      <c r="L9" s="15" t="s">
        <v>1831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1844</v>
      </c>
      <c r="D10" s="15" t="s">
        <v>1845</v>
      </c>
      <c r="E10" s="15" t="s">
        <v>1846</v>
      </c>
      <c r="F10" s="15" t="s">
        <v>85</v>
      </c>
      <c r="G10" s="16">
        <v>810</v>
      </c>
      <c r="H10" s="16">
        <v>20</v>
      </c>
      <c r="I10" s="16">
        <f t="shared" si="0"/>
        <v>790</v>
      </c>
      <c r="J10" s="15" t="s">
        <v>21</v>
      </c>
      <c r="K10" s="15" t="s">
        <v>21</v>
      </c>
      <c r="L10" s="15" t="s">
        <v>1831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1847</v>
      </c>
      <c r="D11" s="15" t="s">
        <v>1848</v>
      </c>
      <c r="E11" s="15" t="s">
        <v>1737</v>
      </c>
      <c r="F11" s="15" t="s">
        <v>95</v>
      </c>
      <c r="G11" s="16">
        <v>845</v>
      </c>
      <c r="H11" s="16">
        <v>25</v>
      </c>
      <c r="I11" s="16">
        <f t="shared" si="0"/>
        <v>820</v>
      </c>
      <c r="J11" s="15" t="s">
        <v>21</v>
      </c>
      <c r="K11" s="15" t="s">
        <v>21</v>
      </c>
      <c r="L11" s="15" t="s">
        <v>1831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40</v>
      </c>
      <c r="D12" s="15" t="s">
        <v>1849</v>
      </c>
      <c r="E12" s="15" t="s">
        <v>1850</v>
      </c>
      <c r="F12" s="16">
        <v>12</v>
      </c>
      <c r="G12" s="16">
        <v>0</v>
      </c>
      <c r="H12" s="16">
        <v>30</v>
      </c>
      <c r="I12" s="16">
        <f t="shared" si="0"/>
        <v>-30</v>
      </c>
      <c r="J12" s="15" t="s">
        <v>21</v>
      </c>
      <c r="K12" s="15" t="s">
        <v>21</v>
      </c>
      <c r="L12" s="15" t="s">
        <v>1831</v>
      </c>
      <c r="M12" s="15"/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1851</v>
      </c>
      <c r="D13" s="15" t="s">
        <v>1852</v>
      </c>
      <c r="E13" s="15" t="s">
        <v>1853</v>
      </c>
      <c r="F13" s="15" t="s">
        <v>77</v>
      </c>
      <c r="G13" s="16">
        <v>0</v>
      </c>
      <c r="H13" s="16">
        <v>30</v>
      </c>
      <c r="I13" s="16">
        <f t="shared" si="0"/>
        <v>-30</v>
      </c>
      <c r="J13" s="15" t="s">
        <v>21</v>
      </c>
      <c r="K13" s="15" t="s">
        <v>21</v>
      </c>
      <c r="L13" s="15" t="s">
        <v>1831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1391</v>
      </c>
      <c r="D14" s="15" t="s">
        <v>1854</v>
      </c>
      <c r="E14" s="15" t="s">
        <v>1393</v>
      </c>
      <c r="F14" s="16">
        <v>2</v>
      </c>
      <c r="G14" s="16">
        <v>920</v>
      </c>
      <c r="H14" s="16">
        <v>30</v>
      </c>
      <c r="I14" s="16">
        <f t="shared" si="0"/>
        <v>890</v>
      </c>
      <c r="J14" s="15" t="s">
        <v>21</v>
      </c>
      <c r="K14" s="15" t="s">
        <v>21</v>
      </c>
      <c r="L14" s="15" t="s">
        <v>1831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1855</v>
      </c>
      <c r="D15" s="15" t="s">
        <v>1856</v>
      </c>
      <c r="E15" s="15" t="s">
        <v>1857</v>
      </c>
      <c r="F15" s="15" t="s">
        <v>85</v>
      </c>
      <c r="G15" s="16">
        <v>500</v>
      </c>
      <c r="H15" s="16">
        <v>20</v>
      </c>
      <c r="I15" s="16">
        <f t="shared" si="0"/>
        <v>480</v>
      </c>
      <c r="J15" s="15" t="s">
        <v>21</v>
      </c>
      <c r="K15" s="15" t="s">
        <v>21</v>
      </c>
      <c r="L15" s="15" t="s">
        <v>1831</v>
      </c>
      <c r="M15" s="15"/>
      <c r="N15" s="15"/>
      <c r="O15" s="15"/>
      <c r="P15" s="15"/>
      <c r="Q15" s="15">
        <v>1</v>
      </c>
    </row>
    <row r="16" spans="1:18" s="19" customFormat="1" x14ac:dyDescent="0.25">
      <c r="A16" s="17"/>
      <c r="B16" s="17" t="s">
        <v>17</v>
      </c>
      <c r="C16" s="17" t="s">
        <v>1802</v>
      </c>
      <c r="D16" s="17" t="s">
        <v>1858</v>
      </c>
      <c r="E16" s="17" t="s">
        <v>1859</v>
      </c>
      <c r="F16" s="17" t="s">
        <v>77</v>
      </c>
      <c r="G16" s="18">
        <v>25</v>
      </c>
      <c r="H16" s="18">
        <v>25</v>
      </c>
      <c r="I16" s="18">
        <f t="shared" si="0"/>
        <v>0</v>
      </c>
      <c r="J16" s="17" t="s">
        <v>21</v>
      </c>
      <c r="K16" s="17" t="s">
        <v>21</v>
      </c>
      <c r="L16" s="17" t="s">
        <v>1831</v>
      </c>
      <c r="M16" s="17" t="s">
        <v>126</v>
      </c>
      <c r="N16" s="17"/>
      <c r="O16" s="17"/>
      <c r="P16" s="17"/>
      <c r="Q16" s="17">
        <v>1</v>
      </c>
    </row>
    <row r="17" spans="1:18" x14ac:dyDescent="0.25">
      <c r="A17" s="15"/>
      <c r="B17" s="15" t="s">
        <v>17</v>
      </c>
      <c r="C17" s="15" t="s">
        <v>1860</v>
      </c>
      <c r="D17" s="15" t="s">
        <v>1861</v>
      </c>
      <c r="E17" s="15" t="s">
        <v>1862</v>
      </c>
      <c r="F17" s="15" t="s">
        <v>85</v>
      </c>
      <c r="G17" s="16">
        <v>0</v>
      </c>
      <c r="H17" s="16">
        <v>20</v>
      </c>
      <c r="I17" s="16">
        <f t="shared" si="0"/>
        <v>-20</v>
      </c>
      <c r="J17" s="15" t="s">
        <v>21</v>
      </c>
      <c r="K17" s="15" t="s">
        <v>21</v>
      </c>
      <c r="L17" s="15" t="s">
        <v>1831</v>
      </c>
      <c r="M17" s="15"/>
      <c r="N17" s="15"/>
      <c r="O17" s="15"/>
      <c r="P17" s="15"/>
      <c r="Q17" s="15">
        <v>1</v>
      </c>
      <c r="R17" s="10">
        <f>H17</f>
        <v>20</v>
      </c>
    </row>
    <row r="18" spans="1:18" x14ac:dyDescent="0.25">
      <c r="A18" s="15" t="s">
        <v>16</v>
      </c>
      <c r="B18" s="15" t="s">
        <v>17</v>
      </c>
      <c r="C18" s="15" t="s">
        <v>370</v>
      </c>
      <c r="D18" s="15"/>
      <c r="E18" s="15" t="s">
        <v>371</v>
      </c>
      <c r="F18" s="15" t="s">
        <v>77</v>
      </c>
      <c r="G18" s="16">
        <v>30</v>
      </c>
      <c r="H18" s="16">
        <v>30</v>
      </c>
      <c r="I18" s="16">
        <f t="shared" si="0"/>
        <v>0</v>
      </c>
      <c r="J18" s="15" t="s">
        <v>21</v>
      </c>
      <c r="K18" s="15" t="s">
        <v>21</v>
      </c>
      <c r="L18" s="15" t="s">
        <v>1831</v>
      </c>
      <c r="M18" s="15"/>
      <c r="N18" s="15"/>
      <c r="O18" s="15"/>
      <c r="P18" s="15"/>
      <c r="Q18" s="15">
        <v>1</v>
      </c>
    </row>
    <row r="19" spans="1:18" x14ac:dyDescent="0.25">
      <c r="A19" s="15" t="s">
        <v>16</v>
      </c>
      <c r="B19" s="15" t="s">
        <v>17</v>
      </c>
      <c r="C19" s="15" t="s">
        <v>1863</v>
      </c>
      <c r="D19" s="15"/>
      <c r="E19" s="15" t="s">
        <v>1864</v>
      </c>
      <c r="F19" s="15" t="s">
        <v>85</v>
      </c>
      <c r="G19" s="16">
        <v>1575</v>
      </c>
      <c r="H19" s="16">
        <v>25</v>
      </c>
      <c r="I19" s="16">
        <f t="shared" si="0"/>
        <v>1550</v>
      </c>
      <c r="J19" s="15" t="s">
        <v>21</v>
      </c>
      <c r="K19" s="15" t="s">
        <v>21</v>
      </c>
      <c r="L19" s="15" t="s">
        <v>1831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1865</v>
      </c>
      <c r="D20" s="15"/>
      <c r="E20" s="15" t="s">
        <v>503</v>
      </c>
      <c r="F20" s="16">
        <v>12</v>
      </c>
      <c r="G20" s="16">
        <v>0</v>
      </c>
      <c r="H20" s="16">
        <v>40</v>
      </c>
      <c r="I20" s="16">
        <f t="shared" si="0"/>
        <v>-40</v>
      </c>
      <c r="J20" s="15" t="s">
        <v>21</v>
      </c>
      <c r="K20" s="15" t="s">
        <v>21</v>
      </c>
      <c r="L20" s="15" t="s">
        <v>1831</v>
      </c>
      <c r="M20" s="15"/>
      <c r="N20" s="15"/>
      <c r="O20" s="15"/>
      <c r="P20" s="15"/>
      <c r="Q20" s="15">
        <v>1</v>
      </c>
      <c r="R20" s="10">
        <f t="shared" ref="R20:R25" si="1">H20</f>
        <v>40</v>
      </c>
    </row>
    <row r="21" spans="1:18" x14ac:dyDescent="0.25">
      <c r="A21" s="15"/>
      <c r="B21" s="15" t="s">
        <v>17</v>
      </c>
      <c r="C21" s="15" t="s">
        <v>1866</v>
      </c>
      <c r="D21" s="15" t="s">
        <v>1867</v>
      </c>
      <c r="E21" s="15" t="s">
        <v>1868</v>
      </c>
      <c r="F21" s="16">
        <v>3</v>
      </c>
      <c r="G21" s="16">
        <v>1830</v>
      </c>
      <c r="H21" s="16">
        <v>25</v>
      </c>
      <c r="I21" s="16">
        <f t="shared" si="0"/>
        <v>1805</v>
      </c>
      <c r="J21" s="15" t="s">
        <v>135</v>
      </c>
      <c r="K21" s="15" t="s">
        <v>21</v>
      </c>
      <c r="L21" s="15" t="s">
        <v>1831</v>
      </c>
      <c r="M21" s="20" t="s">
        <v>167</v>
      </c>
      <c r="N21" s="15"/>
      <c r="O21" s="15"/>
      <c r="P21" s="15"/>
      <c r="Q21" s="15">
        <v>1</v>
      </c>
      <c r="R21" s="10">
        <f t="shared" si="1"/>
        <v>25</v>
      </c>
    </row>
    <row r="22" spans="1:18" x14ac:dyDescent="0.25">
      <c r="A22" s="15"/>
      <c r="B22" s="15" t="s">
        <v>17</v>
      </c>
      <c r="C22" s="15" t="s">
        <v>1869</v>
      </c>
      <c r="D22" s="15" t="s">
        <v>1870</v>
      </c>
      <c r="E22" s="15" t="s">
        <v>1871</v>
      </c>
      <c r="F22" s="16">
        <v>1</v>
      </c>
      <c r="G22" s="16">
        <v>0</v>
      </c>
      <c r="H22" s="16">
        <v>25</v>
      </c>
      <c r="I22" s="16">
        <f t="shared" si="0"/>
        <v>-25</v>
      </c>
      <c r="J22" s="15" t="s">
        <v>135</v>
      </c>
      <c r="K22" s="15" t="s">
        <v>21</v>
      </c>
      <c r="L22" s="15" t="s">
        <v>1831</v>
      </c>
      <c r="M22" s="15"/>
      <c r="N22" s="15"/>
      <c r="O22" s="15"/>
      <c r="P22" s="15"/>
      <c r="Q22" s="15">
        <v>1</v>
      </c>
      <c r="R22" s="10">
        <f t="shared" si="1"/>
        <v>25</v>
      </c>
    </row>
    <row r="23" spans="1:18" x14ac:dyDescent="0.25">
      <c r="A23" s="15"/>
      <c r="B23" s="15" t="s">
        <v>17</v>
      </c>
      <c r="C23" s="15" t="s">
        <v>1872</v>
      </c>
      <c r="D23" s="15" t="s">
        <v>1873</v>
      </c>
      <c r="E23" s="15" t="s">
        <v>1874</v>
      </c>
      <c r="F23" s="16">
        <v>4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1831</v>
      </c>
      <c r="M23" s="15"/>
      <c r="N23" s="15"/>
      <c r="O23" s="15"/>
      <c r="P23" s="15"/>
      <c r="Q23" s="15">
        <v>1</v>
      </c>
      <c r="R23" s="10">
        <f t="shared" si="1"/>
        <v>25</v>
      </c>
    </row>
    <row r="24" spans="1:18" x14ac:dyDescent="0.25">
      <c r="A24" s="15"/>
      <c r="B24" s="15" t="s">
        <v>17</v>
      </c>
      <c r="C24" s="15" t="s">
        <v>1875</v>
      </c>
      <c r="D24" s="15" t="s">
        <v>1876</v>
      </c>
      <c r="E24" s="15" t="s">
        <v>1877</v>
      </c>
      <c r="F24" s="16">
        <v>3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1831</v>
      </c>
      <c r="M24" s="15"/>
      <c r="N24" s="15"/>
      <c r="O24" s="15"/>
      <c r="P24" s="15"/>
      <c r="Q24" s="15">
        <v>1</v>
      </c>
      <c r="R24" s="10">
        <f t="shared" si="1"/>
        <v>25</v>
      </c>
    </row>
    <row r="25" spans="1:18" x14ac:dyDescent="0.25">
      <c r="A25" s="15"/>
      <c r="B25" s="15" t="s">
        <v>17</v>
      </c>
      <c r="C25" s="15" t="s">
        <v>953</v>
      </c>
      <c r="D25" s="15" t="s">
        <v>1878</v>
      </c>
      <c r="E25" s="15" t="s">
        <v>1879</v>
      </c>
      <c r="F25" s="16">
        <v>5</v>
      </c>
      <c r="G25" s="16">
        <v>0</v>
      </c>
      <c r="H25" s="16">
        <v>25</v>
      </c>
      <c r="I25" s="16">
        <f t="shared" si="0"/>
        <v>-25</v>
      </c>
      <c r="J25" s="15" t="s">
        <v>135</v>
      </c>
      <c r="K25" s="15" t="s">
        <v>21</v>
      </c>
      <c r="L25" s="15" t="s">
        <v>1831</v>
      </c>
      <c r="M25" s="15"/>
      <c r="N25" s="15"/>
      <c r="O25" s="15"/>
      <c r="P25" s="15"/>
      <c r="Q25" s="15">
        <v>1</v>
      </c>
      <c r="R25" s="10">
        <f t="shared" si="1"/>
        <v>25</v>
      </c>
    </row>
    <row r="26" spans="1:18" x14ac:dyDescent="0.25">
      <c r="A26" s="15"/>
      <c r="B26" s="15" t="s">
        <v>17</v>
      </c>
      <c r="C26" s="15" t="s">
        <v>1880</v>
      </c>
      <c r="D26" s="15" t="s">
        <v>1881</v>
      </c>
      <c r="E26" s="15" t="s">
        <v>1882</v>
      </c>
      <c r="F26" s="16">
        <v>3</v>
      </c>
      <c r="G26" s="16">
        <v>845</v>
      </c>
      <c r="H26" s="16">
        <v>25</v>
      </c>
      <c r="I26" s="16">
        <f t="shared" si="0"/>
        <v>820</v>
      </c>
      <c r="J26" s="15" t="s">
        <v>135</v>
      </c>
      <c r="K26" s="15" t="s">
        <v>21</v>
      </c>
      <c r="L26" s="15" t="s">
        <v>1831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1883</v>
      </c>
      <c r="D27" s="15" t="s">
        <v>1884</v>
      </c>
      <c r="E27" s="15" t="s">
        <v>1885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1831</v>
      </c>
      <c r="M27" s="15"/>
      <c r="N27" s="15"/>
      <c r="O27" s="15"/>
      <c r="P27" s="15"/>
      <c r="Q27" s="15">
        <v>1</v>
      </c>
      <c r="R27" s="10">
        <f>H27</f>
        <v>25</v>
      </c>
    </row>
    <row r="28" spans="1:18" x14ac:dyDescent="0.25">
      <c r="A28" s="15"/>
      <c r="B28" s="15" t="s">
        <v>17</v>
      </c>
      <c r="C28" s="15" t="s">
        <v>1886</v>
      </c>
      <c r="D28" s="15" t="s">
        <v>1887</v>
      </c>
      <c r="E28" s="15" t="s">
        <v>1888</v>
      </c>
      <c r="F28" s="15" t="s">
        <v>95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1831</v>
      </c>
      <c r="M28" s="15"/>
      <c r="N28" s="15"/>
      <c r="O28" s="15"/>
      <c r="P28" s="15"/>
      <c r="Q28" s="15">
        <v>1</v>
      </c>
      <c r="R28" s="10">
        <f>H28</f>
        <v>25</v>
      </c>
    </row>
    <row r="30" spans="1:18" x14ac:dyDescent="0.25">
      <c r="D30" s="1">
        <f>COUNTA(D3:D28)</f>
        <v>22</v>
      </c>
      <c r="G30" s="1">
        <f t="shared" ref="G30:Q30" si="2">SUBTOTAL(9,G3:G28)</f>
        <v>13780</v>
      </c>
      <c r="H30" s="1">
        <f t="shared" si="2"/>
        <v>705</v>
      </c>
      <c r="I30" s="1">
        <f t="shared" si="2"/>
        <v>13075</v>
      </c>
      <c r="J30" s="1">
        <f t="shared" si="2"/>
        <v>0</v>
      </c>
      <c r="K30" s="1">
        <f t="shared" si="2"/>
        <v>0</v>
      </c>
      <c r="L30" s="1">
        <f t="shared" si="2"/>
        <v>0</v>
      </c>
      <c r="M30" s="1">
        <f t="shared" si="2"/>
        <v>0</v>
      </c>
      <c r="N30" s="1">
        <f t="shared" si="2"/>
        <v>0</v>
      </c>
      <c r="O30" s="1">
        <f t="shared" si="2"/>
        <v>0</v>
      </c>
      <c r="P30" s="1">
        <f t="shared" si="2"/>
        <v>0</v>
      </c>
      <c r="Q30" s="1">
        <f t="shared" si="2"/>
        <v>26</v>
      </c>
    </row>
    <row r="31" spans="1:18" x14ac:dyDescent="0.25">
      <c r="H31">
        <f>-4*17</f>
        <v>-68</v>
      </c>
    </row>
    <row r="32" spans="1:18" x14ac:dyDescent="0.25">
      <c r="A32" s="1" t="s">
        <v>17</v>
      </c>
      <c r="C32" s="40" t="s">
        <v>191</v>
      </c>
      <c r="D32" s="40"/>
      <c r="E32" s="4" t="s">
        <v>192</v>
      </c>
      <c r="H32">
        <f>-2*25</f>
        <v>-50</v>
      </c>
      <c r="K32" s="11" t="s">
        <v>135</v>
      </c>
      <c r="L32" s="11" t="s">
        <v>193</v>
      </c>
      <c r="M32" s="11" t="s">
        <v>192</v>
      </c>
      <c r="O32" s="4" t="s">
        <v>194</v>
      </c>
    </row>
    <row r="33" spans="1:16" x14ac:dyDescent="0.25">
      <c r="A33" t="s">
        <v>1831</v>
      </c>
      <c r="B33" s="3" t="s">
        <v>195</v>
      </c>
      <c r="C33" s="41">
        <f>SUMIFS(I$3:I$28,B$3:B$28,A$32,L$3:L$28,A$33)</f>
        <v>13075</v>
      </c>
      <c r="D33" s="41"/>
      <c r="E33" s="3">
        <f>SUMIFS(Q$3:Q$28,B$3:B$28,A$32,L$3:L$28,A$33)</f>
        <v>26</v>
      </c>
      <c r="F33" t="s">
        <v>196</v>
      </c>
      <c r="H33">
        <f>-1*30</f>
        <v>-30</v>
      </c>
      <c r="K33" t="s">
        <v>197</v>
      </c>
      <c r="L33">
        <f>SUMIFS(G$3:G$28,J$3:J$28,K$32)</f>
        <v>2675</v>
      </c>
      <c r="M33">
        <f>SUMIFS(Q$3:Q$28,J$3:J$28,K$32)-INT(COUNTIFS(J$3:J$28,K$32,M$3:M$28,"*gộp*")/2)</f>
        <v>8</v>
      </c>
      <c r="O33" t="s">
        <v>135</v>
      </c>
      <c r="P33">
        <f>L38</f>
        <v>2515</v>
      </c>
    </row>
    <row r="34" spans="1:16" x14ac:dyDescent="0.25">
      <c r="B34" s="2" t="s">
        <v>199</v>
      </c>
      <c r="C34" s="42">
        <v>0</v>
      </c>
      <c r="D34" s="42"/>
      <c r="K34" t="s">
        <v>200</v>
      </c>
      <c r="L34">
        <f>-SUMIFS(H$3:H$28,J$3:J$28,K$32)+M34*5</f>
        <v>-160</v>
      </c>
      <c r="M34">
        <f>SUMIFS(Q$3:Q$28,J$3:J$28,K$32)-INT(COUNTIFS(J$3:J$28,K$32,M$3:M$28,"*gộp*")/2)</f>
        <v>8</v>
      </c>
      <c r="O34" t="s">
        <v>21</v>
      </c>
      <c r="P34">
        <f>L46</f>
        <v>4413</v>
      </c>
    </row>
    <row r="35" spans="1:16" x14ac:dyDescent="0.25">
      <c r="B35" s="2" t="s">
        <v>201</v>
      </c>
      <c r="C35" s="42">
        <f>-SUMIFS(I$3:I$28,B$3:B$28,A$32,P$3:P$28,"xx",N$3:N$28,"x")</f>
        <v>0</v>
      </c>
      <c r="D35" s="42"/>
      <c r="E35" s="2">
        <f>SUMIFS(Q$3:Q$28,B$3:B$28,A$32,P$3:P$28,"xx",N$3:N$28,"x")</f>
        <v>0</v>
      </c>
      <c r="K35" t="s">
        <v>202</v>
      </c>
      <c r="O35" t="s">
        <v>1889</v>
      </c>
      <c r="P35">
        <f>L54</f>
        <v>6252</v>
      </c>
    </row>
    <row r="36" spans="1:16" x14ac:dyDescent="0.25">
      <c r="B36" s="4" t="s">
        <v>203</v>
      </c>
      <c r="C36" s="40">
        <f>SUBTOTAL(9,C33:C35)</f>
        <v>13075</v>
      </c>
      <c r="D36" s="40"/>
      <c r="E36">
        <f>E33</f>
        <v>26</v>
      </c>
      <c r="K36" s="2" t="s">
        <v>204</v>
      </c>
      <c r="O36" t="s">
        <v>207</v>
      </c>
      <c r="P36">
        <f>-C40</f>
        <v>-13075</v>
      </c>
    </row>
    <row r="37" spans="1:16" x14ac:dyDescent="0.25">
      <c r="B37" s="2" t="s">
        <v>205</v>
      </c>
      <c r="C37" s="38"/>
      <c r="D37" s="38"/>
      <c r="K37" s="2" t="s">
        <v>206</v>
      </c>
      <c r="O37" s="4" t="s">
        <v>209</v>
      </c>
      <c r="P37" s="4">
        <f>SUBTOTAL(9,P33:P36)</f>
        <v>105</v>
      </c>
    </row>
    <row r="38" spans="1:16" x14ac:dyDescent="0.25">
      <c r="B38" s="12" t="s">
        <v>208</v>
      </c>
      <c r="C38" s="38"/>
      <c r="D38" s="38"/>
      <c r="L38" s="13">
        <f>SUBTOTAL(9,L33:L37)</f>
        <v>2515</v>
      </c>
      <c r="M38" s="13">
        <f>M33</f>
        <v>8</v>
      </c>
    </row>
    <row r="40" spans="1:16" x14ac:dyDescent="0.25">
      <c r="B40" s="1" t="s">
        <v>210</v>
      </c>
      <c r="C40" s="39">
        <f>C36+C37+C38</f>
        <v>13075</v>
      </c>
      <c r="D40" s="39"/>
      <c r="E40" s="1" t="s">
        <v>211</v>
      </c>
      <c r="K40" s="11" t="s">
        <v>21</v>
      </c>
      <c r="L40" s="11" t="s">
        <v>193</v>
      </c>
      <c r="M40" s="11" t="s">
        <v>192</v>
      </c>
    </row>
    <row r="41" spans="1:16" x14ac:dyDescent="0.25">
      <c r="K41" t="s">
        <v>197</v>
      </c>
      <c r="L41">
        <f>SUMIFS(G$3:G$28,J$3:J$28,K$40)</f>
        <v>4705</v>
      </c>
      <c r="M41">
        <f>SUMIFS(Q$3:Q$28,J$3:J$28,K$40)-INT(COUNTIFS(J$3:J$28,K$40,M$3:M$28,"*gộp*")/2)</f>
        <v>11</v>
      </c>
    </row>
    <row r="42" spans="1:16" x14ac:dyDescent="0.25">
      <c r="K42" t="s">
        <v>200</v>
      </c>
      <c r="L42">
        <f>-SUMIFS(H$3:H$28,J$3:J$28,K$40)+M42*5</f>
        <v>-240</v>
      </c>
      <c r="M42">
        <f>SUMIFS(Q$3:Q$28,J$3:J$28,K$40)-INT(COUNTIFS(J$3:J$28,K$40,M$3:M$28,"*gộp*")/2)</f>
        <v>11</v>
      </c>
    </row>
    <row r="43" spans="1:16" x14ac:dyDescent="0.25">
      <c r="K43" t="s">
        <v>202</v>
      </c>
      <c r="L43">
        <f>-M43*2</f>
        <v>-52</v>
      </c>
      <c r="M43">
        <f>E36-(COUNTIFS(M$3:M$28,"*gộp*")/2)-COUNTIFS(M$3:M$28,"*đơn trả*")-COUNTIFS(M$3:M$28,"*hàng tỉnh*")</f>
        <v>26</v>
      </c>
    </row>
    <row r="44" spans="1:16" x14ac:dyDescent="0.25">
      <c r="K44" s="2" t="s">
        <v>204</v>
      </c>
    </row>
    <row r="45" spans="1:16" x14ac:dyDescent="0.25">
      <c r="K45" s="2" t="s">
        <v>206</v>
      </c>
    </row>
    <row r="46" spans="1:16" x14ac:dyDescent="0.25">
      <c r="L46" s="13">
        <f>SUBTOTAL(9,L41:L45)</f>
        <v>4413</v>
      </c>
      <c r="M46" s="13">
        <f>M41</f>
        <v>11</v>
      </c>
    </row>
    <row r="48" spans="1:16" x14ac:dyDescent="0.25">
      <c r="K48" s="11" t="s">
        <v>1830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SUMIFS(G$3:G$28,J$3:J$28,K$48)</f>
        <v>6400</v>
      </c>
      <c r="M49">
        <f>SUMIFS(Q$3:Q$28,J$3:J$28,K$48)-INT(COUNTIFS(J$3:J$28,K$48,M$3:M$28,"*gộp*")/2)</f>
        <v>7</v>
      </c>
    </row>
    <row r="50" spans="11:13" x14ac:dyDescent="0.25">
      <c r="K50" t="s">
        <v>200</v>
      </c>
      <c r="L50">
        <f>SUM(H31:H33)</f>
        <v>-148</v>
      </c>
      <c r="M50">
        <f>SUMIFS(Q$3:Q$28,J$3:J$28,K$48)-INT(COUNTIFS(J$3:J$28,K$48,M$3:M$28,"*gộp*")/2)</f>
        <v>7</v>
      </c>
    </row>
    <row r="51" spans="11:13" x14ac:dyDescent="0.25">
      <c r="K51" t="s">
        <v>202</v>
      </c>
    </row>
    <row r="52" spans="11:13" x14ac:dyDescent="0.25">
      <c r="K52" s="2" t="s">
        <v>204</v>
      </c>
    </row>
    <row r="53" spans="11:13" x14ac:dyDescent="0.25">
      <c r="K53" s="2" t="s">
        <v>206</v>
      </c>
    </row>
    <row r="54" spans="11:13" x14ac:dyDescent="0.25">
      <c r="L54" s="13">
        <f>SUBTOTAL(9,L49:L53)</f>
        <v>6252</v>
      </c>
      <c r="M54" s="13">
        <f>M49</f>
        <v>7</v>
      </c>
    </row>
  </sheetData>
  <autoFilter ref="A2:P28" xr:uid="{00000000-0009-0000-0000-000012000000}">
    <sortState xmlns:xlrd2="http://schemas.microsoft.com/office/spreadsheetml/2017/richdata2" ref="A3:P28">
      <sortCondition ref="J2:J28"/>
    </sortState>
  </autoFilter>
  <mergeCells count="8">
    <mergeCell ref="C37:D37"/>
    <mergeCell ref="C38:D38"/>
    <mergeCell ref="C40:D40"/>
    <mergeCell ref="C32:D32"/>
    <mergeCell ref="C33:D33"/>
    <mergeCell ref="C34:D34"/>
    <mergeCell ref="C35:D35"/>
    <mergeCell ref="C36:D36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Q81"/>
  <sheetViews>
    <sheetView topLeftCell="A19" zoomScale="80" zoomScaleNormal="80" workbookViewId="0">
      <selection activeCell="G14" sqref="G14"/>
    </sheetView>
  </sheetViews>
  <sheetFormatPr defaultRowHeight="15" x14ac:dyDescent="0.25"/>
  <cols>
    <col min="1" max="1" width="12.7109375" customWidth="1"/>
    <col min="2" max="2" width="17.7109375" customWidth="1"/>
    <col min="3" max="3" width="36.5703125" bestFit="1" customWidth="1"/>
    <col min="4" max="4" width="10.28515625" bestFit="1" customWidth="1"/>
    <col min="5" max="5" width="77.7109375" bestFit="1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7.4257812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1890</v>
      </c>
      <c r="D3" s="15" t="s">
        <v>1891</v>
      </c>
      <c r="E3" s="15" t="s">
        <v>1892</v>
      </c>
      <c r="F3" s="16">
        <v>12</v>
      </c>
      <c r="G3" s="16">
        <v>820</v>
      </c>
      <c r="H3" s="16">
        <v>30</v>
      </c>
      <c r="I3" s="16">
        <f t="shared" ref="I3:I34" si="0">G3-H3</f>
        <v>790</v>
      </c>
      <c r="J3" s="15" t="s">
        <v>1893</v>
      </c>
      <c r="K3" s="15" t="s">
        <v>21</v>
      </c>
      <c r="L3" s="15" t="s">
        <v>1894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297</v>
      </c>
      <c r="D4" s="15" t="s">
        <v>1895</v>
      </c>
      <c r="E4" s="15" t="s">
        <v>299</v>
      </c>
      <c r="F4" s="16">
        <v>7</v>
      </c>
      <c r="G4" s="16">
        <v>470</v>
      </c>
      <c r="H4" s="16">
        <v>30</v>
      </c>
      <c r="I4" s="16">
        <f t="shared" si="0"/>
        <v>440</v>
      </c>
      <c r="J4" s="15" t="s">
        <v>1893</v>
      </c>
      <c r="K4" s="15" t="s">
        <v>21</v>
      </c>
      <c r="L4" s="15" t="s">
        <v>1894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1896</v>
      </c>
      <c r="D5" s="15" t="s">
        <v>1897</v>
      </c>
      <c r="E5" s="15" t="s">
        <v>58</v>
      </c>
      <c r="F5" s="16">
        <v>6</v>
      </c>
      <c r="G5" s="16">
        <v>505</v>
      </c>
      <c r="H5" s="16">
        <v>25</v>
      </c>
      <c r="I5" s="16">
        <f t="shared" si="0"/>
        <v>480</v>
      </c>
      <c r="J5" s="15" t="s">
        <v>1893</v>
      </c>
      <c r="K5" s="15" t="s">
        <v>21</v>
      </c>
      <c r="L5" s="15" t="s">
        <v>1894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1817</v>
      </c>
      <c r="D6" s="15" t="s">
        <v>1898</v>
      </c>
      <c r="E6" s="15" t="s">
        <v>1899</v>
      </c>
      <c r="F6" s="15" t="s">
        <v>139</v>
      </c>
      <c r="G6" s="16">
        <v>5640</v>
      </c>
      <c r="H6" s="16">
        <v>55</v>
      </c>
      <c r="I6" s="16">
        <f t="shared" si="0"/>
        <v>5585</v>
      </c>
      <c r="J6" s="15" t="s">
        <v>1893</v>
      </c>
      <c r="K6" s="15" t="s">
        <v>21</v>
      </c>
      <c r="L6" s="15" t="s">
        <v>1894</v>
      </c>
      <c r="M6" s="20" t="s">
        <v>167</v>
      </c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1900</v>
      </c>
      <c r="D7" s="15" t="s">
        <v>1901</v>
      </c>
      <c r="E7" s="15" t="s">
        <v>1902</v>
      </c>
      <c r="F7" s="16">
        <v>12</v>
      </c>
      <c r="G7" s="16">
        <v>0</v>
      </c>
      <c r="H7" s="16">
        <v>30</v>
      </c>
      <c r="I7" s="16">
        <f t="shared" si="0"/>
        <v>-30</v>
      </c>
      <c r="J7" s="15" t="s">
        <v>1893</v>
      </c>
      <c r="K7" s="15" t="s">
        <v>21</v>
      </c>
      <c r="L7" s="15" t="s">
        <v>1894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1167</v>
      </c>
      <c r="D8" s="15" t="s">
        <v>1903</v>
      </c>
      <c r="E8" s="15" t="s">
        <v>1169</v>
      </c>
      <c r="F8" s="16">
        <v>8</v>
      </c>
      <c r="G8" s="16">
        <v>850</v>
      </c>
      <c r="H8" s="16">
        <v>30</v>
      </c>
      <c r="I8" s="16">
        <f t="shared" si="0"/>
        <v>820</v>
      </c>
      <c r="J8" s="15" t="s">
        <v>1893</v>
      </c>
      <c r="K8" s="15" t="s">
        <v>21</v>
      </c>
      <c r="L8" s="15" t="s">
        <v>1894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1904</v>
      </c>
      <c r="D9" s="15" t="s">
        <v>1905</v>
      </c>
      <c r="E9" s="15" t="s">
        <v>1906</v>
      </c>
      <c r="F9" s="15" t="s">
        <v>26</v>
      </c>
      <c r="G9" s="16">
        <v>690</v>
      </c>
      <c r="H9" s="16">
        <v>30</v>
      </c>
      <c r="I9" s="16">
        <f t="shared" si="0"/>
        <v>660</v>
      </c>
      <c r="J9" s="15" t="s">
        <v>1893</v>
      </c>
      <c r="K9" s="15" t="s">
        <v>21</v>
      </c>
      <c r="L9" s="15" t="s">
        <v>1894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1907</v>
      </c>
      <c r="D10" s="15" t="s">
        <v>1908</v>
      </c>
      <c r="E10" s="15" t="s">
        <v>1909</v>
      </c>
      <c r="F10" s="16">
        <v>5</v>
      </c>
      <c r="G10" s="16">
        <v>845</v>
      </c>
      <c r="H10" s="16">
        <v>25</v>
      </c>
      <c r="I10" s="16">
        <f t="shared" si="0"/>
        <v>820</v>
      </c>
      <c r="J10" s="15" t="s">
        <v>1893</v>
      </c>
      <c r="K10" s="15" t="s">
        <v>21</v>
      </c>
      <c r="L10" s="15" t="s">
        <v>1894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1910</v>
      </c>
      <c r="D11" s="15" t="s">
        <v>1911</v>
      </c>
      <c r="E11" s="15" t="s">
        <v>1912</v>
      </c>
      <c r="F11" s="15" t="s">
        <v>46</v>
      </c>
      <c r="G11" s="16">
        <v>465</v>
      </c>
      <c r="H11" s="16">
        <v>25</v>
      </c>
      <c r="I11" s="16">
        <f t="shared" si="0"/>
        <v>440</v>
      </c>
      <c r="J11" s="15" t="s">
        <v>1893</v>
      </c>
      <c r="K11" s="15" t="s">
        <v>21</v>
      </c>
      <c r="L11" s="15" t="s">
        <v>1894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1913</v>
      </c>
      <c r="D12" s="15" t="s">
        <v>1914</v>
      </c>
      <c r="E12" s="15" t="s">
        <v>1915</v>
      </c>
      <c r="F12" s="15" t="s">
        <v>46</v>
      </c>
      <c r="G12" s="16">
        <v>845</v>
      </c>
      <c r="H12" s="16">
        <v>25</v>
      </c>
      <c r="I12" s="16">
        <f t="shared" si="0"/>
        <v>820</v>
      </c>
      <c r="J12" s="15" t="s">
        <v>1893</v>
      </c>
      <c r="K12" s="15" t="s">
        <v>21</v>
      </c>
      <c r="L12" s="15" t="s">
        <v>1894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315</v>
      </c>
      <c r="D13" s="15" t="s">
        <v>1916</v>
      </c>
      <c r="E13" s="15" t="s">
        <v>1917</v>
      </c>
      <c r="F13" s="16">
        <v>7</v>
      </c>
      <c r="G13" s="16">
        <v>990</v>
      </c>
      <c r="H13" s="16">
        <v>30</v>
      </c>
      <c r="I13" s="16">
        <f t="shared" si="0"/>
        <v>960</v>
      </c>
      <c r="J13" s="15" t="s">
        <v>1893</v>
      </c>
      <c r="K13" s="15" t="s">
        <v>21</v>
      </c>
      <c r="L13" s="15" t="s">
        <v>1894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1918</v>
      </c>
      <c r="D14" s="15" t="s">
        <v>1919</v>
      </c>
      <c r="E14" s="15" t="s">
        <v>1920</v>
      </c>
      <c r="F14" s="16">
        <v>8</v>
      </c>
      <c r="G14" s="16">
        <v>1640</v>
      </c>
      <c r="H14" s="16">
        <v>30</v>
      </c>
      <c r="I14" s="16">
        <f t="shared" si="0"/>
        <v>1610</v>
      </c>
      <c r="J14" s="15" t="s">
        <v>1893</v>
      </c>
      <c r="K14" s="15" t="s">
        <v>21</v>
      </c>
      <c r="L14" s="15" t="s">
        <v>1894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745</v>
      </c>
      <c r="D15" s="15" t="s">
        <v>1921</v>
      </c>
      <c r="E15" s="15" t="s">
        <v>1922</v>
      </c>
      <c r="F15" s="16">
        <v>7</v>
      </c>
      <c r="G15" s="16">
        <v>1260</v>
      </c>
      <c r="H15" s="16">
        <v>30</v>
      </c>
      <c r="I15" s="16">
        <f t="shared" si="0"/>
        <v>1230</v>
      </c>
      <c r="J15" s="15" t="s">
        <v>1893</v>
      </c>
      <c r="K15" s="15" t="s">
        <v>21</v>
      </c>
      <c r="L15" s="15" t="s">
        <v>1894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1588</v>
      </c>
      <c r="D16" s="15" t="s">
        <v>1923</v>
      </c>
      <c r="E16" s="15" t="s">
        <v>1590</v>
      </c>
      <c r="F16" s="16">
        <v>6</v>
      </c>
      <c r="G16" s="16">
        <v>1735</v>
      </c>
      <c r="H16" s="16">
        <v>25</v>
      </c>
      <c r="I16" s="16">
        <f t="shared" si="0"/>
        <v>1710</v>
      </c>
      <c r="J16" s="15" t="s">
        <v>1893</v>
      </c>
      <c r="K16" s="15" t="s">
        <v>21</v>
      </c>
      <c r="L16" s="15" t="s">
        <v>1894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1924</v>
      </c>
      <c r="D17" s="15" t="s">
        <v>1925</v>
      </c>
      <c r="E17" s="15" t="s">
        <v>1926</v>
      </c>
      <c r="F17" s="16">
        <v>6</v>
      </c>
      <c r="G17" s="16">
        <v>995</v>
      </c>
      <c r="H17" s="16">
        <v>25</v>
      </c>
      <c r="I17" s="16">
        <f t="shared" si="0"/>
        <v>970</v>
      </c>
      <c r="J17" s="15" t="s">
        <v>1893</v>
      </c>
      <c r="K17" s="15" t="s">
        <v>21</v>
      </c>
      <c r="L17" s="15" t="s">
        <v>1894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999</v>
      </c>
      <c r="D18" s="15" t="s">
        <v>1927</v>
      </c>
      <c r="E18" s="15" t="s">
        <v>1001</v>
      </c>
      <c r="F18" s="15" t="s">
        <v>26</v>
      </c>
      <c r="G18" s="16">
        <v>470</v>
      </c>
      <c r="H18" s="16">
        <v>30</v>
      </c>
      <c r="I18" s="16">
        <f t="shared" si="0"/>
        <v>440</v>
      </c>
      <c r="J18" s="15" t="s">
        <v>1893</v>
      </c>
      <c r="K18" s="15" t="s">
        <v>21</v>
      </c>
      <c r="L18" s="15" t="s">
        <v>1894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1928</v>
      </c>
      <c r="D19" s="15" t="s">
        <v>1929</v>
      </c>
      <c r="E19" s="15" t="s">
        <v>1930</v>
      </c>
      <c r="F19" s="15" t="s">
        <v>26</v>
      </c>
      <c r="G19" s="16">
        <v>520</v>
      </c>
      <c r="H19" s="16">
        <v>30</v>
      </c>
      <c r="I19" s="16">
        <f t="shared" si="0"/>
        <v>490</v>
      </c>
      <c r="J19" s="15" t="s">
        <v>1893</v>
      </c>
      <c r="K19" s="15" t="s">
        <v>21</v>
      </c>
      <c r="L19" s="15" t="s">
        <v>1894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1931</v>
      </c>
      <c r="D20" s="15" t="s">
        <v>1932</v>
      </c>
      <c r="E20" s="15" t="s">
        <v>1933</v>
      </c>
      <c r="F20" s="15" t="s">
        <v>26</v>
      </c>
      <c r="G20" s="16">
        <v>0</v>
      </c>
      <c r="H20" s="16">
        <v>30</v>
      </c>
      <c r="I20" s="16">
        <f t="shared" si="0"/>
        <v>-30</v>
      </c>
      <c r="J20" s="15" t="s">
        <v>1893</v>
      </c>
      <c r="K20" s="15" t="s">
        <v>21</v>
      </c>
      <c r="L20" s="15" t="s">
        <v>1894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1934</v>
      </c>
      <c r="D21" s="15" t="s">
        <v>1935</v>
      </c>
      <c r="E21" s="15" t="s">
        <v>1936</v>
      </c>
      <c r="F21" s="16">
        <v>7</v>
      </c>
      <c r="G21" s="16">
        <v>810</v>
      </c>
      <c r="H21" s="16">
        <v>30</v>
      </c>
      <c r="I21" s="16">
        <f t="shared" si="0"/>
        <v>780</v>
      </c>
      <c r="J21" s="15" t="s">
        <v>1893</v>
      </c>
      <c r="K21" s="15" t="s">
        <v>21</v>
      </c>
      <c r="L21" s="15" t="s">
        <v>1894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149</v>
      </c>
      <c r="D22" s="15" t="s">
        <v>1937</v>
      </c>
      <c r="E22" s="15" t="s">
        <v>1938</v>
      </c>
      <c r="F22" s="15" t="s">
        <v>46</v>
      </c>
      <c r="G22" s="16">
        <v>795</v>
      </c>
      <c r="H22" s="16">
        <v>25</v>
      </c>
      <c r="I22" s="16">
        <f t="shared" si="0"/>
        <v>770</v>
      </c>
      <c r="J22" s="15" t="s">
        <v>1893</v>
      </c>
      <c r="K22" s="15" t="s">
        <v>21</v>
      </c>
      <c r="L22" s="15" t="s">
        <v>1894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657</v>
      </c>
      <c r="D23" s="15" t="s">
        <v>1939</v>
      </c>
      <c r="E23" s="15" t="s">
        <v>659</v>
      </c>
      <c r="F23" s="15" t="s">
        <v>46</v>
      </c>
      <c r="G23" s="16">
        <v>995</v>
      </c>
      <c r="H23" s="16">
        <v>25</v>
      </c>
      <c r="I23" s="16">
        <f t="shared" si="0"/>
        <v>970</v>
      </c>
      <c r="J23" s="15" t="s">
        <v>1893</v>
      </c>
      <c r="K23" s="15" t="s">
        <v>21</v>
      </c>
      <c r="L23" s="15" t="s">
        <v>1894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34" t="s">
        <v>1940</v>
      </c>
      <c r="D24" s="15" t="s">
        <v>1941</v>
      </c>
      <c r="E24" s="15" t="s">
        <v>1942</v>
      </c>
      <c r="F24" s="15" t="s">
        <v>1335</v>
      </c>
      <c r="G24" s="16">
        <v>865</v>
      </c>
      <c r="H24" s="16">
        <v>35</v>
      </c>
      <c r="I24" s="16">
        <f t="shared" si="0"/>
        <v>830</v>
      </c>
      <c r="J24" s="15" t="s">
        <v>1893</v>
      </c>
      <c r="K24" s="15" t="s">
        <v>21</v>
      </c>
      <c r="L24" s="15" t="s">
        <v>1894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1943</v>
      </c>
      <c r="D25" s="15" t="s">
        <v>1944</v>
      </c>
      <c r="E25" s="15" t="s">
        <v>1945</v>
      </c>
      <c r="F25" s="15" t="s">
        <v>46</v>
      </c>
      <c r="G25" s="16">
        <v>0</v>
      </c>
      <c r="H25" s="16">
        <v>25</v>
      </c>
      <c r="I25" s="16">
        <f t="shared" si="0"/>
        <v>-25</v>
      </c>
      <c r="J25" s="15" t="s">
        <v>1893</v>
      </c>
      <c r="K25" s="15" t="s">
        <v>21</v>
      </c>
      <c r="L25" s="15" t="s">
        <v>1894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1946</v>
      </c>
      <c r="D26" s="15" t="s">
        <v>1947</v>
      </c>
      <c r="E26" s="15" t="s">
        <v>1948</v>
      </c>
      <c r="F26" s="15" t="s">
        <v>134</v>
      </c>
      <c r="G26" s="16">
        <v>2760</v>
      </c>
      <c r="H26" s="16">
        <v>35</v>
      </c>
      <c r="I26" s="16">
        <f t="shared" si="0"/>
        <v>2725</v>
      </c>
      <c r="J26" s="15" t="s">
        <v>1893</v>
      </c>
      <c r="K26" s="15" t="s">
        <v>21</v>
      </c>
      <c r="L26" s="15" t="s">
        <v>1894</v>
      </c>
      <c r="M26" s="20" t="s">
        <v>167</v>
      </c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610</v>
      </c>
      <c r="D27" s="15" t="s">
        <v>1949</v>
      </c>
      <c r="E27" s="15" t="s">
        <v>1950</v>
      </c>
      <c r="F27" s="16">
        <v>7</v>
      </c>
      <c r="G27" s="16">
        <v>820</v>
      </c>
      <c r="H27" s="16">
        <v>30</v>
      </c>
      <c r="I27" s="16">
        <f t="shared" si="0"/>
        <v>790</v>
      </c>
      <c r="J27" s="15" t="s">
        <v>1893</v>
      </c>
      <c r="K27" s="15" t="s">
        <v>21</v>
      </c>
      <c r="L27" s="15" t="s">
        <v>1894</v>
      </c>
      <c r="M27" s="15"/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1951</v>
      </c>
      <c r="D28" s="15" t="s">
        <v>1952</v>
      </c>
      <c r="E28" s="15" t="s">
        <v>1953</v>
      </c>
      <c r="F28" s="16">
        <v>7</v>
      </c>
      <c r="G28" s="16">
        <v>810</v>
      </c>
      <c r="H28" s="16">
        <v>30</v>
      </c>
      <c r="I28" s="16">
        <f t="shared" si="0"/>
        <v>780</v>
      </c>
      <c r="J28" s="15" t="s">
        <v>1893</v>
      </c>
      <c r="K28" s="15" t="s">
        <v>21</v>
      </c>
      <c r="L28" s="15" t="s">
        <v>1894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1954</v>
      </c>
      <c r="D29" s="15" t="s">
        <v>1955</v>
      </c>
      <c r="E29" s="15" t="s">
        <v>1956</v>
      </c>
      <c r="F29" s="16">
        <v>9</v>
      </c>
      <c r="G29" s="16">
        <v>0</v>
      </c>
      <c r="H29" s="16">
        <v>30</v>
      </c>
      <c r="I29" s="16">
        <f t="shared" si="0"/>
        <v>-30</v>
      </c>
      <c r="J29" s="15" t="s">
        <v>1893</v>
      </c>
      <c r="K29" s="15" t="s">
        <v>21</v>
      </c>
      <c r="L29" s="15" t="s">
        <v>1894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870</v>
      </c>
      <c r="D30" s="15"/>
      <c r="E30" s="15" t="s">
        <v>632</v>
      </c>
      <c r="F30" s="16">
        <v>6</v>
      </c>
      <c r="G30" s="16">
        <v>0</v>
      </c>
      <c r="H30" s="16">
        <v>30</v>
      </c>
      <c r="I30" s="16">
        <f t="shared" si="0"/>
        <v>-30</v>
      </c>
      <c r="J30" s="15" t="s">
        <v>1893</v>
      </c>
      <c r="K30" s="15" t="s">
        <v>21</v>
      </c>
      <c r="L30" s="15" t="s">
        <v>1894</v>
      </c>
      <c r="M30" s="15"/>
      <c r="N30" s="15"/>
      <c r="O30" s="15"/>
      <c r="P30" s="15"/>
      <c r="Q30" s="15">
        <v>1</v>
      </c>
    </row>
    <row r="31" spans="1:17" x14ac:dyDescent="0.25">
      <c r="A31" s="15"/>
      <c r="B31" s="15" t="s">
        <v>17</v>
      </c>
      <c r="C31" s="15" t="s">
        <v>1546</v>
      </c>
      <c r="D31" s="15" t="s">
        <v>1957</v>
      </c>
      <c r="E31" s="15" t="s">
        <v>1548</v>
      </c>
      <c r="F31" s="15" t="s">
        <v>85</v>
      </c>
      <c r="G31" s="16">
        <v>0</v>
      </c>
      <c r="H31" s="16">
        <v>20</v>
      </c>
      <c r="I31" s="16">
        <f t="shared" si="0"/>
        <v>-20</v>
      </c>
      <c r="J31" s="15" t="s">
        <v>21</v>
      </c>
      <c r="K31" s="15" t="s">
        <v>21</v>
      </c>
      <c r="L31" s="15" t="s">
        <v>1894</v>
      </c>
      <c r="M31" s="15"/>
      <c r="N31" s="15"/>
      <c r="O31" s="15"/>
      <c r="P31" s="15"/>
      <c r="Q31" s="15">
        <v>1</v>
      </c>
    </row>
    <row r="32" spans="1:17" x14ac:dyDescent="0.25">
      <c r="A32" s="15"/>
      <c r="B32" s="15" t="s">
        <v>17</v>
      </c>
      <c r="C32" s="15" t="s">
        <v>1958</v>
      </c>
      <c r="D32" s="15" t="s">
        <v>1959</v>
      </c>
      <c r="E32" s="15" t="s">
        <v>1960</v>
      </c>
      <c r="F32" s="15" t="s">
        <v>77</v>
      </c>
      <c r="G32" s="16">
        <v>1855</v>
      </c>
      <c r="H32" s="16">
        <v>25</v>
      </c>
      <c r="I32" s="16">
        <f t="shared" si="0"/>
        <v>1830</v>
      </c>
      <c r="J32" s="15" t="s">
        <v>21</v>
      </c>
      <c r="K32" s="15" t="s">
        <v>21</v>
      </c>
      <c r="L32" s="15" t="s">
        <v>1894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1961</v>
      </c>
      <c r="D33" s="15" t="s">
        <v>1962</v>
      </c>
      <c r="E33" s="15" t="s">
        <v>1963</v>
      </c>
      <c r="F33" s="15" t="s">
        <v>77</v>
      </c>
      <c r="G33" s="16">
        <v>785</v>
      </c>
      <c r="H33" s="16">
        <v>25</v>
      </c>
      <c r="I33" s="16">
        <f t="shared" si="0"/>
        <v>760</v>
      </c>
      <c r="J33" s="15" t="s">
        <v>21</v>
      </c>
      <c r="K33" s="15" t="s">
        <v>21</v>
      </c>
      <c r="L33" s="15" t="s">
        <v>1894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1964</v>
      </c>
      <c r="D34" s="15" t="s">
        <v>1965</v>
      </c>
      <c r="E34" s="15" t="s">
        <v>1966</v>
      </c>
      <c r="F34" s="16">
        <v>2</v>
      </c>
      <c r="G34" s="16">
        <v>1110</v>
      </c>
      <c r="H34" s="16">
        <v>30</v>
      </c>
      <c r="I34" s="16">
        <f t="shared" si="0"/>
        <v>1080</v>
      </c>
      <c r="J34" s="15" t="s">
        <v>21</v>
      </c>
      <c r="K34" s="15" t="s">
        <v>21</v>
      </c>
      <c r="L34" s="15" t="s">
        <v>1894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1860</v>
      </c>
      <c r="D35" s="15" t="s">
        <v>1967</v>
      </c>
      <c r="E35" s="15" t="s">
        <v>1862</v>
      </c>
      <c r="F35" s="15" t="s">
        <v>85</v>
      </c>
      <c r="G35" s="16">
        <v>60</v>
      </c>
      <c r="H35" s="16">
        <v>20</v>
      </c>
      <c r="I35" s="16">
        <f t="shared" ref="I35:I55" si="1">G35-H35</f>
        <v>40</v>
      </c>
      <c r="J35" s="15" t="s">
        <v>21</v>
      </c>
      <c r="K35" s="15" t="s">
        <v>21</v>
      </c>
      <c r="L35" s="15" t="s">
        <v>1894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1968</v>
      </c>
      <c r="D36" s="15" t="s">
        <v>1969</v>
      </c>
      <c r="E36" s="15" t="s">
        <v>1970</v>
      </c>
      <c r="F36" s="16">
        <v>2</v>
      </c>
      <c r="G36" s="16">
        <v>880</v>
      </c>
      <c r="H36" s="16">
        <v>30</v>
      </c>
      <c r="I36" s="16">
        <f t="shared" si="1"/>
        <v>850</v>
      </c>
      <c r="J36" s="15" t="s">
        <v>21</v>
      </c>
      <c r="K36" s="15" t="s">
        <v>21</v>
      </c>
      <c r="L36" s="15" t="s">
        <v>1894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1097</v>
      </c>
      <c r="D37" s="15" t="s">
        <v>1971</v>
      </c>
      <c r="E37" s="15" t="s">
        <v>1972</v>
      </c>
      <c r="F37" s="15" t="s">
        <v>77</v>
      </c>
      <c r="G37" s="16">
        <v>995</v>
      </c>
      <c r="H37" s="16">
        <v>25</v>
      </c>
      <c r="I37" s="16">
        <f t="shared" si="1"/>
        <v>970</v>
      </c>
      <c r="J37" s="15" t="s">
        <v>21</v>
      </c>
      <c r="K37" s="15" t="s">
        <v>21</v>
      </c>
      <c r="L37" s="15" t="s">
        <v>1894</v>
      </c>
      <c r="M37" s="15"/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871</v>
      </c>
      <c r="D38" s="15" t="s">
        <v>1973</v>
      </c>
      <c r="E38" s="15" t="s">
        <v>873</v>
      </c>
      <c r="F38" s="15" t="s">
        <v>77</v>
      </c>
      <c r="G38" s="16">
        <v>725</v>
      </c>
      <c r="H38" s="16">
        <v>25</v>
      </c>
      <c r="I38" s="16">
        <f t="shared" si="1"/>
        <v>700</v>
      </c>
      <c r="J38" s="15" t="s">
        <v>21</v>
      </c>
      <c r="K38" s="15" t="s">
        <v>21</v>
      </c>
      <c r="L38" s="15" t="s">
        <v>1894</v>
      </c>
      <c r="M38" s="20" t="s">
        <v>377</v>
      </c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871</v>
      </c>
      <c r="D39" s="15" t="s">
        <v>1974</v>
      </c>
      <c r="E39" s="15" t="s">
        <v>873</v>
      </c>
      <c r="F39" s="15" t="s">
        <v>77</v>
      </c>
      <c r="G39" s="16">
        <v>850</v>
      </c>
      <c r="H39" s="16">
        <v>0</v>
      </c>
      <c r="I39" s="16">
        <f t="shared" si="1"/>
        <v>850</v>
      </c>
      <c r="J39" s="15" t="s">
        <v>21</v>
      </c>
      <c r="K39" s="15" t="s">
        <v>21</v>
      </c>
      <c r="L39" s="15" t="s">
        <v>1894</v>
      </c>
      <c r="M39" s="20" t="s">
        <v>377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1975</v>
      </c>
      <c r="D40" s="15" t="s">
        <v>1976</v>
      </c>
      <c r="E40" s="15" t="s">
        <v>1977</v>
      </c>
      <c r="F40" s="15" t="s">
        <v>77</v>
      </c>
      <c r="G40" s="16">
        <v>845</v>
      </c>
      <c r="H40" s="16">
        <v>25</v>
      </c>
      <c r="I40" s="16">
        <f t="shared" si="1"/>
        <v>820</v>
      </c>
      <c r="J40" s="15" t="s">
        <v>21</v>
      </c>
      <c r="K40" s="15" t="s">
        <v>21</v>
      </c>
      <c r="L40" s="15" t="s">
        <v>1894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1978</v>
      </c>
      <c r="D41" s="15" t="s">
        <v>1979</v>
      </c>
      <c r="E41" s="15" t="s">
        <v>1980</v>
      </c>
      <c r="F41" s="15" t="s">
        <v>95</v>
      </c>
      <c r="G41" s="16">
        <v>715</v>
      </c>
      <c r="H41" s="16">
        <v>25</v>
      </c>
      <c r="I41" s="16">
        <f t="shared" si="1"/>
        <v>690</v>
      </c>
      <c r="J41" s="15" t="s">
        <v>21</v>
      </c>
      <c r="K41" s="15" t="s">
        <v>21</v>
      </c>
      <c r="L41" s="15" t="s">
        <v>1894</v>
      </c>
      <c r="M41" s="15"/>
      <c r="N41" s="15"/>
      <c r="O41" s="15"/>
      <c r="P41" s="15"/>
      <c r="Q41" s="15">
        <v>1</v>
      </c>
    </row>
    <row r="42" spans="1:17" x14ac:dyDescent="0.25">
      <c r="A42" s="15" t="s">
        <v>16</v>
      </c>
      <c r="B42" s="15" t="s">
        <v>17</v>
      </c>
      <c r="C42" s="15" t="s">
        <v>129</v>
      </c>
      <c r="D42" s="15"/>
      <c r="E42" s="15" t="s">
        <v>130</v>
      </c>
      <c r="F42" s="15" t="s">
        <v>77</v>
      </c>
      <c r="G42" s="16">
        <v>2450</v>
      </c>
      <c r="H42" s="16">
        <v>30</v>
      </c>
      <c r="I42" s="16">
        <f t="shared" si="1"/>
        <v>2420</v>
      </c>
      <c r="J42" s="15" t="s">
        <v>21</v>
      </c>
      <c r="K42" s="15" t="s">
        <v>21</v>
      </c>
      <c r="L42" s="15" t="s">
        <v>1894</v>
      </c>
      <c r="M42" s="15"/>
      <c r="N42" s="15"/>
      <c r="O42" s="15"/>
      <c r="P42" s="15"/>
      <c r="Q42" s="15">
        <v>1</v>
      </c>
    </row>
    <row r="43" spans="1:17" x14ac:dyDescent="0.25">
      <c r="A43" s="15" t="s">
        <v>16</v>
      </c>
      <c r="B43" s="15" t="s">
        <v>17</v>
      </c>
      <c r="C43" s="15" t="s">
        <v>1320</v>
      </c>
      <c r="D43" s="15"/>
      <c r="E43" s="15" t="s">
        <v>1321</v>
      </c>
      <c r="F43" s="15" t="s">
        <v>95</v>
      </c>
      <c r="G43" s="16">
        <v>0</v>
      </c>
      <c r="H43" s="16">
        <v>30</v>
      </c>
      <c r="I43" s="16">
        <f t="shared" si="1"/>
        <v>-30</v>
      </c>
      <c r="J43" s="15" t="s">
        <v>21</v>
      </c>
      <c r="K43" s="15" t="s">
        <v>21</v>
      </c>
      <c r="L43" s="15" t="s">
        <v>1894</v>
      </c>
      <c r="M43" s="15"/>
      <c r="N43" s="15"/>
      <c r="O43" s="15"/>
      <c r="P43" s="15"/>
      <c r="Q43" s="15">
        <v>1</v>
      </c>
    </row>
    <row r="44" spans="1:17" x14ac:dyDescent="0.25">
      <c r="A44" s="15" t="s">
        <v>16</v>
      </c>
      <c r="B44" s="15" t="s">
        <v>17</v>
      </c>
      <c r="C44" s="15" t="s">
        <v>370</v>
      </c>
      <c r="D44" s="15"/>
      <c r="E44" s="15" t="s">
        <v>371</v>
      </c>
      <c r="F44" s="15" t="s">
        <v>77</v>
      </c>
      <c r="G44" s="16">
        <v>370</v>
      </c>
      <c r="H44" s="16">
        <v>30</v>
      </c>
      <c r="I44" s="16">
        <f t="shared" si="1"/>
        <v>340</v>
      </c>
      <c r="J44" s="15" t="s">
        <v>21</v>
      </c>
      <c r="K44" s="15" t="s">
        <v>21</v>
      </c>
      <c r="L44" s="15" t="s">
        <v>1894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1981</v>
      </c>
      <c r="D45" s="15" t="s">
        <v>1982</v>
      </c>
      <c r="E45" s="15" t="s">
        <v>1983</v>
      </c>
      <c r="F45" s="16">
        <v>1</v>
      </c>
      <c r="G45" s="16">
        <v>0</v>
      </c>
      <c r="H45" s="16">
        <v>25</v>
      </c>
      <c r="I45" s="16">
        <f t="shared" si="1"/>
        <v>-25</v>
      </c>
      <c r="J45" s="15" t="s">
        <v>135</v>
      </c>
      <c r="K45" s="15" t="s">
        <v>21</v>
      </c>
      <c r="L45" s="15" t="s">
        <v>1894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1277</v>
      </c>
      <c r="D46" s="15" t="s">
        <v>1984</v>
      </c>
      <c r="E46" s="15" t="s">
        <v>1279</v>
      </c>
      <c r="F46" s="15" t="s">
        <v>406</v>
      </c>
      <c r="G46" s="16">
        <v>1100</v>
      </c>
      <c r="H46" s="16">
        <v>20</v>
      </c>
      <c r="I46" s="16">
        <f t="shared" si="1"/>
        <v>1080</v>
      </c>
      <c r="J46" s="15" t="s">
        <v>135</v>
      </c>
      <c r="K46" s="15" t="s">
        <v>21</v>
      </c>
      <c r="L46" s="15" t="s">
        <v>1894</v>
      </c>
      <c r="M46" s="15"/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1985</v>
      </c>
      <c r="D47" s="15" t="s">
        <v>1986</v>
      </c>
      <c r="E47" s="15" t="s">
        <v>1987</v>
      </c>
      <c r="F47" s="15" t="s">
        <v>95</v>
      </c>
      <c r="G47" s="16">
        <v>995</v>
      </c>
      <c r="H47" s="16">
        <v>25</v>
      </c>
      <c r="I47" s="16">
        <f t="shared" si="1"/>
        <v>970</v>
      </c>
      <c r="J47" s="15" t="s">
        <v>135</v>
      </c>
      <c r="K47" s="15" t="s">
        <v>21</v>
      </c>
      <c r="L47" s="15" t="s">
        <v>1894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1988</v>
      </c>
      <c r="D48" s="15" t="s">
        <v>1989</v>
      </c>
      <c r="E48" s="15" t="s">
        <v>1990</v>
      </c>
      <c r="F48" s="16">
        <v>4</v>
      </c>
      <c r="G48" s="16">
        <v>845</v>
      </c>
      <c r="H48" s="16">
        <v>25</v>
      </c>
      <c r="I48" s="16">
        <f t="shared" si="1"/>
        <v>820</v>
      </c>
      <c r="J48" s="15" t="s">
        <v>135</v>
      </c>
      <c r="K48" s="15" t="s">
        <v>21</v>
      </c>
      <c r="L48" s="15" t="s">
        <v>1894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1991</v>
      </c>
      <c r="D49" s="15" t="s">
        <v>1992</v>
      </c>
      <c r="E49" s="15" t="s">
        <v>1993</v>
      </c>
      <c r="F49" s="15" t="s">
        <v>406</v>
      </c>
      <c r="G49" s="16">
        <v>1010</v>
      </c>
      <c r="H49" s="16">
        <v>20</v>
      </c>
      <c r="I49" s="16">
        <f t="shared" si="1"/>
        <v>990</v>
      </c>
      <c r="J49" s="15" t="s">
        <v>135</v>
      </c>
      <c r="K49" s="15" t="s">
        <v>21</v>
      </c>
      <c r="L49" s="15" t="s">
        <v>1894</v>
      </c>
      <c r="M49" s="15"/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1994</v>
      </c>
      <c r="D50" s="15" t="s">
        <v>1995</v>
      </c>
      <c r="E50" s="15" t="s">
        <v>1996</v>
      </c>
      <c r="F50" s="15" t="s">
        <v>95</v>
      </c>
      <c r="G50" s="16">
        <v>0</v>
      </c>
      <c r="H50" s="16">
        <v>25</v>
      </c>
      <c r="I50" s="16">
        <f t="shared" si="1"/>
        <v>-25</v>
      </c>
      <c r="J50" s="15" t="s">
        <v>135</v>
      </c>
      <c r="K50" s="15" t="s">
        <v>21</v>
      </c>
      <c r="L50" s="15" t="s">
        <v>1894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1875</v>
      </c>
      <c r="D51" s="15" t="s">
        <v>1997</v>
      </c>
      <c r="E51" s="15" t="s">
        <v>1877</v>
      </c>
      <c r="F51" s="16">
        <v>3</v>
      </c>
      <c r="G51" s="16">
        <v>0</v>
      </c>
      <c r="H51" s="16">
        <v>25</v>
      </c>
      <c r="I51" s="16">
        <f t="shared" si="1"/>
        <v>-25</v>
      </c>
      <c r="J51" s="15" t="s">
        <v>135</v>
      </c>
      <c r="K51" s="15" t="s">
        <v>21</v>
      </c>
      <c r="L51" s="15" t="s">
        <v>1894</v>
      </c>
      <c r="M51" s="20" t="s">
        <v>1998</v>
      </c>
      <c r="N51" s="15"/>
      <c r="O51" s="15"/>
      <c r="P51" s="15"/>
      <c r="Q51" s="15">
        <v>1</v>
      </c>
    </row>
    <row r="52" spans="1:17" x14ac:dyDescent="0.25">
      <c r="A52" s="15"/>
      <c r="B52" s="15" t="s">
        <v>17</v>
      </c>
      <c r="C52" s="15" t="s">
        <v>1999</v>
      </c>
      <c r="D52" s="15" t="s">
        <v>2000</v>
      </c>
      <c r="E52" s="15" t="s">
        <v>2001</v>
      </c>
      <c r="F52" s="15" t="s">
        <v>406</v>
      </c>
      <c r="G52" s="16">
        <v>390</v>
      </c>
      <c r="H52" s="16">
        <v>20</v>
      </c>
      <c r="I52" s="16">
        <f t="shared" si="1"/>
        <v>370</v>
      </c>
      <c r="J52" s="15" t="s">
        <v>135</v>
      </c>
      <c r="K52" s="15" t="s">
        <v>21</v>
      </c>
      <c r="L52" s="15" t="s">
        <v>1894</v>
      </c>
      <c r="M52" s="15"/>
      <c r="N52" s="15"/>
      <c r="O52" s="15"/>
      <c r="P52" s="15"/>
      <c r="Q52" s="15">
        <v>1</v>
      </c>
    </row>
    <row r="53" spans="1:17" x14ac:dyDescent="0.25">
      <c r="A53" s="15"/>
      <c r="B53" s="15" t="s">
        <v>17</v>
      </c>
      <c r="C53" s="15" t="s">
        <v>721</v>
      </c>
      <c r="D53" s="15" t="s">
        <v>2002</v>
      </c>
      <c r="E53" s="15" t="s">
        <v>2003</v>
      </c>
      <c r="F53" s="16">
        <v>10</v>
      </c>
      <c r="G53" s="16">
        <v>845</v>
      </c>
      <c r="H53" s="16">
        <v>25</v>
      </c>
      <c r="I53" s="16">
        <f t="shared" si="1"/>
        <v>820</v>
      </c>
      <c r="J53" s="15" t="s">
        <v>135</v>
      </c>
      <c r="K53" s="15" t="s">
        <v>21</v>
      </c>
      <c r="L53" s="15" t="s">
        <v>1894</v>
      </c>
      <c r="M53" s="20" t="s">
        <v>377</v>
      </c>
      <c r="N53" s="15"/>
      <c r="O53" s="15"/>
      <c r="P53" s="15"/>
      <c r="Q53" s="15">
        <v>1</v>
      </c>
    </row>
    <row r="54" spans="1:17" x14ac:dyDescent="0.25">
      <c r="A54" s="15"/>
      <c r="B54" s="15" t="s">
        <v>17</v>
      </c>
      <c r="C54" s="15" t="s">
        <v>721</v>
      </c>
      <c r="D54" s="15" t="s">
        <v>2004</v>
      </c>
      <c r="E54" s="15" t="s">
        <v>2003</v>
      </c>
      <c r="F54" s="16">
        <v>10</v>
      </c>
      <c r="G54" s="16">
        <v>770</v>
      </c>
      <c r="H54" s="16">
        <v>0</v>
      </c>
      <c r="I54" s="16">
        <f t="shared" si="1"/>
        <v>770</v>
      </c>
      <c r="J54" s="15" t="s">
        <v>135</v>
      </c>
      <c r="K54" s="15" t="s">
        <v>21</v>
      </c>
      <c r="L54" s="15" t="s">
        <v>1894</v>
      </c>
      <c r="M54" s="20" t="s">
        <v>377</v>
      </c>
      <c r="N54" s="15"/>
      <c r="O54" s="15"/>
      <c r="P54" s="15"/>
      <c r="Q54" s="15">
        <v>1</v>
      </c>
    </row>
    <row r="55" spans="1:17" x14ac:dyDescent="0.25">
      <c r="A55" s="15"/>
      <c r="B55" s="15" t="s">
        <v>17</v>
      </c>
      <c r="C55" s="15" t="s">
        <v>2005</v>
      </c>
      <c r="D55" s="15" t="s">
        <v>2006</v>
      </c>
      <c r="E55" s="15" t="s">
        <v>2007</v>
      </c>
      <c r="F55" s="16">
        <v>10</v>
      </c>
      <c r="G55" s="16">
        <v>465</v>
      </c>
      <c r="H55" s="16">
        <v>25</v>
      </c>
      <c r="I55" s="16">
        <f t="shared" si="1"/>
        <v>440</v>
      </c>
      <c r="J55" s="15" t="s">
        <v>135</v>
      </c>
      <c r="K55" s="15" t="s">
        <v>21</v>
      </c>
      <c r="L55" s="15" t="s">
        <v>1894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49</v>
      </c>
      <c r="G57" s="1">
        <f t="shared" ref="G57:Q57" si="2">SUBTOTAL(9,G3:G55)</f>
        <v>44655</v>
      </c>
      <c r="H57" s="1">
        <f t="shared" si="2"/>
        <v>1405</v>
      </c>
      <c r="I57" s="1">
        <f t="shared" si="2"/>
        <v>43250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-18*17</f>
        <v>-306</v>
      </c>
    </row>
    <row r="59" spans="1:17" x14ac:dyDescent="0.25">
      <c r="A59" s="1" t="s">
        <v>17</v>
      </c>
      <c r="C59" s="40" t="s">
        <v>191</v>
      </c>
      <c r="D59" s="40"/>
      <c r="E59" s="4" t="s">
        <v>192</v>
      </c>
      <c r="H59">
        <f>-7*25</f>
        <v>-175</v>
      </c>
      <c r="K59" s="11" t="s">
        <v>21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1894</v>
      </c>
      <c r="B60" s="3" t="s">
        <v>195</v>
      </c>
      <c r="C60" s="41">
        <f>SUMIFS(I$3:I$55,B$3:B$55,A$59,L$3:L$55,A$60)</f>
        <v>43250</v>
      </c>
      <c r="D60" s="41"/>
      <c r="E60" s="3">
        <f>SUMIFS(Q$3:Q$55,B$3:B$55,A$59,L$3:L$55,A$60)</f>
        <v>53</v>
      </c>
      <c r="F60" t="s">
        <v>196</v>
      </c>
      <c r="H60">
        <f>-3*30</f>
        <v>-90</v>
      </c>
      <c r="K60" t="s">
        <v>197</v>
      </c>
      <c r="L60">
        <f>SUMIFS(G$3:G$55,J$3:J$55,K$59)</f>
        <v>11640</v>
      </c>
      <c r="M60">
        <f>SUMIFS(Q$3:Q$55,J$3:J$55,K$59)-INT(COUNTIFS(J$3:J$55,K$59,M$3:M$55,"*gộp*")/2)</f>
        <v>13</v>
      </c>
      <c r="O60" t="s">
        <v>21</v>
      </c>
      <c r="P60">
        <f>L65</f>
        <v>11263</v>
      </c>
    </row>
    <row r="61" spans="1:17" x14ac:dyDescent="0.25">
      <c r="B61" s="2" t="s">
        <v>199</v>
      </c>
      <c r="C61" s="42">
        <v>0</v>
      </c>
      <c r="D61" s="42"/>
      <c r="K61" t="s">
        <v>200</v>
      </c>
      <c r="L61">
        <f>-SUMIFS(H$3:H$55,J$3:J$55,K$59)+M61*5</f>
        <v>-275</v>
      </c>
      <c r="M61">
        <f>SUMIFS(Q$3:Q$55,J$3:J$55,K$59)-INT(COUNTIFS(J$3:J$55,K$59,M$3:M$55,"*gộp*")/2)</f>
        <v>13</v>
      </c>
      <c r="O61" t="s">
        <v>135</v>
      </c>
      <c r="P61">
        <f>L73</f>
        <v>6235</v>
      </c>
    </row>
    <row r="62" spans="1:17" x14ac:dyDescent="0.25">
      <c r="B62" s="2" t="s">
        <v>201</v>
      </c>
      <c r="C62" s="42">
        <f>-SUMIFS(I$3:I$55,B$3:B$55,A$59,P$3:P$55,"xx",N$3:N$55,"x")</f>
        <v>0</v>
      </c>
      <c r="D62" s="42"/>
      <c r="E62" s="2">
        <f>SUMIFS(Q$3:Q$55,B$3:B$55,A$59,P$3:P$55,"xx",N$3:N$55,"x")</f>
        <v>0</v>
      </c>
      <c r="K62" t="s">
        <v>202</v>
      </c>
      <c r="L62">
        <f>-M62*2</f>
        <v>-102</v>
      </c>
      <c r="M62">
        <f>E63-(COUNTIFS(M$3:M$55,"*gộp*")/2)-COUNTIFS(M$3:M$55,"*đơn trả*")-COUNTIFS(M$3:M$55,"*hàng tỉnh*")</f>
        <v>51</v>
      </c>
      <c r="O62" t="s">
        <v>2008</v>
      </c>
      <c r="P62">
        <f>L81</f>
        <v>26024</v>
      </c>
    </row>
    <row r="63" spans="1:17" x14ac:dyDescent="0.25">
      <c r="B63" s="4" t="s">
        <v>203</v>
      </c>
      <c r="C63" s="40">
        <f>SUBTOTAL(9,C60:C62)</f>
        <v>43250</v>
      </c>
      <c r="D63" s="40"/>
      <c r="E63">
        <f>E60</f>
        <v>53</v>
      </c>
      <c r="K63" s="2" t="s">
        <v>204</v>
      </c>
      <c r="O63" t="s">
        <v>207</v>
      </c>
      <c r="P63">
        <f>-C67</f>
        <v>-43250</v>
      </c>
    </row>
    <row r="64" spans="1:17" x14ac:dyDescent="0.25">
      <c r="B64" s="2" t="s">
        <v>205</v>
      </c>
      <c r="C64" s="38"/>
      <c r="D64" s="38"/>
      <c r="K64" s="2" t="s">
        <v>206</v>
      </c>
      <c r="O64" s="4" t="s">
        <v>209</v>
      </c>
      <c r="P64" s="4">
        <f>SUBTOTAL(9,P60:P63)</f>
        <v>272</v>
      </c>
    </row>
    <row r="65" spans="2:13" x14ac:dyDescent="0.25">
      <c r="B65" s="12" t="s">
        <v>208</v>
      </c>
      <c r="C65" s="38"/>
      <c r="D65" s="38"/>
      <c r="L65" s="13">
        <f>SUBTOTAL(9,L60:L64)</f>
        <v>11263</v>
      </c>
      <c r="M65" s="13">
        <f>M60</f>
        <v>13</v>
      </c>
    </row>
    <row r="67" spans="2:13" x14ac:dyDescent="0.25">
      <c r="B67" s="1" t="s">
        <v>210</v>
      </c>
      <c r="C67" s="39">
        <f>C63+C64+C65</f>
        <v>43250</v>
      </c>
      <c r="D67" s="39"/>
      <c r="E67" s="1" t="s">
        <v>211</v>
      </c>
      <c r="K67" s="11" t="s">
        <v>135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6420</v>
      </c>
      <c r="M68">
        <f>SUMIFS(Q$3:Q$55,J$3:J$55,K$67)-INT(COUNTIFS(J$3:J$55,K$67,M$3:M$55,"*gộp*")/2)</f>
        <v>10</v>
      </c>
    </row>
    <row r="69" spans="2:13" x14ac:dyDescent="0.25">
      <c r="K69" t="s">
        <v>200</v>
      </c>
      <c r="L69">
        <f>-SUMIFS(H$3:H$55,J$3:J$55,K$67)+M69*5</f>
        <v>-185</v>
      </c>
      <c r="M69">
        <f>SUMIFS(Q$3:Q$55,J$3:J$55,K$67)-INT(COUNTIFS(J$3:J$55,K$67,M$3:M$55,"*gộp*")/2)</f>
        <v>10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6235</v>
      </c>
      <c r="M73" s="13">
        <f>M68</f>
        <v>10</v>
      </c>
    </row>
    <row r="75" spans="2:13" x14ac:dyDescent="0.25">
      <c r="K75" s="11" t="s">
        <v>1893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26595</v>
      </c>
      <c r="M76">
        <f>SUMIFS(Q$3:Q$55,J$3:J$55,K$75)-INT(COUNTIFS(J$3:J$55,K$75,M$3:M$55,"*gộp*")/2)</f>
        <v>28</v>
      </c>
    </row>
    <row r="77" spans="2:13" x14ac:dyDescent="0.25">
      <c r="K77" t="s">
        <v>200</v>
      </c>
      <c r="L77">
        <f>SUM(H58:H60)</f>
        <v>-571</v>
      </c>
      <c r="M77">
        <f>SUMIFS(Q$3:Q$55,J$3:J$55,K$75)-INT(COUNTIFS(J$3:J$55,K$75,M$3:M$55,"*gộp*")/2)</f>
        <v>28</v>
      </c>
    </row>
    <row r="78" spans="2:13" x14ac:dyDescent="0.25">
      <c r="K78" t="s">
        <v>202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26024</v>
      </c>
      <c r="M81" s="13">
        <f>M76</f>
        <v>28</v>
      </c>
    </row>
  </sheetData>
  <autoFilter ref="A2:P55" xr:uid="{00000000-0009-0000-0000-000013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R64"/>
  <sheetViews>
    <sheetView topLeftCell="B1" workbookViewId="0">
      <selection activeCell="D29" sqref="D29"/>
    </sheetView>
  </sheetViews>
  <sheetFormatPr defaultRowHeight="15" x14ac:dyDescent="0.25"/>
  <cols>
    <col min="1" max="1" width="12.7109375" customWidth="1"/>
    <col min="2" max="2" width="17.7109375" customWidth="1"/>
    <col min="3" max="3" width="34.5703125" customWidth="1"/>
    <col min="4" max="4" width="25.5703125" bestFit="1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 t="s">
        <v>16</v>
      </c>
      <c r="B3" s="15" t="s">
        <v>17</v>
      </c>
      <c r="C3" s="15" t="s">
        <v>2009</v>
      </c>
      <c r="D3" s="15"/>
      <c r="E3" s="15" t="s">
        <v>2010</v>
      </c>
      <c r="F3" s="16">
        <v>9</v>
      </c>
      <c r="G3" s="16">
        <v>1545</v>
      </c>
      <c r="H3" s="16">
        <v>35</v>
      </c>
      <c r="I3" s="16">
        <f t="shared" ref="I3:I30" si="0">G3-H3</f>
        <v>1510</v>
      </c>
      <c r="J3" s="15" t="s">
        <v>20</v>
      </c>
      <c r="K3" s="15" t="s">
        <v>21</v>
      </c>
      <c r="L3" s="15" t="s">
        <v>2011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2012</v>
      </c>
      <c r="D4" s="15" t="s">
        <v>2013</v>
      </c>
      <c r="E4" s="15" t="s">
        <v>2014</v>
      </c>
      <c r="F4" s="16">
        <v>9</v>
      </c>
      <c r="G4" s="16">
        <v>880</v>
      </c>
      <c r="H4" s="16">
        <v>30</v>
      </c>
      <c r="I4" s="16">
        <f t="shared" si="0"/>
        <v>850</v>
      </c>
      <c r="J4" s="15" t="s">
        <v>20</v>
      </c>
      <c r="K4" s="15" t="s">
        <v>21</v>
      </c>
      <c r="L4" s="15" t="s">
        <v>2011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189</v>
      </c>
      <c r="D5" s="15"/>
      <c r="E5" s="15" t="s">
        <v>869</v>
      </c>
      <c r="F5" s="16">
        <v>5</v>
      </c>
      <c r="G5" s="16">
        <v>30</v>
      </c>
      <c r="H5" s="16">
        <v>30</v>
      </c>
      <c r="I5" s="16">
        <f t="shared" si="0"/>
        <v>0</v>
      </c>
      <c r="J5" s="15" t="s">
        <v>2015</v>
      </c>
      <c r="K5" s="15" t="s">
        <v>21</v>
      </c>
      <c r="L5" s="15" t="s">
        <v>2011</v>
      </c>
      <c r="M5" s="15"/>
      <c r="N5" s="15"/>
      <c r="O5" s="15"/>
      <c r="P5" s="15"/>
      <c r="Q5" s="15">
        <v>1</v>
      </c>
    </row>
    <row r="6" spans="1:18" x14ac:dyDescent="0.25">
      <c r="A6" s="15" t="s">
        <v>16</v>
      </c>
      <c r="B6" s="15" t="s">
        <v>17</v>
      </c>
      <c r="C6" s="15" t="s">
        <v>1544</v>
      </c>
      <c r="D6" s="15"/>
      <c r="E6" s="15" t="s">
        <v>2016</v>
      </c>
      <c r="F6" s="16">
        <v>6</v>
      </c>
      <c r="G6" s="16">
        <v>0</v>
      </c>
      <c r="H6" s="16">
        <v>30</v>
      </c>
      <c r="I6" s="16">
        <f t="shared" si="0"/>
        <v>-30</v>
      </c>
      <c r="J6" s="15" t="s">
        <v>2015</v>
      </c>
      <c r="K6" s="15" t="s">
        <v>21</v>
      </c>
      <c r="L6" s="15" t="s">
        <v>2011</v>
      </c>
      <c r="M6" s="15"/>
      <c r="N6" s="15"/>
      <c r="O6" s="15"/>
      <c r="P6" s="15"/>
      <c r="Q6" s="15">
        <v>1</v>
      </c>
      <c r="R6" s="10">
        <f>H6</f>
        <v>30</v>
      </c>
    </row>
    <row r="7" spans="1:18" x14ac:dyDescent="0.25">
      <c r="A7" s="15"/>
      <c r="B7" s="15" t="s">
        <v>17</v>
      </c>
      <c r="C7" s="15" t="s">
        <v>2017</v>
      </c>
      <c r="D7" s="15" t="s">
        <v>2018</v>
      </c>
      <c r="E7" s="15" t="s">
        <v>2019</v>
      </c>
      <c r="F7" s="16">
        <v>12</v>
      </c>
      <c r="G7" s="16">
        <v>2270</v>
      </c>
      <c r="H7" s="16">
        <v>30</v>
      </c>
      <c r="I7" s="16">
        <f t="shared" si="0"/>
        <v>2240</v>
      </c>
      <c r="J7" s="15" t="s">
        <v>2015</v>
      </c>
      <c r="K7" s="15" t="s">
        <v>21</v>
      </c>
      <c r="L7" s="15" t="s">
        <v>2011</v>
      </c>
      <c r="M7" s="20" t="s">
        <v>167</v>
      </c>
      <c r="N7" s="15"/>
      <c r="O7" s="15"/>
      <c r="P7" s="15"/>
      <c r="Q7" s="15">
        <v>1</v>
      </c>
      <c r="R7" s="10">
        <f>H7</f>
        <v>30</v>
      </c>
    </row>
    <row r="8" spans="1:18" x14ac:dyDescent="0.25">
      <c r="A8" s="15"/>
      <c r="B8" s="15" t="s">
        <v>17</v>
      </c>
      <c r="C8" s="15" t="s">
        <v>2020</v>
      </c>
      <c r="D8" s="15" t="s">
        <v>2021</v>
      </c>
      <c r="E8" s="15" t="s">
        <v>2022</v>
      </c>
      <c r="F8" s="16">
        <v>7</v>
      </c>
      <c r="G8" s="16">
        <v>2110</v>
      </c>
      <c r="H8" s="16">
        <v>30</v>
      </c>
      <c r="I8" s="16">
        <f t="shared" si="0"/>
        <v>2080</v>
      </c>
      <c r="J8" s="15" t="s">
        <v>2015</v>
      </c>
      <c r="K8" s="15" t="s">
        <v>21</v>
      </c>
      <c r="L8" s="15" t="s">
        <v>2011</v>
      </c>
      <c r="M8" s="20" t="s">
        <v>167</v>
      </c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2023</v>
      </c>
      <c r="D9" s="15" t="s">
        <v>2024</v>
      </c>
      <c r="E9" s="15" t="s">
        <v>2025</v>
      </c>
      <c r="F9" s="16">
        <v>6</v>
      </c>
      <c r="G9" s="16">
        <v>0</v>
      </c>
      <c r="H9" s="16">
        <v>25</v>
      </c>
      <c r="I9" s="16">
        <f t="shared" si="0"/>
        <v>-25</v>
      </c>
      <c r="J9" s="15" t="s">
        <v>2015</v>
      </c>
      <c r="K9" s="15" t="s">
        <v>21</v>
      </c>
      <c r="L9" s="15" t="s">
        <v>2011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312</v>
      </c>
      <c r="D10" s="15" t="s">
        <v>2026</v>
      </c>
      <c r="E10" s="15" t="s">
        <v>2027</v>
      </c>
      <c r="F10" s="15" t="s">
        <v>26</v>
      </c>
      <c r="G10" s="16">
        <v>380</v>
      </c>
      <c r="H10" s="16">
        <v>30</v>
      </c>
      <c r="I10" s="16">
        <f t="shared" si="0"/>
        <v>350</v>
      </c>
      <c r="J10" s="15" t="s">
        <v>2015</v>
      </c>
      <c r="K10" s="15" t="s">
        <v>21</v>
      </c>
      <c r="L10" s="15" t="s">
        <v>2011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155</v>
      </c>
      <c r="D11" s="15" t="s">
        <v>2028</v>
      </c>
      <c r="E11" s="15" t="s">
        <v>157</v>
      </c>
      <c r="F11" s="16">
        <v>7</v>
      </c>
      <c r="G11" s="16">
        <v>510</v>
      </c>
      <c r="H11" s="16">
        <v>30</v>
      </c>
      <c r="I11" s="16">
        <f t="shared" si="0"/>
        <v>480</v>
      </c>
      <c r="J11" s="15" t="s">
        <v>2015</v>
      </c>
      <c r="K11" s="15" t="s">
        <v>21</v>
      </c>
      <c r="L11" s="15" t="s">
        <v>2011</v>
      </c>
      <c r="M11" s="15"/>
      <c r="N11" s="15"/>
      <c r="O11" s="15"/>
      <c r="P11" s="15"/>
      <c r="Q11" s="15">
        <v>1</v>
      </c>
    </row>
    <row r="12" spans="1:18" s="19" customFormat="1" x14ac:dyDescent="0.25">
      <c r="A12" s="17"/>
      <c r="B12" s="17" t="s">
        <v>17</v>
      </c>
      <c r="C12" s="17" t="s">
        <v>2029</v>
      </c>
      <c r="D12" s="17" t="s">
        <v>2030</v>
      </c>
      <c r="E12" s="17" t="s">
        <v>2031</v>
      </c>
      <c r="F12" s="18">
        <v>8</v>
      </c>
      <c r="G12" s="18">
        <v>0</v>
      </c>
      <c r="H12" s="18">
        <v>30</v>
      </c>
      <c r="I12" s="18">
        <f t="shared" si="0"/>
        <v>-30</v>
      </c>
      <c r="J12" s="17" t="s">
        <v>2015</v>
      </c>
      <c r="K12" s="17" t="s">
        <v>21</v>
      </c>
      <c r="L12" s="17" t="s">
        <v>2011</v>
      </c>
      <c r="M12" s="17" t="s">
        <v>126</v>
      </c>
      <c r="N12" s="17"/>
      <c r="O12" s="17"/>
      <c r="P12" s="17"/>
      <c r="Q12" s="17">
        <v>1</v>
      </c>
      <c r="R12" s="25">
        <f>H12</f>
        <v>30</v>
      </c>
    </row>
    <row r="13" spans="1:18" x14ac:dyDescent="0.25">
      <c r="A13" s="15"/>
      <c r="B13" s="15" t="s">
        <v>17</v>
      </c>
      <c r="C13" s="15" t="s">
        <v>2032</v>
      </c>
      <c r="D13" s="15" t="s">
        <v>2033</v>
      </c>
      <c r="E13" s="15" t="s">
        <v>2034</v>
      </c>
      <c r="F13" s="16">
        <v>7</v>
      </c>
      <c r="G13" s="16">
        <v>920</v>
      </c>
      <c r="H13" s="16">
        <v>30</v>
      </c>
      <c r="I13" s="16">
        <f t="shared" si="0"/>
        <v>890</v>
      </c>
      <c r="J13" s="15" t="s">
        <v>2015</v>
      </c>
      <c r="K13" s="15" t="s">
        <v>21</v>
      </c>
      <c r="L13" s="15" t="s">
        <v>2011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2035</v>
      </c>
      <c r="D14" s="15" t="s">
        <v>2036</v>
      </c>
      <c r="E14" s="15" t="s">
        <v>2037</v>
      </c>
      <c r="F14" s="15" t="s">
        <v>77</v>
      </c>
      <c r="G14" s="16">
        <v>0</v>
      </c>
      <c r="H14" s="16">
        <v>25</v>
      </c>
      <c r="I14" s="16">
        <f t="shared" si="0"/>
        <v>-25</v>
      </c>
      <c r="J14" s="15" t="s">
        <v>21</v>
      </c>
      <c r="K14" s="15" t="s">
        <v>21</v>
      </c>
      <c r="L14" s="15" t="s">
        <v>2011</v>
      </c>
      <c r="M14" s="15"/>
      <c r="N14" s="15"/>
      <c r="O14" s="15"/>
      <c r="P14" s="15"/>
      <c r="Q14" s="15">
        <v>1</v>
      </c>
      <c r="R14" s="10">
        <f>H14</f>
        <v>25</v>
      </c>
    </row>
    <row r="15" spans="1:18" x14ac:dyDescent="0.25">
      <c r="A15" s="15"/>
      <c r="B15" s="15" t="s">
        <v>17</v>
      </c>
      <c r="C15" s="15" t="s">
        <v>2038</v>
      </c>
      <c r="D15" s="15" t="s">
        <v>2039</v>
      </c>
      <c r="E15" s="15" t="s">
        <v>1724</v>
      </c>
      <c r="F15" s="16">
        <v>2</v>
      </c>
      <c r="G15" s="16">
        <v>510</v>
      </c>
      <c r="H15" s="16">
        <v>30</v>
      </c>
      <c r="I15" s="16">
        <f t="shared" si="0"/>
        <v>480</v>
      </c>
      <c r="J15" s="15" t="s">
        <v>21</v>
      </c>
      <c r="K15" s="15" t="s">
        <v>21</v>
      </c>
      <c r="L15" s="15" t="s">
        <v>2011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2040</v>
      </c>
      <c r="D16" s="15" t="s">
        <v>2030</v>
      </c>
      <c r="E16" s="15" t="s">
        <v>1105</v>
      </c>
      <c r="F16" s="15" t="s">
        <v>85</v>
      </c>
      <c r="G16" s="16">
        <v>870</v>
      </c>
      <c r="H16" s="16">
        <v>20</v>
      </c>
      <c r="I16" s="16">
        <f t="shared" si="0"/>
        <v>850</v>
      </c>
      <c r="J16" s="15" t="s">
        <v>21</v>
      </c>
      <c r="K16" s="15" t="s">
        <v>21</v>
      </c>
      <c r="L16" s="15" t="s">
        <v>2011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483</v>
      </c>
      <c r="D17" s="15" t="s">
        <v>2041</v>
      </c>
      <c r="E17" s="15" t="s">
        <v>2042</v>
      </c>
      <c r="F17" s="15" t="s">
        <v>77</v>
      </c>
      <c r="G17" s="16">
        <v>685</v>
      </c>
      <c r="H17" s="16">
        <v>25</v>
      </c>
      <c r="I17" s="16">
        <f t="shared" si="0"/>
        <v>660</v>
      </c>
      <c r="J17" s="15" t="s">
        <v>21</v>
      </c>
      <c r="K17" s="15" t="s">
        <v>21</v>
      </c>
      <c r="L17" s="15" t="s">
        <v>2011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2043</v>
      </c>
      <c r="D18" s="15" t="s">
        <v>2044</v>
      </c>
      <c r="E18" s="15" t="s">
        <v>2045</v>
      </c>
      <c r="F18" s="15" t="s">
        <v>85</v>
      </c>
      <c r="G18" s="16">
        <v>740</v>
      </c>
      <c r="H18" s="16">
        <v>20</v>
      </c>
      <c r="I18" s="16">
        <f t="shared" si="0"/>
        <v>720</v>
      </c>
      <c r="J18" s="15" t="s">
        <v>21</v>
      </c>
      <c r="K18" s="15" t="s">
        <v>21</v>
      </c>
      <c r="L18" s="15" t="s">
        <v>2011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2046</v>
      </c>
      <c r="D19" s="15" t="s">
        <v>2047</v>
      </c>
      <c r="E19" s="15" t="s">
        <v>2048</v>
      </c>
      <c r="F19" s="15" t="s">
        <v>81</v>
      </c>
      <c r="G19" s="16">
        <v>920</v>
      </c>
      <c r="H19" s="16">
        <v>30</v>
      </c>
      <c r="I19" s="16">
        <f t="shared" si="0"/>
        <v>890</v>
      </c>
      <c r="J19" s="15" t="s">
        <v>21</v>
      </c>
      <c r="K19" s="15" t="s">
        <v>21</v>
      </c>
      <c r="L19" s="15" t="s">
        <v>2011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2049</v>
      </c>
      <c r="D20" s="15" t="s">
        <v>2050</v>
      </c>
      <c r="E20" s="15" t="s">
        <v>2051</v>
      </c>
      <c r="F20" s="16">
        <v>2</v>
      </c>
      <c r="G20" s="16">
        <v>2410</v>
      </c>
      <c r="H20" s="16">
        <v>35</v>
      </c>
      <c r="I20" s="16">
        <f t="shared" si="0"/>
        <v>2375</v>
      </c>
      <c r="J20" s="15" t="s">
        <v>21</v>
      </c>
      <c r="K20" s="15" t="s">
        <v>21</v>
      </c>
      <c r="L20" s="15" t="s">
        <v>2011</v>
      </c>
      <c r="M20" s="20" t="s">
        <v>167</v>
      </c>
      <c r="N20" s="15"/>
      <c r="O20" s="15"/>
      <c r="P20" s="15"/>
      <c r="Q20" s="15">
        <v>1</v>
      </c>
      <c r="R20" s="10">
        <f>H20</f>
        <v>35</v>
      </c>
    </row>
    <row r="21" spans="1:18" x14ac:dyDescent="0.25">
      <c r="A21" s="15"/>
      <c r="B21" s="15" t="s">
        <v>17</v>
      </c>
      <c r="C21" s="15" t="s">
        <v>2052</v>
      </c>
      <c r="D21" s="15" t="s">
        <v>2053</v>
      </c>
      <c r="E21" s="15" t="s">
        <v>503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2011</v>
      </c>
      <c r="M21" s="15"/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251</v>
      </c>
      <c r="D22" s="15" t="s">
        <v>2054</v>
      </c>
      <c r="E22" s="15" t="s">
        <v>2055</v>
      </c>
      <c r="F22" s="15" t="s">
        <v>85</v>
      </c>
      <c r="G22" s="16">
        <v>890</v>
      </c>
      <c r="H22" s="16">
        <v>20</v>
      </c>
      <c r="I22" s="16">
        <f t="shared" si="0"/>
        <v>870</v>
      </c>
      <c r="J22" s="15" t="s">
        <v>21</v>
      </c>
      <c r="K22" s="15" t="s">
        <v>21</v>
      </c>
      <c r="L22" s="15" t="s">
        <v>2011</v>
      </c>
      <c r="M22" s="15"/>
      <c r="N22" s="15"/>
      <c r="O22" s="15"/>
      <c r="P22" s="15"/>
      <c r="Q22" s="15">
        <v>1</v>
      </c>
    </row>
    <row r="23" spans="1:18" x14ac:dyDescent="0.25">
      <c r="A23" s="15" t="s">
        <v>16</v>
      </c>
      <c r="B23" s="15" t="s">
        <v>17</v>
      </c>
      <c r="C23" s="15" t="s">
        <v>2056</v>
      </c>
      <c r="D23" s="15"/>
      <c r="E23" s="15" t="s">
        <v>2057</v>
      </c>
      <c r="F23" s="16">
        <v>4</v>
      </c>
      <c r="G23" s="16">
        <v>30</v>
      </c>
      <c r="H23" s="16">
        <v>30</v>
      </c>
      <c r="I23" s="16">
        <f t="shared" si="0"/>
        <v>0</v>
      </c>
      <c r="J23" s="15" t="s">
        <v>135</v>
      </c>
      <c r="K23" s="15" t="s">
        <v>21</v>
      </c>
      <c r="L23" s="15" t="s">
        <v>2011</v>
      </c>
      <c r="M23" s="15"/>
      <c r="N23" s="15"/>
      <c r="O23" s="15"/>
      <c r="P23" s="15"/>
      <c r="Q23" s="15">
        <v>1</v>
      </c>
    </row>
    <row r="24" spans="1:18" x14ac:dyDescent="0.25">
      <c r="A24" s="15" t="s">
        <v>16</v>
      </c>
      <c r="B24" s="15" t="s">
        <v>17</v>
      </c>
      <c r="C24" s="15" t="s">
        <v>1491</v>
      </c>
      <c r="D24" s="15"/>
      <c r="E24" s="15" t="s">
        <v>507</v>
      </c>
      <c r="F24" s="15" t="s">
        <v>95</v>
      </c>
      <c r="G24" s="16">
        <v>0</v>
      </c>
      <c r="H24" s="16">
        <v>30</v>
      </c>
      <c r="I24" s="16">
        <f t="shared" si="0"/>
        <v>-30</v>
      </c>
      <c r="J24" s="15" t="s">
        <v>135</v>
      </c>
      <c r="K24" s="15" t="s">
        <v>21</v>
      </c>
      <c r="L24" s="15" t="s">
        <v>2011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2058</v>
      </c>
      <c r="D25" s="15" t="s">
        <v>2059</v>
      </c>
      <c r="E25" s="15" t="s">
        <v>2060</v>
      </c>
      <c r="F25" s="16">
        <v>1</v>
      </c>
      <c r="G25" s="16">
        <v>855</v>
      </c>
      <c r="H25" s="16">
        <v>25</v>
      </c>
      <c r="I25" s="16">
        <f t="shared" si="0"/>
        <v>830</v>
      </c>
      <c r="J25" s="15" t="s">
        <v>135</v>
      </c>
      <c r="K25" s="15" t="s">
        <v>21</v>
      </c>
      <c r="L25" s="15" t="s">
        <v>2011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2061</v>
      </c>
      <c r="D26" s="15" t="s">
        <v>2062</v>
      </c>
      <c r="E26" s="15" t="s">
        <v>2063</v>
      </c>
      <c r="F26" s="16">
        <v>10</v>
      </c>
      <c r="G26" s="16">
        <v>1145</v>
      </c>
      <c r="H26" s="16">
        <v>25</v>
      </c>
      <c r="I26" s="16">
        <f t="shared" si="0"/>
        <v>1120</v>
      </c>
      <c r="J26" s="15" t="s">
        <v>135</v>
      </c>
      <c r="K26" s="15" t="s">
        <v>21</v>
      </c>
      <c r="L26" s="15" t="s">
        <v>2011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2064</v>
      </c>
      <c r="D27" s="15" t="s">
        <v>2065</v>
      </c>
      <c r="E27" s="15" t="s">
        <v>2066</v>
      </c>
      <c r="F27" s="16">
        <v>5</v>
      </c>
      <c r="G27" s="16">
        <v>1015</v>
      </c>
      <c r="H27" s="16">
        <v>25</v>
      </c>
      <c r="I27" s="16">
        <f t="shared" si="0"/>
        <v>990</v>
      </c>
      <c r="J27" s="15" t="s">
        <v>135</v>
      </c>
      <c r="K27" s="15" t="s">
        <v>21</v>
      </c>
      <c r="L27" s="15" t="s">
        <v>2011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2067</v>
      </c>
      <c r="D28" s="15" t="s">
        <v>2068</v>
      </c>
      <c r="E28" s="15" t="s">
        <v>2069</v>
      </c>
      <c r="F28" s="16">
        <v>5</v>
      </c>
      <c r="G28" s="16">
        <v>1115</v>
      </c>
      <c r="H28" s="16">
        <v>25</v>
      </c>
      <c r="I28" s="16">
        <f t="shared" si="0"/>
        <v>1090</v>
      </c>
      <c r="J28" s="15" t="s">
        <v>135</v>
      </c>
      <c r="K28" s="15" t="s">
        <v>21</v>
      </c>
      <c r="L28" s="15" t="s">
        <v>2011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2070</v>
      </c>
      <c r="D29" s="15" t="s">
        <v>2071</v>
      </c>
      <c r="E29" s="15" t="s">
        <v>2072</v>
      </c>
      <c r="F29" s="15" t="s">
        <v>95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2011</v>
      </c>
      <c r="M29" s="15"/>
      <c r="N29" s="15"/>
      <c r="O29" s="15"/>
      <c r="P29" s="15"/>
      <c r="Q29" s="15">
        <v>1</v>
      </c>
      <c r="R29" s="10">
        <f>H29</f>
        <v>25</v>
      </c>
    </row>
    <row r="30" spans="1:18" s="2" customFormat="1" x14ac:dyDescent="0.25">
      <c r="A30" s="21"/>
      <c r="B30" s="21" t="s">
        <v>17</v>
      </c>
      <c r="C30" s="21" t="s">
        <v>1740</v>
      </c>
      <c r="D30" s="21" t="s">
        <v>1741</v>
      </c>
      <c r="E30" s="21" t="s">
        <v>1742</v>
      </c>
      <c r="F30" s="21" t="s">
        <v>95</v>
      </c>
      <c r="G30" s="22">
        <v>4400</v>
      </c>
      <c r="H30" s="22">
        <v>35</v>
      </c>
      <c r="I30" s="22">
        <f t="shared" si="0"/>
        <v>4365</v>
      </c>
      <c r="J30" s="21" t="s">
        <v>271</v>
      </c>
      <c r="K30" s="21" t="s">
        <v>21</v>
      </c>
      <c r="L30" s="21" t="s">
        <v>1664</v>
      </c>
      <c r="M30" s="21" t="s">
        <v>204</v>
      </c>
      <c r="N30" s="21" t="s">
        <v>272</v>
      </c>
      <c r="O30" s="21" t="s">
        <v>272</v>
      </c>
      <c r="P30" s="21" t="s">
        <v>273</v>
      </c>
      <c r="Q30" s="22">
        <v>1</v>
      </c>
    </row>
    <row r="32" spans="1:18" x14ac:dyDescent="0.25">
      <c r="D32" s="1">
        <f>COUNTA(D3:D30)</f>
        <v>23</v>
      </c>
      <c r="G32" s="1">
        <f t="shared" ref="G32:Q32" si="1">SUBTOTAL(9,G3:G30)</f>
        <v>24230</v>
      </c>
      <c r="H32" s="1">
        <f t="shared" si="1"/>
        <v>785</v>
      </c>
      <c r="I32" s="1">
        <f t="shared" si="1"/>
        <v>23445</v>
      </c>
      <c r="J32" s="1">
        <f t="shared" si="1"/>
        <v>0</v>
      </c>
      <c r="K32" s="1">
        <f t="shared" si="1"/>
        <v>0</v>
      </c>
      <c r="L32" s="1">
        <f t="shared" si="1"/>
        <v>0</v>
      </c>
      <c r="M32" s="1">
        <f t="shared" si="1"/>
        <v>0</v>
      </c>
      <c r="N32" s="1">
        <f t="shared" si="1"/>
        <v>0</v>
      </c>
      <c r="O32" s="1">
        <f t="shared" si="1"/>
        <v>0</v>
      </c>
      <c r="P32" s="1">
        <f t="shared" si="1"/>
        <v>0</v>
      </c>
      <c r="Q32" s="1">
        <f t="shared" si="1"/>
        <v>28</v>
      </c>
    </row>
    <row r="33" spans="1:16" x14ac:dyDescent="0.25">
      <c r="H33">
        <f>-7*17</f>
        <v>-119</v>
      </c>
    </row>
    <row r="34" spans="1:16" x14ac:dyDescent="0.25">
      <c r="A34" s="1" t="s">
        <v>17</v>
      </c>
      <c r="C34" s="40" t="s">
        <v>191</v>
      </c>
      <c r="D34" s="40"/>
      <c r="E34" s="4" t="s">
        <v>192</v>
      </c>
      <c r="H34">
        <f>-2*25</f>
        <v>-50</v>
      </c>
      <c r="K34" s="11" t="s">
        <v>135</v>
      </c>
      <c r="L34" s="11" t="s">
        <v>193</v>
      </c>
      <c r="M34" s="11" t="s">
        <v>192</v>
      </c>
      <c r="O34" s="4" t="s">
        <v>194</v>
      </c>
    </row>
    <row r="35" spans="1:16" x14ac:dyDescent="0.25">
      <c r="A35" t="s">
        <v>2011</v>
      </c>
      <c r="B35" s="3" t="s">
        <v>195</v>
      </c>
      <c r="C35" s="41">
        <f>SUMIFS(I$3:I$30,B$3:B$30,A$34,L$3:L$30,A$35)</f>
        <v>19080</v>
      </c>
      <c r="D35" s="41"/>
      <c r="E35" s="3">
        <f>SUMIFS(Q$3:Q$30,B$3:B$30,A$34,L$3:L$30,A$35)</f>
        <v>27</v>
      </c>
      <c r="F35" t="s">
        <v>196</v>
      </c>
      <c r="K35" t="s">
        <v>197</v>
      </c>
      <c r="L35">
        <f>SUMIFS(G$3:G$30,J$3:J$30,K$34)</f>
        <v>4160</v>
      </c>
      <c r="M35">
        <f>SUMIFS(Q$3:Q$30,J$3:J$30,K$34)-INT(COUNTIFS(J$3:J$30,K$34,M$3:M$30,"*gộp*")/2)</f>
        <v>7</v>
      </c>
      <c r="O35" t="s">
        <v>135</v>
      </c>
      <c r="P35">
        <f>L40</f>
        <v>-360</v>
      </c>
    </row>
    <row r="36" spans="1:16" x14ac:dyDescent="0.25">
      <c r="B36" s="2" t="s">
        <v>199</v>
      </c>
      <c r="C36" s="42">
        <v>0</v>
      </c>
      <c r="D36" s="42"/>
      <c r="K36" t="s">
        <v>200</v>
      </c>
      <c r="L36">
        <f>-SUMIFS(H$3:H$30,J$3:J$30,K$34)+M36*5</f>
        <v>-150</v>
      </c>
      <c r="M36">
        <f>SUMIFS(Q$3:Q$30,J$3:J$30,K$34)-INT(COUNTIFS(J$3:J$30,K$34,M$3:M$30,"*gộp*")/2)</f>
        <v>7</v>
      </c>
      <c r="O36" t="s">
        <v>2073</v>
      </c>
      <c r="P36">
        <f>L48</f>
        <v>6081</v>
      </c>
    </row>
    <row r="37" spans="1:16" x14ac:dyDescent="0.25">
      <c r="B37" s="2" t="s">
        <v>201</v>
      </c>
      <c r="C37" s="42">
        <f>-SUMIFS(I$3:I$30,B$3:B$30,A$34,P$3:P$30,"xx",N$3:N$30,"x")</f>
        <v>-4365</v>
      </c>
      <c r="D37" s="42"/>
      <c r="E37" s="2">
        <f>SUMIFS(Q$3:Q$30,B$3:B$30,A$34,P$3:P$30,"xx",N$3:N$30,"x")</f>
        <v>1</v>
      </c>
      <c r="K37" t="s">
        <v>202</v>
      </c>
      <c r="O37" t="s">
        <v>20</v>
      </c>
      <c r="P37">
        <f>L56</f>
        <v>2370</v>
      </c>
    </row>
    <row r="38" spans="1:16" x14ac:dyDescent="0.25">
      <c r="B38" s="4" t="s">
        <v>203</v>
      </c>
      <c r="C38" s="40">
        <f>SUBTOTAL(9,C35:C37)</f>
        <v>14715</v>
      </c>
      <c r="D38" s="40"/>
      <c r="E38">
        <f>E35</f>
        <v>27</v>
      </c>
      <c r="K38" s="2" t="s">
        <v>204</v>
      </c>
      <c r="L38" s="23">
        <v>-4370</v>
      </c>
      <c r="M38" s="23" t="s">
        <v>288</v>
      </c>
      <c r="O38" t="s">
        <v>21</v>
      </c>
      <c r="P38">
        <f>L64</f>
        <v>6783</v>
      </c>
    </row>
    <row r="39" spans="1:16" x14ac:dyDescent="0.25">
      <c r="B39" s="2" t="s">
        <v>205</v>
      </c>
      <c r="C39" s="38"/>
      <c r="D39" s="38"/>
      <c r="K39" s="2" t="s">
        <v>206</v>
      </c>
      <c r="O39" t="s">
        <v>207</v>
      </c>
      <c r="P39">
        <f>-C42</f>
        <v>-14715</v>
      </c>
    </row>
    <row r="40" spans="1:16" x14ac:dyDescent="0.25">
      <c r="B40" s="12" t="s">
        <v>208</v>
      </c>
      <c r="C40" s="38"/>
      <c r="D40" s="38"/>
      <c r="L40" s="13">
        <f>SUBTOTAL(9,L35:L39)</f>
        <v>-360</v>
      </c>
      <c r="M40" s="13">
        <f>M35</f>
        <v>7</v>
      </c>
      <c r="O40" s="4" t="s">
        <v>209</v>
      </c>
      <c r="P40" s="4">
        <f>SUBTOTAL(9,P35:P39)</f>
        <v>159</v>
      </c>
    </row>
    <row r="42" spans="1:16" x14ac:dyDescent="0.25">
      <c r="B42" s="1" t="s">
        <v>210</v>
      </c>
      <c r="C42" s="39">
        <f>C38+C39+C40</f>
        <v>14715</v>
      </c>
      <c r="D42" s="39"/>
      <c r="E42" s="1" t="s">
        <v>211</v>
      </c>
      <c r="K42" s="11" t="s">
        <v>2015</v>
      </c>
      <c r="L42" s="11" t="s">
        <v>193</v>
      </c>
      <c r="M42" s="11" t="s">
        <v>192</v>
      </c>
    </row>
    <row r="43" spans="1:16" x14ac:dyDescent="0.25">
      <c r="K43" t="s">
        <v>197</v>
      </c>
      <c r="L43">
        <f>SUMIFS(G$3:G$30,J$3:J$30,K$42)</f>
        <v>6220</v>
      </c>
      <c r="M43">
        <f>SUMIFS(Q$3:Q$30,J$3:J$30,K$42)-INT(COUNTIFS(J$3:J$30,K$42,M$3:M$30,"*gộp*")/2)</f>
        <v>9</v>
      </c>
    </row>
    <row r="44" spans="1:16" x14ac:dyDescent="0.25">
      <c r="K44" t="s">
        <v>200</v>
      </c>
      <c r="L44">
        <f>SUM(H33:H34)</f>
        <v>-169</v>
      </c>
      <c r="M44">
        <f>SUMIFS(Q$3:Q$30,J$3:J$30,K$42)-INT(COUNTIFS(J$3:J$30,K$42,M$3:M$30,"*gộp*")/2)</f>
        <v>9</v>
      </c>
    </row>
    <row r="45" spans="1:16" x14ac:dyDescent="0.25">
      <c r="K45" t="s">
        <v>202</v>
      </c>
    </row>
    <row r="46" spans="1:16" x14ac:dyDescent="0.25">
      <c r="K46" s="2" t="s">
        <v>204</v>
      </c>
      <c r="L46" s="23">
        <v>30</v>
      </c>
      <c r="M46" s="23" t="s">
        <v>288</v>
      </c>
    </row>
    <row r="47" spans="1:16" x14ac:dyDescent="0.25">
      <c r="K47" s="2" t="s">
        <v>206</v>
      </c>
    </row>
    <row r="48" spans="1:16" x14ac:dyDescent="0.25">
      <c r="L48" s="13">
        <f>SUBTOTAL(9,L43:L47)</f>
        <v>6081</v>
      </c>
      <c r="M48" s="13">
        <f>M43</f>
        <v>9</v>
      </c>
    </row>
    <row r="50" spans="11:13" x14ac:dyDescent="0.25">
      <c r="K50" s="11" t="s">
        <v>20</v>
      </c>
      <c r="L50" s="11" t="s">
        <v>193</v>
      </c>
      <c r="M50" s="11" t="s">
        <v>192</v>
      </c>
    </row>
    <row r="51" spans="11:13" x14ac:dyDescent="0.25">
      <c r="K51" t="s">
        <v>197</v>
      </c>
      <c r="L51">
        <f>SUMIFS(G$3:G$30,J$3:J$30,K$50)</f>
        <v>2425</v>
      </c>
      <c r="M51">
        <f>SUMIFS(Q$3:Q$30,J$3:J$30,K$50)-INT(COUNTIFS(J$3:J$30,K$50,M$3:M$30,"*gộp*")/2)</f>
        <v>2</v>
      </c>
    </row>
    <row r="52" spans="11:13" x14ac:dyDescent="0.25">
      <c r="K52" t="s">
        <v>200</v>
      </c>
      <c r="L52">
        <f>-SUMIFS(H$3:H$30,J$3:J$30,K$50)+M52*5</f>
        <v>-55</v>
      </c>
      <c r="M52">
        <f>SUMIFS(Q$3:Q$30,J$3:J$30,K$50)-INT(COUNTIFS(J$3:J$30,K$50,M$3:M$30,"*gộp*")/2)</f>
        <v>2</v>
      </c>
    </row>
    <row r="53" spans="11:13" x14ac:dyDescent="0.25">
      <c r="K53" t="s">
        <v>202</v>
      </c>
    </row>
    <row r="54" spans="11:13" x14ac:dyDescent="0.25">
      <c r="K54" s="2" t="s">
        <v>204</v>
      </c>
    </row>
    <row r="55" spans="11:13" x14ac:dyDescent="0.25">
      <c r="K55" s="2" t="s">
        <v>206</v>
      </c>
    </row>
    <row r="56" spans="11:13" x14ac:dyDescent="0.25">
      <c r="L56" s="13">
        <f>SUBTOTAL(9,L51:L55)</f>
        <v>2370</v>
      </c>
      <c r="M56" s="13">
        <f>M51</f>
        <v>2</v>
      </c>
    </row>
    <row r="58" spans="11:13" x14ac:dyDescent="0.25">
      <c r="K58" s="11" t="s">
        <v>21</v>
      </c>
      <c r="L58" s="11" t="s">
        <v>193</v>
      </c>
      <c r="M58" s="11" t="s">
        <v>192</v>
      </c>
    </row>
    <row r="59" spans="11:13" x14ac:dyDescent="0.25">
      <c r="K59" t="s">
        <v>197</v>
      </c>
      <c r="L59">
        <f>SUMIFS(G$3:G$30,J$3:J$30,K$58)</f>
        <v>7025</v>
      </c>
      <c r="M59">
        <f>SUMIFS(Q$3:Q$30,J$3:J$30,K$58)-INT(COUNTIFS(J$3:J$30,K$58,M$3:M$30,"*gộp*")/2)</f>
        <v>9</v>
      </c>
    </row>
    <row r="60" spans="11:13" x14ac:dyDescent="0.25">
      <c r="K60" t="s">
        <v>200</v>
      </c>
      <c r="L60">
        <f>-SUMIFS(H$3:H$30,J$3:J$30,K$58)+M60*5</f>
        <v>-190</v>
      </c>
      <c r="M60">
        <f>SUMIFS(Q$3:Q$30,J$3:J$30,K$58)-INT(COUNTIFS(J$3:J$30,K$58,M$3:M$30,"*gộp*")/2)</f>
        <v>9</v>
      </c>
    </row>
    <row r="61" spans="11:13" x14ac:dyDescent="0.25">
      <c r="K61" t="s">
        <v>202</v>
      </c>
      <c r="L61">
        <f>-M61*2</f>
        <v>-52</v>
      </c>
      <c r="M61">
        <f>E38-(COUNTIFS(M$3:M$30,"*gộp*")/2)-COUNTIFS(M$3:M$30,"*đơn trả*")-COUNTIFS(M$3:M$30,"*hàng tỉnh*")</f>
        <v>26</v>
      </c>
    </row>
    <row r="62" spans="11:13" x14ac:dyDescent="0.25">
      <c r="K62" s="2" t="s">
        <v>204</v>
      </c>
    </row>
    <row r="63" spans="11:13" x14ac:dyDescent="0.25">
      <c r="K63" s="2" t="s">
        <v>206</v>
      </c>
    </row>
    <row r="64" spans="11:13" x14ac:dyDescent="0.25">
      <c r="L64" s="13">
        <f>SUBTOTAL(9,L59:L63)</f>
        <v>6783</v>
      </c>
      <c r="M64" s="13">
        <f>M59</f>
        <v>9</v>
      </c>
    </row>
  </sheetData>
  <autoFilter ref="A2:P30" xr:uid="{00000000-0009-0000-0000-000014000000}">
    <sortState xmlns:xlrd2="http://schemas.microsoft.com/office/spreadsheetml/2017/richdata2" ref="A3:P30">
      <sortCondition ref="J2:J30"/>
    </sortState>
  </autoFilter>
  <mergeCells count="8">
    <mergeCell ref="C39:D39"/>
    <mergeCell ref="C40:D40"/>
    <mergeCell ref="C42:D42"/>
    <mergeCell ref="C34:D34"/>
    <mergeCell ref="C35:D35"/>
    <mergeCell ref="C36:D36"/>
    <mergeCell ref="C37:D37"/>
    <mergeCell ref="C38:D38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R52"/>
  <sheetViews>
    <sheetView tabSelected="1" zoomScale="90" zoomScaleNormal="90" workbookViewId="0">
      <selection activeCell="E8" sqref="E8"/>
    </sheetView>
  </sheetViews>
  <sheetFormatPr defaultRowHeight="15" x14ac:dyDescent="0.25"/>
  <cols>
    <col min="1" max="1" width="12.7109375" customWidth="1"/>
    <col min="2" max="2" width="17.7109375" customWidth="1"/>
    <col min="3" max="3" width="39" customWidth="1"/>
    <col min="4" max="4" width="9.85546875" customWidth="1"/>
    <col min="5" max="5" width="55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1802</v>
      </c>
      <c r="D3" s="15" t="s">
        <v>2074</v>
      </c>
      <c r="E3" s="15" t="s">
        <v>2075</v>
      </c>
      <c r="F3" s="16">
        <v>8</v>
      </c>
      <c r="G3" s="16">
        <v>810</v>
      </c>
      <c r="H3" s="16">
        <v>30</v>
      </c>
      <c r="I3" s="16">
        <f t="shared" ref="I3:I26" si="0">G3-H3</f>
        <v>780</v>
      </c>
      <c r="J3" s="15" t="s">
        <v>2076</v>
      </c>
      <c r="K3" s="15" t="s">
        <v>21</v>
      </c>
      <c r="L3" s="15" t="s">
        <v>2077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1430</v>
      </c>
      <c r="D4" s="15" t="s">
        <v>2078</v>
      </c>
      <c r="E4" s="15" t="s">
        <v>744</v>
      </c>
      <c r="F4" s="15" t="s">
        <v>26</v>
      </c>
      <c r="G4" s="16">
        <v>0</v>
      </c>
      <c r="H4" s="16">
        <v>30</v>
      </c>
      <c r="I4" s="16">
        <f t="shared" si="0"/>
        <v>-30</v>
      </c>
      <c r="J4" s="15" t="s">
        <v>2076</v>
      </c>
      <c r="K4" s="15" t="s">
        <v>21</v>
      </c>
      <c r="L4" s="15" t="s">
        <v>2077</v>
      </c>
      <c r="M4" s="15"/>
      <c r="N4" s="15"/>
      <c r="O4" s="15"/>
      <c r="P4" s="15"/>
      <c r="Q4" s="15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1441</v>
      </c>
      <c r="D5" s="15" t="s">
        <v>2079</v>
      </c>
      <c r="E5" s="15" t="s">
        <v>1443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2076</v>
      </c>
      <c r="K5" s="15" t="s">
        <v>21</v>
      </c>
      <c r="L5" s="15" t="s">
        <v>2077</v>
      </c>
      <c r="M5" s="15"/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1910</v>
      </c>
      <c r="D6" s="15" t="s">
        <v>2080</v>
      </c>
      <c r="E6" s="15" t="s">
        <v>2081</v>
      </c>
      <c r="F6" s="15" t="s">
        <v>46</v>
      </c>
      <c r="G6" s="16">
        <v>0</v>
      </c>
      <c r="H6" s="16">
        <v>25</v>
      </c>
      <c r="I6" s="16">
        <f t="shared" si="0"/>
        <v>-25</v>
      </c>
      <c r="J6" s="15" t="s">
        <v>2076</v>
      </c>
      <c r="K6" s="15" t="s">
        <v>21</v>
      </c>
      <c r="L6" s="15" t="s">
        <v>2077</v>
      </c>
      <c r="M6" s="15"/>
      <c r="N6" s="15"/>
      <c r="O6" s="15"/>
      <c r="P6" s="15"/>
      <c r="Q6" s="15">
        <v>1</v>
      </c>
      <c r="R6" s="10">
        <f>H6</f>
        <v>25</v>
      </c>
    </row>
    <row r="7" spans="1:18" x14ac:dyDescent="0.25">
      <c r="A7" s="15"/>
      <c r="B7" s="15" t="s">
        <v>17</v>
      </c>
      <c r="C7" s="15" t="s">
        <v>2082</v>
      </c>
      <c r="D7" s="15" t="s">
        <v>2083</v>
      </c>
      <c r="E7" s="15" t="s">
        <v>2084</v>
      </c>
      <c r="F7" s="16">
        <v>8</v>
      </c>
      <c r="G7" s="16">
        <v>470</v>
      </c>
      <c r="H7" s="16">
        <v>30</v>
      </c>
      <c r="I7" s="16">
        <f t="shared" si="0"/>
        <v>440</v>
      </c>
      <c r="J7" s="15" t="s">
        <v>2076</v>
      </c>
      <c r="K7" s="15" t="s">
        <v>21</v>
      </c>
      <c r="L7" s="15" t="s">
        <v>2077</v>
      </c>
      <c r="M7" s="15"/>
      <c r="N7" s="15"/>
      <c r="O7" s="15"/>
      <c r="P7" s="15"/>
      <c r="Q7" s="15">
        <v>1</v>
      </c>
    </row>
    <row r="8" spans="1:18" s="19" customFormat="1" x14ac:dyDescent="0.25">
      <c r="A8" s="17"/>
      <c r="B8" s="17" t="s">
        <v>17</v>
      </c>
      <c r="C8" s="17" t="s">
        <v>2085</v>
      </c>
      <c r="D8" s="17" t="s">
        <v>2086</v>
      </c>
      <c r="E8" s="17" t="s">
        <v>2087</v>
      </c>
      <c r="F8" s="18">
        <v>8</v>
      </c>
      <c r="G8" s="18">
        <v>740</v>
      </c>
      <c r="H8" s="18">
        <v>30</v>
      </c>
      <c r="I8" s="18">
        <f t="shared" si="0"/>
        <v>710</v>
      </c>
      <c r="J8" s="17" t="s">
        <v>2076</v>
      </c>
      <c r="K8" s="17" t="s">
        <v>21</v>
      </c>
      <c r="L8" s="17" t="s">
        <v>2077</v>
      </c>
      <c r="M8" s="17" t="s">
        <v>126</v>
      </c>
      <c r="N8" s="17"/>
      <c r="O8" s="17"/>
      <c r="P8" s="17"/>
      <c r="Q8" s="17">
        <v>1</v>
      </c>
    </row>
    <row r="9" spans="1:18" x14ac:dyDescent="0.25">
      <c r="A9" s="15"/>
      <c r="B9" s="15" t="s">
        <v>17</v>
      </c>
      <c r="C9" s="15" t="s">
        <v>2088</v>
      </c>
      <c r="D9" s="15" t="s">
        <v>2089</v>
      </c>
      <c r="E9" s="15" t="s">
        <v>2090</v>
      </c>
      <c r="F9" s="16">
        <v>6</v>
      </c>
      <c r="G9" s="16">
        <v>0</v>
      </c>
      <c r="H9" s="16">
        <v>25</v>
      </c>
      <c r="I9" s="16">
        <f t="shared" si="0"/>
        <v>-25</v>
      </c>
      <c r="J9" s="15" t="s">
        <v>2076</v>
      </c>
      <c r="K9" s="15" t="s">
        <v>21</v>
      </c>
      <c r="L9" s="15" t="s">
        <v>2077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2091</v>
      </c>
      <c r="D10" s="15" t="s">
        <v>2092</v>
      </c>
      <c r="E10" s="15" t="s">
        <v>2093</v>
      </c>
      <c r="F10" s="15" t="s">
        <v>26</v>
      </c>
      <c r="G10" s="16">
        <v>850</v>
      </c>
      <c r="H10" s="16">
        <v>30</v>
      </c>
      <c r="I10" s="16">
        <f t="shared" si="0"/>
        <v>820</v>
      </c>
      <c r="J10" s="15" t="s">
        <v>2076</v>
      </c>
      <c r="K10" s="15" t="s">
        <v>21</v>
      </c>
      <c r="L10" s="15" t="s">
        <v>2077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2094</v>
      </c>
      <c r="D11" s="15" t="s">
        <v>2095</v>
      </c>
      <c r="E11" s="15" t="s">
        <v>2096</v>
      </c>
      <c r="F11" s="16">
        <v>7</v>
      </c>
      <c r="G11" s="16">
        <v>820</v>
      </c>
      <c r="H11" s="16">
        <v>30</v>
      </c>
      <c r="I11" s="16">
        <f t="shared" si="0"/>
        <v>790</v>
      </c>
      <c r="J11" s="15" t="s">
        <v>2076</v>
      </c>
      <c r="K11" s="15" t="s">
        <v>21</v>
      </c>
      <c r="L11" s="15" t="s">
        <v>2077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2097</v>
      </c>
      <c r="D12" s="15" t="s">
        <v>2098</v>
      </c>
      <c r="E12" s="15" t="s">
        <v>2099</v>
      </c>
      <c r="F12" s="16">
        <v>9</v>
      </c>
      <c r="G12" s="16">
        <v>920</v>
      </c>
      <c r="H12" s="16">
        <v>30</v>
      </c>
      <c r="I12" s="16">
        <f t="shared" si="0"/>
        <v>890</v>
      </c>
      <c r="J12" s="15" t="s">
        <v>2076</v>
      </c>
      <c r="K12" s="15" t="s">
        <v>21</v>
      </c>
      <c r="L12" s="15" t="s">
        <v>2077</v>
      </c>
      <c r="M12" s="15"/>
      <c r="N12" s="15"/>
      <c r="O12" s="15"/>
      <c r="P12" s="15"/>
      <c r="Q12" s="15">
        <v>1</v>
      </c>
    </row>
    <row r="13" spans="1:18" x14ac:dyDescent="0.25">
      <c r="A13" s="15" t="s">
        <v>16</v>
      </c>
      <c r="B13" s="15" t="s">
        <v>17</v>
      </c>
      <c r="C13" s="15" t="s">
        <v>2100</v>
      </c>
      <c r="D13" s="15"/>
      <c r="E13" s="15" t="s">
        <v>2101</v>
      </c>
      <c r="F13" s="15" t="s">
        <v>139</v>
      </c>
      <c r="G13" s="16">
        <v>700</v>
      </c>
      <c r="H13" s="16">
        <v>40</v>
      </c>
      <c r="I13" s="16">
        <f t="shared" si="0"/>
        <v>660</v>
      </c>
      <c r="J13" s="15" t="s">
        <v>2076</v>
      </c>
      <c r="K13" s="15" t="s">
        <v>21</v>
      </c>
      <c r="L13" s="15" t="s">
        <v>2077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2102</v>
      </c>
      <c r="D14" s="15" t="s">
        <v>2103</v>
      </c>
      <c r="E14" s="15" t="s">
        <v>1369</v>
      </c>
      <c r="F14" s="15" t="s">
        <v>77</v>
      </c>
      <c r="G14" s="16">
        <v>1765</v>
      </c>
      <c r="H14" s="16">
        <v>25</v>
      </c>
      <c r="I14" s="16">
        <f t="shared" si="0"/>
        <v>1740</v>
      </c>
      <c r="J14" s="15" t="s">
        <v>21</v>
      </c>
      <c r="K14" s="15" t="s">
        <v>21</v>
      </c>
      <c r="L14" s="15" t="s">
        <v>2077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2104</v>
      </c>
      <c r="D15" s="15" t="s">
        <v>2105</v>
      </c>
      <c r="E15" s="15" t="s">
        <v>2106</v>
      </c>
      <c r="F15" s="15" t="s">
        <v>85</v>
      </c>
      <c r="G15" s="16">
        <v>940</v>
      </c>
      <c r="H15" s="16">
        <v>20</v>
      </c>
      <c r="I15" s="16">
        <f t="shared" si="0"/>
        <v>920</v>
      </c>
      <c r="J15" s="15" t="s">
        <v>21</v>
      </c>
      <c r="K15" s="15" t="s">
        <v>21</v>
      </c>
      <c r="L15" s="15" t="s">
        <v>2077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2107</v>
      </c>
      <c r="D16" s="15" t="s">
        <v>2108</v>
      </c>
      <c r="E16" s="15" t="s">
        <v>2109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21</v>
      </c>
      <c r="K16" s="15" t="s">
        <v>21</v>
      </c>
      <c r="L16" s="15" t="s">
        <v>2077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2110</v>
      </c>
      <c r="D17" s="15" t="s">
        <v>2111</v>
      </c>
      <c r="E17" s="15" t="s">
        <v>2112</v>
      </c>
      <c r="F17" s="15" t="s">
        <v>85</v>
      </c>
      <c r="G17" s="16">
        <v>680</v>
      </c>
      <c r="H17" s="16">
        <v>20</v>
      </c>
      <c r="I17" s="16">
        <f t="shared" si="0"/>
        <v>660</v>
      </c>
      <c r="J17" s="15" t="s">
        <v>21</v>
      </c>
      <c r="K17" s="15" t="s">
        <v>21</v>
      </c>
      <c r="L17" s="15" t="s">
        <v>2077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2113</v>
      </c>
      <c r="D18" s="15" t="s">
        <v>2114</v>
      </c>
      <c r="E18" s="15" t="s">
        <v>2115</v>
      </c>
      <c r="F18" s="16">
        <v>12</v>
      </c>
      <c r="G18" s="16">
        <v>0</v>
      </c>
      <c r="H18" s="16">
        <v>30</v>
      </c>
      <c r="I18" s="16">
        <f t="shared" si="0"/>
        <v>-30</v>
      </c>
      <c r="J18" s="15" t="s">
        <v>21</v>
      </c>
      <c r="K18" s="15" t="s">
        <v>21</v>
      </c>
      <c r="L18" s="15" t="s">
        <v>2077</v>
      </c>
      <c r="M18" s="15"/>
      <c r="N18" s="15"/>
      <c r="O18" s="15"/>
      <c r="P18" s="15"/>
      <c r="Q18" s="15">
        <v>1</v>
      </c>
      <c r="R18" s="10">
        <f>H18</f>
        <v>30</v>
      </c>
    </row>
    <row r="19" spans="1:18" x14ac:dyDescent="0.25">
      <c r="A19" s="15" t="s">
        <v>16</v>
      </c>
      <c r="B19" s="15" t="s">
        <v>17</v>
      </c>
      <c r="C19" s="15" t="s">
        <v>2116</v>
      </c>
      <c r="D19" s="15"/>
      <c r="E19" s="15" t="s">
        <v>910</v>
      </c>
      <c r="F19" s="15" t="s">
        <v>85</v>
      </c>
      <c r="G19" s="16">
        <v>735</v>
      </c>
      <c r="H19" s="16">
        <v>25</v>
      </c>
      <c r="I19" s="16">
        <f t="shared" si="0"/>
        <v>710</v>
      </c>
      <c r="J19" s="15" t="s">
        <v>21</v>
      </c>
      <c r="K19" s="15" t="s">
        <v>21</v>
      </c>
      <c r="L19" s="15" t="s">
        <v>2077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2117</v>
      </c>
      <c r="D20" s="15" t="s">
        <v>2118</v>
      </c>
      <c r="E20" s="15" t="s">
        <v>2119</v>
      </c>
      <c r="F20" s="15" t="s">
        <v>95</v>
      </c>
      <c r="G20" s="16">
        <v>310</v>
      </c>
      <c r="H20" s="16">
        <v>25</v>
      </c>
      <c r="I20" s="16">
        <f t="shared" si="0"/>
        <v>285</v>
      </c>
      <c r="J20" s="15" t="s">
        <v>135</v>
      </c>
      <c r="K20" s="15" t="s">
        <v>21</v>
      </c>
      <c r="L20" s="15" t="s">
        <v>2077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570</v>
      </c>
      <c r="D21" s="15" t="s">
        <v>2120</v>
      </c>
      <c r="E21" s="15" t="s">
        <v>2121</v>
      </c>
      <c r="F21" s="16">
        <v>1</v>
      </c>
      <c r="G21" s="16">
        <v>805</v>
      </c>
      <c r="H21" s="16">
        <v>25</v>
      </c>
      <c r="I21" s="16">
        <f t="shared" si="0"/>
        <v>780</v>
      </c>
      <c r="J21" s="15" t="s">
        <v>135</v>
      </c>
      <c r="K21" s="15" t="s">
        <v>21</v>
      </c>
      <c r="L21" s="15" t="s">
        <v>2077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2122</v>
      </c>
      <c r="D22" s="15" t="s">
        <v>2123</v>
      </c>
      <c r="E22" s="15" t="s">
        <v>2124</v>
      </c>
      <c r="F22" s="16">
        <v>1</v>
      </c>
      <c r="G22" s="16">
        <v>845</v>
      </c>
      <c r="H22" s="16">
        <v>25</v>
      </c>
      <c r="I22" s="16">
        <f t="shared" si="0"/>
        <v>820</v>
      </c>
      <c r="J22" s="15" t="s">
        <v>135</v>
      </c>
      <c r="K22" s="15" t="s">
        <v>21</v>
      </c>
      <c r="L22" s="15" t="s">
        <v>2077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2125</v>
      </c>
      <c r="D23" s="15" t="s">
        <v>2126</v>
      </c>
      <c r="E23" s="15" t="s">
        <v>2127</v>
      </c>
      <c r="F23" s="16">
        <v>1</v>
      </c>
      <c r="G23" s="16">
        <v>845</v>
      </c>
      <c r="H23" s="16">
        <v>25</v>
      </c>
      <c r="I23" s="16">
        <f t="shared" si="0"/>
        <v>820</v>
      </c>
      <c r="J23" s="15" t="s">
        <v>135</v>
      </c>
      <c r="K23" s="15" t="s">
        <v>21</v>
      </c>
      <c r="L23" s="15" t="s">
        <v>2077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2128</v>
      </c>
      <c r="D24" s="15" t="s">
        <v>2129</v>
      </c>
      <c r="E24" s="15" t="s">
        <v>1496</v>
      </c>
      <c r="F24" s="15" t="s">
        <v>95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2077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 t="s">
        <v>16</v>
      </c>
      <c r="B25" s="15" t="s">
        <v>17</v>
      </c>
      <c r="C25" s="15" t="s">
        <v>1491</v>
      </c>
      <c r="D25" s="15"/>
      <c r="E25" s="15" t="s">
        <v>507</v>
      </c>
      <c r="F25" s="15" t="s">
        <v>95</v>
      </c>
      <c r="G25" s="16">
        <v>0</v>
      </c>
      <c r="H25" s="16">
        <v>30</v>
      </c>
      <c r="I25" s="16">
        <f t="shared" si="0"/>
        <v>-30</v>
      </c>
      <c r="J25" s="15" t="s">
        <v>135</v>
      </c>
      <c r="K25" s="15" t="s">
        <v>21</v>
      </c>
      <c r="L25" s="15" t="s">
        <v>2077</v>
      </c>
      <c r="M25" s="15"/>
      <c r="N25" s="15"/>
      <c r="O25" s="15"/>
      <c r="P25" s="15"/>
      <c r="Q25" s="15">
        <v>1</v>
      </c>
      <c r="R25" s="10">
        <f>H25</f>
        <v>30</v>
      </c>
    </row>
    <row r="26" spans="1:18" x14ac:dyDescent="0.25">
      <c r="A26" s="15" t="s">
        <v>16</v>
      </c>
      <c r="B26" s="15" t="s">
        <v>17</v>
      </c>
      <c r="C26" s="15" t="s">
        <v>2130</v>
      </c>
      <c r="D26" s="15"/>
      <c r="E26" s="15" t="s">
        <v>2131</v>
      </c>
      <c r="F26" s="15" t="s">
        <v>95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2077</v>
      </c>
      <c r="M26" s="15"/>
      <c r="N26" s="15"/>
      <c r="O26" s="15"/>
      <c r="P26" s="15"/>
      <c r="Q26" s="15">
        <v>1</v>
      </c>
      <c r="R26" s="10">
        <f>H26</f>
        <v>30</v>
      </c>
    </row>
    <row r="28" spans="1:18" x14ac:dyDescent="0.25">
      <c r="D28" s="1">
        <f>COUNTA(D3:D26)</f>
        <v>20</v>
      </c>
      <c r="G28" s="1">
        <f t="shared" ref="G28:Q28" si="1">SUBTOTAL(9,G3:G26)</f>
        <v>12235</v>
      </c>
      <c r="H28" s="1">
        <f t="shared" si="1"/>
        <v>665</v>
      </c>
      <c r="I28" s="1">
        <f t="shared" si="1"/>
        <v>11570</v>
      </c>
      <c r="J28" s="1">
        <f t="shared" si="1"/>
        <v>0</v>
      </c>
      <c r="K28" s="1">
        <f t="shared" si="1"/>
        <v>0</v>
      </c>
      <c r="L28" s="1">
        <f t="shared" si="1"/>
        <v>0</v>
      </c>
      <c r="M28" s="1">
        <f t="shared" si="1"/>
        <v>0</v>
      </c>
      <c r="N28" s="1">
        <f t="shared" si="1"/>
        <v>0</v>
      </c>
      <c r="O28" s="1">
        <f t="shared" si="1"/>
        <v>0</v>
      </c>
      <c r="P28" s="1">
        <f t="shared" si="1"/>
        <v>0</v>
      </c>
      <c r="Q28" s="1">
        <f t="shared" si="1"/>
        <v>24</v>
      </c>
    </row>
    <row r="29" spans="1:18" x14ac:dyDescent="0.25">
      <c r="H29">
        <f>-6*17</f>
        <v>-102</v>
      </c>
    </row>
    <row r="30" spans="1:18" x14ac:dyDescent="0.25">
      <c r="A30" s="1" t="s">
        <v>17</v>
      </c>
      <c r="C30" s="40" t="s">
        <v>191</v>
      </c>
      <c r="D30" s="40"/>
      <c r="E30" s="4" t="s">
        <v>192</v>
      </c>
      <c r="H30">
        <f>-4*25</f>
        <v>-100</v>
      </c>
      <c r="K30" s="11" t="s">
        <v>21</v>
      </c>
      <c r="L30" s="11" t="s">
        <v>193</v>
      </c>
      <c r="M30" s="11" t="s">
        <v>192</v>
      </c>
      <c r="O30" s="4" t="s">
        <v>194</v>
      </c>
    </row>
    <row r="31" spans="1:18" x14ac:dyDescent="0.25">
      <c r="A31" t="s">
        <v>2077</v>
      </c>
      <c r="B31" s="3" t="s">
        <v>195</v>
      </c>
      <c r="C31" s="41">
        <f>SUMIFS(I$3:I$26,B$3:B$26,A$30,L$3:L$26,A$31)</f>
        <v>11570</v>
      </c>
      <c r="D31" s="41"/>
      <c r="E31" s="3">
        <f>SUMIFS(Q$3:Q$26,B$3:B$26,A$30,L$3:L$26,A$31)</f>
        <v>24</v>
      </c>
      <c r="F31" t="s">
        <v>196</v>
      </c>
      <c r="H31">
        <f>-1*30</f>
        <v>-30</v>
      </c>
      <c r="K31" t="s">
        <v>197</v>
      </c>
      <c r="L31">
        <f>SUMIFS(G$3:G$26,J$3:J$26,K$30)</f>
        <v>4120</v>
      </c>
      <c r="M31">
        <f>SUMIFS(Q$3:Q$26,J$3:J$26,K$30)-INT(COUNTIFS(J$3:J$26,K$30,M$3:M$26,"*gộp*")/2)</f>
        <v>6</v>
      </c>
      <c r="O31" t="s">
        <v>21</v>
      </c>
      <c r="P31">
        <f>L36</f>
        <v>3952</v>
      </c>
    </row>
    <row r="32" spans="1:18" x14ac:dyDescent="0.25">
      <c r="B32" s="2" t="s">
        <v>199</v>
      </c>
      <c r="C32" s="42">
        <v>0</v>
      </c>
      <c r="D32" s="42"/>
      <c r="K32" t="s">
        <v>200</v>
      </c>
      <c r="L32">
        <f>-SUMIFS(H$3:H$26,J$3:J$26,K$30)+M32*5</f>
        <v>-120</v>
      </c>
      <c r="M32">
        <f>SUMIFS(Q$3:Q$26,J$3:J$26,K$30)-INT(COUNTIFS(J$3:J$26,K$30,M$3:M$26,"*gộp*")/2)</f>
        <v>6</v>
      </c>
      <c r="O32" t="s">
        <v>135</v>
      </c>
      <c r="P32">
        <f>L44</f>
        <v>2655</v>
      </c>
    </row>
    <row r="33" spans="2:16" x14ac:dyDescent="0.25">
      <c r="B33" s="2" t="s">
        <v>201</v>
      </c>
      <c r="C33" s="42">
        <f>-SUMIFS(I$3:I$26,B$3:B$26,A$30,P$3:P$26,"xx",N$3:N$26,"x")</f>
        <v>0</v>
      </c>
      <c r="D33" s="42"/>
      <c r="E33" s="2">
        <f>SUMIFS(Q$3:Q$26,B$3:B$26,A$30,P$3:P$26,"xx",N$3:N$26,"x")</f>
        <v>0</v>
      </c>
      <c r="K33" t="s">
        <v>202</v>
      </c>
      <c r="L33">
        <f>-M33*2</f>
        <v>-48</v>
      </c>
      <c r="M33">
        <f>E34-(COUNTIFS(M$3:M$26,"*gộp*")/2)-COUNTIFS(M$3:M$26,"*đơn trả*")-COUNTIFS(M$3:M$26,"*hàng tỉnh*")</f>
        <v>24</v>
      </c>
      <c r="O33" t="s">
        <v>2132</v>
      </c>
      <c r="P33">
        <f>L52</f>
        <v>5078</v>
      </c>
    </row>
    <row r="34" spans="2:16" x14ac:dyDescent="0.25">
      <c r="B34" s="4" t="s">
        <v>203</v>
      </c>
      <c r="C34" s="40">
        <f>SUBTOTAL(9,C31:C33)</f>
        <v>11570</v>
      </c>
      <c r="D34" s="40"/>
      <c r="E34">
        <f>E31</f>
        <v>24</v>
      </c>
      <c r="K34" s="2" t="s">
        <v>204</v>
      </c>
      <c r="O34" t="s">
        <v>207</v>
      </c>
      <c r="P34">
        <f>-C38</f>
        <v>-11570</v>
      </c>
    </row>
    <row r="35" spans="2:16" x14ac:dyDescent="0.25">
      <c r="B35" s="2" t="s">
        <v>205</v>
      </c>
      <c r="C35" s="38"/>
      <c r="D35" s="38"/>
      <c r="K35" s="2" t="s">
        <v>206</v>
      </c>
      <c r="O35" s="4" t="s">
        <v>209</v>
      </c>
      <c r="P35" s="4">
        <f>SUBTOTAL(9,P31:P34)</f>
        <v>115</v>
      </c>
    </row>
    <row r="36" spans="2:16" x14ac:dyDescent="0.25">
      <c r="B36" s="12" t="s">
        <v>208</v>
      </c>
      <c r="C36" s="38"/>
      <c r="D36" s="38"/>
      <c r="L36" s="13">
        <f>SUBTOTAL(9,L31:L35)</f>
        <v>3952</v>
      </c>
      <c r="M36" s="13">
        <f>M31</f>
        <v>6</v>
      </c>
    </row>
    <row r="38" spans="2:16" x14ac:dyDescent="0.25">
      <c r="B38" s="1" t="s">
        <v>210</v>
      </c>
      <c r="C38" s="39">
        <f>C34+C35+C36</f>
        <v>11570</v>
      </c>
      <c r="D38" s="39"/>
      <c r="E38" s="1" t="s">
        <v>211</v>
      </c>
      <c r="K38" s="11" t="s">
        <v>135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2805</v>
      </c>
      <c r="M39">
        <f>SUMIFS(Q$3:Q$26,J$3:J$26,K$38)-INT(COUNTIFS(J$3:J$26,K$38,M$3:M$26,"*gộp*")/2)</f>
        <v>7</v>
      </c>
    </row>
    <row r="40" spans="2:16" x14ac:dyDescent="0.25">
      <c r="K40" t="s">
        <v>200</v>
      </c>
      <c r="L40">
        <f>-SUMIFS(H$3:H$26,J$3:J$26,K$38)+M40*5</f>
        <v>-150</v>
      </c>
      <c r="M40">
        <f>SUMIFS(Q$3:Q$26,J$3:J$26,K$38)-INT(COUNTIFS(J$3:J$26,K$38,M$3:M$26,"*gộp*")/2)</f>
        <v>7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2655</v>
      </c>
      <c r="M44" s="13">
        <f>M39</f>
        <v>7</v>
      </c>
    </row>
    <row r="46" spans="2:16" x14ac:dyDescent="0.25">
      <c r="K46" s="11" t="s">
        <v>2076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5310</v>
      </c>
      <c r="M47">
        <f>SUMIFS(Q$3:Q$26,J$3:J$26,K$46)-INT(COUNTIFS(J$3:J$26,K$46,M$3:M$26,"*gộp*")/2)</f>
        <v>11</v>
      </c>
    </row>
    <row r="48" spans="2:16" x14ac:dyDescent="0.25">
      <c r="K48" t="s">
        <v>200</v>
      </c>
      <c r="L48">
        <f>SUM(H29:H31)</f>
        <v>-232</v>
      </c>
      <c r="M48">
        <f>SUMIFS(Q$3:Q$26,J$3:J$26,K$46)-INT(COUNTIFS(J$3:J$26,K$46,M$3:M$26,"*gộp*")/2)</f>
        <v>11</v>
      </c>
    </row>
    <row r="49" spans="11:13" x14ac:dyDescent="0.25">
      <c r="K49" t="s">
        <v>202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5078</v>
      </c>
      <c r="M52" s="13">
        <f>M47</f>
        <v>11</v>
      </c>
    </row>
  </sheetData>
  <autoFilter ref="A2:P26" xr:uid="{00000000-0009-0000-0000-000015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R55"/>
  <sheetViews>
    <sheetView workbookViewId="0">
      <selection activeCell="S23" sqref="S23"/>
    </sheetView>
  </sheetViews>
  <sheetFormatPr defaultRowHeight="15" x14ac:dyDescent="0.25"/>
  <cols>
    <col min="1" max="1" width="12.7109375" customWidth="1"/>
    <col min="2" max="2" width="17.7109375" customWidth="1"/>
    <col min="3" max="3" width="35.140625" customWidth="1"/>
    <col min="4" max="4" width="9.85546875" customWidth="1"/>
    <col min="5" max="5" width="42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2133</v>
      </c>
      <c r="D3" s="15" t="s">
        <v>2134</v>
      </c>
      <c r="E3" s="15" t="s">
        <v>2135</v>
      </c>
      <c r="F3" s="16">
        <v>8</v>
      </c>
      <c r="G3" s="16">
        <v>720</v>
      </c>
      <c r="H3" s="16">
        <v>30</v>
      </c>
      <c r="I3" s="16">
        <f t="shared" ref="I3:I29" si="0">G3-H3</f>
        <v>690</v>
      </c>
      <c r="J3" s="15" t="s">
        <v>2136</v>
      </c>
      <c r="K3" s="15" t="s">
        <v>21</v>
      </c>
      <c r="L3" s="15" t="s">
        <v>2137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2138</v>
      </c>
      <c r="D4" s="15" t="s">
        <v>2139</v>
      </c>
      <c r="E4" s="15" t="s">
        <v>2140</v>
      </c>
      <c r="F4" s="15" t="s">
        <v>95</v>
      </c>
      <c r="G4" s="16">
        <v>1165</v>
      </c>
      <c r="H4" s="16">
        <v>25</v>
      </c>
      <c r="I4" s="16">
        <f t="shared" si="0"/>
        <v>1140</v>
      </c>
      <c r="J4" s="15" t="s">
        <v>2136</v>
      </c>
      <c r="K4" s="15" t="s">
        <v>21</v>
      </c>
      <c r="L4" s="15" t="s">
        <v>2137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2141</v>
      </c>
      <c r="D5" s="15" t="s">
        <v>2142</v>
      </c>
      <c r="E5" s="15" t="s">
        <v>2143</v>
      </c>
      <c r="F5" s="16">
        <v>6</v>
      </c>
      <c r="G5" s="16">
        <v>0</v>
      </c>
      <c r="H5" s="16">
        <v>25</v>
      </c>
      <c r="I5" s="16">
        <f t="shared" si="0"/>
        <v>-25</v>
      </c>
      <c r="J5" s="15" t="s">
        <v>2136</v>
      </c>
      <c r="K5" s="15" t="s">
        <v>21</v>
      </c>
      <c r="L5" s="15" t="s">
        <v>2137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2144</v>
      </c>
      <c r="D6" s="15" t="s">
        <v>2145</v>
      </c>
      <c r="E6" s="15" t="s">
        <v>2146</v>
      </c>
      <c r="F6" s="15" t="s">
        <v>46</v>
      </c>
      <c r="G6" s="16">
        <v>845</v>
      </c>
      <c r="H6" s="16">
        <v>25</v>
      </c>
      <c r="I6" s="16">
        <f t="shared" si="0"/>
        <v>820</v>
      </c>
      <c r="J6" s="15" t="s">
        <v>2136</v>
      </c>
      <c r="K6" s="15" t="s">
        <v>21</v>
      </c>
      <c r="L6" s="15" t="s">
        <v>2137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1918</v>
      </c>
      <c r="D7" s="15" t="s">
        <v>2147</v>
      </c>
      <c r="E7" s="15" t="s">
        <v>1920</v>
      </c>
      <c r="F7" s="16">
        <v>8</v>
      </c>
      <c r="G7" s="16">
        <v>850</v>
      </c>
      <c r="H7" s="16">
        <v>30</v>
      </c>
      <c r="I7" s="16">
        <f t="shared" si="0"/>
        <v>820</v>
      </c>
      <c r="J7" s="15" t="s">
        <v>2136</v>
      </c>
      <c r="K7" s="15" t="s">
        <v>21</v>
      </c>
      <c r="L7" s="15" t="s">
        <v>2137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2148</v>
      </c>
      <c r="D8" s="15" t="s">
        <v>2149</v>
      </c>
      <c r="E8" s="15" t="s">
        <v>2150</v>
      </c>
      <c r="F8" s="16">
        <v>8</v>
      </c>
      <c r="G8" s="16">
        <v>850</v>
      </c>
      <c r="H8" s="16">
        <v>30</v>
      </c>
      <c r="I8" s="16">
        <f t="shared" si="0"/>
        <v>820</v>
      </c>
      <c r="J8" s="15" t="s">
        <v>2136</v>
      </c>
      <c r="K8" s="15" t="s">
        <v>21</v>
      </c>
      <c r="L8" s="15" t="s">
        <v>2137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2151</v>
      </c>
      <c r="D9" s="15" t="s">
        <v>2152</v>
      </c>
      <c r="E9" s="15" t="s">
        <v>2153</v>
      </c>
      <c r="F9" s="15" t="s">
        <v>85</v>
      </c>
      <c r="G9" s="16">
        <v>900</v>
      </c>
      <c r="H9" s="16">
        <v>20</v>
      </c>
      <c r="I9" s="16">
        <f t="shared" si="0"/>
        <v>880</v>
      </c>
      <c r="J9" s="15" t="s">
        <v>21</v>
      </c>
      <c r="K9" s="15" t="s">
        <v>21</v>
      </c>
      <c r="L9" s="15" t="s">
        <v>2137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2154</v>
      </c>
      <c r="D10" s="15" t="s">
        <v>2155</v>
      </c>
      <c r="E10" s="15" t="s">
        <v>2156</v>
      </c>
      <c r="F10" s="15" t="s">
        <v>95</v>
      </c>
      <c r="G10" s="16">
        <v>0</v>
      </c>
      <c r="H10" s="16">
        <v>25</v>
      </c>
      <c r="I10" s="16">
        <f t="shared" si="0"/>
        <v>-25</v>
      </c>
      <c r="J10" s="15" t="s">
        <v>21</v>
      </c>
      <c r="K10" s="15" t="s">
        <v>21</v>
      </c>
      <c r="L10" s="15" t="s">
        <v>2137</v>
      </c>
      <c r="M10" s="15"/>
      <c r="N10" s="15"/>
      <c r="O10" s="15"/>
      <c r="P10" s="15"/>
      <c r="Q10" s="15">
        <v>1</v>
      </c>
      <c r="R10" s="10">
        <f>H10</f>
        <v>25</v>
      </c>
    </row>
    <row r="11" spans="1:18" x14ac:dyDescent="0.25">
      <c r="A11" s="15"/>
      <c r="B11" s="15" t="s">
        <v>17</v>
      </c>
      <c r="C11" s="15" t="s">
        <v>2157</v>
      </c>
      <c r="D11" s="15" t="s">
        <v>2158</v>
      </c>
      <c r="E11" s="15" t="s">
        <v>2159</v>
      </c>
      <c r="F11" s="15" t="s">
        <v>81</v>
      </c>
      <c r="G11" s="16">
        <v>3650</v>
      </c>
      <c r="H11" s="16">
        <v>40</v>
      </c>
      <c r="I11" s="16">
        <f t="shared" si="0"/>
        <v>3610</v>
      </c>
      <c r="J11" s="15" t="s">
        <v>21</v>
      </c>
      <c r="K11" s="15" t="s">
        <v>21</v>
      </c>
      <c r="L11" s="15" t="s">
        <v>2137</v>
      </c>
      <c r="M11" s="20" t="s">
        <v>167</v>
      </c>
      <c r="N11" s="15"/>
      <c r="O11" s="15"/>
      <c r="P11" s="15"/>
      <c r="Q11" s="15">
        <v>1</v>
      </c>
      <c r="R11" s="10">
        <f>H11</f>
        <v>40</v>
      </c>
    </row>
    <row r="12" spans="1:18" x14ac:dyDescent="0.25">
      <c r="A12" s="15"/>
      <c r="B12" s="15" t="s">
        <v>17</v>
      </c>
      <c r="C12" s="15" t="s">
        <v>2113</v>
      </c>
      <c r="D12" s="15" t="s">
        <v>2160</v>
      </c>
      <c r="E12" s="15" t="s">
        <v>2115</v>
      </c>
      <c r="F12" s="16">
        <v>12</v>
      </c>
      <c r="G12" s="16">
        <v>0</v>
      </c>
      <c r="H12" s="16">
        <v>30</v>
      </c>
      <c r="I12" s="16">
        <f t="shared" si="0"/>
        <v>-30</v>
      </c>
      <c r="J12" s="15" t="s">
        <v>21</v>
      </c>
      <c r="K12" s="15" t="s">
        <v>21</v>
      </c>
      <c r="L12" s="15" t="s">
        <v>2137</v>
      </c>
      <c r="M12" s="15"/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2161</v>
      </c>
      <c r="D13" s="15" t="s">
        <v>2162</v>
      </c>
      <c r="E13" s="15" t="s">
        <v>2163</v>
      </c>
      <c r="F13" s="15" t="s">
        <v>95</v>
      </c>
      <c r="G13" s="16">
        <v>775</v>
      </c>
      <c r="H13" s="16">
        <v>25</v>
      </c>
      <c r="I13" s="16">
        <f t="shared" si="0"/>
        <v>750</v>
      </c>
      <c r="J13" s="15" t="s">
        <v>21</v>
      </c>
      <c r="K13" s="15" t="s">
        <v>21</v>
      </c>
      <c r="L13" s="15" t="s">
        <v>2137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2164</v>
      </c>
      <c r="D14" s="15" t="s">
        <v>2165</v>
      </c>
      <c r="E14" s="15" t="s">
        <v>2166</v>
      </c>
      <c r="F14" s="16">
        <v>12</v>
      </c>
      <c r="G14" s="16">
        <v>0</v>
      </c>
      <c r="H14" s="16">
        <v>30</v>
      </c>
      <c r="I14" s="16">
        <f t="shared" si="0"/>
        <v>-30</v>
      </c>
      <c r="J14" s="15" t="s">
        <v>21</v>
      </c>
      <c r="K14" s="15" t="s">
        <v>21</v>
      </c>
      <c r="L14" s="15" t="s">
        <v>2137</v>
      </c>
      <c r="M14" s="15"/>
      <c r="N14" s="15"/>
      <c r="O14" s="15"/>
      <c r="P14" s="15"/>
      <c r="Q14" s="15">
        <v>1</v>
      </c>
      <c r="R14" s="10">
        <f>H14</f>
        <v>30</v>
      </c>
    </row>
    <row r="15" spans="1:18" x14ac:dyDescent="0.25">
      <c r="A15" s="15"/>
      <c r="B15" s="15" t="s">
        <v>17</v>
      </c>
      <c r="C15" s="15" t="s">
        <v>738</v>
      </c>
      <c r="D15" s="15" t="s">
        <v>2167</v>
      </c>
      <c r="E15" s="15" t="s">
        <v>2168</v>
      </c>
      <c r="F15" s="15" t="s">
        <v>77</v>
      </c>
      <c r="G15" s="16">
        <v>1775</v>
      </c>
      <c r="H15" s="16">
        <v>25</v>
      </c>
      <c r="I15" s="16">
        <f t="shared" si="0"/>
        <v>1750</v>
      </c>
      <c r="J15" s="15" t="s">
        <v>21</v>
      </c>
      <c r="K15" s="15" t="s">
        <v>21</v>
      </c>
      <c r="L15" s="15" t="s">
        <v>2137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2169</v>
      </c>
      <c r="D16" s="15" t="s">
        <v>2170</v>
      </c>
      <c r="E16" s="15" t="s">
        <v>250</v>
      </c>
      <c r="F16" s="15" t="s">
        <v>77</v>
      </c>
      <c r="G16" s="16">
        <v>0</v>
      </c>
      <c r="H16" s="16">
        <v>25</v>
      </c>
      <c r="I16" s="16">
        <f t="shared" si="0"/>
        <v>-25</v>
      </c>
      <c r="J16" s="15" t="s">
        <v>21</v>
      </c>
      <c r="K16" s="15" t="s">
        <v>21</v>
      </c>
      <c r="L16" s="15" t="s">
        <v>2137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2171</v>
      </c>
      <c r="D17" s="15" t="s">
        <v>2172</v>
      </c>
      <c r="E17" s="15" t="s">
        <v>2173</v>
      </c>
      <c r="F17" s="15" t="s">
        <v>81</v>
      </c>
      <c r="G17" s="16">
        <v>1120</v>
      </c>
      <c r="H17" s="16">
        <v>30</v>
      </c>
      <c r="I17" s="16">
        <f t="shared" si="0"/>
        <v>1090</v>
      </c>
      <c r="J17" s="15" t="s">
        <v>21</v>
      </c>
      <c r="K17" s="15" t="s">
        <v>21</v>
      </c>
      <c r="L17" s="15" t="s">
        <v>2137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2174</v>
      </c>
      <c r="D18" s="15" t="s">
        <v>2175</v>
      </c>
      <c r="E18" s="15" t="s">
        <v>2176</v>
      </c>
      <c r="F18" s="15" t="s">
        <v>85</v>
      </c>
      <c r="G18" s="16">
        <v>1720</v>
      </c>
      <c r="H18" s="16">
        <v>20</v>
      </c>
      <c r="I18" s="16">
        <f t="shared" si="0"/>
        <v>1700</v>
      </c>
      <c r="J18" s="15" t="s">
        <v>21</v>
      </c>
      <c r="K18" s="15" t="s">
        <v>21</v>
      </c>
      <c r="L18" s="15" t="s">
        <v>2137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2177</v>
      </c>
      <c r="D19" s="15" t="s">
        <v>2178</v>
      </c>
      <c r="E19" s="15" t="s">
        <v>2179</v>
      </c>
      <c r="F19" s="15" t="s">
        <v>85</v>
      </c>
      <c r="G19" s="16">
        <v>0</v>
      </c>
      <c r="H19" s="16">
        <v>20</v>
      </c>
      <c r="I19" s="16">
        <f t="shared" si="0"/>
        <v>-20</v>
      </c>
      <c r="J19" s="15" t="s">
        <v>21</v>
      </c>
      <c r="K19" s="15" t="s">
        <v>21</v>
      </c>
      <c r="L19" s="15" t="s">
        <v>2137</v>
      </c>
      <c r="M19" s="20" t="s">
        <v>2180</v>
      </c>
      <c r="N19" s="15"/>
      <c r="O19" s="15"/>
      <c r="P19" s="15"/>
      <c r="Q19" s="15">
        <v>1</v>
      </c>
      <c r="R19" s="10">
        <f>H19</f>
        <v>20</v>
      </c>
    </row>
    <row r="20" spans="1:18" x14ac:dyDescent="0.25">
      <c r="A20" s="15"/>
      <c r="B20" s="15" t="s">
        <v>17</v>
      </c>
      <c r="C20" s="15" t="s">
        <v>111</v>
      </c>
      <c r="D20" s="15" t="s">
        <v>2181</v>
      </c>
      <c r="E20" s="15" t="s">
        <v>2182</v>
      </c>
      <c r="F20" s="15" t="s">
        <v>81</v>
      </c>
      <c r="G20" s="16">
        <v>860</v>
      </c>
      <c r="H20" s="16">
        <v>30</v>
      </c>
      <c r="I20" s="16">
        <f t="shared" si="0"/>
        <v>830</v>
      </c>
      <c r="J20" s="15" t="s">
        <v>21</v>
      </c>
      <c r="K20" s="15" t="s">
        <v>21</v>
      </c>
      <c r="L20" s="15" t="s">
        <v>2137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16</v>
      </c>
      <c r="B21" s="15" t="s">
        <v>17</v>
      </c>
      <c r="C21" s="15" t="s">
        <v>2183</v>
      </c>
      <c r="D21" s="15"/>
      <c r="E21" s="15" t="s">
        <v>2115</v>
      </c>
      <c r="F21" s="16">
        <v>12</v>
      </c>
      <c r="G21" s="16">
        <v>0</v>
      </c>
      <c r="H21" s="16">
        <v>60</v>
      </c>
      <c r="I21" s="16">
        <f t="shared" si="0"/>
        <v>-60</v>
      </c>
      <c r="J21" s="15" t="s">
        <v>21</v>
      </c>
      <c r="K21" s="15" t="s">
        <v>21</v>
      </c>
      <c r="L21" s="15" t="s">
        <v>2137</v>
      </c>
      <c r="M21" s="15"/>
      <c r="N21" s="15"/>
      <c r="O21" s="15"/>
      <c r="P21" s="15"/>
      <c r="Q21" s="15">
        <v>1</v>
      </c>
      <c r="R21" s="10">
        <f>H21</f>
        <v>60</v>
      </c>
    </row>
    <row r="22" spans="1:18" x14ac:dyDescent="0.25">
      <c r="A22" s="15"/>
      <c r="B22" s="15" t="s">
        <v>17</v>
      </c>
      <c r="C22" s="15" t="s">
        <v>2184</v>
      </c>
      <c r="D22" s="15" t="s">
        <v>2185</v>
      </c>
      <c r="E22" s="15" t="s">
        <v>2186</v>
      </c>
      <c r="F22" s="15" t="s">
        <v>95</v>
      </c>
      <c r="G22" s="16">
        <v>915</v>
      </c>
      <c r="H22" s="16">
        <v>25</v>
      </c>
      <c r="I22" s="16">
        <f t="shared" si="0"/>
        <v>890</v>
      </c>
      <c r="J22" s="15" t="s">
        <v>135</v>
      </c>
      <c r="K22" s="15" t="s">
        <v>21</v>
      </c>
      <c r="L22" s="15" t="s">
        <v>2137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2187</v>
      </c>
      <c r="D23" s="15" t="s">
        <v>2188</v>
      </c>
      <c r="E23" s="15" t="s">
        <v>2189</v>
      </c>
      <c r="F23" s="16">
        <v>1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2137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x14ac:dyDescent="0.25">
      <c r="A24" s="15"/>
      <c r="B24" s="15" t="s">
        <v>17</v>
      </c>
      <c r="C24" s="15" t="s">
        <v>2190</v>
      </c>
      <c r="D24" s="15" t="s">
        <v>2191</v>
      </c>
      <c r="E24" s="15" t="s">
        <v>2192</v>
      </c>
      <c r="F24" s="16">
        <v>1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2137</v>
      </c>
      <c r="M24" s="20" t="s">
        <v>2193</v>
      </c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1621</v>
      </c>
      <c r="D25" s="15" t="s">
        <v>2194</v>
      </c>
      <c r="E25" s="15" t="s">
        <v>2195</v>
      </c>
      <c r="F25" s="16">
        <v>1</v>
      </c>
      <c r="G25" s="16">
        <v>0</v>
      </c>
      <c r="H25" s="16">
        <v>25</v>
      </c>
      <c r="I25" s="16">
        <f t="shared" si="0"/>
        <v>-25</v>
      </c>
      <c r="J25" s="15" t="s">
        <v>135</v>
      </c>
      <c r="K25" s="15" t="s">
        <v>21</v>
      </c>
      <c r="L25" s="15" t="s">
        <v>2137</v>
      </c>
      <c r="M25" s="20" t="s">
        <v>2196</v>
      </c>
      <c r="N25" s="15"/>
      <c r="O25" s="15"/>
      <c r="P25" s="15"/>
      <c r="Q25" s="15">
        <v>1</v>
      </c>
      <c r="R25" s="10">
        <f>H25</f>
        <v>25</v>
      </c>
    </row>
    <row r="26" spans="1:18" x14ac:dyDescent="0.25">
      <c r="A26" s="15"/>
      <c r="B26" s="15" t="s">
        <v>17</v>
      </c>
      <c r="C26" s="15" t="s">
        <v>2197</v>
      </c>
      <c r="D26" s="15" t="s">
        <v>2198</v>
      </c>
      <c r="E26" s="15" t="s">
        <v>2199</v>
      </c>
      <c r="F26" s="16">
        <v>10</v>
      </c>
      <c r="G26" s="16">
        <v>595</v>
      </c>
      <c r="H26" s="16">
        <v>25</v>
      </c>
      <c r="I26" s="16">
        <f t="shared" si="0"/>
        <v>570</v>
      </c>
      <c r="J26" s="15" t="s">
        <v>135</v>
      </c>
      <c r="K26" s="15" t="s">
        <v>21</v>
      </c>
      <c r="L26" s="15" t="s">
        <v>2137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2200</v>
      </c>
      <c r="D27" s="15" t="s">
        <v>2201</v>
      </c>
      <c r="E27" s="15" t="s">
        <v>2202</v>
      </c>
      <c r="F27" s="15" t="s">
        <v>406</v>
      </c>
      <c r="G27" s="16">
        <v>970</v>
      </c>
      <c r="H27" s="16">
        <v>20</v>
      </c>
      <c r="I27" s="16">
        <f t="shared" si="0"/>
        <v>950</v>
      </c>
      <c r="J27" s="15" t="s">
        <v>135</v>
      </c>
      <c r="K27" s="15" t="s">
        <v>21</v>
      </c>
      <c r="L27" s="15" t="s">
        <v>2137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1186</v>
      </c>
      <c r="D28" s="15" t="s">
        <v>2203</v>
      </c>
      <c r="E28" s="15" t="s">
        <v>2204</v>
      </c>
      <c r="F28" s="16">
        <v>1</v>
      </c>
      <c r="G28" s="16">
        <v>845</v>
      </c>
      <c r="H28" s="16">
        <v>25</v>
      </c>
      <c r="I28" s="16">
        <f t="shared" si="0"/>
        <v>820</v>
      </c>
      <c r="J28" s="15" t="s">
        <v>135</v>
      </c>
      <c r="K28" s="15" t="s">
        <v>21</v>
      </c>
      <c r="L28" s="15" t="s">
        <v>2137</v>
      </c>
      <c r="M28" s="15"/>
      <c r="N28" s="15"/>
      <c r="O28" s="15"/>
      <c r="P28" s="15"/>
      <c r="Q28" s="15">
        <v>1</v>
      </c>
    </row>
    <row r="29" spans="1:18" s="2" customFormat="1" x14ac:dyDescent="0.25">
      <c r="A29" s="21"/>
      <c r="B29" s="21" t="s">
        <v>17</v>
      </c>
      <c r="C29" s="21" t="s">
        <v>1988</v>
      </c>
      <c r="D29" s="21" t="s">
        <v>1989</v>
      </c>
      <c r="E29" s="21" t="s">
        <v>1990</v>
      </c>
      <c r="F29" s="22">
        <v>4</v>
      </c>
      <c r="G29" s="22">
        <v>845</v>
      </c>
      <c r="H29" s="22">
        <v>25</v>
      </c>
      <c r="I29" s="22">
        <f t="shared" si="0"/>
        <v>820</v>
      </c>
      <c r="J29" s="21" t="s">
        <v>271</v>
      </c>
      <c r="K29" s="21" t="s">
        <v>21</v>
      </c>
      <c r="L29" s="21" t="s">
        <v>1894</v>
      </c>
      <c r="M29" s="21" t="s">
        <v>204</v>
      </c>
      <c r="N29" s="21" t="s">
        <v>272</v>
      </c>
      <c r="O29" s="21" t="s">
        <v>272</v>
      </c>
      <c r="P29" s="21" t="s">
        <v>273</v>
      </c>
      <c r="Q29" s="22">
        <v>1</v>
      </c>
    </row>
    <row r="30" spans="1:18" x14ac:dyDescent="0.25">
      <c r="N30" s="1">
        <f>SUBTOTAL(9,N3:N29)</f>
        <v>0</v>
      </c>
    </row>
    <row r="31" spans="1:18" x14ac:dyDescent="0.25">
      <c r="D31" s="1">
        <f>COUNTA(D3:D29)</f>
        <v>26</v>
      </c>
      <c r="G31" s="1">
        <f t="shared" ref="G31:M31" si="1">SUBTOTAL(9,G3:G29)</f>
        <v>19400</v>
      </c>
      <c r="H31" s="1">
        <f t="shared" si="1"/>
        <v>740</v>
      </c>
      <c r="I31" s="1">
        <f t="shared" si="1"/>
        <v>18660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O31" s="1">
        <f>SUBTOTAL(9,O3:O29)</f>
        <v>0</v>
      </c>
      <c r="P31" s="1">
        <f>SUBTOTAL(9,P3:P29)</f>
        <v>0</v>
      </c>
      <c r="Q31" s="1">
        <f>SUBTOTAL(9,Q3:Q29)</f>
        <v>27</v>
      </c>
    </row>
    <row r="32" spans="1:18" x14ac:dyDescent="0.25">
      <c r="H32">
        <f>-6*17</f>
        <v>-102</v>
      </c>
    </row>
    <row r="33" spans="1:16" x14ac:dyDescent="0.25">
      <c r="A33" s="1" t="s">
        <v>17</v>
      </c>
      <c r="C33" s="40" t="s">
        <v>191</v>
      </c>
      <c r="D33" s="40"/>
      <c r="E33" s="4" t="s">
        <v>192</v>
      </c>
      <c r="K33" s="11" t="s">
        <v>2136</v>
      </c>
      <c r="L33" s="11" t="s">
        <v>193</v>
      </c>
      <c r="M33" s="11" t="s">
        <v>192</v>
      </c>
      <c r="O33" s="4" t="s">
        <v>194</v>
      </c>
    </row>
    <row r="34" spans="1:16" x14ac:dyDescent="0.25">
      <c r="A34" t="s">
        <v>2137</v>
      </c>
      <c r="B34" s="3" t="s">
        <v>195</v>
      </c>
      <c r="C34" s="41">
        <f>SUMIFS(I$3:I$29,B$3:B$29,A$33,L$3:L$29,A$34)</f>
        <v>17840</v>
      </c>
      <c r="D34" s="41"/>
      <c r="E34" s="3">
        <f>SUMIFS(Q$3:Q$29,B$3:B$29,A$33,L$3:L$29,A$34)</f>
        <v>26</v>
      </c>
      <c r="F34" t="s">
        <v>196</v>
      </c>
      <c r="K34" t="s">
        <v>197</v>
      </c>
      <c r="L34">
        <f>SUMIFS(G$3:G$29,J$3:J$29,K$33)</f>
        <v>4430</v>
      </c>
      <c r="M34">
        <f>SUMIFS(Q$3:Q$29,J$3:J$29,K$33)-INT(COUNTIFS(J$3:J$29,K$33,M$3:M$29,"*gộp*")/2)</f>
        <v>6</v>
      </c>
      <c r="O34" t="s">
        <v>2205</v>
      </c>
      <c r="P34">
        <f>L39</f>
        <v>4328</v>
      </c>
    </row>
    <row r="35" spans="1:16" x14ac:dyDescent="0.25">
      <c r="B35" s="2" t="s">
        <v>199</v>
      </c>
      <c r="C35" s="42">
        <v>0</v>
      </c>
      <c r="D35" s="42"/>
      <c r="K35" t="s">
        <v>200</v>
      </c>
      <c r="L35">
        <f>SUM(H32:H32)</f>
        <v>-102</v>
      </c>
      <c r="M35">
        <f>SUMIFS(Q$3:Q$29,J$3:J$29,K$33)-INT(COUNTIFS(J$3:J$29,K$33,M$3:M$29,"*gộp*")/2)</f>
        <v>6</v>
      </c>
      <c r="O35" t="s">
        <v>135</v>
      </c>
      <c r="P35">
        <f>L47</f>
        <v>2365</v>
      </c>
    </row>
    <row r="36" spans="1:16" x14ac:dyDescent="0.25">
      <c r="B36" s="2" t="s">
        <v>201</v>
      </c>
      <c r="C36" s="42">
        <f>-SUMIFS(I$3:I$29,B$3:B$29,A$33,P$3:P$29,"xx",N$3:N$29,"x")</f>
        <v>-820</v>
      </c>
      <c r="D36" s="42"/>
      <c r="E36" s="2">
        <f>SUMIFS(Q$3:Q$29,B$3:B$29,A$33,P$3:P$29,"xx",N$3:N$29,"x")</f>
        <v>1</v>
      </c>
      <c r="K36" t="s">
        <v>202</v>
      </c>
      <c r="O36" t="s">
        <v>21</v>
      </c>
      <c r="P36">
        <f>L55</f>
        <v>10435</v>
      </c>
    </row>
    <row r="37" spans="1:16" x14ac:dyDescent="0.25">
      <c r="B37" s="4" t="s">
        <v>203</v>
      </c>
      <c r="C37" s="40">
        <f>SUBTOTAL(9,C34:C36)</f>
        <v>17020</v>
      </c>
      <c r="D37" s="40"/>
      <c r="E37">
        <f>E34</f>
        <v>26</v>
      </c>
      <c r="K37" s="2" t="s">
        <v>204</v>
      </c>
      <c r="O37" t="s">
        <v>207</v>
      </c>
      <c r="P37">
        <f>-C41</f>
        <v>-17020</v>
      </c>
    </row>
    <row r="38" spans="1:16" x14ac:dyDescent="0.25">
      <c r="B38" s="2" t="s">
        <v>205</v>
      </c>
      <c r="C38" s="38"/>
      <c r="D38" s="38"/>
      <c r="K38" s="2" t="s">
        <v>206</v>
      </c>
      <c r="O38" s="4" t="s">
        <v>209</v>
      </c>
      <c r="P38" s="4">
        <f>SUBTOTAL(9,P34:P37)</f>
        <v>108</v>
      </c>
    </row>
    <row r="39" spans="1:16" x14ac:dyDescent="0.25">
      <c r="B39" s="12" t="s">
        <v>208</v>
      </c>
      <c r="C39" s="38"/>
      <c r="D39" s="38"/>
      <c r="L39" s="13">
        <f>SUBTOTAL(9,L34:L38)</f>
        <v>4328</v>
      </c>
      <c r="M39" s="13">
        <f>M34</f>
        <v>6</v>
      </c>
    </row>
    <row r="41" spans="1:16" x14ac:dyDescent="0.25">
      <c r="B41" s="1" t="s">
        <v>210</v>
      </c>
      <c r="C41" s="39">
        <f>C37+C38+C39</f>
        <v>17020</v>
      </c>
      <c r="D41" s="39"/>
      <c r="E41" s="1" t="s">
        <v>211</v>
      </c>
      <c r="K41" s="11" t="s">
        <v>135</v>
      </c>
      <c r="L41" s="11" t="s">
        <v>193</v>
      </c>
      <c r="M41" s="11" t="s">
        <v>192</v>
      </c>
    </row>
    <row r="42" spans="1:16" x14ac:dyDescent="0.25">
      <c r="K42" t="s">
        <v>197</v>
      </c>
      <c r="L42">
        <f>SUMIFS(G$3:G$29,J$3:J$29,K$41)</f>
        <v>3325</v>
      </c>
      <c r="M42">
        <f>SUMIFS(Q$3:Q$29,J$3:J$29,K$41)-INT(COUNTIFS(J$3:J$29,K$41,M$3:M$29,"*gộp*")/2)</f>
        <v>7</v>
      </c>
    </row>
    <row r="43" spans="1:16" x14ac:dyDescent="0.25">
      <c r="K43" t="s">
        <v>200</v>
      </c>
      <c r="L43">
        <f>-SUMIFS(H$3:H$29,J$3:J$29,K$41)+M43*5</f>
        <v>-135</v>
      </c>
      <c r="M43">
        <f>SUMIFS(Q$3:Q$29,J$3:J$29,K$41)-INT(COUNTIFS(J$3:J$29,K$41,M$3:M$29,"*gộp*")/2)</f>
        <v>7</v>
      </c>
    </row>
    <row r="44" spans="1:16" x14ac:dyDescent="0.25">
      <c r="K44" t="s">
        <v>202</v>
      </c>
    </row>
    <row r="45" spans="1:16" x14ac:dyDescent="0.25">
      <c r="K45" s="2" t="s">
        <v>204</v>
      </c>
      <c r="L45" s="23">
        <v>-825</v>
      </c>
      <c r="M45" s="23" t="s">
        <v>288</v>
      </c>
    </row>
    <row r="46" spans="1:16" x14ac:dyDescent="0.25">
      <c r="K46" s="2" t="s">
        <v>206</v>
      </c>
    </row>
    <row r="47" spans="1:16" x14ac:dyDescent="0.25">
      <c r="L47" s="13">
        <f>SUBTOTAL(9,L42:L46)</f>
        <v>2365</v>
      </c>
      <c r="M47" s="13">
        <f>M42</f>
        <v>7</v>
      </c>
    </row>
    <row r="49" spans="11:13" x14ac:dyDescent="0.25">
      <c r="K49" s="11" t="s">
        <v>21</v>
      </c>
      <c r="L49" s="11" t="s">
        <v>193</v>
      </c>
      <c r="M49" s="11" t="s">
        <v>192</v>
      </c>
    </row>
    <row r="50" spans="11:13" x14ac:dyDescent="0.25">
      <c r="K50" t="s">
        <v>197</v>
      </c>
      <c r="L50">
        <f>SUMIFS(G$3:G$29,J$3:J$29,K$49)</f>
        <v>10800</v>
      </c>
      <c r="M50">
        <f>SUMIFS(Q$3:Q$29,J$3:J$29,K$49)-INT(COUNTIFS(J$3:J$29,K$49,M$3:M$29,"*gộp*")/2)</f>
        <v>13</v>
      </c>
    </row>
    <row r="51" spans="11:13" x14ac:dyDescent="0.25">
      <c r="K51" t="s">
        <v>200</v>
      </c>
      <c r="L51">
        <f>-SUMIFS(H$3:H$29,J$3:J$29,K$49)+M51*5</f>
        <v>-315</v>
      </c>
      <c r="M51">
        <f>SUMIFS(Q$3:Q$29,J$3:J$29,K$49)-INT(COUNTIFS(J$3:J$29,K$49,M$3:M$29,"*gộp*")/2)</f>
        <v>13</v>
      </c>
    </row>
    <row r="52" spans="11:13" x14ac:dyDescent="0.25">
      <c r="K52" t="s">
        <v>202</v>
      </c>
      <c r="L52">
        <f>-M52*2</f>
        <v>-50</v>
      </c>
      <c r="M52">
        <f>E37-(COUNTIFS(M$3:M$29,"*gộp*")/2)-COUNTIFS(M$3:M$29,"*đơn trả*")-COUNTIFS(M$3:M$29,"*hàng tỉnh*")</f>
        <v>25</v>
      </c>
    </row>
    <row r="53" spans="11:13" x14ac:dyDescent="0.25">
      <c r="K53" s="2" t="s">
        <v>204</v>
      </c>
    </row>
    <row r="54" spans="11:13" x14ac:dyDescent="0.25">
      <c r="K54" s="2" t="s">
        <v>206</v>
      </c>
    </row>
    <row r="55" spans="11:13" x14ac:dyDescent="0.25">
      <c r="L55" s="13">
        <f>SUBTOTAL(9,L50:L54)</f>
        <v>10435</v>
      </c>
      <c r="M55" s="13">
        <f>M50</f>
        <v>13</v>
      </c>
    </row>
  </sheetData>
  <autoFilter ref="A2:P38" xr:uid="{00000000-0009-0000-0000-000016000000}">
    <sortState xmlns:xlrd2="http://schemas.microsoft.com/office/spreadsheetml/2017/richdata2" ref="A3:P38">
      <sortCondition ref="J2:J38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R50"/>
  <sheetViews>
    <sheetView workbookViewId="0">
      <selection activeCell="R30" sqref="R30"/>
    </sheetView>
  </sheetViews>
  <sheetFormatPr defaultRowHeight="15" x14ac:dyDescent="0.25"/>
  <cols>
    <col min="1" max="1" width="12.7109375" customWidth="1"/>
    <col min="2" max="2" width="17.7109375" customWidth="1"/>
    <col min="3" max="3" width="34" customWidth="1"/>
    <col min="4" max="4" width="9.85546875" customWidth="1"/>
    <col min="5" max="5" width="56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2206</v>
      </c>
      <c r="D3" s="15" t="s">
        <v>2207</v>
      </c>
      <c r="E3" s="15" t="s">
        <v>2208</v>
      </c>
      <c r="F3" s="16">
        <v>8</v>
      </c>
      <c r="G3" s="16">
        <v>920</v>
      </c>
      <c r="H3" s="16">
        <v>30</v>
      </c>
      <c r="I3" s="16">
        <f t="shared" ref="I3:I24" si="0">G3-H3</f>
        <v>890</v>
      </c>
      <c r="J3" s="15" t="s">
        <v>2209</v>
      </c>
      <c r="K3" s="15" t="s">
        <v>21</v>
      </c>
      <c r="L3" s="15" t="s">
        <v>2210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136</v>
      </c>
      <c r="D4" s="15" t="s">
        <v>2211</v>
      </c>
      <c r="E4" s="15" t="s">
        <v>138</v>
      </c>
      <c r="F4" s="15" t="s">
        <v>139</v>
      </c>
      <c r="G4" s="16">
        <v>1875</v>
      </c>
      <c r="H4" s="16">
        <v>35</v>
      </c>
      <c r="I4" s="16">
        <f t="shared" si="0"/>
        <v>1840</v>
      </c>
      <c r="J4" s="15" t="s">
        <v>2209</v>
      </c>
      <c r="K4" s="15" t="s">
        <v>21</v>
      </c>
      <c r="L4" s="15" t="s">
        <v>2210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2212</v>
      </c>
      <c r="D5" s="15" t="s">
        <v>2213</v>
      </c>
      <c r="E5" s="15" t="s">
        <v>2214</v>
      </c>
      <c r="F5" s="15" t="s">
        <v>26</v>
      </c>
      <c r="G5" s="16">
        <v>1770</v>
      </c>
      <c r="H5" s="16">
        <v>30</v>
      </c>
      <c r="I5" s="16">
        <f t="shared" si="0"/>
        <v>1740</v>
      </c>
      <c r="J5" s="15" t="s">
        <v>2209</v>
      </c>
      <c r="K5" s="15" t="s">
        <v>21</v>
      </c>
      <c r="L5" s="15" t="s">
        <v>2210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2215</v>
      </c>
      <c r="D6" s="15" t="s">
        <v>2216</v>
      </c>
      <c r="E6" s="15" t="s">
        <v>2217</v>
      </c>
      <c r="F6" s="15" t="s">
        <v>1335</v>
      </c>
      <c r="G6" s="16">
        <v>825</v>
      </c>
      <c r="H6" s="16">
        <v>35</v>
      </c>
      <c r="I6" s="16">
        <f t="shared" si="0"/>
        <v>790</v>
      </c>
      <c r="J6" s="15" t="s">
        <v>2209</v>
      </c>
      <c r="K6" s="15" t="s">
        <v>21</v>
      </c>
      <c r="L6" s="15" t="s">
        <v>2210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315</v>
      </c>
      <c r="D7" s="15" t="s">
        <v>2218</v>
      </c>
      <c r="E7" s="15" t="s">
        <v>2219</v>
      </c>
      <c r="F7" s="16">
        <v>7</v>
      </c>
      <c r="G7" s="16">
        <v>1690</v>
      </c>
      <c r="H7" s="16">
        <v>30</v>
      </c>
      <c r="I7" s="16">
        <f t="shared" si="0"/>
        <v>1660</v>
      </c>
      <c r="J7" s="15" t="s">
        <v>2209</v>
      </c>
      <c r="K7" s="15" t="s">
        <v>21</v>
      </c>
      <c r="L7" s="15" t="s">
        <v>2210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2220</v>
      </c>
      <c r="D8" s="15" t="s">
        <v>2221</v>
      </c>
      <c r="E8" s="15" t="s">
        <v>2222</v>
      </c>
      <c r="F8" s="16">
        <v>8</v>
      </c>
      <c r="G8" s="16">
        <v>620</v>
      </c>
      <c r="H8" s="16">
        <v>30</v>
      </c>
      <c r="I8" s="16">
        <f t="shared" si="0"/>
        <v>590</v>
      </c>
      <c r="J8" s="15" t="s">
        <v>2209</v>
      </c>
      <c r="K8" s="15" t="s">
        <v>21</v>
      </c>
      <c r="L8" s="15" t="s">
        <v>2210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2223</v>
      </c>
      <c r="D9" s="15" t="s">
        <v>2224</v>
      </c>
      <c r="E9" s="15" t="s">
        <v>2225</v>
      </c>
      <c r="F9" s="15" t="s">
        <v>26</v>
      </c>
      <c r="G9" s="16">
        <v>8559</v>
      </c>
      <c r="H9" s="16">
        <v>65</v>
      </c>
      <c r="I9" s="16">
        <f t="shared" si="0"/>
        <v>8494</v>
      </c>
      <c r="J9" s="15" t="s">
        <v>2209</v>
      </c>
      <c r="K9" s="15" t="s">
        <v>21</v>
      </c>
      <c r="L9" s="15" t="s">
        <v>2210</v>
      </c>
      <c r="M9" s="20" t="s">
        <v>167</v>
      </c>
      <c r="N9" s="15"/>
      <c r="O9" s="15"/>
      <c r="P9" s="15"/>
      <c r="Q9" s="15">
        <v>1</v>
      </c>
      <c r="R9" s="10">
        <f>H9</f>
        <v>65</v>
      </c>
    </row>
    <row r="10" spans="1:18" x14ac:dyDescent="0.25">
      <c r="A10" s="15"/>
      <c r="B10" s="15" t="s">
        <v>17</v>
      </c>
      <c r="C10" s="15" t="s">
        <v>2226</v>
      </c>
      <c r="D10" s="15" t="s">
        <v>2227</v>
      </c>
      <c r="E10" s="15" t="s">
        <v>2228</v>
      </c>
      <c r="F10" s="16">
        <v>8</v>
      </c>
      <c r="G10" s="16">
        <v>2620</v>
      </c>
      <c r="H10" s="16">
        <v>35</v>
      </c>
      <c r="I10" s="16">
        <f t="shared" si="0"/>
        <v>2585</v>
      </c>
      <c r="J10" s="15" t="s">
        <v>2209</v>
      </c>
      <c r="K10" s="15" t="s">
        <v>21</v>
      </c>
      <c r="L10" s="15" t="s">
        <v>2210</v>
      </c>
      <c r="M10" s="20" t="s">
        <v>167</v>
      </c>
      <c r="N10" s="15"/>
      <c r="O10" s="15"/>
      <c r="P10" s="15"/>
      <c r="Q10" s="15">
        <v>1</v>
      </c>
      <c r="R10" s="10">
        <f>H10</f>
        <v>35</v>
      </c>
    </row>
    <row r="11" spans="1:18" x14ac:dyDescent="0.25">
      <c r="A11" s="15"/>
      <c r="B11" s="15" t="s">
        <v>17</v>
      </c>
      <c r="C11" s="15" t="s">
        <v>2229</v>
      </c>
      <c r="D11" s="15" t="s">
        <v>2230</v>
      </c>
      <c r="E11" s="15" t="s">
        <v>2231</v>
      </c>
      <c r="F11" s="16">
        <v>12</v>
      </c>
      <c r="G11" s="16">
        <v>0</v>
      </c>
      <c r="H11" s="16">
        <v>40</v>
      </c>
      <c r="I11" s="16">
        <f t="shared" si="0"/>
        <v>-40</v>
      </c>
      <c r="J11" s="15" t="s">
        <v>21</v>
      </c>
      <c r="K11" s="15" t="s">
        <v>21</v>
      </c>
      <c r="L11" s="15" t="s">
        <v>2210</v>
      </c>
      <c r="M11" s="15"/>
      <c r="N11" s="15"/>
      <c r="O11" s="15"/>
      <c r="P11" s="15"/>
      <c r="Q11" s="15">
        <v>1</v>
      </c>
      <c r="R11" s="10">
        <f>H11</f>
        <v>40</v>
      </c>
    </row>
    <row r="12" spans="1:18" x14ac:dyDescent="0.25">
      <c r="A12" s="15"/>
      <c r="B12" s="15" t="s">
        <v>17</v>
      </c>
      <c r="C12" s="15" t="s">
        <v>2232</v>
      </c>
      <c r="D12" s="15" t="s">
        <v>2233</v>
      </c>
      <c r="E12" s="15" t="s">
        <v>2234</v>
      </c>
      <c r="F12" s="16">
        <v>12</v>
      </c>
      <c r="G12" s="16">
        <v>910</v>
      </c>
      <c r="H12" s="16">
        <v>30</v>
      </c>
      <c r="I12" s="16">
        <f t="shared" si="0"/>
        <v>880</v>
      </c>
      <c r="J12" s="15" t="s">
        <v>21</v>
      </c>
      <c r="K12" s="15" t="s">
        <v>21</v>
      </c>
      <c r="L12" s="15" t="s">
        <v>2210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2235</v>
      </c>
      <c r="D13" s="15" t="s">
        <v>2236</v>
      </c>
      <c r="E13" s="15" t="s">
        <v>2237</v>
      </c>
      <c r="F13" s="15" t="s">
        <v>77</v>
      </c>
      <c r="G13" s="16">
        <v>615</v>
      </c>
      <c r="H13" s="16">
        <v>25</v>
      </c>
      <c r="I13" s="16">
        <f t="shared" si="0"/>
        <v>590</v>
      </c>
      <c r="J13" s="15" t="s">
        <v>21</v>
      </c>
      <c r="K13" s="15" t="s">
        <v>21</v>
      </c>
      <c r="L13" s="15" t="s">
        <v>2210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2238</v>
      </c>
      <c r="D14" s="15" t="s">
        <v>2239</v>
      </c>
      <c r="E14" s="15" t="s">
        <v>2240</v>
      </c>
      <c r="F14" s="15" t="s">
        <v>81</v>
      </c>
      <c r="G14" s="16">
        <v>1120</v>
      </c>
      <c r="H14" s="16">
        <v>30</v>
      </c>
      <c r="I14" s="16">
        <f t="shared" si="0"/>
        <v>1090</v>
      </c>
      <c r="J14" s="15" t="s">
        <v>21</v>
      </c>
      <c r="K14" s="15" t="s">
        <v>21</v>
      </c>
      <c r="L14" s="15" t="s">
        <v>2210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2241</v>
      </c>
      <c r="D15" s="15" t="s">
        <v>2242</v>
      </c>
      <c r="E15" s="15" t="s">
        <v>2243</v>
      </c>
      <c r="F15" s="15" t="s">
        <v>95</v>
      </c>
      <c r="G15" s="16">
        <v>1145</v>
      </c>
      <c r="H15" s="16">
        <v>25</v>
      </c>
      <c r="I15" s="16">
        <f t="shared" si="0"/>
        <v>1120</v>
      </c>
      <c r="J15" s="15" t="s">
        <v>21</v>
      </c>
      <c r="K15" s="15" t="s">
        <v>21</v>
      </c>
      <c r="L15" s="15" t="s">
        <v>2210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2244</v>
      </c>
      <c r="D16" s="15" t="s">
        <v>2245</v>
      </c>
      <c r="E16" s="15" t="s">
        <v>2246</v>
      </c>
      <c r="F16" s="16">
        <v>12</v>
      </c>
      <c r="G16" s="16">
        <v>30</v>
      </c>
      <c r="H16" s="16">
        <v>30</v>
      </c>
      <c r="I16" s="16">
        <f t="shared" si="0"/>
        <v>0</v>
      </c>
      <c r="J16" s="15" t="s">
        <v>21</v>
      </c>
      <c r="K16" s="15" t="s">
        <v>21</v>
      </c>
      <c r="L16" s="15" t="s">
        <v>2210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1388</v>
      </c>
      <c r="D17" s="15" t="s">
        <v>2247</v>
      </c>
      <c r="E17" s="15" t="s">
        <v>1390</v>
      </c>
      <c r="F17" s="16">
        <v>12</v>
      </c>
      <c r="G17" s="16">
        <v>1290</v>
      </c>
      <c r="H17" s="16">
        <v>30</v>
      </c>
      <c r="I17" s="16">
        <f t="shared" si="0"/>
        <v>1260</v>
      </c>
      <c r="J17" s="15" t="s">
        <v>21</v>
      </c>
      <c r="K17" s="15" t="s">
        <v>21</v>
      </c>
      <c r="L17" s="15" t="s">
        <v>2210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2248</v>
      </c>
      <c r="D18" s="15" t="s">
        <v>2249</v>
      </c>
      <c r="E18" s="15" t="s">
        <v>2250</v>
      </c>
      <c r="F18" s="16">
        <v>2</v>
      </c>
      <c r="G18" s="16">
        <v>1020</v>
      </c>
      <c r="H18" s="16">
        <v>30</v>
      </c>
      <c r="I18" s="16">
        <f t="shared" si="0"/>
        <v>990</v>
      </c>
      <c r="J18" s="15" t="s">
        <v>21</v>
      </c>
      <c r="K18" s="15" t="s">
        <v>21</v>
      </c>
      <c r="L18" s="15" t="s">
        <v>2210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2251</v>
      </c>
      <c r="D19" s="15" t="s">
        <v>2252</v>
      </c>
      <c r="E19" s="15" t="s">
        <v>503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2210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 t="s">
        <v>16</v>
      </c>
      <c r="B20" s="15" t="s">
        <v>17</v>
      </c>
      <c r="C20" s="15" t="s">
        <v>129</v>
      </c>
      <c r="D20" s="15"/>
      <c r="E20" s="15" t="s">
        <v>2253</v>
      </c>
      <c r="F20" s="15" t="s">
        <v>77</v>
      </c>
      <c r="G20" s="16">
        <v>4440</v>
      </c>
      <c r="H20" s="16">
        <v>40</v>
      </c>
      <c r="I20" s="16">
        <f t="shared" si="0"/>
        <v>4400</v>
      </c>
      <c r="J20" s="15" t="s">
        <v>21</v>
      </c>
      <c r="K20" s="15" t="s">
        <v>21</v>
      </c>
      <c r="L20" s="15" t="s">
        <v>2210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2254</v>
      </c>
      <c r="D21" s="15" t="s">
        <v>2255</v>
      </c>
      <c r="E21" s="15" t="s">
        <v>2256</v>
      </c>
      <c r="F21" s="16">
        <v>10</v>
      </c>
      <c r="G21" s="16">
        <v>795</v>
      </c>
      <c r="H21" s="16">
        <v>25</v>
      </c>
      <c r="I21" s="16">
        <f t="shared" si="0"/>
        <v>770</v>
      </c>
      <c r="J21" s="15" t="s">
        <v>135</v>
      </c>
      <c r="K21" s="15" t="s">
        <v>21</v>
      </c>
      <c r="L21" s="15" t="s">
        <v>2210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2257</v>
      </c>
      <c r="D22" s="15" t="s">
        <v>2258</v>
      </c>
      <c r="E22" s="15" t="s">
        <v>2259</v>
      </c>
      <c r="F22" s="15" t="s">
        <v>406</v>
      </c>
      <c r="G22" s="16">
        <v>850</v>
      </c>
      <c r="H22" s="16">
        <v>20</v>
      </c>
      <c r="I22" s="16">
        <f t="shared" si="0"/>
        <v>830</v>
      </c>
      <c r="J22" s="15" t="s">
        <v>135</v>
      </c>
      <c r="K22" s="15" t="s">
        <v>21</v>
      </c>
      <c r="L22" s="15" t="s">
        <v>2210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2260</v>
      </c>
      <c r="D23" s="15" t="s">
        <v>2261</v>
      </c>
      <c r="E23" s="15" t="s">
        <v>2262</v>
      </c>
      <c r="F23" s="16">
        <v>10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2210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x14ac:dyDescent="0.25">
      <c r="A24" s="15"/>
      <c r="B24" s="15" t="s">
        <v>17</v>
      </c>
      <c r="C24" s="15" t="s">
        <v>114</v>
      </c>
      <c r="D24" s="15" t="s">
        <v>2263</v>
      </c>
      <c r="E24" s="15" t="s">
        <v>1218</v>
      </c>
      <c r="F24" s="16">
        <v>10</v>
      </c>
      <c r="G24" s="16">
        <v>915</v>
      </c>
      <c r="H24" s="16">
        <v>25</v>
      </c>
      <c r="I24" s="16">
        <f t="shared" si="0"/>
        <v>890</v>
      </c>
      <c r="J24" s="15" t="s">
        <v>135</v>
      </c>
      <c r="K24" s="15" t="s">
        <v>21</v>
      </c>
      <c r="L24" s="15" t="s">
        <v>2210</v>
      </c>
      <c r="M24" s="15"/>
      <c r="N24" s="15"/>
      <c r="O24" s="15"/>
      <c r="P24" s="15"/>
      <c r="Q24" s="15">
        <v>1</v>
      </c>
    </row>
    <row r="26" spans="1:18" x14ac:dyDescent="0.25">
      <c r="D26" s="1">
        <f>COUNTA(D3:D24)</f>
        <v>21</v>
      </c>
      <c r="G26" s="1">
        <f t="shared" ref="G26:Q26" si="1">SUBTOTAL(9,G3:G24)</f>
        <v>32009</v>
      </c>
      <c r="H26" s="1">
        <f t="shared" si="1"/>
        <v>695</v>
      </c>
      <c r="I26" s="1">
        <f t="shared" si="1"/>
        <v>31314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</row>
    <row r="27" spans="1:18" x14ac:dyDescent="0.25">
      <c r="H27">
        <f>-4*17</f>
        <v>-68</v>
      </c>
    </row>
    <row r="28" spans="1:18" x14ac:dyDescent="0.25">
      <c r="A28" s="1" t="s">
        <v>17</v>
      </c>
      <c r="C28" s="40" t="s">
        <v>191</v>
      </c>
      <c r="D28" s="40"/>
      <c r="E28" s="4" t="s">
        <v>192</v>
      </c>
      <c r="H28">
        <f>-2*25</f>
        <v>-50</v>
      </c>
      <c r="K28" s="11" t="s">
        <v>2209</v>
      </c>
      <c r="L28" s="11" t="s">
        <v>193</v>
      </c>
      <c r="M28" s="11" t="s">
        <v>192</v>
      </c>
      <c r="O28" s="4" t="s">
        <v>194</v>
      </c>
    </row>
    <row r="29" spans="1:18" x14ac:dyDescent="0.25">
      <c r="A29" t="s">
        <v>2210</v>
      </c>
      <c r="B29" s="3" t="s">
        <v>195</v>
      </c>
      <c r="C29" s="41">
        <f>SUMIFS(I$3:I$24,B$3:B$24,A$28,L$3:L$24,A$29)</f>
        <v>31314</v>
      </c>
      <c r="D29" s="41"/>
      <c r="E29" s="3">
        <f>SUMIFS(Q$3:Q$24,B$3:B$24,A$28,L$3:L$24,A$29)</f>
        <v>22</v>
      </c>
      <c r="F29" t="s">
        <v>196</v>
      </c>
      <c r="H29">
        <f>-2*30</f>
        <v>-60</v>
      </c>
      <c r="K29" t="s">
        <v>197</v>
      </c>
      <c r="L29">
        <f>SUMIFS(G$3:G$24,J$3:J$24,K$28)</f>
        <v>18879</v>
      </c>
      <c r="M29">
        <f>SUMIFS(Q$3:Q$24,J$3:J$24,K$28)-INT(COUNTIFS(J$3:J$24,K$28,M$3:M$24,"*gộp*")/2)</f>
        <v>8</v>
      </c>
      <c r="O29" t="s">
        <v>2264</v>
      </c>
      <c r="P29">
        <f>L34</f>
        <v>18701</v>
      </c>
    </row>
    <row r="30" spans="1:18" x14ac:dyDescent="0.25">
      <c r="B30" s="2" t="s">
        <v>199</v>
      </c>
      <c r="C30" s="42">
        <v>0</v>
      </c>
      <c r="D30" s="42"/>
      <c r="K30" t="s">
        <v>200</v>
      </c>
      <c r="L30">
        <f>SUM(H27:H29)</f>
        <v>-178</v>
      </c>
      <c r="M30">
        <f>SUMIFS(Q$3:Q$24,J$3:J$24,K$28)-INT(COUNTIFS(J$3:J$24,K$28,M$3:M$24,"*gộp*")/2)</f>
        <v>8</v>
      </c>
      <c r="O30" t="s">
        <v>21</v>
      </c>
      <c r="P30">
        <f>L42</f>
        <v>10266</v>
      </c>
    </row>
    <row r="31" spans="1:18" x14ac:dyDescent="0.25">
      <c r="B31" s="2" t="s">
        <v>201</v>
      </c>
      <c r="C31" s="42">
        <f>-SUMIFS(I$3:I$24,B$3:B$24,A$28,P$3:P$24,"xx",N$3:N$24,"x")</f>
        <v>0</v>
      </c>
      <c r="D31" s="42"/>
      <c r="E31" s="2">
        <f>SUMIFS(Q$3:Q$24,B$3:B$24,A$28,P$3:P$24,"xx",N$3:N$24,"x")</f>
        <v>0</v>
      </c>
      <c r="K31" t="s">
        <v>202</v>
      </c>
      <c r="O31" t="s">
        <v>135</v>
      </c>
      <c r="P31">
        <f>L50</f>
        <v>2485</v>
      </c>
    </row>
    <row r="32" spans="1:18" x14ac:dyDescent="0.25">
      <c r="B32" s="4" t="s">
        <v>203</v>
      </c>
      <c r="C32" s="40">
        <f>SUBTOTAL(9,C29:C31)</f>
        <v>31314</v>
      </c>
      <c r="D32" s="40"/>
      <c r="E32">
        <f>E29</f>
        <v>22</v>
      </c>
      <c r="K32" s="31" t="s">
        <v>204</v>
      </c>
      <c r="O32" t="s">
        <v>207</v>
      </c>
      <c r="P32">
        <f>-C36</f>
        <v>-31314</v>
      </c>
    </row>
    <row r="33" spans="2:16" x14ac:dyDescent="0.25">
      <c r="B33" s="2" t="s">
        <v>205</v>
      </c>
      <c r="C33" s="38"/>
      <c r="D33" s="38"/>
      <c r="K33" s="2" t="s">
        <v>206</v>
      </c>
      <c r="O33" s="4" t="s">
        <v>209</v>
      </c>
      <c r="P33" s="4">
        <f>SUBTOTAL(9,P29:P32)</f>
        <v>138</v>
      </c>
    </row>
    <row r="34" spans="2:16" x14ac:dyDescent="0.25">
      <c r="B34" s="12" t="s">
        <v>208</v>
      </c>
      <c r="C34" s="38"/>
      <c r="D34" s="38"/>
      <c r="L34" s="13">
        <f>SUBTOTAL(9,L29:L33)</f>
        <v>18701</v>
      </c>
      <c r="M34" s="13">
        <f>M29</f>
        <v>8</v>
      </c>
    </row>
    <row r="36" spans="2:16" x14ac:dyDescent="0.25">
      <c r="B36" s="1" t="s">
        <v>210</v>
      </c>
      <c r="C36" s="39">
        <f>C32+C33+C34</f>
        <v>31314</v>
      </c>
      <c r="D36" s="39"/>
      <c r="E36" s="1" t="s">
        <v>211</v>
      </c>
      <c r="K36" s="11" t="s">
        <v>21</v>
      </c>
      <c r="L36" s="11" t="s">
        <v>193</v>
      </c>
      <c r="M36" s="11" t="s">
        <v>192</v>
      </c>
    </row>
    <row r="37" spans="2:16" x14ac:dyDescent="0.25">
      <c r="K37" t="s">
        <v>197</v>
      </c>
      <c r="L37">
        <f>SUMIFS(G$3:G$24,J$3:J$24,K$36)</f>
        <v>10570</v>
      </c>
      <c r="M37">
        <f>SUMIFS(Q$3:Q$24,J$3:J$24,K$36)-INT(COUNTIFS(J$3:J$24,K$36,M$3:M$24,"*gộp*")/2)</f>
        <v>10</v>
      </c>
    </row>
    <row r="38" spans="2:16" x14ac:dyDescent="0.25">
      <c r="K38" t="s">
        <v>200</v>
      </c>
      <c r="L38">
        <f>-SUMIFS(H$3:H$24,J$3:J$24,K$36)+M38*5</f>
        <v>-260</v>
      </c>
      <c r="M38">
        <f>SUMIFS(Q$3:Q$24,J$3:J$24,K$36)-INT(COUNTIFS(J$3:J$24,K$36,M$3:M$24,"*gộp*")/2)</f>
        <v>10</v>
      </c>
    </row>
    <row r="39" spans="2:16" x14ac:dyDescent="0.25">
      <c r="K39" t="s">
        <v>202</v>
      </c>
      <c r="L39">
        <f>-M39*2</f>
        <v>-44</v>
      </c>
      <c r="M39">
        <f>E32-(COUNTIFS(M$3:M$24,"*gộp*")/2)-COUNTIFS(M$3:M$24,"*đơn trả*")-COUNTIFS(M$3:M$24,"*hàng tỉnh*")</f>
        <v>22</v>
      </c>
    </row>
    <row r="40" spans="2:16" x14ac:dyDescent="0.25">
      <c r="K40" s="31" t="s">
        <v>204</v>
      </c>
    </row>
    <row r="41" spans="2:16" x14ac:dyDescent="0.25">
      <c r="K41" s="2" t="s">
        <v>206</v>
      </c>
    </row>
    <row r="42" spans="2:16" x14ac:dyDescent="0.25">
      <c r="L42" s="13">
        <f>SUBTOTAL(9,L37:L41)</f>
        <v>10266</v>
      </c>
      <c r="M42" s="13">
        <f>M37</f>
        <v>10</v>
      </c>
    </row>
    <row r="44" spans="2:16" x14ac:dyDescent="0.25">
      <c r="K44" s="11" t="s">
        <v>135</v>
      </c>
      <c r="L44" s="11" t="s">
        <v>193</v>
      </c>
      <c r="M44" s="11" t="s">
        <v>192</v>
      </c>
    </row>
    <row r="45" spans="2:16" x14ac:dyDescent="0.25">
      <c r="K45" t="s">
        <v>197</v>
      </c>
      <c r="L45">
        <f>SUMIFS(G$3:G$24,J$3:J$24,K$44)</f>
        <v>2560</v>
      </c>
      <c r="M45">
        <f>SUMIFS(Q$3:Q$24,J$3:J$24,K$44)-INT(COUNTIFS(J$3:J$24,K$44,M$3:M$24,"*gộp*")/2)</f>
        <v>4</v>
      </c>
    </row>
    <row r="46" spans="2:16" x14ac:dyDescent="0.25">
      <c r="K46" t="s">
        <v>200</v>
      </c>
      <c r="L46">
        <f>-SUMIFS(H$3:H$24,J$3:J$24,K$44)+M46*5</f>
        <v>-75</v>
      </c>
      <c r="M46">
        <f>SUMIFS(Q$3:Q$24,J$3:J$24,K$44)-INT(COUNTIFS(J$3:J$24,K$44,M$3:M$24,"*gộp*")/2)</f>
        <v>4</v>
      </c>
    </row>
    <row r="47" spans="2:16" x14ac:dyDescent="0.25">
      <c r="K47" t="s">
        <v>202</v>
      </c>
    </row>
    <row r="48" spans="2:16" x14ac:dyDescent="0.25">
      <c r="K48" s="31" t="s">
        <v>204</v>
      </c>
    </row>
    <row r="49" spans="11:13" x14ac:dyDescent="0.25">
      <c r="K49" s="2" t="s">
        <v>206</v>
      </c>
    </row>
    <row r="50" spans="11:13" x14ac:dyDescent="0.25">
      <c r="L50" s="13">
        <f>SUBTOTAL(9,L45:L49)</f>
        <v>2485</v>
      </c>
      <c r="M50" s="13">
        <f>M45</f>
        <v>4</v>
      </c>
    </row>
  </sheetData>
  <autoFilter ref="A2:P24" xr:uid="{00000000-0009-0000-0000-000017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Q57"/>
  <sheetViews>
    <sheetView topLeftCell="A5" workbookViewId="0">
      <selection activeCell="A31" sqref="A31:XFD31"/>
    </sheetView>
  </sheetViews>
  <sheetFormatPr defaultRowHeight="15" x14ac:dyDescent="0.25"/>
  <cols>
    <col min="1" max="1" width="12.7109375" customWidth="1"/>
    <col min="2" max="2" width="17.7109375" customWidth="1"/>
    <col min="3" max="3" width="35.5703125" customWidth="1"/>
    <col min="4" max="4" width="9.85546875" customWidth="1"/>
    <col min="5" max="5" width="55.14062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9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2309</v>
      </c>
      <c r="D3" s="15" t="s">
        <v>2310</v>
      </c>
      <c r="E3" s="15" t="s">
        <v>2311</v>
      </c>
      <c r="F3" s="15" t="s">
        <v>46</v>
      </c>
      <c r="G3" s="16">
        <v>845</v>
      </c>
      <c r="H3" s="16">
        <v>25</v>
      </c>
      <c r="I3" s="16">
        <f t="shared" ref="I3:I31" si="0">G3-H3</f>
        <v>820</v>
      </c>
      <c r="J3" s="15" t="s">
        <v>2312</v>
      </c>
      <c r="K3" s="15" t="s">
        <v>21</v>
      </c>
      <c r="L3" s="15" t="s">
        <v>2278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2317</v>
      </c>
      <c r="D4" s="15" t="s">
        <v>2318</v>
      </c>
      <c r="E4" s="15" t="s">
        <v>1051</v>
      </c>
      <c r="F4" s="15" t="s">
        <v>95</v>
      </c>
      <c r="G4" s="16">
        <v>915</v>
      </c>
      <c r="H4" s="16">
        <v>25</v>
      </c>
      <c r="I4" s="16">
        <f t="shared" si="0"/>
        <v>890</v>
      </c>
      <c r="J4" s="15" t="s">
        <v>2312</v>
      </c>
      <c r="K4" s="15" t="s">
        <v>21</v>
      </c>
      <c r="L4" s="15" t="s">
        <v>2278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2321</v>
      </c>
      <c r="D5" s="15" t="s">
        <v>2322</v>
      </c>
      <c r="E5" s="15" t="s">
        <v>2323</v>
      </c>
      <c r="F5" s="15" t="s">
        <v>26</v>
      </c>
      <c r="G5" s="16">
        <v>1640</v>
      </c>
      <c r="H5" s="16">
        <v>30</v>
      </c>
      <c r="I5" s="16">
        <f t="shared" si="0"/>
        <v>1610</v>
      </c>
      <c r="J5" s="15" t="s">
        <v>2312</v>
      </c>
      <c r="K5" s="15" t="s">
        <v>21</v>
      </c>
      <c r="L5" s="15" t="s">
        <v>2278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2331</v>
      </c>
      <c r="D6" s="15" t="s">
        <v>2332</v>
      </c>
      <c r="E6" s="15" t="s">
        <v>2333</v>
      </c>
      <c r="F6" s="16">
        <v>8</v>
      </c>
      <c r="G6" s="16">
        <v>0</v>
      </c>
      <c r="H6" s="16">
        <v>30</v>
      </c>
      <c r="I6" s="16">
        <f t="shared" si="0"/>
        <v>-30</v>
      </c>
      <c r="J6" s="15" t="s">
        <v>2312</v>
      </c>
      <c r="K6" s="15" t="s">
        <v>21</v>
      </c>
      <c r="L6" s="15" t="s">
        <v>2278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1441</v>
      </c>
      <c r="D7" s="15" t="s">
        <v>2336</v>
      </c>
      <c r="E7" s="15" t="s">
        <v>1443</v>
      </c>
      <c r="F7" s="15" t="s">
        <v>26</v>
      </c>
      <c r="G7" s="16">
        <v>0</v>
      </c>
      <c r="H7" s="16">
        <v>30</v>
      </c>
      <c r="I7" s="16">
        <f t="shared" si="0"/>
        <v>-30</v>
      </c>
      <c r="J7" s="15" t="s">
        <v>2312</v>
      </c>
      <c r="K7" s="15" t="s">
        <v>21</v>
      </c>
      <c r="L7" s="15" t="s">
        <v>2278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2348</v>
      </c>
      <c r="D8" s="15" t="s">
        <v>2349</v>
      </c>
      <c r="E8" s="15" t="s">
        <v>2350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2312</v>
      </c>
      <c r="K8" s="15" t="s">
        <v>21</v>
      </c>
      <c r="L8" s="15" t="s">
        <v>2278</v>
      </c>
      <c r="M8" s="15"/>
      <c r="N8" s="15"/>
      <c r="O8" s="15"/>
      <c r="P8" s="15"/>
      <c r="Q8" s="15">
        <v>1</v>
      </c>
    </row>
    <row r="9" spans="1:17" x14ac:dyDescent="0.25">
      <c r="A9" s="15" t="s">
        <v>16</v>
      </c>
      <c r="B9" s="15" t="s">
        <v>17</v>
      </c>
      <c r="C9" s="15" t="s">
        <v>1585</v>
      </c>
      <c r="D9" s="15"/>
      <c r="E9" s="15" t="s">
        <v>632</v>
      </c>
      <c r="F9" s="16">
        <v>6</v>
      </c>
      <c r="G9" s="16">
        <v>0</v>
      </c>
      <c r="H9" s="16">
        <v>30</v>
      </c>
      <c r="I9" s="16">
        <f t="shared" si="0"/>
        <v>-30</v>
      </c>
      <c r="J9" s="15" t="s">
        <v>2312</v>
      </c>
      <c r="K9" s="15" t="s">
        <v>21</v>
      </c>
      <c r="L9" s="15" t="s">
        <v>2278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2275</v>
      </c>
      <c r="D10" s="15" t="s">
        <v>2276</v>
      </c>
      <c r="E10" s="15" t="s">
        <v>2277</v>
      </c>
      <c r="F10" s="15" t="s">
        <v>77</v>
      </c>
      <c r="G10" s="16">
        <v>1825</v>
      </c>
      <c r="H10" s="16">
        <v>25</v>
      </c>
      <c r="I10" s="16">
        <f t="shared" si="0"/>
        <v>1800</v>
      </c>
      <c r="J10" s="15" t="s">
        <v>21</v>
      </c>
      <c r="K10" s="15" t="s">
        <v>21</v>
      </c>
      <c r="L10" s="15" t="s">
        <v>2278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2282</v>
      </c>
      <c r="D11" s="15" t="s">
        <v>2283</v>
      </c>
      <c r="E11" s="15" t="s">
        <v>2284</v>
      </c>
      <c r="F11" s="16">
        <v>2</v>
      </c>
      <c r="G11" s="16">
        <v>850</v>
      </c>
      <c r="H11" s="16">
        <v>30</v>
      </c>
      <c r="I11" s="16">
        <f t="shared" si="0"/>
        <v>820</v>
      </c>
      <c r="J11" s="15" t="s">
        <v>21</v>
      </c>
      <c r="K11" s="15" t="s">
        <v>21</v>
      </c>
      <c r="L11" s="15" t="s">
        <v>2278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2288</v>
      </c>
      <c r="D12" s="15" t="s">
        <v>2289</v>
      </c>
      <c r="E12" s="15" t="s">
        <v>2290</v>
      </c>
      <c r="F12" s="16">
        <v>2</v>
      </c>
      <c r="G12" s="16">
        <v>1110</v>
      </c>
      <c r="H12" s="16">
        <v>30</v>
      </c>
      <c r="I12" s="16">
        <f t="shared" si="0"/>
        <v>1080</v>
      </c>
      <c r="J12" s="15" t="s">
        <v>21</v>
      </c>
      <c r="K12" s="15" t="s">
        <v>21</v>
      </c>
      <c r="L12" s="15" t="s">
        <v>2278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2294</v>
      </c>
      <c r="D13" s="15" t="s">
        <v>2295</v>
      </c>
      <c r="E13" s="15" t="s">
        <v>2296</v>
      </c>
      <c r="F13" s="16">
        <v>2</v>
      </c>
      <c r="G13" s="16">
        <v>1740</v>
      </c>
      <c r="H13" s="16">
        <v>30</v>
      </c>
      <c r="I13" s="16">
        <f t="shared" si="0"/>
        <v>1710</v>
      </c>
      <c r="J13" s="15" t="s">
        <v>21</v>
      </c>
      <c r="K13" s="15" t="s">
        <v>21</v>
      </c>
      <c r="L13" s="15" t="s">
        <v>2278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2303</v>
      </c>
      <c r="D14" s="15" t="s">
        <v>2304</v>
      </c>
      <c r="E14" s="15" t="s">
        <v>2305</v>
      </c>
      <c r="F14" s="15" t="s">
        <v>81</v>
      </c>
      <c r="G14" s="16">
        <v>520</v>
      </c>
      <c r="H14" s="16">
        <v>30</v>
      </c>
      <c r="I14" s="16">
        <f t="shared" si="0"/>
        <v>490</v>
      </c>
      <c r="J14" s="15" t="s">
        <v>21</v>
      </c>
      <c r="K14" s="15" t="s">
        <v>21</v>
      </c>
      <c r="L14" s="15" t="s">
        <v>2278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2313</v>
      </c>
      <c r="D15" s="15" t="s">
        <v>2314</v>
      </c>
      <c r="E15" s="15" t="s">
        <v>2315</v>
      </c>
      <c r="F15" s="16">
        <v>2</v>
      </c>
      <c r="G15" s="16">
        <v>550</v>
      </c>
      <c r="H15" s="16">
        <v>30</v>
      </c>
      <c r="I15" s="16">
        <f t="shared" si="0"/>
        <v>520</v>
      </c>
      <c r="J15" s="15" t="s">
        <v>21</v>
      </c>
      <c r="K15" s="15" t="s">
        <v>21</v>
      </c>
      <c r="L15" s="15" t="s">
        <v>2278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2319</v>
      </c>
      <c r="D16" s="15" t="s">
        <v>2320</v>
      </c>
      <c r="E16" s="15" t="s">
        <v>2115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21</v>
      </c>
      <c r="K16" s="15" t="s">
        <v>21</v>
      </c>
      <c r="L16" s="15" t="s">
        <v>2278</v>
      </c>
      <c r="M16" s="15"/>
      <c r="N16" s="15"/>
      <c r="O16" s="15"/>
      <c r="P16" s="15"/>
      <c r="Q16" s="15">
        <v>1</v>
      </c>
    </row>
    <row r="17" spans="1:17" s="19" customFormat="1" x14ac:dyDescent="0.25">
      <c r="A17" s="17"/>
      <c r="B17" s="17" t="s">
        <v>17</v>
      </c>
      <c r="C17" s="17" t="s">
        <v>2244</v>
      </c>
      <c r="D17" s="17" t="s">
        <v>2324</v>
      </c>
      <c r="E17" s="17" t="s">
        <v>2325</v>
      </c>
      <c r="F17" s="18">
        <v>12</v>
      </c>
      <c r="G17" s="18">
        <v>130</v>
      </c>
      <c r="H17" s="18">
        <v>30</v>
      </c>
      <c r="I17" s="18">
        <f t="shared" si="0"/>
        <v>100</v>
      </c>
      <c r="J17" s="17" t="s">
        <v>21</v>
      </c>
      <c r="K17" s="17" t="s">
        <v>21</v>
      </c>
      <c r="L17" s="17" t="s">
        <v>2278</v>
      </c>
      <c r="M17" s="17" t="s">
        <v>126</v>
      </c>
      <c r="N17" s="17"/>
      <c r="O17" s="17"/>
      <c r="P17" s="17"/>
      <c r="Q17" s="17">
        <v>1</v>
      </c>
    </row>
    <row r="18" spans="1:17" x14ac:dyDescent="0.25">
      <c r="A18" s="15"/>
      <c r="B18" s="15" t="s">
        <v>17</v>
      </c>
      <c r="C18" s="15" t="s">
        <v>2334</v>
      </c>
      <c r="D18" s="15" t="s">
        <v>2335</v>
      </c>
      <c r="E18" s="15" t="s">
        <v>503</v>
      </c>
      <c r="F18" s="16">
        <v>12</v>
      </c>
      <c r="G18" s="16">
        <v>0</v>
      </c>
      <c r="H18" s="16">
        <v>0</v>
      </c>
      <c r="I18" s="16">
        <f t="shared" si="0"/>
        <v>0</v>
      </c>
      <c r="J18" s="15" t="s">
        <v>21</v>
      </c>
      <c r="K18" s="15" t="s">
        <v>21</v>
      </c>
      <c r="L18" s="15" t="s">
        <v>2278</v>
      </c>
      <c r="M18" s="20" t="s">
        <v>377</v>
      </c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2334</v>
      </c>
      <c r="D19" s="15" t="s">
        <v>2338</v>
      </c>
      <c r="E19" s="15" t="s">
        <v>503</v>
      </c>
      <c r="F19" s="16">
        <v>12</v>
      </c>
      <c r="G19" s="16">
        <v>0</v>
      </c>
      <c r="H19" s="16">
        <v>40</v>
      </c>
      <c r="I19" s="16">
        <f t="shared" si="0"/>
        <v>-40</v>
      </c>
      <c r="J19" s="15" t="s">
        <v>21</v>
      </c>
      <c r="K19" s="15" t="s">
        <v>21</v>
      </c>
      <c r="L19" s="15" t="s">
        <v>2278</v>
      </c>
      <c r="M19" s="20" t="s">
        <v>377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2339</v>
      </c>
      <c r="D20" s="15" t="s">
        <v>2340</v>
      </c>
      <c r="E20" s="15" t="s">
        <v>2341</v>
      </c>
      <c r="F20" s="15" t="s">
        <v>77</v>
      </c>
      <c r="G20" s="16">
        <v>775</v>
      </c>
      <c r="H20" s="16">
        <v>25</v>
      </c>
      <c r="I20" s="16">
        <f t="shared" si="0"/>
        <v>750</v>
      </c>
      <c r="J20" s="15" t="s">
        <v>21</v>
      </c>
      <c r="K20" s="15" t="s">
        <v>21</v>
      </c>
      <c r="L20" s="15" t="s">
        <v>2278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2342</v>
      </c>
      <c r="D21" s="15" t="s">
        <v>2343</v>
      </c>
      <c r="E21" s="15" t="s">
        <v>2344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2278</v>
      </c>
      <c r="M21" s="15"/>
      <c r="N21" s="15"/>
      <c r="O21" s="15"/>
      <c r="P21" s="15"/>
      <c r="Q21" s="16">
        <v>1</v>
      </c>
    </row>
    <row r="22" spans="1:17" x14ac:dyDescent="0.25">
      <c r="A22" s="15"/>
      <c r="B22" s="15" t="s">
        <v>17</v>
      </c>
      <c r="C22" s="15" t="s">
        <v>2279</v>
      </c>
      <c r="D22" s="15" t="s">
        <v>2280</v>
      </c>
      <c r="E22" s="15" t="s">
        <v>2281</v>
      </c>
      <c r="F22" s="16">
        <v>7</v>
      </c>
      <c r="G22" s="16">
        <v>0</v>
      </c>
      <c r="H22" s="16">
        <v>30</v>
      </c>
      <c r="I22" s="16">
        <f t="shared" si="0"/>
        <v>-30</v>
      </c>
      <c r="J22" s="15" t="s">
        <v>135</v>
      </c>
      <c r="K22" s="15" t="s">
        <v>21</v>
      </c>
      <c r="L22" s="15" t="s">
        <v>2278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2285</v>
      </c>
      <c r="D23" s="15" t="s">
        <v>2286</v>
      </c>
      <c r="E23" s="15" t="s">
        <v>2287</v>
      </c>
      <c r="F23" s="16">
        <v>7</v>
      </c>
      <c r="G23" s="16">
        <v>1730</v>
      </c>
      <c r="H23" s="16">
        <v>30</v>
      </c>
      <c r="I23" s="16">
        <f t="shared" si="0"/>
        <v>1700</v>
      </c>
      <c r="J23" s="15" t="s">
        <v>135</v>
      </c>
      <c r="K23" s="15" t="s">
        <v>21</v>
      </c>
      <c r="L23" s="15" t="s">
        <v>2278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15" t="s">
        <v>2291</v>
      </c>
      <c r="D24" s="15" t="s">
        <v>2292</v>
      </c>
      <c r="E24" s="15" t="s">
        <v>2293</v>
      </c>
      <c r="F24" s="16">
        <v>1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2278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2297</v>
      </c>
      <c r="D25" s="15" t="s">
        <v>2298</v>
      </c>
      <c r="E25" s="15" t="s">
        <v>2299</v>
      </c>
      <c r="F25" s="15" t="s">
        <v>134</v>
      </c>
      <c r="G25" s="16">
        <v>525</v>
      </c>
      <c r="H25" s="16">
        <v>35</v>
      </c>
      <c r="I25" s="16">
        <f t="shared" si="0"/>
        <v>490</v>
      </c>
      <c r="J25" s="15" t="s">
        <v>135</v>
      </c>
      <c r="K25" s="15" t="s">
        <v>21</v>
      </c>
      <c r="L25" s="15" t="s">
        <v>2278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2300</v>
      </c>
      <c r="D26" s="15" t="s">
        <v>2301</v>
      </c>
      <c r="E26" s="15" t="s">
        <v>2302</v>
      </c>
      <c r="F26" s="16">
        <v>7</v>
      </c>
      <c r="G26" s="16">
        <v>1110</v>
      </c>
      <c r="H26" s="16">
        <v>30</v>
      </c>
      <c r="I26" s="16">
        <f t="shared" si="0"/>
        <v>1080</v>
      </c>
      <c r="J26" s="15" t="s">
        <v>135</v>
      </c>
      <c r="K26" s="15" t="s">
        <v>21</v>
      </c>
      <c r="L26" s="15" t="s">
        <v>2278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2306</v>
      </c>
      <c r="D27" s="15" t="s">
        <v>2307</v>
      </c>
      <c r="E27" s="15" t="s">
        <v>2308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2278</v>
      </c>
      <c r="M27" s="15"/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180</v>
      </c>
      <c r="D28" s="15" t="s">
        <v>2316</v>
      </c>
      <c r="E28" s="15" t="s">
        <v>182</v>
      </c>
      <c r="F28" s="16">
        <v>3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2278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1210</v>
      </c>
      <c r="D29" s="15" t="s">
        <v>2337</v>
      </c>
      <c r="E29" s="15" t="s">
        <v>1212</v>
      </c>
      <c r="F29" s="16">
        <v>4</v>
      </c>
      <c r="G29" s="16">
        <v>1185</v>
      </c>
      <c r="H29" s="16">
        <v>25</v>
      </c>
      <c r="I29" s="16">
        <f t="shared" si="0"/>
        <v>1160</v>
      </c>
      <c r="J29" s="15" t="s">
        <v>135</v>
      </c>
      <c r="K29" s="15" t="s">
        <v>21</v>
      </c>
      <c r="L29" s="15" t="s">
        <v>2278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2345</v>
      </c>
      <c r="D30" s="15" t="s">
        <v>2346</v>
      </c>
      <c r="E30" s="15" t="s">
        <v>2347</v>
      </c>
      <c r="F30" s="16">
        <v>7</v>
      </c>
      <c r="G30" s="16">
        <v>1600</v>
      </c>
      <c r="H30" s="16">
        <v>30</v>
      </c>
      <c r="I30" s="16">
        <f t="shared" si="0"/>
        <v>1570</v>
      </c>
      <c r="J30" s="15" t="s">
        <v>135</v>
      </c>
      <c r="K30" s="15" t="s">
        <v>21</v>
      </c>
      <c r="L30" s="15" t="s">
        <v>2278</v>
      </c>
      <c r="M30" s="15"/>
      <c r="N30" s="15"/>
      <c r="O30" s="15"/>
      <c r="P30" s="15"/>
      <c r="Q30" s="15">
        <v>1</v>
      </c>
    </row>
    <row r="31" spans="1:17" s="2" customFormat="1" x14ac:dyDescent="0.25">
      <c r="A31" s="21" t="s">
        <v>2352</v>
      </c>
      <c r="B31" s="21" t="s">
        <v>17</v>
      </c>
      <c r="C31" s="21" t="s">
        <v>2326</v>
      </c>
      <c r="D31" s="21" t="s">
        <v>2327</v>
      </c>
      <c r="E31" s="21" t="s">
        <v>2328</v>
      </c>
      <c r="F31" s="21" t="s">
        <v>2329</v>
      </c>
      <c r="G31" s="22">
        <v>570</v>
      </c>
      <c r="H31" s="22">
        <v>0</v>
      </c>
      <c r="I31" s="22">
        <f t="shared" si="0"/>
        <v>570</v>
      </c>
      <c r="J31" s="21" t="s">
        <v>271</v>
      </c>
      <c r="K31" s="21" t="s">
        <v>21</v>
      </c>
      <c r="L31" s="21" t="s">
        <v>2278</v>
      </c>
      <c r="M31" s="21" t="s">
        <v>2330</v>
      </c>
      <c r="N31" s="21" t="s">
        <v>272</v>
      </c>
      <c r="O31" s="21"/>
      <c r="P31" s="21" t="s">
        <v>273</v>
      </c>
      <c r="Q31" s="21">
        <v>1</v>
      </c>
    </row>
    <row r="33" spans="1:17" x14ac:dyDescent="0.25">
      <c r="D33" s="1">
        <f>COUNTA(D3:D31)</f>
        <v>28</v>
      </c>
      <c r="G33" s="1">
        <f t="shared" ref="G33:Q33" si="1">SUBTOTAL(9,G3:G31)</f>
        <v>17620</v>
      </c>
      <c r="H33" s="1">
        <f t="shared" si="1"/>
        <v>780</v>
      </c>
      <c r="I33" s="1">
        <f t="shared" si="1"/>
        <v>16840</v>
      </c>
      <c r="J33" s="1">
        <f t="shared" si="1"/>
        <v>0</v>
      </c>
      <c r="K33" s="1">
        <f t="shared" si="1"/>
        <v>0</v>
      </c>
      <c r="L33" s="1">
        <f t="shared" si="1"/>
        <v>0</v>
      </c>
      <c r="M33" s="1">
        <f t="shared" si="1"/>
        <v>0</v>
      </c>
      <c r="N33" s="1">
        <f t="shared" si="1"/>
        <v>0</v>
      </c>
      <c r="O33" s="1">
        <f t="shared" si="1"/>
        <v>0</v>
      </c>
      <c r="P33" s="1">
        <f t="shared" si="1"/>
        <v>0</v>
      </c>
      <c r="Q33" s="1">
        <f t="shared" si="1"/>
        <v>29</v>
      </c>
    </row>
    <row r="34" spans="1:17" x14ac:dyDescent="0.25">
      <c r="H34">
        <f>-4*17</f>
        <v>-68</v>
      </c>
    </row>
    <row r="35" spans="1:17" x14ac:dyDescent="0.25">
      <c r="A35" s="1" t="s">
        <v>17</v>
      </c>
      <c r="C35" s="40" t="s">
        <v>191</v>
      </c>
      <c r="D35" s="40"/>
      <c r="E35" s="4" t="s">
        <v>192</v>
      </c>
      <c r="H35">
        <f>-3*25</f>
        <v>-75</v>
      </c>
      <c r="K35" s="11" t="s">
        <v>21</v>
      </c>
      <c r="L35" s="11" t="s">
        <v>193</v>
      </c>
      <c r="M35" s="11" t="s">
        <v>192</v>
      </c>
      <c r="O35" s="4" t="s">
        <v>194</v>
      </c>
    </row>
    <row r="36" spans="1:17" x14ac:dyDescent="0.25">
      <c r="A36" t="s">
        <v>2278</v>
      </c>
      <c r="B36" s="3" t="s">
        <v>195</v>
      </c>
      <c r="C36" s="41">
        <f>SUMIFS(I$3:I$31,B$3:B$31,A$35,L$3:L$31,A$36)</f>
        <v>16840</v>
      </c>
      <c r="D36" s="41"/>
      <c r="E36" s="3">
        <f>SUMIFS(Q$3:Q$31,B$3:B$31,A$35,L$3:L$31,A$36)</f>
        <v>29</v>
      </c>
      <c r="F36" t="s">
        <v>196</v>
      </c>
      <c r="K36" t="s">
        <v>197</v>
      </c>
      <c r="L36">
        <f>SUMIFS(G$3:G$31,J$3:J$31,K$35)</f>
        <v>7500</v>
      </c>
      <c r="M36">
        <f>SUMIFS(Q$3:Q$31,J$3:J$31,K$35)-INT(COUNTIFS(J$3:J$31,K$35,M$3:M$31,"*gộp*")/2)</f>
        <v>11</v>
      </c>
      <c r="O36" t="s">
        <v>21</v>
      </c>
      <c r="P36">
        <f>L41</f>
        <v>7176</v>
      </c>
    </row>
    <row r="37" spans="1:17" x14ac:dyDescent="0.25">
      <c r="B37" s="2" t="s">
        <v>199</v>
      </c>
      <c r="C37" s="42">
        <v>0</v>
      </c>
      <c r="D37" s="42"/>
      <c r="K37" t="s">
        <v>200</v>
      </c>
      <c r="L37">
        <f>-SUMIFS(H$3:H$31,J$3:J$31,K$35)+M37*5</f>
        <v>-270</v>
      </c>
      <c r="M37">
        <f>SUMIFS(Q$3:Q$31,J$3:J$31,K$35)-INT(COUNTIFS(J$3:J$31,K$35,M$3:M$31,"*gộp*")/2)</f>
        <v>11</v>
      </c>
      <c r="O37" t="s">
        <v>135</v>
      </c>
      <c r="P37">
        <f>L49</f>
        <v>5940</v>
      </c>
    </row>
    <row r="38" spans="1:17" x14ac:dyDescent="0.25">
      <c r="B38" s="2" t="s">
        <v>201</v>
      </c>
      <c r="C38" s="42">
        <f>-SUMIFS(I$3:I$31,B$3:B$31,A$35,P$3:P$31,"xx",N$3:N$31,"x")</f>
        <v>-570</v>
      </c>
      <c r="D38" s="42"/>
      <c r="E38" s="2">
        <f>SUMIFS(Q$3:Q$31,B$3:B$31,A$35,P$3:P$31,"xx",N$3:N$31,"x")</f>
        <v>1</v>
      </c>
      <c r="K38" t="s">
        <v>202</v>
      </c>
      <c r="L38">
        <f>-M38*2</f>
        <v>-54</v>
      </c>
      <c r="M38">
        <f>E39-(COUNTIFS(M$3:M$31,"*gộp*")/2)-COUNTIFS(M$3:M$31,"*đơn trả*")-COUNTIFS(M$3:M$31,"*hàng tỉnh*")</f>
        <v>27</v>
      </c>
      <c r="O38" t="s">
        <v>2351</v>
      </c>
      <c r="P38">
        <f>L57</f>
        <v>3257</v>
      </c>
    </row>
    <row r="39" spans="1:17" x14ac:dyDescent="0.25">
      <c r="B39" s="4" t="s">
        <v>203</v>
      </c>
      <c r="C39" s="40">
        <f>SUBTOTAL(9,C36:C38)</f>
        <v>16270</v>
      </c>
      <c r="D39" s="40"/>
      <c r="E39">
        <f>E36</f>
        <v>29</v>
      </c>
      <c r="K39" s="31" t="s">
        <v>204</v>
      </c>
      <c r="O39" t="s">
        <v>207</v>
      </c>
      <c r="P39">
        <f>-C43</f>
        <v>-16270</v>
      </c>
    </row>
    <row r="40" spans="1:17" x14ac:dyDescent="0.25">
      <c r="B40" s="2" t="s">
        <v>205</v>
      </c>
      <c r="C40" s="38"/>
      <c r="D40" s="38"/>
      <c r="K40" s="2" t="s">
        <v>206</v>
      </c>
      <c r="O40" s="4" t="s">
        <v>209</v>
      </c>
      <c r="P40" s="4">
        <f>SUBTOTAL(9,P36:P39)</f>
        <v>103</v>
      </c>
    </row>
    <row r="41" spans="1:17" x14ac:dyDescent="0.25">
      <c r="B41" s="12" t="s">
        <v>208</v>
      </c>
      <c r="C41" s="38"/>
      <c r="D41" s="38"/>
      <c r="L41" s="13">
        <f>SUBTOTAL(9,L36:L40)</f>
        <v>7176</v>
      </c>
      <c r="M41" s="13">
        <f>M36</f>
        <v>11</v>
      </c>
    </row>
    <row r="43" spans="1:17" x14ac:dyDescent="0.25">
      <c r="B43" s="1" t="s">
        <v>210</v>
      </c>
      <c r="C43" s="39">
        <f>C39+C40+C41</f>
        <v>16270</v>
      </c>
      <c r="D43" s="39"/>
      <c r="E43" s="1" t="s">
        <v>211</v>
      </c>
      <c r="K43" s="11" t="s">
        <v>135</v>
      </c>
      <c r="L43" s="11" t="s">
        <v>193</v>
      </c>
      <c r="M43" s="11" t="s">
        <v>192</v>
      </c>
    </row>
    <row r="44" spans="1:17" x14ac:dyDescent="0.25">
      <c r="K44" t="s">
        <v>197</v>
      </c>
      <c r="L44">
        <f>SUMIFS(G$3:G$31,J$3:J$31,K$43)</f>
        <v>6150</v>
      </c>
      <c r="M44">
        <f>SUMIFS(Q$3:Q$31,J$3:J$31,K$43)-INT(COUNTIFS(J$3:J$31,K$43,M$3:M$31,"*gộp*")/2)</f>
        <v>9</v>
      </c>
    </row>
    <row r="45" spans="1:17" x14ac:dyDescent="0.25">
      <c r="K45" t="s">
        <v>200</v>
      </c>
      <c r="L45">
        <f>-SUMIFS(H$3:H$31,J$3:J$31,K$43)+M45*5</f>
        <v>-210</v>
      </c>
      <c r="M45">
        <f>SUMIFS(Q$3:Q$31,J$3:J$31,K$43)-INT(COUNTIFS(J$3:J$31,K$43,M$3:M$31,"*gộp*")/2)</f>
        <v>9</v>
      </c>
    </row>
    <row r="46" spans="1:17" x14ac:dyDescent="0.25">
      <c r="K46" t="s">
        <v>202</v>
      </c>
    </row>
    <row r="47" spans="1:17" x14ac:dyDescent="0.25">
      <c r="K47" s="31" t="s">
        <v>204</v>
      </c>
    </row>
    <row r="48" spans="1:17" x14ac:dyDescent="0.25">
      <c r="K48" s="2" t="s">
        <v>206</v>
      </c>
    </row>
    <row r="49" spans="11:13" x14ac:dyDescent="0.25">
      <c r="L49" s="13">
        <f>SUBTOTAL(9,L44:L48)</f>
        <v>5940</v>
      </c>
      <c r="M49" s="13">
        <f>M44</f>
        <v>9</v>
      </c>
    </row>
    <row r="51" spans="11:13" x14ac:dyDescent="0.25">
      <c r="K51" s="11" t="s">
        <v>2312</v>
      </c>
      <c r="L51" s="11" t="s">
        <v>193</v>
      </c>
      <c r="M51" s="11" t="s">
        <v>192</v>
      </c>
    </row>
    <row r="52" spans="11:13" x14ac:dyDescent="0.25">
      <c r="K52" t="s">
        <v>197</v>
      </c>
      <c r="L52">
        <f>SUMIFS(G$3:G$31,J$3:J$31,K$51)</f>
        <v>3400</v>
      </c>
      <c r="M52">
        <f>SUMIFS(Q$3:Q$31,J$3:J$31,K$51)-INT(COUNTIFS(J$3:J$31,K$51,M$3:M$31,"*gộp*")/2)</f>
        <v>7</v>
      </c>
    </row>
    <row r="53" spans="11:13" x14ac:dyDescent="0.25">
      <c r="K53" t="s">
        <v>200</v>
      </c>
      <c r="L53">
        <f>SUM(H34:H35)</f>
        <v>-143</v>
      </c>
      <c r="M53">
        <f>SUMIFS(Q$3:Q$31,J$3:J$31,K$51)-INT(COUNTIFS(J$3:J$31,K$51,M$3:M$31,"*gộp*")/2)</f>
        <v>7</v>
      </c>
    </row>
    <row r="54" spans="11:13" x14ac:dyDescent="0.25">
      <c r="K54" t="s">
        <v>202</v>
      </c>
    </row>
    <row r="55" spans="11:13" x14ac:dyDescent="0.25">
      <c r="K55" s="31" t="s">
        <v>204</v>
      </c>
    </row>
    <row r="56" spans="11:13" x14ac:dyDescent="0.25">
      <c r="K56" s="2" t="s">
        <v>206</v>
      </c>
    </row>
    <row r="57" spans="11:13" x14ac:dyDescent="0.25">
      <c r="L57" s="13">
        <f>SUBTOTAL(9,L52:L56)</f>
        <v>3257</v>
      </c>
      <c r="M57" s="13">
        <f>M52</f>
        <v>7</v>
      </c>
    </row>
  </sheetData>
  <autoFilter ref="A2:P31" xr:uid="{00000000-0009-0000-0000-000019000000}">
    <sortState xmlns:xlrd2="http://schemas.microsoft.com/office/spreadsheetml/2017/richdata2" ref="A3:P31">
      <sortCondition ref="J2:J31"/>
    </sortState>
  </autoFilter>
  <mergeCells count="8">
    <mergeCell ref="C40:D40"/>
    <mergeCell ref="C41:D41"/>
    <mergeCell ref="C43:D43"/>
    <mergeCell ref="C35:D35"/>
    <mergeCell ref="C36:D36"/>
    <mergeCell ref="C37:D37"/>
    <mergeCell ref="C38:D38"/>
    <mergeCell ref="C39:D39"/>
  </mergeCells>
  <pageMargins left="0.75" right="0.75" top="0.75" bottom="0.5" header="0.5" footer="0.7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workbookViewId="0">
      <selection activeCell="E28" sqref="E28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2265</v>
      </c>
      <c r="B1" s="5">
        <v>2026</v>
      </c>
    </row>
    <row r="2" spans="1:5" x14ac:dyDescent="0.25">
      <c r="A2" s="6" t="s">
        <v>2266</v>
      </c>
      <c r="B2" s="6" t="s">
        <v>2267</v>
      </c>
      <c r="C2" s="6" t="s">
        <v>2268</v>
      </c>
      <c r="D2" s="6" t="s">
        <v>2269</v>
      </c>
      <c r="E2" s="6" t="s">
        <v>2270</v>
      </c>
    </row>
    <row r="3" spans="1:5" x14ac:dyDescent="0.25">
      <c r="A3" s="7">
        <v>46143</v>
      </c>
      <c r="B3" s="8">
        <f ca="1">IFERROR(COUNTIF(INDIRECT("'"&amp;TEXT(A3,"dd-mm")&amp;"'!L3:L200"),TEXT(A3,"dd-mm")&amp;"-"&amp;B$1),0)</f>
        <v>54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7" ca="1" si="0">B3-C3-D3</f>
        <v>54</v>
      </c>
    </row>
    <row r="4" spans="1:5" x14ac:dyDescent="0.25">
      <c r="A4" s="7">
        <v>46146</v>
      </c>
      <c r="B4" s="8">
        <f t="shared" ref="B4:B27" ca="1" si="1">IFERROR(COUNTIF(INDIRECT("'"&amp;TEXT(A4,"dd-mm")&amp;"'!L3:L200"),TEXT(A4,"dd-mm")&amp;"-"&amp;B$1),0)</f>
        <v>20</v>
      </c>
      <c r="C4" s="8">
        <f t="shared" ref="C4:C27" ca="1" si="2">IFERROR(COUNTIF(INDIRECT("'"&amp;TEXT(A4,"DD-MM")&amp;"'!M3:M200"),"*gộp*")/2,0)</f>
        <v>0</v>
      </c>
      <c r="D4" s="8" cm="1">
        <f t="array" aca="1" ref="D4" ca="1">IFERROR(SUM(COUNTIF(INDIRECT("'"&amp;TEXT(A4,"DD-MM")&amp;"'!M3:M200"),{"*đơn trả*","*hàng tỉnh*"})),0)</f>
        <v>4</v>
      </c>
      <c r="E4" s="8">
        <f t="shared" ca="1" si="0"/>
        <v>16</v>
      </c>
    </row>
    <row r="5" spans="1:5" x14ac:dyDescent="0.25">
      <c r="A5" s="7">
        <v>46147</v>
      </c>
      <c r="B5" s="8">
        <f t="shared" ca="1" si="1"/>
        <v>53</v>
      </c>
      <c r="C5" s="8">
        <f t="shared" ca="1" si="2"/>
        <v>2</v>
      </c>
      <c r="D5" s="8" cm="1">
        <f t="array" aca="1" ref="D5" ca="1">IFERROR(SUM(COUNTIF(INDIRECT("'"&amp;TEXT(A5,"DD-MM")&amp;"'!M3:M200"),{"*đơn trả*","*hàng tỉnh*"})),0)</f>
        <v>0</v>
      </c>
      <c r="E5" s="8">
        <f t="shared" ca="1" si="0"/>
        <v>51</v>
      </c>
    </row>
    <row r="6" spans="1:5" x14ac:dyDescent="0.25">
      <c r="A6" s="7">
        <v>46148</v>
      </c>
      <c r="B6" s="8">
        <f t="shared" ca="1" si="1"/>
        <v>32</v>
      </c>
      <c r="C6" s="8">
        <f t="shared" ca="1" si="2"/>
        <v>0</v>
      </c>
      <c r="D6" s="8" cm="1">
        <f t="array" aca="1" ref="D6" ca="1">IFERROR(SUM(COUNTIF(INDIRECT("'"&amp;TEXT(A6,"DD-MM")&amp;"'!M3:M200"),{"*đơn trả*","*hàng tỉnh*"})),0)</f>
        <v>0</v>
      </c>
      <c r="E6" s="8">
        <f t="shared" ca="1" si="0"/>
        <v>32</v>
      </c>
    </row>
    <row r="7" spans="1:5" x14ac:dyDescent="0.25">
      <c r="A7" s="7">
        <v>46149</v>
      </c>
      <c r="B7" s="8">
        <f t="shared" ca="1" si="1"/>
        <v>34</v>
      </c>
      <c r="C7" s="8">
        <f t="shared" ca="1" si="2"/>
        <v>1</v>
      </c>
      <c r="D7" s="8" cm="1">
        <f t="array" aca="1" ref="D7" ca="1">IFERROR(SUM(COUNTIF(INDIRECT("'"&amp;TEXT(A7,"DD-MM")&amp;"'!M3:M200"),{"*đơn trả*","*hàng tỉnh*"})),0)</f>
        <v>0</v>
      </c>
      <c r="E7" s="8">
        <f t="shared" ca="1" si="0"/>
        <v>33</v>
      </c>
    </row>
    <row r="8" spans="1:5" x14ac:dyDescent="0.25">
      <c r="A8" s="7">
        <v>46150</v>
      </c>
      <c r="B8" s="8">
        <f t="shared" ca="1" si="1"/>
        <v>36</v>
      </c>
      <c r="C8" s="8">
        <f t="shared" ca="1" si="2"/>
        <v>0</v>
      </c>
      <c r="D8" s="8" cm="1">
        <f t="array" aca="1" ref="D8" ca="1">IFERROR(SUM(COUNTIF(INDIRECT("'"&amp;TEXT(A8,"DD-MM")&amp;"'!M3:M200"),{"*đơn trả*","*hàng tỉnh*"})),0)</f>
        <v>0</v>
      </c>
      <c r="E8" s="8">
        <f t="shared" ca="1" si="0"/>
        <v>36</v>
      </c>
    </row>
    <row r="9" spans="1:5" x14ac:dyDescent="0.25">
      <c r="A9" s="7">
        <v>46151</v>
      </c>
      <c r="B9" s="8">
        <f t="shared" ca="1" si="1"/>
        <v>31</v>
      </c>
      <c r="C9" s="8">
        <f t="shared" ca="1" si="2"/>
        <v>0</v>
      </c>
      <c r="D9" s="8" cm="1">
        <f t="array" aca="1" ref="D9" ca="1">IFERROR(SUM(COUNTIF(INDIRECT("'"&amp;TEXT(A9,"DD-MM")&amp;"'!M3:M200"),{"*đơn trả*","*hàng tỉnh*"})),0)</f>
        <v>0</v>
      </c>
      <c r="E9" s="8">
        <f t="shared" ca="1" si="0"/>
        <v>31</v>
      </c>
    </row>
    <row r="10" spans="1:5" x14ac:dyDescent="0.25">
      <c r="A10" s="7">
        <v>46153</v>
      </c>
      <c r="B10" s="8">
        <f t="shared" ca="1" si="1"/>
        <v>56</v>
      </c>
      <c r="C10" s="8">
        <f t="shared" ca="1" si="2"/>
        <v>0</v>
      </c>
      <c r="D10" s="8" cm="1">
        <f t="array" aca="1" ref="D10" ca="1">IFERROR(SUM(COUNTIF(INDIRECT("'"&amp;TEXT(A10,"DD-MM")&amp;"'!M3:M200"),{"*đơn trả*","*hàng tỉnh*"})),0)</f>
        <v>4</v>
      </c>
      <c r="E10" s="8">
        <f t="shared" ca="1" si="0"/>
        <v>52</v>
      </c>
    </row>
    <row r="11" spans="1:5" x14ac:dyDescent="0.25">
      <c r="A11" s="7">
        <v>46154</v>
      </c>
      <c r="B11" s="8">
        <f t="shared" ca="1" si="1"/>
        <v>25</v>
      </c>
      <c r="C11" s="8">
        <f t="shared" ca="1" si="2"/>
        <v>0</v>
      </c>
      <c r="D11" s="8" cm="1">
        <f t="array" aca="1" ref="D11" ca="1">IFERROR(SUM(COUNTIF(INDIRECT("'"&amp;TEXT(A11,"DD-MM")&amp;"'!M3:M200"),{"*đơn trả*","*hàng tỉnh*"})),0)</f>
        <v>0</v>
      </c>
      <c r="E11" s="8">
        <f t="shared" ca="1" si="0"/>
        <v>25</v>
      </c>
    </row>
    <row r="12" spans="1:5" x14ac:dyDescent="0.25">
      <c r="A12" s="7">
        <v>46155</v>
      </c>
      <c r="B12" s="8">
        <f t="shared" ca="1" si="1"/>
        <v>33</v>
      </c>
      <c r="C12" s="8">
        <f t="shared" ca="1" si="2"/>
        <v>1</v>
      </c>
      <c r="D12" s="8" cm="1">
        <f t="array" aca="1" ref="D12" ca="1">IFERROR(SUM(COUNTIF(INDIRECT("'"&amp;TEXT(A12,"DD-MM")&amp;"'!M3:M200"),{"*đơn trả*","*hàng tỉnh*"})),0)</f>
        <v>0</v>
      </c>
      <c r="E12" s="8">
        <f t="shared" ca="1" si="0"/>
        <v>32</v>
      </c>
    </row>
    <row r="13" spans="1:5" x14ac:dyDescent="0.25">
      <c r="A13" s="7">
        <v>46156</v>
      </c>
      <c r="B13" s="8">
        <f t="shared" ca="1" si="1"/>
        <v>37</v>
      </c>
      <c r="C13" s="8">
        <f t="shared" ca="1" si="2"/>
        <v>0</v>
      </c>
      <c r="D13" s="8" cm="1">
        <f t="array" aca="1" ref="D13" ca="1">IFERROR(SUM(COUNTIF(INDIRECT("'"&amp;TEXT(A13,"DD-MM")&amp;"'!M3:M200"),{"*đơn trả*","*hàng tỉnh*"})),0)</f>
        <v>0</v>
      </c>
      <c r="E13" s="8">
        <f t="shared" ca="1" si="0"/>
        <v>37</v>
      </c>
    </row>
    <row r="14" spans="1:5" x14ac:dyDescent="0.25">
      <c r="A14" s="7">
        <v>46157</v>
      </c>
      <c r="B14" s="8">
        <f t="shared" ca="1" si="1"/>
        <v>32</v>
      </c>
      <c r="C14" s="8">
        <f t="shared" ca="1" si="2"/>
        <v>0</v>
      </c>
      <c r="D14" s="8" cm="1">
        <f t="array" aca="1" ref="D14" ca="1">IFERROR(SUM(COUNTIF(INDIRECT("'"&amp;TEXT(A14,"DD-MM")&amp;"'!M3:M200"),{"*đơn trả*","*hàng tỉnh*"})),0)</f>
        <v>0</v>
      </c>
      <c r="E14" s="8">
        <f t="shared" ca="1" si="0"/>
        <v>32</v>
      </c>
    </row>
    <row r="15" spans="1:5" x14ac:dyDescent="0.25">
      <c r="A15" s="7">
        <v>46158</v>
      </c>
      <c r="B15" s="8">
        <f t="shared" ca="1" si="1"/>
        <v>37</v>
      </c>
      <c r="C15" s="8">
        <f t="shared" ca="1" si="2"/>
        <v>3</v>
      </c>
      <c r="D15" s="8" cm="1">
        <f t="array" aca="1" ref="D15" ca="1">IFERROR(SUM(COUNTIF(INDIRECT("'"&amp;TEXT(A15,"DD-MM")&amp;"'!M3:M200"),{"*đơn trả*","*hàng tỉnh*"})),0)</f>
        <v>2</v>
      </c>
      <c r="E15" s="8">
        <f t="shared" ca="1" si="0"/>
        <v>32</v>
      </c>
    </row>
    <row r="16" spans="1:5" x14ac:dyDescent="0.25">
      <c r="A16" s="7">
        <v>46160</v>
      </c>
      <c r="B16" s="8">
        <f t="shared" ca="1" si="1"/>
        <v>39</v>
      </c>
      <c r="C16" s="8">
        <f t="shared" ca="1" si="2"/>
        <v>1</v>
      </c>
      <c r="D16" s="8" cm="1">
        <f t="array" aca="1" ref="D16" ca="1">IFERROR(SUM(COUNTIF(INDIRECT("'"&amp;TEXT(A16,"DD-MM")&amp;"'!M3:M200"),{"*đơn trả*","*hàng tỉnh*"})),0)</f>
        <v>0</v>
      </c>
      <c r="E16" s="8">
        <f t="shared" ca="1" si="0"/>
        <v>38</v>
      </c>
    </row>
    <row r="17" spans="1:5" x14ac:dyDescent="0.25">
      <c r="A17" s="7">
        <v>46161</v>
      </c>
      <c r="B17" s="8">
        <f t="shared" ca="1" si="1"/>
        <v>27</v>
      </c>
      <c r="C17" s="8">
        <f t="shared" ca="1" si="2"/>
        <v>0</v>
      </c>
      <c r="D17" s="8" cm="1">
        <f t="array" aca="1" ref="D17" ca="1">IFERROR(SUM(COUNTIF(INDIRECT("'"&amp;TEXT(A17,"DD-MM")&amp;"'!M3:M200"),{"*đơn trả*","*hàng tỉnh*"})),0)</f>
        <v>0</v>
      </c>
      <c r="E17" s="8">
        <f t="shared" ca="1" si="0"/>
        <v>27</v>
      </c>
    </row>
    <row r="18" spans="1:5" x14ac:dyDescent="0.25">
      <c r="A18" s="7">
        <v>46162</v>
      </c>
      <c r="B18" s="8">
        <f t="shared" ca="1" si="1"/>
        <v>31</v>
      </c>
      <c r="C18" s="8">
        <f t="shared" ca="1" si="2"/>
        <v>1</v>
      </c>
      <c r="D18" s="8" cm="1">
        <f t="array" aca="1" ref="D18" ca="1">IFERROR(SUM(COUNTIF(INDIRECT("'"&amp;TEXT(A18,"DD-MM")&amp;"'!M3:M200"),{"*đơn trả*","*hàng tỉnh*"})),0)</f>
        <v>3</v>
      </c>
      <c r="E18" s="8">
        <f t="shared" ca="1" si="0"/>
        <v>27</v>
      </c>
    </row>
    <row r="19" spans="1:5" x14ac:dyDescent="0.25">
      <c r="A19" s="7">
        <v>46163</v>
      </c>
      <c r="B19" s="8">
        <f t="shared" ca="1" si="1"/>
        <v>40</v>
      </c>
      <c r="C19" s="8">
        <f t="shared" ca="1" si="2"/>
        <v>0</v>
      </c>
      <c r="D19" s="8" cm="1">
        <f t="array" aca="1" ref="D19" ca="1">IFERROR(SUM(COUNTIF(INDIRECT("'"&amp;TEXT(A19,"DD-MM")&amp;"'!M3:M200"),{"*đơn trả*","*hàng tỉnh*"})),0)</f>
        <v>1</v>
      </c>
      <c r="E19" s="8">
        <f t="shared" ca="1" si="0"/>
        <v>39</v>
      </c>
    </row>
    <row r="20" spans="1:5" x14ac:dyDescent="0.25">
      <c r="A20" s="7">
        <v>46164</v>
      </c>
      <c r="B20" s="8">
        <f t="shared" ca="1" si="1"/>
        <v>26</v>
      </c>
      <c r="C20" s="8">
        <f t="shared" ca="1" si="2"/>
        <v>1</v>
      </c>
      <c r="D20" s="8" cm="1">
        <f t="array" aca="1" ref="D20" ca="1">IFERROR(SUM(COUNTIF(INDIRECT("'"&amp;TEXT(A20,"DD-MM")&amp;"'!M3:M200"),{"*đơn trả*","*hàng tỉnh*"})),0)</f>
        <v>1</v>
      </c>
      <c r="E20" s="8">
        <f t="shared" ca="1" si="0"/>
        <v>24</v>
      </c>
    </row>
    <row r="21" spans="1:5" x14ac:dyDescent="0.25">
      <c r="A21" s="7">
        <v>46165</v>
      </c>
      <c r="B21" s="8">
        <f t="shared" ca="1" si="1"/>
        <v>26</v>
      </c>
      <c r="C21" s="8">
        <f t="shared" ca="1" si="2"/>
        <v>0</v>
      </c>
      <c r="D21" s="8" cm="1">
        <f t="array" aca="1" ref="D21" ca="1">IFERROR(SUM(COUNTIF(INDIRECT("'"&amp;TEXT(A21,"DD-MM")&amp;"'!M3:M200"),{"*đơn trả*","*hàng tỉnh*"})),0)</f>
        <v>0</v>
      </c>
      <c r="E21" s="8">
        <f t="shared" ca="1" si="0"/>
        <v>26</v>
      </c>
    </row>
    <row r="22" spans="1:5" x14ac:dyDescent="0.25">
      <c r="A22" s="7">
        <v>46167</v>
      </c>
      <c r="B22" s="8">
        <f t="shared" ca="1" si="1"/>
        <v>53</v>
      </c>
      <c r="C22" s="8">
        <f t="shared" ca="1" si="2"/>
        <v>2</v>
      </c>
      <c r="D22" s="8" cm="1">
        <f t="array" aca="1" ref="D22" ca="1">IFERROR(SUM(COUNTIF(INDIRECT("'"&amp;TEXT(A22,"DD-MM")&amp;"'!M3:M200"),{"*đơn trả*","*hàng tỉnh*"})),0)</f>
        <v>0</v>
      </c>
      <c r="E22" s="8">
        <f t="shared" ca="1" si="0"/>
        <v>51</v>
      </c>
    </row>
    <row r="23" spans="1:5" x14ac:dyDescent="0.25">
      <c r="A23" s="7">
        <v>46168</v>
      </c>
      <c r="B23" s="8">
        <f t="shared" ca="1" si="1"/>
        <v>27</v>
      </c>
      <c r="C23" s="8">
        <f t="shared" ca="1" si="2"/>
        <v>0</v>
      </c>
      <c r="D23" s="8" cm="1">
        <f t="array" aca="1" ref="D23" ca="1">IFERROR(SUM(COUNTIF(INDIRECT("'"&amp;TEXT(A23,"DD-MM")&amp;"'!M3:M200"),{"*đơn trả*","*hàng tỉnh*"})),0)</f>
        <v>1</v>
      </c>
      <c r="E23" s="8">
        <f t="shared" ca="1" si="0"/>
        <v>26</v>
      </c>
    </row>
    <row r="24" spans="1:5" x14ac:dyDescent="0.25">
      <c r="A24" s="7">
        <v>46169</v>
      </c>
      <c r="B24" s="8">
        <f t="shared" ca="1" si="1"/>
        <v>24</v>
      </c>
      <c r="C24" s="8">
        <f t="shared" ca="1" si="2"/>
        <v>0</v>
      </c>
      <c r="D24" s="8" cm="1">
        <f t="array" aca="1" ref="D24" ca="1">IFERROR(SUM(COUNTIF(INDIRECT("'"&amp;TEXT(A24,"DD-MM")&amp;"'!M3:M200"),{"*đơn trả*","*hàng tỉnh*"})),0)</f>
        <v>0</v>
      </c>
      <c r="E24" s="8">
        <f t="shared" ca="1" si="0"/>
        <v>24</v>
      </c>
    </row>
    <row r="25" spans="1:5" x14ac:dyDescent="0.25">
      <c r="A25" s="7">
        <v>46170</v>
      </c>
      <c r="B25" s="8">
        <f t="shared" ca="1" si="1"/>
        <v>26</v>
      </c>
      <c r="C25" s="8">
        <f t="shared" ca="1" si="2"/>
        <v>0</v>
      </c>
      <c r="D25" s="8" cm="1">
        <f t="array" aca="1" ref="D25" ca="1">IFERROR(SUM(COUNTIF(INDIRECT("'"&amp;TEXT(A25,"DD-MM")&amp;"'!M3:M200"),{"*đơn trả*","*hàng tỉnh*"})),0)</f>
        <v>1</v>
      </c>
      <c r="E25" s="8">
        <f t="shared" ca="1" si="0"/>
        <v>25</v>
      </c>
    </row>
    <row r="26" spans="1:5" x14ac:dyDescent="0.25">
      <c r="A26" s="7">
        <v>46171</v>
      </c>
      <c r="B26" s="8">
        <f t="shared" ca="1" si="1"/>
        <v>22</v>
      </c>
      <c r="C26" s="8">
        <f t="shared" ca="1" si="2"/>
        <v>0</v>
      </c>
      <c r="D26" s="8" cm="1">
        <f t="array" aca="1" ref="D26" ca="1">IFERROR(SUM(COUNTIF(INDIRECT("'"&amp;TEXT(A26,"DD-MM")&amp;"'!M3:M200"),{"*đơn trả*","*hàng tỉnh*"})),0)</f>
        <v>0</v>
      </c>
      <c r="E26" s="8">
        <f t="shared" ca="1" si="0"/>
        <v>22</v>
      </c>
    </row>
    <row r="27" spans="1:5" x14ac:dyDescent="0.25">
      <c r="A27" s="7">
        <v>46172</v>
      </c>
      <c r="B27" s="8">
        <f t="shared" ca="1" si="1"/>
        <v>29</v>
      </c>
      <c r="C27" s="8">
        <f t="shared" ca="1" si="2"/>
        <v>1</v>
      </c>
      <c r="D27" s="8" cm="1">
        <f t="array" aca="1" ref="D27" ca="1">IFERROR(SUM(COUNTIF(INDIRECT("'"&amp;TEXT(A27,"DD-MM")&amp;"'!M3:M200"),{"*đơn trả*","*hàng tỉnh*"})),0)</f>
        <v>1</v>
      </c>
      <c r="E27" s="8">
        <f t="shared" ca="1" si="0"/>
        <v>27</v>
      </c>
    </row>
    <row r="28" spans="1:5" x14ac:dyDescent="0.25">
      <c r="D28" s="9" t="s">
        <v>2271</v>
      </c>
      <c r="E28" s="9">
        <f ca="1">SUBTOTAL(9,E3:E27)</f>
        <v>819</v>
      </c>
    </row>
    <row r="29" spans="1:5" x14ac:dyDescent="0.25">
      <c r="D29" s="9" t="s">
        <v>2272</v>
      </c>
      <c r="E29" s="9" cm="1">
        <f t="array" aca="1" ref="E29" ca="1">SUMPRODUCT(
    IFERROR(
        SUMIF(
            INDIRECT("'"&amp;TEXT(A3:A27,"dd-mm")&amp;"'!O:O"),
            "tổng",
            INDIRECT("'"&amp;TEXT(A3:A27,"dd-mm")&amp;"'!P:P")
        ),
    0)
)</f>
        <v>3514</v>
      </c>
    </row>
    <row r="30" spans="1:5" x14ac:dyDescent="0.25">
      <c r="D30" s="9" t="s">
        <v>2273</v>
      </c>
      <c r="E30" s="9">
        <f ca="1">-E28*2</f>
        <v>-1638</v>
      </c>
    </row>
    <row r="31" spans="1:5" x14ac:dyDescent="0.25">
      <c r="D31" s="9" t="s">
        <v>2274</v>
      </c>
      <c r="E31" s="9">
        <f ca="1">SUBTOTAL(9,E29:E30)</f>
        <v>1876</v>
      </c>
    </row>
  </sheetData>
  <autoFilter ref="A2:E27" xr:uid="{00000000-0009-0000-0000-000018000000}"/>
  <phoneticPr fontId="3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27-05</vt:lpstr>
      <vt:lpstr>28-05</vt:lpstr>
      <vt:lpstr>29-05</vt:lpstr>
      <vt:lpstr>30-05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2026-09-09T06:14:09Z</dcterms:modified>
</cp:coreProperties>
</file>