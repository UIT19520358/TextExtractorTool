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6F64A88D-FAF3-4C13-83DC-903BC14214C5}" xr6:coauthVersionLast="47" xr6:coauthVersionMax="47" xr10:uidLastSave="{00000000-0000-0000-0000-000000000000}"/>
  <bookViews>
    <workbookView xWindow="-120" yWindow="-120" windowWidth="29040" windowHeight="15720" activeTab="15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  <sheet name="19-5" sheetId="17" r:id="rId15"/>
    <sheet name="20-5" sheetId="18" r:id="rId16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'18-5'!$A$2:$P$41</definedName>
    <definedName name="_xlnm._FilterDatabase" localSheetId="14" hidden="1">'19-5'!$A$2:$P$56</definedName>
    <definedName name="_xlnm._FilterDatabase" localSheetId="15" hidden="1">'20-5'!$A$2:$P$56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" i="18" l="1"/>
  <c r="I66" i="18"/>
  <c r="I65" i="18"/>
  <c r="R58" i="18"/>
  <c r="I64" i="18" s="1"/>
  <c r="Q58" i="18"/>
  <c r="J63" i="18" s="1"/>
  <c r="J70" i="18" s="1"/>
  <c r="P58" i="18"/>
  <c r="O58" i="18"/>
  <c r="N58" i="18"/>
  <c r="M58" i="18"/>
  <c r="L58" i="18"/>
  <c r="K58" i="18"/>
  <c r="J58" i="18"/>
  <c r="I58" i="18"/>
  <c r="I63" i="18" s="1"/>
  <c r="H58" i="18"/>
  <c r="G58" i="18"/>
  <c r="I41" i="16"/>
  <c r="I40" i="16"/>
  <c r="I39" i="16"/>
  <c r="I38" i="16"/>
  <c r="I37" i="16"/>
  <c r="I36" i="16"/>
  <c r="R35" i="16"/>
  <c r="I35" i="16"/>
  <c r="I34" i="16"/>
  <c r="R33" i="16"/>
  <c r="I33" i="16"/>
  <c r="I32" i="16"/>
  <c r="I31" i="16"/>
  <c r="I30" i="16"/>
  <c r="R29" i="16"/>
  <c r="I29" i="16"/>
  <c r="I28" i="16"/>
  <c r="I27" i="16"/>
  <c r="R26" i="16"/>
  <c r="I26" i="16"/>
  <c r="I25" i="16"/>
  <c r="I24" i="16"/>
  <c r="I23" i="16"/>
  <c r="I22" i="16"/>
  <c r="I21" i="16"/>
  <c r="R20" i="16"/>
  <c r="I20" i="16"/>
  <c r="I19" i="16"/>
  <c r="I18" i="16"/>
  <c r="I17" i="16"/>
  <c r="I16" i="16"/>
  <c r="I15" i="16"/>
  <c r="I14" i="16"/>
  <c r="R13" i="16"/>
  <c r="I13" i="16"/>
  <c r="R12" i="16"/>
  <c r="I12" i="16"/>
  <c r="R11" i="16"/>
  <c r="I11" i="16"/>
  <c r="R10" i="16"/>
  <c r="I10" i="16"/>
  <c r="R9" i="16"/>
  <c r="I9" i="16"/>
  <c r="R8" i="16"/>
  <c r="I8" i="16"/>
  <c r="R7" i="16"/>
  <c r="I7" i="16"/>
  <c r="I6" i="16"/>
  <c r="R5" i="16"/>
  <c r="I5" i="16"/>
  <c r="I4" i="16"/>
  <c r="I3" i="16"/>
  <c r="I67" i="17"/>
  <c r="I66" i="17"/>
  <c r="I65" i="17"/>
  <c r="R58" i="17"/>
  <c r="I64" i="17" s="1"/>
  <c r="Q58" i="17"/>
  <c r="J63" i="17" s="1"/>
  <c r="J70" i="17" s="1"/>
  <c r="P58" i="17"/>
  <c r="O58" i="17"/>
  <c r="N58" i="17"/>
  <c r="M58" i="17"/>
  <c r="L58" i="17"/>
  <c r="K58" i="17"/>
  <c r="J58" i="17"/>
  <c r="I58" i="17"/>
  <c r="I63" i="17" s="1"/>
  <c r="I70" i="17" s="1"/>
  <c r="H58" i="17"/>
  <c r="G58" i="17"/>
  <c r="H59" i="15"/>
  <c r="I70" i="18" l="1"/>
  <c r="H57" i="15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43" i="16"/>
  <c r="I49" i="16" s="1"/>
  <c r="I43" i="16"/>
  <c r="I48" i="16" s="1"/>
  <c r="I52" i="16"/>
  <c r="I51" i="16"/>
  <c r="I50" i="16"/>
  <c r="Q43" i="16"/>
  <c r="J48" i="16" s="1"/>
  <c r="J55" i="16" s="1"/>
  <c r="P43" i="16"/>
  <c r="O43" i="16"/>
  <c r="N43" i="16"/>
  <c r="M43" i="16"/>
  <c r="L43" i="16"/>
  <c r="K43" i="16"/>
  <c r="J43" i="16"/>
  <c r="H43" i="16"/>
  <c r="G43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I5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55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<sst xmlns="http://schemas.openxmlformats.org/spreadsheetml/2006/main" count="4444" uniqueCount="1507">
  <si>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</si>
  <si>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</si>
  <si>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</si>
  <si>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</si>
  <si>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</si>
  <si>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</si>
  <si>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</si>
  <si>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</si>
  <si>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</si>
  <si>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</si>
  <si>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</si>
  <si>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</si>
  <si>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</si>
  <si>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</si>
  <si>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</si>
  <si>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</si>
  <si>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</si>
  <si>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</si>
  <si>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</si>
  <si>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</si>
  <si>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</si>
  <si>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</si>
  <si>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</si>
  <si>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</si>
  <si>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</si>
  <si>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</si>
  <si>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</si>
  <si>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</si>
  <si>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</si>
  <si>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</si>
  <si>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</si>
  <si>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</si>
  <si>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</si>
  <si>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</si>
  <si>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</si>
  <si>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</si>
  <si>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</si>
  <si>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</si>
  <si>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</si>
  <si>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</si>
  <si>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</si>
  <si>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</si>
  <si>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</si>
  <si>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</si>
  <si>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</si>
  <si>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</si>
  <si>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</si>
  <si>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</si>
  <si>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</si>
  <si>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</si>
  <si>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</si>
  <si>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</si>
  <si>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</si>
  <si>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</si>
  <si>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</si>
  <si>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</si>
  <si>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</si>
  <si>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</si>
  <si>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</si>
  <si>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</si>
  <si>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</si>
  <si>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</si>
  <si>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</si>
  <si>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</si>
  <si>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</si>
  <si>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</si>
  <si>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</si>
  <si>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</si>
  <si>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</si>
  <si>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</si>
  <si>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</si>
  <si>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</si>
  <si>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</si>
  <si>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</si>
  <si>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</si>
  <si>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</si>
  <si>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</si>
  <si>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</si>
  <si>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</si>
  <si>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</si>
  <si>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</si>
  <si>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</si>
  <si>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</si>
  <si>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</si>
  <si>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</si>
  <si>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</si>
  <si>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</si>
  <si>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</si>
  <si>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</si>
  <si>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</si>
  <si>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</si>
  <si>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</si>
  <si>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</si>
  <si>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</si>
  <si>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</si>
  <si>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</si>
  <si>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</si>
  <si>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</si>
  <si>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</si>
  <si>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</si>
  <si>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</si>
  <si>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</si>
  <si>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</si>
  <si>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</si>
  <si>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</si>
  <si>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</si>
  <si>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</si>
  <si>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</si>
  <si>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</si>
  <si>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</si>
  <si>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</si>
  <si>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</si>
  <si>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</si>
  <si>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</si>
  <si>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</si>
  <si>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</si>
  <si>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</si>
  <si>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</si>
  <si>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</si>
  <si>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</si>
  <si>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</si>
  <si>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</si>
  <si>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</si>
  <si>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</si>
  <si>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</si>
  <si>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</si>
  <si>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</si>
  <si>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</si>
  <si>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</si>
  <si>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</si>
  <si>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</si>
  <si>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</si>
  <si>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</si>
  <si>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</si>
  <si>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</si>
  <si>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</si>
  <si>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</si>
  <si>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</si>
  <si>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</si>
  <si>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</si>
  <si>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</si>
  <si>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</si>
  <si>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</si>
  <si>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</si>
  <si>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</si>
  <si>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</si>
  <si>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</si>
  <si>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</si>
  <si>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</si>
  <si>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</si>
  <si>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</si>
  <si>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</si>
  <si>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</si>
  <si>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</si>
  <si>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</si>
  <si>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</si>
  <si>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</si>
  <si>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</si>
  <si>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</si>
  <si>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</si>
  <si>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</si>
  <si>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</si>
  <si>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</si>
  <si>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</si>
  <si>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</si>
  <si>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</si>
  <si>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</si>
  <si>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</si>
  <si>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</si>
  <si>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</si>
  <si>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</si>
  <si>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</si>
  <si>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</si>
  <si>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</si>
  <si>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</si>
  <si>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</si>
  <si>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</si>
  <si>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</si>
  <si>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</si>
  <si>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</si>
  <si>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</si>
  <si>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</si>
  <si>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</si>
  <si>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</si>
  <si>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</si>
  <si>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</si>
  <si>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</si>
  <si>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</si>
  <si>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</si>
  <si>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</si>
  <si>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</si>
  <si>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</si>
  <si>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</si>
  <si>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</si>
  <si>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</si>
  <si>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</si>
  <si>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</si>
  <si>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</si>
  <si>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</si>
  <si>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</si>
  <si>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</si>
  <si>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</si>
  <si>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</si>
  <si>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</si>
  <si>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</si>
  <si>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</si>
  <si>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</si>
  <si>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</si>
  <si>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</si>
  <si>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</si>
  <si>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</si>
  <si>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</si>
  <si>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</si>
  <si>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</si>
  <si>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</si>
  <si>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</si>
  <si>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</si>
  <si>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</si>
  <si>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</si>
  <si>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</si>
  <si>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</si>
  <si>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</si>
  <si>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</si>
  <si>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</si>
  <si>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</si>
  <si>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</si>
  <si>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</si>
  <si>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</si>
  <si>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</si>
  <si>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</si>
  <si>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</si>
  <si>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</si>
  <si>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</si>
  <si>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</si>
  <si>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</si>
  <si>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</si>
  <si>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</si>
  <si>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</si>
  <si>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</si>
  <si>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</si>
  <si>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</si>
  <si>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</si>
  <si>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</si>
  <si>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</si>
  <si>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</si>
  <si>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</si>
  <si>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</si>
  <si>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</si>
  <si>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</si>
  <si>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</si>
  <si>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</si>
  <si>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</si>
  <si>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</si>
  <si>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</si>
  <si>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</si>
  <si>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</si>
  <si>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</si>
  <si>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</si>
  <si>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</si>
  <si>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</si>
  <si>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</si>
  <si>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</si>
  <si>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</si>
  <si>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</si>
  <si>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</si>
  <si>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</si>
  <si>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</si>
  <si>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</si>
  <si>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</si>
  <si>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</si>
  <si>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</si>
  <si>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</si>
  <si>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</si>
  <si>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</si>
  <si>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</si>
  <si>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</si>
  <si>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</si>
  <si>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</si>
  <si>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</si>
  <si>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</si>
  <si>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</si>
  <si>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</si>
  <si>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</si>
  <si>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</si>
  <si>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</si>
  <si>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</si>
  <si>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</si>
  <si>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</si>
  <si>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</si>
  <si>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</si>
  <si>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</si>
  <si>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</si>
  <si>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</si>
  <si>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</si>
  <si>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</si>
  <si>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</si>
  <si>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</si>
  <si>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</si>
  <si>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</si>
  <si>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</si>
  <si>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</si>
  <si>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</si>
  <si>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</si>
  <si>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</si>
  <si>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</si>
  <si>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</si>
  <si>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</si>
  <si>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</si>
  <si>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</si>
  <si>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</si>
  <si>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</si>
  <si>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</si>
  <si>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</si>
  <si>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</si>
  <si>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</si>
  <si>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</si>
  <si>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</si>
  <si>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</si>
  <si>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</si>
  <si>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</si>
  <si>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</si>
  <si>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</si>
  <si>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</si>
  <si>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</si>
  <si>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</si>
  <si>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</si>
  <si>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</si>
  <si>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</si>
  <si>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</si>
  <si>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</si>
  <si>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</si>
  <si>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</si>
  <si>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</si>
  <si>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</si>
  <si>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</si>
  <si>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</si>
  <si>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</si>
  <si>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</si>
  <si>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</si>
  <si>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</si>
  <si>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</si>
  <si>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</si>
  <si>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</si>
  <si>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</si>
  <si>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</si>
  <si>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</si>
  <si>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</si>
  <si>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</si>
  <si>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</si>
  <si>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</si>
  <si>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</si>
  <si>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</si>
  <si>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</si>
  <si>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</si>
  <si>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</si>
  <si>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</si>
  <si>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</si>
  <si>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</si>
  <si>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</si>
  <si>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</si>
  <si>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</si>
  <si>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</si>
  <si>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</si>
  <si>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</si>
  <si>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</si>
  <si>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</si>
  <si>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</si>
  <si>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</si>
  <si>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</si>
  <si>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</si>
  <si>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</si>
  <si>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</si>
  <si>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</si>
  <si>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</si>
  <si>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</si>
  <si>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</si>
  <si>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</si>
  <si>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</si>
  <si>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</si>
  <si>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</si>
  <si>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</si>
  <si>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</si>
  <si>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</si>
  <si>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</si>
  <si>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</si>
  <si>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</si>
  <si>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</si>
  <si>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</si>
  <si>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</si>
  <si>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</si>
  <si>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</si>
  <si>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</si>
  <si>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</si>
  <si>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</si>
  <si>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</si>
  <si>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</si>
  <si>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</si>
  <si>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</si>
  <si>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</si>
  <si>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</si>
  <si>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</si>
  <si>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</si>
  <si>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</si>
  <si>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</si>
  <si>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</si>
  <si>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</si>
  <si>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</si>
  <si>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</si>
  <si>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</si>
  <si>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</si>
  <si>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</si>
  <si>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</si>
  <si>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</si>
  <si>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</si>
  <si>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</si>
  <si>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</si>
  <si>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</si>
  <si>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</si>
  <si>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</si>
  <si>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</si>
  <si>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</si>
  <si>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</si>
  <si>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</si>
  <si>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</si>
  <si>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</si>
  <si>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</si>
  <si>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</si>
  <si>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</si>
  <si>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</si>
  <si>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</si>
  <si>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</si>
  <si>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</si>
  <si>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</si>
  <si>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</si>
  <si>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</si>
  <si>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</si>
  <si>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</si>
  <si>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</si>
  <si>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</si>
  <si>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</si>
  <si>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</si>
  <si>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</si>
  <si>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</si>
  <si>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</si>
  <si>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</si>
  <si>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</si>
  <si>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</si>
  <si>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</si>
  <si>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</si>
  <si>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</si>
  <si>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</si>
  <si>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</si>
  <si>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</si>
  <si>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</si>
  <si>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</si>
  <si>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</si>
  <si>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</si>
  <si>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</si>
  <si>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</si>
  <si>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</si>
  <si>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</si>
  <si>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</si>
  <si>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</si>
  <si>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</si>
  <si>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</si>
  <si>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</si>
  <si>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</si>
  <si>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</si>
  <si>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</si>
  <si>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</si>
  <si>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</si>
  <si>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</si>
  <si>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</si>
  <si>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</si>
  <si>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</si>
  <si>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</si>
  <si>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</si>
  <si>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</si>
  <si>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</si>
  <si>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</si>
  <si>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</si>
  <si>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</si>
  <si>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</si>
  <si>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</si>
  <si>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</si>
  <si>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</si>
  <si>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</si>
  <si>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</si>
  <si>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</si>
  <si>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</si>
  <si>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</si>
  <si>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</si>
  <si>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</si>
  <si>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</si>
  <si>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</si>
  <si>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</si>
  <si>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</si>
  <si>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</si>
  <si>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</si>
  <si>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</si>
  <si>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</si>
  <si>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</si>
  <si>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</si>
  <si>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</si>
  <si>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</si>
  <si>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</si>
  <si>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</si>
  <si>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</si>
  <si>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</si>
  <si>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</si>
  <si>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</si>
  <si>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</si>
  <si>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</si>
  <si>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</si>
  <si>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</si>
  <si>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</si>
  <si>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</si>
  <si>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</si>
  <si>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</si>
  <si>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</si>
  <si>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</si>
  <si>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</si>
  <si>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</si>
  <si>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</si>
  <si>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</si>
  <si>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</si>
  <si>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</si>
  <si>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</si>
  <si>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</si>
  <si>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</si>
  <si>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</si>
  <si>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</si>
  <si>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</si>
  <si>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</si>
  <si>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</si>
  <si>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</si>
  <si>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</si>
  <si>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</si>
  <si>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</si>
  <si>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</si>
  <si>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</si>
  <si>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</si>
  <si>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</si>
  <si>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</si>
  <si>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</si>
  <si>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</si>
  <si>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</si>
  <si>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</si>
  <si>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</si>
  <si>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</si>
  <si>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</si>
  <si>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</si>
  <si>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</si>
  <si>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</si>
  <si>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</si>
  <si>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</si>
  <si>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</si>
  <si>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</si>
  <si>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</si>
  <si>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</si>
  <si>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</si>
  <si>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</si>
  <si>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</si>
  <si>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</si>
  <si>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</si>
  <si>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</si>
  <si>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</si>
  <si>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</si>
  <si>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</si>
  <si>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</si>
  <si>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</si>
  <si>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</si>
  <si>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</si>
  <si>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</si>
  <si>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</si>
  <si>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</si>
  <si>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</si>
  <si>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</si>
  <si>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</si>
  <si>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</si>
  <si>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</si>
  <si>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</si>
  <si>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</si>
  <si>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</si>
  <si>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</si>
  <si>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</si>
  <si>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</si>
  <si>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</si>
  <si>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</si>
  <si>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</si>
  <si>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</si>
  <si>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</si>
  <si>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</si>
  <si>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</si>
  <si>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</si>
  <si>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</si>
  <si>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</si>
  <si>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</si>
  <si>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</si>
  <si>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</si>
  <si>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</si>
  <si>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</si>
  <si>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</si>
  <si>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</si>
  <si>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</si>
  <si>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</si>
  <si>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</si>
  <si>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</si>
  <si>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</si>
  <si>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</si>
  <si>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</si>
  <si>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</si>
  <si>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</si>
  <si>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</si>
  <si>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</si>
  <si>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</si>
  <si>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</si>
  <si>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</si>
  <si>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</si>
  <si>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</si>
  <si>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</si>
  <si>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</si>
  <si>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</si>
  <si>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</si>
  <si>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</si>
  <si>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</si>
  <si>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</si>
  <si>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</si>
  <si>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</si>
  <si>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</si>
  <si>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</si>
  <si>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</si>
  <si>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</si>
  <si>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</si>
  <si>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</si>
  <si>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</si>
  <si>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</si>
  <si>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</si>
  <si>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</si>
  <si>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</si>
  <si>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</si>
  <si>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</si>
  <si>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</si>
  <si>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</si>
  <si>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</si>
  <si>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</si>
  <si>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</si>
  <si>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</si>
  <si>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</si>
  <si>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</si>
  <si>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</si>
  <si>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</si>
  <si>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</si>
  <si>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</si>
  <si>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</si>
  <si>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</si>
  <si>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</si>
  <si>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</si>
  <si>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</si>
  <si>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</si>
  <si>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</si>
  <si>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</si>
  <si>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</si>
  <si>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</si>
  <si>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</si>
  <si>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</si>
  <si>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</si>
  <si>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</si>
  <si>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</si>
  <si>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</si>
  <si>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</si>
  <si>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</si>
  <si>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</si>
  <si>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</si>
  <si>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</si>
  <si>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</si>
  <si>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</si>
  <si>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</si>
  <si>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</si>
  <si>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</si>
  <si>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</si>
  <si>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</si>
  <si>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</si>
  <si>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</si>
  <si>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</si>
  <si>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</si>
  <si>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</si>
  <si>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</si>
  <si>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</si>
  <si>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</si>
  <si>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</si>
  <si>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</si>
  <si>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</si>
  <si>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</si>
  <si>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</si>
  <si>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</si>
  <si>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</si>
  <si>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</si>
  <si>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</si>
  <si>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</si>
  <si>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</si>
  <si>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</si>
  <si>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</si>
  <si>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</si>
  <si>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</si>
  <si>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</si>
  <si>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</si>
  <si>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</si>
  <si>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</si>
  <si>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</si>
  <si>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</si>
  <si>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</si>
  <si>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</si>
  <si>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</si>
  <si>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</si>
  <si>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</si>
  <si>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</si>
  <si>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</si>
  <si>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</si>
  <si>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</si>
  <si>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</si>
  <si>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</si>
  <si>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</si>
  <si>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</si>
  <si>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</si>
  <si>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</si>
  <si>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</si>
  <si>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</si>
  <si>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</si>
  <si>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</si>
  <si>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</si>
  <si>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</si>
  <si>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</si>
  <si>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</si>
  <si>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</si>
  <si>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</si>
  <si>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</si>
  <si>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</si>
  <si>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</si>
  <si>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</si>
  <si>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</si>
  <si>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</si>
  <si>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</si>
  <si>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</si>
  <si>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</si>
  <si>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</si>
  <si>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</si>
  <si>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</si>
  <si>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</si>
  <si>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</si>
  <si>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</si>
  <si>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</si>
  <si>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</si>
  <si>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</si>
  <si>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</si>
  <si>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</si>
  <si>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</si>
  <si>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</si>
  <si>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</si>
  <si>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</si>
  <si>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</si>
  <si>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</si>
  <si>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</si>
  <si>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</si>
  <si>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</si>
  <si>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</si>
  <si>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</si>
  <si>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</si>
  <si>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</si>
  <si>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</si>
  <si>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</si>
  <si>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</si>
  <si>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</si>
  <si>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</si>
  <si>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</si>
  <si>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</si>
  <si>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</si>
  <si>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</si>
  <si>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</si>
  <si>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</si>
  <si>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</si>
  <si>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</si>
  <si>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</si>
  <si>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</si>
  <si>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</si>
  <si>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</si>
  <si>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</si>
  <si>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</si>
  <si>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</si>
  <si>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</si>
  <si>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</si>
  <si>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</si>
  <si>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</si>
  <si>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</si>
  <si>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</si>
  <si>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</si>
  <si>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</si>
  <si>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</si>
  <si>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</si>
  <si>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</si>
  <si>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</si>
  <si>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</si>
  <si>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</si>
  <si>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</si>
  <si>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</si>
  <si>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</si>
  <si>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</si>
  <si>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</si>
  <si>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</si>
  <si>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</si>
  <si>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</si>
  <si>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</si>
  <si>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</si>
  <si>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</si>
  <si>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</si>
  <si>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</si>
  <si>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</si>
  <si>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</si>
  <si>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</si>
  <si>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</si>
  <si>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</si>
  <si>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</si>
  <si>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</si>
  <si>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</si>
  <si>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</si>
  <si>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</si>
  <si>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</si>
  <si>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</si>
  <si>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</si>
  <si>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</si>
  <si>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</si>
  <si>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</si>
  <si>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</si>
  <si>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</si>
  <si>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</si>
  <si>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</si>
  <si>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</si>
  <si>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</si>
  <si>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</si>
  <si>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</si>
  <si>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</si>
  <si>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</si>
  <si>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</si>
  <si>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</si>
  <si>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</si>
  <si>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</si>
  <si>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</si>
  <si>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</si>
  <si>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</si>
  <si>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</si>
  <si>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</si>
  <si>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</si>
  <si>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</si>
  <si>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</si>
  <si>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</si>
  <si>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</si>
  <si>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</si>
  <si>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</si>
  <si>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</si>
  <si>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</si>
  <si>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</si>
  <si>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</si>
  <si>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</si>
  <si>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</si>
  <si>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</si>
  <si>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</si>
  <si>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</si>
  <si>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</si>
  <si>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</si>
  <si>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</si>
  <si>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</si>
  <si>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</si>
  <si>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</si>
  <si>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</si>
  <si>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</si>
  <si>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</si>
  <si>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</si>
  <si>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</si>
  <si>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</si>
  <si>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</si>
  <si>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</si>
  <si>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</si>
  <si>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</si>
  <si>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</si>
  <si>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</si>
  <si>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</si>
  <si>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</si>
  <si>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</si>
  <si>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</si>
  <si>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</si>
  <si>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</si>
  <si>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</si>
  <si>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</si>
  <si>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</si>
  <si>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</si>
  <si>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</si>
  <si>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</si>
  <si>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</si>
  <si>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</si>
  <si>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</si>
  <si>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</si>
  <si>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</si>
  <si>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</si>
  <si>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</si>
  <si>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</si>
  <si>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</si>
  <si>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</si>
  <si>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</si>
  <si>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</si>
  <si>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</si>
  <si>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</si>
  <si>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</si>
  <si>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</si>
  <si>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</si>
  <si>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</si>
  <si>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</si>
  <si>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</si>
  <si>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</si>
  <si>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</si>
  <si>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</si>
  <si>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</si>
  <si>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</si>
  <si>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</si>
  <si>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</si>
  <si>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</si>
  <si>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</si>
  <si>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</si>
  <si>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</si>
  <si>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</si>
  <si>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</si>
  <si>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</si>
  <si>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</si>
  <si>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</si>
  <si>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</si>
  <si>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</si>
  <si>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</si>
  <si>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</si>
  <si>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</si>
  <si>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</si>
  <si>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</si>
  <si>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</si>
  <si>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</si>
  <si>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</si>
  <si>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</si>
  <si>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</si>
  <si>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</si>
  <si>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</si>
  <si>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</si>
  <si>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</si>
  <si>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</si>
  <si>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</si>
  <si>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</si>
  <si>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</si>
  <si>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</si>
  <si>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</si>
  <si>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</si>
  <si>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</si>
  <si>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</si>
  <si>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</si>
  <si>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</si>
  <si>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</si>
  <si>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</si>
  <si>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</si>
  <si>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</si>
  <si>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</si>
  <si>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</si>
  <si>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</si>
  <si>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</si>
  <si>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</si>
  <si>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</si>
  <si>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</si>
  <si>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</si>
  <si>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</si>
  <si>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</si>
  <si>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</si>
  <si>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</si>
  <si>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</si>
  <si>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</si>
  <si>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</si>
  <si>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</si>
  <si>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</si>
  <si>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</si>
  <si>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</si>
  <si>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</si>
  <si>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</si>
  <si>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</si>
  <si>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</si>
  <si>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</si>
  <si>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</si>
  <si>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</si>
  <si>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</si>
  <si>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</si>
  <si>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</si>
  <si>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</si>
  <si>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</si>
  <si>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</si>
  <si>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</si>
  <si>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</si>
  <si>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</si>
  <si>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</si>
  <si>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</si>
  <si>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</si>
  <si>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</si>
  <si>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</si>
  <si>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</si>
  <si>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</si>
  <si>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</si>
  <si>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</si>
  <si>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</si>
  <si>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</si>
  <si>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</si>
  <si>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</si>
  <si>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</si>
  <si>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</si>
  <si>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</si>
  <si>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</si>
  <si>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</si>
  <si>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</si>
  <si>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</si>
  <si>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</si>
  <si>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</si>
  <si>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</si>
  <si>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</si>
  <si>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</si>
  <si>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</si>
  <si>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</si>
  <si>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</si>
  <si>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</si>
  <si>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</si>
  <si>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</si>
  <si>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</si>
  <si>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</si>
  <si>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</si>
  <si>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</si>
  <si>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</si>
  <si>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</si>
  <si>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</si>
  <si>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</si>
  <si>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</si>
  <si>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</si>
  <si>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</si>
  <si>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</si>
  <si>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</si>
  <si>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</si>
  <si>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</si>
  <si>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</si>
  <si>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</si>
  <si>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</si>
  <si>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</si>
  <si>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</si>
  <si>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</si>
  <si>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</si>
  <si>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</si>
  <si>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</si>
  <si>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</si>
  <si>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</si>
  <si>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</si>
  <si>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</si>
  <si>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</si>
  <si>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</si>
  <si>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</si>
  <si>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</si>
  <si>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</si>
  <si>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</si>
  <si>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</si>
  <si>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</si>
  <si>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</si>
  <si>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</si>
  <si>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</si>
  <si>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</si>
  <si>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</si>
  <si>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</si>
  <si>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</si>
  <si>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</si>
  <si>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</si>
  <si>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</si>
  <si>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</si>
  <si>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</si>
  <si>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</si>
  <si>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</si>
  <si>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</si>
  <si>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</si>
  <si>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</si>
  <si>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</si>
  <si>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</si>
  <si>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</si>
  <si>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</si>
  <si>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</si>
  <si>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</si>
  <si>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</si>
  <si>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</si>
  <si>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</si>
  <si>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</si>
  <si>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</si>
  <si>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</si>
  <si>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</si>
  <si>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</si>
  <si>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</si>
  <si>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</si>
  <si>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</si>
  <si>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</si>
  <si>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</si>
  <si>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</si>
  <si>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</si>
  <si>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</si>
  <si>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</si>
  <si>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</si>
  <si>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</si>
  <si>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</si>
  <si>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</si>
  <si>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</si>
  <si>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</si>
  <si>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</si>
  <si>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</si>
  <si>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</si>
  <si>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</si>
  <si>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</si>
  <si>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</si>
  <si>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</si>
  <si>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</si>
  <si>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</si>
  <si>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</si>
  <si>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</si>
  <si>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</si>
  <si>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</si>
  <si>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</si>
  <si>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</si>
  <si>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</si>
  <si>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</si>
  <si>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</si>
  <si>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</si>
  <si>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</si>
  <si>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</si>
  <si>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</si>
  <si>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</si>
  <si>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</si>
  <si>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</si>
  <si>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</si>
  <si>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</si>
  <si>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</si>
  <si>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</si>
  <si>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</si>
  <si>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</si>
  <si>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</si>
  <si>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</si>
  <si>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</si>
  <si>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</si>
  <si>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</si>
  <si>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</si>
  <si>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</si>
  <si>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</si>
  <si>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</si>
  <si>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</si>
  <si>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</si>
  <si>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</si>
  <si>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</si>
  <si>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</si>
  <si>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</si>
  <si>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</si>
  <si>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</si>
  <si>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</si>
  <si>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</si>
  <si>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</si>
  <si>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</si>
  <si>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</si>
  <si>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</si>
  <si>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</si>
  <si>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</si>
  <si>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</si>
  <si>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</si>
  <si>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</si>
  <si>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</si>
  <si>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</si>
  <si>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</si>
  <si>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</si>
  <si>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</si>
  <si>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</si>
  <si>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</si>
  <si>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</si>
  <si>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</si>
  <si>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</si>
  <si>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</si>
  <si>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</si>
  <si>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</si>
  <si>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</si>
  <si>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</si>
  <si>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</si>
  <si>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</si>
  <si>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</si>
  <si>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</si>
  <si>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</si>
  <si>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</si>
  <si>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</si>
  <si>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</si>
  <si>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</si>
  <si>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</si>
  <si>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</si>
  <si>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</si>
  <si>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</si>
  <si>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</si>
  <si>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</si>
  <si>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</si>
  <si>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</si>
  <si>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</si>
  <si>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</si>
  <si>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</si>
  <si>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</si>
  <si>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</si>
  <si>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</si>
  <si>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</si>
  <si>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</si>
  <si>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</si>
  <si>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</si>
  <si>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</si>
  <si>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</si>
  <si>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</si>
  <si>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</si>
  <si>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</si>
  <si>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</si>
  <si>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</si>
  <si>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</si>
  <si>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</si>
  <si>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</si>
  <si>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</si>
  <si>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</si>
  <si>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</si>
  <si>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</si>
  <si>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</si>
  <si>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</si>
  <si>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</si>
  <si>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</si>
  <si>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</si>
  <si>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</si>
  <si>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</si>
  <si>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</si>
  <si>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</si>
  <si>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</si>
  <si>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</si>
  <si>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</si>
  <si>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</si>
  <si>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</si>
  <si>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</si>
  <si>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</si>
  <si>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</si>
  <si>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</si>
  <si>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</si>
  <si>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</si>
  <si>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</si>
  <si>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</si>
  <si>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</si>
  <si>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</si>
  <si>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</si>
  <si>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</si>
  <si>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</si>
  <si>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</si>
  <si>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</si>
  <si>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</si>
  <si>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</si>
  <si>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</si>
  <si>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</si>
  <si>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</si>
  <si>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</si>
  <si>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</si>
  <si>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</si>
  <si>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</si>
  <si>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</si>
  <si>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</si>
  <si>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</si>
  <si>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</si>
  <si>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</si>
  <si>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</si>
  <si>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</si>
  <si>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</si>
  <si>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</si>
  <si>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</si>
  <si>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</si>
  <si>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</si>
  <si>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</si>
  <si>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</si>
  <si>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</si>
  <si>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</si>
  <si>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</si>
  <si>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</si>
  <si>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</si>
  <si>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</si>
  <si>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</si>
  <si>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</si>
  <si>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</si>
  <si>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</si>
  <si>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</si>
  <si>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</si>
  <si>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</si>
  <si>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</si>
  <si>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</si>
  <si>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</si>
  <si>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</si>
  <si>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</si>
  <si>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</si>
  <si>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</si>
  <si>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</si>
  <si>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</si>
  <si>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</si>
  <si>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</si>
  <si>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</si>
  <si>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</si>
  <si>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</si>
  <si>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</si>
  <si>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</si>
  <si>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</si>
  <si>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</si>
  <si>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</si>
  <si>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</si>
  <si>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</si>
  <si>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</si>
  <si>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</si>
  <si>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</si>
  <si>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</si>
  <si>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</si>
  <si>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</si>
  <si>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</si>
  <si>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</si>
  <si>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</si>
  <si>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</si>
  <si>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</si>
  <si>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</si>
  <si>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</si>
  <si>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</si>
  <si>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</si>
  <si>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</si>
  <si>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</si>
  <si>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</si>
  <si>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</si>
  <si>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</si>
  <si>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</si>
  <si>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</si>
  <si>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</si>
  <si>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</si>
  <si>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</si>
  <si>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</si>
  <si>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</si>
  <si>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</si>
  <si>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</si>
  <si>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</si>
  <si>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</si>
  <si>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</si>
  <si>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</si>
  <si>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</si>
  <si>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</si>
  <si>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</si>
  <si>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</si>
  <si>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</si>
  <si>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</si>
  <si>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</si>
  <si>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</si>
  <si>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</si>
  <si>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</si>
  <si>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</si>
  <si>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</si>
  <si>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</si>
  <si>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</si>
  <si>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</si>
  <si>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</si>
  <si>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</si>
  <si>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</si>
  <si>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</si>
  <si>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</si>
  <si>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</si>
  <si>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</si>
  <si>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</si>
  <si>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</si>
  <si>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</si>
  <si>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</si>
  <si>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</si>
  <si>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</si>
  <si>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</si>
  <si>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</si>
  <si>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</si>
  <si>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</si>
  <si>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</si>
  <si>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</si>
  <si>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</si>
  <si>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</si>
  <si>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</si>
  <si>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</si>
  <si>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</si>
  <si>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</si>
  <si>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</si>
  <si>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</si>
  <si>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</si>
  <si>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</si>
  <si>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</si>
  <si>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</si>
  <si>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</si>
  <si>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</si>
  <si>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</si>
  <si>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</si>
  <si>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</si>
  <si>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</si>
  <si>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</si>
  <si>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</si>
  <si>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</si>
  <si>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</si>
  <si>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</si>
  <si>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</si>
  <si>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</si>
  <si>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</si>
  <si>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</si>
  <si>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</si>
  <si>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</si>
  <si>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</si>
  <si>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</si>
  <si>
    <t>NGAY 19-5</t>
  </si>
  <si>
    <t>T3.19.5.2026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</si>
  <si>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</si>
  <si>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</si>
  <si>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</si>
  <si>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</si>
  <si>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</si>
  <si>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</si>
  <si>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</si>
  <si>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</si>
  <si>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</si>
  <si>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</si>
  <si>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</si>
  <si>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</si>
  <si>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</si>
  <si>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</si>
  <si>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</si>
  <si>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</si>
  <si>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</si>
  <si>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</si>
  <si>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</si>
  <si>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</si>
  <si>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</si>
  <si>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</si>
  <si>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</si>
  <si>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</si>
  <si>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</si>
  <si>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</si>
  <si>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</si>
  <si>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</si>
  <si>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</si>
  <si>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</si>
  <si>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</si>
  <si>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</si>
  <si>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</si>
  <si>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</si>
  <si>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</si>
  <si>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</si>
  <si>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</si>
  <si>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</si>
  <si>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</si>
  <si>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</si>
  <si>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</si>
  <si>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</si>
  <si>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</si>
  <si>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</si>
  <si>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</si>
  <si>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</si>
  <si>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</si>
  <si>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</si>
  <si>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</si>
  <si>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</si>
  <si>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</si>
  <si>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</si>
  <si>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</si>
  <si>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</si>
  <si>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</si>
  <si>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</si>
  <si>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</si>
  <si>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</si>
  <si>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</si>
  <si>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</si>
  <si>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</si>
  <si>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</si>
  <si>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</si>
  <si>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</si>
  <si>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</si>
  <si>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</si>
  <si>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</si>
  <si>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</si>
  <si>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</si>
  <si>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</si>
  <si>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</si>
  <si>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</si>
  <si>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</si>
  <si>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</si>
  <si>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</si>
  <si>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</si>
  <si>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</si>
  <si>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</si>
  <si>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</si>
  <si>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</si>
  <si>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</si>
  <si>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</si>
  <si>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</si>
  <si>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</si>
  <si>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</si>
  <si>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</si>
  <si>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</si>
  <si>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</si>
  <si>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</si>
  <si>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</si>
  <si>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</si>
  <si>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</si>
  <si>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T4.20.5.2026</t>
  </si>
  <si>
    <t>NGAY 20-5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</si>
</sst>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I55" sqref="I5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5" zoomScale="82" zoomScaleNormal="80" workbookViewId="0">
      <selection activeCell="H50" sqref="H5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G30" sqref="G3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topLeftCell="A17" zoomScale="82" zoomScaleNormal="80" workbookViewId="0">
      <selection activeCell="A55" sqref="A55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1130</v>
      </c>
      <c r="E5" s="22" t="s">
        <v>1131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1132</v>
      </c>
      <c r="D6" s="22" t="s">
        <v>1133</v>
      </c>
      <c r="E6" s="22" t="s">
        <v>1134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1135</v>
      </c>
      <c r="D7" s="22" t="s">
        <v>1136</v>
      </c>
      <c r="E7" s="22" t="s">
        <v>1137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1138</v>
      </c>
      <c r="D8" s="22" t="s">
        <v>1139</v>
      </c>
      <c r="E8" s="22" t="s">
        <v>1140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1141</v>
      </c>
      <c r="D9" s="22" t="s">
        <v>1142</v>
      </c>
      <c r="E9" s="22" t="s">
        <v>1143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1144</v>
      </c>
      <c r="D10" s="22" t="s">
        <v>1145</v>
      </c>
      <c r="E10" s="22" t="s">
        <v>1146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1147</v>
      </c>
      <c r="D11" s="22" t="s">
        <v>1148</v>
      </c>
      <c r="E11" s="22" t="s">
        <v>1149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1150</v>
      </c>
      <c r="D12" s="22" t="s">
        <v>1151</v>
      </c>
      <c r="E12" s="22" t="s">
        <v>1152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1153</v>
      </c>
      <c r="D13" s="22" t="s">
        <v>1154</v>
      </c>
      <c r="E13" s="22" t="s">
        <v>1155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1156</v>
      </c>
      <c r="D14" s="22" t="s">
        <v>1157</v>
      </c>
      <c r="E14" s="22" t="s">
        <v>1158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1159</v>
      </c>
      <c r="D15" s="22" t="s">
        <v>1160</v>
      </c>
      <c r="E15" s="22" t="s">
        <v>1161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1162</v>
      </c>
      <c r="D16" s="22"/>
      <c r="E16" s="22" t="s">
        <v>1163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1164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1165</v>
      </c>
      <c r="D18" s="22" t="s">
        <v>1166</v>
      </c>
      <c r="E18" s="22" t="s">
        <v>1167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1168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1169</v>
      </c>
      <c r="D20" s="22" t="s">
        <v>1170</v>
      </c>
      <c r="E20" s="22" t="s">
        <v>1171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1172</v>
      </c>
      <c r="D21" s="22" t="s">
        <v>1173</v>
      </c>
      <c r="E21" s="22" t="s">
        <v>1174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1175</v>
      </c>
      <c r="D22" s="22" t="s">
        <v>1176</v>
      </c>
      <c r="E22" s="22" t="s">
        <v>1177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1178</v>
      </c>
      <c r="E23" s="22" t="s">
        <v>1179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1180</v>
      </c>
      <c r="D24" s="22" t="s">
        <v>1181</v>
      </c>
      <c r="E24" s="22" t="s">
        <v>1182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1183</v>
      </c>
      <c r="D25" s="22"/>
      <c r="E25" s="22" t="s">
        <v>1184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 t="shared" ref="R25:R27" si="1"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1185</v>
      </c>
      <c r="D26" s="22"/>
      <c r="E26" s="22" t="s">
        <v>1186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 t="shared" si="1"/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 t="shared" si="1"/>
        <v>30</v>
      </c>
    </row>
    <row r="28" spans="1:18" customFormat="1" x14ac:dyDescent="0.25">
      <c r="A28" s="22"/>
      <c r="B28" s="22" t="s">
        <v>30</v>
      </c>
      <c r="C28" s="22" t="s">
        <v>1187</v>
      </c>
      <c r="D28" s="22" t="s">
        <v>1188</v>
      </c>
      <c r="E28" s="22" t="s">
        <v>1189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1190</v>
      </c>
      <c r="D29" s="22" t="s">
        <v>1191</v>
      </c>
      <c r="E29" s="22" t="s">
        <v>1192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1193</v>
      </c>
      <c r="D30" s="22" t="s">
        <v>1194</v>
      </c>
      <c r="E30" s="22" t="s">
        <v>1195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1196</v>
      </c>
      <c r="D31" s="22" t="s">
        <v>1197</v>
      </c>
      <c r="E31" s="22" t="s">
        <v>1198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1199</v>
      </c>
      <c r="D32" s="22" t="s">
        <v>1200</v>
      </c>
      <c r="E32" s="22" t="s">
        <v>1201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1202</v>
      </c>
      <c r="D33" s="22" t="s">
        <v>1203</v>
      </c>
      <c r="E33" s="22" t="s">
        <v>1204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1205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1206</v>
      </c>
      <c r="E35" s="22" t="s">
        <v>1207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1208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1209</v>
      </c>
      <c r="D37" s="22" t="s">
        <v>1210</v>
      </c>
      <c r="E37" s="22" t="s">
        <v>1211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1212</v>
      </c>
      <c r="D38" s="22" t="s">
        <v>1213</v>
      </c>
      <c r="E38" s="22" t="s">
        <v>1214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1215</v>
      </c>
      <c r="D39" s="22" t="s">
        <v>1216</v>
      </c>
      <c r="E39" s="22" t="s">
        <v>1217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1218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2">SUBTOTAL(9,G3:G40)</f>
        <v>21370</v>
      </c>
      <c r="H41" s="1">
        <f t="shared" si="2"/>
        <v>1030</v>
      </c>
      <c r="I41" s="1">
        <f t="shared" si="2"/>
        <v>20340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1215</v>
      </c>
      <c r="C56" s="36" t="s">
        <v>1216</v>
      </c>
      <c r="D56" s="36" t="s">
        <v>1217</v>
      </c>
      <c r="E56" s="37">
        <v>5</v>
      </c>
      <c r="F56" s="37">
        <v>775</v>
      </c>
      <c r="G56" s="37">
        <v>0</v>
      </c>
      <c r="H56" s="37">
        <f t="shared" ref="H56" si="3">F56-G56</f>
        <v>775</v>
      </c>
      <c r="I56" s="36" t="s">
        <v>148</v>
      </c>
      <c r="J56" s="36" t="s">
        <v>34</v>
      </c>
      <c r="K56" s="36" t="s">
        <v>1124</v>
      </c>
      <c r="L56" s="28" t="s">
        <v>1218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1221</v>
      </c>
      <c r="D3" s="22"/>
      <c r="E3" s="22" t="s">
        <v>1222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1224</v>
      </c>
      <c r="D4" s="22" t="s">
        <v>1225</v>
      </c>
      <c r="E4" s="22" t="s">
        <v>1226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1223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1227</v>
      </c>
      <c r="D5" s="22" t="s">
        <v>1228</v>
      </c>
      <c r="E5" s="22" t="s">
        <v>1229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1230</v>
      </c>
      <c r="D6" s="22" t="s">
        <v>1231</v>
      </c>
      <c r="E6" s="22" t="s">
        <v>1232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1223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1233</v>
      </c>
      <c r="D7" s="22" t="s">
        <v>1234</v>
      </c>
      <c r="E7" s="22" t="s">
        <v>1235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1223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1236</v>
      </c>
      <c r="D8" s="22" t="s">
        <v>1237</v>
      </c>
      <c r="E8" s="22" t="s">
        <v>1238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1223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1239</v>
      </c>
      <c r="D9" s="22" t="s">
        <v>1240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1223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1241</v>
      </c>
      <c r="D10" s="22" t="s">
        <v>1242</v>
      </c>
      <c r="E10" s="22" t="s">
        <v>1243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1223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1244</v>
      </c>
      <c r="E11" s="22" t="s">
        <v>1245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1246</v>
      </c>
      <c r="D12" s="22" t="s">
        <v>1247</v>
      </c>
      <c r="E12" s="22" t="s">
        <v>1248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1249</v>
      </c>
      <c r="D13" s="22" t="s">
        <v>1250</v>
      </c>
      <c r="E13" s="22" t="s">
        <v>1251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1252</v>
      </c>
      <c r="D14" s="22" t="s">
        <v>1253</v>
      </c>
      <c r="E14" s="22" t="s">
        <v>1254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1255</v>
      </c>
      <c r="D15" s="22" t="s">
        <v>1256</v>
      </c>
      <c r="E15" s="22" t="s">
        <v>1257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1258</v>
      </c>
      <c r="D16" s="22" t="s">
        <v>1259</v>
      </c>
      <c r="E16" s="22" t="s">
        <v>1260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1223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1261</v>
      </c>
      <c r="D17" s="22" t="s">
        <v>1262</v>
      </c>
      <c r="E17" s="22" t="s">
        <v>1263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1223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1264</v>
      </c>
      <c r="D18" s="22" t="s">
        <v>1265</v>
      </c>
      <c r="E18" s="22" t="s">
        <v>1266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1223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1267</v>
      </c>
      <c r="D19" s="22"/>
      <c r="E19" s="22" t="s">
        <v>1268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1223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1269</v>
      </c>
      <c r="D20" s="22" t="s">
        <v>1270</v>
      </c>
      <c r="E20" s="22" t="s">
        <v>1271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1272</v>
      </c>
      <c r="K20" s="22" t="s">
        <v>34</v>
      </c>
      <c r="L20" s="22" t="s">
        <v>1223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1273</v>
      </c>
      <c r="D21" s="22" t="s">
        <v>1274</v>
      </c>
      <c r="E21" s="22" t="s">
        <v>1275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1272</v>
      </c>
      <c r="K21" s="22" t="s">
        <v>34</v>
      </c>
      <c r="L21" s="22" t="s">
        <v>1223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1276</v>
      </c>
      <c r="D22" s="22" t="s">
        <v>1277</v>
      </c>
      <c r="E22" s="22" t="s">
        <v>1278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1272</v>
      </c>
      <c r="K22" s="22" t="s">
        <v>34</v>
      </c>
      <c r="L22" s="22" t="s">
        <v>1223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1279</v>
      </c>
      <c r="D23" s="22" t="s">
        <v>1280</v>
      </c>
      <c r="E23" s="22" t="s">
        <v>1281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1272</v>
      </c>
      <c r="K23" s="22" t="s">
        <v>34</v>
      </c>
      <c r="L23" s="22" t="s">
        <v>1223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1282</v>
      </c>
      <c r="D24" s="22" t="s">
        <v>1283</v>
      </c>
      <c r="E24" s="22" t="s">
        <v>1284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1272</v>
      </c>
      <c r="K24" s="22" t="s">
        <v>34</v>
      </c>
      <c r="L24" s="22" t="s">
        <v>1223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1285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1272</v>
      </c>
      <c r="K25" s="22" t="s">
        <v>34</v>
      </c>
      <c r="L25" s="22" t="s">
        <v>1223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1286</v>
      </c>
      <c r="D26" s="22" t="s">
        <v>1287</v>
      </c>
      <c r="E26" s="22" t="s">
        <v>1288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1272</v>
      </c>
      <c r="K26" s="22" t="s">
        <v>34</v>
      </c>
      <c r="L26" s="22" t="s">
        <v>1223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1289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1272</v>
      </c>
      <c r="K27" s="22" t="s">
        <v>34</v>
      </c>
      <c r="L27" s="22" t="s">
        <v>1223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1290</v>
      </c>
      <c r="D28" s="22" t="s">
        <v>1291</v>
      </c>
      <c r="E28" s="22" t="s">
        <v>1292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1272</v>
      </c>
      <c r="K28" s="22" t="s">
        <v>34</v>
      </c>
      <c r="L28" s="22" t="s">
        <v>1223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1293</v>
      </c>
      <c r="D29" s="22" t="s">
        <v>1294</v>
      </c>
      <c r="E29" s="22" t="s">
        <v>1295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1272</v>
      </c>
      <c r="K29" s="22" t="s">
        <v>34</v>
      </c>
      <c r="L29" s="22" t="s">
        <v>1223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1296</v>
      </c>
      <c r="D30" s="22" t="s">
        <v>1297</v>
      </c>
      <c r="E30" s="22" t="s">
        <v>1298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1272</v>
      </c>
      <c r="K30" s="22" t="s">
        <v>34</v>
      </c>
      <c r="L30" s="22" t="s">
        <v>1223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1299</v>
      </c>
      <c r="D31" s="22" t="s">
        <v>1300</v>
      </c>
      <c r="E31" s="22" t="s">
        <v>1301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1272</v>
      </c>
      <c r="K31" s="22" t="s">
        <v>34</v>
      </c>
      <c r="L31" s="22" t="s">
        <v>1223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1302</v>
      </c>
      <c r="D32" s="22" t="s">
        <v>1303</v>
      </c>
      <c r="E32" s="22" t="s">
        <v>1304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1272</v>
      </c>
      <c r="K32" s="22" t="s">
        <v>34</v>
      </c>
      <c r="L32" s="22" t="s">
        <v>1223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1305</v>
      </c>
      <c r="D33" s="22" t="s">
        <v>1306</v>
      </c>
      <c r="E33" s="22" t="s">
        <v>1307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1272</v>
      </c>
      <c r="K33" s="22" t="s">
        <v>34</v>
      </c>
      <c r="L33" s="22" t="s">
        <v>1223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1308</v>
      </c>
      <c r="D34" s="22" t="s">
        <v>1309</v>
      </c>
      <c r="E34" s="22" t="s">
        <v>1310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1272</v>
      </c>
      <c r="K34" s="22" t="s">
        <v>34</v>
      </c>
      <c r="L34" s="22" t="s">
        <v>1223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1313</v>
      </c>
      <c r="D3" s="22" t="s">
        <v>1314</v>
      </c>
      <c r="E3" s="22" t="s">
        <v>1315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1316</v>
      </c>
      <c r="K3" s="22" t="s">
        <v>34</v>
      </c>
      <c r="L3" s="22" t="s">
        <v>1317</v>
      </c>
      <c r="M3" s="28" t="s">
        <v>1318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1319</v>
      </c>
      <c r="D4" s="22" t="s">
        <v>1320</v>
      </c>
      <c r="E4" s="22" t="s">
        <v>1321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1316</v>
      </c>
      <c r="K4" s="22" t="s">
        <v>34</v>
      </c>
      <c r="L4" s="22" t="s">
        <v>1317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1322</v>
      </c>
      <c r="D5" s="22" t="s">
        <v>1323</v>
      </c>
      <c r="E5" s="22" t="s">
        <v>1324</v>
      </c>
      <c r="F5" s="22" t="s">
        <v>1325</v>
      </c>
      <c r="G5" s="23">
        <v>865</v>
      </c>
      <c r="H5" s="23">
        <v>35</v>
      </c>
      <c r="I5" s="23">
        <f t="shared" si="0"/>
        <v>830</v>
      </c>
      <c r="J5" s="22" t="s">
        <v>1316</v>
      </c>
      <c r="K5" s="22" t="s">
        <v>34</v>
      </c>
      <c r="L5" s="22" t="s">
        <v>1317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1326</v>
      </c>
      <c r="D6" s="22" t="s">
        <v>1327</v>
      </c>
      <c r="E6" s="22" t="s">
        <v>1328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1316</v>
      </c>
      <c r="K6" s="22" t="s">
        <v>34</v>
      </c>
      <c r="L6" s="22" t="s">
        <v>1317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1329</v>
      </c>
      <c r="D7" s="22" t="s">
        <v>1330</v>
      </c>
      <c r="E7" s="22" t="s">
        <v>1328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1316</v>
      </c>
      <c r="K7" s="22" t="s">
        <v>34</v>
      </c>
      <c r="L7" s="22" t="s">
        <v>1317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1331</v>
      </c>
      <c r="D8" s="22" t="s">
        <v>1332</v>
      </c>
      <c r="E8" s="22" t="s">
        <v>1333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1316</v>
      </c>
      <c r="K8" s="22" t="s">
        <v>34</v>
      </c>
      <c r="L8" s="22" t="s">
        <v>1317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1334</v>
      </c>
      <c r="D9" s="22" t="s">
        <v>1335</v>
      </c>
      <c r="E9" s="22" t="s">
        <v>1336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1316</v>
      </c>
      <c r="K9" s="22" t="s">
        <v>34</v>
      </c>
      <c r="L9" s="22" t="s">
        <v>1317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1337</v>
      </c>
      <c r="D10" s="22" t="s">
        <v>1338</v>
      </c>
      <c r="E10" s="22" t="s">
        <v>1339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1316</v>
      </c>
      <c r="K10" s="22" t="s">
        <v>34</v>
      </c>
      <c r="L10" s="22" t="s">
        <v>1317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1337</v>
      </c>
      <c r="D11" s="22" t="s">
        <v>1340</v>
      </c>
      <c r="E11" s="22" t="s">
        <v>1341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1316</v>
      </c>
      <c r="K11" s="22" t="s">
        <v>34</v>
      </c>
      <c r="L11" s="22" t="s">
        <v>1317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1342</v>
      </c>
      <c r="D12" s="22" t="s">
        <v>1343</v>
      </c>
      <c r="E12" s="22" t="s">
        <v>1344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1316</v>
      </c>
      <c r="K12" s="22" t="s">
        <v>34</v>
      </c>
      <c r="L12" s="22" t="s">
        <v>1317</v>
      </c>
      <c r="M12" s="28" t="s">
        <v>1345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1346</v>
      </c>
      <c r="D13" s="22" t="s">
        <v>1347</v>
      </c>
      <c r="E13" s="22" t="s">
        <v>1348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1316</v>
      </c>
      <c r="K13" s="22" t="s">
        <v>34</v>
      </c>
      <c r="L13" s="22" t="s">
        <v>1317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1349</v>
      </c>
      <c r="D14" s="22" t="s">
        <v>1350</v>
      </c>
      <c r="E14" s="22" t="s">
        <v>1351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1316</v>
      </c>
      <c r="K14" s="22" t="s">
        <v>34</v>
      </c>
      <c r="L14" s="22" t="s">
        <v>1317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1352</v>
      </c>
      <c r="D15" s="22" t="s">
        <v>1353</v>
      </c>
      <c r="E15" s="22" t="s">
        <v>1354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1316</v>
      </c>
      <c r="K15" s="22" t="s">
        <v>34</v>
      </c>
      <c r="L15" s="22" t="s">
        <v>1317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1355</v>
      </c>
      <c r="E16" s="22" t="s">
        <v>1356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1316</v>
      </c>
      <c r="K16" s="22" t="s">
        <v>34</v>
      </c>
      <c r="L16" s="22" t="s">
        <v>1317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1357</v>
      </c>
      <c r="D17" s="22" t="s">
        <v>1358</v>
      </c>
      <c r="E17" s="22" t="s">
        <v>1359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1360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1317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1361</v>
      </c>
      <c r="E19" s="22" t="s">
        <v>1362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1363</v>
      </c>
      <c r="D20" s="22" t="s">
        <v>1364</v>
      </c>
      <c r="E20" s="22" t="s">
        <v>1365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1366</v>
      </c>
      <c r="D21" s="22" t="s">
        <v>1367</v>
      </c>
      <c r="E21" s="22" t="s">
        <v>1368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1317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1369</v>
      </c>
      <c r="D22" s="22" t="s">
        <v>1370</v>
      </c>
      <c r="E22" s="22" t="s">
        <v>1371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1317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1372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1317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1373</v>
      </c>
      <c r="D24" s="22" t="s">
        <v>1374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1375</v>
      </c>
      <c r="D25" s="22" t="s">
        <v>1376</v>
      </c>
      <c r="E25" s="22" t="s">
        <v>1377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1378</v>
      </c>
      <c r="D26" s="22" t="s">
        <v>1379</v>
      </c>
      <c r="E26" s="22" t="s">
        <v>1380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1381</v>
      </c>
      <c r="D27" s="22" t="s">
        <v>1382</v>
      </c>
      <c r="E27" s="22" t="s">
        <v>1383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1317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1384</v>
      </c>
      <c r="D28" s="22"/>
      <c r="E28" s="22" t="s">
        <v>1385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1317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1317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1386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1317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1387</v>
      </c>
      <c r="D32" s="22" t="s">
        <v>1388</v>
      </c>
      <c r="E32" s="22" t="s">
        <v>1389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1317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1387</v>
      </c>
      <c r="D33" s="22" t="s">
        <v>1390</v>
      </c>
      <c r="E33" s="22" t="s">
        <v>1391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1317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1392</v>
      </c>
      <c r="D34" s="22" t="s">
        <v>1393</v>
      </c>
      <c r="E34" s="22" t="s">
        <v>1394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1395</v>
      </c>
      <c r="D35" s="22" t="s">
        <v>1396</v>
      </c>
      <c r="E35" s="22" t="s">
        <v>1397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1398</v>
      </c>
      <c r="D36" s="22" t="s">
        <v>1399</v>
      </c>
      <c r="E36" s="22" t="s">
        <v>1400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1401</v>
      </c>
      <c r="D37" s="22" t="s">
        <v>1402</v>
      </c>
      <c r="E37" s="22" t="s">
        <v>1403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1317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1317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1404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1317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 t="shared" ref="G41:R41" si="2">SUBTOTAL(9,G3:G40)</f>
        <v>22630</v>
      </c>
      <c r="H41" s="1">
        <f t="shared" si="2"/>
        <v>950</v>
      </c>
      <c r="I41" s="1">
        <f t="shared" si="2"/>
        <v>21680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1410</v>
      </c>
    </row>
    <row r="45" spans="1:18" ht="20.25" customHeight="1" x14ac:dyDescent="0.3">
      <c r="H45" s="4" t="s">
        <v>1219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1313</v>
      </c>
      <c r="C56" s="36" t="s">
        <v>1314</v>
      </c>
      <c r="D56" s="36" t="s">
        <v>1315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1316</v>
      </c>
      <c r="J56" s="36" t="s">
        <v>34</v>
      </c>
      <c r="K56" s="36" t="s">
        <v>1317</v>
      </c>
      <c r="L56" s="28" t="s">
        <v>1318</v>
      </c>
    </row>
    <row r="57" spans="1:12" x14ac:dyDescent="0.25">
      <c r="A57" s="36" t="s">
        <v>30</v>
      </c>
      <c r="B57" s="36" t="s">
        <v>1342</v>
      </c>
      <c r="C57" s="36" t="s">
        <v>1343</v>
      </c>
      <c r="D57" s="36" t="s">
        <v>1344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1316</v>
      </c>
      <c r="J57" s="36" t="s">
        <v>34</v>
      </c>
      <c r="K57" s="36" t="s">
        <v>1317</v>
      </c>
      <c r="L57" s="28" t="s">
        <v>1345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1405</v>
      </c>
      <c r="C59" s="36" t="s">
        <v>1406</v>
      </c>
      <c r="D59" s="36" t="s">
        <v>1407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1408</v>
      </c>
      <c r="L59" s="28" t="s">
        <v>1409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55"/>
  <sheetViews>
    <sheetView topLeftCell="A28" zoomScale="82" zoomScaleNormal="80" workbookViewId="0">
      <selection activeCell="E37" sqref="E37"/>
    </sheetView>
  </sheetViews>
  <sheetFormatPr defaultRowHeight="15" x14ac:dyDescent="0.25"/>
  <cols>
    <col min="1" max="2" width="9.140625" style="1"/>
    <col min="3" max="3" width="43.285156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1413</v>
      </c>
      <c r="D3" s="22" t="s">
        <v>1414</v>
      </c>
      <c r="E3" s="22" t="s">
        <v>1415</v>
      </c>
      <c r="F3" s="23">
        <v>9</v>
      </c>
      <c r="G3" s="23">
        <v>850</v>
      </c>
      <c r="H3" s="23">
        <v>30</v>
      </c>
      <c r="I3" s="23">
        <f t="shared" ref="I3:I41" si="0">G3-H3</f>
        <v>820</v>
      </c>
      <c r="J3" s="22" t="s">
        <v>33</v>
      </c>
      <c r="K3" s="22" t="s">
        <v>34</v>
      </c>
      <c r="L3" s="22" t="s">
        <v>1416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1417</v>
      </c>
      <c r="D4" s="22" t="s">
        <v>1418</v>
      </c>
      <c r="E4" s="22" t="s">
        <v>1419</v>
      </c>
      <c r="F4" s="23">
        <v>9</v>
      </c>
      <c r="G4" s="23">
        <v>600</v>
      </c>
      <c r="H4" s="23">
        <v>30</v>
      </c>
      <c r="I4" s="23">
        <f t="shared" si="0"/>
        <v>570</v>
      </c>
      <c r="J4" s="22" t="s">
        <v>33</v>
      </c>
      <c r="K4" s="22" t="s">
        <v>34</v>
      </c>
      <c r="L4" s="22" t="s">
        <v>1416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864</v>
      </c>
      <c r="D5" s="22"/>
      <c r="E5" s="22" t="s">
        <v>626</v>
      </c>
      <c r="F5" s="23">
        <v>6</v>
      </c>
      <c r="G5" s="23">
        <v>0</v>
      </c>
      <c r="H5" s="23">
        <v>30</v>
      </c>
      <c r="I5" s="23">
        <f t="shared" si="0"/>
        <v>-30</v>
      </c>
      <c r="J5" s="22" t="s">
        <v>1420</v>
      </c>
      <c r="K5" s="22" t="s">
        <v>34</v>
      </c>
      <c r="L5" s="22" t="s">
        <v>1416</v>
      </c>
      <c r="M5" s="22"/>
      <c r="N5" s="22"/>
      <c r="O5" s="22"/>
      <c r="P5" s="22"/>
      <c r="Q5" s="22">
        <v>1</v>
      </c>
      <c r="R5" s="24">
        <f>H5</f>
        <v>30</v>
      </c>
    </row>
    <row r="6" spans="1:18" s="27" customFormat="1" x14ac:dyDescent="0.25">
      <c r="A6" s="25"/>
      <c r="B6" s="25" t="s">
        <v>30</v>
      </c>
      <c r="C6" s="25" t="s">
        <v>1342</v>
      </c>
      <c r="D6" s="25" t="s">
        <v>1421</v>
      </c>
      <c r="E6" s="25" t="s">
        <v>1344</v>
      </c>
      <c r="F6" s="26">
        <v>8</v>
      </c>
      <c r="G6" s="26">
        <v>380</v>
      </c>
      <c r="H6" s="26">
        <v>30</v>
      </c>
      <c r="I6" s="26">
        <f t="shared" si="0"/>
        <v>350</v>
      </c>
      <c r="J6" s="25" t="s">
        <v>1420</v>
      </c>
      <c r="K6" s="25" t="s">
        <v>34</v>
      </c>
      <c r="L6" s="25" t="s">
        <v>1416</v>
      </c>
      <c r="M6" s="25" t="s">
        <v>139</v>
      </c>
      <c r="N6" s="25"/>
      <c r="O6" s="25"/>
      <c r="P6" s="25"/>
      <c r="Q6" s="25">
        <v>1</v>
      </c>
    </row>
    <row r="7" spans="1:18" customFormat="1" x14ac:dyDescent="0.25">
      <c r="A7" s="22"/>
      <c r="B7" s="22" t="s">
        <v>30</v>
      </c>
      <c r="C7" s="22" t="s">
        <v>1422</v>
      </c>
      <c r="D7" s="22" t="s">
        <v>1423</v>
      </c>
      <c r="E7" s="22" t="s">
        <v>736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1420</v>
      </c>
      <c r="K7" s="22" t="s">
        <v>34</v>
      </c>
      <c r="L7" s="22" t="s">
        <v>1416</v>
      </c>
      <c r="M7" s="22"/>
      <c r="N7" s="22"/>
      <c r="O7" s="22"/>
      <c r="P7" s="22"/>
      <c r="Q7" s="22">
        <v>1</v>
      </c>
      <c r="R7" s="24">
        <f t="shared" ref="R7:R12" si="1">H7</f>
        <v>30</v>
      </c>
    </row>
    <row r="8" spans="1:18" customFormat="1" x14ac:dyDescent="0.25">
      <c r="A8" s="22"/>
      <c r="B8" s="22" t="s">
        <v>30</v>
      </c>
      <c r="C8" s="22" t="s">
        <v>1053</v>
      </c>
      <c r="D8" s="22" t="s">
        <v>1424</v>
      </c>
      <c r="E8" s="22" t="s">
        <v>1055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1420</v>
      </c>
      <c r="K8" s="22" t="s">
        <v>34</v>
      </c>
      <c r="L8" s="22" t="s">
        <v>1416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/>
      <c r="B9" s="22" t="s">
        <v>30</v>
      </c>
      <c r="C9" s="22" t="s">
        <v>1425</v>
      </c>
      <c r="D9" s="22" t="s">
        <v>1426</v>
      </c>
      <c r="E9" s="22" t="s">
        <v>1427</v>
      </c>
      <c r="F9" s="23">
        <v>7</v>
      </c>
      <c r="G9" s="23">
        <v>0</v>
      </c>
      <c r="H9" s="23">
        <v>30</v>
      </c>
      <c r="I9" s="23">
        <f t="shared" si="0"/>
        <v>-30</v>
      </c>
      <c r="J9" s="22" t="s">
        <v>1420</v>
      </c>
      <c r="K9" s="22" t="s">
        <v>34</v>
      </c>
      <c r="L9" s="22" t="s">
        <v>1416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1428</v>
      </c>
      <c r="D10" s="22" t="s">
        <v>1429</v>
      </c>
      <c r="E10" s="22" t="s">
        <v>626</v>
      </c>
      <c r="F10" s="23">
        <v>6</v>
      </c>
      <c r="G10" s="23">
        <v>0</v>
      </c>
      <c r="H10" s="23">
        <v>25</v>
      </c>
      <c r="I10" s="23">
        <f t="shared" si="0"/>
        <v>-25</v>
      </c>
      <c r="J10" s="22" t="s">
        <v>1420</v>
      </c>
      <c r="K10" s="22" t="s">
        <v>34</v>
      </c>
      <c r="L10" s="22" t="s">
        <v>1416</v>
      </c>
      <c r="M10" s="22"/>
      <c r="N10" s="22"/>
      <c r="O10" s="22"/>
      <c r="P10" s="22"/>
      <c r="Q10" s="22">
        <v>1</v>
      </c>
      <c r="R10" s="24">
        <f t="shared" si="1"/>
        <v>25</v>
      </c>
    </row>
    <row r="11" spans="1:18" customFormat="1" x14ac:dyDescent="0.25">
      <c r="A11" s="22"/>
      <c r="B11" s="22" t="s">
        <v>30</v>
      </c>
      <c r="C11" s="22" t="s">
        <v>1430</v>
      </c>
      <c r="D11" s="22" t="s">
        <v>1431</v>
      </c>
      <c r="E11" s="22" t="s">
        <v>1432</v>
      </c>
      <c r="F11" s="22" t="s">
        <v>39</v>
      </c>
      <c r="G11" s="23">
        <v>0</v>
      </c>
      <c r="H11" s="23">
        <v>30</v>
      </c>
      <c r="I11" s="23">
        <f t="shared" si="0"/>
        <v>-30</v>
      </c>
      <c r="J11" s="22" t="s">
        <v>1420</v>
      </c>
      <c r="K11" s="22" t="s">
        <v>34</v>
      </c>
      <c r="L11" s="22" t="s">
        <v>1416</v>
      </c>
      <c r="M11" s="22"/>
      <c r="N11" s="22"/>
      <c r="O11" s="22"/>
      <c r="P11" s="22"/>
      <c r="Q11" s="22">
        <v>1</v>
      </c>
      <c r="R11" s="24">
        <f t="shared" si="1"/>
        <v>30</v>
      </c>
    </row>
    <row r="12" spans="1:18" customFormat="1" x14ac:dyDescent="0.25">
      <c r="A12" s="22"/>
      <c r="B12" s="22" t="s">
        <v>30</v>
      </c>
      <c r="C12" s="22" t="s">
        <v>1433</v>
      </c>
      <c r="D12" s="22" t="s">
        <v>1434</v>
      </c>
      <c r="E12" s="22" t="s">
        <v>1435</v>
      </c>
      <c r="F12" s="22" t="s">
        <v>39</v>
      </c>
      <c r="G12" s="23">
        <v>0</v>
      </c>
      <c r="H12" s="23">
        <v>30</v>
      </c>
      <c r="I12" s="23">
        <f t="shared" si="0"/>
        <v>-30</v>
      </c>
      <c r="J12" s="22" t="s">
        <v>1420</v>
      </c>
      <c r="K12" s="22" t="s">
        <v>34</v>
      </c>
      <c r="L12" s="22" t="s">
        <v>1416</v>
      </c>
      <c r="M12" s="22"/>
      <c r="N12" s="22"/>
      <c r="O12" s="22"/>
      <c r="P12" s="22"/>
      <c r="Q12" s="22">
        <v>1</v>
      </c>
      <c r="R12" s="24">
        <f t="shared" si="1"/>
        <v>30</v>
      </c>
    </row>
    <row r="13" spans="1:18" s="27" customFormat="1" x14ac:dyDescent="0.25">
      <c r="A13" s="25"/>
      <c r="B13" s="25" t="s">
        <v>30</v>
      </c>
      <c r="C13" s="25" t="s">
        <v>1436</v>
      </c>
      <c r="D13" s="25"/>
      <c r="E13" s="25" t="s">
        <v>1437</v>
      </c>
      <c r="F13" s="25" t="s">
        <v>152</v>
      </c>
      <c r="G13" s="26">
        <v>0</v>
      </c>
      <c r="H13" s="26">
        <v>35</v>
      </c>
      <c r="I13" s="26">
        <f t="shared" si="0"/>
        <v>-35</v>
      </c>
      <c r="J13" s="25" t="s">
        <v>1420</v>
      </c>
      <c r="K13" s="25" t="s">
        <v>34</v>
      </c>
      <c r="L13" s="25" t="s">
        <v>1416</v>
      </c>
      <c r="M13" s="25" t="s">
        <v>139</v>
      </c>
      <c r="N13" s="25"/>
      <c r="O13" s="25"/>
      <c r="P13" s="25"/>
      <c r="Q13" s="25">
        <v>1</v>
      </c>
      <c r="R13" s="31">
        <f>H13</f>
        <v>35</v>
      </c>
    </row>
    <row r="14" spans="1:18" customFormat="1" x14ac:dyDescent="0.25">
      <c r="A14" s="22"/>
      <c r="B14" s="22" t="s">
        <v>30</v>
      </c>
      <c r="C14" s="22" t="s">
        <v>1273</v>
      </c>
      <c r="D14" s="22" t="s">
        <v>1438</v>
      </c>
      <c r="E14" s="22" t="s">
        <v>1439</v>
      </c>
      <c r="F14" s="23">
        <v>8</v>
      </c>
      <c r="G14" s="23">
        <v>980</v>
      </c>
      <c r="H14" s="23">
        <v>30</v>
      </c>
      <c r="I14" s="23">
        <f t="shared" si="0"/>
        <v>950</v>
      </c>
      <c r="J14" s="22" t="s">
        <v>1420</v>
      </c>
      <c r="K14" s="22" t="s">
        <v>34</v>
      </c>
      <c r="L14" s="22" t="s">
        <v>1416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1440</v>
      </c>
      <c r="D15" s="22" t="s">
        <v>1441</v>
      </c>
      <c r="E15" s="22" t="s">
        <v>1442</v>
      </c>
      <c r="F15" s="23">
        <v>8</v>
      </c>
      <c r="G15" s="23">
        <v>380</v>
      </c>
      <c r="H15" s="23">
        <v>30</v>
      </c>
      <c r="I15" s="23">
        <f t="shared" si="0"/>
        <v>350</v>
      </c>
      <c r="J15" s="22" t="s">
        <v>1420</v>
      </c>
      <c r="K15" s="22" t="s">
        <v>34</v>
      </c>
      <c r="L15" s="22" t="s">
        <v>1416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1443</v>
      </c>
      <c r="D16" s="22" t="s">
        <v>1444</v>
      </c>
      <c r="E16" s="22" t="s">
        <v>1445</v>
      </c>
      <c r="F16" s="22" t="s">
        <v>152</v>
      </c>
      <c r="G16" s="23">
        <v>695</v>
      </c>
      <c r="H16" s="23">
        <v>35</v>
      </c>
      <c r="I16" s="23">
        <f t="shared" si="0"/>
        <v>660</v>
      </c>
      <c r="J16" s="22" t="s">
        <v>1420</v>
      </c>
      <c r="K16" s="22" t="s">
        <v>34</v>
      </c>
      <c r="L16" s="22" t="s">
        <v>1416</v>
      </c>
      <c r="M16" s="28" t="s">
        <v>360</v>
      </c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1446</v>
      </c>
      <c r="D17" s="22" t="s">
        <v>1447</v>
      </c>
      <c r="E17" s="22" t="s">
        <v>1448</v>
      </c>
      <c r="F17" s="22" t="s">
        <v>152</v>
      </c>
      <c r="G17" s="23">
        <v>820</v>
      </c>
      <c r="H17" s="23">
        <v>0</v>
      </c>
      <c r="I17" s="23">
        <f t="shared" si="0"/>
        <v>820</v>
      </c>
      <c r="J17" s="22" t="s">
        <v>1420</v>
      </c>
      <c r="K17" s="22" t="s">
        <v>34</v>
      </c>
      <c r="L17" s="22" t="s">
        <v>1416</v>
      </c>
      <c r="M17" s="28" t="s">
        <v>360</v>
      </c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1449</v>
      </c>
      <c r="D18" s="22" t="s">
        <v>1450</v>
      </c>
      <c r="E18" s="22" t="s">
        <v>1451</v>
      </c>
      <c r="F18" s="23">
        <v>7</v>
      </c>
      <c r="G18" s="23">
        <v>980</v>
      </c>
      <c r="H18" s="23">
        <v>30</v>
      </c>
      <c r="I18" s="23">
        <f t="shared" si="0"/>
        <v>950</v>
      </c>
      <c r="J18" s="22" t="s">
        <v>1420</v>
      </c>
      <c r="K18" s="22" t="s">
        <v>34</v>
      </c>
      <c r="L18" s="22" t="s">
        <v>1416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1452</v>
      </c>
      <c r="D19" s="22" t="s">
        <v>1453</v>
      </c>
      <c r="E19" s="22" t="s">
        <v>1454</v>
      </c>
      <c r="F19" s="23">
        <v>11</v>
      </c>
      <c r="G19" s="23">
        <v>985</v>
      </c>
      <c r="H19" s="23">
        <v>25</v>
      </c>
      <c r="I19" s="23">
        <f t="shared" si="0"/>
        <v>960</v>
      </c>
      <c r="J19" s="22" t="s">
        <v>1420</v>
      </c>
      <c r="K19" s="22" t="s">
        <v>34</v>
      </c>
      <c r="L19" s="22" t="s">
        <v>1416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1455</v>
      </c>
      <c r="D20" s="22"/>
      <c r="E20" s="22" t="s">
        <v>253</v>
      </c>
      <c r="F20" s="23">
        <v>12</v>
      </c>
      <c r="G20" s="23">
        <v>0</v>
      </c>
      <c r="H20" s="23">
        <v>60</v>
      </c>
      <c r="I20" s="23">
        <f t="shared" si="0"/>
        <v>-60</v>
      </c>
      <c r="J20" s="22" t="s">
        <v>34</v>
      </c>
      <c r="K20" s="22" t="s">
        <v>34</v>
      </c>
      <c r="L20" s="22" t="s">
        <v>1416</v>
      </c>
      <c r="M20" s="22"/>
      <c r="N20" s="22"/>
      <c r="O20" s="22"/>
      <c r="P20" s="22"/>
      <c r="Q20" s="22">
        <v>1</v>
      </c>
      <c r="R20" s="24">
        <f>H20</f>
        <v>60</v>
      </c>
    </row>
    <row r="21" spans="1:18" customFormat="1" x14ac:dyDescent="0.25">
      <c r="A21" s="22" t="s">
        <v>29</v>
      </c>
      <c r="B21" s="22" t="s">
        <v>30</v>
      </c>
      <c r="C21" s="22" t="s">
        <v>351</v>
      </c>
      <c r="D21" s="22"/>
      <c r="E21" s="22" t="s">
        <v>352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1416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1384</v>
      </c>
      <c r="D22" s="22"/>
      <c r="E22" s="22" t="s">
        <v>1385</v>
      </c>
      <c r="F22" s="23">
        <v>12</v>
      </c>
      <c r="G22" s="23">
        <v>595</v>
      </c>
      <c r="H22" s="23">
        <v>35</v>
      </c>
      <c r="I22" s="23">
        <f t="shared" si="0"/>
        <v>560</v>
      </c>
      <c r="J22" s="22" t="s">
        <v>34</v>
      </c>
      <c r="K22" s="22" t="s">
        <v>34</v>
      </c>
      <c r="L22" s="22" t="s">
        <v>1416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1456</v>
      </c>
      <c r="D23" s="22" t="s">
        <v>1457</v>
      </c>
      <c r="E23" s="22" t="s">
        <v>1458</v>
      </c>
      <c r="F23" s="23">
        <v>2</v>
      </c>
      <c r="G23" s="23">
        <v>890</v>
      </c>
      <c r="H23" s="23">
        <v>30</v>
      </c>
      <c r="I23" s="23">
        <f t="shared" si="0"/>
        <v>860</v>
      </c>
      <c r="J23" s="22" t="s">
        <v>34</v>
      </c>
      <c r="K23" s="22" t="s">
        <v>34</v>
      </c>
      <c r="L23" s="22" t="s">
        <v>1416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993</v>
      </c>
      <c r="D24" s="22" t="s">
        <v>1459</v>
      </c>
      <c r="E24" s="22" t="s">
        <v>995</v>
      </c>
      <c r="F24" s="23">
        <v>2</v>
      </c>
      <c r="G24" s="23">
        <v>380</v>
      </c>
      <c r="H24" s="23">
        <v>30</v>
      </c>
      <c r="I24" s="23">
        <f t="shared" si="0"/>
        <v>350</v>
      </c>
      <c r="J24" s="22" t="s">
        <v>34</v>
      </c>
      <c r="K24" s="22" t="s">
        <v>34</v>
      </c>
      <c r="L24" s="22" t="s">
        <v>1416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1460</v>
      </c>
      <c r="D25" s="22" t="s">
        <v>1461</v>
      </c>
      <c r="E25" s="22" t="s">
        <v>1462</v>
      </c>
      <c r="F25" s="23">
        <v>2</v>
      </c>
      <c r="G25" s="23">
        <v>1020</v>
      </c>
      <c r="H25" s="23">
        <v>30</v>
      </c>
      <c r="I25" s="23">
        <f t="shared" si="0"/>
        <v>990</v>
      </c>
      <c r="J25" s="22" t="s">
        <v>34</v>
      </c>
      <c r="K25" s="22" t="s">
        <v>34</v>
      </c>
      <c r="L25" s="22" t="s">
        <v>1416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1463</v>
      </c>
      <c r="D26" s="22" t="s">
        <v>1464</v>
      </c>
      <c r="E26" s="22" t="s">
        <v>1465</v>
      </c>
      <c r="F26" s="22" t="s">
        <v>94</v>
      </c>
      <c r="G26" s="23">
        <v>0</v>
      </c>
      <c r="H26" s="23">
        <v>30</v>
      </c>
      <c r="I26" s="23">
        <f t="shared" si="0"/>
        <v>-30</v>
      </c>
      <c r="J26" s="22" t="s">
        <v>34</v>
      </c>
      <c r="K26" s="22" t="s">
        <v>34</v>
      </c>
      <c r="L26" s="22" t="s">
        <v>1416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1466</v>
      </c>
      <c r="D27" s="25" t="s">
        <v>1467</v>
      </c>
      <c r="E27" s="25" t="s">
        <v>1468</v>
      </c>
      <c r="F27" s="25" t="s">
        <v>90</v>
      </c>
      <c r="G27" s="26">
        <v>295</v>
      </c>
      <c r="H27" s="26">
        <v>25</v>
      </c>
      <c r="I27" s="26">
        <f t="shared" si="0"/>
        <v>270</v>
      </c>
      <c r="J27" s="25" t="s">
        <v>34</v>
      </c>
      <c r="K27" s="25" t="s">
        <v>34</v>
      </c>
      <c r="L27" s="25" t="s">
        <v>1416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1469</v>
      </c>
      <c r="D28" s="22" t="s">
        <v>1470</v>
      </c>
      <c r="E28" s="22" t="s">
        <v>1471</v>
      </c>
      <c r="F28" s="22" t="s">
        <v>98</v>
      </c>
      <c r="G28" s="23">
        <v>1190</v>
      </c>
      <c r="H28" s="23">
        <v>20</v>
      </c>
      <c r="I28" s="23">
        <f t="shared" si="0"/>
        <v>1170</v>
      </c>
      <c r="J28" s="22" t="s">
        <v>34</v>
      </c>
      <c r="K28" s="22" t="s">
        <v>34</v>
      </c>
      <c r="L28" s="22" t="s">
        <v>1416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469</v>
      </c>
      <c r="D29" s="22" t="s">
        <v>1472</v>
      </c>
      <c r="E29" s="22" t="s">
        <v>1473</v>
      </c>
      <c r="F29" s="22" t="s">
        <v>90</v>
      </c>
      <c r="G29" s="23">
        <v>0</v>
      </c>
      <c r="H29" s="23">
        <v>25</v>
      </c>
      <c r="I29" s="23">
        <f t="shared" si="0"/>
        <v>-25</v>
      </c>
      <c r="J29" s="22" t="s">
        <v>34</v>
      </c>
      <c r="K29" s="22" t="s">
        <v>34</v>
      </c>
      <c r="L29" s="22" t="s">
        <v>1416</v>
      </c>
      <c r="M29" s="22"/>
      <c r="N29" s="22"/>
      <c r="O29" s="22"/>
      <c r="P29" s="22"/>
      <c r="Q29" s="22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1474</v>
      </c>
      <c r="D30" s="22" t="s">
        <v>1475</v>
      </c>
      <c r="E30" s="22" t="s">
        <v>1476</v>
      </c>
      <c r="F30" s="22" t="s">
        <v>90</v>
      </c>
      <c r="G30" s="23">
        <v>885</v>
      </c>
      <c r="H30" s="23">
        <v>25</v>
      </c>
      <c r="I30" s="23">
        <f t="shared" si="0"/>
        <v>860</v>
      </c>
      <c r="J30" s="22" t="s">
        <v>34</v>
      </c>
      <c r="K30" s="22" t="s">
        <v>34</v>
      </c>
      <c r="L30" s="22" t="s">
        <v>1416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1477</v>
      </c>
      <c r="D31" s="22" t="s">
        <v>1478</v>
      </c>
      <c r="E31" s="22" t="s">
        <v>1479</v>
      </c>
      <c r="F31" s="22" t="s">
        <v>90</v>
      </c>
      <c r="G31" s="23">
        <v>915</v>
      </c>
      <c r="H31" s="23">
        <v>25</v>
      </c>
      <c r="I31" s="23">
        <f t="shared" si="0"/>
        <v>890</v>
      </c>
      <c r="J31" s="22" t="s">
        <v>34</v>
      </c>
      <c r="K31" s="22" t="s">
        <v>34</v>
      </c>
      <c r="L31" s="22" t="s">
        <v>1416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1480</v>
      </c>
      <c r="D32" s="22" t="s">
        <v>1481</v>
      </c>
      <c r="E32" s="22" t="s">
        <v>1482</v>
      </c>
      <c r="F32" s="22" t="s">
        <v>90</v>
      </c>
      <c r="G32" s="23">
        <v>815</v>
      </c>
      <c r="H32" s="23">
        <v>25</v>
      </c>
      <c r="I32" s="23">
        <f t="shared" si="0"/>
        <v>790</v>
      </c>
      <c r="J32" s="22" t="s">
        <v>34</v>
      </c>
      <c r="K32" s="22" t="s">
        <v>34</v>
      </c>
      <c r="L32" s="22" t="s">
        <v>1416</v>
      </c>
      <c r="M32" s="22"/>
      <c r="N32" s="22"/>
      <c r="O32" s="22"/>
      <c r="P32" s="22"/>
      <c r="Q32" s="22">
        <v>1</v>
      </c>
    </row>
    <row r="33" spans="1:18" customFormat="1" x14ac:dyDescent="0.25">
      <c r="A33" s="22" t="s">
        <v>29</v>
      </c>
      <c r="B33" s="22" t="s">
        <v>30</v>
      </c>
      <c r="C33" s="22" t="s">
        <v>1483</v>
      </c>
      <c r="D33" s="22"/>
      <c r="E33" s="22" t="s">
        <v>493</v>
      </c>
      <c r="F33" s="22" t="s">
        <v>108</v>
      </c>
      <c r="G33" s="23">
        <v>0</v>
      </c>
      <c r="H33" s="23">
        <v>30</v>
      </c>
      <c r="I33" s="23">
        <f t="shared" si="0"/>
        <v>-30</v>
      </c>
      <c r="J33" s="22" t="s">
        <v>148</v>
      </c>
      <c r="K33" s="22" t="s">
        <v>34</v>
      </c>
      <c r="L33" s="22" t="s">
        <v>1416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 t="s">
        <v>29</v>
      </c>
      <c r="B34" s="22" t="s">
        <v>30</v>
      </c>
      <c r="C34" s="22" t="s">
        <v>1484</v>
      </c>
      <c r="D34" s="22"/>
      <c r="E34" s="22" t="s">
        <v>1485</v>
      </c>
      <c r="F34" s="22" t="s">
        <v>108</v>
      </c>
      <c r="G34" s="23">
        <v>30</v>
      </c>
      <c r="H34" s="23">
        <v>30</v>
      </c>
      <c r="I34" s="23">
        <f t="shared" si="0"/>
        <v>0</v>
      </c>
      <c r="J34" s="22" t="s">
        <v>148</v>
      </c>
      <c r="K34" s="22" t="s">
        <v>34</v>
      </c>
      <c r="L34" s="22" t="s">
        <v>1416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1486</v>
      </c>
      <c r="D35" s="22" t="s">
        <v>1487</v>
      </c>
      <c r="E35" s="22" t="s">
        <v>1488</v>
      </c>
      <c r="F35" s="22" t="s">
        <v>108</v>
      </c>
      <c r="G35" s="23">
        <v>0</v>
      </c>
      <c r="H35" s="23">
        <v>25</v>
      </c>
      <c r="I35" s="23">
        <f t="shared" si="0"/>
        <v>-25</v>
      </c>
      <c r="J35" s="22" t="s">
        <v>148</v>
      </c>
      <c r="K35" s="22" t="s">
        <v>34</v>
      </c>
      <c r="L35" s="22" t="s">
        <v>1416</v>
      </c>
      <c r="M35" s="22"/>
      <c r="N35" s="22"/>
      <c r="O35" s="22"/>
      <c r="P35" s="22"/>
      <c r="Q35" s="22">
        <v>1</v>
      </c>
      <c r="R35" s="24">
        <f>H35</f>
        <v>25</v>
      </c>
    </row>
    <row r="36" spans="1:18" customFormat="1" x14ac:dyDescent="0.25">
      <c r="A36" s="22"/>
      <c r="B36" s="22" t="s">
        <v>30</v>
      </c>
      <c r="C36" s="22" t="s">
        <v>1489</v>
      </c>
      <c r="D36" s="22" t="s">
        <v>1490</v>
      </c>
      <c r="E36" s="22" t="s">
        <v>1491</v>
      </c>
      <c r="F36" s="23">
        <v>4</v>
      </c>
      <c r="G36" s="23">
        <v>1075</v>
      </c>
      <c r="H36" s="23">
        <v>25</v>
      </c>
      <c r="I36" s="23">
        <f t="shared" si="0"/>
        <v>1050</v>
      </c>
      <c r="J36" s="22" t="s">
        <v>148</v>
      </c>
      <c r="K36" s="22" t="s">
        <v>34</v>
      </c>
      <c r="L36" s="22" t="s">
        <v>1416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595</v>
      </c>
      <c r="D37" s="22" t="s">
        <v>1492</v>
      </c>
      <c r="E37" s="22" t="s">
        <v>597</v>
      </c>
      <c r="F37" s="23">
        <v>5</v>
      </c>
      <c r="G37" s="23">
        <v>1065</v>
      </c>
      <c r="H37" s="23">
        <v>25</v>
      </c>
      <c r="I37" s="23">
        <f t="shared" si="0"/>
        <v>1040</v>
      </c>
      <c r="J37" s="22" t="s">
        <v>148</v>
      </c>
      <c r="K37" s="22" t="s">
        <v>34</v>
      </c>
      <c r="L37" s="22" t="s">
        <v>1416</v>
      </c>
      <c r="M37" s="22"/>
      <c r="N37" s="22"/>
      <c r="O37" s="22"/>
      <c r="P37" s="22"/>
      <c r="Q37" s="22">
        <v>1</v>
      </c>
    </row>
    <row r="38" spans="1:18" s="27" customFormat="1" x14ac:dyDescent="0.25">
      <c r="A38" s="25"/>
      <c r="B38" s="25" t="s">
        <v>30</v>
      </c>
      <c r="C38" s="25" t="s">
        <v>1493</v>
      </c>
      <c r="D38" s="25" t="s">
        <v>1494</v>
      </c>
      <c r="E38" s="25" t="s">
        <v>1495</v>
      </c>
      <c r="F38" s="26">
        <v>3</v>
      </c>
      <c r="G38" s="26">
        <v>25</v>
      </c>
      <c r="H38" s="26">
        <v>25</v>
      </c>
      <c r="I38" s="26">
        <f t="shared" si="0"/>
        <v>0</v>
      </c>
      <c r="J38" s="25" t="s">
        <v>148</v>
      </c>
      <c r="K38" s="25" t="s">
        <v>34</v>
      </c>
      <c r="L38" s="25" t="s">
        <v>1416</v>
      </c>
      <c r="M38" s="25" t="s">
        <v>139</v>
      </c>
      <c r="N38" s="25"/>
      <c r="O38" s="25"/>
      <c r="P38" s="25"/>
      <c r="Q38" s="25">
        <v>1</v>
      </c>
    </row>
    <row r="39" spans="1:18" customFormat="1" x14ac:dyDescent="0.25">
      <c r="A39" s="22"/>
      <c r="B39" s="22" t="s">
        <v>30</v>
      </c>
      <c r="C39" s="22" t="s">
        <v>1496</v>
      </c>
      <c r="D39" s="22" t="s">
        <v>1497</v>
      </c>
      <c r="E39" s="22" t="s">
        <v>1498</v>
      </c>
      <c r="F39" s="23">
        <v>1</v>
      </c>
      <c r="G39" s="23">
        <v>915</v>
      </c>
      <c r="H39" s="23">
        <v>25</v>
      </c>
      <c r="I39" s="23">
        <f t="shared" si="0"/>
        <v>890</v>
      </c>
      <c r="J39" s="22" t="s">
        <v>148</v>
      </c>
      <c r="K39" s="22" t="s">
        <v>34</v>
      </c>
      <c r="L39" s="22" t="s">
        <v>1416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1499</v>
      </c>
      <c r="D40" s="22" t="s">
        <v>1500</v>
      </c>
      <c r="E40" s="22" t="s">
        <v>1501</v>
      </c>
      <c r="F40" s="23">
        <v>3</v>
      </c>
      <c r="G40" s="23">
        <v>765</v>
      </c>
      <c r="H40" s="23">
        <v>25</v>
      </c>
      <c r="I40" s="23">
        <f t="shared" si="0"/>
        <v>740</v>
      </c>
      <c r="J40" s="22" t="s">
        <v>148</v>
      </c>
      <c r="K40" s="22" t="s">
        <v>34</v>
      </c>
      <c r="L40" s="22" t="s">
        <v>1416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1502</v>
      </c>
      <c r="D41" s="22" t="s">
        <v>1503</v>
      </c>
      <c r="E41" s="22" t="s">
        <v>1504</v>
      </c>
      <c r="F41" s="23">
        <v>1</v>
      </c>
      <c r="G41" s="23">
        <v>855</v>
      </c>
      <c r="H41" s="23">
        <v>25</v>
      </c>
      <c r="I41" s="23">
        <f t="shared" si="0"/>
        <v>830</v>
      </c>
      <c r="J41" s="22" t="s">
        <v>148</v>
      </c>
      <c r="K41" s="22" t="s">
        <v>34</v>
      </c>
      <c r="L41" s="22" t="s">
        <v>1416</v>
      </c>
      <c r="M41" s="22"/>
      <c r="N41" s="22"/>
      <c r="O41" s="22"/>
      <c r="P41" s="22"/>
      <c r="Q41" s="22">
        <v>1</v>
      </c>
    </row>
    <row r="43" spans="1:18" x14ac:dyDescent="0.25">
      <c r="G43" s="1">
        <f t="shared" ref="G43:R43" si="2">SUBTOTAL(9,G3:G42)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  <c r="R43" s="1">
        <f t="shared" si="2"/>
        <v>410</v>
      </c>
    </row>
    <row r="47" spans="1:18" ht="20.25" customHeight="1" x14ac:dyDescent="0.3">
      <c r="H47" s="4" t="s">
        <v>1312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17310</v>
      </c>
      <c r="J48" s="8">
        <f>Q43</f>
        <v>39</v>
      </c>
    </row>
    <row r="49" spans="8:10" x14ac:dyDescent="0.25">
      <c r="H49" s="9" t="s">
        <v>18</v>
      </c>
      <c r="I49" s="10">
        <f>R43</f>
        <v>410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17720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52C0-C941-442A-A413-82BE1FD6C446}">
  <dimension ref="A1:R70"/>
  <sheetViews>
    <sheetView topLeftCell="A35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1411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1412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7EC-9F26-4C4B-8BF1-26CBB7F3ED40}">
  <dimension ref="A1:R70"/>
  <sheetViews>
    <sheetView tabSelected="1" zoomScale="82" zoomScaleNormal="80" workbookViewId="0">
      <selection activeCell="C1" sqref="C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1506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1505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  <vt:lpstr>19-5</vt:lpstr>
      <vt:lpstr>20-5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2026-05-19T07:23:27Z</dcterms:modified>
</cp:coreProperties>
</file>