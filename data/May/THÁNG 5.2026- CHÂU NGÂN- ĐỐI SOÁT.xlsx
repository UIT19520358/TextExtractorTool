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9C41E2E2-63DA-484F-9441-1533B6076FB4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  <sheet name="8-5" sheetId="8" r:id="rId6"/>
    <sheet name="9-5" sheetId="9" r:id="rId7"/>
    <sheet name="11-5" sheetId="10" r:id="rId8"/>
    <sheet name="12-5" sheetId="11" r:id="rId9"/>
  </sheets>
  <definedNames>
    <definedName name="_xlnm._FilterDatabase" localSheetId="7" hidden="1">'11-5'!$A$2:$P$56</definedName>
    <definedName name="_xlnm._FilterDatabase" localSheetId="8" hidden="1">'12-5'!$A$2:$P$56</definedName>
    <definedName name="_xlnm._FilterDatabase" localSheetId="0" hidden="1">'1-5'!$A$2:$P$56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'7-5'!$A$2:$P$36</definedName>
    <definedName name="_xlnm._FilterDatabase" localSheetId="5" hidden="1">'8-5'!$A$2:$P$38</definedName>
    <definedName name="_xlnm._FilterDatabase" localSheetId="6" hidden="1">'9-5'!$A$2:$P$33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7" i="11" l="1"/>
  <c r="I66" i="11"/>
  <c r="I65" i="11"/>
  <c r="R58" i="11"/>
  <c r="I64" i="11" s="1"/>
  <c r="Q58" i="11"/>
  <c r="J63" i="11" s="1"/>
  <c r="J70" i="11" s="1"/>
  <c r="P58" i="11"/>
  <c r="O58" i="11"/>
  <c r="N58" i="11"/>
  <c r="M58" i="11"/>
  <c r="L58" i="11"/>
  <c r="K58" i="11"/>
  <c r="J58" i="11"/>
  <c r="I58" i="11"/>
  <c r="I63" i="11" s="1"/>
  <c r="H58" i="11"/>
  <c r="G58" i="11"/>
  <c r="H50" i="9"/>
  <c r="R33" i="9"/>
  <c r="I33" i="9"/>
  <c r="I32" i="9"/>
  <c r="I31" i="9"/>
  <c r="R30" i="9"/>
  <c r="I30" i="9"/>
  <c r="I29" i="9"/>
  <c r="R28" i="9"/>
  <c r="I28" i="9"/>
  <c r="I27" i="9"/>
  <c r="R26" i="9"/>
  <c r="I26" i="9"/>
  <c r="I25" i="9"/>
  <c r="I24" i="9"/>
  <c r="I23" i="9"/>
  <c r="I22" i="9"/>
  <c r="R21" i="9"/>
  <c r="I21" i="9"/>
  <c r="I20" i="9"/>
  <c r="R19" i="9"/>
  <c r="I19" i="9"/>
  <c r="I18" i="9"/>
  <c r="I17" i="9"/>
  <c r="I16" i="9"/>
  <c r="R15" i="9"/>
  <c r="I15" i="9"/>
  <c r="I14" i="9"/>
  <c r="R13" i="9"/>
  <c r="I13" i="9"/>
  <c r="I12" i="9"/>
  <c r="I11" i="9"/>
  <c r="I10" i="9"/>
  <c r="R9" i="9"/>
  <c r="I9" i="9"/>
  <c r="I8" i="9"/>
  <c r="R7" i="9"/>
  <c r="I7" i="9"/>
  <c r="I6" i="9"/>
  <c r="I5" i="9"/>
  <c r="I4" i="9"/>
  <c r="I3" i="9"/>
  <c r="I70" i="11" l="1"/>
  <c r="I67" i="10"/>
  <c r="I66" i="10"/>
  <c r="I65" i="10"/>
  <c r="R58" i="10"/>
  <c r="I64" i="10" s="1"/>
  <c r="Q58" i="10"/>
  <c r="J63" i="10" s="1"/>
  <c r="J70" i="10" s="1"/>
  <c r="P58" i="10"/>
  <c r="O58" i="10"/>
  <c r="N58" i="10"/>
  <c r="M58" i="10"/>
  <c r="L58" i="10"/>
  <c r="K58" i="10"/>
  <c r="J58" i="10"/>
  <c r="I58" i="10"/>
  <c r="I63" i="10" s="1"/>
  <c r="H58" i="10"/>
  <c r="G58" i="10"/>
  <c r="I44" i="9"/>
  <c r="I43" i="9"/>
  <c r="I42" i="9"/>
  <c r="R35" i="9"/>
  <c r="I41" i="9" s="1"/>
  <c r="Q35" i="9"/>
  <c r="J40" i="9" s="1"/>
  <c r="J47" i="9" s="1"/>
  <c r="P35" i="9"/>
  <c r="O35" i="9"/>
  <c r="N35" i="9"/>
  <c r="M35" i="9"/>
  <c r="L35" i="9"/>
  <c r="K35" i="9"/>
  <c r="J35" i="9"/>
  <c r="I35" i="9"/>
  <c r="I40" i="9" s="1"/>
  <c r="H35" i="9"/>
  <c r="G35" i="9"/>
  <c r="H55" i="8"/>
  <c r="I70" i="10" l="1"/>
  <c r="I47" i="9"/>
  <c r="R36" i="7"/>
  <c r="I36" i="7"/>
  <c r="R35" i="7"/>
  <c r="I35" i="7"/>
  <c r="R34" i="7"/>
  <c r="I34" i="7"/>
  <c r="I33" i="7"/>
  <c r="I32" i="7"/>
  <c r="R31" i="7"/>
  <c r="I31" i="7"/>
  <c r="I30" i="7"/>
  <c r="I29" i="7"/>
  <c r="I28" i="7"/>
  <c r="R27" i="7"/>
  <c r="I27" i="7"/>
  <c r="I26" i="7"/>
  <c r="I25" i="7"/>
  <c r="I24" i="7"/>
  <c r="I23" i="7"/>
  <c r="R22" i="7"/>
  <c r="I22" i="7"/>
  <c r="I21" i="7"/>
  <c r="R20" i="7"/>
  <c r="I20" i="7"/>
  <c r="R19" i="7"/>
  <c r="I19" i="7"/>
  <c r="I18" i="7"/>
  <c r="R17" i="7"/>
  <c r="I17" i="7"/>
  <c r="R16" i="7"/>
  <c r="I16" i="7"/>
  <c r="I15" i="7"/>
  <c r="I14" i="7"/>
  <c r="R13" i="7"/>
  <c r="I13" i="7"/>
  <c r="I12" i="7"/>
  <c r="I11" i="7"/>
  <c r="I10" i="7"/>
  <c r="R9" i="7"/>
  <c r="I9" i="7"/>
  <c r="I8" i="7"/>
  <c r="I7" i="7"/>
  <c r="I6" i="7"/>
  <c r="R5" i="7"/>
  <c r="I5" i="7"/>
  <c r="I4" i="7"/>
  <c r="I3" i="7"/>
  <c r="I49" i="8"/>
  <c r="I48" i="8"/>
  <c r="I47" i="8"/>
  <c r="R40" i="8"/>
  <c r="I46" i="8" s="1"/>
  <c r="Q40" i="8"/>
  <c r="J45" i="8" s="1"/>
  <c r="J52" i="8" s="1"/>
  <c r="P40" i="8"/>
  <c r="O40" i="8"/>
  <c r="N40" i="8"/>
  <c r="M40" i="8"/>
  <c r="L40" i="8"/>
  <c r="K40" i="8"/>
  <c r="J40" i="8"/>
  <c r="I40" i="8"/>
  <c r="I45" i="8" s="1"/>
  <c r="H40" i="8"/>
  <c r="G40" i="8"/>
  <c r="I52" i="8" l="1"/>
  <c r="R30" i="6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47" i="7"/>
  <c r="I46" i="7"/>
  <c r="I45" i="7"/>
  <c r="R38" i="7"/>
  <c r="I44" i="7" s="1"/>
  <c r="Q38" i="7"/>
  <c r="J43" i="7" s="1"/>
  <c r="J50" i="7" s="1"/>
  <c r="P38" i="7"/>
  <c r="O38" i="7"/>
  <c r="N38" i="7"/>
  <c r="M38" i="7"/>
  <c r="L38" i="7"/>
  <c r="K38" i="7"/>
  <c r="J38" i="7"/>
  <c r="I38" i="7"/>
  <c r="I43" i="7" s="1"/>
  <c r="H38" i="7"/>
  <c r="G38" i="7"/>
  <c r="I5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<sst xmlns="http://schemas.openxmlformats.org/spreadsheetml/2006/main" count="2235" uniqueCount="803">
  <si>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</si>
  <si>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</si>
  <si>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</si>
  <si>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</si>
  <si>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</si>
  <si>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</si>
  <si>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</si>
  <si>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</si>
  <si>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</si>
  <si>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</si>
  <si>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</si>
  <si>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</si>
  <si>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</si>
  <si>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</si>
  <si>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</si>
  <si>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</si>
  <si>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</si>
  <si>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</si>
  <si>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</si>
  <si>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</si>
  <si>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</si>
  <si>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</si>
  <si>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</si>
  <si>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</si>
  <si>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</si>
  <si>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</si>
  <si>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</si>
  <si>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</si>
  <si>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</si>
  <si>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</si>
  <si>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</si>
  <si>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</si>
  <si>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</si>
  <si>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</si>
  <si>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</si>
  <si>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</si>
  <si>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</si>
  <si>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</si>
  <si>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</si>
  <si>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</si>
  <si>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</si>
  <si>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</si>
  <si>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</si>
  <si>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</si>
  <si>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</si>
  <si>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</si>
  <si>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</si>
  <si>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</si>
  <si>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</si>
  <si>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</si>
  <si>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</si>
  <si>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</si>
  <si>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</si>
  <si>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</si>
  <si>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</si>
  <si>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</si>
  <si>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</si>
  <si>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</si>
  <si>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</si>
  <si>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</si>
  <si>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</si>
  <si>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</si>
  <si>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</si>
  <si>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</si>
  <si>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</si>
  <si>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</si>
  <si>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</si>
  <si>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</si>
  <si>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</si>
  <si>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</si>
  <si>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</si>
  <si>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</si>
  <si>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</si>
  <si>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</si>
  <si>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</si>
  <si>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</si>
  <si>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</si>
  <si>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</si>
  <si>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</si>
  <si>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</si>
  <si>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</si>
  <si>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</si>
  <si>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</si>
  <si>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</si>
  <si>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</si>
  <si>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</si>
  <si>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</si>
  <si>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</si>
  <si>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</si>
  <si>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</si>
  <si>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</si>
  <si>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</si>
  <si>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</si>
  <si>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</si>
  <si>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</si>
  <si>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</si>
  <si>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</si>
  <si>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</si>
  <si>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</si>
  <si>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</si>
  <si>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</si>
  <si>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</si>
  <si>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</si>
  <si>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</si>
  <si>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</si>
  <si>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</si>
  <si>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</si>
  <si>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</si>
  <si>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</si>
  <si>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</si>
  <si>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</si>
  <si>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</si>
  <si>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</si>
  <si>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</si>
  <si>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</si>
  <si>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</si>
  <si>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</si>
  <si>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</si>
  <si>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</si>
  <si>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</si>
  <si>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</si>
  <si>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</si>
  <si>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</si>
  <si>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</si>
  <si>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</si>
  <si>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</si>
  <si>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</si>
  <si>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</si>
  <si>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</si>
  <si>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</si>
  <si>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</si>
  <si>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</si>
  <si>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</si>
  <si>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</si>
  <si>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</si>
  <si>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</si>
  <si>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</si>
  <si>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</si>
  <si>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</si>
  <si>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</si>
  <si>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</si>
  <si>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</si>
  <si>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</si>
  <si>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</si>
  <si>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</si>
  <si>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</si>
  <si>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</si>
  <si>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</si>
  <si>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</si>
  <si>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</si>
  <si>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</si>
  <si>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</si>
  <si>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</si>
  <si>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</si>
  <si>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</si>
  <si>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</si>
  <si>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</si>
  <si>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</si>
  <si>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</si>
  <si>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</si>
  <si>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</si>
  <si>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</si>
  <si>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</si>
  <si>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</si>
  <si>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</si>
  <si>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</si>
  <si>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</si>
  <si>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</si>
  <si>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</si>
  <si>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</si>
  <si>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</si>
  <si>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</si>
  <si>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</si>
  <si>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</si>
  <si>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</si>
  <si>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</si>
  <si>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</si>
  <si>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</si>
  <si>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</si>
  <si>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</si>
  <si>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</si>
  <si>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</si>
  <si>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</si>
  <si>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</si>
  <si>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</si>
  <si>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</si>
  <si>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</si>
  <si>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</si>
  <si>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</si>
  <si>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</si>
  <si>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</si>
  <si>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</si>
  <si>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</si>
  <si>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</si>
  <si>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</si>
  <si>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</si>
  <si>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</si>
  <si>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</si>
  <si>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</si>
  <si>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</si>
  <si>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</si>
  <si>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</si>
  <si>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</si>
  <si>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</si>
  <si>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</si>
  <si>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</si>
  <si>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</si>
  <si>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</si>
  <si>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</si>
  <si>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</si>
  <si>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</si>
  <si>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</si>
  <si>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</si>
  <si>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</si>
  <si>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</si>
  <si>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</si>
  <si>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</si>
  <si>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</si>
  <si>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</si>
  <si>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</si>
  <si>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</si>
  <si>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</si>
  <si>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</si>
  <si>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</si>
  <si>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</si>
  <si>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</si>
  <si>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</si>
  <si>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</si>
  <si>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</si>
  <si>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</si>
  <si>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</si>
  <si>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</si>
  <si>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</si>
  <si>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</si>
  <si>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</si>
  <si>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</si>
  <si>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</si>
  <si>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</si>
  <si>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</si>
  <si>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</si>
  <si>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</si>
  <si>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</si>
  <si>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</si>
  <si>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</si>
  <si>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</si>
  <si>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</si>
  <si>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</si>
  <si>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</si>
  <si>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</si>
  <si>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</si>
  <si>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</si>
  <si>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</si>
  <si>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</si>
  <si>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</si>
  <si>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</si>
  <si>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</si>
  <si>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</si>
  <si>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</si>
  <si>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</si>
  <si>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</si>
  <si>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</si>
  <si>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</si>
  <si>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</si>
  <si>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</si>
  <si>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</si>
  <si>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</si>
  <si>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</si>
  <si>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</si>
  <si>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</si>
  <si>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</si>
  <si>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</si>
  <si>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</si>
  <si>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</si>
  <si>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</si>
  <si>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</si>
  <si>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</si>
  <si>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</si>
  <si>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</si>
  <si>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</si>
  <si>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</si>
  <si>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</si>
  <si>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</si>
  <si>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</si>
  <si>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</si>
  <si>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</si>
  <si>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</si>
  <si>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</si>
  <si>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</si>
  <si>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</si>
  <si>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</si>
  <si>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</si>
  <si>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</si>
  <si>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</si>
  <si>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</si>
  <si>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</si>
  <si>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</si>
  <si>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</si>
  <si>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</si>
  <si>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</si>
  <si>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</si>
  <si>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</si>
  <si>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</si>
  <si>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</si>
  <si>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</si>
  <si>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</si>
  <si>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</si>
  <si>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</si>
  <si>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</si>
  <si>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</si>
  <si>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</si>
  <si>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</si>
  <si>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</si>
  <si>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</si>
  <si>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</si>
  <si>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</si>
  <si>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</si>
  <si>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</si>
  <si>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</si>
  <si>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</si>
  <si>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</si>
  <si>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</si>
  <si>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</si>
  <si>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</si>
  <si>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</si>
  <si>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</si>
  <si>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</si>
  <si>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</si>
  <si>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</si>
  <si>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</si>
  <si>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</si>
  <si>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</si>
  <si>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</si>
  <si>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</si>
  <si>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</si>
  <si>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</si>
  <si>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</si>
  <si>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</si>
  <si>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</si>
  <si>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</si>
  <si>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</si>
  <si>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</si>
  <si>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</si>
  <si>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</si>
  <si>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</si>
  <si>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</si>
  <si>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</si>
  <si>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</si>
  <si>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</si>
  <si>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</si>
  <si>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</si>
  <si>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</si>
  <si>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</si>
  <si>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</si>
  <si>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</si>
  <si>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</si>
  <si>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</si>
  <si>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</si>
  <si>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</si>
  <si>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</si>
  <si>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</si>
  <si>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</si>
  <si>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</si>
  <si>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</si>
  <si>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</si>
  <si>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</si>
  <si>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</si>
  <si>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</si>
  <si>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</si>
  <si>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</si>
  <si>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</si>
  <si>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</si>
  <si>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</si>
  <si>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</si>
  <si>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</si>
  <si>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</si>
  <si>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</si>
  <si>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</si>
  <si>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</si>
  <si>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</si>
  <si>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</si>
  <si>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</si>
  <si>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</si>
  <si>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</si>
  <si>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</si>
  <si>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</si>
  <si>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</si>
  <si>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</si>
  <si>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</si>
  <si>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</si>
  <si>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</si>
  <si>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</si>
  <si>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</si>
  <si>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</si>
  <si>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</si>
  <si>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</si>
  <si>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</si>
  <si>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</si>
  <si>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</si>
  <si>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</si>
  <si>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</si>
  <si>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</si>
  <si>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</si>
  <si>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</si>
  <si>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</si>
  <si>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</si>
  <si>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</si>
  <si>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</si>
  <si>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</si>
  <si>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</si>
  <si>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</si>
  <si>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</si>
  <si>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</si>
  <si>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</si>
  <si>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</si>
  <si>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</si>
  <si>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</si>
  <si>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</si>
  <si>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</si>
  <si>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</si>
  <si>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</si>
  <si>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</si>
  <si>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</si>
  <si>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</si>
  <si>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</si>
  <si>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</si>
  <si>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</si>
  <si>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</si>
  <si>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</si>
  <si>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</si>
  <si>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</si>
  <si>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</si>
  <si>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</si>
  <si>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</si>
  <si>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</si>
  <si>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</si>
  <si>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</si>
  <si>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</si>
  <si>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</si>
  <si>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</si>
  <si>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</si>
  <si>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</si>
  <si>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</si>
  <si>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</si>
  <si>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</si>
  <si>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</si>
  <si>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</si>
  <si>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</si>
  <si>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</si>
  <si>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</si>
  <si>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</si>
  <si>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</si>
  <si>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</si>
  <si>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</si>
  <si>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</si>
  <si>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</si>
  <si>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</si>
  <si>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</si>
  <si>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</si>
  <si>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</si>
  <si>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</si>
  <si>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</si>
  <si>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</si>
  <si>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</si>
  <si>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</si>
  <si>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</si>
  <si>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</si>
  <si>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</si>
  <si>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</si>
  <si>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</si>
  <si>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</si>
  <si>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</si>
  <si>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</si>
  <si>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</si>
  <si>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</si>
  <si>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</si>
  <si>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</si>
  <si>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</si>
  <si>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</si>
  <si>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</si>
  <si>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</si>
  <si>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</si>
  <si>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</si>
  <si>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</si>
  <si>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</si>
  <si>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</si>
  <si>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</si>
  <si>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</si>
  <si>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</si>
  <si>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</si>
  <si>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</si>
  <si>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</si>
  <si>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</si>
  <si>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</si>
  <si>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</si>
  <si>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</si>
  <si>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</si>
  <si>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</si>
  <si>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</si>
  <si>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</si>
  <si>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</si>
  <si>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</si>
  <si>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</si>
  <si>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</si>
  <si>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</si>
  <si>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</si>
  <si>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</si>
  <si>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</si>
  <si>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</si>
  <si>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</si>
  <si>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</si>
  <si>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</si>
  <si>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</si>
  <si>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</si>
  <si>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</si>
  <si>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</si>
  <si>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</si>
  <si>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</si>
  <si>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</si>
  <si>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</si>
  <si>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</si>
  <si>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NGAY 8-5</t>
  </si>
  <si>
    <t>T6.8.5.2026</t>
  </si>
  <si>
    <t>T5.7.5.2026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</si>
  <si>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</si>
  <si>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</si>
  <si>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</si>
  <si>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</si>
  <si>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</si>
  <si>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</si>
  <si>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</si>
  <si>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</si>
  <si>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</si>
  <si>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</si>
  <si>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</si>
  <si>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</si>
  <si>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</si>
  <si>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</si>
  <si>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</si>
  <si>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</si>
  <si>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</si>
  <si>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</si>
  <si>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</si>
  <si>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</si>
  <si>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</si>
  <si>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</si>
  <si>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</si>
  <si>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</si>
  <si>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</si>
  <si>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</si>
  <si>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</si>
  <si>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</si>
  <si>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</si>
  <si>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</si>
  <si>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</si>
  <si>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</si>
  <si>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</si>
  <si>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</si>
  <si>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</si>
  <si>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</si>
  <si>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</si>
  <si>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</si>
  <si>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</si>
  <si>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</si>
  <si>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</si>
  <si>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</si>
  <si>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</si>
  <si>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</si>
  <si>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</si>
  <si>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</si>
  <si>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</si>
  <si>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</si>
  <si>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</si>
  <si>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</si>
  <si>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</si>
  <si>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</si>
  <si>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</si>
  <si>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</si>
  <si>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</si>
  <si>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</si>
  <si>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</si>
  <si>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</si>
  <si>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</si>
  <si>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</si>
  <si>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</si>
  <si>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</si>
  <si>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</si>
  <si>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</si>
  <si>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</si>
  <si>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</si>
  <si>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</si>
  <si>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</si>
  <si>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</si>
  <si>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</si>
  <si>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</si>
  <si>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</si>
  <si>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</si>
  <si>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</si>
  <si>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</si>
  <si>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</si>
  <si>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</si>
  <si>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</si>
  <si>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</si>
  <si>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</si>
  <si>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</si>
  <si>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</si>
  <si>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</si>
  <si>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</si>
  <si>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</si>
  <si>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</si>
  <si>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</si>
  <si>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</si>
  <si>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</si>
  <si>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</si>
  <si>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</si>
  <si>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</si>
  <si>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</si>
  <si>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</si>
  <si>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</si>
  <si>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Cindy Nguyễn</t>
  </si>
  <si>
    <t>HD017482</t>
  </si>
  <si>
    <t>12/7 đường P - Khu phố Mỹ Tú 2 - P. Tân Hưng</t>
  </si>
  <si>
    <t>29-04-2026</t>
  </si>
  <si>
    <t>đơn cũ ck</t>
  </si>
  <si>
    <t>luu tra</t>
  </si>
  <si>
    <t>kh ck shop 1980k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</si>
  <si>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</si>
  <si>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</si>
  <si>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</si>
  <si>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</si>
  <si>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</si>
  <si>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</si>
  <si>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</si>
  <si>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</si>
  <si>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</si>
  <si>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</si>
  <si>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</si>
  <si>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</si>
  <si>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</si>
  <si>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</si>
  <si>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</si>
  <si>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</si>
  <si>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</si>
  <si>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</si>
  <si>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</si>
  <si>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</si>
  <si>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</si>
  <si>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</si>
  <si>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</si>
  <si>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</si>
  <si>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</si>
  <si>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</si>
  <si>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</si>
  <si>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</si>
  <si>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</si>
  <si>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</si>
  <si>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</si>
  <si>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</si>
  <si>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</si>
  <si>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</si>
  <si>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</si>
  <si>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</si>
  <si>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</si>
  <si>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</si>
  <si>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</si>
  <si>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</si>
  <si>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</si>
  <si>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</si>
  <si>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</si>
  <si>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</si>
  <si>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</si>
  <si>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</si>
  <si>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</si>
  <si>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</si>
  <si>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</si>
  <si>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</si>
  <si>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</si>
  <si>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</si>
  <si>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</si>
  <si>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</si>
  <si>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</si>
  <si>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</si>
  <si>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</si>
  <si>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</si>
  <si>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</si>
  <si>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</si>
  <si>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</si>
  <si>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</si>
  <si>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</si>
  <si>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</si>
  <si>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</si>
  <si>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</si>
  <si>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</si>
  <si>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</si>
  <si>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</si>
  <si>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</si>
  <si>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</si>
  <si>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</si>
  <si>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</si>
  <si>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</si>
  <si>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</si>
  <si>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</si>
  <si>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</si>
  <si>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</si>
  <si>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</si>
  <si>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</si>
  <si>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</si>
  <si>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</si>
  <si>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</si>
  <si>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</si>
  <si>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</si>
  <si>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</si>
  <si>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</si>
  <si>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</si>
  <si>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</si>
  <si>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</si>
  <si>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</si>
  <si>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</si>
  <si>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THU 7</t>
  </si>
  <si>
    <t>NGAY 9-5</t>
  </si>
  <si>
    <t>T7.9.5.2026</t>
  </si>
  <si>
    <t>NGAY 11-5</t>
  </si>
  <si>
    <t>T2.11.5.2026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</si>
  <si>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</si>
  <si>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</si>
  <si>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</si>
  <si>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</si>
  <si>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</si>
  <si>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</si>
  <si>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</si>
  <si>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</si>
  <si>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</si>
  <si>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</si>
  <si>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</si>
  <si>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</si>
  <si>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</si>
  <si>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</si>
  <si>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</si>
  <si>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</si>
  <si>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</si>
  <si>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</si>
  <si>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</si>
  <si>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</si>
  <si>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</si>
  <si>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</si>
  <si>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</si>
  <si>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</si>
  <si>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</si>
  <si>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</si>
  <si>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</si>
  <si>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</si>
  <si>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</si>
  <si>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</si>
  <si>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</si>
  <si>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</si>
  <si>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</si>
  <si>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</si>
  <si>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</si>
  <si>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</si>
  <si>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</si>
  <si>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</si>
  <si>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</si>
  <si>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</si>
  <si>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</si>
  <si>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</si>
  <si>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</si>
  <si>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</si>
  <si>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</si>
  <si>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</si>
  <si>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</si>
  <si>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</si>
  <si>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</si>
  <si>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</si>
  <si>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</si>
  <si>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</si>
  <si>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</si>
  <si>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</si>
  <si>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</si>
  <si>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</si>
  <si>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</si>
  <si>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</si>
  <si>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</si>
  <si>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</si>
  <si>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</si>
  <si>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</si>
  <si>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</si>
  <si>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</si>
  <si>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</si>
  <si>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</si>
  <si>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</si>
  <si>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</si>
  <si>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</si>
  <si>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</si>
  <si>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</si>
  <si>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</si>
  <si>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</si>
  <si>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</si>
  <si>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</si>
  <si>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</si>
  <si>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</si>
  <si>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</si>
  <si>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đơn ck</t>
  </si>
  <si>
    <t>NGAY 12-5</t>
  </si>
  <si>
    <t>T3.12.5.2026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</si>
</sst>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9694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3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  <xf numFmtId="0" fontId="7" fillId="7" borderId="0" xfId="1" applyFont="1" applyFill="1" applyAlignment="1">
      <alignment horizontal="left"/>
    </xf>
    <xf numFmtId="0" fontId="7" fillId="7" borderId="0" xfId="1" applyFont="1" applyFill="1" applyAlignment="1">
      <alignment horizontal="right"/>
    </xf>
    <xf numFmtId="0" fontId="10" fillId="0" borderId="1" xfId="0" applyFont="1" applyBorder="1"/>
    <xf numFmtId="3" fontId="10" fillId="0" borderId="1" xfId="0" applyNumberFormat="1" applyFont="1" applyBorder="1"/>
    <xf numFmtId="0" fontId="10" fillId="2" borderId="1" xfId="1" applyFont="1" applyFill="1" applyBorder="1"/>
    <xf numFmtId="0" fontId="11" fillId="0" borderId="1" xfId="0" applyFont="1" applyBorder="1"/>
    <xf numFmtId="0" fontId="11" fillId="0" borderId="2" xfId="0" applyFont="1" applyBorder="1"/>
    <xf numFmtId="0" fontId="11" fillId="0" borderId="0" xfId="0" applyFont="1"/>
    <xf numFmtId="3" fontId="11" fillId="0" borderId="2" xfId="0" applyNumberFormat="1" applyFont="1" applyBorder="1"/>
    <xf numFmtId="3" fontId="11" fillId="0" borderId="0" xfId="0" applyNumberFormat="1" applyFont="1"/>
    <xf numFmtId="0" fontId="11" fillId="0" borderId="3" xfId="0" applyFont="1" applyBorder="1"/>
    <xf numFmtId="0" fontId="11" fillId="0" borderId="4" xfId="0" applyFont="1" applyBorder="1"/>
    <xf numFmtId="3" fontId="11" fillId="0" borderId="4" xfId="0" applyNumberFormat="1" applyFont="1" applyBorder="1"/>
    <xf numFmtId="0" fontId="10" fillId="10" borderId="4" xfId="0" applyFont="1" applyFill="1" applyBorder="1"/>
    <xf numFmtId="0" fontId="11" fillId="11" borderId="3" xfId="0" applyFont="1" applyFill="1" applyBorder="1"/>
    <xf numFmtId="0" fontId="11" fillId="11" borderId="4" xfId="0" applyFont="1" applyFill="1" applyBorder="1"/>
    <xf numFmtId="3" fontId="11" fillId="11" borderId="4" xfId="0" applyNumberFormat="1" applyFont="1" applyFill="1" applyBorder="1"/>
    <xf numFmtId="3" fontId="11" fillId="11" borderId="0" xfId="0" applyNumberFormat="1" applyFont="1" applyFill="1"/>
    <xf numFmtId="0" fontId="11" fillId="11" borderId="0" xfId="0" applyFont="1" applyFill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topLeftCell="A26"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426</v>
      </c>
      <c r="D3" s="22" t="s">
        <v>427</v>
      </c>
      <c r="E3" s="22" t="s">
        <v>428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429</v>
      </c>
      <c r="K3" s="22" t="s">
        <v>34</v>
      </c>
      <c r="L3" s="22" t="s">
        <v>430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431</v>
      </c>
      <c r="D4" s="22" t="s">
        <v>432</v>
      </c>
      <c r="E4" s="22" t="s">
        <v>433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429</v>
      </c>
      <c r="K4" s="22" t="s">
        <v>34</v>
      </c>
      <c r="L4" s="22" t="s">
        <v>430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434</v>
      </c>
      <c r="D5" s="22" t="s">
        <v>435</v>
      </c>
      <c r="E5" s="22" t="s">
        <v>436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429</v>
      </c>
      <c r="K5" s="22" t="s">
        <v>34</v>
      </c>
      <c r="L5" s="22" t="s">
        <v>430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437</v>
      </c>
      <c r="D6" s="22" t="s">
        <v>438</v>
      </c>
      <c r="E6" s="22" t="s">
        <v>439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429</v>
      </c>
      <c r="K6" s="22" t="s">
        <v>34</v>
      </c>
      <c r="L6" s="22" t="s">
        <v>430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440</v>
      </c>
      <c r="D7" s="22" t="s">
        <v>441</v>
      </c>
      <c r="E7" s="22" t="s">
        <v>442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429</v>
      </c>
      <c r="K7" s="22" t="s">
        <v>34</v>
      </c>
      <c r="L7" s="22" t="s">
        <v>430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443</v>
      </c>
      <c r="D8" s="22" t="s">
        <v>444</v>
      </c>
      <c r="E8" s="22" t="s">
        <v>445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429</v>
      </c>
      <c r="K8" s="22" t="s">
        <v>34</v>
      </c>
      <c r="L8" s="22" t="s">
        <v>430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446</v>
      </c>
      <c r="D9" s="22" t="s">
        <v>447</v>
      </c>
      <c r="E9" s="22" t="s">
        <v>448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429</v>
      </c>
      <c r="K9" s="22" t="s">
        <v>34</v>
      </c>
      <c r="L9" s="22" t="s">
        <v>430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449</v>
      </c>
      <c r="D10" s="22" t="s">
        <v>450</v>
      </c>
      <c r="E10" s="22" t="s">
        <v>451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429</v>
      </c>
      <c r="K10" s="22" t="s">
        <v>34</v>
      </c>
      <c r="L10" s="22" t="s">
        <v>430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452</v>
      </c>
      <c r="D11" s="22" t="s">
        <v>453</v>
      </c>
      <c r="E11" s="22" t="s">
        <v>454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429</v>
      </c>
      <c r="K11" s="22" t="s">
        <v>34</v>
      </c>
      <c r="L11" s="22" t="s">
        <v>430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455</v>
      </c>
      <c r="D12" s="22" t="s">
        <v>456</v>
      </c>
      <c r="E12" s="22" t="s">
        <v>457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429</v>
      </c>
      <c r="K12" s="22" t="s">
        <v>34</v>
      </c>
      <c r="L12" s="22" t="s">
        <v>430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458</v>
      </c>
      <c r="D13" s="22" t="s">
        <v>459</v>
      </c>
      <c r="E13" s="22" t="s">
        <v>460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429</v>
      </c>
      <c r="K13" s="22" t="s">
        <v>34</v>
      </c>
      <c r="L13" s="22" t="s">
        <v>430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461</v>
      </c>
      <c r="D14" s="22" t="s">
        <v>462</v>
      </c>
      <c r="E14" s="22" t="s">
        <v>463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429</v>
      </c>
      <c r="K14" s="22" t="s">
        <v>34</v>
      </c>
      <c r="L14" s="22" t="s">
        <v>430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464</v>
      </c>
      <c r="D15" s="25"/>
      <c r="E15" s="25" t="s">
        <v>465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430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466</v>
      </c>
      <c r="D16" s="22" t="s">
        <v>467</v>
      </c>
      <c r="E16" s="22" t="s">
        <v>468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470</v>
      </c>
      <c r="E17" s="22" t="s">
        <v>471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472</v>
      </c>
      <c r="D18" s="22" t="s">
        <v>473</v>
      </c>
      <c r="E18" s="22" t="s">
        <v>474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475</v>
      </c>
      <c r="D19" s="22" t="s">
        <v>476</v>
      </c>
      <c r="E19" s="22" t="s">
        <v>477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478</v>
      </c>
      <c r="D20" s="22" t="s">
        <v>479</v>
      </c>
      <c r="E20" s="22" t="s">
        <v>480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481</v>
      </c>
      <c r="D21" s="22" t="s">
        <v>482</v>
      </c>
      <c r="E21" s="22" t="s">
        <v>483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430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484</v>
      </c>
      <c r="D22" s="22" t="s">
        <v>485</v>
      </c>
      <c r="E22" s="22" t="s">
        <v>486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430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487</v>
      </c>
      <c r="D23" s="22" t="s">
        <v>488</v>
      </c>
      <c r="E23" s="22" t="s">
        <v>489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430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490</v>
      </c>
      <c r="D24" s="22"/>
      <c r="E24" s="22" t="s">
        <v>491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430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430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494</v>
      </c>
      <c r="D26" s="22"/>
      <c r="E26" s="22" t="s">
        <v>495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496</v>
      </c>
      <c r="D27" s="22" t="s">
        <v>497</v>
      </c>
      <c r="E27" s="22" t="s">
        <v>498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430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499</v>
      </c>
      <c r="D28" s="22" t="s">
        <v>500</v>
      </c>
      <c r="E28" s="22" t="s">
        <v>501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430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502</v>
      </c>
      <c r="D29" s="22" t="s">
        <v>503</v>
      </c>
      <c r="E29" s="22" t="s">
        <v>504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430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505</v>
      </c>
      <c r="D30" s="22" t="s">
        <v>506</v>
      </c>
      <c r="E30" s="22" t="s">
        <v>507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430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508</v>
      </c>
      <c r="D31" s="25" t="s">
        <v>509</v>
      </c>
      <c r="E31" s="25" t="s">
        <v>510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430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511</v>
      </c>
      <c r="D32" s="22" t="s">
        <v>512</v>
      </c>
      <c r="E32" s="22" t="s">
        <v>513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430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514</v>
      </c>
      <c r="D33" s="22" t="s">
        <v>515</v>
      </c>
      <c r="E33" s="22" t="s">
        <v>516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430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517</v>
      </c>
      <c r="D34" s="22" t="s">
        <v>518</v>
      </c>
      <c r="E34" s="22" t="s">
        <v>519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430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 t="shared" ref="G36:R36" si="2">SUBTOTAL(9,G3:G35)</f>
        <v>23200</v>
      </c>
      <c r="H36" s="1">
        <f t="shared" si="2"/>
        <v>875</v>
      </c>
      <c r="I36" s="1">
        <f t="shared" si="2"/>
        <v>22325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51"/>
  <sheetViews>
    <sheetView topLeftCell="A23" zoomScale="82" zoomScaleNormal="80" workbookViewId="0">
      <selection activeCell="E54" sqref="E5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523</v>
      </c>
      <c r="D3" s="22" t="s">
        <v>524</v>
      </c>
      <c r="E3" s="22" t="s">
        <v>525</v>
      </c>
      <c r="F3" s="23">
        <v>9</v>
      </c>
      <c r="G3" s="23">
        <v>850</v>
      </c>
      <c r="H3" s="23">
        <v>30</v>
      </c>
      <c r="I3" s="23">
        <f t="shared" ref="I3:I16" si="0">G3-H3</f>
        <v>820</v>
      </c>
      <c r="J3" s="22" t="s">
        <v>33</v>
      </c>
      <c r="K3" s="22" t="s">
        <v>34</v>
      </c>
      <c r="L3" s="22" t="s">
        <v>526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527</v>
      </c>
      <c r="D4" s="22" t="s">
        <v>528</v>
      </c>
      <c r="E4" s="22" t="s">
        <v>529</v>
      </c>
      <c r="F4" s="23">
        <v>9</v>
      </c>
      <c r="G4" s="23">
        <v>750</v>
      </c>
      <c r="H4" s="23">
        <v>30</v>
      </c>
      <c r="I4" s="23">
        <f t="shared" si="0"/>
        <v>720</v>
      </c>
      <c r="J4" s="22" t="s">
        <v>33</v>
      </c>
      <c r="K4" s="22" t="s">
        <v>34</v>
      </c>
      <c r="L4" s="22" t="s">
        <v>526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530</v>
      </c>
      <c r="D5" s="22" t="s">
        <v>531</v>
      </c>
      <c r="E5" s="22" t="s">
        <v>532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533</v>
      </c>
      <c r="K5" s="22" t="s">
        <v>34</v>
      </c>
      <c r="L5" s="22" t="s">
        <v>526</v>
      </c>
      <c r="M5" s="22"/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534</v>
      </c>
      <c r="D6" s="22" t="s">
        <v>535</v>
      </c>
      <c r="E6" s="22" t="s">
        <v>536</v>
      </c>
      <c r="F6" s="22" t="s">
        <v>39</v>
      </c>
      <c r="G6" s="23">
        <v>900</v>
      </c>
      <c r="H6" s="23">
        <v>30</v>
      </c>
      <c r="I6" s="23">
        <f t="shared" si="0"/>
        <v>870</v>
      </c>
      <c r="J6" s="22" t="s">
        <v>533</v>
      </c>
      <c r="K6" s="22" t="s">
        <v>34</v>
      </c>
      <c r="L6" s="22" t="s">
        <v>526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537</v>
      </c>
      <c r="D7" s="22" t="s">
        <v>538</v>
      </c>
      <c r="E7" s="22" t="s">
        <v>539</v>
      </c>
      <c r="F7" s="23">
        <v>6</v>
      </c>
      <c r="G7" s="23">
        <v>775</v>
      </c>
      <c r="H7" s="23">
        <v>25</v>
      </c>
      <c r="I7" s="23">
        <f t="shared" si="0"/>
        <v>750</v>
      </c>
      <c r="J7" s="22" t="s">
        <v>533</v>
      </c>
      <c r="K7" s="22" t="s">
        <v>34</v>
      </c>
      <c r="L7" s="22" t="s">
        <v>526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540</v>
      </c>
      <c r="D8" s="22" t="s">
        <v>541</v>
      </c>
      <c r="E8" s="22" t="s">
        <v>542</v>
      </c>
      <c r="F8" s="23">
        <v>12</v>
      </c>
      <c r="G8" s="23">
        <v>400</v>
      </c>
      <c r="H8" s="23">
        <v>30</v>
      </c>
      <c r="I8" s="23">
        <f t="shared" si="0"/>
        <v>370</v>
      </c>
      <c r="J8" s="22" t="s">
        <v>533</v>
      </c>
      <c r="K8" s="22" t="s">
        <v>34</v>
      </c>
      <c r="L8" s="22" t="s">
        <v>526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543</v>
      </c>
      <c r="D9" s="22" t="s">
        <v>544</v>
      </c>
      <c r="E9" s="22" t="s">
        <v>545</v>
      </c>
      <c r="F9" s="22" t="s">
        <v>108</v>
      </c>
      <c r="G9" s="23">
        <v>0</v>
      </c>
      <c r="H9" s="23">
        <v>25</v>
      </c>
      <c r="I9" s="23">
        <f t="shared" si="0"/>
        <v>-25</v>
      </c>
      <c r="J9" s="22" t="s">
        <v>533</v>
      </c>
      <c r="K9" s="22" t="s">
        <v>34</v>
      </c>
      <c r="L9" s="22" t="s">
        <v>526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546</v>
      </c>
      <c r="D10" s="22" t="s">
        <v>547</v>
      </c>
      <c r="E10" s="22" t="s">
        <v>548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533</v>
      </c>
      <c r="K10" s="22" t="s">
        <v>34</v>
      </c>
      <c r="L10" s="22" t="s">
        <v>526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549</v>
      </c>
      <c r="D11" s="22" t="s">
        <v>550</v>
      </c>
      <c r="E11" s="22" t="s">
        <v>551</v>
      </c>
      <c r="F11" s="23">
        <v>7</v>
      </c>
      <c r="G11" s="23">
        <v>480</v>
      </c>
      <c r="H11" s="23">
        <v>30</v>
      </c>
      <c r="I11" s="23">
        <f t="shared" si="0"/>
        <v>450</v>
      </c>
      <c r="J11" s="22" t="s">
        <v>533</v>
      </c>
      <c r="K11" s="22" t="s">
        <v>34</v>
      </c>
      <c r="L11" s="22" t="s">
        <v>526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552</v>
      </c>
      <c r="D12" s="22" t="s">
        <v>553</v>
      </c>
      <c r="E12" s="22" t="s">
        <v>554</v>
      </c>
      <c r="F12" s="23">
        <v>1</v>
      </c>
      <c r="G12" s="23">
        <v>1135</v>
      </c>
      <c r="H12" s="23">
        <v>25</v>
      </c>
      <c r="I12" s="23">
        <f t="shared" si="0"/>
        <v>1110</v>
      </c>
      <c r="J12" s="22" t="s">
        <v>533</v>
      </c>
      <c r="K12" s="22" t="s">
        <v>34</v>
      </c>
      <c r="L12" s="22" t="s">
        <v>526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555</v>
      </c>
      <c r="D13" s="22" t="s">
        <v>556</v>
      </c>
      <c r="E13" s="22" t="s">
        <v>557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533</v>
      </c>
      <c r="K13" s="22" t="s">
        <v>34</v>
      </c>
      <c r="L13" s="22" t="s">
        <v>526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558</v>
      </c>
      <c r="D14" s="22" t="s">
        <v>559</v>
      </c>
      <c r="E14" s="22" t="s">
        <v>560</v>
      </c>
      <c r="F14" s="23">
        <v>7</v>
      </c>
      <c r="G14" s="23">
        <v>670</v>
      </c>
      <c r="H14" s="23">
        <v>30</v>
      </c>
      <c r="I14" s="23">
        <f t="shared" si="0"/>
        <v>640</v>
      </c>
      <c r="J14" s="22" t="s">
        <v>533</v>
      </c>
      <c r="K14" s="22" t="s">
        <v>34</v>
      </c>
      <c r="L14" s="22" t="s">
        <v>526</v>
      </c>
      <c r="M14" s="22"/>
      <c r="N14" s="22"/>
      <c r="O14" s="22"/>
      <c r="P14" s="22"/>
      <c r="Q14" s="22">
        <v>1</v>
      </c>
    </row>
    <row r="15" spans="1:18" s="27" customFormat="1" x14ac:dyDescent="0.25">
      <c r="A15" s="25"/>
      <c r="B15" s="25" t="s">
        <v>30</v>
      </c>
      <c r="C15" s="25" t="s">
        <v>144</v>
      </c>
      <c r="D15" s="25" t="s">
        <v>561</v>
      </c>
      <c r="E15" s="25" t="s">
        <v>562</v>
      </c>
      <c r="F15" s="25" t="s">
        <v>147</v>
      </c>
      <c r="G15" s="26">
        <v>95</v>
      </c>
      <c r="H15" s="26">
        <v>35</v>
      </c>
      <c r="I15" s="26">
        <f t="shared" si="0"/>
        <v>60</v>
      </c>
      <c r="J15" s="25" t="s">
        <v>533</v>
      </c>
      <c r="K15" s="25" t="s">
        <v>34</v>
      </c>
      <c r="L15" s="25" t="s">
        <v>526</v>
      </c>
      <c r="M15" s="25" t="s">
        <v>139</v>
      </c>
      <c r="N15" s="25"/>
      <c r="O15" s="25"/>
      <c r="P15" s="25"/>
      <c r="Q15" s="25">
        <v>1</v>
      </c>
    </row>
    <row r="16" spans="1:18" customFormat="1" x14ac:dyDescent="0.25">
      <c r="A16" s="22"/>
      <c r="B16" s="22" t="s">
        <v>30</v>
      </c>
      <c r="C16" s="22" t="s">
        <v>563</v>
      </c>
      <c r="D16" s="22" t="s">
        <v>564</v>
      </c>
      <c r="E16" s="22" t="s">
        <v>565</v>
      </c>
      <c r="F16" s="22" t="s">
        <v>152</v>
      </c>
      <c r="G16" s="23">
        <v>0</v>
      </c>
      <c r="H16" s="23">
        <v>35</v>
      </c>
      <c r="I16" s="23">
        <f t="shared" si="0"/>
        <v>-35</v>
      </c>
      <c r="J16" s="22" t="s">
        <v>533</v>
      </c>
      <c r="K16" s="22" t="s">
        <v>34</v>
      </c>
      <c r="L16" s="22" t="s">
        <v>526</v>
      </c>
      <c r="M16" s="28" t="s">
        <v>360</v>
      </c>
      <c r="N16" s="22"/>
      <c r="O16" s="22"/>
      <c r="P16" s="22"/>
      <c r="Q16" s="22">
        <v>1</v>
      </c>
      <c r="R16" s="24">
        <f t="shared" ref="R16:R17" si="1">H16</f>
        <v>35</v>
      </c>
    </row>
    <row r="17" spans="1:18" customFormat="1" x14ac:dyDescent="0.25">
      <c r="A17" s="22"/>
      <c r="B17" s="22" t="s">
        <v>30</v>
      </c>
      <c r="C17" s="22" t="s">
        <v>563</v>
      </c>
      <c r="D17" s="22" t="s">
        <v>566</v>
      </c>
      <c r="E17" s="22" t="s">
        <v>565</v>
      </c>
      <c r="F17" s="22" t="s">
        <v>152</v>
      </c>
      <c r="G17" s="23">
        <v>0</v>
      </c>
      <c r="H17" s="23">
        <v>0</v>
      </c>
      <c r="I17" s="23">
        <f>H17</f>
        <v>0</v>
      </c>
      <c r="J17" s="22" t="s">
        <v>533</v>
      </c>
      <c r="K17" s="22" t="s">
        <v>34</v>
      </c>
      <c r="L17" s="22" t="s">
        <v>526</v>
      </c>
      <c r="M17" s="28" t="s">
        <v>360</v>
      </c>
      <c r="N17" s="22"/>
      <c r="O17" s="22"/>
      <c r="P17" s="22"/>
      <c r="Q17" s="22">
        <v>1</v>
      </c>
      <c r="R17" s="24">
        <f t="shared" si="1"/>
        <v>0</v>
      </c>
    </row>
    <row r="18" spans="1:18" customFormat="1" x14ac:dyDescent="0.25">
      <c r="A18" s="22"/>
      <c r="B18" s="22" t="s">
        <v>30</v>
      </c>
      <c r="C18" s="22" t="s">
        <v>567</v>
      </c>
      <c r="D18" s="22" t="s">
        <v>568</v>
      </c>
      <c r="E18" s="22" t="s">
        <v>569</v>
      </c>
      <c r="F18" s="23">
        <v>2</v>
      </c>
      <c r="G18" s="23">
        <v>850</v>
      </c>
      <c r="H18" s="23">
        <v>30</v>
      </c>
      <c r="I18" s="23">
        <f t="shared" ref="I18:I36" si="2">G18-H18</f>
        <v>820</v>
      </c>
      <c r="J18" s="22" t="s">
        <v>34</v>
      </c>
      <c r="K18" s="22" t="s">
        <v>34</v>
      </c>
      <c r="L18" s="22" t="s">
        <v>526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570</v>
      </c>
      <c r="D19" s="22" t="s">
        <v>571</v>
      </c>
      <c r="E19" s="22" t="s">
        <v>572</v>
      </c>
      <c r="F19" s="23">
        <v>12</v>
      </c>
      <c r="G19" s="23">
        <v>0</v>
      </c>
      <c r="H19" s="23">
        <v>30</v>
      </c>
      <c r="I19" s="23">
        <f t="shared" si="2"/>
        <v>-30</v>
      </c>
      <c r="J19" s="22" t="s">
        <v>34</v>
      </c>
      <c r="K19" s="22" t="s">
        <v>34</v>
      </c>
      <c r="L19" s="22" t="s">
        <v>526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573</v>
      </c>
      <c r="D20" s="22" t="s">
        <v>574</v>
      </c>
      <c r="E20" s="22" t="s">
        <v>575</v>
      </c>
      <c r="F20" s="22" t="s">
        <v>108</v>
      </c>
      <c r="G20" s="23">
        <v>2200</v>
      </c>
      <c r="H20" s="23">
        <v>30</v>
      </c>
      <c r="I20" s="23">
        <f t="shared" si="2"/>
        <v>2170</v>
      </c>
      <c r="J20" s="22" t="s">
        <v>34</v>
      </c>
      <c r="K20" s="22" t="s">
        <v>34</v>
      </c>
      <c r="L20" s="22" t="s">
        <v>526</v>
      </c>
      <c r="M20" s="28" t="s">
        <v>180</v>
      </c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576</v>
      </c>
      <c r="D21" s="22" t="s">
        <v>577</v>
      </c>
      <c r="E21" s="22" t="s">
        <v>578</v>
      </c>
      <c r="F21" s="22" t="s">
        <v>94</v>
      </c>
      <c r="G21" s="23">
        <v>670</v>
      </c>
      <c r="H21" s="23">
        <v>30</v>
      </c>
      <c r="I21" s="23">
        <f t="shared" si="2"/>
        <v>640</v>
      </c>
      <c r="J21" s="22" t="s">
        <v>34</v>
      </c>
      <c r="K21" s="22" t="s">
        <v>34</v>
      </c>
      <c r="L21" s="22" t="s">
        <v>526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579</v>
      </c>
      <c r="D22" s="22" t="s">
        <v>580</v>
      </c>
      <c r="E22" s="22" t="s">
        <v>581</v>
      </c>
      <c r="F22" s="22" t="s">
        <v>98</v>
      </c>
      <c r="G22" s="23">
        <v>0</v>
      </c>
      <c r="H22" s="23">
        <v>20</v>
      </c>
      <c r="I22" s="23">
        <f t="shared" si="2"/>
        <v>-20</v>
      </c>
      <c r="J22" s="22" t="s">
        <v>34</v>
      </c>
      <c r="K22" s="22" t="s">
        <v>34</v>
      </c>
      <c r="L22" s="22" t="s">
        <v>526</v>
      </c>
      <c r="M22" s="22"/>
      <c r="N22" s="22"/>
      <c r="O22" s="22"/>
      <c r="P22" s="22"/>
      <c r="Q22" s="22">
        <v>1</v>
      </c>
      <c r="R22" s="24">
        <f>H22</f>
        <v>20</v>
      </c>
    </row>
    <row r="23" spans="1:18" customFormat="1" x14ac:dyDescent="0.25">
      <c r="A23" s="22"/>
      <c r="B23" s="22" t="s">
        <v>30</v>
      </c>
      <c r="C23" s="22" t="s">
        <v>582</v>
      </c>
      <c r="D23" s="22" t="s">
        <v>583</v>
      </c>
      <c r="E23" s="22" t="s">
        <v>584</v>
      </c>
      <c r="F23" s="23">
        <v>2</v>
      </c>
      <c r="G23" s="23">
        <v>690</v>
      </c>
      <c r="H23" s="23">
        <v>30</v>
      </c>
      <c r="I23" s="23">
        <f t="shared" si="2"/>
        <v>660</v>
      </c>
      <c r="J23" s="22" t="s">
        <v>34</v>
      </c>
      <c r="K23" s="22" t="s">
        <v>34</v>
      </c>
      <c r="L23" s="22" t="s">
        <v>526</v>
      </c>
      <c r="M23" s="22"/>
      <c r="N23" s="22"/>
      <c r="O23" s="22"/>
      <c r="P23" s="22"/>
      <c r="Q23" s="22">
        <v>1</v>
      </c>
    </row>
    <row r="24" spans="1:18" s="27" customFormat="1" x14ac:dyDescent="0.25">
      <c r="A24" s="25"/>
      <c r="B24" s="25" t="s">
        <v>30</v>
      </c>
      <c r="C24" s="25" t="s">
        <v>91</v>
      </c>
      <c r="D24" s="25" t="s">
        <v>585</v>
      </c>
      <c r="E24" s="25" t="s">
        <v>93</v>
      </c>
      <c r="F24" s="25" t="s">
        <v>94</v>
      </c>
      <c r="G24" s="26">
        <v>30</v>
      </c>
      <c r="H24" s="26">
        <v>30</v>
      </c>
      <c r="I24" s="26">
        <f t="shared" si="2"/>
        <v>0</v>
      </c>
      <c r="J24" s="25" t="s">
        <v>34</v>
      </c>
      <c r="K24" s="25" t="s">
        <v>34</v>
      </c>
      <c r="L24" s="25" t="s">
        <v>526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/>
      <c r="B25" s="22" t="s">
        <v>30</v>
      </c>
      <c r="C25" s="22" t="s">
        <v>586</v>
      </c>
      <c r="D25" s="22" t="s">
        <v>587</v>
      </c>
      <c r="E25" s="22" t="s">
        <v>588</v>
      </c>
      <c r="F25" s="22" t="s">
        <v>94</v>
      </c>
      <c r="G25" s="23">
        <v>780</v>
      </c>
      <c r="H25" s="23">
        <v>30</v>
      </c>
      <c r="I25" s="23">
        <f t="shared" si="2"/>
        <v>750</v>
      </c>
      <c r="J25" s="22" t="s">
        <v>34</v>
      </c>
      <c r="K25" s="22" t="s">
        <v>34</v>
      </c>
      <c r="L25" s="22" t="s">
        <v>526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589</v>
      </c>
      <c r="D26" s="22" t="s">
        <v>590</v>
      </c>
      <c r="E26" s="22" t="s">
        <v>591</v>
      </c>
      <c r="F26" s="23">
        <v>2</v>
      </c>
      <c r="G26" s="23">
        <v>850</v>
      </c>
      <c r="H26" s="23">
        <v>30</v>
      </c>
      <c r="I26" s="23">
        <f t="shared" si="2"/>
        <v>820</v>
      </c>
      <c r="J26" s="22" t="s">
        <v>34</v>
      </c>
      <c r="K26" s="22" t="s">
        <v>34</v>
      </c>
      <c r="L26" s="22" t="s">
        <v>526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592</v>
      </c>
      <c r="D27" s="22" t="s">
        <v>593</v>
      </c>
      <c r="E27" s="22" t="s">
        <v>594</v>
      </c>
      <c r="F27" s="22" t="s">
        <v>98</v>
      </c>
      <c r="G27" s="23">
        <v>0</v>
      </c>
      <c r="H27" s="23">
        <v>20</v>
      </c>
      <c r="I27" s="23">
        <f t="shared" si="2"/>
        <v>-20</v>
      </c>
      <c r="J27" s="22" t="s">
        <v>34</v>
      </c>
      <c r="K27" s="22" t="s">
        <v>34</v>
      </c>
      <c r="L27" s="22" t="s">
        <v>526</v>
      </c>
      <c r="M27" s="22"/>
      <c r="N27" s="22"/>
      <c r="O27" s="22"/>
      <c r="P27" s="22"/>
      <c r="Q27" s="22">
        <v>1</v>
      </c>
      <c r="R27" s="24">
        <f>H27</f>
        <v>20</v>
      </c>
    </row>
    <row r="28" spans="1:18" customFormat="1" x14ac:dyDescent="0.25">
      <c r="A28" s="22" t="s">
        <v>29</v>
      </c>
      <c r="B28" s="22" t="s">
        <v>30</v>
      </c>
      <c r="C28" s="22" t="s">
        <v>353</v>
      </c>
      <c r="D28" s="22"/>
      <c r="E28" s="22" t="s">
        <v>354</v>
      </c>
      <c r="F28" s="22" t="s">
        <v>90</v>
      </c>
      <c r="G28" s="23">
        <v>30</v>
      </c>
      <c r="H28" s="23">
        <v>30</v>
      </c>
      <c r="I28" s="23">
        <f t="shared" si="2"/>
        <v>0</v>
      </c>
      <c r="J28" s="22" t="s">
        <v>34</v>
      </c>
      <c r="K28" s="22" t="s">
        <v>34</v>
      </c>
      <c r="L28" s="22" t="s">
        <v>526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595</v>
      </c>
      <c r="D29" s="22" t="s">
        <v>596</v>
      </c>
      <c r="E29" s="22" t="s">
        <v>597</v>
      </c>
      <c r="F29" s="23">
        <v>5</v>
      </c>
      <c r="G29" s="23">
        <v>1175</v>
      </c>
      <c r="H29" s="23">
        <v>25</v>
      </c>
      <c r="I29" s="23">
        <f t="shared" si="2"/>
        <v>1150</v>
      </c>
      <c r="J29" s="22" t="s">
        <v>148</v>
      </c>
      <c r="K29" s="22" t="s">
        <v>34</v>
      </c>
      <c r="L29" s="22" t="s">
        <v>526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598</v>
      </c>
      <c r="D30" s="22" t="s">
        <v>599</v>
      </c>
      <c r="E30" s="22" t="s">
        <v>600</v>
      </c>
      <c r="F30" s="23">
        <v>4</v>
      </c>
      <c r="G30" s="23">
        <v>765</v>
      </c>
      <c r="H30" s="23">
        <v>25</v>
      </c>
      <c r="I30" s="23">
        <f t="shared" si="2"/>
        <v>740</v>
      </c>
      <c r="J30" s="22" t="s">
        <v>148</v>
      </c>
      <c r="K30" s="22" t="s">
        <v>34</v>
      </c>
      <c r="L30" s="22" t="s">
        <v>526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601</v>
      </c>
      <c r="D31" s="22" t="s">
        <v>602</v>
      </c>
      <c r="E31" s="22" t="s">
        <v>603</v>
      </c>
      <c r="F31" s="23">
        <v>3</v>
      </c>
      <c r="G31" s="23">
        <v>0</v>
      </c>
      <c r="H31" s="23">
        <v>25</v>
      </c>
      <c r="I31" s="23">
        <f t="shared" si="2"/>
        <v>-25</v>
      </c>
      <c r="J31" s="22" t="s">
        <v>148</v>
      </c>
      <c r="K31" s="22" t="s">
        <v>34</v>
      </c>
      <c r="L31" s="22" t="s">
        <v>526</v>
      </c>
      <c r="M31" s="22"/>
      <c r="N31" s="22"/>
      <c r="O31" s="22"/>
      <c r="P31" s="22"/>
      <c r="Q31" s="22">
        <v>1</v>
      </c>
      <c r="R31" s="24">
        <f>H31</f>
        <v>25</v>
      </c>
    </row>
    <row r="32" spans="1:18" customFormat="1" x14ac:dyDescent="0.25">
      <c r="A32" s="22"/>
      <c r="B32" s="22" t="s">
        <v>30</v>
      </c>
      <c r="C32" s="22" t="s">
        <v>604</v>
      </c>
      <c r="D32" s="22" t="s">
        <v>605</v>
      </c>
      <c r="E32" s="22" t="s">
        <v>264</v>
      </c>
      <c r="F32" s="22" t="s">
        <v>108</v>
      </c>
      <c r="G32" s="23">
        <v>685</v>
      </c>
      <c r="H32" s="23">
        <v>25</v>
      </c>
      <c r="I32" s="23">
        <f t="shared" si="2"/>
        <v>660</v>
      </c>
      <c r="J32" s="22" t="s">
        <v>148</v>
      </c>
      <c r="K32" s="22" t="s">
        <v>34</v>
      </c>
      <c r="L32" s="22" t="s">
        <v>526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606</v>
      </c>
      <c r="D33" s="22" t="s">
        <v>607</v>
      </c>
      <c r="E33" s="22" t="s">
        <v>608</v>
      </c>
      <c r="F33" s="23">
        <v>10</v>
      </c>
      <c r="G33" s="23">
        <v>865</v>
      </c>
      <c r="H33" s="23">
        <v>25</v>
      </c>
      <c r="I33" s="23">
        <f t="shared" si="2"/>
        <v>840</v>
      </c>
      <c r="J33" s="22" t="s">
        <v>148</v>
      </c>
      <c r="K33" s="22" t="s">
        <v>34</v>
      </c>
      <c r="L33" s="22" t="s">
        <v>526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609</v>
      </c>
      <c r="D34" s="22" t="s">
        <v>610</v>
      </c>
      <c r="E34" s="22" t="s">
        <v>611</v>
      </c>
      <c r="F34" s="22" t="s">
        <v>108</v>
      </c>
      <c r="G34" s="23">
        <v>0</v>
      </c>
      <c r="H34" s="23">
        <v>25</v>
      </c>
      <c r="I34" s="23">
        <f t="shared" si="2"/>
        <v>-25</v>
      </c>
      <c r="J34" s="22" t="s">
        <v>148</v>
      </c>
      <c r="K34" s="22" t="s">
        <v>34</v>
      </c>
      <c r="L34" s="22" t="s">
        <v>526</v>
      </c>
      <c r="M34" s="22"/>
      <c r="N34" s="22"/>
      <c r="O34" s="22"/>
      <c r="P34" s="22"/>
      <c r="Q34" s="22">
        <v>1</v>
      </c>
      <c r="R34" s="24">
        <f t="shared" ref="R34:R35" si="3">H34</f>
        <v>25</v>
      </c>
    </row>
    <row r="35" spans="1:18" customFormat="1" x14ac:dyDescent="0.25">
      <c r="A35" s="22"/>
      <c r="B35" s="22" t="s">
        <v>30</v>
      </c>
      <c r="C35" s="22" t="s">
        <v>612</v>
      </c>
      <c r="D35" s="22" t="s">
        <v>613</v>
      </c>
      <c r="E35" s="22" t="s">
        <v>614</v>
      </c>
      <c r="F35" s="23">
        <v>5</v>
      </c>
      <c r="G35" s="23">
        <v>0</v>
      </c>
      <c r="H35" s="23">
        <v>25</v>
      </c>
      <c r="I35" s="23">
        <f t="shared" si="2"/>
        <v>-25</v>
      </c>
      <c r="J35" s="22" t="s">
        <v>148</v>
      </c>
      <c r="K35" s="22" t="s">
        <v>34</v>
      </c>
      <c r="L35" s="22" t="s">
        <v>526</v>
      </c>
      <c r="M35" s="22"/>
      <c r="N35" s="22"/>
      <c r="O35" s="22"/>
      <c r="P35" s="22"/>
      <c r="Q35" s="22">
        <v>1</v>
      </c>
      <c r="R35" s="24">
        <f t="shared" si="3"/>
        <v>25</v>
      </c>
    </row>
    <row r="36" spans="1:18" customFormat="1" x14ac:dyDescent="0.25">
      <c r="A36" s="22"/>
      <c r="B36" s="22" t="s">
        <v>30</v>
      </c>
      <c r="C36" s="22" t="s">
        <v>615</v>
      </c>
      <c r="D36" s="22" t="s">
        <v>616</v>
      </c>
      <c r="E36" s="22" t="s">
        <v>617</v>
      </c>
      <c r="F36" s="23">
        <v>1</v>
      </c>
      <c r="G36" s="23">
        <v>2050</v>
      </c>
      <c r="H36" s="23">
        <v>30</v>
      </c>
      <c r="I36" s="23">
        <f t="shared" si="2"/>
        <v>2020</v>
      </c>
      <c r="J36" s="22" t="s">
        <v>148</v>
      </c>
      <c r="K36" s="22" t="s">
        <v>34</v>
      </c>
      <c r="L36" s="22" t="s">
        <v>526</v>
      </c>
      <c r="M36" s="28" t="s">
        <v>180</v>
      </c>
      <c r="N36" s="22"/>
      <c r="O36" s="22"/>
      <c r="P36" s="22"/>
      <c r="Q36" s="22">
        <v>1</v>
      </c>
      <c r="R36" s="24">
        <f>H36</f>
        <v>30</v>
      </c>
    </row>
    <row r="38" spans="1:18" x14ac:dyDescent="0.25">
      <c r="G38" s="1">
        <f t="shared" ref="G38:R38" si="4">SUBTOTAL(9,G3:G37)</f>
        <v>18545</v>
      </c>
      <c r="H38" s="1">
        <f t="shared" si="4"/>
        <v>930</v>
      </c>
      <c r="I38" s="1">
        <f t="shared" si="4"/>
        <v>17615</v>
      </c>
      <c r="J38" s="1">
        <f t="shared" si="4"/>
        <v>0</v>
      </c>
      <c r="K38" s="1">
        <f t="shared" si="4"/>
        <v>0</v>
      </c>
      <c r="L38" s="1">
        <f t="shared" si="4"/>
        <v>0</v>
      </c>
      <c r="M38" s="1">
        <f t="shared" si="4"/>
        <v>0</v>
      </c>
      <c r="N38" s="1">
        <f t="shared" si="4"/>
        <v>0</v>
      </c>
      <c r="O38" s="1">
        <f t="shared" si="4"/>
        <v>0</v>
      </c>
      <c r="P38" s="1">
        <f t="shared" si="4"/>
        <v>0</v>
      </c>
      <c r="Q38" s="1">
        <f t="shared" si="4"/>
        <v>34</v>
      </c>
      <c r="R38" s="1">
        <f t="shared" si="4"/>
        <v>325</v>
      </c>
    </row>
    <row r="42" spans="1:18" ht="20.25" customHeight="1" x14ac:dyDescent="0.3">
      <c r="H42" s="4" t="s">
        <v>522</v>
      </c>
      <c r="I42" s="5" t="s">
        <v>15</v>
      </c>
      <c r="J42" s="6" t="s">
        <v>16</v>
      </c>
    </row>
    <row r="43" spans="1:18" ht="15.75" customHeight="1" x14ac:dyDescent="0.25">
      <c r="H43" s="7" t="s">
        <v>17</v>
      </c>
      <c r="I43" s="8">
        <f>SUM(I37:I41)</f>
        <v>17615</v>
      </c>
      <c r="J43" s="8">
        <f>Q38</f>
        <v>34</v>
      </c>
    </row>
    <row r="44" spans="1:18" x14ac:dyDescent="0.25">
      <c r="H44" s="9" t="s">
        <v>18</v>
      </c>
      <c r="I44" s="10">
        <f>R38</f>
        <v>325</v>
      </c>
      <c r="J44" s="11"/>
    </row>
    <row r="45" spans="1:18" x14ac:dyDescent="0.25">
      <c r="H45" s="9" t="s">
        <v>19</v>
      </c>
      <c r="I45" s="10">
        <f>S37</f>
        <v>0</v>
      </c>
      <c r="J45" s="11"/>
    </row>
    <row r="46" spans="1:18" x14ac:dyDescent="0.25">
      <c r="H46" s="9" t="s">
        <v>20</v>
      </c>
      <c r="I46" s="10">
        <f>T37</f>
        <v>0</v>
      </c>
      <c r="J46" s="11"/>
    </row>
    <row r="47" spans="1:18" x14ac:dyDescent="0.25">
      <c r="H47" s="9" t="s">
        <v>21</v>
      </c>
      <c r="I47" s="10">
        <f>U37</f>
        <v>0</v>
      </c>
      <c r="J47" s="11"/>
    </row>
    <row r="48" spans="1:18" ht="15.75" customHeight="1" x14ac:dyDescent="0.25">
      <c r="H48" s="12" t="s">
        <v>22</v>
      </c>
      <c r="I48" s="13"/>
      <c r="J48" s="13"/>
    </row>
    <row r="49" spans="8:10" ht="15.75" customHeight="1" x14ac:dyDescent="0.25">
      <c r="H49" s="14" t="s">
        <v>23</v>
      </c>
      <c r="I49" s="13"/>
      <c r="J49" s="13"/>
    </row>
    <row r="50" spans="8:10" ht="21" customHeight="1" x14ac:dyDescent="0.35">
      <c r="H50" s="15" t="s">
        <v>24</v>
      </c>
      <c r="I50" s="16">
        <f>SUM(I43:I49)</f>
        <v>17940</v>
      </c>
      <c r="J50" s="16">
        <f>SUM(J43:J47)</f>
        <v>34</v>
      </c>
    </row>
    <row r="51" spans="8:10" ht="21" customHeight="1" x14ac:dyDescent="0.35">
      <c r="H51" s="34"/>
      <c r="I51" s="35"/>
      <c r="J51" s="35"/>
    </row>
  </sheetData>
  <autoFilter ref="A2:P36" xr:uid="{00000000-0009-0000-0000-000006000000}">
    <sortState xmlns:xlrd2="http://schemas.microsoft.com/office/spreadsheetml/2017/richdata2" ref="A3:P36">
      <sortCondition ref="J2:J36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00B3-0891-4E25-BC1A-2BDA276BB257}">
  <dimension ref="A1:R55"/>
  <sheetViews>
    <sheetView topLeftCell="A20" zoomScale="82" zoomScaleNormal="80" workbookViewId="0">
      <selection activeCell="E49" sqref="E4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39" t="s">
        <v>29</v>
      </c>
      <c r="B3" s="40" t="s">
        <v>30</v>
      </c>
      <c r="C3" s="40" t="s">
        <v>625</v>
      </c>
      <c r="D3" s="40"/>
      <c r="E3" s="40" t="s">
        <v>626</v>
      </c>
      <c r="F3" s="42">
        <v>6</v>
      </c>
      <c r="G3" s="42">
        <v>0</v>
      </c>
      <c r="H3" s="42">
        <v>30</v>
      </c>
      <c r="I3" s="42">
        <v>-30</v>
      </c>
      <c r="J3" s="40" t="s">
        <v>627</v>
      </c>
      <c r="K3" s="40" t="s">
        <v>34</v>
      </c>
      <c r="L3" s="40">
        <v>46239</v>
      </c>
      <c r="M3" s="40"/>
      <c r="N3" s="40"/>
      <c r="O3" s="40"/>
      <c r="P3" s="40"/>
      <c r="Q3" s="40">
        <v>1</v>
      </c>
      <c r="R3" s="43">
        <v>30</v>
      </c>
    </row>
    <row r="4" spans="1:18" s="19" customFormat="1" x14ac:dyDescent="0.25">
      <c r="A4" s="44" t="s">
        <v>29</v>
      </c>
      <c r="B4" s="45" t="s">
        <v>30</v>
      </c>
      <c r="C4" s="45" t="s">
        <v>628</v>
      </c>
      <c r="D4" s="45"/>
      <c r="E4" s="45" t="s">
        <v>629</v>
      </c>
      <c r="F4" s="45" t="s">
        <v>39</v>
      </c>
      <c r="G4" s="46">
        <v>0</v>
      </c>
      <c r="H4" s="46">
        <v>35</v>
      </c>
      <c r="I4" s="46">
        <v>-35</v>
      </c>
      <c r="J4" s="45" t="s">
        <v>627</v>
      </c>
      <c r="K4" s="45" t="s">
        <v>34</v>
      </c>
      <c r="L4" s="45">
        <v>46239</v>
      </c>
      <c r="M4" s="45"/>
      <c r="N4" s="45"/>
      <c r="O4" s="45"/>
      <c r="P4" s="45"/>
      <c r="Q4" s="45">
        <v>1</v>
      </c>
      <c r="R4" s="43">
        <v>35</v>
      </c>
    </row>
    <row r="5" spans="1:18" s="19" customFormat="1" x14ac:dyDescent="0.25">
      <c r="A5" s="44"/>
      <c r="B5" s="45" t="s">
        <v>30</v>
      </c>
      <c r="C5" s="45" t="s">
        <v>630</v>
      </c>
      <c r="D5" s="45" t="s">
        <v>631</v>
      </c>
      <c r="E5" s="45" t="s">
        <v>632</v>
      </c>
      <c r="F5" s="46">
        <v>9</v>
      </c>
      <c r="G5" s="46">
        <v>2630</v>
      </c>
      <c r="H5" s="46">
        <v>30</v>
      </c>
      <c r="I5" s="46">
        <v>2600</v>
      </c>
      <c r="J5" s="45" t="s">
        <v>627</v>
      </c>
      <c r="K5" s="45" t="s">
        <v>34</v>
      </c>
      <c r="L5" s="45">
        <v>46239</v>
      </c>
      <c r="M5" s="47" t="s">
        <v>180</v>
      </c>
      <c r="N5" s="45"/>
      <c r="O5" s="45"/>
      <c r="P5" s="45"/>
      <c r="Q5" s="45">
        <v>1</v>
      </c>
      <c r="R5" s="43">
        <v>30</v>
      </c>
    </row>
    <row r="6" spans="1:18" s="19" customFormat="1" x14ac:dyDescent="0.25">
      <c r="A6" s="44"/>
      <c r="B6" s="45" t="s">
        <v>30</v>
      </c>
      <c r="C6" s="45" t="s">
        <v>633</v>
      </c>
      <c r="D6" s="45" t="s">
        <v>634</v>
      </c>
      <c r="E6" s="45" t="s">
        <v>635</v>
      </c>
      <c r="F6" s="45" t="s">
        <v>147</v>
      </c>
      <c r="G6" s="46">
        <v>905</v>
      </c>
      <c r="H6" s="46">
        <v>35</v>
      </c>
      <c r="I6" s="46">
        <v>870</v>
      </c>
      <c r="J6" s="45" t="s">
        <v>627</v>
      </c>
      <c r="K6" s="45" t="s">
        <v>34</v>
      </c>
      <c r="L6" s="45">
        <v>46239</v>
      </c>
      <c r="M6" s="45"/>
      <c r="N6" s="45"/>
      <c r="O6" s="45"/>
      <c r="P6" s="45"/>
      <c r="Q6" s="45">
        <v>1</v>
      </c>
      <c r="R6" s="41"/>
    </row>
    <row r="7" spans="1:18" s="19" customFormat="1" x14ac:dyDescent="0.25">
      <c r="A7" s="44"/>
      <c r="B7" s="45" t="s">
        <v>30</v>
      </c>
      <c r="C7" s="45" t="s">
        <v>636</v>
      </c>
      <c r="D7" s="45" t="s">
        <v>637</v>
      </c>
      <c r="E7" s="45" t="s">
        <v>638</v>
      </c>
      <c r="F7" s="46">
        <v>8</v>
      </c>
      <c r="G7" s="46">
        <v>0</v>
      </c>
      <c r="H7" s="46">
        <v>30</v>
      </c>
      <c r="I7" s="46">
        <v>-30</v>
      </c>
      <c r="J7" s="45" t="s">
        <v>627</v>
      </c>
      <c r="K7" s="45" t="s">
        <v>34</v>
      </c>
      <c r="L7" s="45">
        <v>46239</v>
      </c>
      <c r="M7" s="45"/>
      <c r="N7" s="45"/>
      <c r="O7" s="45"/>
      <c r="P7" s="45"/>
      <c r="Q7" s="45">
        <v>1</v>
      </c>
      <c r="R7" s="43">
        <v>30</v>
      </c>
    </row>
    <row r="8" spans="1:18" s="19" customFormat="1" x14ac:dyDescent="0.25">
      <c r="A8" s="44"/>
      <c r="B8" s="45" t="s">
        <v>30</v>
      </c>
      <c r="C8" s="45" t="s">
        <v>639</v>
      </c>
      <c r="D8" s="45" t="s">
        <v>640</v>
      </c>
      <c r="E8" s="45" t="s">
        <v>641</v>
      </c>
      <c r="F8" s="46">
        <v>8</v>
      </c>
      <c r="G8" s="46">
        <v>470</v>
      </c>
      <c r="H8" s="46">
        <v>30</v>
      </c>
      <c r="I8" s="46">
        <v>440</v>
      </c>
      <c r="J8" s="45" t="s">
        <v>627</v>
      </c>
      <c r="K8" s="45" t="s">
        <v>34</v>
      </c>
      <c r="L8" s="45">
        <v>46239</v>
      </c>
      <c r="M8" s="45"/>
      <c r="N8" s="45"/>
      <c r="O8" s="45"/>
      <c r="P8" s="45"/>
      <c r="Q8" s="45">
        <v>1</v>
      </c>
      <c r="R8" s="41"/>
    </row>
    <row r="9" spans="1:18" s="19" customFormat="1" x14ac:dyDescent="0.25">
      <c r="A9" s="44"/>
      <c r="B9" s="45" t="s">
        <v>30</v>
      </c>
      <c r="C9" s="45" t="s">
        <v>642</v>
      </c>
      <c r="D9" s="45" t="s">
        <v>643</v>
      </c>
      <c r="E9" s="45" t="s">
        <v>532</v>
      </c>
      <c r="F9" s="45" t="s">
        <v>39</v>
      </c>
      <c r="G9" s="46">
        <v>0</v>
      </c>
      <c r="H9" s="46">
        <v>30</v>
      </c>
      <c r="I9" s="46">
        <v>-30</v>
      </c>
      <c r="J9" s="45" t="s">
        <v>627</v>
      </c>
      <c r="K9" s="45" t="s">
        <v>34</v>
      </c>
      <c r="L9" s="45">
        <v>46239</v>
      </c>
      <c r="M9" s="45"/>
      <c r="N9" s="45"/>
      <c r="O9" s="45"/>
      <c r="P9" s="45"/>
      <c r="Q9" s="45">
        <v>1</v>
      </c>
      <c r="R9" s="43">
        <v>30</v>
      </c>
    </row>
    <row r="10" spans="1:18" s="19" customFormat="1" x14ac:dyDescent="0.25">
      <c r="A10" s="44"/>
      <c r="B10" s="45" t="s">
        <v>30</v>
      </c>
      <c r="C10" s="45" t="s">
        <v>644</v>
      </c>
      <c r="D10" s="45" t="s">
        <v>645</v>
      </c>
      <c r="E10" s="45" t="s">
        <v>646</v>
      </c>
      <c r="F10" s="45" t="s">
        <v>39</v>
      </c>
      <c r="G10" s="46">
        <v>980</v>
      </c>
      <c r="H10" s="46">
        <v>30</v>
      </c>
      <c r="I10" s="46">
        <v>950</v>
      </c>
      <c r="J10" s="45" t="s">
        <v>627</v>
      </c>
      <c r="K10" s="45" t="s">
        <v>34</v>
      </c>
      <c r="L10" s="45">
        <v>46239</v>
      </c>
      <c r="M10" s="45"/>
      <c r="N10" s="45"/>
      <c r="O10" s="45"/>
      <c r="P10" s="45"/>
      <c r="Q10" s="45">
        <v>1</v>
      </c>
      <c r="R10" s="41"/>
    </row>
    <row r="11" spans="1:18" s="19" customFormat="1" x14ac:dyDescent="0.25">
      <c r="A11" s="44"/>
      <c r="B11" s="45" t="s">
        <v>30</v>
      </c>
      <c r="C11" s="45" t="s">
        <v>647</v>
      </c>
      <c r="D11" s="45" t="s">
        <v>648</v>
      </c>
      <c r="E11" s="45" t="s">
        <v>649</v>
      </c>
      <c r="F11" s="46">
        <v>8</v>
      </c>
      <c r="G11" s="46">
        <v>950</v>
      </c>
      <c r="H11" s="46">
        <v>30</v>
      </c>
      <c r="I11" s="46">
        <v>920</v>
      </c>
      <c r="J11" s="45" t="s">
        <v>627</v>
      </c>
      <c r="K11" s="45" t="s">
        <v>34</v>
      </c>
      <c r="L11" s="45">
        <v>46239</v>
      </c>
      <c r="M11" s="45"/>
      <c r="N11" s="45"/>
      <c r="O11" s="45"/>
      <c r="P11" s="45"/>
      <c r="Q11" s="45">
        <v>1</v>
      </c>
      <c r="R11" s="41"/>
    </row>
    <row r="12" spans="1:18" s="19" customFormat="1" x14ac:dyDescent="0.25">
      <c r="A12" s="44"/>
      <c r="B12" s="45" t="s">
        <v>30</v>
      </c>
      <c r="C12" s="45" t="s">
        <v>650</v>
      </c>
      <c r="D12" s="45" t="s">
        <v>651</v>
      </c>
      <c r="E12" s="45" t="s">
        <v>652</v>
      </c>
      <c r="F12" s="45" t="s">
        <v>59</v>
      </c>
      <c r="G12" s="46">
        <v>895</v>
      </c>
      <c r="H12" s="46">
        <v>25</v>
      </c>
      <c r="I12" s="46">
        <v>870</v>
      </c>
      <c r="J12" s="45" t="s">
        <v>627</v>
      </c>
      <c r="K12" s="45" t="s">
        <v>34</v>
      </c>
      <c r="L12" s="45">
        <v>46239</v>
      </c>
      <c r="M12" s="45"/>
      <c r="N12" s="45"/>
      <c r="O12" s="45"/>
      <c r="P12" s="45"/>
      <c r="Q12" s="45">
        <v>1</v>
      </c>
      <c r="R12" s="41"/>
    </row>
    <row r="13" spans="1:18" s="19" customFormat="1" x14ac:dyDescent="0.25">
      <c r="A13" s="48"/>
      <c r="B13" s="49" t="s">
        <v>30</v>
      </c>
      <c r="C13" s="49" t="s">
        <v>47</v>
      </c>
      <c r="D13" s="49" t="s">
        <v>653</v>
      </c>
      <c r="E13" s="49" t="s">
        <v>49</v>
      </c>
      <c r="F13" s="50">
        <v>8</v>
      </c>
      <c r="G13" s="50">
        <v>0</v>
      </c>
      <c r="H13" s="50">
        <v>30</v>
      </c>
      <c r="I13" s="50">
        <v>-30</v>
      </c>
      <c r="J13" s="49" t="s">
        <v>627</v>
      </c>
      <c r="K13" s="49" t="s">
        <v>34</v>
      </c>
      <c r="L13" s="49">
        <v>46239</v>
      </c>
      <c r="M13" s="49" t="s">
        <v>139</v>
      </c>
      <c r="N13" s="49"/>
      <c r="O13" s="49"/>
      <c r="P13" s="49"/>
      <c r="Q13" s="49">
        <v>1</v>
      </c>
      <c r="R13" s="51">
        <v>30</v>
      </c>
    </row>
    <row r="14" spans="1:18" s="19" customFormat="1" x14ac:dyDescent="0.25">
      <c r="A14" s="44"/>
      <c r="B14" s="45" t="s">
        <v>30</v>
      </c>
      <c r="C14" s="45" t="s">
        <v>654</v>
      </c>
      <c r="D14" s="45" t="s">
        <v>655</v>
      </c>
      <c r="E14" s="45" t="s">
        <v>656</v>
      </c>
      <c r="F14" s="45" t="s">
        <v>39</v>
      </c>
      <c r="G14" s="46">
        <v>670</v>
      </c>
      <c r="H14" s="46">
        <v>30</v>
      </c>
      <c r="I14" s="46">
        <v>640</v>
      </c>
      <c r="J14" s="45" t="s">
        <v>627</v>
      </c>
      <c r="K14" s="45" t="s">
        <v>34</v>
      </c>
      <c r="L14" s="45">
        <v>46239</v>
      </c>
      <c r="M14" s="45"/>
      <c r="N14" s="45"/>
      <c r="O14" s="45"/>
      <c r="P14" s="45"/>
      <c r="Q14" s="45">
        <v>1</v>
      </c>
      <c r="R14" s="41"/>
    </row>
    <row r="15" spans="1:18" s="19" customFormat="1" x14ac:dyDescent="0.25">
      <c r="A15" s="44" t="s">
        <v>29</v>
      </c>
      <c r="B15" s="45" t="s">
        <v>30</v>
      </c>
      <c r="C15" s="45" t="s">
        <v>353</v>
      </c>
      <c r="D15" s="45"/>
      <c r="E15" s="45" t="s">
        <v>354</v>
      </c>
      <c r="F15" s="45" t="s">
        <v>90</v>
      </c>
      <c r="G15" s="46">
        <v>30</v>
      </c>
      <c r="H15" s="46">
        <v>30</v>
      </c>
      <c r="I15" s="46">
        <v>0</v>
      </c>
      <c r="J15" s="45" t="s">
        <v>34</v>
      </c>
      <c r="K15" s="45" t="s">
        <v>34</v>
      </c>
      <c r="L15" s="45">
        <v>46239</v>
      </c>
      <c r="M15" s="45"/>
      <c r="N15" s="45"/>
      <c r="O15" s="45"/>
      <c r="P15" s="45"/>
      <c r="Q15" s="45">
        <v>1</v>
      </c>
      <c r="R15" s="41"/>
    </row>
    <row r="16" spans="1:18" s="19" customFormat="1" x14ac:dyDescent="0.25">
      <c r="A16" s="44"/>
      <c r="B16" s="45" t="s">
        <v>30</v>
      </c>
      <c r="C16" s="45" t="s">
        <v>657</v>
      </c>
      <c r="D16" s="45" t="s">
        <v>658</v>
      </c>
      <c r="E16" s="45" t="s">
        <v>659</v>
      </c>
      <c r="F16" s="45" t="s">
        <v>90</v>
      </c>
      <c r="G16" s="46">
        <v>565</v>
      </c>
      <c r="H16" s="46">
        <v>25</v>
      </c>
      <c r="I16" s="46">
        <v>540</v>
      </c>
      <c r="J16" s="45" t="s">
        <v>34</v>
      </c>
      <c r="K16" s="45" t="s">
        <v>34</v>
      </c>
      <c r="L16" s="45">
        <v>46239</v>
      </c>
      <c r="M16" s="45"/>
      <c r="N16" s="45"/>
      <c r="O16" s="45"/>
      <c r="P16" s="45"/>
      <c r="Q16" s="45">
        <v>1</v>
      </c>
      <c r="R16" s="41"/>
    </row>
    <row r="17" spans="1:18" s="19" customFormat="1" x14ac:dyDescent="0.25">
      <c r="A17" s="44"/>
      <c r="B17" s="45" t="s">
        <v>30</v>
      </c>
      <c r="C17" s="45" t="s">
        <v>660</v>
      </c>
      <c r="D17" s="45" t="s">
        <v>661</v>
      </c>
      <c r="E17" s="45" t="s">
        <v>662</v>
      </c>
      <c r="F17" s="46">
        <v>2</v>
      </c>
      <c r="G17" s="46">
        <v>1670</v>
      </c>
      <c r="H17" s="46">
        <v>30</v>
      </c>
      <c r="I17" s="46">
        <v>1640</v>
      </c>
      <c r="J17" s="45" t="s">
        <v>34</v>
      </c>
      <c r="K17" s="45" t="s">
        <v>34</v>
      </c>
      <c r="L17" s="45">
        <v>46239</v>
      </c>
      <c r="M17" s="45"/>
      <c r="N17" s="45"/>
      <c r="O17" s="45"/>
      <c r="P17" s="45"/>
      <c r="Q17" s="45">
        <v>1</v>
      </c>
      <c r="R17" s="41"/>
    </row>
    <row r="18" spans="1:18" s="19" customFormat="1" x14ac:dyDescent="0.25">
      <c r="A18" s="44"/>
      <c r="B18" s="45" t="s">
        <v>30</v>
      </c>
      <c r="C18" s="45" t="s">
        <v>339</v>
      </c>
      <c r="D18" s="45" t="s">
        <v>663</v>
      </c>
      <c r="E18" s="45" t="s">
        <v>341</v>
      </c>
      <c r="F18" s="46">
        <v>12</v>
      </c>
      <c r="G18" s="46">
        <v>741</v>
      </c>
      <c r="H18" s="46">
        <v>30</v>
      </c>
      <c r="I18" s="46">
        <v>711</v>
      </c>
      <c r="J18" s="45" t="s">
        <v>34</v>
      </c>
      <c r="K18" s="45" t="s">
        <v>34</v>
      </c>
      <c r="L18" s="45">
        <v>46239</v>
      </c>
      <c r="M18" s="45"/>
      <c r="N18" s="45"/>
      <c r="O18" s="45"/>
      <c r="P18" s="45"/>
      <c r="Q18" s="45">
        <v>1</v>
      </c>
      <c r="R18" s="41"/>
    </row>
    <row r="19" spans="1:18" s="19" customFormat="1" x14ac:dyDescent="0.25">
      <c r="A19" s="44"/>
      <c r="B19" s="45" t="s">
        <v>30</v>
      </c>
      <c r="C19" s="45" t="s">
        <v>664</v>
      </c>
      <c r="D19" s="45" t="s">
        <v>665</v>
      </c>
      <c r="E19" s="45" t="s">
        <v>666</v>
      </c>
      <c r="F19" s="46">
        <v>12</v>
      </c>
      <c r="G19" s="46">
        <v>0</v>
      </c>
      <c r="H19" s="46">
        <v>30</v>
      </c>
      <c r="I19" s="46">
        <v>-30</v>
      </c>
      <c r="J19" s="45" t="s">
        <v>34</v>
      </c>
      <c r="K19" s="45" t="s">
        <v>34</v>
      </c>
      <c r="L19" s="45">
        <v>46239</v>
      </c>
      <c r="M19" s="45"/>
      <c r="N19" s="45"/>
      <c r="O19" s="45"/>
      <c r="P19" s="45"/>
      <c r="Q19" s="45">
        <v>1</v>
      </c>
      <c r="R19" s="43">
        <v>30</v>
      </c>
    </row>
    <row r="20" spans="1:18" s="19" customFormat="1" x14ac:dyDescent="0.25">
      <c r="A20" s="44"/>
      <c r="B20" s="45" t="s">
        <v>30</v>
      </c>
      <c r="C20" s="45" t="s">
        <v>667</v>
      </c>
      <c r="D20" s="45" t="s">
        <v>668</v>
      </c>
      <c r="E20" s="45" t="s">
        <v>669</v>
      </c>
      <c r="F20" s="45" t="s">
        <v>108</v>
      </c>
      <c r="G20" s="46">
        <v>805</v>
      </c>
      <c r="H20" s="46">
        <v>25</v>
      </c>
      <c r="I20" s="46">
        <v>780</v>
      </c>
      <c r="J20" s="45" t="s">
        <v>34</v>
      </c>
      <c r="K20" s="45" t="s">
        <v>34</v>
      </c>
      <c r="L20" s="45">
        <v>46239</v>
      </c>
      <c r="M20" s="45"/>
      <c r="N20" s="45"/>
      <c r="O20" s="45"/>
      <c r="P20" s="45"/>
      <c r="Q20" s="45">
        <v>1</v>
      </c>
      <c r="R20" s="41"/>
    </row>
    <row r="21" spans="1:18" s="19" customFormat="1" x14ac:dyDescent="0.25">
      <c r="A21" s="44"/>
      <c r="B21" s="45" t="s">
        <v>30</v>
      </c>
      <c r="C21" s="45" t="s">
        <v>670</v>
      </c>
      <c r="D21" s="45" t="s">
        <v>671</v>
      </c>
      <c r="E21" s="45" t="s">
        <v>672</v>
      </c>
      <c r="F21" s="46">
        <v>12</v>
      </c>
      <c r="G21" s="46">
        <v>0</v>
      </c>
      <c r="H21" s="46">
        <v>30</v>
      </c>
      <c r="I21" s="46">
        <v>-30</v>
      </c>
      <c r="J21" s="45" t="s">
        <v>34</v>
      </c>
      <c r="K21" s="45" t="s">
        <v>34</v>
      </c>
      <c r="L21" s="45">
        <v>46239</v>
      </c>
      <c r="M21" s="45"/>
      <c r="N21" s="45"/>
      <c r="O21" s="45"/>
      <c r="P21" s="45"/>
      <c r="Q21" s="45">
        <v>1</v>
      </c>
      <c r="R21" s="43">
        <v>30</v>
      </c>
    </row>
    <row r="22" spans="1:18" s="19" customFormat="1" x14ac:dyDescent="0.25">
      <c r="A22" s="44"/>
      <c r="B22" s="45" t="s">
        <v>30</v>
      </c>
      <c r="C22" s="45" t="s">
        <v>673</v>
      </c>
      <c r="D22" s="45" t="s">
        <v>674</v>
      </c>
      <c r="E22" s="45" t="s">
        <v>675</v>
      </c>
      <c r="F22" s="46">
        <v>2</v>
      </c>
      <c r="G22" s="46">
        <v>30</v>
      </c>
      <c r="H22" s="46">
        <v>30</v>
      </c>
      <c r="I22" s="46">
        <v>0</v>
      </c>
      <c r="J22" s="45" t="s">
        <v>34</v>
      </c>
      <c r="K22" s="45" t="s">
        <v>34</v>
      </c>
      <c r="L22" s="45">
        <v>46239</v>
      </c>
      <c r="M22" s="45"/>
      <c r="N22" s="45"/>
      <c r="O22" s="45"/>
      <c r="P22" s="45"/>
      <c r="Q22" s="45">
        <v>1</v>
      </c>
      <c r="R22" s="41"/>
    </row>
    <row r="23" spans="1:18" s="19" customFormat="1" x14ac:dyDescent="0.25">
      <c r="A23" s="44"/>
      <c r="B23" s="45" t="s">
        <v>30</v>
      </c>
      <c r="C23" s="45" t="s">
        <v>676</v>
      </c>
      <c r="D23" s="45" t="s">
        <v>677</v>
      </c>
      <c r="E23" s="45" t="s">
        <v>678</v>
      </c>
      <c r="F23" s="45" t="s">
        <v>108</v>
      </c>
      <c r="G23" s="46">
        <v>50</v>
      </c>
      <c r="H23" s="46">
        <v>50</v>
      </c>
      <c r="I23" s="46">
        <v>0</v>
      </c>
      <c r="J23" s="45" t="s">
        <v>34</v>
      </c>
      <c r="K23" s="45" t="s">
        <v>34</v>
      </c>
      <c r="L23" s="45">
        <v>46239</v>
      </c>
      <c r="M23" s="45"/>
      <c r="N23" s="45"/>
      <c r="O23" s="45"/>
      <c r="P23" s="45"/>
      <c r="Q23" s="45">
        <v>1</v>
      </c>
      <c r="R23" s="41"/>
    </row>
    <row r="24" spans="1:18" s="19" customFormat="1" x14ac:dyDescent="0.25">
      <c r="A24" s="44"/>
      <c r="B24" s="45" t="s">
        <v>30</v>
      </c>
      <c r="C24" s="45" t="s">
        <v>679</v>
      </c>
      <c r="D24" s="45" t="s">
        <v>680</v>
      </c>
      <c r="E24" s="45" t="s">
        <v>681</v>
      </c>
      <c r="F24" s="45" t="s">
        <v>98</v>
      </c>
      <c r="G24" s="46">
        <v>710</v>
      </c>
      <c r="H24" s="46">
        <v>20</v>
      </c>
      <c r="I24" s="46">
        <v>690</v>
      </c>
      <c r="J24" s="45" t="s">
        <v>34</v>
      </c>
      <c r="K24" s="45" t="s">
        <v>34</v>
      </c>
      <c r="L24" s="45">
        <v>46239</v>
      </c>
      <c r="M24" s="45"/>
      <c r="N24" s="45"/>
      <c r="O24" s="45"/>
      <c r="P24" s="45"/>
      <c r="Q24" s="45">
        <v>1</v>
      </c>
      <c r="R24" s="41"/>
    </row>
    <row r="25" spans="1:18" s="19" customFormat="1" x14ac:dyDescent="0.25">
      <c r="A25" s="44"/>
      <c r="B25" s="45" t="s">
        <v>30</v>
      </c>
      <c r="C25" s="45" t="s">
        <v>682</v>
      </c>
      <c r="D25" s="45" t="s">
        <v>683</v>
      </c>
      <c r="E25" s="45" t="s">
        <v>684</v>
      </c>
      <c r="F25" s="46">
        <v>2</v>
      </c>
      <c r="G25" s="46">
        <v>820</v>
      </c>
      <c r="H25" s="46">
        <v>30</v>
      </c>
      <c r="I25" s="46">
        <v>790</v>
      </c>
      <c r="J25" s="45" t="s">
        <v>34</v>
      </c>
      <c r="K25" s="45" t="s">
        <v>34</v>
      </c>
      <c r="L25" s="45">
        <v>46239</v>
      </c>
      <c r="M25" s="45"/>
      <c r="N25" s="45"/>
      <c r="O25" s="45"/>
      <c r="P25" s="45"/>
      <c r="Q25" s="45">
        <v>1</v>
      </c>
      <c r="R25" s="41"/>
    </row>
    <row r="26" spans="1:18" s="19" customFormat="1" x14ac:dyDescent="0.25">
      <c r="A26" s="44"/>
      <c r="B26" s="45" t="s">
        <v>30</v>
      </c>
      <c r="C26" s="45" t="s">
        <v>685</v>
      </c>
      <c r="D26" s="45" t="s">
        <v>686</v>
      </c>
      <c r="E26" s="45" t="s">
        <v>687</v>
      </c>
      <c r="F26" s="45" t="s">
        <v>98</v>
      </c>
      <c r="G26" s="46">
        <v>880</v>
      </c>
      <c r="H26" s="46">
        <v>20</v>
      </c>
      <c r="I26" s="46">
        <v>860</v>
      </c>
      <c r="J26" s="45" t="s">
        <v>34</v>
      </c>
      <c r="K26" s="45" t="s">
        <v>34</v>
      </c>
      <c r="L26" s="45">
        <v>46239</v>
      </c>
      <c r="M26" s="45"/>
      <c r="N26" s="45"/>
      <c r="O26" s="45"/>
      <c r="P26" s="45"/>
      <c r="Q26" s="45">
        <v>1</v>
      </c>
      <c r="R26" s="41"/>
    </row>
    <row r="27" spans="1:18" s="19" customFormat="1" x14ac:dyDescent="0.25">
      <c r="A27" s="44"/>
      <c r="B27" s="45" t="s">
        <v>30</v>
      </c>
      <c r="C27" s="45" t="s">
        <v>348</v>
      </c>
      <c r="D27" s="45" t="s">
        <v>688</v>
      </c>
      <c r="E27" s="45" t="s">
        <v>350</v>
      </c>
      <c r="F27" s="45" t="s">
        <v>90</v>
      </c>
      <c r="G27" s="46">
        <v>845</v>
      </c>
      <c r="H27" s="46">
        <v>25</v>
      </c>
      <c r="I27" s="46">
        <v>820</v>
      </c>
      <c r="J27" s="45" t="s">
        <v>34</v>
      </c>
      <c r="K27" s="45" t="s">
        <v>34</v>
      </c>
      <c r="L27" s="45">
        <v>46239</v>
      </c>
      <c r="M27" s="45"/>
      <c r="N27" s="45"/>
      <c r="O27" s="45"/>
      <c r="P27" s="45"/>
      <c r="Q27" s="45">
        <v>1</v>
      </c>
      <c r="R27" s="41"/>
    </row>
    <row r="28" spans="1:18" s="19" customFormat="1" x14ac:dyDescent="0.25">
      <c r="A28" s="44"/>
      <c r="B28" s="45" t="s">
        <v>30</v>
      </c>
      <c r="C28" s="45" t="s">
        <v>689</v>
      </c>
      <c r="D28" s="45" t="s">
        <v>690</v>
      </c>
      <c r="E28" s="45" t="s">
        <v>691</v>
      </c>
      <c r="F28" s="46">
        <v>12</v>
      </c>
      <c r="G28" s="46">
        <v>0</v>
      </c>
      <c r="H28" s="46">
        <v>30</v>
      </c>
      <c r="I28" s="46">
        <v>-30</v>
      </c>
      <c r="J28" s="45" t="s">
        <v>34</v>
      </c>
      <c r="K28" s="45" t="s">
        <v>34</v>
      </c>
      <c r="L28" s="45">
        <v>46239</v>
      </c>
      <c r="M28" s="45"/>
      <c r="N28" s="45"/>
      <c r="O28" s="45"/>
      <c r="P28" s="45"/>
      <c r="Q28" s="45">
        <v>1</v>
      </c>
      <c r="R28" s="43">
        <v>30</v>
      </c>
    </row>
    <row r="29" spans="1:18" s="19" customFormat="1" x14ac:dyDescent="0.25">
      <c r="A29" s="44" t="s">
        <v>29</v>
      </c>
      <c r="B29" s="45" t="s">
        <v>30</v>
      </c>
      <c r="C29" s="45" t="s">
        <v>420</v>
      </c>
      <c r="D29" s="45"/>
      <c r="E29" s="45" t="s">
        <v>421</v>
      </c>
      <c r="F29" s="46">
        <v>1</v>
      </c>
      <c r="G29" s="46">
        <v>0</v>
      </c>
      <c r="H29" s="46">
        <v>30</v>
      </c>
      <c r="I29" s="46">
        <v>-30</v>
      </c>
      <c r="J29" s="45" t="s">
        <v>148</v>
      </c>
      <c r="K29" s="45" t="s">
        <v>34</v>
      </c>
      <c r="L29" s="45">
        <v>46239</v>
      </c>
      <c r="M29" s="45"/>
      <c r="N29" s="45"/>
      <c r="O29" s="45"/>
      <c r="P29" s="45"/>
      <c r="Q29" s="45">
        <v>1</v>
      </c>
      <c r="R29" s="43">
        <v>30</v>
      </c>
    </row>
    <row r="30" spans="1:18" s="19" customFormat="1" x14ac:dyDescent="0.25">
      <c r="A30" s="44"/>
      <c r="B30" s="45" t="s">
        <v>30</v>
      </c>
      <c r="C30" s="45" t="s">
        <v>692</v>
      </c>
      <c r="D30" s="45" t="s">
        <v>693</v>
      </c>
      <c r="E30" s="45" t="s">
        <v>694</v>
      </c>
      <c r="F30" s="45" t="s">
        <v>108</v>
      </c>
      <c r="G30" s="46">
        <v>0</v>
      </c>
      <c r="H30" s="46">
        <v>25</v>
      </c>
      <c r="I30" s="46">
        <v>-25</v>
      </c>
      <c r="J30" s="45" t="s">
        <v>148</v>
      </c>
      <c r="K30" s="45" t="s">
        <v>34</v>
      </c>
      <c r="L30" s="45">
        <v>46239</v>
      </c>
      <c r="M30" s="45"/>
      <c r="N30" s="45"/>
      <c r="O30" s="45"/>
      <c r="P30" s="45"/>
      <c r="Q30" s="45">
        <v>1</v>
      </c>
      <c r="R30" s="43">
        <v>25</v>
      </c>
    </row>
    <row r="31" spans="1:18" s="19" customFormat="1" x14ac:dyDescent="0.25">
      <c r="A31" s="44"/>
      <c r="B31" s="45" t="s">
        <v>30</v>
      </c>
      <c r="C31" s="45" t="s">
        <v>196</v>
      </c>
      <c r="D31" s="45" t="s">
        <v>695</v>
      </c>
      <c r="E31" s="45" t="s">
        <v>198</v>
      </c>
      <c r="F31" s="46">
        <v>4</v>
      </c>
      <c r="G31" s="46">
        <v>885</v>
      </c>
      <c r="H31" s="46">
        <v>25</v>
      </c>
      <c r="I31" s="46">
        <v>860</v>
      </c>
      <c r="J31" s="45" t="s">
        <v>148</v>
      </c>
      <c r="K31" s="45" t="s">
        <v>34</v>
      </c>
      <c r="L31" s="45">
        <v>46239</v>
      </c>
      <c r="M31" s="45"/>
      <c r="N31" s="45"/>
      <c r="O31" s="45"/>
      <c r="P31" s="45"/>
      <c r="Q31" s="45">
        <v>1</v>
      </c>
      <c r="R31" s="41"/>
    </row>
    <row r="32" spans="1:18" s="19" customFormat="1" x14ac:dyDescent="0.25">
      <c r="A32" s="44"/>
      <c r="B32" s="45" t="s">
        <v>30</v>
      </c>
      <c r="C32" s="45" t="s">
        <v>696</v>
      </c>
      <c r="D32" s="45" t="s">
        <v>697</v>
      </c>
      <c r="E32" s="45" t="s">
        <v>698</v>
      </c>
      <c r="F32" s="46">
        <v>1</v>
      </c>
      <c r="G32" s="46">
        <v>825</v>
      </c>
      <c r="H32" s="46">
        <v>25</v>
      </c>
      <c r="I32" s="46">
        <v>800</v>
      </c>
      <c r="J32" s="45" t="s">
        <v>148</v>
      </c>
      <c r="K32" s="45" t="s">
        <v>34</v>
      </c>
      <c r="L32" s="45">
        <v>46239</v>
      </c>
      <c r="M32" s="45"/>
      <c r="N32" s="45"/>
      <c r="O32" s="45"/>
      <c r="P32" s="45"/>
      <c r="Q32" s="45">
        <v>1</v>
      </c>
      <c r="R32" s="41"/>
    </row>
    <row r="33" spans="1:18" s="19" customFormat="1" x14ac:dyDescent="0.25">
      <c r="A33" s="44"/>
      <c r="B33" s="45" t="s">
        <v>30</v>
      </c>
      <c r="C33" s="45" t="s">
        <v>699</v>
      </c>
      <c r="D33" s="45" t="s">
        <v>700</v>
      </c>
      <c r="E33" s="45" t="s">
        <v>701</v>
      </c>
      <c r="F33" s="46">
        <v>10</v>
      </c>
      <c r="G33" s="46">
        <v>0</v>
      </c>
      <c r="H33" s="46">
        <v>25</v>
      </c>
      <c r="I33" s="46">
        <v>-25</v>
      </c>
      <c r="J33" s="45" t="s">
        <v>148</v>
      </c>
      <c r="K33" s="45" t="s">
        <v>34</v>
      </c>
      <c r="L33" s="45">
        <v>46239</v>
      </c>
      <c r="M33" s="45"/>
      <c r="N33" s="45"/>
      <c r="O33" s="45"/>
      <c r="P33" s="45"/>
      <c r="Q33" s="45">
        <v>1</v>
      </c>
      <c r="R33" s="43">
        <v>25</v>
      </c>
    </row>
    <row r="34" spans="1:18" s="19" customFormat="1" x14ac:dyDescent="0.25">
      <c r="A34" s="44"/>
      <c r="B34" s="45" t="s">
        <v>30</v>
      </c>
      <c r="C34" s="45" t="s">
        <v>702</v>
      </c>
      <c r="D34" s="45" t="s">
        <v>703</v>
      </c>
      <c r="E34" s="45" t="s">
        <v>704</v>
      </c>
      <c r="F34" s="46">
        <v>10</v>
      </c>
      <c r="G34" s="46">
        <v>815</v>
      </c>
      <c r="H34" s="46">
        <v>25</v>
      </c>
      <c r="I34" s="46">
        <v>790</v>
      </c>
      <c r="J34" s="45" t="s">
        <v>148</v>
      </c>
      <c r="K34" s="45" t="s">
        <v>34</v>
      </c>
      <c r="L34" s="45">
        <v>46239</v>
      </c>
      <c r="M34" s="45"/>
      <c r="N34" s="45"/>
      <c r="O34" s="45"/>
      <c r="P34" s="45"/>
      <c r="Q34" s="45">
        <v>1</v>
      </c>
      <c r="R34" s="41"/>
    </row>
    <row r="35" spans="1:18" s="19" customFormat="1" x14ac:dyDescent="0.25">
      <c r="A35" s="48"/>
      <c r="B35" s="49" t="s">
        <v>30</v>
      </c>
      <c r="C35" s="49" t="s">
        <v>705</v>
      </c>
      <c r="D35" s="49" t="s">
        <v>706</v>
      </c>
      <c r="E35" s="49" t="s">
        <v>707</v>
      </c>
      <c r="F35" s="50">
        <v>1</v>
      </c>
      <c r="G35" s="50">
        <v>25</v>
      </c>
      <c r="H35" s="50">
        <v>25</v>
      </c>
      <c r="I35" s="50">
        <v>0</v>
      </c>
      <c r="J35" s="49" t="s">
        <v>148</v>
      </c>
      <c r="K35" s="49" t="s">
        <v>34</v>
      </c>
      <c r="L35" s="49">
        <v>46239</v>
      </c>
      <c r="M35" s="49" t="s">
        <v>139</v>
      </c>
      <c r="N35" s="49"/>
      <c r="O35" s="49"/>
      <c r="P35" s="49"/>
      <c r="Q35" s="49">
        <v>1</v>
      </c>
      <c r="R35" s="52"/>
    </row>
    <row r="36" spans="1:18" s="19" customFormat="1" x14ac:dyDescent="0.25">
      <c r="A36" s="44"/>
      <c r="B36" s="45" t="s">
        <v>30</v>
      </c>
      <c r="C36" s="45" t="s">
        <v>708</v>
      </c>
      <c r="D36" s="45" t="s">
        <v>709</v>
      </c>
      <c r="E36" s="45" t="s">
        <v>710</v>
      </c>
      <c r="F36" s="46">
        <v>7</v>
      </c>
      <c r="G36" s="46">
        <v>850</v>
      </c>
      <c r="H36" s="46">
        <v>30</v>
      </c>
      <c r="I36" s="46">
        <v>820</v>
      </c>
      <c r="J36" s="45" t="s">
        <v>148</v>
      </c>
      <c r="K36" s="45" t="s">
        <v>34</v>
      </c>
      <c r="L36" s="45">
        <v>46239</v>
      </c>
      <c r="M36" s="45"/>
      <c r="N36" s="45"/>
      <c r="O36" s="45"/>
      <c r="P36" s="45"/>
      <c r="Q36" s="45">
        <v>1</v>
      </c>
      <c r="R36" s="41"/>
    </row>
    <row r="37" spans="1:18" s="19" customFormat="1" x14ac:dyDescent="0.25">
      <c r="A37" s="44"/>
      <c r="B37" s="45" t="s">
        <v>30</v>
      </c>
      <c r="C37" s="45" t="s">
        <v>711</v>
      </c>
      <c r="D37" s="45" t="s">
        <v>712</v>
      </c>
      <c r="E37" s="45" t="s">
        <v>713</v>
      </c>
      <c r="F37" s="46">
        <v>5</v>
      </c>
      <c r="G37" s="46">
        <v>0</v>
      </c>
      <c r="H37" s="46">
        <v>25</v>
      </c>
      <c r="I37" s="46">
        <v>-25</v>
      </c>
      <c r="J37" s="45" t="s">
        <v>148</v>
      </c>
      <c r="K37" s="45" t="s">
        <v>34</v>
      </c>
      <c r="L37" s="45">
        <v>46239</v>
      </c>
      <c r="M37" s="45"/>
      <c r="N37" s="45"/>
      <c r="O37" s="45"/>
      <c r="P37" s="45"/>
      <c r="Q37" s="45">
        <v>1</v>
      </c>
      <c r="R37" s="43">
        <v>25</v>
      </c>
    </row>
    <row r="38" spans="1:18" s="19" customFormat="1" x14ac:dyDescent="0.25">
      <c r="A38" s="44"/>
      <c r="B38" s="45" t="s">
        <v>30</v>
      </c>
      <c r="C38" s="45" t="s">
        <v>714</v>
      </c>
      <c r="D38" s="45" t="s">
        <v>715</v>
      </c>
      <c r="E38" s="45" t="s">
        <v>716</v>
      </c>
      <c r="F38" s="46">
        <v>10</v>
      </c>
      <c r="G38" s="46">
        <v>455</v>
      </c>
      <c r="H38" s="46">
        <v>25</v>
      </c>
      <c r="I38" s="46">
        <v>430</v>
      </c>
      <c r="J38" s="45" t="s">
        <v>148</v>
      </c>
      <c r="K38" s="45" t="s">
        <v>34</v>
      </c>
      <c r="L38" s="45">
        <v>46239</v>
      </c>
      <c r="M38" s="45"/>
      <c r="N38" s="45"/>
      <c r="O38" s="45"/>
      <c r="P38" s="45"/>
      <c r="Q38" s="45">
        <v>1</v>
      </c>
      <c r="R38" s="41"/>
    </row>
    <row r="40" spans="1:18" x14ac:dyDescent="0.25">
      <c r="G40" s="1">
        <f t="shared" ref="G40:R40" si="0">SUBTOTAL(9,G3:G39)</f>
        <v>18501</v>
      </c>
      <c r="H40" s="1">
        <f t="shared" si="0"/>
        <v>1030</v>
      </c>
      <c r="I40" s="1">
        <f t="shared" si="0"/>
        <v>17471</v>
      </c>
      <c r="J40" s="1">
        <f t="shared" si="0"/>
        <v>0</v>
      </c>
      <c r="K40" s="1">
        <f t="shared" si="0"/>
        <v>0</v>
      </c>
      <c r="L40" s="1">
        <f t="shared" si="0"/>
        <v>1664604</v>
      </c>
      <c r="M40" s="1">
        <f t="shared" si="0"/>
        <v>0</v>
      </c>
      <c r="N40" s="1">
        <f t="shared" si="0"/>
        <v>0</v>
      </c>
      <c r="O40" s="1">
        <f t="shared" si="0"/>
        <v>0</v>
      </c>
      <c r="P40" s="1">
        <f t="shared" si="0"/>
        <v>0</v>
      </c>
      <c r="Q40" s="1">
        <f t="shared" si="0"/>
        <v>36</v>
      </c>
      <c r="R40" s="1">
        <f t="shared" si="0"/>
        <v>380</v>
      </c>
    </row>
    <row r="41" spans="1:18" x14ac:dyDescent="0.25">
      <c r="I41" s="1">
        <v>-1980</v>
      </c>
      <c r="J41" s="1" t="s">
        <v>622</v>
      </c>
    </row>
    <row r="44" spans="1:18" ht="20.25" customHeight="1" x14ac:dyDescent="0.3">
      <c r="H44" s="4" t="s">
        <v>521</v>
      </c>
      <c r="I44" s="5" t="s">
        <v>15</v>
      </c>
      <c r="J44" s="6" t="s">
        <v>16</v>
      </c>
    </row>
    <row r="45" spans="1:18" ht="15.75" customHeight="1" x14ac:dyDescent="0.25">
      <c r="H45" s="7" t="s">
        <v>17</v>
      </c>
      <c r="I45" s="8">
        <f>SUM(I39:I43)</f>
        <v>15491</v>
      </c>
      <c r="J45" s="8">
        <f>Q40</f>
        <v>36</v>
      </c>
    </row>
    <row r="46" spans="1:18" x14ac:dyDescent="0.25">
      <c r="H46" s="9" t="s">
        <v>18</v>
      </c>
      <c r="I46" s="10">
        <f>R40</f>
        <v>380</v>
      </c>
      <c r="J46" s="11"/>
    </row>
    <row r="47" spans="1:18" x14ac:dyDescent="0.25">
      <c r="H47" s="9" t="s">
        <v>19</v>
      </c>
      <c r="I47" s="10">
        <f>S39</f>
        <v>0</v>
      </c>
      <c r="J47" s="11"/>
    </row>
    <row r="48" spans="1:18" x14ac:dyDescent="0.25">
      <c r="H48" s="9" t="s">
        <v>20</v>
      </c>
      <c r="I48" s="10">
        <f>T39</f>
        <v>0</v>
      </c>
      <c r="J48" s="11"/>
    </row>
    <row r="49" spans="1:12" x14ac:dyDescent="0.25">
      <c r="H49" s="9" t="s">
        <v>21</v>
      </c>
      <c r="I49" s="10">
        <f>U39</f>
        <v>0</v>
      </c>
      <c r="J49" s="11"/>
    </row>
    <row r="50" spans="1:12" ht="15.75" customHeight="1" x14ac:dyDescent="0.25">
      <c r="H50" s="12" t="s">
        <v>22</v>
      </c>
      <c r="I50" s="13"/>
      <c r="J50" s="13"/>
    </row>
    <row r="51" spans="1:12" ht="15.75" customHeight="1" x14ac:dyDescent="0.25">
      <c r="H51" s="14" t="s">
        <v>23</v>
      </c>
      <c r="I51" s="13"/>
      <c r="J51" s="13"/>
    </row>
    <row r="52" spans="1:12" ht="21" customHeight="1" x14ac:dyDescent="0.35">
      <c r="H52" s="15" t="s">
        <v>24</v>
      </c>
      <c r="I52" s="16">
        <f>SUM(I45:I51)</f>
        <v>15871</v>
      </c>
      <c r="J52" s="16">
        <f>SUM(J45:J49)</f>
        <v>36</v>
      </c>
    </row>
    <row r="54" spans="1:12" x14ac:dyDescent="0.25">
      <c r="A54" s="1" t="s">
        <v>622</v>
      </c>
    </row>
    <row r="55" spans="1:12" x14ac:dyDescent="0.25">
      <c r="A55" s="36" t="s">
        <v>30</v>
      </c>
      <c r="B55" s="36" t="s">
        <v>618</v>
      </c>
      <c r="C55" s="36" t="s">
        <v>619</v>
      </c>
      <c r="D55" s="36" t="s">
        <v>620</v>
      </c>
      <c r="E55" s="37">
        <v>7</v>
      </c>
      <c r="F55" s="37">
        <v>1980</v>
      </c>
      <c r="G55" s="37">
        <v>0</v>
      </c>
      <c r="H55" s="37">
        <f>F55-G55</f>
        <v>1980</v>
      </c>
      <c r="I55" s="36" t="s">
        <v>623</v>
      </c>
      <c r="J55" s="36" t="s">
        <v>34</v>
      </c>
      <c r="K55" s="36" t="s">
        <v>621</v>
      </c>
      <c r="L55" s="38" t="s">
        <v>624</v>
      </c>
    </row>
  </sheetData>
  <autoFilter ref="A2:P38" xr:uid="{00000000-0009-0000-0000-000006000000}">
    <sortState xmlns:xlrd2="http://schemas.microsoft.com/office/spreadsheetml/2017/richdata2" ref="A3:P38">
      <sortCondition ref="J2:J38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CE89-8A5E-4F72-A1A8-5286164E7275}">
  <dimension ref="A1:R50"/>
  <sheetViews>
    <sheetView topLeftCell="A15" zoomScale="82" zoomScaleNormal="80" workbookViewId="0">
      <selection activeCell="H50" sqref="H5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718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722</v>
      </c>
      <c r="D3" s="22"/>
      <c r="E3" s="22" t="s">
        <v>723</v>
      </c>
      <c r="F3" s="23">
        <v>8</v>
      </c>
      <c r="G3" s="23">
        <v>30</v>
      </c>
      <c r="H3" s="23">
        <v>30</v>
      </c>
      <c r="I3" s="23">
        <f t="shared" ref="I3:I33" si="0">G3-H3</f>
        <v>0</v>
      </c>
      <c r="J3" s="22" t="s">
        <v>724</v>
      </c>
      <c r="K3" s="22" t="s">
        <v>34</v>
      </c>
      <c r="L3" s="22" t="s">
        <v>725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323</v>
      </c>
      <c r="D4" s="22"/>
      <c r="E4" s="22" t="s">
        <v>629</v>
      </c>
      <c r="F4" s="22" t="s">
        <v>39</v>
      </c>
      <c r="G4" s="23">
        <v>35</v>
      </c>
      <c r="H4" s="23">
        <v>35</v>
      </c>
      <c r="I4" s="23">
        <f t="shared" si="0"/>
        <v>0</v>
      </c>
      <c r="J4" s="22" t="s">
        <v>724</v>
      </c>
      <c r="K4" s="22" t="s">
        <v>34</v>
      </c>
      <c r="L4" s="22" t="s">
        <v>725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726</v>
      </c>
      <c r="D5" s="22"/>
      <c r="E5" s="22" t="s">
        <v>727</v>
      </c>
      <c r="F5" s="23">
        <v>12</v>
      </c>
      <c r="G5" s="23">
        <v>35</v>
      </c>
      <c r="H5" s="23">
        <v>35</v>
      </c>
      <c r="I5" s="23">
        <f t="shared" si="0"/>
        <v>0</v>
      </c>
      <c r="J5" s="22" t="s">
        <v>724</v>
      </c>
      <c r="K5" s="22" t="s">
        <v>34</v>
      </c>
      <c r="L5" s="22" t="s">
        <v>725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728</v>
      </c>
      <c r="D6" s="22"/>
      <c r="E6" s="22" t="s">
        <v>729</v>
      </c>
      <c r="F6" s="23">
        <v>6</v>
      </c>
      <c r="G6" s="23">
        <v>650</v>
      </c>
      <c r="H6" s="23">
        <v>30</v>
      </c>
      <c r="I6" s="23">
        <f t="shared" si="0"/>
        <v>620</v>
      </c>
      <c r="J6" s="22" t="s">
        <v>724</v>
      </c>
      <c r="K6" s="22" t="s">
        <v>34</v>
      </c>
      <c r="L6" s="22" t="s">
        <v>725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730</v>
      </c>
      <c r="D7" s="22" t="s">
        <v>731</v>
      </c>
      <c r="E7" s="22" t="s">
        <v>732</v>
      </c>
      <c r="F7" s="22" t="s">
        <v>59</v>
      </c>
      <c r="G7" s="23">
        <v>0</v>
      </c>
      <c r="H7" s="23">
        <v>25</v>
      </c>
      <c r="I7" s="23">
        <f t="shared" si="0"/>
        <v>-25</v>
      </c>
      <c r="J7" s="22" t="s">
        <v>724</v>
      </c>
      <c r="K7" s="22" t="s">
        <v>34</v>
      </c>
      <c r="L7" s="22" t="s">
        <v>725</v>
      </c>
      <c r="M7" s="22"/>
      <c r="N7" s="22"/>
      <c r="O7" s="22"/>
      <c r="P7" s="22"/>
      <c r="Q7" s="22">
        <v>1</v>
      </c>
      <c r="R7" s="24">
        <f>H7</f>
        <v>25</v>
      </c>
    </row>
    <row r="8" spans="1:18" s="27" customFormat="1" x14ac:dyDescent="0.25">
      <c r="A8" s="25"/>
      <c r="B8" s="25" t="s">
        <v>30</v>
      </c>
      <c r="C8" s="25" t="s">
        <v>144</v>
      </c>
      <c r="D8" s="25" t="s">
        <v>733</v>
      </c>
      <c r="E8" s="25" t="s">
        <v>562</v>
      </c>
      <c r="F8" s="25" t="s">
        <v>147</v>
      </c>
      <c r="G8" s="26">
        <v>35</v>
      </c>
      <c r="H8" s="26">
        <v>35</v>
      </c>
      <c r="I8" s="26">
        <f t="shared" si="0"/>
        <v>0</v>
      </c>
      <c r="J8" s="25" t="s">
        <v>724</v>
      </c>
      <c r="K8" s="25" t="s">
        <v>34</v>
      </c>
      <c r="L8" s="25" t="s">
        <v>725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734</v>
      </c>
      <c r="D9" s="22" t="s">
        <v>735</v>
      </c>
      <c r="E9" s="22" t="s">
        <v>736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724</v>
      </c>
      <c r="K9" s="22" t="s">
        <v>34</v>
      </c>
      <c r="L9" s="22" t="s">
        <v>725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737</v>
      </c>
      <c r="D10" s="22" t="s">
        <v>738</v>
      </c>
      <c r="E10" s="22" t="s">
        <v>739</v>
      </c>
      <c r="F10" s="22" t="s">
        <v>39</v>
      </c>
      <c r="G10" s="23">
        <v>400</v>
      </c>
      <c r="H10" s="23">
        <v>30</v>
      </c>
      <c r="I10" s="23">
        <f t="shared" si="0"/>
        <v>370</v>
      </c>
      <c r="J10" s="22" t="s">
        <v>724</v>
      </c>
      <c r="K10" s="22" t="s">
        <v>34</v>
      </c>
      <c r="L10" s="22" t="s">
        <v>725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740</v>
      </c>
      <c r="D11" s="22" t="s">
        <v>741</v>
      </c>
      <c r="E11" s="22" t="s">
        <v>742</v>
      </c>
      <c r="F11" s="23">
        <v>11</v>
      </c>
      <c r="G11" s="23">
        <v>665</v>
      </c>
      <c r="H11" s="23">
        <v>25</v>
      </c>
      <c r="I11" s="23">
        <f t="shared" si="0"/>
        <v>640</v>
      </c>
      <c r="J11" s="22" t="s">
        <v>724</v>
      </c>
      <c r="K11" s="22" t="s">
        <v>34</v>
      </c>
      <c r="L11" s="22" t="s">
        <v>725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743</v>
      </c>
      <c r="D12" s="22" t="s">
        <v>744</v>
      </c>
      <c r="E12" s="22" t="s">
        <v>745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724</v>
      </c>
      <c r="K12" s="22" t="s">
        <v>34</v>
      </c>
      <c r="L12" s="22" t="s">
        <v>725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746</v>
      </c>
      <c r="D13" s="22" t="s">
        <v>747</v>
      </c>
      <c r="E13" s="22" t="s">
        <v>748</v>
      </c>
      <c r="F13" s="23">
        <v>6</v>
      </c>
      <c r="G13" s="23">
        <v>0</v>
      </c>
      <c r="H13" s="23">
        <v>25</v>
      </c>
      <c r="I13" s="23">
        <f t="shared" si="0"/>
        <v>-25</v>
      </c>
      <c r="J13" s="22" t="s">
        <v>724</v>
      </c>
      <c r="K13" s="22" t="s">
        <v>34</v>
      </c>
      <c r="L13" s="22" t="s">
        <v>725</v>
      </c>
      <c r="M13" s="22"/>
      <c r="N13" s="22"/>
      <c r="O13" s="22"/>
      <c r="P13" s="22"/>
      <c r="Q13" s="22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749</v>
      </c>
      <c r="D14" s="22" t="s">
        <v>750</v>
      </c>
      <c r="E14" s="22" t="s">
        <v>751</v>
      </c>
      <c r="F14" s="23">
        <v>7</v>
      </c>
      <c r="G14" s="23">
        <v>770</v>
      </c>
      <c r="H14" s="23">
        <v>30</v>
      </c>
      <c r="I14" s="23">
        <f t="shared" si="0"/>
        <v>740</v>
      </c>
      <c r="J14" s="22" t="s">
        <v>724</v>
      </c>
      <c r="K14" s="22" t="s">
        <v>34</v>
      </c>
      <c r="L14" s="22" t="s">
        <v>725</v>
      </c>
      <c r="M14" s="22"/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752</v>
      </c>
      <c r="D15" s="22"/>
      <c r="E15" s="22" t="s">
        <v>753</v>
      </c>
      <c r="F15" s="22" t="s">
        <v>90</v>
      </c>
      <c r="G15" s="23">
        <v>0</v>
      </c>
      <c r="H15" s="23">
        <v>30</v>
      </c>
      <c r="I15" s="23">
        <f t="shared" si="0"/>
        <v>-30</v>
      </c>
      <c r="J15" s="22" t="s">
        <v>34</v>
      </c>
      <c r="K15" s="22" t="s">
        <v>34</v>
      </c>
      <c r="L15" s="22" t="s">
        <v>725</v>
      </c>
      <c r="M15" s="22"/>
      <c r="N15" s="22"/>
      <c r="O15" s="22"/>
      <c r="P15" s="22"/>
      <c r="Q15" s="22">
        <v>1</v>
      </c>
      <c r="R15" s="24">
        <f>H15</f>
        <v>30</v>
      </c>
    </row>
    <row r="16" spans="1:18" customFormat="1" x14ac:dyDescent="0.25">
      <c r="A16" s="22" t="s">
        <v>29</v>
      </c>
      <c r="B16" s="22" t="s">
        <v>30</v>
      </c>
      <c r="C16" s="22" t="s">
        <v>754</v>
      </c>
      <c r="D16" s="22"/>
      <c r="E16" s="22" t="s">
        <v>755</v>
      </c>
      <c r="F16" s="22" t="s">
        <v>59</v>
      </c>
      <c r="G16" s="23">
        <v>12110</v>
      </c>
      <c r="H16" s="23">
        <v>60</v>
      </c>
      <c r="I16" s="23">
        <f t="shared" si="0"/>
        <v>12050</v>
      </c>
      <c r="J16" s="22" t="s">
        <v>34</v>
      </c>
      <c r="K16" s="22" t="s">
        <v>34</v>
      </c>
      <c r="L16" s="22" t="s">
        <v>725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756</v>
      </c>
      <c r="D17" s="22" t="s">
        <v>757</v>
      </c>
      <c r="E17" s="22" t="s">
        <v>758</v>
      </c>
      <c r="F17" s="22" t="s">
        <v>108</v>
      </c>
      <c r="G17" s="23">
        <v>795</v>
      </c>
      <c r="H17" s="23">
        <v>25</v>
      </c>
      <c r="I17" s="23">
        <f t="shared" si="0"/>
        <v>770</v>
      </c>
      <c r="J17" s="22" t="s">
        <v>34</v>
      </c>
      <c r="K17" s="22" t="s">
        <v>34</v>
      </c>
      <c r="L17" s="22" t="s">
        <v>725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759</v>
      </c>
      <c r="D18" s="22" t="s">
        <v>760</v>
      </c>
      <c r="E18" s="22" t="s">
        <v>761</v>
      </c>
      <c r="F18" s="22" t="s">
        <v>90</v>
      </c>
      <c r="G18" s="23">
        <v>1145</v>
      </c>
      <c r="H18" s="23">
        <v>25</v>
      </c>
      <c r="I18" s="23">
        <f t="shared" si="0"/>
        <v>1120</v>
      </c>
      <c r="J18" s="22" t="s">
        <v>34</v>
      </c>
      <c r="K18" s="22" t="s">
        <v>34</v>
      </c>
      <c r="L18" s="22" t="s">
        <v>725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762</v>
      </c>
      <c r="D19" s="22" t="s">
        <v>763</v>
      </c>
      <c r="E19" s="22" t="s">
        <v>764</v>
      </c>
      <c r="F19" s="22" t="s">
        <v>98</v>
      </c>
      <c r="G19" s="23">
        <v>3640</v>
      </c>
      <c r="H19" s="23">
        <v>30</v>
      </c>
      <c r="I19" s="23">
        <f t="shared" si="0"/>
        <v>3610</v>
      </c>
      <c r="J19" s="22" t="s">
        <v>34</v>
      </c>
      <c r="K19" s="22" t="s">
        <v>34</v>
      </c>
      <c r="L19" s="22" t="s">
        <v>725</v>
      </c>
      <c r="M19" s="28" t="s">
        <v>180</v>
      </c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765</v>
      </c>
      <c r="D20" s="22" t="s">
        <v>766</v>
      </c>
      <c r="E20" s="22" t="s">
        <v>767</v>
      </c>
      <c r="F20" s="23">
        <v>2</v>
      </c>
      <c r="G20" s="23">
        <v>690</v>
      </c>
      <c r="H20" s="23">
        <v>30</v>
      </c>
      <c r="I20" s="23">
        <f t="shared" si="0"/>
        <v>660</v>
      </c>
      <c r="J20" s="22" t="s">
        <v>34</v>
      </c>
      <c r="K20" s="22" t="s">
        <v>34</v>
      </c>
      <c r="L20" s="22" t="s">
        <v>725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768</v>
      </c>
      <c r="D21" s="22" t="s">
        <v>769</v>
      </c>
      <c r="E21" s="22" t="s">
        <v>770</v>
      </c>
      <c r="F21" s="22" t="s">
        <v>108</v>
      </c>
      <c r="G21" s="23">
        <v>2310</v>
      </c>
      <c r="H21" s="23">
        <v>30</v>
      </c>
      <c r="I21" s="23">
        <f t="shared" si="0"/>
        <v>2280</v>
      </c>
      <c r="J21" s="22" t="s">
        <v>34</v>
      </c>
      <c r="K21" s="22" t="s">
        <v>34</v>
      </c>
      <c r="L21" s="22" t="s">
        <v>725</v>
      </c>
      <c r="M21" s="28" t="s">
        <v>180</v>
      </c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242</v>
      </c>
      <c r="D22" s="22" t="s">
        <v>771</v>
      </c>
      <c r="E22" s="22" t="s">
        <v>772</v>
      </c>
      <c r="F22" s="22" t="s">
        <v>90</v>
      </c>
      <c r="G22" s="23">
        <v>395</v>
      </c>
      <c r="H22" s="23">
        <v>25</v>
      </c>
      <c r="I22" s="23">
        <f t="shared" si="0"/>
        <v>370</v>
      </c>
      <c r="J22" s="22" t="s">
        <v>34</v>
      </c>
      <c r="K22" s="22" t="s">
        <v>34</v>
      </c>
      <c r="L22" s="22" t="s">
        <v>725</v>
      </c>
      <c r="M22" s="22"/>
      <c r="N22" s="22"/>
      <c r="O22" s="22"/>
      <c r="P22" s="22"/>
      <c r="Q22" s="22">
        <v>1</v>
      </c>
    </row>
    <row r="23" spans="1:18" s="27" customFormat="1" x14ac:dyDescent="0.25">
      <c r="A23" s="25"/>
      <c r="B23" s="25" t="s">
        <v>30</v>
      </c>
      <c r="C23" s="25" t="s">
        <v>685</v>
      </c>
      <c r="D23" s="25" t="s">
        <v>773</v>
      </c>
      <c r="E23" s="25" t="s">
        <v>687</v>
      </c>
      <c r="F23" s="25" t="s">
        <v>98</v>
      </c>
      <c r="G23" s="26">
        <v>200</v>
      </c>
      <c r="H23" s="26">
        <v>20</v>
      </c>
      <c r="I23" s="26">
        <f t="shared" si="0"/>
        <v>180</v>
      </c>
      <c r="J23" s="25" t="s">
        <v>34</v>
      </c>
      <c r="K23" s="25" t="s">
        <v>34</v>
      </c>
      <c r="L23" s="25" t="s">
        <v>725</v>
      </c>
      <c r="M23" s="25" t="s">
        <v>139</v>
      </c>
      <c r="N23" s="25"/>
      <c r="O23" s="25"/>
      <c r="P23" s="25"/>
      <c r="Q23" s="25">
        <v>1</v>
      </c>
    </row>
    <row r="24" spans="1:18" s="27" customFormat="1" x14ac:dyDescent="0.25">
      <c r="A24" s="25"/>
      <c r="B24" s="25" t="s">
        <v>30</v>
      </c>
      <c r="C24" s="25" t="s">
        <v>115</v>
      </c>
      <c r="D24" s="25" t="s">
        <v>774</v>
      </c>
      <c r="E24" s="25" t="s">
        <v>117</v>
      </c>
      <c r="F24" s="25" t="s">
        <v>90</v>
      </c>
      <c r="G24" s="26">
        <v>25</v>
      </c>
      <c r="H24" s="26">
        <v>25</v>
      </c>
      <c r="I24" s="26">
        <f t="shared" si="0"/>
        <v>0</v>
      </c>
      <c r="J24" s="25" t="s">
        <v>34</v>
      </c>
      <c r="K24" s="25" t="s">
        <v>34</v>
      </c>
      <c r="L24" s="25" t="s">
        <v>725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 t="s">
        <v>29</v>
      </c>
      <c r="B25" s="22" t="s">
        <v>30</v>
      </c>
      <c r="C25" s="22" t="s">
        <v>775</v>
      </c>
      <c r="D25" s="22"/>
      <c r="E25" s="22" t="s">
        <v>776</v>
      </c>
      <c r="F25" s="23">
        <v>3</v>
      </c>
      <c r="G25" s="23">
        <v>2070</v>
      </c>
      <c r="H25" s="23">
        <v>30</v>
      </c>
      <c r="I25" s="23">
        <f t="shared" si="0"/>
        <v>2040</v>
      </c>
      <c r="J25" s="22" t="s">
        <v>148</v>
      </c>
      <c r="K25" s="22" t="s">
        <v>34</v>
      </c>
      <c r="L25" s="22" t="s">
        <v>725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777</v>
      </c>
      <c r="D26" s="22"/>
      <c r="E26" s="22" t="s">
        <v>778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725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customFormat="1" x14ac:dyDescent="0.25">
      <c r="A27" s="22"/>
      <c r="B27" s="22" t="s">
        <v>30</v>
      </c>
      <c r="C27" s="22" t="s">
        <v>779</v>
      </c>
      <c r="D27" s="22" t="s">
        <v>780</v>
      </c>
      <c r="E27" s="22" t="s">
        <v>781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725</v>
      </c>
      <c r="M27" s="28" t="s">
        <v>782</v>
      </c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783</v>
      </c>
      <c r="D28" s="22" t="s">
        <v>784</v>
      </c>
      <c r="E28" s="22" t="s">
        <v>785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725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s="27" customFormat="1" x14ac:dyDescent="0.25">
      <c r="A29" s="25"/>
      <c r="B29" s="25" t="s">
        <v>30</v>
      </c>
      <c r="C29" s="25" t="s">
        <v>702</v>
      </c>
      <c r="D29" s="25" t="s">
        <v>786</v>
      </c>
      <c r="E29" s="25" t="s">
        <v>787</v>
      </c>
      <c r="F29" s="26">
        <v>10</v>
      </c>
      <c r="G29" s="26">
        <v>25</v>
      </c>
      <c r="H29" s="26">
        <v>25</v>
      </c>
      <c r="I29" s="26">
        <f t="shared" si="0"/>
        <v>0</v>
      </c>
      <c r="J29" s="25" t="s">
        <v>148</v>
      </c>
      <c r="K29" s="25" t="s">
        <v>34</v>
      </c>
      <c r="L29" s="25" t="s">
        <v>725</v>
      </c>
      <c r="M29" s="25" t="s">
        <v>139</v>
      </c>
      <c r="N29" s="25"/>
      <c r="O29" s="25"/>
      <c r="P29" s="25"/>
      <c r="Q29" s="25">
        <v>1</v>
      </c>
    </row>
    <row r="30" spans="1:18" customFormat="1" x14ac:dyDescent="0.25">
      <c r="A30" s="22"/>
      <c r="B30" s="22" t="s">
        <v>30</v>
      </c>
      <c r="C30" s="22" t="s">
        <v>788</v>
      </c>
      <c r="D30" s="22" t="s">
        <v>789</v>
      </c>
      <c r="E30" s="22" t="s">
        <v>790</v>
      </c>
      <c r="F30" s="23">
        <v>1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725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customFormat="1" x14ac:dyDescent="0.25">
      <c r="A31" s="22"/>
      <c r="B31" s="22" t="s">
        <v>30</v>
      </c>
      <c r="C31" s="22" t="s">
        <v>791</v>
      </c>
      <c r="D31" s="22" t="s">
        <v>792</v>
      </c>
      <c r="E31" s="22" t="s">
        <v>793</v>
      </c>
      <c r="F31" s="23">
        <v>10</v>
      </c>
      <c r="G31" s="23">
        <v>815</v>
      </c>
      <c r="H31" s="23">
        <v>25</v>
      </c>
      <c r="I31" s="23">
        <f t="shared" si="0"/>
        <v>790</v>
      </c>
      <c r="J31" s="22" t="s">
        <v>148</v>
      </c>
      <c r="K31" s="22" t="s">
        <v>34</v>
      </c>
      <c r="L31" s="22" t="s">
        <v>725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794</v>
      </c>
      <c r="D32" s="22" t="s">
        <v>795</v>
      </c>
      <c r="E32" s="22" t="s">
        <v>796</v>
      </c>
      <c r="F32" s="23">
        <v>5</v>
      </c>
      <c r="G32" s="23">
        <v>775</v>
      </c>
      <c r="H32" s="23">
        <v>25</v>
      </c>
      <c r="I32" s="23">
        <f t="shared" si="0"/>
        <v>750</v>
      </c>
      <c r="J32" s="22" t="s">
        <v>148</v>
      </c>
      <c r="K32" s="22" t="s">
        <v>34</v>
      </c>
      <c r="L32" s="22" t="s">
        <v>725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797</v>
      </c>
      <c r="D33" s="22" t="s">
        <v>798</v>
      </c>
      <c r="E33" s="22" t="s">
        <v>799</v>
      </c>
      <c r="F33" s="23">
        <v>1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725</v>
      </c>
      <c r="M33" s="22"/>
      <c r="N33" s="22"/>
      <c r="O33" s="22"/>
      <c r="P33" s="22"/>
      <c r="Q33" s="22">
        <v>1</v>
      </c>
      <c r="R33" s="24">
        <f>H33</f>
        <v>25</v>
      </c>
    </row>
    <row r="35" spans="1:18" x14ac:dyDescent="0.25">
      <c r="G35" s="1">
        <f t="shared" ref="G35:R35" si="1">SUBTOTAL(9,G3:G34)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275</v>
      </c>
    </row>
    <row r="39" spans="1:18" ht="20.25" customHeight="1" x14ac:dyDescent="0.3">
      <c r="H39" s="4" t="s">
        <v>719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27540</v>
      </c>
      <c r="J40" s="8">
        <f>Q35</f>
        <v>31</v>
      </c>
    </row>
    <row r="41" spans="1:18" x14ac:dyDescent="0.25">
      <c r="H41" s="9" t="s">
        <v>18</v>
      </c>
      <c r="I41" s="10">
        <f>R35</f>
        <v>275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27815</v>
      </c>
      <c r="J47" s="16">
        <f>SUM(J40:J44)</f>
        <v>31</v>
      </c>
    </row>
    <row r="49" spans="1:12" x14ac:dyDescent="0.25">
      <c r="A49" s="1" t="s">
        <v>800</v>
      </c>
    </row>
    <row r="50" spans="1:12" x14ac:dyDescent="0.25">
      <c r="A50" s="36" t="s">
        <v>30</v>
      </c>
      <c r="B50" s="36" t="s">
        <v>779</v>
      </c>
      <c r="C50" s="36" t="s">
        <v>780</v>
      </c>
      <c r="D50" s="36" t="s">
        <v>781</v>
      </c>
      <c r="E50" s="37">
        <v>1</v>
      </c>
      <c r="F50" s="37">
        <v>975</v>
      </c>
      <c r="G50" s="37">
        <v>0</v>
      </c>
      <c r="H50" s="37">
        <f t="shared" ref="H50" si="2">F50-G50</f>
        <v>975</v>
      </c>
      <c r="I50" s="36" t="s">
        <v>148</v>
      </c>
      <c r="J50" s="36" t="s">
        <v>34</v>
      </c>
      <c r="K50" s="36" t="s">
        <v>725</v>
      </c>
      <c r="L50" s="28" t="s">
        <v>782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17D5-9933-4EE3-ACD1-20C1C25F3DB5}">
  <dimension ref="A1:R70"/>
  <sheetViews>
    <sheetView zoomScale="82" zoomScaleNormal="80" workbookViewId="0">
      <selection activeCell="H62" sqref="H6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720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721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346F-FE09-4B80-8463-3C38A222BEE2}">
  <dimension ref="A1:R70"/>
  <sheetViews>
    <sheetView tabSelected="1" topLeftCell="A29" zoomScale="82" zoomScaleNormal="80" workbookViewId="0">
      <selection activeCell="H62" sqref="H6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801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802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1-5</vt:lpstr>
      <vt:lpstr>4-5</vt:lpstr>
      <vt:lpstr>5-5</vt:lpstr>
      <vt:lpstr>6-5</vt:lpstr>
      <vt:lpstr>7-5</vt:lpstr>
      <vt:lpstr>8-5</vt:lpstr>
      <vt:lpstr>9-5</vt:lpstr>
      <vt:lpstr>11-5</vt:lpstr>
      <vt:lpstr>12-5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2026-05-11T05:34:17Z</dcterms:modified>
</cp:coreProperties>
</file>