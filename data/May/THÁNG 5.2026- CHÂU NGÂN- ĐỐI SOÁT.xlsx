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7F5AB279-F322-4AAF-9859-333043739DD4}" xr6:coauthVersionLast="47" xr6:coauthVersionMax="47" xr10:uidLastSave="{00000000-0000-0000-0000-000000000000}"/>
  <bookViews>
    <workbookView xWindow="-120" yWindow="-120" windowWidth="29040" windowHeight="15720" firstSheet="4" activeTab="20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  <sheet name="14-5" sheetId="13" r:id="rId11"/>
    <sheet name="15-5" sheetId="14" r:id="rId12"/>
    <sheet name="16-5" sheetId="15" r:id="rId13"/>
    <sheet name="18-5" sheetId="16" r:id="rId14"/>
    <sheet name="19-5" sheetId="17" r:id="rId15"/>
    <sheet name="20-5" sheetId="19" r:id="rId16"/>
    <sheet name="21-5" sheetId="18" r:id="rId17"/>
    <sheet name="22-5" sheetId="20" r:id="rId18"/>
    <sheet name="23-5" sheetId="21" r:id="rId19"/>
    <sheet name="25-5" sheetId="23" r:id="rId20"/>
    <sheet name="26-5" sheetId="22" r:id="rId21"/>
    <sheet name="27-5" sheetId="24" r:id="rId22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'13-5'!$A$2:$P$35</definedName>
    <definedName name="_xlnm._FilterDatabase" localSheetId="10" hidden="1">'14-5'!$A$2:$P$39</definedName>
    <definedName name="_xlnm._FilterDatabase" localSheetId="0" hidden="1">'1-5'!$A$2:$P$56</definedName>
    <definedName name="_xlnm._FilterDatabase" localSheetId="11" hidden="1">'15-5'!$A$2:$P$34</definedName>
    <definedName name="_xlnm._FilterDatabase" localSheetId="12" hidden="1">'16-5'!$A$2:$P$39</definedName>
    <definedName name="_xlnm._FilterDatabase" localSheetId="13" hidden="1">'18-5'!$A$2:$P$41</definedName>
    <definedName name="_xlnm._FilterDatabase" localSheetId="14" hidden="1">'19-5'!$A$2:$P$29</definedName>
    <definedName name="_xlnm._FilterDatabase" localSheetId="15" hidden="1">'20-5'!$A$2:$P$33</definedName>
    <definedName name="_xlnm._FilterDatabase" localSheetId="16" hidden="1">'21-5'!$A$2:$P$42</definedName>
    <definedName name="_xlnm._FilterDatabase" localSheetId="17" hidden="1">'22-5'!$A$2:$P$28</definedName>
    <definedName name="_xlnm._FilterDatabase" localSheetId="18" hidden="1">'23-5'!$A$2:$P$28</definedName>
    <definedName name="_xlnm._FilterDatabase" localSheetId="19" hidden="1">'25-5'!$A$2:$P$55</definedName>
    <definedName name="_xlnm._FilterDatabase" localSheetId="20" hidden="1">'26-5'!$A$2:$P$29</definedName>
    <definedName name="_xlnm._FilterDatabase" localSheetId="21" hidden="1">'27-5'!$A$2:$P$56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" i="22" l="1"/>
  <c r="I29" i="22"/>
  <c r="I28" i="22"/>
  <c r="I27" i="22"/>
  <c r="I26" i="22"/>
  <c r="I25" i="22"/>
  <c r="R24" i="22"/>
  <c r="I24" i="22"/>
  <c r="I23" i="22"/>
  <c r="I22" i="22"/>
  <c r="R21" i="22"/>
  <c r="I21" i="22"/>
  <c r="R20" i="22"/>
  <c r="I20" i="22"/>
  <c r="I19" i="22"/>
  <c r="I18" i="22"/>
  <c r="I17" i="22"/>
  <c r="I16" i="22"/>
  <c r="I15" i="22"/>
  <c r="R14" i="22"/>
  <c r="I14" i="22"/>
  <c r="I13" i="22"/>
  <c r="R12" i="22"/>
  <c r="I12" i="22"/>
  <c r="I11" i="22"/>
  <c r="I10" i="22"/>
  <c r="R9" i="22"/>
  <c r="I9" i="22"/>
  <c r="R8" i="22"/>
  <c r="I8" i="22"/>
  <c r="R7" i="22"/>
  <c r="I7" i="22"/>
  <c r="R6" i="22"/>
  <c r="I6" i="22"/>
  <c r="I5" i="22"/>
  <c r="I4" i="22"/>
  <c r="I3" i="22"/>
  <c r="I67" i="24"/>
  <c r="I66" i="24"/>
  <c r="I65" i="24"/>
  <c r="I63" i="24"/>
  <c r="R58" i="24"/>
  <c r="I64" i="24" s="1"/>
  <c r="Q58" i="24"/>
  <c r="J63" i="24" s="1"/>
  <c r="J70" i="24" s="1"/>
  <c r="P58" i="24"/>
  <c r="O58" i="24"/>
  <c r="N58" i="24"/>
  <c r="M58" i="24"/>
  <c r="L58" i="24"/>
  <c r="K58" i="24"/>
  <c r="J58" i="24"/>
  <c r="I58" i="24"/>
  <c r="H58" i="24"/>
  <c r="G58" i="24"/>
  <c r="H72" i="23"/>
  <c r="R51" i="23"/>
  <c r="R50" i="23"/>
  <c r="R45" i="23"/>
  <c r="R43" i="23"/>
  <c r="R31" i="23"/>
  <c r="R30" i="23"/>
  <c r="R29" i="23"/>
  <c r="R25" i="23"/>
  <c r="R20" i="23"/>
  <c r="R7" i="23"/>
  <c r="R26" i="23"/>
  <c r="R6" i="23"/>
  <c r="R57" i="23" s="1"/>
  <c r="I63" i="23" s="1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66" i="23"/>
  <c r="I65" i="23"/>
  <c r="I64" i="23"/>
  <c r="Q57" i="23"/>
  <c r="J62" i="23" s="1"/>
  <c r="J69" i="23" s="1"/>
  <c r="P57" i="23"/>
  <c r="O57" i="23"/>
  <c r="N57" i="23"/>
  <c r="M57" i="23"/>
  <c r="L57" i="23"/>
  <c r="K57" i="23"/>
  <c r="J57" i="23"/>
  <c r="H57" i="23"/>
  <c r="G57" i="23"/>
  <c r="R28" i="21"/>
  <c r="I28" i="21"/>
  <c r="R27" i="21"/>
  <c r="I27" i="21"/>
  <c r="I26" i="21"/>
  <c r="R25" i="21"/>
  <c r="I25" i="21"/>
  <c r="R24" i="21"/>
  <c r="I24" i="21"/>
  <c r="R23" i="21"/>
  <c r="I23" i="21"/>
  <c r="R22" i="21"/>
  <c r="I22" i="21"/>
  <c r="R21" i="21"/>
  <c r="I21" i="21"/>
  <c r="R20" i="21"/>
  <c r="I20" i="21"/>
  <c r="I19" i="21"/>
  <c r="I18" i="21"/>
  <c r="R17" i="21"/>
  <c r="I17" i="21"/>
  <c r="I16" i="21"/>
  <c r="I15" i="21"/>
  <c r="I14" i="21"/>
  <c r="R13" i="21"/>
  <c r="I13" i="21"/>
  <c r="R12" i="21"/>
  <c r="I12" i="21"/>
  <c r="I11" i="21"/>
  <c r="I10" i="21"/>
  <c r="I9" i="21"/>
  <c r="R8" i="21"/>
  <c r="I8" i="21"/>
  <c r="I7" i="21"/>
  <c r="I6" i="21"/>
  <c r="R5" i="21"/>
  <c r="I5" i="21"/>
  <c r="I4" i="21"/>
  <c r="I3" i="21"/>
  <c r="I70" i="24" l="1"/>
  <c r="I57" i="23"/>
  <c r="I62" i="23" s="1"/>
  <c r="I69" i="23" s="1"/>
  <c r="I40" i="22"/>
  <c r="I39" i="22"/>
  <c r="I38" i="22"/>
  <c r="R31" i="22"/>
  <c r="I37" i="22" s="1"/>
  <c r="Q31" i="22"/>
  <c r="J36" i="22" s="1"/>
  <c r="J43" i="22" s="1"/>
  <c r="P31" i="22"/>
  <c r="O31" i="22"/>
  <c r="N31" i="22"/>
  <c r="M31" i="22"/>
  <c r="L31" i="22"/>
  <c r="K31" i="22"/>
  <c r="J31" i="22"/>
  <c r="I31" i="22"/>
  <c r="I36" i="22" s="1"/>
  <c r="H31" i="22"/>
  <c r="G31" i="22"/>
  <c r="H45" i="20"/>
  <c r="I28" i="20"/>
  <c r="I27" i="20"/>
  <c r="I26" i="20"/>
  <c r="I25" i="20"/>
  <c r="R24" i="20"/>
  <c r="I24" i="20"/>
  <c r="I23" i="20"/>
  <c r="R22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R8" i="20"/>
  <c r="I8" i="20"/>
  <c r="I7" i="20"/>
  <c r="R6" i="20"/>
  <c r="I6" i="20"/>
  <c r="I30" i="20" s="1"/>
  <c r="I35" i="20" s="1"/>
  <c r="R5" i="20"/>
  <c r="I5" i="20"/>
  <c r="I4" i="20"/>
  <c r="I3" i="20"/>
  <c r="I39" i="21"/>
  <c r="I38" i="21"/>
  <c r="I37" i="21"/>
  <c r="R30" i="21"/>
  <c r="I36" i="21" s="1"/>
  <c r="Q30" i="21"/>
  <c r="J35" i="21" s="1"/>
  <c r="J42" i="21" s="1"/>
  <c r="P30" i="21"/>
  <c r="O30" i="21"/>
  <c r="N30" i="21"/>
  <c r="M30" i="21"/>
  <c r="L30" i="21"/>
  <c r="K30" i="21"/>
  <c r="J30" i="21"/>
  <c r="I30" i="21"/>
  <c r="I35" i="21" s="1"/>
  <c r="I42" i="21" s="1"/>
  <c r="H30" i="21"/>
  <c r="G30" i="21"/>
  <c r="H59" i="18"/>
  <c r="I39" i="20"/>
  <c r="I38" i="20"/>
  <c r="I37" i="20"/>
  <c r="R30" i="20"/>
  <c r="I36" i="20" s="1"/>
  <c r="Q30" i="20"/>
  <c r="J35" i="20" s="1"/>
  <c r="J42" i="20" s="1"/>
  <c r="P30" i="20"/>
  <c r="O30" i="20"/>
  <c r="N30" i="20"/>
  <c r="M30" i="20"/>
  <c r="L30" i="20"/>
  <c r="K30" i="20"/>
  <c r="J30" i="20"/>
  <c r="H30" i="20"/>
  <c r="G30" i="20"/>
  <c r="I43" i="22" l="1"/>
  <c r="I42" i="20"/>
  <c r="I5" i="13" l="1"/>
  <c r="I33" i="19"/>
  <c r="I32" i="19"/>
  <c r="I31" i="19"/>
  <c r="R30" i="19"/>
  <c r="I30" i="19"/>
  <c r="R29" i="19"/>
  <c r="I29" i="19"/>
  <c r="R28" i="19"/>
  <c r="I28" i="19"/>
  <c r="I27" i="19"/>
  <c r="R26" i="19"/>
  <c r="I26" i="19"/>
  <c r="R25" i="19"/>
  <c r="I25" i="19"/>
  <c r="R24" i="19"/>
  <c r="I24" i="19"/>
  <c r="R23" i="19"/>
  <c r="I23" i="19"/>
  <c r="R22" i="19"/>
  <c r="I22" i="19"/>
  <c r="I21" i="19"/>
  <c r="I20" i="19"/>
  <c r="I19" i="19"/>
  <c r="R18" i="19"/>
  <c r="I18" i="19"/>
  <c r="I17" i="19"/>
  <c r="R16" i="19"/>
  <c r="I16" i="19"/>
  <c r="I15" i="19"/>
  <c r="I14" i="19"/>
  <c r="R13" i="19"/>
  <c r="I13" i="19"/>
  <c r="I12" i="19"/>
  <c r="I11" i="19"/>
  <c r="R10" i="19"/>
  <c r="I10" i="19"/>
  <c r="I9" i="19"/>
  <c r="I8" i="19"/>
  <c r="I7" i="19"/>
  <c r="I6" i="19"/>
  <c r="I5" i="19"/>
  <c r="R4" i="19"/>
  <c r="I4" i="19"/>
  <c r="I3" i="19"/>
  <c r="I44" i="19" l="1"/>
  <c r="I43" i="19"/>
  <c r="I42" i="19"/>
  <c r="R35" i="19"/>
  <c r="I41" i="19" s="1"/>
  <c r="Q35" i="19"/>
  <c r="J40" i="19" s="1"/>
  <c r="J47" i="19" s="1"/>
  <c r="P35" i="19"/>
  <c r="O35" i="19"/>
  <c r="N35" i="19"/>
  <c r="M35" i="19"/>
  <c r="L35" i="19"/>
  <c r="K35" i="19"/>
  <c r="J35" i="19"/>
  <c r="I35" i="19"/>
  <c r="I40" i="19" s="1"/>
  <c r="H35" i="19"/>
  <c r="G35" i="19"/>
  <c r="R29" i="17"/>
  <c r="I29" i="17"/>
  <c r="R28" i="17"/>
  <c r="I28" i="17"/>
  <c r="I27" i="17"/>
  <c r="I26" i="17"/>
  <c r="I25" i="17"/>
  <c r="R24" i="17"/>
  <c r="I24" i="17"/>
  <c r="R23" i="17"/>
  <c r="I23" i="17"/>
  <c r="I22" i="17"/>
  <c r="R21" i="17"/>
  <c r="I21" i="17"/>
  <c r="R20" i="17"/>
  <c r="I20" i="17"/>
  <c r="R19" i="17"/>
  <c r="I19" i="17"/>
  <c r="I18" i="17"/>
  <c r="R17" i="17"/>
  <c r="I17" i="17"/>
  <c r="I16" i="17"/>
  <c r="R15" i="17"/>
  <c r="I15" i="17"/>
  <c r="I14" i="17"/>
  <c r="I13" i="17"/>
  <c r="R12" i="17"/>
  <c r="I12" i="17"/>
  <c r="I11" i="17"/>
  <c r="I10" i="17"/>
  <c r="R9" i="17"/>
  <c r="I9" i="17"/>
  <c r="I8" i="17"/>
  <c r="I7" i="17"/>
  <c r="I6" i="17"/>
  <c r="I5" i="17"/>
  <c r="I4" i="17"/>
  <c r="I3" i="17"/>
  <c r="I47" i="19" l="1"/>
  <c r="I53" i="18"/>
  <c r="I52" i="18"/>
  <c r="I51" i="18"/>
  <c r="R44" i="18"/>
  <c r="I50" i="18" s="1"/>
  <c r="Q44" i="18"/>
  <c r="J49" i="18" s="1"/>
  <c r="J56" i="18" s="1"/>
  <c r="P44" i="18"/>
  <c r="O44" i="18"/>
  <c r="N44" i="18"/>
  <c r="M44" i="18"/>
  <c r="L44" i="18"/>
  <c r="K44" i="18"/>
  <c r="J44" i="18"/>
  <c r="I44" i="18"/>
  <c r="I49" i="18" s="1"/>
  <c r="H44" i="18"/>
  <c r="G44" i="18"/>
  <c r="I41" i="16"/>
  <c r="I40" i="16"/>
  <c r="I39" i="16"/>
  <c r="I38" i="16"/>
  <c r="I37" i="16"/>
  <c r="I36" i="16"/>
  <c r="R35" i="16"/>
  <c r="I35" i="16"/>
  <c r="I34" i="16"/>
  <c r="R33" i="16"/>
  <c r="I33" i="16"/>
  <c r="I32" i="16"/>
  <c r="I31" i="16"/>
  <c r="I30" i="16"/>
  <c r="R29" i="16"/>
  <c r="I29" i="16"/>
  <c r="I28" i="16"/>
  <c r="I27" i="16"/>
  <c r="R26" i="16"/>
  <c r="I26" i="16"/>
  <c r="I25" i="16"/>
  <c r="I24" i="16"/>
  <c r="I23" i="16"/>
  <c r="I22" i="16"/>
  <c r="I21" i="16"/>
  <c r="R20" i="16"/>
  <c r="I20" i="16"/>
  <c r="I19" i="16"/>
  <c r="I18" i="16"/>
  <c r="I17" i="16"/>
  <c r="I16" i="16"/>
  <c r="I15" i="16"/>
  <c r="I14" i="16"/>
  <c r="R13" i="16"/>
  <c r="I13" i="16"/>
  <c r="R12" i="16"/>
  <c r="I12" i="16"/>
  <c r="R11" i="16"/>
  <c r="I11" i="16"/>
  <c r="R10" i="16"/>
  <c r="I10" i="16"/>
  <c r="R9" i="16"/>
  <c r="I9" i="16"/>
  <c r="R8" i="16"/>
  <c r="I8" i="16"/>
  <c r="R7" i="16"/>
  <c r="I7" i="16"/>
  <c r="I6" i="16"/>
  <c r="R5" i="16"/>
  <c r="I5" i="16"/>
  <c r="I4" i="16"/>
  <c r="I3" i="16"/>
  <c r="I40" i="17"/>
  <c r="I39" i="17"/>
  <c r="I38" i="17"/>
  <c r="R31" i="17"/>
  <c r="I37" i="17" s="1"/>
  <c r="Q31" i="17"/>
  <c r="J36" i="17" s="1"/>
  <c r="J43" i="17" s="1"/>
  <c r="P31" i="17"/>
  <c r="O31" i="17"/>
  <c r="N31" i="17"/>
  <c r="M31" i="17"/>
  <c r="L31" i="17"/>
  <c r="K31" i="17"/>
  <c r="J31" i="17"/>
  <c r="I31" i="17"/>
  <c r="I36" i="17" s="1"/>
  <c r="H31" i="17"/>
  <c r="G31" i="17"/>
  <c r="H59" i="15"/>
  <c r="I43" i="17" l="1"/>
  <c r="I56" i="18"/>
  <c r="H57" i="15"/>
  <c r="H56" i="15"/>
  <c r="R39" i="15"/>
  <c r="I39" i="15"/>
  <c r="I38" i="15"/>
  <c r="I37" i="15"/>
  <c r="I36" i="15"/>
  <c r="I35" i="15"/>
  <c r="I34" i="15"/>
  <c r="R33" i="15"/>
  <c r="I33" i="15"/>
  <c r="R32" i="15"/>
  <c r="I32" i="15"/>
  <c r="I31" i="15"/>
  <c r="I30" i="15"/>
  <c r="I29" i="15"/>
  <c r="R28" i="15"/>
  <c r="I28" i="15"/>
  <c r="I27" i="15"/>
  <c r="I26" i="15"/>
  <c r="I25" i="15"/>
  <c r="R24" i="15"/>
  <c r="I24" i="15"/>
  <c r="I23" i="15"/>
  <c r="I22" i="15"/>
  <c r="I21" i="15"/>
  <c r="I20" i="15"/>
  <c r="I19" i="15"/>
  <c r="R18" i="15"/>
  <c r="I18" i="15"/>
  <c r="I17" i="15"/>
  <c r="I16" i="15"/>
  <c r="I15" i="15"/>
  <c r="I14" i="15"/>
  <c r="I13" i="15"/>
  <c r="R12" i="15"/>
  <c r="I12" i="15"/>
  <c r="I11" i="15"/>
  <c r="I10" i="15"/>
  <c r="I9" i="15"/>
  <c r="I8" i="15"/>
  <c r="R7" i="15"/>
  <c r="I7" i="15"/>
  <c r="R6" i="15"/>
  <c r="I6" i="15"/>
  <c r="I5" i="15"/>
  <c r="R4" i="15"/>
  <c r="I4" i="15"/>
  <c r="R3" i="15"/>
  <c r="R41" i="15" s="1"/>
  <c r="I47" i="15" s="1"/>
  <c r="I3" i="15"/>
  <c r="I41" i="15" s="1"/>
  <c r="I46" i="15" s="1"/>
  <c r="I53" i="15" s="1"/>
  <c r="R43" i="16"/>
  <c r="I49" i="16" s="1"/>
  <c r="I43" i="16"/>
  <c r="I48" i="16" s="1"/>
  <c r="I52" i="16"/>
  <c r="I51" i="16"/>
  <c r="I50" i="16"/>
  <c r="Q43" i="16"/>
  <c r="J48" i="16" s="1"/>
  <c r="J55" i="16" s="1"/>
  <c r="P43" i="16"/>
  <c r="O43" i="16"/>
  <c r="N43" i="16"/>
  <c r="M43" i="16"/>
  <c r="L43" i="16"/>
  <c r="K43" i="16"/>
  <c r="J43" i="16"/>
  <c r="H43" i="16"/>
  <c r="G43" i="16"/>
  <c r="I34" i="14"/>
  <c r="I33" i="14"/>
  <c r="I32" i="14"/>
  <c r="R31" i="14"/>
  <c r="I31" i="14"/>
  <c r="R30" i="14"/>
  <c r="I30" i="14"/>
  <c r="I29" i="14"/>
  <c r="I28" i="14"/>
  <c r="I27" i="14"/>
  <c r="I26" i="14"/>
  <c r="I25" i="14"/>
  <c r="I36" i="14" s="1"/>
  <c r="I41" i="14" s="1"/>
  <c r="R24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R10" i="14"/>
  <c r="I10" i="14"/>
  <c r="R9" i="14"/>
  <c r="I9" i="14"/>
  <c r="I8" i="14"/>
  <c r="I7" i="14"/>
  <c r="R6" i="14"/>
  <c r="I6" i="14"/>
  <c r="I5" i="14"/>
  <c r="R4" i="14"/>
  <c r="I4" i="14"/>
  <c r="I3" i="14"/>
  <c r="I50" i="15"/>
  <c r="I49" i="15"/>
  <c r="I48" i="15"/>
  <c r="Q41" i="15"/>
  <c r="J46" i="15" s="1"/>
  <c r="J53" i="15" s="1"/>
  <c r="P41" i="15"/>
  <c r="O41" i="15"/>
  <c r="N41" i="15"/>
  <c r="M41" i="15"/>
  <c r="L41" i="15"/>
  <c r="K41" i="15"/>
  <c r="J41" i="15"/>
  <c r="H41" i="15"/>
  <c r="G41" i="15"/>
  <c r="R39" i="13"/>
  <c r="H56" i="13"/>
  <c r="I39" i="13"/>
  <c r="R38" i="13"/>
  <c r="I38" i="13"/>
  <c r="I37" i="13"/>
  <c r="R36" i="13"/>
  <c r="I36" i="13"/>
  <c r="I35" i="13"/>
  <c r="I34" i="13"/>
  <c r="R33" i="13"/>
  <c r="I33" i="13"/>
  <c r="I32" i="13"/>
  <c r="I31" i="13"/>
  <c r="I30" i="13"/>
  <c r="R29" i="13"/>
  <c r="I29" i="13"/>
  <c r="I28" i="13"/>
  <c r="R27" i="13"/>
  <c r="I27" i="13"/>
  <c r="R26" i="13"/>
  <c r="I26" i="13"/>
  <c r="R25" i="13"/>
  <c r="I25" i="13"/>
  <c r="I24" i="13"/>
  <c r="I23" i="13"/>
  <c r="I22" i="13"/>
  <c r="R21" i="13"/>
  <c r="I21" i="13"/>
  <c r="I20" i="13"/>
  <c r="R19" i="13"/>
  <c r="I19" i="13"/>
  <c r="I18" i="13"/>
  <c r="I17" i="13"/>
  <c r="R16" i="13"/>
  <c r="I16" i="13"/>
  <c r="I15" i="13"/>
  <c r="I14" i="13"/>
  <c r="R13" i="13"/>
  <c r="I13" i="13"/>
  <c r="I12" i="13"/>
  <c r="I11" i="13"/>
  <c r="R10" i="13"/>
  <c r="I10" i="13"/>
  <c r="I9" i="13"/>
  <c r="R8" i="13"/>
  <c r="I8" i="13"/>
  <c r="I7" i="13"/>
  <c r="I6" i="13"/>
  <c r="R4" i="13"/>
  <c r="I4" i="13"/>
  <c r="I3" i="13"/>
  <c r="I45" i="14"/>
  <c r="I44" i="14"/>
  <c r="I43" i="14"/>
  <c r="R36" i="14"/>
  <c r="I42" i="14" s="1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I55" i="16" l="1"/>
  <c r="I48" i="14"/>
  <c r="I35" i="12" l="1"/>
  <c r="I34" i="12"/>
  <c r="I33" i="12"/>
  <c r="I32" i="12"/>
  <c r="I31" i="12"/>
  <c r="I30" i="12"/>
  <c r="I29" i="12"/>
  <c r="I28" i="12"/>
  <c r="I27" i="12"/>
  <c r="I26" i="12"/>
  <c r="I25" i="12"/>
  <c r="I24" i="12"/>
  <c r="R23" i="12"/>
  <c r="I23" i="12"/>
  <c r="I22" i="12"/>
  <c r="R21" i="12"/>
  <c r="I21" i="12"/>
  <c r="I20" i="12"/>
  <c r="I19" i="12"/>
  <c r="I18" i="12"/>
  <c r="R17" i="12"/>
  <c r="I17" i="12"/>
  <c r="I16" i="12"/>
  <c r="I15" i="12"/>
  <c r="I14" i="12"/>
  <c r="R13" i="12"/>
  <c r="I13" i="12"/>
  <c r="I12" i="12"/>
  <c r="I11" i="12"/>
  <c r="R10" i="12"/>
  <c r="I10" i="12"/>
  <c r="R9" i="12"/>
  <c r="I9" i="12"/>
  <c r="I8" i="12"/>
  <c r="R7" i="12"/>
  <c r="I7" i="12"/>
  <c r="I6" i="12"/>
  <c r="I5" i="12"/>
  <c r="I4" i="12"/>
  <c r="I3" i="12"/>
  <c r="I50" i="13" l="1"/>
  <c r="I49" i="13"/>
  <c r="I48" i="13"/>
  <c r="R41" i="13"/>
  <c r="I47" i="13" s="1"/>
  <c r="Q41" i="13"/>
  <c r="J46" i="13" s="1"/>
  <c r="J53" i="13" s="1"/>
  <c r="P41" i="13"/>
  <c r="O41" i="13"/>
  <c r="N41" i="13"/>
  <c r="M41" i="13"/>
  <c r="L41" i="13"/>
  <c r="K41" i="13"/>
  <c r="J41" i="13"/>
  <c r="I41" i="13"/>
  <c r="I46" i="13" s="1"/>
  <c r="H41" i="13"/>
  <c r="G41" i="13"/>
  <c r="I27" i="1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46" i="12"/>
  <c r="I45" i="12"/>
  <c r="I44" i="12"/>
  <c r="R37" i="12"/>
  <c r="I43" i="12" s="1"/>
  <c r="Q37" i="12"/>
  <c r="J42" i="12" s="1"/>
  <c r="J49" i="12" s="1"/>
  <c r="P37" i="12"/>
  <c r="O37" i="12"/>
  <c r="N37" i="12"/>
  <c r="M37" i="12"/>
  <c r="L37" i="12"/>
  <c r="K37" i="12"/>
  <c r="J37" i="12"/>
  <c r="I37" i="12"/>
  <c r="I42" i="12" s="1"/>
  <c r="I49" i="12" s="1"/>
  <c r="H37" i="12"/>
  <c r="G37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53" i="13" l="1"/>
  <c r="R29" i="1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<sst xmlns="http://schemas.openxmlformats.org/spreadsheetml/2006/main" count="6408" uniqueCount="2074">
  <si>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</si>
  <si>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</si>
  <si>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</si>
  <si>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</si>
  <si>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</si>
  <si>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</si>
  <si>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</si>
  <si>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</si>
  <si>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</si>
  <si>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</si>
  <si>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</si>
  <si>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</si>
  <si>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</si>
  <si>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</si>
  <si>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</si>
  <si>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</si>
  <si>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</si>
  <si>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</si>
  <si>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</si>
  <si>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</si>
  <si>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</si>
  <si>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</si>
  <si>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</si>
  <si>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</si>
  <si>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</si>
  <si>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</si>
  <si>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</si>
  <si>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</si>
  <si>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</si>
  <si>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</si>
  <si>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</si>
  <si>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</si>
  <si>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</si>
  <si>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</si>
  <si>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</si>
  <si>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</si>
  <si>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</si>
  <si>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</si>
  <si>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</si>
  <si>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</si>
  <si>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</si>
  <si>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</si>
  <si>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</si>
  <si>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</si>
  <si>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</si>
  <si>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</si>
  <si>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</si>
  <si>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</si>
  <si>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</si>
  <si>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</si>
  <si>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</si>
  <si>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</si>
  <si>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</si>
  <si>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</si>
  <si>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</si>
  <si>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</si>
  <si>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</si>
  <si>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</si>
  <si>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</si>
  <si>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</si>
  <si>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</si>
  <si>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</si>
  <si>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</si>
  <si>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</si>
  <si>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</si>
  <si>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</si>
  <si>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</si>
  <si>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</si>
  <si>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</si>
  <si>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</si>
  <si>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</si>
  <si>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</si>
  <si>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</si>
  <si>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</si>
  <si>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</si>
  <si>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</si>
  <si>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</si>
  <si>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</si>
  <si>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</si>
  <si>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</si>
  <si>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</si>
  <si>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</si>
  <si>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</si>
  <si>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</si>
  <si>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</si>
  <si>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</si>
  <si>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</si>
  <si>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</si>
  <si>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</si>
  <si>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</si>
  <si>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</si>
  <si>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</si>
  <si>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</si>
  <si>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</si>
  <si>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</si>
  <si>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</si>
  <si>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</si>
  <si>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</si>
  <si>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</si>
  <si>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</si>
  <si>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</si>
  <si>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</si>
  <si>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</si>
  <si>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</si>
  <si>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</si>
  <si>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</si>
  <si>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</si>
  <si>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</si>
  <si>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</si>
  <si>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</si>
  <si>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</si>
  <si>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</si>
  <si>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</si>
  <si>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</si>
  <si>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</si>
  <si>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</si>
  <si>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</si>
  <si>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</si>
  <si>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</si>
  <si>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</si>
  <si>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</si>
  <si>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</si>
  <si>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</si>
  <si>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</si>
  <si>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</si>
  <si>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</si>
  <si>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</si>
  <si>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</si>
  <si>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</si>
  <si>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</si>
  <si>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</si>
  <si>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</si>
  <si>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</si>
  <si>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</si>
  <si>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</si>
  <si>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</si>
  <si>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</si>
  <si>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</si>
  <si>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</si>
  <si>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</si>
  <si>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</si>
  <si>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</si>
  <si>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</si>
  <si>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</si>
  <si>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</si>
  <si>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</si>
  <si>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</si>
  <si>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</si>
  <si>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</si>
  <si>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</si>
  <si>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</si>
  <si>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</si>
  <si>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</si>
  <si>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</si>
  <si>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</si>
  <si>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</si>
  <si>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</si>
  <si>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</si>
  <si>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</si>
  <si>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</si>
  <si>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</si>
  <si>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</si>
  <si>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</si>
  <si>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</si>
  <si>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</si>
  <si>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</si>
  <si>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</si>
  <si>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</si>
  <si>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</si>
  <si>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</si>
  <si>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</si>
  <si>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</si>
  <si>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</si>
  <si>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</si>
  <si>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</si>
  <si>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</si>
  <si>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</si>
  <si>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</si>
  <si>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</si>
  <si>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</si>
  <si>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</si>
  <si>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</si>
  <si>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</si>
  <si>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</si>
  <si>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</si>
  <si>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</si>
  <si>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</si>
  <si>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</si>
  <si>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</si>
  <si>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</si>
  <si>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</si>
  <si>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</si>
  <si>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</si>
  <si>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</si>
  <si>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</si>
  <si>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</si>
  <si>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</si>
  <si>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</si>
  <si>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</si>
  <si>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</si>
  <si>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</si>
  <si>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</si>
  <si>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</si>
  <si>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</si>
  <si>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</si>
  <si>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</si>
  <si>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</si>
  <si>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</si>
  <si>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</si>
  <si>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</si>
  <si>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</si>
  <si>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</si>
  <si>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</si>
  <si>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</si>
  <si>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</si>
  <si>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</si>
  <si>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</si>
  <si>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</si>
  <si>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</si>
  <si>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</si>
  <si>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</si>
  <si>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</si>
  <si>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</si>
  <si>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</si>
  <si>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</si>
  <si>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</si>
  <si>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</si>
  <si>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</si>
  <si>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</si>
  <si>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</si>
  <si>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</si>
  <si>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</si>
  <si>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</si>
  <si>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</si>
  <si>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</si>
  <si>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</si>
  <si>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</si>
  <si>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</si>
  <si>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</si>
  <si>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</si>
  <si>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</si>
  <si>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</si>
  <si>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</si>
  <si>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</si>
  <si>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</si>
  <si>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</si>
  <si>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</si>
  <si>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</si>
  <si>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</si>
  <si>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</si>
  <si>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</si>
  <si>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</si>
  <si>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</si>
  <si>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</si>
  <si>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</si>
  <si>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</si>
  <si>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</si>
  <si>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</si>
  <si>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</si>
  <si>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</si>
  <si>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</si>
  <si>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</si>
  <si>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</si>
  <si>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</si>
  <si>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</si>
  <si>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</si>
  <si>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</si>
  <si>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</si>
  <si>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</si>
  <si>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</si>
  <si>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</si>
  <si>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</si>
  <si>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</si>
  <si>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</si>
  <si>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</si>
  <si>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</si>
  <si>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</si>
  <si>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</si>
  <si>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</si>
  <si>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</si>
  <si>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</si>
  <si>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</si>
  <si>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</si>
  <si>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</si>
  <si>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</si>
  <si>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</si>
  <si>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</si>
  <si>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</si>
  <si>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</si>
  <si>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</si>
  <si>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</si>
  <si>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</si>
  <si>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</si>
  <si>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</si>
  <si>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</si>
  <si>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</si>
  <si>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</si>
  <si>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</si>
  <si>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</si>
  <si>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</si>
  <si>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</si>
  <si>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</si>
  <si>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</si>
  <si>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</si>
  <si>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</si>
  <si>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</si>
  <si>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</si>
  <si>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</si>
  <si>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</si>
  <si>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</si>
  <si>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</si>
  <si>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</si>
  <si>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</si>
  <si>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</si>
  <si>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</si>
  <si>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</si>
  <si>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</si>
  <si>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</si>
  <si>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</si>
  <si>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</si>
  <si>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</si>
  <si>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</si>
  <si>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</si>
  <si>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</si>
  <si>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</si>
  <si>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</si>
  <si>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</si>
  <si>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</si>
  <si>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</si>
  <si>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</si>
  <si>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</si>
  <si>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</si>
  <si>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</si>
  <si>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</si>
  <si>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</si>
  <si>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</si>
  <si>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</si>
  <si>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</si>
  <si>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</si>
  <si>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</si>
  <si>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</si>
  <si>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</si>
  <si>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</si>
  <si>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</si>
  <si>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</si>
  <si>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</si>
  <si>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</si>
  <si>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</si>
  <si>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</si>
  <si>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</si>
  <si>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</si>
  <si>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</si>
  <si>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</si>
  <si>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</si>
  <si>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</si>
  <si>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</si>
  <si>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</si>
  <si>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</si>
  <si>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</si>
  <si>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</si>
  <si>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</si>
  <si>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</si>
  <si>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</si>
  <si>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</si>
  <si>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</si>
  <si>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</si>
  <si>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</si>
  <si>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</si>
  <si>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</si>
  <si>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</si>
  <si>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</si>
  <si>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</si>
  <si>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</si>
  <si>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</si>
  <si>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</si>
  <si>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</si>
  <si>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</si>
  <si>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</si>
  <si>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</si>
  <si>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</si>
  <si>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</si>
  <si>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</si>
  <si>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</si>
  <si>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</si>
  <si>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</si>
  <si>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</si>
  <si>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</si>
  <si>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</si>
  <si>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</si>
  <si>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</si>
  <si>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</si>
  <si>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</si>
  <si>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</si>
  <si>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</si>
  <si>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</si>
  <si>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</si>
  <si>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</si>
  <si>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</si>
  <si>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</si>
  <si>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</si>
  <si>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</si>
  <si>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</si>
  <si>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</si>
  <si>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</si>
  <si>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</si>
  <si>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</si>
  <si>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</si>
  <si>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</si>
  <si>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</si>
  <si>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</si>
  <si>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</si>
  <si>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</si>
  <si>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</si>
  <si>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</si>
  <si>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</si>
  <si>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</si>
  <si>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</si>
  <si>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</si>
  <si>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</si>
  <si>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</si>
  <si>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</si>
  <si>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</si>
  <si>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</si>
  <si>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</si>
  <si>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</si>
  <si>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</si>
  <si>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</si>
  <si>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</si>
  <si>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</si>
  <si>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</si>
  <si>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</si>
  <si>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</si>
  <si>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</si>
  <si>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</si>
  <si>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</si>
  <si>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</si>
  <si>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</si>
  <si>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</si>
  <si>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</si>
  <si>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</si>
  <si>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</si>
  <si>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</si>
  <si>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</si>
  <si>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</si>
  <si>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</si>
  <si>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</si>
  <si>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</si>
  <si>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</si>
  <si>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</si>
  <si>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</si>
  <si>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</si>
  <si>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</si>
  <si>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</si>
  <si>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</si>
  <si>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</si>
  <si>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</si>
  <si>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</si>
  <si>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</si>
  <si>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</si>
  <si>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</si>
  <si>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</si>
  <si>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</si>
  <si>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</si>
  <si>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</si>
  <si>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</si>
  <si>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</si>
  <si>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</si>
  <si>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</si>
  <si>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</si>
  <si>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</si>
  <si>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</si>
  <si>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</si>
  <si>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</si>
  <si>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</si>
  <si>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</si>
  <si>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</si>
  <si>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</si>
  <si>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</si>
  <si>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</si>
  <si>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</si>
  <si>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</si>
  <si>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</si>
  <si>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</si>
  <si>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</si>
  <si>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</si>
  <si>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</si>
  <si>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</si>
  <si>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</si>
  <si>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</si>
  <si>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</si>
  <si>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</si>
  <si>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</si>
  <si>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</si>
  <si>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</si>
  <si>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</si>
  <si>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</si>
  <si>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</si>
  <si>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</si>
  <si>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</si>
  <si>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</si>
  <si>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</si>
  <si>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</si>
  <si>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</si>
  <si>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</si>
  <si>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</si>
  <si>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</si>
  <si>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</si>
  <si>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</si>
  <si>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</si>
  <si>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</si>
  <si>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</si>
  <si>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</si>
  <si>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</si>
  <si>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</si>
  <si>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</si>
  <si>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</si>
  <si>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</si>
  <si>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</si>
  <si>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</si>
  <si>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</si>
  <si>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</si>
  <si>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</si>
  <si>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</si>
  <si>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</si>
  <si>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</si>
  <si>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</si>
  <si>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</si>
  <si>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</si>
  <si>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</si>
  <si>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</si>
  <si>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</si>
  <si>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</si>
  <si>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</si>
  <si>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</si>
  <si>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</si>
  <si>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</si>
  <si>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</si>
  <si>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</si>
  <si>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</si>
  <si>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</si>
  <si>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</si>
  <si>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</si>
  <si>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</si>
  <si>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</si>
  <si>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</si>
  <si>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</si>
  <si>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</si>
  <si>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</si>
  <si>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</si>
  <si>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</si>
  <si>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</si>
  <si>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</si>
  <si>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</si>
  <si>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</si>
  <si>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</si>
  <si>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</si>
  <si>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</si>
  <si>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</si>
  <si>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</si>
  <si>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</si>
  <si>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</si>
  <si>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</si>
  <si>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</si>
  <si>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</si>
  <si>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</si>
  <si>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</si>
  <si>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</si>
  <si>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</si>
  <si>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</si>
  <si>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</si>
  <si>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</si>
  <si>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</si>
  <si>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</si>
  <si>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</si>
  <si>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</si>
  <si>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</si>
  <si>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</si>
  <si>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</si>
  <si>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</si>
  <si>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</si>
  <si>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</si>
  <si>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</si>
  <si>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</si>
  <si>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</si>
  <si>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</si>
  <si>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</si>
  <si>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</si>
  <si>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</si>
  <si>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</si>
  <si>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</si>
  <si>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</si>
  <si>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</si>
  <si>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</si>
  <si>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</si>
  <si>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</si>
  <si>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</si>
  <si>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</si>
  <si>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</si>
  <si>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</si>
  <si>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</si>
  <si>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</si>
  <si>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</si>
  <si>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</si>
  <si>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</si>
  <si>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</si>
  <si>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</si>
  <si>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</si>
  <si>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</si>
  <si>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</si>
  <si>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</si>
  <si>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</si>
  <si>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</si>
  <si>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</si>
  <si>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</si>
  <si>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</si>
  <si>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</si>
  <si>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</si>
  <si>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</si>
  <si>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</si>
  <si>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</si>
  <si>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</si>
  <si>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</si>
  <si>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</si>
  <si>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</si>
  <si>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</si>
  <si>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</si>
  <si>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</si>
  <si>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</si>
  <si>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</si>
  <si>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</si>
  <si>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</si>
  <si>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</si>
  <si>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</si>
  <si>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</si>
  <si>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</si>
  <si>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</si>
  <si>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</si>
  <si>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</si>
  <si>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</si>
  <si>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</si>
  <si>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</si>
  <si>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</si>
  <si>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</si>
  <si>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</si>
  <si>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</si>
  <si>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</si>
  <si>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</si>
  <si>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</si>
  <si>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</si>
  <si>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</si>
  <si>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</si>
  <si>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</si>
  <si>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</si>
  <si>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</si>
  <si>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</si>
  <si>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</si>
  <si>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</si>
  <si>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</si>
  <si>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</si>
  <si>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</si>
  <si>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</si>
  <si>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</si>
  <si>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</si>
  <si>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</si>
  <si>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</si>
  <si>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</si>
  <si>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</si>
  <si>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</si>
  <si>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</si>
  <si>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</si>
  <si>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</si>
  <si>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</si>
  <si>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</si>
  <si>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</si>
  <si>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</si>
  <si>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</si>
  <si>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</si>
  <si>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</si>
  <si>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</si>
  <si>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</si>
  <si>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</si>
  <si>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</si>
  <si>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</si>
  <si>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</si>
  <si>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</si>
  <si>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</si>
  <si>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</si>
  <si>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</si>
  <si>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</si>
  <si>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</si>
  <si>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</si>
  <si>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</si>
  <si>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</si>
  <si>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</si>
  <si>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</si>
  <si>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</si>
  <si>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</si>
  <si>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</si>
  <si>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</si>
  <si>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</si>
  <si>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</si>
  <si>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</si>
  <si>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</si>
  <si>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</si>
  <si>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</si>
  <si>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</si>
  <si>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</si>
  <si>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</si>
  <si>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</si>
  <si>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</si>
  <si>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</si>
  <si>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</si>
  <si>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</si>
  <si>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</si>
  <si>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</si>
  <si>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</si>
  <si>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</si>
  <si>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</si>
  <si>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</si>
  <si>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</si>
  <si>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</si>
  <si>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</si>
  <si>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</si>
  <si>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</si>
  <si>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</si>
  <si>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</si>
  <si>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</si>
  <si>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</si>
  <si>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</si>
  <si>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</si>
  <si>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</si>
  <si>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</si>
  <si>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</si>
  <si>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</si>
  <si>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</si>
  <si>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</si>
  <si>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</si>
  <si>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</si>
  <si>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</si>
  <si>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</si>
  <si>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</si>
  <si>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</si>
  <si>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</si>
  <si>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</si>
  <si>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</si>
  <si>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</si>
  <si>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</si>
  <si>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</si>
  <si>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</si>
  <si>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</si>
  <si>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</si>
  <si>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</si>
  <si>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</si>
  <si>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</si>
  <si>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</si>
  <si>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</si>
  <si>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</si>
  <si>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</si>
  <si>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</si>
  <si>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</si>
  <si>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</si>
  <si>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</si>
  <si>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</si>
  <si>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</si>
  <si>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</si>
  <si>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</si>
  <si>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</si>
  <si>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</si>
  <si>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</si>
  <si>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</si>
  <si>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</si>
  <si>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</si>
  <si>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</si>
  <si>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</si>
  <si>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</si>
  <si>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</si>
  <si>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</si>
  <si>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</si>
  <si>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</si>
  <si>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</si>
  <si>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</si>
  <si>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</si>
  <si>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</si>
  <si>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</si>
  <si>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</si>
  <si>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</si>
  <si>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</si>
  <si>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</si>
  <si>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</si>
  <si>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</si>
  <si>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</si>
  <si>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</si>
  <si>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</si>
  <si>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</si>
  <si>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</si>
  <si>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</si>
  <si>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</si>
  <si>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</si>
  <si>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</si>
  <si>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</si>
  <si>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</si>
  <si>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</si>
  <si>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</si>
  <si>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</si>
  <si>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</si>
  <si>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</si>
  <si>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</si>
  <si>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</si>
  <si>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</si>
  <si>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</si>
  <si>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</si>
  <si>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</si>
  <si>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</si>
  <si>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</si>
  <si>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</si>
  <si>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</si>
  <si>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</si>
  <si>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</si>
  <si>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</si>
  <si>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</si>
  <si>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</si>
  <si>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</si>
  <si>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</si>
  <si>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</si>
  <si>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</si>
  <si>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</si>
  <si>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</si>
  <si>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</si>
  <si>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</si>
  <si>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</si>
  <si>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</si>
  <si>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</si>
  <si>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</si>
  <si>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</si>
  <si>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</si>
  <si>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</si>
  <si>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</si>
  <si>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</si>
  <si>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</si>
  <si>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</si>
  <si>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</si>
  <si>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</si>
  <si>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</si>
  <si>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</si>
  <si>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</si>
  <si>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</si>
  <si>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</si>
  <si>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</si>
  <si>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</si>
  <si>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</si>
  <si>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</si>
  <si>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</si>
  <si>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</si>
  <si>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</si>
  <si>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</si>
  <si>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</si>
  <si>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</si>
  <si>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</si>
  <si>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</si>
  <si>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</si>
  <si>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</si>
  <si>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</si>
  <si>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</si>
  <si>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</si>
  <si>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</si>
  <si>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</si>
  <si>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</si>
  <si>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</si>
  <si>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</si>
  <si>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</si>
  <si>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</si>
  <si>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</si>
  <si>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</si>
  <si>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</si>
  <si>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</si>
  <si>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</si>
  <si>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</si>
  <si>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</si>
  <si>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</si>
  <si>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</si>
  <si>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</si>
  <si>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</si>
  <si>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</si>
  <si>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</si>
  <si>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</si>
  <si>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</si>
  <si>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</si>
  <si>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</si>
  <si>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</si>
  <si>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</si>
  <si>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</si>
  <si>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</si>
  <si>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</si>
  <si>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</si>
  <si>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</si>
  <si>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</si>
  <si>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</si>
  <si>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</si>
  <si>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</si>
  <si>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</si>
  <si>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</si>
  <si>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</si>
  <si>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</si>
  <si>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</si>
  <si>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</si>
  <si>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</si>
  <si>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</si>
  <si>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</si>
  <si>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</si>
  <si>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</si>
  <si>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</si>
  <si>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</si>
  <si>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</si>
  <si>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</si>
  <si>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</si>
  <si>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</si>
  <si>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</si>
  <si>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</si>
  <si>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</si>
  <si>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</si>
  <si>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</si>
  <si>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</si>
  <si>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</si>
  <si>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</si>
  <si>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</si>
  <si>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</si>
  <si>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</si>
  <si>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</si>
  <si>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</si>
  <si>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</si>
  <si>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</si>
  <si>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</si>
  <si>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</si>
  <si>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</si>
  <si>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</si>
  <si>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</si>
  <si>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</si>
  <si>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</si>
  <si>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</si>
  <si>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</si>
  <si>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</si>
  <si>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</si>
  <si>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</si>
  <si>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</si>
  <si>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</si>
  <si>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</si>
  <si>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</si>
  <si>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</si>
  <si>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</si>
  <si>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</si>
  <si>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</si>
  <si>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</si>
  <si>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</si>
  <si>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</si>
  <si>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</si>
  <si>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</si>
  <si>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</si>
  <si>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</si>
  <si>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</si>
  <si>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</si>
  <si>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</si>
  <si>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</si>
  <si>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</si>
  <si>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</si>
  <si>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</si>
  <si>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</si>
  <si>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</si>
  <si>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</si>
  <si>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</si>
  <si>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</si>
  <si>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</si>
  <si>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</si>
  <si>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</si>
  <si>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</si>
  <si>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</si>
  <si>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</si>
  <si>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</si>
  <si>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</si>
  <si>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</si>
  <si>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</si>
  <si>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</si>
  <si>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</si>
  <si>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</si>
  <si>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</si>
  <si>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</si>
  <si>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</si>
  <si>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</si>
  <si>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</si>
  <si>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</si>
  <si>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</si>
  <si>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</si>
  <si>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</si>
  <si>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</si>
  <si>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</si>
  <si>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</si>
  <si>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</si>
  <si>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</si>
  <si>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</si>
  <si>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</si>
  <si>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</si>
  <si>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</si>
  <si>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</si>
  <si>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</si>
  <si>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</si>
  <si>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</si>
  <si>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</si>
  <si>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</si>
  <si>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</si>
  <si>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</si>
  <si>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</si>
  <si>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</si>
  <si>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</si>
  <si>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</si>
  <si>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</si>
  <si>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</si>
  <si>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</si>
  <si>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</si>
  <si>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</si>
  <si>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</si>
  <si>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</si>
  <si>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</si>
  <si>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</si>
  <si>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</si>
  <si>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</si>
  <si>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</si>
  <si>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</si>
  <si>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</si>
  <si>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</si>
  <si>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</si>
  <si>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</si>
  <si>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NGAY 14-5</t>
  </si>
  <si>
    <t>T5.14.5.2026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</si>
  <si>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</si>
  <si>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</si>
  <si>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</si>
  <si>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</si>
  <si>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</si>
  <si>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</si>
  <si>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</si>
  <si>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</si>
  <si>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</si>
  <si>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</si>
  <si>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</si>
  <si>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</si>
  <si>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</si>
  <si>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</si>
  <si>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</si>
  <si>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</si>
  <si>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</si>
  <si>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</si>
  <si>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</si>
  <si>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</si>
  <si>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</si>
  <si>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</si>
  <si>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</si>
  <si>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</si>
  <si>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</si>
  <si>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</si>
  <si>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</si>
  <si>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</si>
  <si>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</si>
  <si>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</si>
  <si>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</si>
  <si>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</si>
  <si>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</si>
  <si>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</si>
  <si>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</si>
  <si>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</si>
  <si>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</si>
  <si>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</si>
  <si>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</si>
  <si>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</si>
  <si>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</si>
  <si>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</si>
  <si>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</si>
  <si>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</si>
  <si>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</si>
  <si>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</si>
  <si>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</si>
  <si>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</si>
  <si>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</si>
  <si>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</si>
  <si>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</si>
  <si>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</si>
  <si>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</si>
  <si>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</si>
  <si>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</si>
  <si>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</si>
  <si>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</si>
  <si>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</si>
  <si>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</si>
  <si>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</si>
  <si>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</si>
  <si>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</si>
  <si>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</si>
  <si>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</si>
  <si>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</si>
  <si>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</si>
  <si>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</si>
  <si>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</si>
  <si>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</si>
  <si>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</si>
  <si>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</si>
  <si>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</si>
  <si>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</si>
  <si>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</si>
  <si>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</si>
  <si>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</si>
  <si>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</si>
  <si>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</si>
  <si>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</si>
  <si>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</si>
  <si>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</si>
  <si>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</si>
  <si>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</si>
  <si>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</si>
  <si>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</si>
  <si>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</si>
  <si>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</si>
  <si>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T6.15.5.2026</t>
  </si>
  <si>
    <t>NGAY 15-5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</si>
  <si>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</si>
  <si>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</si>
  <si>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</si>
  <si>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</si>
  <si>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</si>
  <si>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</si>
  <si>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</si>
  <si>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</si>
  <si>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</si>
  <si>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</si>
  <si>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</si>
  <si>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</si>
  <si>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</si>
  <si>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</si>
  <si>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</si>
  <si>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</si>
  <si>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</si>
  <si>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</si>
  <si>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</si>
  <si>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</si>
  <si>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</si>
  <si>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</si>
  <si>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</si>
  <si>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</si>
  <si>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</si>
  <si>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</si>
  <si>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</si>
  <si>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</si>
  <si>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</si>
  <si>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</si>
  <si>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</si>
  <si>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</si>
  <si>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</si>
  <si>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</si>
  <si>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</si>
  <si>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</si>
  <si>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</si>
  <si>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</si>
  <si>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</si>
  <si>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</si>
  <si>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</si>
  <si>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</si>
  <si>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</si>
  <si>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</si>
  <si>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</si>
  <si>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</si>
  <si>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</si>
  <si>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</si>
  <si>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</si>
  <si>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</si>
  <si>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</si>
  <si>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</si>
  <si>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</si>
  <si>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</si>
  <si>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</si>
  <si>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</si>
  <si>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</si>
  <si>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</si>
  <si>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</si>
  <si>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</si>
  <si>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</si>
  <si>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</si>
  <si>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</si>
  <si>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</si>
  <si>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</si>
  <si>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</si>
  <si>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</si>
  <si>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</si>
  <si>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</si>
  <si>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</si>
  <si>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</si>
  <si>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</si>
  <si>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</si>
  <si>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</si>
  <si>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</si>
  <si>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</si>
  <si>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</si>
  <si>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</si>
  <si>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</si>
  <si>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</si>
  <si>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</si>
  <si>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</si>
  <si>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</si>
  <si>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</si>
  <si>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</si>
  <si>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</si>
  <si>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</si>
  <si>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</si>
  <si>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</si>
  <si>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</si>
  <si>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</si>
  <si>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</si>
  <si>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</si>
  <si>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</si>
  <si>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</si>
  <si>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</si>
  <si>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</si>
  <si>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T7.16.5.2026</t>
  </si>
  <si>
    <t>NGAY 16-5</t>
  </si>
  <si>
    <t>THƯƠNG 1994</t>
  </si>
  <si>
    <t>Tòa S501, Vinhome grand park, Long Thạnh Mỹ</t>
  </si>
  <si>
    <t>15-05-2026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</si>
  <si>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</si>
  <si>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</si>
  <si>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</si>
  <si>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</si>
  <si>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</si>
  <si>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</si>
  <si>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</si>
  <si>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</si>
  <si>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</si>
  <si>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</si>
  <si>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</si>
  <si>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</si>
  <si>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</si>
  <si>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</si>
  <si>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</si>
  <si>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</si>
  <si>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</si>
  <si>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</si>
  <si>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</si>
  <si>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</si>
  <si>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</si>
  <si>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</si>
  <si>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</si>
  <si>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</si>
  <si>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</si>
  <si>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</si>
  <si>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</si>
  <si>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</si>
  <si>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</si>
  <si>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</si>
  <si>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</si>
  <si>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</si>
  <si>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</si>
  <si>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</si>
  <si>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</si>
  <si>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</si>
  <si>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</si>
  <si>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</si>
  <si>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</si>
  <si>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</si>
  <si>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</si>
  <si>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</si>
  <si>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</si>
  <si>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</si>
  <si>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</si>
  <si>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</si>
  <si>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</si>
  <si>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</si>
  <si>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</si>
  <si>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</si>
  <si>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</si>
  <si>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</si>
  <si>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</si>
  <si>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</si>
  <si>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</si>
  <si>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</si>
  <si>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</si>
  <si>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</si>
  <si>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</si>
  <si>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</si>
  <si>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</si>
  <si>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</si>
  <si>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</si>
  <si>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</si>
  <si>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</si>
  <si>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</si>
  <si>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</si>
  <si>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</si>
  <si>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</si>
  <si>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</si>
  <si>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</si>
  <si>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</si>
  <si>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</si>
  <si>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</si>
  <si>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</si>
  <si>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</si>
  <si>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</si>
  <si>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</si>
  <si>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</si>
  <si>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</si>
  <si>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</si>
  <si>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</si>
  <si>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</si>
  <si>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</si>
  <si>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</si>
  <si>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</si>
  <si>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</si>
  <si>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NGAY 18-5</t>
  </si>
  <si>
    <t>T2.18.5.2026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</si>
  <si>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</si>
  <si>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</si>
  <si>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</si>
  <si>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</si>
  <si>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</si>
  <si>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</si>
  <si>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</si>
  <si>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</si>
  <si>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</si>
  <si>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</si>
  <si>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</si>
  <si>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</si>
  <si>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</si>
  <si>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</si>
  <si>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</si>
  <si>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</si>
  <si>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</si>
  <si>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</si>
  <si>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</si>
  <si>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</si>
  <si>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</si>
  <si>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</si>
  <si>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</si>
  <si>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</si>
  <si>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</si>
  <si>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</si>
  <si>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</si>
  <si>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</si>
  <si>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</si>
  <si>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</si>
  <si>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</si>
  <si>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</si>
  <si>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</si>
  <si>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</si>
  <si>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</si>
  <si>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</si>
  <si>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</si>
  <si>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</si>
  <si>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</si>
  <si>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</si>
  <si>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</si>
  <si>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</si>
  <si>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</si>
  <si>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</si>
  <si>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</si>
  <si>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</si>
  <si>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</si>
  <si>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</si>
  <si>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</si>
  <si>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</si>
  <si>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</si>
  <si>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</si>
  <si>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</si>
  <si>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</si>
  <si>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</si>
  <si>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</si>
  <si>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</si>
  <si>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</si>
  <si>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</si>
  <si>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</si>
  <si>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</si>
  <si>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</si>
  <si>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</si>
  <si>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</si>
  <si>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</si>
  <si>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</si>
  <si>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</si>
  <si>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</si>
  <si>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</si>
  <si>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</si>
  <si>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</si>
  <si>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</si>
  <si>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</si>
  <si>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</si>
  <si>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</si>
  <si>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</si>
  <si>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</si>
  <si>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</si>
  <si>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</si>
  <si>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</si>
  <si>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</si>
  <si>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</si>
  <si>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</si>
  <si>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</si>
  <si>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</si>
  <si>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</si>
  <si>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</si>
  <si>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</si>
  <si>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</si>
  <si>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</si>
  <si>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</si>
  <si>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</si>
  <si>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</si>
  <si>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</si>
  <si>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</si>
  <si>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24-04-2026</t>
  </si>
  <si>
    <t>kh ck shop 870k</t>
  </si>
  <si>
    <t>đơn trả 18.5</t>
  </si>
  <si>
    <t>NGAY 19-5</t>
  </si>
  <si>
    <t>T3.19.5.2026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</si>
  <si>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</si>
  <si>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</si>
  <si>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</si>
  <si>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</si>
  <si>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</si>
  <si>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</si>
  <si>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</si>
  <si>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</si>
  <si>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</si>
  <si>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</si>
  <si>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</si>
  <si>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</si>
  <si>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</si>
  <si>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</si>
  <si>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</si>
  <si>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</si>
  <si>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</si>
  <si>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</si>
  <si>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</si>
  <si>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</si>
  <si>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</si>
  <si>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</si>
  <si>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</si>
  <si>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</si>
  <si>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</si>
  <si>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</si>
  <si>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</si>
  <si>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</si>
  <si>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</si>
  <si>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</si>
  <si>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</si>
  <si>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</si>
  <si>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</si>
  <si>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</si>
  <si>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</si>
  <si>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</si>
  <si>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</si>
  <si>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</si>
  <si>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</si>
  <si>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</si>
  <si>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</si>
  <si>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</si>
  <si>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</si>
  <si>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</si>
  <si>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</si>
  <si>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</si>
  <si>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</si>
  <si>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</si>
  <si>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</si>
  <si>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</si>
  <si>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</si>
  <si>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</si>
  <si>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</si>
  <si>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</si>
  <si>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</si>
  <si>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</si>
  <si>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</si>
  <si>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</si>
  <si>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</si>
  <si>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</si>
  <si>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</si>
  <si>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</si>
  <si>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</si>
  <si>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</si>
  <si>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</si>
  <si>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</si>
  <si>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</si>
  <si>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</si>
  <si>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</si>
  <si>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</si>
  <si>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</si>
  <si>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</si>
  <si>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</si>
  <si>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</si>
  <si>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</si>
  <si>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</si>
  <si>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</si>
  <si>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</si>
  <si>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</si>
  <si>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</si>
  <si>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</si>
  <si>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</si>
  <si>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</si>
  <si>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</si>
  <si>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</si>
  <si>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</si>
  <si>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</si>
  <si>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</si>
  <si>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</si>
  <si>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</si>
  <si>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</si>
  <si>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</si>
  <si>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T4.20.5.2026</t>
  </si>
  <si>
    <t>NGAY 20-5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</si>
  <si>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</si>
  <si>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</si>
  <si>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</si>
  <si>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</si>
  <si>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</si>
  <si>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</si>
  <si>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</si>
  <si>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</si>
  <si>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</si>
  <si>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</si>
  <si>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</si>
  <si>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</si>
  <si>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</si>
  <si>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</si>
  <si>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</si>
  <si>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</si>
  <si>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</si>
  <si>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</si>
  <si>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</si>
  <si>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</si>
  <si>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</si>
  <si>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</si>
  <si>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</si>
  <si>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</si>
  <si>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</si>
  <si>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</si>
  <si>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</si>
  <si>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</si>
  <si>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</si>
  <si>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</si>
  <si>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</si>
  <si>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</si>
  <si>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</si>
  <si>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</si>
  <si>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</si>
  <si>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</si>
  <si>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</si>
  <si>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</si>
  <si>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</si>
  <si>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</si>
  <si>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</si>
  <si>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</si>
  <si>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</si>
  <si>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</si>
  <si>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</si>
  <si>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</si>
  <si>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</si>
  <si>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</si>
  <si>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</si>
  <si>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</si>
  <si>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</si>
  <si>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</si>
  <si>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</si>
  <si>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</si>
  <si>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</si>
  <si>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</si>
  <si>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</si>
  <si>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</si>
  <si>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</si>
  <si>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</si>
  <si>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</si>
  <si>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</si>
  <si>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</si>
  <si>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</si>
  <si>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</si>
  <si>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</si>
  <si>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</si>
  <si>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</si>
  <si>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NGAY 21-5</t>
  </si>
  <si>
    <t>T5.21.5.2026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</si>
  <si>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</si>
  <si>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</si>
  <si>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</si>
  <si>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</si>
  <si>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</si>
  <si>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</si>
  <si>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</si>
  <si>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</si>
  <si>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</si>
  <si>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</si>
  <si>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</si>
  <si>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</si>
  <si>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</si>
  <si>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</si>
  <si>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</si>
  <si>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</si>
  <si>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</si>
  <si>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</si>
  <si>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</si>
  <si>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</si>
  <si>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</si>
  <si>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</si>
  <si>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</si>
  <si>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</si>
  <si>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</si>
  <si>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</si>
  <si>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</si>
  <si>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</si>
  <si>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</si>
  <si>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</si>
  <si>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</si>
  <si>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</si>
  <si>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</si>
  <si>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</si>
  <si>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</si>
  <si>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</si>
  <si>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</si>
  <si>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</si>
  <si>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</si>
  <si>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</si>
  <si>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</si>
  <si>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</si>
  <si>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</si>
  <si>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</si>
  <si>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</si>
  <si>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</si>
  <si>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</si>
  <si>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</si>
  <si>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</si>
  <si>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</si>
  <si>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</si>
  <si>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</si>
  <si>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</si>
  <si>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</si>
  <si>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</si>
  <si>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</si>
  <si>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</si>
  <si>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</si>
  <si>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</si>
  <si>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</si>
  <si>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</si>
  <si>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</si>
  <si>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</si>
  <si>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</si>
  <si>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</si>
  <si>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</si>
  <si>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</si>
  <si>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</si>
  <si>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</si>
  <si>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</si>
  <si>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</si>
  <si>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</si>
  <si>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</si>
  <si>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</si>
  <si>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đơn trả 21.5</t>
  </si>
  <si>
    <t>HD020811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</si>
  <si>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</si>
  <si>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</si>
  <si>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</si>
  <si>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</si>
  <si>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</si>
  <si>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</si>
  <si>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</si>
  <si>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</si>
  <si>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</si>
  <si>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</si>
  <si>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</si>
  <si>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</si>
  <si>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</si>
  <si>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</si>
  <si>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</si>
  <si>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</si>
  <si>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</si>
  <si>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</si>
  <si>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</si>
  <si>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</si>
  <si>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</si>
  <si>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</si>
  <si>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</si>
  <si>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</si>
  <si>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</si>
  <si>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</si>
  <si>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</si>
  <si>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</si>
  <si>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</si>
  <si>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</si>
  <si>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</si>
  <si>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</si>
  <si>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</si>
  <si>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</si>
  <si>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</si>
  <si>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</si>
  <si>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</si>
  <si>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</si>
  <si>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</si>
  <si>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</si>
  <si>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</si>
  <si>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</si>
  <si>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</si>
  <si>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</si>
  <si>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</si>
  <si>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</si>
  <si>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</si>
  <si>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</si>
  <si>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</si>
  <si>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</si>
  <si>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</si>
  <si>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</si>
  <si>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</si>
  <si>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</si>
  <si>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</si>
  <si>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</si>
  <si>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</si>
  <si>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</si>
  <si>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</si>
  <si>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</si>
  <si>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</si>
  <si>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</si>
  <si>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</si>
  <si>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</si>
  <si>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</si>
  <si>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</si>
  <si>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</si>
  <si>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</si>
  <si>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</si>
  <si>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</si>
  <si>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</si>
  <si>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</si>
  <si>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</si>
  <si>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</si>
  <si>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</si>
  <si>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</si>
  <si>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</si>
  <si>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</si>
  <si>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</si>
  <si>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</si>
  <si>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</si>
  <si>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</si>
  <si>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</si>
  <si>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</si>
  <si>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</si>
  <si>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</si>
  <si>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</si>
  <si>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</si>
  <si>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</si>
  <si>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</si>
  <si>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</si>
  <si>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</si>
  <si>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</si>
  <si>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</si>
  <si>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</si>
  <si>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</si>
  <si>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</si>
  <si>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</si>
  <si>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</si>
  <si>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</si>
  <si>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</si>
  <si>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NGAY 22-5</t>
  </si>
  <si>
    <t>T6.22.5.2026</t>
  </si>
  <si>
    <t>đơn trả 22.5</t>
  </si>
  <si>
    <t>kh ck shop 375k</t>
  </si>
  <si>
    <t>Vân</t>
  </si>
  <si>
    <t>T7.23.5.2026</t>
  </si>
  <si>
    <t>NGAY 23-5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</si>
  <si>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</si>
  <si>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</si>
  <si>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</si>
  <si>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</si>
  <si>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</si>
  <si>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</si>
  <si>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</si>
  <si>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</si>
  <si>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</si>
  <si>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</si>
  <si>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</si>
  <si>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</si>
  <si>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</si>
  <si>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</si>
  <si>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</si>
  <si>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</si>
  <si>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</si>
  <si>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</si>
  <si>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</si>
  <si>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</si>
  <si>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</si>
  <si>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</si>
  <si>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</si>
  <si>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</si>
  <si>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</si>
  <si>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</si>
  <si>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</si>
  <si>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</si>
  <si>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</si>
  <si>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</si>
  <si>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</si>
  <si>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</si>
  <si>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</si>
  <si>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</si>
  <si>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</si>
  <si>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</si>
  <si>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</si>
  <si>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</si>
  <si>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</si>
  <si>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</si>
  <si>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</si>
  <si>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</si>
  <si>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</si>
  <si>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</si>
  <si>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</si>
  <si>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</si>
  <si>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</si>
  <si>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</si>
  <si>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</si>
  <si>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</si>
  <si>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</si>
  <si>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</si>
  <si>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</si>
  <si>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</si>
  <si>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</si>
  <si>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</si>
  <si>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</si>
  <si>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</si>
  <si>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</si>
  <si>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</si>
  <si>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</si>
  <si>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</si>
  <si>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</si>
  <si>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</si>
  <si>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</si>
  <si>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NGAY 25-5</t>
  </si>
  <si>
    <t>T2.25.5.2026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</si>
  <si>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</si>
  <si>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</si>
  <si>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</si>
  <si>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</si>
  <si>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</si>
  <si>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</si>
  <si>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</si>
  <si>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</si>
  <si>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</si>
  <si>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</si>
  <si>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</si>
  <si>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</si>
  <si>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</si>
  <si>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</si>
  <si>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</si>
  <si>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</si>
  <si>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</si>
  <si>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</si>
  <si>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</si>
  <si>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</si>
  <si>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</si>
  <si>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</si>
  <si>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</si>
  <si>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</si>
  <si>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</si>
  <si>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</si>
  <si>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</si>
  <si>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</si>
  <si>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</si>
  <si>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</si>
  <si>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</si>
  <si>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</si>
  <si>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</si>
  <si>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</si>
  <si>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</si>
  <si>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</si>
  <si>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</si>
  <si>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</si>
  <si>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</si>
  <si>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</si>
  <si>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</si>
  <si>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</si>
  <si>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</si>
  <si>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</si>
  <si>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</si>
  <si>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</si>
  <si>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</si>
  <si>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</si>
  <si>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</si>
  <si>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</si>
  <si>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</si>
  <si>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</si>
  <si>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</si>
  <si>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</si>
  <si>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</si>
  <si>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</si>
  <si>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</si>
  <si>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</si>
  <si>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</si>
  <si>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</si>
  <si>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T3.26.5.2026</t>
  </si>
  <si>
    <t>NGAY 26-5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</si>
  <si>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</si>
  <si>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</si>
  <si>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</si>
  <si>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</si>
  <si>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</si>
  <si>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</si>
  <si>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</si>
  <si>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</si>
  <si>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</si>
  <si>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</si>
  <si>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</si>
  <si>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</si>
  <si>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</si>
  <si>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</si>
  <si>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</si>
  <si>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</si>
  <si>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</si>
  <si>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</si>
  <si>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</si>
  <si>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</si>
  <si>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</si>
  <si>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</si>
  <si>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</si>
  <si>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</si>
  <si>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</si>
  <si>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</si>
  <si>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</si>
  <si>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</si>
  <si>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</si>
  <si>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</si>
  <si>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</si>
  <si>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</si>
  <si>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</si>
  <si>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</si>
  <si>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</si>
  <si>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</si>
  <si>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</si>
  <si>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</si>
  <si>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</si>
  <si>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</si>
  <si>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</si>
  <si>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</si>
  <si>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</si>
  <si>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</si>
  <si>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</si>
  <si>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</si>
  <si>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</si>
  <si>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</si>
  <si>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</si>
  <si>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</si>
  <si>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</si>
  <si>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</si>
  <si>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</si>
  <si>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</si>
  <si>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</si>
  <si>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</si>
  <si>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</si>
  <si>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</si>
  <si>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</si>
  <si>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</si>
  <si>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</si>
  <si>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</si>
  <si>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</si>
  <si>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</si>
  <si>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</si>
  <si>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</si>
  <si>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</si>
  <si>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</si>
  <si>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</si>
  <si>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</si>
  <si>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</si>
  <si>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</si>
  <si>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</si>
  <si>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</si>
  <si>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</si>
  <si>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</si>
  <si>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</si>
  <si>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</si>
  <si>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</si>
  <si>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</si>
  <si>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</si>
  <si>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</si>
  <si>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</si>
  <si>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</si>
  <si>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</si>
  <si>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</si>
  <si>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</si>
  <si>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</si>
  <si>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</si>
  <si>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</si>
  <si>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</si>
  <si>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</si>
  <si>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</si>
  <si>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</si>
  <si>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</si>
  <si>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</si>
  <si>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</si>
  <si>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</si>
  <si>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</si>
  <si>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</si>
  <si>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</si>
  <si>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</si>
  <si>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</si>
  <si>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</si>
  <si>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</si>
  <si>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</si>
  <si>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</si>
  <si>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</si>
  <si>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</si>
  <si>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</si>
  <si>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</si>
  <si>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</si>
  <si>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</si>
  <si>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</si>
  <si>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</si>
  <si>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</si>
  <si>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</si>
  <si>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</si>
  <si>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NGAY 27-5</t>
  </si>
  <si>
    <t>T4.27.5.2026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</si>
  <si>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</si>
  <si>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</si>
  <si>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</si>
  <si>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</si>
  <si>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</si>
  <si>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</si>
  <si>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</si>
  <si>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</si>
  <si>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</si>
  <si>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</si>
  <si>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</si>
  <si>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</si>
  <si>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</si>
  <si>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</si>
  <si>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</si>
  <si>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</si>
  <si>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</si>
  <si>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</si>
  <si>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</si>
  <si>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</si>
  <si>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</si>
  <si>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</si>
  <si>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</si>
  <si>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</si>
  <si>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</si>
  <si>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</si>
  <si>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</si>
  <si>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</si>
  <si>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</si>
  <si>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</si>
  <si>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</si>
  <si>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</si>
  <si>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</si>
  <si>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</si>
  <si>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</si>
  <si>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</si>
  <si>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</si>
  <si>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</si>
  <si>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</si>
  <si>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</si>
  <si>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</si>
  <si>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</si>
  <si>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</si>
  <si>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</si>
  <si>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</si>
  <si>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</si>
  <si>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</si>
  <si>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</si>
  <si>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</si>
  <si>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</si>
  <si>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</si>
  <si>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</si>
  <si>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</si>
  <si>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</si>
  <si>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</si>
  <si>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</si>
  <si>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</si>
  <si>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</si>
  <si>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</si>
  <si>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</si>
  <si>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</si>
  <si>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</si>
  <si>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</si>
  <si>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</si>
  <si>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đơn trả 27.5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</si>
</sst>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6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  <xf numFmtId="0" fontId="8" fillId="0" borderId="1" xfId="0" applyFont="1" applyBorder="1"/>
    <xf numFmtId="3" fontId="8" fillId="0" borderId="1" xfId="0" applyNumberFormat="1" applyFont="1" applyBorder="1"/>
    <xf numFmtId="3" fontId="0" fillId="0" borderId="1" xfId="0" quotePrefix="1" applyNumberForma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J41" sqref="J4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2" zoomScale="82" zoomScaleNormal="80" workbookViewId="0">
      <selection activeCell="A12" sqref="A12:XFD1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zoomScaleNormal="100" workbookViewId="0">
      <selection activeCell="A11" sqref="A11:XF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49"/>
  <sheetViews>
    <sheetView topLeftCell="A18" zoomScale="82" zoomScaleNormal="80" workbookViewId="0">
      <selection activeCell="A36" sqref="A36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1032</v>
      </c>
      <c r="D3" s="22" t="s">
        <v>1033</v>
      </c>
      <c r="E3" s="22" t="s">
        <v>1034</v>
      </c>
      <c r="F3" s="23">
        <v>7</v>
      </c>
      <c r="G3" s="23">
        <v>980</v>
      </c>
      <c r="H3" s="23">
        <v>30</v>
      </c>
      <c r="I3" s="23">
        <f t="shared" ref="I3:I35" si="0">G3-H3</f>
        <v>950</v>
      </c>
      <c r="J3" s="22" t="s">
        <v>1035</v>
      </c>
      <c r="K3" s="22" t="s">
        <v>34</v>
      </c>
      <c r="L3" s="22" t="s">
        <v>1036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1037</v>
      </c>
      <c r="D4" s="22" t="s">
        <v>1038</v>
      </c>
      <c r="E4" s="22" t="s">
        <v>1039</v>
      </c>
      <c r="F4" s="22" t="s">
        <v>108</v>
      </c>
      <c r="G4" s="23">
        <v>845</v>
      </c>
      <c r="H4" s="23">
        <v>25</v>
      </c>
      <c r="I4" s="23">
        <f t="shared" si="0"/>
        <v>820</v>
      </c>
      <c r="J4" s="22" t="s">
        <v>1035</v>
      </c>
      <c r="K4" s="22" t="s">
        <v>34</v>
      </c>
      <c r="L4" s="22" t="s">
        <v>1036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1040</v>
      </c>
      <c r="D5" s="25" t="s">
        <v>1041</v>
      </c>
      <c r="E5" s="25" t="s">
        <v>1042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1035</v>
      </c>
      <c r="K5" s="25" t="s">
        <v>34</v>
      </c>
      <c r="L5" s="25" t="s">
        <v>1036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1043</v>
      </c>
      <c r="D6" s="22" t="s">
        <v>1044</v>
      </c>
      <c r="E6" s="22" t="s">
        <v>1045</v>
      </c>
      <c r="F6" s="23">
        <v>7</v>
      </c>
      <c r="G6" s="23">
        <v>900</v>
      </c>
      <c r="H6" s="23">
        <v>30</v>
      </c>
      <c r="I6" s="23">
        <f t="shared" si="0"/>
        <v>870</v>
      </c>
      <c r="J6" s="22" t="s">
        <v>1035</v>
      </c>
      <c r="K6" s="22" t="s">
        <v>34</v>
      </c>
      <c r="L6" s="22" t="s">
        <v>1036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1046</v>
      </c>
      <c r="D7" s="22" t="s">
        <v>1047</v>
      </c>
      <c r="E7" s="22" t="s">
        <v>1048</v>
      </c>
      <c r="F7" s="22" t="s">
        <v>39</v>
      </c>
      <c r="G7" s="23">
        <v>1570</v>
      </c>
      <c r="H7" s="23">
        <v>35</v>
      </c>
      <c r="I7" s="23">
        <f t="shared" si="0"/>
        <v>1535</v>
      </c>
      <c r="J7" s="22" t="s">
        <v>1035</v>
      </c>
      <c r="K7" s="22" t="s">
        <v>34</v>
      </c>
      <c r="L7" s="22" t="s">
        <v>1036</v>
      </c>
      <c r="M7" s="28" t="s">
        <v>1049</v>
      </c>
      <c r="N7" s="22"/>
      <c r="O7" s="22"/>
      <c r="P7" s="22"/>
      <c r="Q7" s="22">
        <v>1</v>
      </c>
      <c r="R7" s="24">
        <f>H7</f>
        <v>35</v>
      </c>
    </row>
    <row r="8" spans="1:18" customFormat="1" x14ac:dyDescent="0.25">
      <c r="A8" s="22"/>
      <c r="B8" s="22" t="s">
        <v>30</v>
      </c>
      <c r="C8" s="22" t="s">
        <v>1050</v>
      </c>
      <c r="D8" s="22" t="s">
        <v>1051</v>
      </c>
      <c r="E8" s="22" t="s">
        <v>1052</v>
      </c>
      <c r="F8" s="22" t="s">
        <v>39</v>
      </c>
      <c r="G8" s="23">
        <v>3930</v>
      </c>
      <c r="H8" s="23">
        <v>40</v>
      </c>
      <c r="I8" s="23">
        <f t="shared" si="0"/>
        <v>3890</v>
      </c>
      <c r="J8" s="22" t="s">
        <v>1035</v>
      </c>
      <c r="K8" s="22" t="s">
        <v>34</v>
      </c>
      <c r="L8" s="22" t="s">
        <v>1036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1053</v>
      </c>
      <c r="D9" s="22" t="s">
        <v>1054</v>
      </c>
      <c r="E9" s="22" t="s">
        <v>1055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1035</v>
      </c>
      <c r="K9" s="22" t="s">
        <v>34</v>
      </c>
      <c r="L9" s="22" t="s">
        <v>1036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1056</v>
      </c>
      <c r="D10" s="22" t="s">
        <v>1057</v>
      </c>
      <c r="E10" s="22" t="s">
        <v>736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1035</v>
      </c>
      <c r="K10" s="22" t="s">
        <v>34</v>
      </c>
      <c r="L10" s="22" t="s">
        <v>1036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630</v>
      </c>
      <c r="D11" s="22" t="s">
        <v>1058</v>
      </c>
      <c r="E11" s="22" t="s">
        <v>632</v>
      </c>
      <c r="F11" s="23">
        <v>9</v>
      </c>
      <c r="G11" s="23">
        <v>880</v>
      </c>
      <c r="H11" s="23">
        <v>30</v>
      </c>
      <c r="I11" s="23">
        <f t="shared" si="0"/>
        <v>850</v>
      </c>
      <c r="J11" s="22" t="s">
        <v>1035</v>
      </c>
      <c r="K11" s="22" t="s">
        <v>34</v>
      </c>
      <c r="L11" s="22" t="s">
        <v>1036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1059</v>
      </c>
      <c r="D12" s="22" t="s">
        <v>1060</v>
      </c>
      <c r="E12" s="22" t="s">
        <v>1061</v>
      </c>
      <c r="F12" s="22" t="s">
        <v>59</v>
      </c>
      <c r="G12" s="23">
        <v>875</v>
      </c>
      <c r="H12" s="23">
        <v>25</v>
      </c>
      <c r="I12" s="23">
        <f t="shared" si="0"/>
        <v>850</v>
      </c>
      <c r="J12" s="22" t="s">
        <v>1035</v>
      </c>
      <c r="K12" s="22" t="s">
        <v>34</v>
      </c>
      <c r="L12" s="22" t="s">
        <v>1036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1062</v>
      </c>
      <c r="D13" s="22" t="s">
        <v>1063</v>
      </c>
      <c r="E13" s="22" t="s">
        <v>1064</v>
      </c>
      <c r="F13" s="23">
        <v>7</v>
      </c>
      <c r="G13" s="23">
        <v>0</v>
      </c>
      <c r="H13" s="23">
        <v>30</v>
      </c>
      <c r="I13" s="23">
        <f t="shared" si="0"/>
        <v>-30</v>
      </c>
      <c r="J13" s="22" t="s">
        <v>1035</v>
      </c>
      <c r="K13" s="22" t="s">
        <v>34</v>
      </c>
      <c r="L13" s="22" t="s">
        <v>1036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1046</v>
      </c>
      <c r="D14" s="22" t="s">
        <v>1065</v>
      </c>
      <c r="E14" s="22" t="s">
        <v>1066</v>
      </c>
      <c r="F14" s="22" t="s">
        <v>39</v>
      </c>
      <c r="G14" s="23">
        <v>780</v>
      </c>
      <c r="H14" s="23">
        <v>0</v>
      </c>
      <c r="I14" s="23">
        <f t="shared" si="0"/>
        <v>780</v>
      </c>
      <c r="J14" s="22" t="s">
        <v>1035</v>
      </c>
      <c r="K14" s="22" t="s">
        <v>34</v>
      </c>
      <c r="L14" s="22" t="s">
        <v>1036</v>
      </c>
      <c r="M14" s="28" t="s">
        <v>360</v>
      </c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1067</v>
      </c>
      <c r="D15" s="22"/>
      <c r="E15" s="22" t="s">
        <v>1068</v>
      </c>
      <c r="F15" s="22" t="s">
        <v>39</v>
      </c>
      <c r="G15" s="23">
        <v>50</v>
      </c>
      <c r="H15" s="23">
        <v>50</v>
      </c>
      <c r="I15" s="23">
        <f t="shared" si="0"/>
        <v>0</v>
      </c>
      <c r="J15" s="22" t="s">
        <v>1035</v>
      </c>
      <c r="K15" s="22" t="s">
        <v>34</v>
      </c>
      <c r="L15" s="22" t="s">
        <v>1036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1069</v>
      </c>
      <c r="D16" s="22" t="s">
        <v>1070</v>
      </c>
      <c r="E16" s="22" t="s">
        <v>1071</v>
      </c>
      <c r="F16" s="22" t="s">
        <v>90</v>
      </c>
      <c r="G16" s="23">
        <v>875</v>
      </c>
      <c r="H16" s="23">
        <v>25</v>
      </c>
      <c r="I16" s="23">
        <f t="shared" si="0"/>
        <v>850</v>
      </c>
      <c r="J16" s="22" t="s">
        <v>34</v>
      </c>
      <c r="K16" s="22" t="s">
        <v>34</v>
      </c>
      <c r="L16" s="22" t="s">
        <v>1036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1072</v>
      </c>
      <c r="D17" s="22" t="s">
        <v>1073</v>
      </c>
      <c r="E17" s="22" t="s">
        <v>1074</v>
      </c>
      <c r="F17" s="22" t="s">
        <v>94</v>
      </c>
      <c r="G17" s="23">
        <v>0</v>
      </c>
      <c r="H17" s="23">
        <v>30</v>
      </c>
      <c r="I17" s="23">
        <f t="shared" si="0"/>
        <v>-30</v>
      </c>
      <c r="J17" s="22" t="s">
        <v>34</v>
      </c>
      <c r="K17" s="22" t="s">
        <v>34</v>
      </c>
      <c r="L17" s="22" t="s">
        <v>1036</v>
      </c>
      <c r="M17" s="22"/>
      <c r="N17" s="22"/>
      <c r="O17" s="22"/>
      <c r="P17" s="22"/>
      <c r="Q17" s="22">
        <v>1</v>
      </c>
      <c r="R17" s="24">
        <f>H17</f>
        <v>30</v>
      </c>
    </row>
    <row r="18" spans="1:18" customFormat="1" x14ac:dyDescent="0.25">
      <c r="A18" s="22"/>
      <c r="B18" s="22" t="s">
        <v>30</v>
      </c>
      <c r="C18" s="22" t="s">
        <v>1075</v>
      </c>
      <c r="D18" s="22" t="s">
        <v>1076</v>
      </c>
      <c r="E18" s="22" t="s">
        <v>1077</v>
      </c>
      <c r="F18" s="23">
        <v>2</v>
      </c>
      <c r="G18" s="23">
        <v>920</v>
      </c>
      <c r="H18" s="23">
        <v>30</v>
      </c>
      <c r="I18" s="23">
        <f t="shared" si="0"/>
        <v>890</v>
      </c>
      <c r="J18" s="22" t="s">
        <v>34</v>
      </c>
      <c r="K18" s="22" t="s">
        <v>34</v>
      </c>
      <c r="L18" s="22" t="s">
        <v>1036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133</v>
      </c>
      <c r="D19" s="22" t="s">
        <v>1078</v>
      </c>
      <c r="E19" s="22" t="s">
        <v>135</v>
      </c>
      <c r="F19" s="22" t="s">
        <v>98</v>
      </c>
      <c r="G19" s="23">
        <v>870</v>
      </c>
      <c r="H19" s="23">
        <v>20</v>
      </c>
      <c r="I19" s="23">
        <f t="shared" si="0"/>
        <v>850</v>
      </c>
      <c r="J19" s="22" t="s">
        <v>34</v>
      </c>
      <c r="K19" s="22" t="s">
        <v>34</v>
      </c>
      <c r="L19" s="22" t="s">
        <v>1036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1079</v>
      </c>
      <c r="D20" s="22" t="s">
        <v>1080</v>
      </c>
      <c r="E20" s="22" t="s">
        <v>1081</v>
      </c>
      <c r="F20" s="22" t="s">
        <v>98</v>
      </c>
      <c r="G20" s="23">
        <v>20</v>
      </c>
      <c r="H20" s="23">
        <v>20</v>
      </c>
      <c r="I20" s="23">
        <f t="shared" si="0"/>
        <v>0</v>
      </c>
      <c r="J20" s="22" t="s">
        <v>34</v>
      </c>
      <c r="K20" s="22" t="s">
        <v>34</v>
      </c>
      <c r="L20" s="22" t="s">
        <v>1036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1082</v>
      </c>
      <c r="D21" s="22" t="s">
        <v>1083</v>
      </c>
      <c r="E21" s="22" t="s">
        <v>1084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1036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1085</v>
      </c>
      <c r="D22" s="22" t="s">
        <v>1086</v>
      </c>
      <c r="E22" s="22" t="s">
        <v>1087</v>
      </c>
      <c r="F22" s="22" t="s">
        <v>90</v>
      </c>
      <c r="G22" s="23">
        <v>875</v>
      </c>
      <c r="H22" s="23">
        <v>25</v>
      </c>
      <c r="I22" s="23">
        <f t="shared" si="0"/>
        <v>850</v>
      </c>
      <c r="J22" s="22" t="s">
        <v>34</v>
      </c>
      <c r="K22" s="22" t="s">
        <v>34</v>
      </c>
      <c r="L22" s="22" t="s">
        <v>1036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1088</v>
      </c>
      <c r="D23" s="22" t="s">
        <v>1089</v>
      </c>
      <c r="E23" s="22" t="s">
        <v>1090</v>
      </c>
      <c r="F23" s="22" t="s">
        <v>98</v>
      </c>
      <c r="G23" s="23">
        <v>0</v>
      </c>
      <c r="H23" s="23">
        <v>20</v>
      </c>
      <c r="I23" s="23">
        <f t="shared" si="0"/>
        <v>-20</v>
      </c>
      <c r="J23" s="22" t="s">
        <v>34</v>
      </c>
      <c r="K23" s="22" t="s">
        <v>34</v>
      </c>
      <c r="L23" s="22" t="s">
        <v>1036</v>
      </c>
      <c r="M23" s="22"/>
      <c r="N23" s="22"/>
      <c r="O23" s="22"/>
      <c r="P23" s="22"/>
      <c r="Q23" s="22">
        <v>1</v>
      </c>
      <c r="R23" s="24">
        <f>H23</f>
        <v>20</v>
      </c>
    </row>
    <row r="24" spans="1:18" customFormat="1" x14ac:dyDescent="0.25">
      <c r="A24" s="22"/>
      <c r="B24" s="22" t="s">
        <v>30</v>
      </c>
      <c r="C24" s="22" t="s">
        <v>1091</v>
      </c>
      <c r="D24" s="22" t="s">
        <v>1092</v>
      </c>
      <c r="E24" s="22" t="s">
        <v>1093</v>
      </c>
      <c r="F24" s="22" t="s">
        <v>98</v>
      </c>
      <c r="G24" s="23">
        <v>840</v>
      </c>
      <c r="H24" s="23">
        <v>20</v>
      </c>
      <c r="I24" s="23">
        <f t="shared" si="0"/>
        <v>820</v>
      </c>
      <c r="J24" s="22" t="s">
        <v>34</v>
      </c>
      <c r="K24" s="22" t="s">
        <v>34</v>
      </c>
      <c r="L24" s="22" t="s">
        <v>1036</v>
      </c>
      <c r="M24" s="22"/>
      <c r="N24" s="22"/>
      <c r="O24" s="22"/>
      <c r="P24" s="22"/>
      <c r="Q24" s="22">
        <v>1</v>
      </c>
    </row>
    <row r="25" spans="1:18" customFormat="1" x14ac:dyDescent="0.25">
      <c r="A25" s="22" t="s">
        <v>29</v>
      </c>
      <c r="B25" s="22" t="s">
        <v>30</v>
      </c>
      <c r="C25" s="22" t="s">
        <v>353</v>
      </c>
      <c r="D25" s="22"/>
      <c r="E25" s="22" t="s">
        <v>354</v>
      </c>
      <c r="F25" s="22" t="s">
        <v>90</v>
      </c>
      <c r="G25" s="23">
        <v>30</v>
      </c>
      <c r="H25" s="23">
        <v>30</v>
      </c>
      <c r="I25" s="23">
        <f>G25-H25</f>
        <v>0</v>
      </c>
      <c r="J25" s="22" t="s">
        <v>34</v>
      </c>
      <c r="K25" s="22" t="s">
        <v>34</v>
      </c>
      <c r="L25" s="22" t="s">
        <v>1036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142</v>
      </c>
      <c r="D26" s="22"/>
      <c r="E26" s="22" t="s">
        <v>1094</v>
      </c>
      <c r="F26" s="22" t="s">
        <v>90</v>
      </c>
      <c r="G26" s="23">
        <v>3955</v>
      </c>
      <c r="H26" s="23">
        <v>35</v>
      </c>
      <c r="I26" s="23">
        <f>G26-H26</f>
        <v>3920</v>
      </c>
      <c r="J26" s="22" t="s">
        <v>34</v>
      </c>
      <c r="K26" s="22" t="s">
        <v>34</v>
      </c>
      <c r="L26" s="22" t="s">
        <v>1036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1095</v>
      </c>
      <c r="D27" s="22" t="s">
        <v>1096</v>
      </c>
      <c r="E27" s="22" t="s">
        <v>1097</v>
      </c>
      <c r="F27" s="22" t="s">
        <v>90</v>
      </c>
      <c r="G27" s="23">
        <v>815</v>
      </c>
      <c r="H27" s="23">
        <v>25</v>
      </c>
      <c r="I27" s="23">
        <f t="shared" si="0"/>
        <v>790</v>
      </c>
      <c r="J27" s="22" t="s">
        <v>148</v>
      </c>
      <c r="K27" s="22" t="s">
        <v>34</v>
      </c>
      <c r="L27" s="22" t="s">
        <v>1036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1098</v>
      </c>
      <c r="D28" s="22" t="s">
        <v>1099</v>
      </c>
      <c r="E28" s="22" t="s">
        <v>1100</v>
      </c>
      <c r="F28" s="23">
        <v>4</v>
      </c>
      <c r="G28" s="23">
        <v>765</v>
      </c>
      <c r="H28" s="23">
        <v>25</v>
      </c>
      <c r="I28" s="23">
        <f t="shared" si="0"/>
        <v>740</v>
      </c>
      <c r="J28" s="22" t="s">
        <v>148</v>
      </c>
      <c r="K28" s="22" t="s">
        <v>34</v>
      </c>
      <c r="L28" s="22" t="s">
        <v>1036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1101</v>
      </c>
      <c r="D29" s="22" t="s">
        <v>1102</v>
      </c>
      <c r="E29" s="22" t="s">
        <v>1103</v>
      </c>
      <c r="F29" s="22" t="s">
        <v>108</v>
      </c>
      <c r="G29" s="23">
        <v>25</v>
      </c>
      <c r="H29" s="23">
        <v>25</v>
      </c>
      <c r="I29" s="23">
        <f t="shared" si="0"/>
        <v>0</v>
      </c>
      <c r="J29" s="22" t="s">
        <v>148</v>
      </c>
      <c r="K29" s="22" t="s">
        <v>34</v>
      </c>
      <c r="L29" s="22" t="s">
        <v>1036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1104</v>
      </c>
      <c r="D30" s="22" t="s">
        <v>1105</v>
      </c>
      <c r="E30" s="22" t="s">
        <v>1106</v>
      </c>
      <c r="F30" s="23">
        <v>10</v>
      </c>
      <c r="G30" s="23">
        <v>725</v>
      </c>
      <c r="H30" s="23">
        <v>25</v>
      </c>
      <c r="I30" s="23">
        <f t="shared" si="0"/>
        <v>700</v>
      </c>
      <c r="J30" s="22" t="s">
        <v>148</v>
      </c>
      <c r="K30" s="22" t="s">
        <v>34</v>
      </c>
      <c r="L30" s="22" t="s">
        <v>1036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1107</v>
      </c>
      <c r="D31" s="22" t="s">
        <v>1108</v>
      </c>
      <c r="E31" s="22" t="s">
        <v>1109</v>
      </c>
      <c r="F31" s="23">
        <v>3</v>
      </c>
      <c r="G31" s="23">
        <v>765</v>
      </c>
      <c r="H31" s="23">
        <v>25</v>
      </c>
      <c r="I31" s="23">
        <f t="shared" si="0"/>
        <v>740</v>
      </c>
      <c r="J31" s="22" t="s">
        <v>148</v>
      </c>
      <c r="K31" s="22" t="s">
        <v>34</v>
      </c>
      <c r="L31" s="22" t="s">
        <v>1036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1110</v>
      </c>
      <c r="D32" s="22" t="s">
        <v>1111</v>
      </c>
      <c r="E32" s="22" t="s">
        <v>1112</v>
      </c>
      <c r="F32" s="23">
        <v>5</v>
      </c>
      <c r="G32" s="23">
        <v>1115</v>
      </c>
      <c r="H32" s="23">
        <v>25</v>
      </c>
      <c r="I32" s="23">
        <f t="shared" si="0"/>
        <v>1090</v>
      </c>
      <c r="J32" s="22" t="s">
        <v>148</v>
      </c>
      <c r="K32" s="22" t="s">
        <v>34</v>
      </c>
      <c r="L32" s="22" t="s">
        <v>1036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937</v>
      </c>
      <c r="D33" s="22" t="s">
        <v>1113</v>
      </c>
      <c r="E33" s="22" t="s">
        <v>1114</v>
      </c>
      <c r="F33" s="22" t="s">
        <v>108</v>
      </c>
      <c r="G33" s="23">
        <v>815</v>
      </c>
      <c r="H33" s="23">
        <v>25</v>
      </c>
      <c r="I33" s="23">
        <f t="shared" si="0"/>
        <v>790</v>
      </c>
      <c r="J33" s="22" t="s">
        <v>148</v>
      </c>
      <c r="K33" s="22" t="s">
        <v>34</v>
      </c>
      <c r="L33" s="22" t="s">
        <v>1036</v>
      </c>
      <c r="M33" s="22"/>
      <c r="N33" s="22"/>
      <c r="O33" s="22"/>
      <c r="P33" s="22"/>
      <c r="Q33" s="22">
        <v>1</v>
      </c>
    </row>
    <row r="34" spans="1:18" s="27" customFormat="1" x14ac:dyDescent="0.25">
      <c r="A34" s="25"/>
      <c r="B34" s="25" t="s">
        <v>30</v>
      </c>
      <c r="C34" s="25" t="s">
        <v>1025</v>
      </c>
      <c r="D34" s="25" t="s">
        <v>1115</v>
      </c>
      <c r="E34" s="25" t="s">
        <v>1027</v>
      </c>
      <c r="F34" s="26">
        <v>4</v>
      </c>
      <c r="G34" s="26">
        <v>45</v>
      </c>
      <c r="H34" s="26">
        <v>25</v>
      </c>
      <c r="I34" s="26">
        <f t="shared" si="0"/>
        <v>20</v>
      </c>
      <c r="J34" s="25" t="s">
        <v>148</v>
      </c>
      <c r="K34" s="25" t="s">
        <v>34</v>
      </c>
      <c r="L34" s="25" t="s">
        <v>1036</v>
      </c>
      <c r="M34" s="25" t="s">
        <v>139</v>
      </c>
      <c r="N34" s="25"/>
      <c r="O34" s="25"/>
      <c r="P34" s="25"/>
      <c r="Q34" s="25">
        <v>1</v>
      </c>
    </row>
    <row r="35" spans="1:18" customFormat="1" x14ac:dyDescent="0.25">
      <c r="A35" s="22"/>
      <c r="B35" s="22" t="s">
        <v>30</v>
      </c>
      <c r="C35" s="22" t="s">
        <v>1116</v>
      </c>
      <c r="D35" s="22" t="s">
        <v>1117</v>
      </c>
      <c r="E35" s="22" t="s">
        <v>1118</v>
      </c>
      <c r="F35" s="23">
        <v>1</v>
      </c>
      <c r="G35" s="23">
        <v>765</v>
      </c>
      <c r="H35" s="23">
        <v>25</v>
      </c>
      <c r="I35" s="23">
        <f t="shared" si="0"/>
        <v>740</v>
      </c>
      <c r="J35" s="22" t="s">
        <v>148</v>
      </c>
      <c r="K35" s="22" t="s">
        <v>34</v>
      </c>
      <c r="L35" s="22" t="s">
        <v>1036</v>
      </c>
      <c r="M35" s="22"/>
      <c r="N35" s="22"/>
      <c r="O35" s="22"/>
      <c r="P35" s="22"/>
      <c r="Q35" s="22">
        <v>1</v>
      </c>
    </row>
    <row r="37" spans="1:18" x14ac:dyDescent="0.25">
      <c r="G37" s="1">
        <f t="shared" ref="G37:R37" si="1">SUBTOTAL(9,G3:G36)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200</v>
      </c>
    </row>
    <row r="41" spans="1:18" ht="20.25" customHeight="1" x14ac:dyDescent="0.3">
      <c r="H41" s="4" t="s">
        <v>960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24170</v>
      </c>
      <c r="J42" s="8">
        <f>Q37</f>
        <v>33</v>
      </c>
    </row>
    <row r="43" spans="1:18" x14ac:dyDescent="0.25">
      <c r="H43" s="9" t="s">
        <v>18</v>
      </c>
      <c r="I43" s="10">
        <f>R37</f>
        <v>200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24370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39B8-44B5-456F-904E-6135F949606D}">
  <dimension ref="A1:R56"/>
  <sheetViews>
    <sheetView zoomScale="82" zoomScaleNormal="80" workbookViewId="0">
      <selection activeCell="A5" sqref="A5:XFD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1030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1122</v>
      </c>
      <c r="E3" s="22" t="s">
        <v>1123</v>
      </c>
      <c r="F3" s="23">
        <v>9</v>
      </c>
      <c r="G3" s="23">
        <v>980</v>
      </c>
      <c r="H3" s="23">
        <v>30</v>
      </c>
      <c r="I3" s="23">
        <f t="shared" ref="I3:I39" si="0">G3-H3</f>
        <v>950</v>
      </c>
      <c r="J3" s="22" t="s">
        <v>33</v>
      </c>
      <c r="K3" s="22" t="s">
        <v>34</v>
      </c>
      <c r="L3" s="22" t="s">
        <v>1124</v>
      </c>
      <c r="M3" s="22"/>
      <c r="N3" s="22"/>
      <c r="O3" s="22"/>
      <c r="Q3">
        <v>1</v>
      </c>
    </row>
    <row r="4" spans="1:18" customFormat="1" x14ac:dyDescent="0.25">
      <c r="A4" s="22"/>
      <c r="B4" s="22" t="s">
        <v>30</v>
      </c>
      <c r="C4" s="22" t="s">
        <v>1125</v>
      </c>
      <c r="D4" s="22" t="s">
        <v>1126</v>
      </c>
      <c r="E4" s="22" t="s">
        <v>1127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1128</v>
      </c>
      <c r="K4" s="22" t="s">
        <v>34</v>
      </c>
      <c r="L4" s="22" t="s">
        <v>1124</v>
      </c>
      <c r="M4" s="22"/>
      <c r="N4" s="22"/>
      <c r="O4" s="22"/>
      <c r="Q4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1129</v>
      </c>
      <c r="D5" s="22" t="s">
        <v>1651</v>
      </c>
      <c r="E5" s="22" t="s">
        <v>1130</v>
      </c>
      <c r="F5" s="23">
        <v>7</v>
      </c>
      <c r="G5" s="23">
        <v>810</v>
      </c>
      <c r="H5" s="23">
        <v>30</v>
      </c>
      <c r="I5" s="23">
        <f t="shared" si="0"/>
        <v>780</v>
      </c>
      <c r="J5" s="22" t="s">
        <v>1128</v>
      </c>
      <c r="K5" s="22" t="s">
        <v>34</v>
      </c>
      <c r="L5" s="22" t="s">
        <v>1124</v>
      </c>
      <c r="M5" s="22"/>
      <c r="N5" s="22"/>
      <c r="O5" s="22"/>
      <c r="Q5">
        <v>1</v>
      </c>
    </row>
    <row r="6" spans="1:18" customFormat="1" x14ac:dyDescent="0.25">
      <c r="A6" s="22"/>
      <c r="B6" s="22" t="s">
        <v>30</v>
      </c>
      <c r="C6" s="22" t="s">
        <v>1131</v>
      </c>
      <c r="D6" s="22" t="s">
        <v>1132</v>
      </c>
      <c r="E6" s="22" t="s">
        <v>1133</v>
      </c>
      <c r="F6" s="23">
        <v>8</v>
      </c>
      <c r="G6" s="23">
        <v>1550</v>
      </c>
      <c r="H6" s="23">
        <v>30</v>
      </c>
      <c r="I6" s="23">
        <f t="shared" si="0"/>
        <v>1520</v>
      </c>
      <c r="J6" s="22" t="s">
        <v>1128</v>
      </c>
      <c r="K6" s="22" t="s">
        <v>34</v>
      </c>
      <c r="L6" s="22" t="s">
        <v>1124</v>
      </c>
      <c r="M6" s="22"/>
      <c r="N6" s="22"/>
      <c r="O6" s="22"/>
      <c r="Q6">
        <v>1</v>
      </c>
    </row>
    <row r="7" spans="1:18" customFormat="1" x14ac:dyDescent="0.25">
      <c r="A7" s="22"/>
      <c r="B7" s="22" t="s">
        <v>30</v>
      </c>
      <c r="C7" s="22" t="s">
        <v>1134</v>
      </c>
      <c r="D7" s="22" t="s">
        <v>1135</v>
      </c>
      <c r="E7" s="22" t="s">
        <v>1136</v>
      </c>
      <c r="F7" s="22" t="s">
        <v>59</v>
      </c>
      <c r="G7" s="23">
        <v>835</v>
      </c>
      <c r="H7" s="23">
        <v>25</v>
      </c>
      <c r="I7" s="23">
        <f t="shared" si="0"/>
        <v>810</v>
      </c>
      <c r="J7" s="22" t="s">
        <v>1128</v>
      </c>
      <c r="K7" s="22" t="s">
        <v>34</v>
      </c>
      <c r="L7" s="22" t="s">
        <v>1124</v>
      </c>
      <c r="M7" s="22"/>
      <c r="N7" s="22"/>
      <c r="O7" s="22"/>
      <c r="Q7">
        <v>1</v>
      </c>
    </row>
    <row r="8" spans="1:18" customFormat="1" x14ac:dyDescent="0.25">
      <c r="A8" s="22"/>
      <c r="B8" s="22" t="s">
        <v>30</v>
      </c>
      <c r="C8" s="22" t="s">
        <v>1137</v>
      </c>
      <c r="D8" s="22" t="s">
        <v>1138</v>
      </c>
      <c r="E8" s="22" t="s">
        <v>1139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1128</v>
      </c>
      <c r="K8" s="22" t="s">
        <v>34</v>
      </c>
      <c r="L8" s="22" t="s">
        <v>1124</v>
      </c>
      <c r="M8" s="22"/>
      <c r="N8" s="22"/>
      <c r="O8" s="22"/>
      <c r="Q8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1140</v>
      </c>
      <c r="D9" s="22" t="s">
        <v>1141</v>
      </c>
      <c r="E9" s="22" t="s">
        <v>1142</v>
      </c>
      <c r="F9" s="22" t="s">
        <v>59</v>
      </c>
      <c r="G9" s="23">
        <v>805</v>
      </c>
      <c r="H9" s="23">
        <v>25</v>
      </c>
      <c r="I9" s="23">
        <f t="shared" si="0"/>
        <v>780</v>
      </c>
      <c r="J9" s="22" t="s">
        <v>1128</v>
      </c>
      <c r="K9" s="22" t="s">
        <v>34</v>
      </c>
      <c r="L9" s="22" t="s">
        <v>1124</v>
      </c>
      <c r="M9" s="22"/>
      <c r="N9" s="22"/>
      <c r="O9" s="22"/>
      <c r="Q9">
        <v>1</v>
      </c>
    </row>
    <row r="10" spans="1:18" customFormat="1" x14ac:dyDescent="0.25">
      <c r="A10" s="22"/>
      <c r="B10" s="22" t="s">
        <v>30</v>
      </c>
      <c r="C10" s="22" t="s">
        <v>1143</v>
      </c>
      <c r="D10" s="22" t="s">
        <v>1144</v>
      </c>
      <c r="E10" s="22" t="s">
        <v>1145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1128</v>
      </c>
      <c r="K10" s="22" t="s">
        <v>34</v>
      </c>
      <c r="L10" s="22" t="s">
        <v>1124</v>
      </c>
      <c r="M10" s="22"/>
      <c r="N10" s="22"/>
      <c r="O10" s="22"/>
      <c r="Q10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1146</v>
      </c>
      <c r="D11" s="22" t="s">
        <v>1147</v>
      </c>
      <c r="E11" s="22" t="s">
        <v>1148</v>
      </c>
      <c r="F11" s="22" t="s">
        <v>39</v>
      </c>
      <c r="G11" s="23">
        <v>810</v>
      </c>
      <c r="H11" s="23">
        <v>30</v>
      </c>
      <c r="I11" s="23">
        <f t="shared" si="0"/>
        <v>780</v>
      </c>
      <c r="J11" s="22" t="s">
        <v>1128</v>
      </c>
      <c r="K11" s="22" t="s">
        <v>34</v>
      </c>
      <c r="L11" s="22" t="s">
        <v>1124</v>
      </c>
      <c r="M11" s="22"/>
      <c r="N11" s="22"/>
      <c r="O11" s="22"/>
      <c r="Q11">
        <v>1</v>
      </c>
    </row>
    <row r="12" spans="1:18" customFormat="1" x14ac:dyDescent="0.25">
      <c r="A12" s="22"/>
      <c r="B12" s="22" t="s">
        <v>30</v>
      </c>
      <c r="C12" s="22" t="s">
        <v>1149</v>
      </c>
      <c r="D12" s="22" t="s">
        <v>1150</v>
      </c>
      <c r="E12" s="22" t="s">
        <v>1151</v>
      </c>
      <c r="F12" s="23">
        <v>7</v>
      </c>
      <c r="G12" s="23">
        <v>720</v>
      </c>
      <c r="H12" s="23">
        <v>30</v>
      </c>
      <c r="I12" s="23">
        <f t="shared" si="0"/>
        <v>690</v>
      </c>
      <c r="J12" s="22" t="s">
        <v>1128</v>
      </c>
      <c r="K12" s="22" t="s">
        <v>34</v>
      </c>
      <c r="L12" s="22" t="s">
        <v>1124</v>
      </c>
      <c r="M12" s="22"/>
      <c r="N12" s="22"/>
      <c r="O12" s="22"/>
      <c r="Q12">
        <v>1</v>
      </c>
    </row>
    <row r="13" spans="1:18" customFormat="1" x14ac:dyDescent="0.25">
      <c r="A13" s="22"/>
      <c r="B13" s="22" t="s">
        <v>30</v>
      </c>
      <c r="C13" s="22" t="s">
        <v>1152</v>
      </c>
      <c r="D13" s="22" t="s">
        <v>1153</v>
      </c>
      <c r="E13" s="22" t="s">
        <v>1154</v>
      </c>
      <c r="F13" s="22" t="s">
        <v>59</v>
      </c>
      <c r="G13" s="23">
        <v>0</v>
      </c>
      <c r="H13" s="23">
        <v>25</v>
      </c>
      <c r="I13" s="23">
        <f t="shared" si="0"/>
        <v>-25</v>
      </c>
      <c r="J13" s="22" t="s">
        <v>1128</v>
      </c>
      <c r="K13" s="22" t="s">
        <v>34</v>
      </c>
      <c r="L13" s="22" t="s">
        <v>1124</v>
      </c>
      <c r="M13" s="22"/>
      <c r="N13" s="22"/>
      <c r="O13" s="22"/>
      <c r="Q13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1155</v>
      </c>
      <c r="D14" s="22" t="s">
        <v>1156</v>
      </c>
      <c r="E14" s="22" t="s">
        <v>1157</v>
      </c>
      <c r="F14" s="23">
        <v>8</v>
      </c>
      <c r="G14" s="23">
        <v>810</v>
      </c>
      <c r="H14" s="23">
        <v>30</v>
      </c>
      <c r="I14" s="23">
        <f t="shared" si="0"/>
        <v>780</v>
      </c>
      <c r="J14" s="22" t="s">
        <v>1128</v>
      </c>
      <c r="K14" s="22" t="s">
        <v>34</v>
      </c>
      <c r="L14" s="22" t="s">
        <v>1124</v>
      </c>
      <c r="M14" s="22"/>
      <c r="N14" s="22"/>
      <c r="O14" s="22"/>
      <c r="Q14">
        <v>1</v>
      </c>
    </row>
    <row r="15" spans="1:18" customFormat="1" x14ac:dyDescent="0.25">
      <c r="A15" s="22"/>
      <c r="B15" s="22" t="s">
        <v>30</v>
      </c>
      <c r="C15" s="22" t="s">
        <v>1158</v>
      </c>
      <c r="D15" s="22" t="s">
        <v>1159</v>
      </c>
      <c r="E15" s="22" t="s">
        <v>1160</v>
      </c>
      <c r="F15" s="22" t="s">
        <v>39</v>
      </c>
      <c r="G15" s="23">
        <v>750</v>
      </c>
      <c r="H15" s="23">
        <v>30</v>
      </c>
      <c r="I15" s="23">
        <f t="shared" si="0"/>
        <v>720</v>
      </c>
      <c r="J15" s="22" t="s">
        <v>1128</v>
      </c>
      <c r="K15" s="22" t="s">
        <v>34</v>
      </c>
      <c r="L15" s="22" t="s">
        <v>1124</v>
      </c>
      <c r="M15" s="22"/>
      <c r="N15" s="22"/>
      <c r="O15" s="22"/>
      <c r="Q15">
        <v>1</v>
      </c>
    </row>
    <row r="16" spans="1:18" customFormat="1" x14ac:dyDescent="0.25">
      <c r="A16" s="22" t="s">
        <v>29</v>
      </c>
      <c r="B16" s="22" t="s">
        <v>30</v>
      </c>
      <c r="C16" s="22" t="s">
        <v>1161</v>
      </c>
      <c r="D16" s="22"/>
      <c r="E16" s="22" t="s">
        <v>1162</v>
      </c>
      <c r="F16" s="22" t="s">
        <v>108</v>
      </c>
      <c r="G16" s="23">
        <v>0</v>
      </c>
      <c r="H16" s="23">
        <v>40</v>
      </c>
      <c r="I16" s="23">
        <f t="shared" si="0"/>
        <v>-40</v>
      </c>
      <c r="J16" s="22" t="s">
        <v>34</v>
      </c>
      <c r="K16" s="22" t="s">
        <v>34</v>
      </c>
      <c r="L16" s="22" t="s">
        <v>1124</v>
      </c>
      <c r="M16" s="22"/>
      <c r="N16" s="22"/>
      <c r="O16" s="22"/>
      <c r="Q16">
        <v>1</v>
      </c>
      <c r="R16" s="24">
        <f>H16</f>
        <v>40</v>
      </c>
    </row>
    <row r="17" spans="1:18" customFormat="1" x14ac:dyDescent="0.25">
      <c r="A17" s="22" t="s">
        <v>29</v>
      </c>
      <c r="B17" s="22" t="s">
        <v>30</v>
      </c>
      <c r="C17" s="22" t="s">
        <v>353</v>
      </c>
      <c r="D17" s="22"/>
      <c r="E17" s="22" t="s">
        <v>1163</v>
      </c>
      <c r="F17" s="22" t="s">
        <v>90</v>
      </c>
      <c r="G17" s="23">
        <v>30</v>
      </c>
      <c r="H17" s="23">
        <v>30</v>
      </c>
      <c r="I17" s="23">
        <f t="shared" si="0"/>
        <v>0</v>
      </c>
      <c r="J17" s="22" t="s">
        <v>34</v>
      </c>
      <c r="K17" s="22" t="s">
        <v>34</v>
      </c>
      <c r="L17" s="22" t="s">
        <v>1124</v>
      </c>
      <c r="M17" s="22"/>
      <c r="N17" s="22"/>
      <c r="O17" s="22"/>
      <c r="Q17">
        <v>1</v>
      </c>
    </row>
    <row r="18" spans="1:18" customFormat="1" x14ac:dyDescent="0.25">
      <c r="A18" s="22"/>
      <c r="B18" s="22" t="s">
        <v>30</v>
      </c>
      <c r="C18" s="22" t="s">
        <v>1164</v>
      </c>
      <c r="D18" s="22" t="s">
        <v>1165</v>
      </c>
      <c r="E18" s="22" t="s">
        <v>1166</v>
      </c>
      <c r="F18" s="22" t="s">
        <v>90</v>
      </c>
      <c r="G18" s="23">
        <v>25</v>
      </c>
      <c r="H18" s="23">
        <v>25</v>
      </c>
      <c r="I18" s="23">
        <f t="shared" si="0"/>
        <v>0</v>
      </c>
      <c r="J18" s="22" t="s">
        <v>34</v>
      </c>
      <c r="K18" s="22" t="s">
        <v>34</v>
      </c>
      <c r="L18" s="22" t="s">
        <v>1124</v>
      </c>
      <c r="M18" s="22"/>
      <c r="N18" s="22"/>
      <c r="O18" s="22"/>
      <c r="Q18">
        <v>1</v>
      </c>
    </row>
    <row r="19" spans="1:18" customFormat="1" x14ac:dyDescent="0.25">
      <c r="A19" s="22"/>
      <c r="B19" s="22" t="s">
        <v>30</v>
      </c>
      <c r="C19" s="22" t="s">
        <v>803</v>
      </c>
      <c r="D19" s="22" t="s">
        <v>1167</v>
      </c>
      <c r="E19" s="22" t="s">
        <v>805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1124</v>
      </c>
      <c r="M19" s="22"/>
      <c r="N19" s="22"/>
      <c r="O19" s="22"/>
      <c r="Q19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1168</v>
      </c>
      <c r="D20" s="22" t="s">
        <v>1169</v>
      </c>
      <c r="E20" s="22" t="s">
        <v>1170</v>
      </c>
      <c r="F20" s="22" t="s">
        <v>108</v>
      </c>
      <c r="G20" s="23">
        <v>1145</v>
      </c>
      <c r="H20" s="23">
        <v>25</v>
      </c>
      <c r="I20" s="23">
        <f t="shared" si="0"/>
        <v>1120</v>
      </c>
      <c r="J20" s="22" t="s">
        <v>34</v>
      </c>
      <c r="K20" s="22" t="s">
        <v>34</v>
      </c>
      <c r="L20" s="22" t="s">
        <v>1124</v>
      </c>
      <c r="M20" s="22"/>
      <c r="N20" s="22"/>
      <c r="O20" s="22"/>
      <c r="Q20">
        <v>1</v>
      </c>
    </row>
    <row r="21" spans="1:18" customFormat="1" x14ac:dyDescent="0.25">
      <c r="A21" s="22"/>
      <c r="B21" s="22" t="s">
        <v>30</v>
      </c>
      <c r="C21" s="22" t="s">
        <v>1171</v>
      </c>
      <c r="D21" s="22" t="s">
        <v>1172</v>
      </c>
      <c r="E21" s="22" t="s">
        <v>1173</v>
      </c>
      <c r="F21" s="22" t="s">
        <v>94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1124</v>
      </c>
      <c r="M21" s="22"/>
      <c r="N21" s="22"/>
      <c r="O21" s="22"/>
      <c r="Q21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1174</v>
      </c>
      <c r="D22" s="22" t="s">
        <v>1175</v>
      </c>
      <c r="E22" s="22" t="s">
        <v>1176</v>
      </c>
      <c r="F22" s="22" t="s">
        <v>98</v>
      </c>
      <c r="G22" s="23">
        <v>660</v>
      </c>
      <c r="H22" s="23">
        <v>20</v>
      </c>
      <c r="I22" s="23">
        <f t="shared" si="0"/>
        <v>640</v>
      </c>
      <c r="J22" s="22" t="s">
        <v>34</v>
      </c>
      <c r="K22" s="22" t="s">
        <v>34</v>
      </c>
      <c r="L22" s="22" t="s">
        <v>1124</v>
      </c>
      <c r="M22" s="22"/>
      <c r="N22" s="22"/>
      <c r="O22" s="22"/>
      <c r="Q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1177</v>
      </c>
      <c r="E23" s="22" t="s">
        <v>1178</v>
      </c>
      <c r="F23" s="22" t="s">
        <v>98</v>
      </c>
      <c r="G23" s="23">
        <v>800</v>
      </c>
      <c r="H23" s="23">
        <v>20</v>
      </c>
      <c r="I23" s="23">
        <f t="shared" si="0"/>
        <v>780</v>
      </c>
      <c r="J23" s="22" t="s">
        <v>34</v>
      </c>
      <c r="K23" s="22" t="s">
        <v>34</v>
      </c>
      <c r="L23" s="22" t="s">
        <v>1124</v>
      </c>
      <c r="M23" s="22"/>
      <c r="N23" s="22"/>
      <c r="O23" s="22"/>
      <c r="Q23">
        <v>1</v>
      </c>
    </row>
    <row r="24" spans="1:18" customFormat="1" x14ac:dyDescent="0.25">
      <c r="A24" s="22"/>
      <c r="B24" s="22" t="s">
        <v>30</v>
      </c>
      <c r="C24" s="22" t="s">
        <v>1179</v>
      </c>
      <c r="D24" s="22" t="s">
        <v>1180</v>
      </c>
      <c r="E24" s="22" t="s">
        <v>1181</v>
      </c>
      <c r="F24" s="22" t="s">
        <v>90</v>
      </c>
      <c r="G24" s="23">
        <v>825</v>
      </c>
      <c r="H24" s="23">
        <v>25</v>
      </c>
      <c r="I24" s="23">
        <f t="shared" si="0"/>
        <v>800</v>
      </c>
      <c r="J24" s="22" t="s">
        <v>34</v>
      </c>
      <c r="K24" s="22" t="s">
        <v>34</v>
      </c>
      <c r="L24" s="22" t="s">
        <v>1124</v>
      </c>
      <c r="M24" s="22"/>
      <c r="N24" s="22"/>
      <c r="O24" s="22"/>
      <c r="Q24">
        <v>1</v>
      </c>
    </row>
    <row r="25" spans="1:18" customFormat="1" x14ac:dyDescent="0.25">
      <c r="A25" s="22" t="s">
        <v>29</v>
      </c>
      <c r="B25" s="22" t="s">
        <v>30</v>
      </c>
      <c r="C25" s="22" t="s">
        <v>1182</v>
      </c>
      <c r="D25" s="22"/>
      <c r="E25" s="22" t="s">
        <v>1183</v>
      </c>
      <c r="F25" s="22" t="s">
        <v>108</v>
      </c>
      <c r="G25" s="23">
        <v>0</v>
      </c>
      <c r="H25" s="23">
        <v>40</v>
      </c>
      <c r="I25" s="23">
        <f t="shared" si="0"/>
        <v>-40</v>
      </c>
      <c r="J25" s="22" t="s">
        <v>34</v>
      </c>
      <c r="K25" s="22" t="s">
        <v>34</v>
      </c>
      <c r="L25" s="22" t="s">
        <v>1124</v>
      </c>
      <c r="M25" s="22"/>
      <c r="N25" s="22"/>
      <c r="O25" s="22"/>
      <c r="Q25">
        <v>1</v>
      </c>
      <c r="R25" s="24">
        <f>H25</f>
        <v>40</v>
      </c>
    </row>
    <row r="26" spans="1:18" customFormat="1" x14ac:dyDescent="0.25">
      <c r="A26" s="22" t="s">
        <v>29</v>
      </c>
      <c r="B26" s="22" t="s">
        <v>30</v>
      </c>
      <c r="C26" s="22" t="s">
        <v>1184</v>
      </c>
      <c r="D26" s="22"/>
      <c r="E26" s="22" t="s">
        <v>1185</v>
      </c>
      <c r="F26" s="23">
        <v>5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1124</v>
      </c>
      <c r="M26" s="22"/>
      <c r="N26" s="22"/>
      <c r="O26" s="22"/>
      <c r="Q26">
        <v>1</v>
      </c>
      <c r="R26" s="24">
        <f>H26</f>
        <v>30</v>
      </c>
    </row>
    <row r="27" spans="1:18" customFormat="1" x14ac:dyDescent="0.25">
      <c r="A27" s="22" t="s">
        <v>29</v>
      </c>
      <c r="B27" s="22" t="s">
        <v>30</v>
      </c>
      <c r="C27" s="22" t="s">
        <v>490</v>
      </c>
      <c r="D27" s="22"/>
      <c r="E27" s="22" t="s">
        <v>491</v>
      </c>
      <c r="F27" s="22" t="s">
        <v>108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1124</v>
      </c>
      <c r="M27" s="22"/>
      <c r="N27" s="22"/>
      <c r="O27" s="22"/>
      <c r="Q27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1186</v>
      </c>
      <c r="D28" s="22" t="s">
        <v>1187</v>
      </c>
      <c r="E28" s="22" t="s">
        <v>1188</v>
      </c>
      <c r="F28" s="23">
        <v>10</v>
      </c>
      <c r="G28" s="23">
        <v>805</v>
      </c>
      <c r="H28" s="23">
        <v>25</v>
      </c>
      <c r="I28" s="23">
        <f t="shared" si="0"/>
        <v>780</v>
      </c>
      <c r="J28" s="22" t="s">
        <v>148</v>
      </c>
      <c r="K28" s="22" t="s">
        <v>34</v>
      </c>
      <c r="L28" s="22" t="s">
        <v>1124</v>
      </c>
      <c r="M28" s="22"/>
      <c r="N28" s="22"/>
      <c r="O28" s="22"/>
      <c r="Q28">
        <v>1</v>
      </c>
    </row>
    <row r="29" spans="1:18" customFormat="1" x14ac:dyDescent="0.25">
      <c r="A29" s="22"/>
      <c r="B29" s="22" t="s">
        <v>30</v>
      </c>
      <c r="C29" s="22" t="s">
        <v>1189</v>
      </c>
      <c r="D29" s="22" t="s">
        <v>1190</v>
      </c>
      <c r="E29" s="22" t="s">
        <v>1191</v>
      </c>
      <c r="F29" s="23">
        <v>4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1124</v>
      </c>
      <c r="M29" s="22"/>
      <c r="N29" s="22"/>
      <c r="O29" s="22"/>
      <c r="Q29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1192</v>
      </c>
      <c r="D30" s="22" t="s">
        <v>1193</v>
      </c>
      <c r="E30" s="22" t="s">
        <v>1194</v>
      </c>
      <c r="F30" s="22" t="s">
        <v>108</v>
      </c>
      <c r="G30" s="23">
        <v>1655</v>
      </c>
      <c r="H30" s="23">
        <v>25</v>
      </c>
      <c r="I30" s="23">
        <f t="shared" si="0"/>
        <v>1630</v>
      </c>
      <c r="J30" s="22" t="s">
        <v>148</v>
      </c>
      <c r="K30" s="22" t="s">
        <v>34</v>
      </c>
      <c r="L30" s="22" t="s">
        <v>1124</v>
      </c>
      <c r="M30" s="22"/>
      <c r="N30" s="22"/>
      <c r="O30" s="22"/>
      <c r="Q30">
        <v>1</v>
      </c>
    </row>
    <row r="31" spans="1:18" customFormat="1" x14ac:dyDescent="0.25">
      <c r="A31" s="22"/>
      <c r="B31" s="22" t="s">
        <v>30</v>
      </c>
      <c r="C31" s="22" t="s">
        <v>1195</v>
      </c>
      <c r="D31" s="22" t="s">
        <v>1196</v>
      </c>
      <c r="E31" s="22" t="s">
        <v>1197</v>
      </c>
      <c r="F31" s="23">
        <v>10</v>
      </c>
      <c r="G31" s="23">
        <v>375</v>
      </c>
      <c r="H31" s="23">
        <v>25</v>
      </c>
      <c r="I31" s="23">
        <f t="shared" si="0"/>
        <v>350</v>
      </c>
      <c r="J31" s="22" t="s">
        <v>148</v>
      </c>
      <c r="K31" s="22" t="s">
        <v>34</v>
      </c>
      <c r="L31" s="22" t="s">
        <v>1124</v>
      </c>
      <c r="M31" s="22"/>
      <c r="N31" s="22"/>
      <c r="O31" s="22"/>
      <c r="Q31">
        <v>1</v>
      </c>
    </row>
    <row r="32" spans="1:18" customFormat="1" x14ac:dyDescent="0.25">
      <c r="A32" s="22"/>
      <c r="B32" s="22" t="s">
        <v>30</v>
      </c>
      <c r="C32" s="22" t="s">
        <v>1198</v>
      </c>
      <c r="D32" s="22" t="s">
        <v>1199</v>
      </c>
      <c r="E32" s="22" t="s">
        <v>1200</v>
      </c>
      <c r="F32" s="23">
        <v>4</v>
      </c>
      <c r="G32" s="23">
        <v>1455</v>
      </c>
      <c r="H32" s="23">
        <v>25</v>
      </c>
      <c r="I32" s="23">
        <f t="shared" si="0"/>
        <v>1430</v>
      </c>
      <c r="J32" s="22" t="s">
        <v>148</v>
      </c>
      <c r="K32" s="22" t="s">
        <v>34</v>
      </c>
      <c r="L32" s="22" t="s">
        <v>1124</v>
      </c>
      <c r="M32" s="22"/>
      <c r="N32" s="22"/>
      <c r="O32" s="22"/>
      <c r="Q32">
        <v>1</v>
      </c>
    </row>
    <row r="33" spans="1:18" customFormat="1" x14ac:dyDescent="0.25">
      <c r="A33" s="22"/>
      <c r="B33" s="22" t="s">
        <v>30</v>
      </c>
      <c r="C33" s="22" t="s">
        <v>1201</v>
      </c>
      <c r="D33" s="22" t="s">
        <v>1202</v>
      </c>
      <c r="E33" s="22" t="s">
        <v>1203</v>
      </c>
      <c r="F33" s="23">
        <v>5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1124</v>
      </c>
      <c r="M33" s="22"/>
      <c r="N33" s="22"/>
      <c r="O33" s="22"/>
      <c r="Q33">
        <v>1</v>
      </c>
      <c r="R33" s="24">
        <f>H33</f>
        <v>25</v>
      </c>
    </row>
    <row r="34" spans="1:18" customFormat="1" x14ac:dyDescent="0.25">
      <c r="A34" s="22"/>
      <c r="B34" s="22" t="s">
        <v>30</v>
      </c>
      <c r="C34" s="22" t="s">
        <v>1107</v>
      </c>
      <c r="D34" s="22" t="s">
        <v>1204</v>
      </c>
      <c r="E34" s="22" t="s">
        <v>1109</v>
      </c>
      <c r="F34" s="23">
        <v>3</v>
      </c>
      <c r="G34" s="23">
        <v>715</v>
      </c>
      <c r="H34" s="23">
        <v>25</v>
      </c>
      <c r="I34" s="23">
        <f t="shared" si="0"/>
        <v>690</v>
      </c>
      <c r="J34" s="22" t="s">
        <v>148</v>
      </c>
      <c r="K34" s="22" t="s">
        <v>34</v>
      </c>
      <c r="L34" s="22" t="s">
        <v>1124</v>
      </c>
      <c r="M34" s="22"/>
      <c r="N34" s="22"/>
      <c r="O34" s="22"/>
      <c r="Q34">
        <v>1</v>
      </c>
    </row>
    <row r="35" spans="1:18" customFormat="1" x14ac:dyDescent="0.25">
      <c r="A35" s="22"/>
      <c r="B35" s="22" t="s">
        <v>30</v>
      </c>
      <c r="C35" s="22" t="s">
        <v>127</v>
      </c>
      <c r="D35" s="22" t="s">
        <v>1205</v>
      </c>
      <c r="E35" s="22" t="s">
        <v>1206</v>
      </c>
      <c r="F35" s="23">
        <v>10</v>
      </c>
      <c r="G35" s="23">
        <v>895</v>
      </c>
      <c r="H35" s="23">
        <v>25</v>
      </c>
      <c r="I35" s="23">
        <f t="shared" si="0"/>
        <v>870</v>
      </c>
      <c r="J35" s="22" t="s">
        <v>148</v>
      </c>
      <c r="K35" s="22" t="s">
        <v>34</v>
      </c>
      <c r="L35" s="22" t="s">
        <v>1124</v>
      </c>
      <c r="M35" s="22"/>
      <c r="N35" s="22"/>
      <c r="O35" s="22"/>
      <c r="Q35">
        <v>1</v>
      </c>
    </row>
    <row r="36" spans="1:18" customFormat="1" x14ac:dyDescent="0.25">
      <c r="A36" s="22"/>
      <c r="B36" s="22" t="s">
        <v>30</v>
      </c>
      <c r="C36" s="22" t="s">
        <v>193</v>
      </c>
      <c r="D36" s="22" t="s">
        <v>1207</v>
      </c>
      <c r="E36" s="22" t="s">
        <v>195</v>
      </c>
      <c r="F36" s="23">
        <v>3</v>
      </c>
      <c r="G36" s="23">
        <v>0</v>
      </c>
      <c r="H36" s="23">
        <v>25</v>
      </c>
      <c r="I36" s="23">
        <f t="shared" si="0"/>
        <v>-25</v>
      </c>
      <c r="J36" s="22" t="s">
        <v>148</v>
      </c>
      <c r="K36" s="22" t="s">
        <v>34</v>
      </c>
      <c r="L36" s="22" t="s">
        <v>1124</v>
      </c>
      <c r="M36" s="22"/>
      <c r="N36" s="22"/>
      <c r="O36" s="22"/>
      <c r="Q36">
        <v>1</v>
      </c>
      <c r="R36" s="24">
        <f>H36</f>
        <v>25</v>
      </c>
    </row>
    <row r="37" spans="1:18" customFormat="1" x14ac:dyDescent="0.25">
      <c r="A37" s="22"/>
      <c r="B37" s="22" t="s">
        <v>30</v>
      </c>
      <c r="C37" s="22" t="s">
        <v>1208</v>
      </c>
      <c r="D37" s="22" t="s">
        <v>1209</v>
      </c>
      <c r="E37" s="22" t="s">
        <v>1210</v>
      </c>
      <c r="F37" s="23">
        <v>4</v>
      </c>
      <c r="G37" s="23">
        <v>815</v>
      </c>
      <c r="H37" s="23">
        <v>25</v>
      </c>
      <c r="I37" s="23">
        <f t="shared" si="0"/>
        <v>790</v>
      </c>
      <c r="J37" s="22" t="s">
        <v>148</v>
      </c>
      <c r="K37" s="22" t="s">
        <v>34</v>
      </c>
      <c r="L37" s="22" t="s">
        <v>1124</v>
      </c>
      <c r="M37" s="22"/>
      <c r="N37" s="22"/>
      <c r="O37" s="22"/>
      <c r="Q37">
        <v>1</v>
      </c>
    </row>
    <row r="38" spans="1:18" customFormat="1" x14ac:dyDescent="0.25">
      <c r="A38" s="22"/>
      <c r="B38" s="22" t="s">
        <v>30</v>
      </c>
      <c r="C38" s="22" t="s">
        <v>1211</v>
      </c>
      <c r="D38" s="22" t="s">
        <v>1212</v>
      </c>
      <c r="E38" s="22" t="s">
        <v>1213</v>
      </c>
      <c r="F38" s="23">
        <v>4</v>
      </c>
      <c r="G38" s="23">
        <v>3100</v>
      </c>
      <c r="H38" s="23">
        <v>35</v>
      </c>
      <c r="I38" s="23">
        <f t="shared" si="0"/>
        <v>3065</v>
      </c>
      <c r="J38" s="22" t="s">
        <v>148</v>
      </c>
      <c r="K38" s="22" t="s">
        <v>34</v>
      </c>
      <c r="L38" s="22" t="s">
        <v>1124</v>
      </c>
      <c r="M38" s="28" t="s">
        <v>180</v>
      </c>
      <c r="N38" s="22"/>
      <c r="O38" s="22"/>
      <c r="Q38">
        <v>1</v>
      </c>
      <c r="R38" s="24">
        <f>H38</f>
        <v>35</v>
      </c>
    </row>
    <row r="39" spans="1:18" customFormat="1" x14ac:dyDescent="0.25">
      <c r="A39" s="22"/>
      <c r="B39" s="22" t="s">
        <v>30</v>
      </c>
      <c r="C39" s="22" t="s">
        <v>1214</v>
      </c>
      <c r="D39" s="22" t="s">
        <v>1215</v>
      </c>
      <c r="E39" s="22" t="s">
        <v>1216</v>
      </c>
      <c r="F39" s="23">
        <v>5</v>
      </c>
      <c r="G39" s="23">
        <v>0</v>
      </c>
      <c r="H39" s="23">
        <v>25</v>
      </c>
      <c r="I39" s="23">
        <f t="shared" si="0"/>
        <v>-25</v>
      </c>
      <c r="J39" s="22" t="s">
        <v>148</v>
      </c>
      <c r="K39" s="22" t="s">
        <v>34</v>
      </c>
      <c r="L39" s="22" t="s">
        <v>1124</v>
      </c>
      <c r="M39" s="28" t="s">
        <v>1217</v>
      </c>
      <c r="N39" s="22"/>
      <c r="O39" s="22"/>
      <c r="Q39">
        <v>1</v>
      </c>
      <c r="R39" s="24">
        <f>H39</f>
        <v>25</v>
      </c>
    </row>
    <row r="41" spans="1:18" x14ac:dyDescent="0.25">
      <c r="G41" s="1">
        <f t="shared" ref="G41:R41" si="1">SUBTOTAL(9,G3:G40)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  <c r="R41" s="1">
        <f t="shared" si="1"/>
        <v>450</v>
      </c>
    </row>
    <row r="45" spans="1:18" ht="20.25" customHeight="1" x14ac:dyDescent="0.3">
      <c r="H45" s="4" t="s">
        <v>1031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20340</v>
      </c>
      <c r="J46" s="8">
        <f>Q41</f>
        <v>37</v>
      </c>
    </row>
    <row r="47" spans="1:18" x14ac:dyDescent="0.25">
      <c r="H47" s="9" t="s">
        <v>18</v>
      </c>
      <c r="I47" s="10">
        <f>R41</f>
        <v>450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20790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1214</v>
      </c>
      <c r="C56" s="36" t="s">
        <v>1215</v>
      </c>
      <c r="D56" s="36" t="s">
        <v>1216</v>
      </c>
      <c r="E56" s="37">
        <v>5</v>
      </c>
      <c r="F56" s="37">
        <v>775</v>
      </c>
      <c r="G56" s="37">
        <v>0</v>
      </c>
      <c r="H56" s="37">
        <f t="shared" ref="H56" si="2">F56-G56</f>
        <v>775</v>
      </c>
      <c r="I56" s="36" t="s">
        <v>148</v>
      </c>
      <c r="J56" s="36" t="s">
        <v>34</v>
      </c>
      <c r="K56" s="36" t="s">
        <v>1124</v>
      </c>
      <c r="L56" s="28" t="s">
        <v>1217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C39C-4E26-4B64-9E99-33EB9C7E67B7}">
  <dimension ref="A1:R48"/>
  <sheetViews>
    <sheetView topLeftCell="A22" zoomScale="82" zoomScaleNormal="80" workbookViewId="0">
      <selection activeCell="E31" sqref="E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1220</v>
      </c>
      <c r="D3" s="22"/>
      <c r="E3" s="22" t="s">
        <v>1221</v>
      </c>
      <c r="F3" s="23">
        <v>9</v>
      </c>
      <c r="G3" s="23">
        <v>35</v>
      </c>
      <c r="H3" s="23">
        <v>35</v>
      </c>
      <c r="I3" s="23">
        <f t="shared" ref="I3:I34" si="0">G3-H3</f>
        <v>0</v>
      </c>
      <c r="J3" s="22" t="s">
        <v>33</v>
      </c>
      <c r="K3" s="22" t="s">
        <v>34</v>
      </c>
      <c r="L3" s="22" t="s">
        <v>1222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1223</v>
      </c>
      <c r="D4" s="22" t="s">
        <v>1224</v>
      </c>
      <c r="E4" s="22" t="s">
        <v>1225</v>
      </c>
      <c r="F4" s="22" t="s">
        <v>389</v>
      </c>
      <c r="G4" s="23">
        <v>0</v>
      </c>
      <c r="H4" s="23">
        <v>20</v>
      </c>
      <c r="I4" s="23">
        <f t="shared" si="0"/>
        <v>-20</v>
      </c>
      <c r="J4" s="22" t="s">
        <v>34</v>
      </c>
      <c r="K4" s="22" t="s">
        <v>34</v>
      </c>
      <c r="L4" s="22" t="s">
        <v>1222</v>
      </c>
      <c r="M4" s="22"/>
      <c r="N4" s="22"/>
      <c r="O4" s="22"/>
      <c r="P4" s="22"/>
      <c r="Q4" s="22">
        <v>1</v>
      </c>
      <c r="R4" s="24">
        <f>H4</f>
        <v>20</v>
      </c>
    </row>
    <row r="5" spans="1:18" customFormat="1" x14ac:dyDescent="0.25">
      <c r="A5" s="22"/>
      <c r="B5" s="22" t="s">
        <v>30</v>
      </c>
      <c r="C5" s="22" t="s">
        <v>1226</v>
      </c>
      <c r="D5" s="22" t="s">
        <v>1227</v>
      </c>
      <c r="E5" s="22" t="s">
        <v>1228</v>
      </c>
      <c r="F5" s="23">
        <v>1</v>
      </c>
      <c r="G5" s="23">
        <v>845</v>
      </c>
      <c r="H5" s="23">
        <v>25</v>
      </c>
      <c r="I5" s="23">
        <f t="shared" si="0"/>
        <v>820</v>
      </c>
      <c r="J5" s="22" t="s">
        <v>34</v>
      </c>
      <c r="K5" s="22" t="s">
        <v>34</v>
      </c>
      <c r="L5" s="22" t="s">
        <v>1222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1229</v>
      </c>
      <c r="D6" s="22" t="s">
        <v>1230</v>
      </c>
      <c r="E6" s="22" t="s">
        <v>1231</v>
      </c>
      <c r="F6" s="23">
        <v>12</v>
      </c>
      <c r="G6" s="23">
        <v>0</v>
      </c>
      <c r="H6" s="23">
        <v>40</v>
      </c>
      <c r="I6" s="23">
        <f t="shared" si="0"/>
        <v>-40</v>
      </c>
      <c r="J6" s="22" t="s">
        <v>34</v>
      </c>
      <c r="K6" s="22" t="s">
        <v>34</v>
      </c>
      <c r="L6" s="22" t="s">
        <v>1222</v>
      </c>
      <c r="M6" s="22"/>
      <c r="N6" s="22"/>
      <c r="O6" s="22"/>
      <c r="P6" s="22"/>
      <c r="Q6" s="22">
        <v>1</v>
      </c>
      <c r="R6" s="24">
        <f>H6</f>
        <v>40</v>
      </c>
    </row>
    <row r="7" spans="1:18" customFormat="1" x14ac:dyDescent="0.25">
      <c r="A7" s="22"/>
      <c r="B7" s="22" t="s">
        <v>30</v>
      </c>
      <c r="C7" s="22" t="s">
        <v>1232</v>
      </c>
      <c r="D7" s="22" t="s">
        <v>1233</v>
      </c>
      <c r="E7" s="22" t="s">
        <v>1234</v>
      </c>
      <c r="F7" s="22" t="s">
        <v>108</v>
      </c>
      <c r="G7" s="23">
        <v>805</v>
      </c>
      <c r="H7" s="23">
        <v>25</v>
      </c>
      <c r="I7" s="23">
        <f t="shared" si="0"/>
        <v>780</v>
      </c>
      <c r="J7" s="22" t="s">
        <v>34</v>
      </c>
      <c r="K7" s="22" t="s">
        <v>34</v>
      </c>
      <c r="L7" s="22" t="s">
        <v>1222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1235</v>
      </c>
      <c r="D8" s="22" t="s">
        <v>1236</v>
      </c>
      <c r="E8" s="22" t="s">
        <v>1237</v>
      </c>
      <c r="F8" s="22" t="s">
        <v>90</v>
      </c>
      <c r="G8" s="23">
        <v>695</v>
      </c>
      <c r="H8" s="23">
        <v>25</v>
      </c>
      <c r="I8" s="23">
        <f t="shared" si="0"/>
        <v>670</v>
      </c>
      <c r="J8" s="22" t="s">
        <v>34</v>
      </c>
      <c r="K8" s="22" t="s">
        <v>34</v>
      </c>
      <c r="L8" s="22" t="s">
        <v>1222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1238</v>
      </c>
      <c r="D9" s="22" t="s">
        <v>1239</v>
      </c>
      <c r="E9" s="22" t="s">
        <v>486</v>
      </c>
      <c r="F9" s="23">
        <v>12</v>
      </c>
      <c r="G9" s="23">
        <v>0</v>
      </c>
      <c r="H9" s="23">
        <v>30</v>
      </c>
      <c r="I9" s="23">
        <f t="shared" si="0"/>
        <v>-30</v>
      </c>
      <c r="J9" s="22" t="s">
        <v>34</v>
      </c>
      <c r="K9" s="22" t="s">
        <v>34</v>
      </c>
      <c r="L9" s="22" t="s">
        <v>1222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1240</v>
      </c>
      <c r="D10" s="22" t="s">
        <v>1241</v>
      </c>
      <c r="E10" s="22" t="s">
        <v>1242</v>
      </c>
      <c r="F10" s="22" t="s">
        <v>90</v>
      </c>
      <c r="G10" s="23">
        <v>3600</v>
      </c>
      <c r="H10" s="23">
        <v>35</v>
      </c>
      <c r="I10" s="23">
        <f t="shared" si="0"/>
        <v>3565</v>
      </c>
      <c r="J10" s="22" t="s">
        <v>34</v>
      </c>
      <c r="K10" s="22" t="s">
        <v>34</v>
      </c>
      <c r="L10" s="22" t="s">
        <v>1222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1101</v>
      </c>
      <c r="D11" s="22" t="s">
        <v>1243</v>
      </c>
      <c r="E11" s="22" t="s">
        <v>1244</v>
      </c>
      <c r="F11" s="22" t="s">
        <v>108</v>
      </c>
      <c r="G11" s="23">
        <v>25</v>
      </c>
      <c r="H11" s="23">
        <v>25</v>
      </c>
      <c r="I11" s="23">
        <f t="shared" si="0"/>
        <v>0</v>
      </c>
      <c r="J11" s="22" t="s">
        <v>34</v>
      </c>
      <c r="K11" s="22" t="s">
        <v>34</v>
      </c>
      <c r="L11" s="22" t="s">
        <v>1222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1245</v>
      </c>
      <c r="D12" s="22" t="s">
        <v>1246</v>
      </c>
      <c r="E12" s="22" t="s">
        <v>1247</v>
      </c>
      <c r="F12" s="22" t="s">
        <v>389</v>
      </c>
      <c r="G12" s="23">
        <v>660</v>
      </c>
      <c r="H12" s="23">
        <v>20</v>
      </c>
      <c r="I12" s="23">
        <f t="shared" si="0"/>
        <v>640</v>
      </c>
      <c r="J12" s="22" t="s">
        <v>34</v>
      </c>
      <c r="K12" s="22" t="s">
        <v>34</v>
      </c>
      <c r="L12" s="22" t="s">
        <v>1222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1248</v>
      </c>
      <c r="D13" s="22" t="s">
        <v>1249</v>
      </c>
      <c r="E13" s="22" t="s">
        <v>1250</v>
      </c>
      <c r="F13" s="22" t="s">
        <v>108</v>
      </c>
      <c r="G13" s="23">
        <v>985</v>
      </c>
      <c r="H13" s="23">
        <v>25</v>
      </c>
      <c r="I13" s="23">
        <f t="shared" si="0"/>
        <v>960</v>
      </c>
      <c r="J13" s="22" t="s">
        <v>34</v>
      </c>
      <c r="K13" s="22" t="s">
        <v>34</v>
      </c>
      <c r="L13" s="22" t="s">
        <v>1222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1251</v>
      </c>
      <c r="D14" s="22" t="s">
        <v>1252</v>
      </c>
      <c r="E14" s="22" t="s">
        <v>1253</v>
      </c>
      <c r="F14" s="22" t="s">
        <v>90</v>
      </c>
      <c r="G14" s="23">
        <v>1695</v>
      </c>
      <c r="H14" s="23">
        <v>25</v>
      </c>
      <c r="I14" s="23">
        <f t="shared" si="0"/>
        <v>1670</v>
      </c>
      <c r="J14" s="22" t="s">
        <v>34</v>
      </c>
      <c r="K14" s="22" t="s">
        <v>34</v>
      </c>
      <c r="L14" s="22" t="s">
        <v>1222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1254</v>
      </c>
      <c r="D15" s="22" t="s">
        <v>1255</v>
      </c>
      <c r="E15" s="22" t="s">
        <v>1256</v>
      </c>
      <c r="F15" s="22" t="s">
        <v>98</v>
      </c>
      <c r="G15" s="23">
        <v>990</v>
      </c>
      <c r="H15" s="23">
        <v>20</v>
      </c>
      <c r="I15" s="23">
        <f t="shared" si="0"/>
        <v>970</v>
      </c>
      <c r="J15" s="22" t="s">
        <v>34</v>
      </c>
      <c r="K15" s="22" t="s">
        <v>34</v>
      </c>
      <c r="L15" s="22" t="s">
        <v>1222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1257</v>
      </c>
      <c r="D16" s="22" t="s">
        <v>1258</v>
      </c>
      <c r="E16" s="22" t="s">
        <v>1259</v>
      </c>
      <c r="F16" s="22" t="s">
        <v>94</v>
      </c>
      <c r="G16" s="23">
        <v>540</v>
      </c>
      <c r="H16" s="23">
        <v>30</v>
      </c>
      <c r="I16" s="23">
        <f t="shared" si="0"/>
        <v>510</v>
      </c>
      <c r="J16" s="22" t="s">
        <v>34</v>
      </c>
      <c r="K16" s="22" t="s">
        <v>34</v>
      </c>
      <c r="L16" s="22" t="s">
        <v>1222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1260</v>
      </c>
      <c r="D17" s="22" t="s">
        <v>1261</v>
      </c>
      <c r="E17" s="22" t="s">
        <v>1262</v>
      </c>
      <c r="F17" s="23">
        <v>12</v>
      </c>
      <c r="G17" s="23">
        <v>1530</v>
      </c>
      <c r="H17" s="23">
        <v>30</v>
      </c>
      <c r="I17" s="23">
        <f t="shared" si="0"/>
        <v>1500</v>
      </c>
      <c r="J17" s="22" t="s">
        <v>34</v>
      </c>
      <c r="K17" s="22" t="s">
        <v>34</v>
      </c>
      <c r="L17" s="22" t="s">
        <v>1222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1263</v>
      </c>
      <c r="D18" s="22" t="s">
        <v>1264</v>
      </c>
      <c r="E18" s="22" t="s">
        <v>1265</v>
      </c>
      <c r="F18" s="22" t="s">
        <v>108</v>
      </c>
      <c r="G18" s="23">
        <v>765</v>
      </c>
      <c r="H18" s="23">
        <v>25</v>
      </c>
      <c r="I18" s="23">
        <f t="shared" si="0"/>
        <v>740</v>
      </c>
      <c r="J18" s="22" t="s">
        <v>34</v>
      </c>
      <c r="K18" s="22" t="s">
        <v>34</v>
      </c>
      <c r="L18" s="22" t="s">
        <v>1222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1266</v>
      </c>
      <c r="D19" s="22"/>
      <c r="E19" s="22" t="s">
        <v>1267</v>
      </c>
      <c r="F19" s="22" t="s">
        <v>108</v>
      </c>
      <c r="G19" s="23">
        <v>30</v>
      </c>
      <c r="H19" s="23">
        <v>30</v>
      </c>
      <c r="I19" s="23">
        <f t="shared" si="0"/>
        <v>0</v>
      </c>
      <c r="J19" s="22" t="s">
        <v>34</v>
      </c>
      <c r="K19" s="22" t="s">
        <v>34</v>
      </c>
      <c r="L19" s="22" t="s">
        <v>1222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1268</v>
      </c>
      <c r="D20" s="22" t="s">
        <v>1269</v>
      </c>
      <c r="E20" s="22" t="s">
        <v>1270</v>
      </c>
      <c r="F20" s="23">
        <v>3</v>
      </c>
      <c r="G20" s="23">
        <v>865</v>
      </c>
      <c r="H20" s="23">
        <v>25</v>
      </c>
      <c r="I20" s="23">
        <f t="shared" si="0"/>
        <v>840</v>
      </c>
      <c r="J20" s="22" t="s">
        <v>1271</v>
      </c>
      <c r="K20" s="22" t="s">
        <v>34</v>
      </c>
      <c r="L20" s="22" t="s">
        <v>1222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1272</v>
      </c>
      <c r="D21" s="22" t="s">
        <v>1273</v>
      </c>
      <c r="E21" s="22" t="s">
        <v>1274</v>
      </c>
      <c r="F21" s="23">
        <v>8</v>
      </c>
      <c r="G21" s="23">
        <v>1890</v>
      </c>
      <c r="H21" s="23">
        <v>30</v>
      </c>
      <c r="I21" s="23">
        <f t="shared" si="0"/>
        <v>1860</v>
      </c>
      <c r="J21" s="22" t="s">
        <v>1271</v>
      </c>
      <c r="K21" s="22" t="s">
        <v>34</v>
      </c>
      <c r="L21" s="22" t="s">
        <v>1222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1275</v>
      </c>
      <c r="D22" s="22" t="s">
        <v>1276</v>
      </c>
      <c r="E22" s="22" t="s">
        <v>1277</v>
      </c>
      <c r="F22" s="22" t="s">
        <v>59</v>
      </c>
      <c r="G22" s="23">
        <v>815</v>
      </c>
      <c r="H22" s="23">
        <v>25</v>
      </c>
      <c r="I22" s="23">
        <f t="shared" si="0"/>
        <v>790</v>
      </c>
      <c r="J22" s="22" t="s">
        <v>1271</v>
      </c>
      <c r="K22" s="22" t="s">
        <v>34</v>
      </c>
      <c r="L22" s="22" t="s">
        <v>1222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1278</v>
      </c>
      <c r="D23" s="22" t="s">
        <v>1279</v>
      </c>
      <c r="E23" s="22" t="s">
        <v>1280</v>
      </c>
      <c r="F23" s="23">
        <v>4</v>
      </c>
      <c r="G23" s="23">
        <v>895</v>
      </c>
      <c r="H23" s="23">
        <v>25</v>
      </c>
      <c r="I23" s="23">
        <f t="shared" si="0"/>
        <v>870</v>
      </c>
      <c r="J23" s="22" t="s">
        <v>1271</v>
      </c>
      <c r="K23" s="22" t="s">
        <v>34</v>
      </c>
      <c r="L23" s="22" t="s">
        <v>1222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1281</v>
      </c>
      <c r="D24" s="22" t="s">
        <v>1282</v>
      </c>
      <c r="E24" s="22" t="s">
        <v>1283</v>
      </c>
      <c r="F24" s="23">
        <v>8</v>
      </c>
      <c r="G24" s="23">
        <v>0</v>
      </c>
      <c r="H24" s="23">
        <v>30</v>
      </c>
      <c r="I24" s="23">
        <f t="shared" si="0"/>
        <v>-30</v>
      </c>
      <c r="J24" s="22" t="s">
        <v>1271</v>
      </c>
      <c r="K24" s="22" t="s">
        <v>34</v>
      </c>
      <c r="L24" s="22" t="s">
        <v>1222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227</v>
      </c>
      <c r="D25" s="22" t="s">
        <v>1284</v>
      </c>
      <c r="E25" s="22" t="s">
        <v>229</v>
      </c>
      <c r="F25" s="22" t="s">
        <v>59</v>
      </c>
      <c r="G25" s="23">
        <v>1765</v>
      </c>
      <c r="H25" s="23">
        <v>25</v>
      </c>
      <c r="I25" s="23">
        <f t="shared" si="0"/>
        <v>1740</v>
      </c>
      <c r="J25" s="22" t="s">
        <v>1271</v>
      </c>
      <c r="K25" s="22" t="s">
        <v>34</v>
      </c>
      <c r="L25" s="22" t="s">
        <v>1222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1285</v>
      </c>
      <c r="D26" s="22" t="s">
        <v>1286</v>
      </c>
      <c r="E26" s="22" t="s">
        <v>1287</v>
      </c>
      <c r="F26" s="22" t="s">
        <v>147</v>
      </c>
      <c r="G26" s="23">
        <v>815</v>
      </c>
      <c r="H26" s="23">
        <v>35</v>
      </c>
      <c r="I26" s="23">
        <f t="shared" si="0"/>
        <v>780</v>
      </c>
      <c r="J26" s="22" t="s">
        <v>1271</v>
      </c>
      <c r="K26" s="22" t="s">
        <v>34</v>
      </c>
      <c r="L26" s="22" t="s">
        <v>1222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277</v>
      </c>
      <c r="D27" s="22" t="s">
        <v>1288</v>
      </c>
      <c r="E27" s="22" t="s">
        <v>279</v>
      </c>
      <c r="F27" s="23">
        <v>6</v>
      </c>
      <c r="G27" s="23">
        <v>805</v>
      </c>
      <c r="H27" s="23">
        <v>25</v>
      </c>
      <c r="I27" s="23">
        <f t="shared" si="0"/>
        <v>780</v>
      </c>
      <c r="J27" s="22" t="s">
        <v>1271</v>
      </c>
      <c r="K27" s="22" t="s">
        <v>34</v>
      </c>
      <c r="L27" s="22" t="s">
        <v>1222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1289</v>
      </c>
      <c r="D28" s="22" t="s">
        <v>1290</v>
      </c>
      <c r="E28" s="22" t="s">
        <v>1291</v>
      </c>
      <c r="F28" s="22" t="s">
        <v>39</v>
      </c>
      <c r="G28" s="23">
        <v>690</v>
      </c>
      <c r="H28" s="23">
        <v>30</v>
      </c>
      <c r="I28" s="23">
        <f t="shared" si="0"/>
        <v>660</v>
      </c>
      <c r="J28" s="22" t="s">
        <v>1271</v>
      </c>
      <c r="K28" s="22" t="s">
        <v>34</v>
      </c>
      <c r="L28" s="22" t="s">
        <v>1222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1292</v>
      </c>
      <c r="D29" s="22" t="s">
        <v>1293</v>
      </c>
      <c r="E29" s="22" t="s">
        <v>1294</v>
      </c>
      <c r="F29" s="23">
        <v>7</v>
      </c>
      <c r="G29" s="23">
        <v>1420</v>
      </c>
      <c r="H29" s="23">
        <v>30</v>
      </c>
      <c r="I29" s="23">
        <f t="shared" si="0"/>
        <v>1390</v>
      </c>
      <c r="J29" s="22" t="s">
        <v>1271</v>
      </c>
      <c r="K29" s="22" t="s">
        <v>34</v>
      </c>
      <c r="L29" s="22" t="s">
        <v>1222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1295</v>
      </c>
      <c r="D30" s="22" t="s">
        <v>1296</v>
      </c>
      <c r="E30" s="22" t="s">
        <v>1297</v>
      </c>
      <c r="F30" s="23">
        <v>6</v>
      </c>
      <c r="G30" s="23">
        <v>0</v>
      </c>
      <c r="H30" s="23">
        <v>25</v>
      </c>
      <c r="I30" s="23">
        <f t="shared" si="0"/>
        <v>-25</v>
      </c>
      <c r="J30" s="22" t="s">
        <v>1271</v>
      </c>
      <c r="K30" s="22" t="s">
        <v>34</v>
      </c>
      <c r="L30" s="22" t="s">
        <v>1222</v>
      </c>
      <c r="M30" s="22"/>
      <c r="N30" s="22"/>
      <c r="O30" s="22"/>
      <c r="P30" s="22"/>
      <c r="Q30" s="22">
        <v>1</v>
      </c>
      <c r="R30" s="24">
        <f t="shared" ref="R30:R31" si="1">H30</f>
        <v>25</v>
      </c>
    </row>
    <row r="31" spans="1:18" customFormat="1" x14ac:dyDescent="0.25">
      <c r="A31" s="22"/>
      <c r="B31" s="22" t="s">
        <v>30</v>
      </c>
      <c r="C31" s="22" t="s">
        <v>1298</v>
      </c>
      <c r="D31" s="22" t="s">
        <v>1299</v>
      </c>
      <c r="E31" s="22" t="s">
        <v>1300</v>
      </c>
      <c r="F31" s="22" t="s">
        <v>39</v>
      </c>
      <c r="G31" s="23">
        <v>0</v>
      </c>
      <c r="H31" s="23">
        <v>30</v>
      </c>
      <c r="I31" s="23">
        <f t="shared" si="0"/>
        <v>-30</v>
      </c>
      <c r="J31" s="22" t="s">
        <v>1271</v>
      </c>
      <c r="K31" s="22" t="s">
        <v>34</v>
      </c>
      <c r="L31" s="22" t="s">
        <v>1222</v>
      </c>
      <c r="M31" s="22"/>
      <c r="N31" s="22"/>
      <c r="O31" s="22"/>
      <c r="P31" s="22"/>
      <c r="Q31" s="22">
        <v>1</v>
      </c>
      <c r="R31" s="24">
        <f t="shared" si="1"/>
        <v>30</v>
      </c>
    </row>
    <row r="32" spans="1:18" customFormat="1" x14ac:dyDescent="0.25">
      <c r="A32" s="22"/>
      <c r="B32" s="22" t="s">
        <v>30</v>
      </c>
      <c r="C32" s="22" t="s">
        <v>1301</v>
      </c>
      <c r="D32" s="22" t="s">
        <v>1302</v>
      </c>
      <c r="E32" s="22" t="s">
        <v>1303</v>
      </c>
      <c r="F32" s="22" t="s">
        <v>39</v>
      </c>
      <c r="G32" s="23">
        <v>1390</v>
      </c>
      <c r="H32" s="23">
        <v>30</v>
      </c>
      <c r="I32" s="23">
        <f t="shared" si="0"/>
        <v>1360</v>
      </c>
      <c r="J32" s="22" t="s">
        <v>1271</v>
      </c>
      <c r="K32" s="22" t="s">
        <v>34</v>
      </c>
      <c r="L32" s="22" t="s">
        <v>1222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1304</v>
      </c>
      <c r="D33" s="22" t="s">
        <v>1305</v>
      </c>
      <c r="E33" s="22" t="s">
        <v>1306</v>
      </c>
      <c r="F33" s="23">
        <v>7</v>
      </c>
      <c r="G33" s="23">
        <v>1630</v>
      </c>
      <c r="H33" s="23">
        <v>30</v>
      </c>
      <c r="I33" s="23">
        <f t="shared" si="0"/>
        <v>1600</v>
      </c>
      <c r="J33" s="22" t="s">
        <v>1271</v>
      </c>
      <c r="K33" s="22" t="s">
        <v>34</v>
      </c>
      <c r="L33" s="22" t="s">
        <v>1222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1307</v>
      </c>
      <c r="D34" s="22" t="s">
        <v>1308</v>
      </c>
      <c r="E34" s="22" t="s">
        <v>1309</v>
      </c>
      <c r="F34" s="23">
        <v>10</v>
      </c>
      <c r="G34" s="23">
        <v>815</v>
      </c>
      <c r="H34" s="23">
        <v>25</v>
      </c>
      <c r="I34" s="23">
        <f t="shared" si="0"/>
        <v>790</v>
      </c>
      <c r="J34" s="22" t="s">
        <v>1271</v>
      </c>
      <c r="K34" s="22" t="s">
        <v>34</v>
      </c>
      <c r="L34" s="22" t="s">
        <v>1222</v>
      </c>
      <c r="M34" s="22"/>
      <c r="N34" s="22"/>
      <c r="O34" s="22"/>
      <c r="P34" s="22"/>
      <c r="Q34" s="22">
        <v>1</v>
      </c>
    </row>
    <row r="36" spans="1:18" x14ac:dyDescent="0.25">
      <c r="G36" s="1">
        <f t="shared" ref="G36:R36" si="2">SUBTOTAL(9,G3:G35)</f>
        <v>26995</v>
      </c>
      <c r="H36" s="1">
        <f t="shared" si="2"/>
        <v>885</v>
      </c>
      <c r="I36" s="1">
        <f t="shared" si="2"/>
        <v>26110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210</v>
      </c>
    </row>
    <row r="40" spans="1:18" ht="20.25" customHeight="1" x14ac:dyDescent="0.3">
      <c r="H40" s="4" t="s">
        <v>1119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26110</v>
      </c>
      <c r="J41" s="8">
        <f>Q36</f>
        <v>32</v>
      </c>
    </row>
    <row r="42" spans="1:18" x14ac:dyDescent="0.25">
      <c r="H42" s="9" t="s">
        <v>18</v>
      </c>
      <c r="I42" s="10">
        <f>R36</f>
        <v>210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26320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8E49-7BF0-44F1-B145-908507FDEC5B}">
  <dimension ref="A1:R59"/>
  <sheetViews>
    <sheetView topLeftCell="A35" zoomScale="82" zoomScaleNormal="80" workbookViewId="0">
      <selection activeCell="J43" sqref="J4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9" width="9.140625" style="1"/>
    <col min="10" max="10" width="12.7109375" style="1" bestFit="1" customWidth="1"/>
    <col min="11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717</v>
      </c>
      <c r="C1" s="1" t="s">
        <v>1219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1312</v>
      </c>
      <c r="D3" s="22" t="s">
        <v>1313</v>
      </c>
      <c r="E3" s="22" t="s">
        <v>1314</v>
      </c>
      <c r="F3" s="22" t="s">
        <v>39</v>
      </c>
      <c r="G3" s="23">
        <v>0</v>
      </c>
      <c r="H3" s="23">
        <v>30</v>
      </c>
      <c r="I3" s="23">
        <f t="shared" ref="I3:I39" si="0">G3-H3</f>
        <v>-30</v>
      </c>
      <c r="J3" s="22" t="s">
        <v>1315</v>
      </c>
      <c r="K3" s="22" t="s">
        <v>34</v>
      </c>
      <c r="L3" s="22" t="s">
        <v>1316</v>
      </c>
      <c r="M3" s="28" t="s">
        <v>1317</v>
      </c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1318</v>
      </c>
      <c r="D4" s="22" t="s">
        <v>1319</v>
      </c>
      <c r="E4" s="22" t="s">
        <v>1320</v>
      </c>
      <c r="F4" s="23">
        <v>8</v>
      </c>
      <c r="G4" s="23">
        <v>0</v>
      </c>
      <c r="H4" s="23">
        <v>25</v>
      </c>
      <c r="I4" s="23">
        <f t="shared" si="0"/>
        <v>-25</v>
      </c>
      <c r="J4" s="22" t="s">
        <v>1315</v>
      </c>
      <c r="K4" s="22" t="s">
        <v>34</v>
      </c>
      <c r="L4" s="22" t="s">
        <v>1316</v>
      </c>
      <c r="M4" s="22"/>
      <c r="N4" s="22"/>
      <c r="O4" s="22"/>
      <c r="P4" s="22"/>
      <c r="Q4" s="22">
        <v>1</v>
      </c>
      <c r="R4" s="24">
        <f>H4</f>
        <v>25</v>
      </c>
    </row>
    <row r="5" spans="1:18" customFormat="1" x14ac:dyDescent="0.25">
      <c r="A5" s="22"/>
      <c r="B5" s="22" t="s">
        <v>30</v>
      </c>
      <c r="C5" s="22" t="s">
        <v>1321</v>
      </c>
      <c r="D5" s="22" t="s">
        <v>1322</v>
      </c>
      <c r="E5" s="22" t="s">
        <v>1323</v>
      </c>
      <c r="F5" s="22" t="s">
        <v>1324</v>
      </c>
      <c r="G5" s="23">
        <v>865</v>
      </c>
      <c r="H5" s="23">
        <v>35</v>
      </c>
      <c r="I5" s="23">
        <f t="shared" si="0"/>
        <v>830</v>
      </c>
      <c r="J5" s="22" t="s">
        <v>1315</v>
      </c>
      <c r="K5" s="22" t="s">
        <v>34</v>
      </c>
      <c r="L5" s="22" t="s">
        <v>1316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1325</v>
      </c>
      <c r="D6" s="22" t="s">
        <v>1326</v>
      </c>
      <c r="E6" s="22" t="s">
        <v>1327</v>
      </c>
      <c r="F6" s="22" t="s">
        <v>152</v>
      </c>
      <c r="G6" s="23">
        <v>1135</v>
      </c>
      <c r="H6" s="23">
        <v>35</v>
      </c>
      <c r="I6" s="23">
        <f t="shared" si="0"/>
        <v>1100</v>
      </c>
      <c r="J6" s="22" t="s">
        <v>1315</v>
      </c>
      <c r="K6" s="22" t="s">
        <v>34</v>
      </c>
      <c r="L6" s="22" t="s">
        <v>1316</v>
      </c>
      <c r="M6" s="28" t="s">
        <v>1049</v>
      </c>
      <c r="N6" s="22"/>
      <c r="O6" s="22"/>
      <c r="P6" s="22"/>
      <c r="Q6" s="22">
        <v>1</v>
      </c>
      <c r="R6" s="24">
        <f>H6</f>
        <v>35</v>
      </c>
    </row>
    <row r="7" spans="1:18" customFormat="1" x14ac:dyDescent="0.25">
      <c r="A7" s="22"/>
      <c r="B7" s="22" t="s">
        <v>30</v>
      </c>
      <c r="C7" s="22" t="s">
        <v>1328</v>
      </c>
      <c r="D7" s="22" t="s">
        <v>1329</v>
      </c>
      <c r="E7" s="22" t="s">
        <v>1327</v>
      </c>
      <c r="F7" s="22" t="s">
        <v>152</v>
      </c>
      <c r="G7" s="23">
        <v>0</v>
      </c>
      <c r="H7" s="23">
        <v>0</v>
      </c>
      <c r="I7" s="23">
        <f t="shared" si="0"/>
        <v>0</v>
      </c>
      <c r="J7" s="22" t="s">
        <v>1315</v>
      </c>
      <c r="K7" s="22" t="s">
        <v>34</v>
      </c>
      <c r="L7" s="22" t="s">
        <v>1316</v>
      </c>
      <c r="M7" s="28" t="s">
        <v>360</v>
      </c>
      <c r="N7" s="22"/>
      <c r="O7" s="22"/>
      <c r="P7" s="22"/>
      <c r="Q7" s="22">
        <v>1</v>
      </c>
      <c r="R7" s="24">
        <f>H7</f>
        <v>0</v>
      </c>
    </row>
    <row r="8" spans="1:18" customFormat="1" x14ac:dyDescent="0.25">
      <c r="A8" s="22"/>
      <c r="B8" s="22" t="s">
        <v>30</v>
      </c>
      <c r="C8" s="22" t="s">
        <v>1330</v>
      </c>
      <c r="D8" s="22" t="s">
        <v>1331</v>
      </c>
      <c r="E8" s="22" t="s">
        <v>1332</v>
      </c>
      <c r="F8" s="23">
        <v>11</v>
      </c>
      <c r="G8" s="23">
        <v>1135</v>
      </c>
      <c r="H8" s="23">
        <v>25</v>
      </c>
      <c r="I8" s="23">
        <f t="shared" si="0"/>
        <v>1110</v>
      </c>
      <c r="J8" s="22" t="s">
        <v>1315</v>
      </c>
      <c r="K8" s="22" t="s">
        <v>34</v>
      </c>
      <c r="L8" s="22" t="s">
        <v>1316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1333</v>
      </c>
      <c r="D9" s="22" t="s">
        <v>1334</v>
      </c>
      <c r="E9" s="22" t="s">
        <v>1335</v>
      </c>
      <c r="F9" s="23">
        <v>7</v>
      </c>
      <c r="G9" s="23">
        <v>470</v>
      </c>
      <c r="H9" s="23">
        <v>30</v>
      </c>
      <c r="I9" s="23">
        <f t="shared" si="0"/>
        <v>440</v>
      </c>
      <c r="J9" s="22" t="s">
        <v>1315</v>
      </c>
      <c r="K9" s="22" t="s">
        <v>34</v>
      </c>
      <c r="L9" s="22" t="s">
        <v>1316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1336</v>
      </c>
      <c r="D10" s="22" t="s">
        <v>1337</v>
      </c>
      <c r="E10" s="22" t="s">
        <v>1338</v>
      </c>
      <c r="F10" s="22" t="s">
        <v>59</v>
      </c>
      <c r="G10" s="23">
        <v>985</v>
      </c>
      <c r="H10" s="23">
        <v>25</v>
      </c>
      <c r="I10" s="23">
        <f t="shared" si="0"/>
        <v>960</v>
      </c>
      <c r="J10" s="22" t="s">
        <v>1315</v>
      </c>
      <c r="K10" s="22" t="s">
        <v>34</v>
      </c>
      <c r="L10" s="22" t="s">
        <v>1316</v>
      </c>
      <c r="M10" s="28" t="s">
        <v>360</v>
      </c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1336</v>
      </c>
      <c r="D11" s="22" t="s">
        <v>1339</v>
      </c>
      <c r="E11" s="22" t="s">
        <v>1340</v>
      </c>
      <c r="F11" s="22" t="s">
        <v>59</v>
      </c>
      <c r="G11" s="23">
        <v>850</v>
      </c>
      <c r="H11" s="23">
        <v>0</v>
      </c>
      <c r="I11" s="23">
        <f t="shared" si="0"/>
        <v>850</v>
      </c>
      <c r="J11" s="22" t="s">
        <v>1315</v>
      </c>
      <c r="K11" s="22" t="s">
        <v>34</v>
      </c>
      <c r="L11" s="22" t="s">
        <v>1316</v>
      </c>
      <c r="M11" s="28" t="s">
        <v>360</v>
      </c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1341</v>
      </c>
      <c r="D12" s="22" t="s">
        <v>1342</v>
      </c>
      <c r="E12" s="22" t="s">
        <v>1343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1315</v>
      </c>
      <c r="K12" s="22" t="s">
        <v>34</v>
      </c>
      <c r="L12" s="22" t="s">
        <v>1316</v>
      </c>
      <c r="M12" s="28" t="s">
        <v>1344</v>
      </c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1345</v>
      </c>
      <c r="D13" s="22" t="s">
        <v>1346</v>
      </c>
      <c r="E13" s="22" t="s">
        <v>1347</v>
      </c>
      <c r="F13" s="23">
        <v>7</v>
      </c>
      <c r="G13" s="23">
        <v>850</v>
      </c>
      <c r="H13" s="23">
        <v>30</v>
      </c>
      <c r="I13" s="23">
        <f t="shared" si="0"/>
        <v>820</v>
      </c>
      <c r="J13" s="22" t="s">
        <v>1315</v>
      </c>
      <c r="K13" s="22" t="s">
        <v>34</v>
      </c>
      <c r="L13" s="22" t="s">
        <v>1316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1348</v>
      </c>
      <c r="D14" s="22" t="s">
        <v>1349</v>
      </c>
      <c r="E14" s="22" t="s">
        <v>1350</v>
      </c>
      <c r="F14" s="23">
        <v>7</v>
      </c>
      <c r="G14" s="23">
        <v>820</v>
      </c>
      <c r="H14" s="23">
        <v>30</v>
      </c>
      <c r="I14" s="23">
        <f t="shared" si="0"/>
        <v>790</v>
      </c>
      <c r="J14" s="22" t="s">
        <v>1315</v>
      </c>
      <c r="K14" s="22" t="s">
        <v>34</v>
      </c>
      <c r="L14" s="22" t="s">
        <v>1316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1351</v>
      </c>
      <c r="D15" s="22" t="s">
        <v>1352</v>
      </c>
      <c r="E15" s="22" t="s">
        <v>1353</v>
      </c>
      <c r="F15" s="23">
        <v>11</v>
      </c>
      <c r="G15" s="23">
        <v>1505</v>
      </c>
      <c r="H15" s="23">
        <v>25</v>
      </c>
      <c r="I15" s="23">
        <f t="shared" si="0"/>
        <v>1480</v>
      </c>
      <c r="J15" s="22" t="s">
        <v>1315</v>
      </c>
      <c r="K15" s="22" t="s">
        <v>34</v>
      </c>
      <c r="L15" s="22" t="s">
        <v>1316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730</v>
      </c>
      <c r="D16" s="22" t="s">
        <v>1354</v>
      </c>
      <c r="E16" s="22" t="s">
        <v>1355</v>
      </c>
      <c r="F16" s="22" t="s">
        <v>59</v>
      </c>
      <c r="G16" s="23">
        <v>725</v>
      </c>
      <c r="H16" s="23">
        <v>25</v>
      </c>
      <c r="I16" s="23">
        <f t="shared" si="0"/>
        <v>700</v>
      </c>
      <c r="J16" s="22" t="s">
        <v>1315</v>
      </c>
      <c r="K16" s="22" t="s">
        <v>34</v>
      </c>
      <c r="L16" s="22" t="s">
        <v>1316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1356</v>
      </c>
      <c r="D17" s="22" t="s">
        <v>1357</v>
      </c>
      <c r="E17" s="22" t="s">
        <v>1358</v>
      </c>
      <c r="F17" s="22" t="s">
        <v>90</v>
      </c>
      <c r="G17" s="23">
        <v>715</v>
      </c>
      <c r="H17" s="23">
        <v>25</v>
      </c>
      <c r="I17" s="23">
        <f t="shared" si="0"/>
        <v>690</v>
      </c>
      <c r="J17" s="22" t="s">
        <v>34</v>
      </c>
      <c r="K17" s="22" t="s">
        <v>34</v>
      </c>
      <c r="L17" s="22" t="s">
        <v>1316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884</v>
      </c>
      <c r="D18" s="22" t="s">
        <v>1359</v>
      </c>
      <c r="E18" s="22" t="s">
        <v>244</v>
      </c>
      <c r="F18" s="22" t="s">
        <v>90</v>
      </c>
      <c r="G18" s="23">
        <v>0</v>
      </c>
      <c r="H18" s="23">
        <v>25</v>
      </c>
      <c r="I18" s="23">
        <f t="shared" si="0"/>
        <v>-25</v>
      </c>
      <c r="J18" s="22" t="s">
        <v>34</v>
      </c>
      <c r="K18" s="22" t="s">
        <v>34</v>
      </c>
      <c r="L18" s="22" t="s">
        <v>1316</v>
      </c>
      <c r="M18" s="22"/>
      <c r="N18" s="22"/>
      <c r="O18" s="22"/>
      <c r="P18" s="22"/>
      <c r="Q18" s="22">
        <v>1</v>
      </c>
      <c r="R18" s="24">
        <f>H18</f>
        <v>25</v>
      </c>
    </row>
    <row r="19" spans="1:18" customFormat="1" x14ac:dyDescent="0.25">
      <c r="A19" s="22"/>
      <c r="B19" s="22" t="s">
        <v>30</v>
      </c>
      <c r="C19" s="22" t="s">
        <v>886</v>
      </c>
      <c r="D19" s="22" t="s">
        <v>1360</v>
      </c>
      <c r="E19" s="22" t="s">
        <v>1361</v>
      </c>
      <c r="F19" s="22" t="s">
        <v>94</v>
      </c>
      <c r="G19" s="23">
        <v>380</v>
      </c>
      <c r="H19" s="23">
        <v>30</v>
      </c>
      <c r="I19" s="23">
        <f t="shared" si="0"/>
        <v>350</v>
      </c>
      <c r="J19" s="22" t="s">
        <v>34</v>
      </c>
      <c r="K19" s="22" t="s">
        <v>34</v>
      </c>
      <c r="L19" s="22" t="s">
        <v>1316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1362</v>
      </c>
      <c r="D20" s="22" t="s">
        <v>1363</v>
      </c>
      <c r="E20" s="22" t="s">
        <v>1364</v>
      </c>
      <c r="F20" s="22" t="s">
        <v>98</v>
      </c>
      <c r="G20" s="23">
        <v>810</v>
      </c>
      <c r="H20" s="23">
        <v>20</v>
      </c>
      <c r="I20" s="23">
        <f t="shared" si="0"/>
        <v>790</v>
      </c>
      <c r="J20" s="22" t="s">
        <v>34</v>
      </c>
      <c r="K20" s="22" t="s">
        <v>34</v>
      </c>
      <c r="L20" s="22" t="s">
        <v>1316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1365</v>
      </c>
      <c r="D21" s="22" t="s">
        <v>1366</v>
      </c>
      <c r="E21" s="22" t="s">
        <v>1367</v>
      </c>
      <c r="F21" s="22" t="s">
        <v>94</v>
      </c>
      <c r="G21" s="23">
        <v>820</v>
      </c>
      <c r="H21" s="23">
        <v>30</v>
      </c>
      <c r="I21" s="23">
        <f t="shared" si="0"/>
        <v>790</v>
      </c>
      <c r="J21" s="22" t="s">
        <v>34</v>
      </c>
      <c r="K21" s="22" t="s">
        <v>34</v>
      </c>
      <c r="L21" s="22" t="s">
        <v>1316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1368</v>
      </c>
      <c r="D22" s="22" t="s">
        <v>1369</v>
      </c>
      <c r="E22" s="22" t="s">
        <v>1370</v>
      </c>
      <c r="F22" s="23">
        <v>2</v>
      </c>
      <c r="G22" s="23">
        <v>990</v>
      </c>
      <c r="H22" s="23">
        <v>30</v>
      </c>
      <c r="I22" s="23">
        <f t="shared" si="0"/>
        <v>960</v>
      </c>
      <c r="J22" s="22" t="s">
        <v>34</v>
      </c>
      <c r="K22" s="22" t="s">
        <v>34</v>
      </c>
      <c r="L22" s="22" t="s">
        <v>1316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1371</v>
      </c>
      <c r="E23" s="22" t="s">
        <v>135</v>
      </c>
      <c r="F23" s="22" t="s">
        <v>98</v>
      </c>
      <c r="G23" s="23">
        <v>1770</v>
      </c>
      <c r="H23" s="23">
        <v>20</v>
      </c>
      <c r="I23" s="23">
        <f t="shared" si="0"/>
        <v>1750</v>
      </c>
      <c r="J23" s="22" t="s">
        <v>34</v>
      </c>
      <c r="K23" s="22" t="s">
        <v>34</v>
      </c>
      <c r="L23" s="22" t="s">
        <v>1316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1372</v>
      </c>
      <c r="D24" s="22" t="s">
        <v>1373</v>
      </c>
      <c r="E24" s="22" t="s">
        <v>489</v>
      </c>
      <c r="F24" s="23">
        <v>12</v>
      </c>
      <c r="G24" s="23">
        <v>0</v>
      </c>
      <c r="H24" s="23">
        <v>30</v>
      </c>
      <c r="I24" s="23">
        <f t="shared" si="0"/>
        <v>-30</v>
      </c>
      <c r="J24" s="22" t="s">
        <v>34</v>
      </c>
      <c r="K24" s="22" t="s">
        <v>34</v>
      </c>
      <c r="L24" s="22" t="s">
        <v>1316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1374</v>
      </c>
      <c r="D25" s="22" t="s">
        <v>1375</v>
      </c>
      <c r="E25" s="22" t="s">
        <v>1376</v>
      </c>
      <c r="F25" s="22" t="s">
        <v>94</v>
      </c>
      <c r="G25" s="23">
        <v>880</v>
      </c>
      <c r="H25" s="23">
        <v>30</v>
      </c>
      <c r="I25" s="23">
        <f t="shared" si="0"/>
        <v>850</v>
      </c>
      <c r="J25" s="22" t="s">
        <v>34</v>
      </c>
      <c r="K25" s="22" t="s">
        <v>34</v>
      </c>
      <c r="L25" s="22" t="s">
        <v>1316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1377</v>
      </c>
      <c r="D26" s="22" t="s">
        <v>1378</v>
      </c>
      <c r="E26" s="22" t="s">
        <v>1379</v>
      </c>
      <c r="F26" s="23">
        <v>12</v>
      </c>
      <c r="G26" s="23">
        <v>880</v>
      </c>
      <c r="H26" s="23">
        <v>30</v>
      </c>
      <c r="I26" s="23">
        <f t="shared" si="0"/>
        <v>850</v>
      </c>
      <c r="J26" s="22" t="s">
        <v>34</v>
      </c>
      <c r="K26" s="22" t="s">
        <v>34</v>
      </c>
      <c r="L26" s="22" t="s">
        <v>1316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1380</v>
      </c>
      <c r="D27" s="22" t="s">
        <v>1381</v>
      </c>
      <c r="E27" s="22" t="s">
        <v>1382</v>
      </c>
      <c r="F27" s="23">
        <v>2</v>
      </c>
      <c r="G27" s="23">
        <v>820</v>
      </c>
      <c r="H27" s="23">
        <v>30</v>
      </c>
      <c r="I27" s="23">
        <f t="shared" si="0"/>
        <v>790</v>
      </c>
      <c r="J27" s="22" t="s">
        <v>34</v>
      </c>
      <c r="K27" s="22" t="s">
        <v>34</v>
      </c>
      <c r="L27" s="22" t="s">
        <v>1316</v>
      </c>
      <c r="M27" s="22"/>
      <c r="N27" s="22"/>
      <c r="O27" s="22"/>
      <c r="P27" s="22"/>
      <c r="Q27" s="22">
        <v>1</v>
      </c>
    </row>
    <row r="28" spans="1:18" customFormat="1" x14ac:dyDescent="0.25">
      <c r="A28" s="22" t="s">
        <v>29</v>
      </c>
      <c r="B28" s="22" t="s">
        <v>30</v>
      </c>
      <c r="C28" s="22" t="s">
        <v>1383</v>
      </c>
      <c r="D28" s="22"/>
      <c r="E28" s="22" t="s">
        <v>1384</v>
      </c>
      <c r="F28" s="23">
        <v>12</v>
      </c>
      <c r="G28" s="23">
        <v>0</v>
      </c>
      <c r="H28" s="23">
        <v>35</v>
      </c>
      <c r="I28" s="23">
        <f t="shared" si="0"/>
        <v>-35</v>
      </c>
      <c r="J28" s="22" t="s">
        <v>34</v>
      </c>
      <c r="K28" s="22" t="s">
        <v>34</v>
      </c>
      <c r="L28" s="22" t="s">
        <v>1316</v>
      </c>
      <c r="M28" s="22"/>
      <c r="N28" s="22"/>
      <c r="O28" s="22"/>
      <c r="P28" s="22"/>
      <c r="Q28" s="22">
        <v>1</v>
      </c>
      <c r="R28" s="24">
        <f>H28</f>
        <v>35</v>
      </c>
    </row>
    <row r="29" spans="1:18" customFormat="1" x14ac:dyDescent="0.25">
      <c r="A29" s="22" t="s">
        <v>29</v>
      </c>
      <c r="B29" s="22" t="s">
        <v>30</v>
      </c>
      <c r="C29" s="22" t="s">
        <v>140</v>
      </c>
      <c r="D29" s="22"/>
      <c r="E29" s="22" t="s">
        <v>141</v>
      </c>
      <c r="F29" s="22" t="s">
        <v>94</v>
      </c>
      <c r="G29" s="23">
        <v>865</v>
      </c>
      <c r="H29" s="23">
        <v>35</v>
      </c>
      <c r="I29" s="23">
        <f t="shared" si="0"/>
        <v>830</v>
      </c>
      <c r="J29" s="22" t="s">
        <v>34</v>
      </c>
      <c r="K29" s="22" t="s">
        <v>34</v>
      </c>
      <c r="L29" s="22" t="s">
        <v>1316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1385</v>
      </c>
      <c r="F30" s="22" t="s">
        <v>90</v>
      </c>
      <c r="G30" s="23">
        <v>30</v>
      </c>
      <c r="H30" s="23">
        <v>30</v>
      </c>
      <c r="I30" s="23">
        <f t="shared" si="0"/>
        <v>0</v>
      </c>
      <c r="J30" s="22" t="s">
        <v>34</v>
      </c>
      <c r="K30" s="22" t="s">
        <v>34</v>
      </c>
      <c r="L30" s="22" t="s">
        <v>1316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860</v>
      </c>
      <c r="H31" s="23">
        <v>30</v>
      </c>
      <c r="I31" s="23">
        <f t="shared" si="0"/>
        <v>830</v>
      </c>
      <c r="J31" s="22" t="s">
        <v>34</v>
      </c>
      <c r="K31" s="22" t="s">
        <v>34</v>
      </c>
      <c r="L31" s="22" t="s">
        <v>1316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1386</v>
      </c>
      <c r="D32" s="22" t="s">
        <v>1387</v>
      </c>
      <c r="E32" s="22" t="s">
        <v>1388</v>
      </c>
      <c r="F32" s="23">
        <v>1</v>
      </c>
      <c r="G32" s="23">
        <v>0</v>
      </c>
      <c r="H32" s="23">
        <v>25</v>
      </c>
      <c r="I32" s="23">
        <f t="shared" si="0"/>
        <v>-25</v>
      </c>
      <c r="J32" s="22" t="s">
        <v>148</v>
      </c>
      <c r="K32" s="22" t="s">
        <v>34</v>
      </c>
      <c r="L32" s="22" t="s">
        <v>1316</v>
      </c>
      <c r="M32" s="28" t="s">
        <v>360</v>
      </c>
      <c r="N32" s="22"/>
      <c r="O32" s="22"/>
      <c r="P32" s="22"/>
      <c r="Q32" s="22">
        <v>1</v>
      </c>
      <c r="R32" s="24">
        <f t="shared" ref="R32:R33" si="1">H32</f>
        <v>25</v>
      </c>
    </row>
    <row r="33" spans="1:18" customFormat="1" x14ac:dyDescent="0.25">
      <c r="A33" s="22"/>
      <c r="B33" s="22" t="s">
        <v>30</v>
      </c>
      <c r="C33" s="22" t="s">
        <v>1386</v>
      </c>
      <c r="D33" s="22" t="s">
        <v>1389</v>
      </c>
      <c r="E33" s="22" t="s">
        <v>1390</v>
      </c>
      <c r="F33" s="23">
        <v>1</v>
      </c>
      <c r="G33" s="23">
        <v>0</v>
      </c>
      <c r="H33" s="23">
        <v>0</v>
      </c>
      <c r="I33" s="23">
        <f t="shared" si="0"/>
        <v>0</v>
      </c>
      <c r="J33" s="22" t="s">
        <v>148</v>
      </c>
      <c r="K33" s="22" t="s">
        <v>34</v>
      </c>
      <c r="L33" s="22" t="s">
        <v>1316</v>
      </c>
      <c r="M33" s="28" t="s">
        <v>360</v>
      </c>
      <c r="N33" s="22"/>
      <c r="O33" s="22"/>
      <c r="P33" s="22"/>
      <c r="Q33" s="22">
        <v>1</v>
      </c>
      <c r="R33" s="24">
        <f t="shared" si="1"/>
        <v>0</v>
      </c>
    </row>
    <row r="34" spans="1:18" customFormat="1" x14ac:dyDescent="0.25">
      <c r="A34" s="22"/>
      <c r="B34" s="22" t="s">
        <v>30</v>
      </c>
      <c r="C34" s="22" t="s">
        <v>1391</v>
      </c>
      <c r="D34" s="22" t="s">
        <v>1392</v>
      </c>
      <c r="E34" s="22" t="s">
        <v>1393</v>
      </c>
      <c r="F34" s="22" t="s">
        <v>389</v>
      </c>
      <c r="G34" s="23">
        <v>780</v>
      </c>
      <c r="H34" s="23">
        <v>20</v>
      </c>
      <c r="I34" s="23">
        <f t="shared" si="0"/>
        <v>760</v>
      </c>
      <c r="J34" s="22" t="s">
        <v>148</v>
      </c>
      <c r="K34" s="22" t="s">
        <v>34</v>
      </c>
      <c r="L34" s="22" t="s">
        <v>1316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1394</v>
      </c>
      <c r="D35" s="22" t="s">
        <v>1395</v>
      </c>
      <c r="E35" s="22" t="s">
        <v>1396</v>
      </c>
      <c r="F35" s="23">
        <v>1</v>
      </c>
      <c r="G35" s="23">
        <v>755</v>
      </c>
      <c r="H35" s="23">
        <v>25</v>
      </c>
      <c r="I35" s="23">
        <f t="shared" si="0"/>
        <v>730</v>
      </c>
      <c r="J35" s="22" t="s">
        <v>148</v>
      </c>
      <c r="K35" s="22" t="s">
        <v>34</v>
      </c>
      <c r="L35" s="22" t="s">
        <v>1316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1397</v>
      </c>
      <c r="D36" s="22" t="s">
        <v>1398</v>
      </c>
      <c r="E36" s="22" t="s">
        <v>1399</v>
      </c>
      <c r="F36" s="23">
        <v>4</v>
      </c>
      <c r="G36" s="23">
        <v>985</v>
      </c>
      <c r="H36" s="23">
        <v>25</v>
      </c>
      <c r="I36" s="23">
        <f t="shared" si="0"/>
        <v>960</v>
      </c>
      <c r="J36" s="22" t="s">
        <v>148</v>
      </c>
      <c r="K36" s="22" t="s">
        <v>34</v>
      </c>
      <c r="L36" s="22" t="s">
        <v>1316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1400</v>
      </c>
      <c r="D37" s="22" t="s">
        <v>1401</v>
      </c>
      <c r="E37" s="22" t="s">
        <v>1402</v>
      </c>
      <c r="F37" s="23">
        <v>1</v>
      </c>
      <c r="G37" s="23">
        <v>925</v>
      </c>
      <c r="H37" s="23">
        <v>25</v>
      </c>
      <c r="I37" s="23">
        <f t="shared" si="0"/>
        <v>900</v>
      </c>
      <c r="J37" s="22" t="s">
        <v>148</v>
      </c>
      <c r="K37" s="22" t="s">
        <v>34</v>
      </c>
      <c r="L37" s="22" t="s">
        <v>1316</v>
      </c>
      <c r="M37" s="22"/>
      <c r="N37" s="22"/>
      <c r="O37" s="22"/>
      <c r="P37" s="22"/>
      <c r="Q37" s="22">
        <v>1</v>
      </c>
    </row>
    <row r="38" spans="1:18" customFormat="1" x14ac:dyDescent="0.25">
      <c r="A38" s="22" t="s">
        <v>29</v>
      </c>
      <c r="B38" s="22" t="s">
        <v>30</v>
      </c>
      <c r="C38" s="22" t="s">
        <v>494</v>
      </c>
      <c r="D38" s="22"/>
      <c r="E38" s="22" t="s">
        <v>495</v>
      </c>
      <c r="F38" s="22" t="s">
        <v>389</v>
      </c>
      <c r="G38" s="23">
        <v>25</v>
      </c>
      <c r="H38" s="23">
        <v>25</v>
      </c>
      <c r="I38" s="23">
        <f t="shared" si="0"/>
        <v>0</v>
      </c>
      <c r="J38" s="22" t="s">
        <v>148</v>
      </c>
      <c r="K38" s="22" t="s">
        <v>34</v>
      </c>
      <c r="L38" s="22" t="s">
        <v>1316</v>
      </c>
      <c r="M38" s="22"/>
      <c r="N38" s="22"/>
      <c r="O38" s="22"/>
      <c r="P38" s="22"/>
      <c r="Q38" s="22">
        <v>1</v>
      </c>
    </row>
    <row r="39" spans="1:18" customFormat="1" x14ac:dyDescent="0.25">
      <c r="A39" s="22" t="s">
        <v>29</v>
      </c>
      <c r="B39" s="22" t="s">
        <v>30</v>
      </c>
      <c r="C39" s="22" t="s">
        <v>1403</v>
      </c>
      <c r="D39" s="22"/>
      <c r="E39" s="22" t="s">
        <v>1029</v>
      </c>
      <c r="F39" s="23">
        <v>5</v>
      </c>
      <c r="G39" s="23">
        <v>0</v>
      </c>
      <c r="H39" s="23">
        <v>30</v>
      </c>
      <c r="I39" s="23">
        <f t="shared" si="0"/>
        <v>-30</v>
      </c>
      <c r="J39" s="22" t="s">
        <v>148</v>
      </c>
      <c r="K39" s="22" t="s">
        <v>34</v>
      </c>
      <c r="L39" s="22" t="s">
        <v>1316</v>
      </c>
      <c r="M39" s="22"/>
      <c r="N39" s="22"/>
      <c r="O39" s="22"/>
      <c r="P39" s="22"/>
      <c r="Q39" s="22">
        <v>1</v>
      </c>
      <c r="R39" s="24">
        <f>H39</f>
        <v>30</v>
      </c>
    </row>
    <row r="41" spans="1:18" x14ac:dyDescent="0.25">
      <c r="G41" s="1">
        <f t="shared" ref="G41:R41" si="2">SUBTOTAL(9,G3:G40)</f>
        <v>22630</v>
      </c>
      <c r="H41" s="1">
        <f t="shared" si="2"/>
        <v>950</v>
      </c>
      <c r="I41" s="1">
        <f t="shared" si="2"/>
        <v>21680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265</v>
      </c>
    </row>
    <row r="42" spans="1:18" x14ac:dyDescent="0.25">
      <c r="I42" s="1">
        <v>-870</v>
      </c>
      <c r="J42" s="1" t="s">
        <v>622</v>
      </c>
    </row>
    <row r="43" spans="1:18" x14ac:dyDescent="0.25">
      <c r="I43" s="1">
        <v>-2010</v>
      </c>
      <c r="J43" s="1" t="s">
        <v>1409</v>
      </c>
    </row>
    <row r="45" spans="1:18" ht="20.25" customHeight="1" x14ac:dyDescent="0.3">
      <c r="H45" s="4" t="s">
        <v>1218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18800</v>
      </c>
      <c r="J46" s="8">
        <f>Q41</f>
        <v>37</v>
      </c>
    </row>
    <row r="47" spans="1:18" x14ac:dyDescent="0.25">
      <c r="H47" s="9" t="s">
        <v>18</v>
      </c>
      <c r="I47" s="10">
        <f>R41</f>
        <v>265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19065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1312</v>
      </c>
      <c r="C56" s="36" t="s">
        <v>1313</v>
      </c>
      <c r="D56" s="36" t="s">
        <v>1314</v>
      </c>
      <c r="E56" s="37" t="s">
        <v>39</v>
      </c>
      <c r="F56" s="37">
        <v>4210</v>
      </c>
      <c r="G56" s="37">
        <v>0</v>
      </c>
      <c r="H56" s="37">
        <f>F56-G56</f>
        <v>4210</v>
      </c>
      <c r="I56" s="36" t="s">
        <v>1315</v>
      </c>
      <c r="J56" s="36" t="s">
        <v>34</v>
      </c>
      <c r="K56" s="36" t="s">
        <v>1316</v>
      </c>
      <c r="L56" s="28" t="s">
        <v>1317</v>
      </c>
    </row>
    <row r="57" spans="1:12" x14ac:dyDescent="0.25">
      <c r="A57" s="36" t="s">
        <v>30</v>
      </c>
      <c r="B57" s="36" t="s">
        <v>1341</v>
      </c>
      <c r="C57" s="36" t="s">
        <v>1342</v>
      </c>
      <c r="D57" s="36" t="s">
        <v>1343</v>
      </c>
      <c r="E57" s="37">
        <v>8</v>
      </c>
      <c r="F57" s="37">
        <v>1820</v>
      </c>
      <c r="G57" s="37">
        <v>0</v>
      </c>
      <c r="H57" s="37">
        <f>F57-G57</f>
        <v>1820</v>
      </c>
      <c r="I57" s="36" t="s">
        <v>1315</v>
      </c>
      <c r="J57" s="36" t="s">
        <v>34</v>
      </c>
      <c r="K57" s="36" t="s">
        <v>1316</v>
      </c>
      <c r="L57" s="28" t="s">
        <v>1344</v>
      </c>
    </row>
    <row r="58" spans="1:12" x14ac:dyDescent="0.25">
      <c r="A58" s="1" t="s">
        <v>622</v>
      </c>
    </row>
    <row r="59" spans="1:12" x14ac:dyDescent="0.25">
      <c r="A59" s="36" t="s">
        <v>30</v>
      </c>
      <c r="B59" s="36" t="s">
        <v>1404</v>
      </c>
      <c r="C59" s="36" t="s">
        <v>1405</v>
      </c>
      <c r="D59" s="36" t="s">
        <v>1406</v>
      </c>
      <c r="E59" s="37">
        <v>7</v>
      </c>
      <c r="F59" s="37">
        <v>870</v>
      </c>
      <c r="G59" s="37">
        <v>0</v>
      </c>
      <c r="H59" s="37">
        <f>F59-G59</f>
        <v>870</v>
      </c>
      <c r="I59" s="36" t="s">
        <v>623</v>
      </c>
      <c r="J59" s="36" t="s">
        <v>34</v>
      </c>
      <c r="K59" s="36" t="s">
        <v>1407</v>
      </c>
      <c r="L59" s="28" t="s">
        <v>1408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5709-E28D-4489-882A-82DB7E97D411}">
  <dimension ref="A1:R55"/>
  <sheetViews>
    <sheetView topLeftCell="A28" zoomScale="82" zoomScaleNormal="80" workbookViewId="0">
      <selection activeCell="E37" sqref="E37"/>
    </sheetView>
  </sheetViews>
  <sheetFormatPr defaultRowHeight="15" x14ac:dyDescent="0.25"/>
  <cols>
    <col min="1" max="2" width="9.140625" style="1"/>
    <col min="3" max="3" width="43.285156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1310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1412</v>
      </c>
      <c r="D3" s="22" t="s">
        <v>1413</v>
      </c>
      <c r="E3" s="22" t="s">
        <v>1414</v>
      </c>
      <c r="F3" s="23">
        <v>9</v>
      </c>
      <c r="G3" s="23">
        <v>850</v>
      </c>
      <c r="H3" s="23">
        <v>30</v>
      </c>
      <c r="I3" s="23">
        <f t="shared" ref="I3:I41" si="0">G3-H3</f>
        <v>820</v>
      </c>
      <c r="J3" s="22" t="s">
        <v>33</v>
      </c>
      <c r="K3" s="22" t="s">
        <v>34</v>
      </c>
      <c r="L3" s="22" t="s">
        <v>1415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1416</v>
      </c>
      <c r="D4" s="22" t="s">
        <v>1417</v>
      </c>
      <c r="E4" s="22" t="s">
        <v>1418</v>
      </c>
      <c r="F4" s="23">
        <v>9</v>
      </c>
      <c r="G4" s="23">
        <v>600</v>
      </c>
      <c r="H4" s="23">
        <v>30</v>
      </c>
      <c r="I4" s="23">
        <f t="shared" si="0"/>
        <v>570</v>
      </c>
      <c r="J4" s="22" t="s">
        <v>33</v>
      </c>
      <c r="K4" s="22" t="s">
        <v>34</v>
      </c>
      <c r="L4" s="22" t="s">
        <v>1415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864</v>
      </c>
      <c r="D5" s="22"/>
      <c r="E5" s="22" t="s">
        <v>626</v>
      </c>
      <c r="F5" s="23">
        <v>6</v>
      </c>
      <c r="G5" s="23">
        <v>0</v>
      </c>
      <c r="H5" s="23">
        <v>30</v>
      </c>
      <c r="I5" s="23">
        <f t="shared" si="0"/>
        <v>-30</v>
      </c>
      <c r="J5" s="22" t="s">
        <v>1419</v>
      </c>
      <c r="K5" s="22" t="s">
        <v>34</v>
      </c>
      <c r="L5" s="22" t="s">
        <v>1415</v>
      </c>
      <c r="M5" s="22"/>
      <c r="N5" s="22"/>
      <c r="O5" s="22"/>
      <c r="P5" s="22"/>
      <c r="Q5" s="22">
        <v>1</v>
      </c>
      <c r="R5" s="24">
        <f>H5</f>
        <v>30</v>
      </c>
    </row>
    <row r="6" spans="1:18" s="27" customFormat="1" x14ac:dyDescent="0.25">
      <c r="A6" s="25"/>
      <c r="B6" s="25" t="s">
        <v>30</v>
      </c>
      <c r="C6" s="25" t="s">
        <v>1341</v>
      </c>
      <c r="D6" s="25" t="s">
        <v>1420</v>
      </c>
      <c r="E6" s="25" t="s">
        <v>1343</v>
      </c>
      <c r="F6" s="26">
        <v>8</v>
      </c>
      <c r="G6" s="26">
        <v>380</v>
      </c>
      <c r="H6" s="26">
        <v>30</v>
      </c>
      <c r="I6" s="26">
        <f t="shared" si="0"/>
        <v>350</v>
      </c>
      <c r="J6" s="25" t="s">
        <v>1419</v>
      </c>
      <c r="K6" s="25" t="s">
        <v>34</v>
      </c>
      <c r="L6" s="25" t="s">
        <v>1415</v>
      </c>
      <c r="M6" s="25" t="s">
        <v>139</v>
      </c>
      <c r="N6" s="25"/>
      <c r="O6" s="25"/>
      <c r="P6" s="25"/>
      <c r="Q6" s="25">
        <v>1</v>
      </c>
    </row>
    <row r="7" spans="1:18" customFormat="1" x14ac:dyDescent="0.25">
      <c r="A7" s="22"/>
      <c r="B7" s="22" t="s">
        <v>30</v>
      </c>
      <c r="C7" s="22" t="s">
        <v>1421</v>
      </c>
      <c r="D7" s="22" t="s">
        <v>1422</v>
      </c>
      <c r="E7" s="22" t="s">
        <v>736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1419</v>
      </c>
      <c r="K7" s="22" t="s">
        <v>34</v>
      </c>
      <c r="L7" s="22" t="s">
        <v>1415</v>
      </c>
      <c r="M7" s="22"/>
      <c r="N7" s="22"/>
      <c r="O7" s="22"/>
      <c r="P7" s="22"/>
      <c r="Q7" s="22">
        <v>1</v>
      </c>
      <c r="R7" s="24">
        <f t="shared" ref="R7:R12" si="1">H7</f>
        <v>30</v>
      </c>
    </row>
    <row r="8" spans="1:18" customFormat="1" x14ac:dyDescent="0.25">
      <c r="A8" s="22"/>
      <c r="B8" s="22" t="s">
        <v>30</v>
      </c>
      <c r="C8" s="22" t="s">
        <v>1053</v>
      </c>
      <c r="D8" s="22" t="s">
        <v>1423</v>
      </c>
      <c r="E8" s="22" t="s">
        <v>1055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1419</v>
      </c>
      <c r="K8" s="22" t="s">
        <v>34</v>
      </c>
      <c r="L8" s="22" t="s">
        <v>1415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/>
      <c r="B9" s="22" t="s">
        <v>30</v>
      </c>
      <c r="C9" s="22" t="s">
        <v>1424</v>
      </c>
      <c r="D9" s="22" t="s">
        <v>1425</v>
      </c>
      <c r="E9" s="22" t="s">
        <v>1426</v>
      </c>
      <c r="F9" s="23">
        <v>7</v>
      </c>
      <c r="G9" s="23">
        <v>0</v>
      </c>
      <c r="H9" s="23">
        <v>30</v>
      </c>
      <c r="I9" s="23">
        <f t="shared" si="0"/>
        <v>-30</v>
      </c>
      <c r="J9" s="22" t="s">
        <v>1419</v>
      </c>
      <c r="K9" s="22" t="s">
        <v>34</v>
      </c>
      <c r="L9" s="22" t="s">
        <v>1415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1427</v>
      </c>
      <c r="D10" s="22" t="s">
        <v>1428</v>
      </c>
      <c r="E10" s="22" t="s">
        <v>626</v>
      </c>
      <c r="F10" s="23">
        <v>6</v>
      </c>
      <c r="G10" s="23">
        <v>0</v>
      </c>
      <c r="H10" s="23">
        <v>25</v>
      </c>
      <c r="I10" s="23">
        <f t="shared" si="0"/>
        <v>-25</v>
      </c>
      <c r="J10" s="22" t="s">
        <v>1419</v>
      </c>
      <c r="K10" s="22" t="s">
        <v>34</v>
      </c>
      <c r="L10" s="22" t="s">
        <v>1415</v>
      </c>
      <c r="M10" s="22"/>
      <c r="N10" s="22"/>
      <c r="O10" s="22"/>
      <c r="P10" s="22"/>
      <c r="Q10" s="22">
        <v>1</v>
      </c>
      <c r="R10" s="24">
        <f t="shared" si="1"/>
        <v>25</v>
      </c>
    </row>
    <row r="11" spans="1:18" customFormat="1" x14ac:dyDescent="0.25">
      <c r="A11" s="22"/>
      <c r="B11" s="22" t="s">
        <v>30</v>
      </c>
      <c r="C11" s="22" t="s">
        <v>1429</v>
      </c>
      <c r="D11" s="22" t="s">
        <v>1430</v>
      </c>
      <c r="E11" s="22" t="s">
        <v>1431</v>
      </c>
      <c r="F11" s="22" t="s">
        <v>39</v>
      </c>
      <c r="G11" s="23">
        <v>0</v>
      </c>
      <c r="H11" s="23">
        <v>30</v>
      </c>
      <c r="I11" s="23">
        <f t="shared" si="0"/>
        <v>-30</v>
      </c>
      <c r="J11" s="22" t="s">
        <v>1419</v>
      </c>
      <c r="K11" s="22" t="s">
        <v>34</v>
      </c>
      <c r="L11" s="22" t="s">
        <v>1415</v>
      </c>
      <c r="M11" s="22"/>
      <c r="N11" s="22"/>
      <c r="O11" s="22"/>
      <c r="P11" s="22"/>
      <c r="Q11" s="22">
        <v>1</v>
      </c>
      <c r="R11" s="24">
        <f t="shared" si="1"/>
        <v>30</v>
      </c>
    </row>
    <row r="12" spans="1:18" customFormat="1" x14ac:dyDescent="0.25">
      <c r="A12" s="22"/>
      <c r="B12" s="22" t="s">
        <v>30</v>
      </c>
      <c r="C12" s="22" t="s">
        <v>1432</v>
      </c>
      <c r="D12" s="22" t="s">
        <v>1433</v>
      </c>
      <c r="E12" s="22" t="s">
        <v>1434</v>
      </c>
      <c r="F12" s="22" t="s">
        <v>39</v>
      </c>
      <c r="G12" s="23">
        <v>0</v>
      </c>
      <c r="H12" s="23">
        <v>30</v>
      </c>
      <c r="I12" s="23">
        <f t="shared" si="0"/>
        <v>-30</v>
      </c>
      <c r="J12" s="22" t="s">
        <v>1419</v>
      </c>
      <c r="K12" s="22" t="s">
        <v>34</v>
      </c>
      <c r="L12" s="22" t="s">
        <v>1415</v>
      </c>
      <c r="M12" s="22"/>
      <c r="N12" s="22"/>
      <c r="O12" s="22"/>
      <c r="P12" s="22"/>
      <c r="Q12" s="22">
        <v>1</v>
      </c>
      <c r="R12" s="24">
        <f t="shared" si="1"/>
        <v>30</v>
      </c>
    </row>
    <row r="13" spans="1:18" s="27" customFormat="1" x14ac:dyDescent="0.25">
      <c r="A13" s="25"/>
      <c r="B13" s="25" t="s">
        <v>30</v>
      </c>
      <c r="C13" s="25" t="s">
        <v>1435</v>
      </c>
      <c r="D13" s="25"/>
      <c r="E13" s="25" t="s">
        <v>1436</v>
      </c>
      <c r="F13" s="25" t="s">
        <v>152</v>
      </c>
      <c r="G13" s="26">
        <v>0</v>
      </c>
      <c r="H13" s="26">
        <v>35</v>
      </c>
      <c r="I13" s="26">
        <f t="shared" si="0"/>
        <v>-35</v>
      </c>
      <c r="J13" s="25" t="s">
        <v>1419</v>
      </c>
      <c r="K13" s="25" t="s">
        <v>34</v>
      </c>
      <c r="L13" s="25" t="s">
        <v>1415</v>
      </c>
      <c r="M13" s="25" t="s">
        <v>139</v>
      </c>
      <c r="N13" s="25"/>
      <c r="O13" s="25"/>
      <c r="P13" s="25"/>
      <c r="Q13" s="25">
        <v>1</v>
      </c>
      <c r="R13" s="31">
        <f>H13</f>
        <v>35</v>
      </c>
    </row>
    <row r="14" spans="1:18" customFormat="1" x14ac:dyDescent="0.25">
      <c r="A14" s="22"/>
      <c r="B14" s="22" t="s">
        <v>30</v>
      </c>
      <c r="C14" s="22" t="s">
        <v>1272</v>
      </c>
      <c r="D14" s="22" t="s">
        <v>1437</v>
      </c>
      <c r="E14" s="22" t="s">
        <v>1438</v>
      </c>
      <c r="F14" s="23">
        <v>8</v>
      </c>
      <c r="G14" s="23">
        <v>980</v>
      </c>
      <c r="H14" s="23">
        <v>30</v>
      </c>
      <c r="I14" s="23">
        <f t="shared" si="0"/>
        <v>950</v>
      </c>
      <c r="J14" s="22" t="s">
        <v>1419</v>
      </c>
      <c r="K14" s="22" t="s">
        <v>34</v>
      </c>
      <c r="L14" s="22" t="s">
        <v>1415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1439</v>
      </c>
      <c r="D15" s="22" t="s">
        <v>1440</v>
      </c>
      <c r="E15" s="22" t="s">
        <v>1441</v>
      </c>
      <c r="F15" s="23">
        <v>8</v>
      </c>
      <c r="G15" s="23">
        <v>380</v>
      </c>
      <c r="H15" s="23">
        <v>30</v>
      </c>
      <c r="I15" s="23">
        <f t="shared" si="0"/>
        <v>350</v>
      </c>
      <c r="J15" s="22" t="s">
        <v>1419</v>
      </c>
      <c r="K15" s="22" t="s">
        <v>34</v>
      </c>
      <c r="L15" s="22" t="s">
        <v>1415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1442</v>
      </c>
      <c r="D16" s="22" t="s">
        <v>1443</v>
      </c>
      <c r="E16" s="22" t="s">
        <v>1444</v>
      </c>
      <c r="F16" s="22" t="s">
        <v>152</v>
      </c>
      <c r="G16" s="23">
        <v>695</v>
      </c>
      <c r="H16" s="23">
        <v>35</v>
      </c>
      <c r="I16" s="23">
        <f t="shared" si="0"/>
        <v>660</v>
      </c>
      <c r="J16" s="22" t="s">
        <v>1419</v>
      </c>
      <c r="K16" s="22" t="s">
        <v>34</v>
      </c>
      <c r="L16" s="22" t="s">
        <v>1415</v>
      </c>
      <c r="M16" s="28" t="s">
        <v>360</v>
      </c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1445</v>
      </c>
      <c r="D17" s="22" t="s">
        <v>1446</v>
      </c>
      <c r="E17" s="22" t="s">
        <v>1447</v>
      </c>
      <c r="F17" s="22" t="s">
        <v>152</v>
      </c>
      <c r="G17" s="23">
        <v>820</v>
      </c>
      <c r="H17" s="23">
        <v>0</v>
      </c>
      <c r="I17" s="23">
        <f t="shared" si="0"/>
        <v>820</v>
      </c>
      <c r="J17" s="22" t="s">
        <v>1419</v>
      </c>
      <c r="K17" s="22" t="s">
        <v>34</v>
      </c>
      <c r="L17" s="22" t="s">
        <v>1415</v>
      </c>
      <c r="M17" s="28" t="s">
        <v>360</v>
      </c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1448</v>
      </c>
      <c r="D18" s="22" t="s">
        <v>1449</v>
      </c>
      <c r="E18" s="22" t="s">
        <v>1450</v>
      </c>
      <c r="F18" s="23">
        <v>7</v>
      </c>
      <c r="G18" s="23">
        <v>980</v>
      </c>
      <c r="H18" s="23">
        <v>30</v>
      </c>
      <c r="I18" s="23">
        <f t="shared" si="0"/>
        <v>950</v>
      </c>
      <c r="J18" s="22" t="s">
        <v>1419</v>
      </c>
      <c r="K18" s="22" t="s">
        <v>34</v>
      </c>
      <c r="L18" s="22" t="s">
        <v>1415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1451</v>
      </c>
      <c r="D19" s="22" t="s">
        <v>1452</v>
      </c>
      <c r="E19" s="22" t="s">
        <v>1453</v>
      </c>
      <c r="F19" s="23">
        <v>11</v>
      </c>
      <c r="G19" s="23">
        <v>985</v>
      </c>
      <c r="H19" s="23">
        <v>25</v>
      </c>
      <c r="I19" s="23">
        <f t="shared" si="0"/>
        <v>960</v>
      </c>
      <c r="J19" s="22" t="s">
        <v>1419</v>
      </c>
      <c r="K19" s="22" t="s">
        <v>34</v>
      </c>
      <c r="L19" s="22" t="s">
        <v>1415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1454</v>
      </c>
      <c r="D20" s="22"/>
      <c r="E20" s="22" t="s">
        <v>253</v>
      </c>
      <c r="F20" s="23">
        <v>12</v>
      </c>
      <c r="G20" s="23">
        <v>0</v>
      </c>
      <c r="H20" s="23">
        <v>60</v>
      </c>
      <c r="I20" s="23">
        <f t="shared" si="0"/>
        <v>-60</v>
      </c>
      <c r="J20" s="22" t="s">
        <v>34</v>
      </c>
      <c r="K20" s="22" t="s">
        <v>34</v>
      </c>
      <c r="L20" s="22" t="s">
        <v>1415</v>
      </c>
      <c r="M20" s="22"/>
      <c r="N20" s="22"/>
      <c r="O20" s="22"/>
      <c r="P20" s="22"/>
      <c r="Q20" s="22">
        <v>1</v>
      </c>
      <c r="R20" s="24">
        <f>H20</f>
        <v>60</v>
      </c>
    </row>
    <row r="21" spans="1:18" customFormat="1" x14ac:dyDescent="0.25">
      <c r="A21" s="22" t="s">
        <v>29</v>
      </c>
      <c r="B21" s="22" t="s">
        <v>30</v>
      </c>
      <c r="C21" s="22" t="s">
        <v>351</v>
      </c>
      <c r="D21" s="22"/>
      <c r="E21" s="22" t="s">
        <v>352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1415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1383</v>
      </c>
      <c r="D22" s="22"/>
      <c r="E22" s="22" t="s">
        <v>1384</v>
      </c>
      <c r="F22" s="23">
        <v>12</v>
      </c>
      <c r="G22" s="23">
        <v>595</v>
      </c>
      <c r="H22" s="23">
        <v>35</v>
      </c>
      <c r="I22" s="23">
        <f t="shared" si="0"/>
        <v>560</v>
      </c>
      <c r="J22" s="22" t="s">
        <v>34</v>
      </c>
      <c r="K22" s="22" t="s">
        <v>34</v>
      </c>
      <c r="L22" s="22" t="s">
        <v>1415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1455</v>
      </c>
      <c r="D23" s="22" t="s">
        <v>1456</v>
      </c>
      <c r="E23" s="22" t="s">
        <v>1457</v>
      </c>
      <c r="F23" s="23">
        <v>2</v>
      </c>
      <c r="G23" s="23">
        <v>890</v>
      </c>
      <c r="H23" s="23">
        <v>30</v>
      </c>
      <c r="I23" s="23">
        <f t="shared" si="0"/>
        <v>860</v>
      </c>
      <c r="J23" s="22" t="s">
        <v>34</v>
      </c>
      <c r="K23" s="22" t="s">
        <v>34</v>
      </c>
      <c r="L23" s="22" t="s">
        <v>1415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993</v>
      </c>
      <c r="D24" s="22" t="s">
        <v>1458</v>
      </c>
      <c r="E24" s="22" t="s">
        <v>995</v>
      </c>
      <c r="F24" s="23">
        <v>2</v>
      </c>
      <c r="G24" s="23">
        <v>380</v>
      </c>
      <c r="H24" s="23">
        <v>30</v>
      </c>
      <c r="I24" s="23">
        <f t="shared" si="0"/>
        <v>350</v>
      </c>
      <c r="J24" s="22" t="s">
        <v>34</v>
      </c>
      <c r="K24" s="22" t="s">
        <v>34</v>
      </c>
      <c r="L24" s="22" t="s">
        <v>1415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1459</v>
      </c>
      <c r="D25" s="22" t="s">
        <v>1460</v>
      </c>
      <c r="E25" s="22" t="s">
        <v>1461</v>
      </c>
      <c r="F25" s="23">
        <v>2</v>
      </c>
      <c r="G25" s="23">
        <v>1020</v>
      </c>
      <c r="H25" s="23">
        <v>30</v>
      </c>
      <c r="I25" s="23">
        <f t="shared" si="0"/>
        <v>990</v>
      </c>
      <c r="J25" s="22" t="s">
        <v>34</v>
      </c>
      <c r="K25" s="22" t="s">
        <v>34</v>
      </c>
      <c r="L25" s="22" t="s">
        <v>1415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1462</v>
      </c>
      <c r="D26" s="22" t="s">
        <v>1463</v>
      </c>
      <c r="E26" s="22" t="s">
        <v>1464</v>
      </c>
      <c r="F26" s="22" t="s">
        <v>94</v>
      </c>
      <c r="G26" s="23">
        <v>0</v>
      </c>
      <c r="H26" s="23">
        <v>30</v>
      </c>
      <c r="I26" s="23">
        <f t="shared" si="0"/>
        <v>-30</v>
      </c>
      <c r="J26" s="22" t="s">
        <v>34</v>
      </c>
      <c r="K26" s="22" t="s">
        <v>34</v>
      </c>
      <c r="L26" s="22" t="s">
        <v>1415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1465</v>
      </c>
      <c r="D27" s="25" t="s">
        <v>1466</v>
      </c>
      <c r="E27" s="25" t="s">
        <v>1467</v>
      </c>
      <c r="F27" s="25" t="s">
        <v>90</v>
      </c>
      <c r="G27" s="26">
        <v>295</v>
      </c>
      <c r="H27" s="26">
        <v>25</v>
      </c>
      <c r="I27" s="26">
        <f t="shared" si="0"/>
        <v>270</v>
      </c>
      <c r="J27" s="25" t="s">
        <v>34</v>
      </c>
      <c r="K27" s="25" t="s">
        <v>34</v>
      </c>
      <c r="L27" s="25" t="s">
        <v>1415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1468</v>
      </c>
      <c r="D28" s="22" t="s">
        <v>1469</v>
      </c>
      <c r="E28" s="22" t="s">
        <v>1470</v>
      </c>
      <c r="F28" s="22" t="s">
        <v>98</v>
      </c>
      <c r="G28" s="23">
        <v>1190</v>
      </c>
      <c r="H28" s="23">
        <v>20</v>
      </c>
      <c r="I28" s="23">
        <f t="shared" si="0"/>
        <v>1170</v>
      </c>
      <c r="J28" s="22" t="s">
        <v>34</v>
      </c>
      <c r="K28" s="22" t="s">
        <v>34</v>
      </c>
      <c r="L28" s="22" t="s">
        <v>1415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469</v>
      </c>
      <c r="D29" s="22" t="s">
        <v>1471</v>
      </c>
      <c r="E29" s="22" t="s">
        <v>1472</v>
      </c>
      <c r="F29" s="22" t="s">
        <v>90</v>
      </c>
      <c r="G29" s="23">
        <v>0</v>
      </c>
      <c r="H29" s="23">
        <v>25</v>
      </c>
      <c r="I29" s="23">
        <f t="shared" si="0"/>
        <v>-25</v>
      </c>
      <c r="J29" s="22" t="s">
        <v>34</v>
      </c>
      <c r="K29" s="22" t="s">
        <v>34</v>
      </c>
      <c r="L29" s="22" t="s">
        <v>1415</v>
      </c>
      <c r="M29" s="22"/>
      <c r="N29" s="22"/>
      <c r="O29" s="22"/>
      <c r="P29" s="22"/>
      <c r="Q29" s="22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1473</v>
      </c>
      <c r="D30" s="22" t="s">
        <v>1474</v>
      </c>
      <c r="E30" s="22" t="s">
        <v>1475</v>
      </c>
      <c r="F30" s="22" t="s">
        <v>90</v>
      </c>
      <c r="G30" s="23">
        <v>885</v>
      </c>
      <c r="H30" s="23">
        <v>25</v>
      </c>
      <c r="I30" s="23">
        <f t="shared" si="0"/>
        <v>860</v>
      </c>
      <c r="J30" s="22" t="s">
        <v>34</v>
      </c>
      <c r="K30" s="22" t="s">
        <v>34</v>
      </c>
      <c r="L30" s="22" t="s">
        <v>1415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1476</v>
      </c>
      <c r="D31" s="22" t="s">
        <v>1477</v>
      </c>
      <c r="E31" s="22" t="s">
        <v>1478</v>
      </c>
      <c r="F31" s="22" t="s">
        <v>90</v>
      </c>
      <c r="G31" s="23">
        <v>915</v>
      </c>
      <c r="H31" s="23">
        <v>25</v>
      </c>
      <c r="I31" s="23">
        <f t="shared" si="0"/>
        <v>890</v>
      </c>
      <c r="J31" s="22" t="s">
        <v>34</v>
      </c>
      <c r="K31" s="22" t="s">
        <v>34</v>
      </c>
      <c r="L31" s="22" t="s">
        <v>1415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1479</v>
      </c>
      <c r="D32" s="22" t="s">
        <v>1480</v>
      </c>
      <c r="E32" s="22" t="s">
        <v>1481</v>
      </c>
      <c r="F32" s="22" t="s">
        <v>90</v>
      </c>
      <c r="G32" s="23">
        <v>815</v>
      </c>
      <c r="H32" s="23">
        <v>25</v>
      </c>
      <c r="I32" s="23">
        <f t="shared" si="0"/>
        <v>790</v>
      </c>
      <c r="J32" s="22" t="s">
        <v>34</v>
      </c>
      <c r="K32" s="22" t="s">
        <v>34</v>
      </c>
      <c r="L32" s="22" t="s">
        <v>1415</v>
      </c>
      <c r="M32" s="22"/>
      <c r="N32" s="22"/>
      <c r="O32" s="22"/>
      <c r="P32" s="22"/>
      <c r="Q32" s="22">
        <v>1</v>
      </c>
    </row>
    <row r="33" spans="1:18" customFormat="1" x14ac:dyDescent="0.25">
      <c r="A33" s="22" t="s">
        <v>29</v>
      </c>
      <c r="B33" s="22" t="s">
        <v>30</v>
      </c>
      <c r="C33" s="22" t="s">
        <v>1482</v>
      </c>
      <c r="D33" s="22"/>
      <c r="E33" s="22" t="s">
        <v>493</v>
      </c>
      <c r="F33" s="22" t="s">
        <v>108</v>
      </c>
      <c r="G33" s="23">
        <v>0</v>
      </c>
      <c r="H33" s="23">
        <v>30</v>
      </c>
      <c r="I33" s="23">
        <f t="shared" si="0"/>
        <v>-30</v>
      </c>
      <c r="J33" s="22" t="s">
        <v>148</v>
      </c>
      <c r="K33" s="22" t="s">
        <v>34</v>
      </c>
      <c r="L33" s="22" t="s">
        <v>1415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 t="s">
        <v>29</v>
      </c>
      <c r="B34" s="22" t="s">
        <v>30</v>
      </c>
      <c r="C34" s="22" t="s">
        <v>1483</v>
      </c>
      <c r="D34" s="22"/>
      <c r="E34" s="22" t="s">
        <v>1484</v>
      </c>
      <c r="F34" s="22" t="s">
        <v>108</v>
      </c>
      <c r="G34" s="23">
        <v>30</v>
      </c>
      <c r="H34" s="23">
        <v>30</v>
      </c>
      <c r="I34" s="23">
        <f t="shared" si="0"/>
        <v>0</v>
      </c>
      <c r="J34" s="22" t="s">
        <v>148</v>
      </c>
      <c r="K34" s="22" t="s">
        <v>34</v>
      </c>
      <c r="L34" s="22" t="s">
        <v>1415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1485</v>
      </c>
      <c r="D35" s="22" t="s">
        <v>1486</v>
      </c>
      <c r="E35" s="22" t="s">
        <v>1487</v>
      </c>
      <c r="F35" s="22" t="s">
        <v>108</v>
      </c>
      <c r="G35" s="23">
        <v>0</v>
      </c>
      <c r="H35" s="23">
        <v>25</v>
      </c>
      <c r="I35" s="23">
        <f t="shared" si="0"/>
        <v>-25</v>
      </c>
      <c r="J35" s="22" t="s">
        <v>148</v>
      </c>
      <c r="K35" s="22" t="s">
        <v>34</v>
      </c>
      <c r="L35" s="22" t="s">
        <v>1415</v>
      </c>
      <c r="M35" s="22"/>
      <c r="N35" s="22"/>
      <c r="O35" s="22"/>
      <c r="P35" s="22"/>
      <c r="Q35" s="22">
        <v>1</v>
      </c>
      <c r="R35" s="24">
        <f>H35</f>
        <v>25</v>
      </c>
    </row>
    <row r="36" spans="1:18" customFormat="1" x14ac:dyDescent="0.25">
      <c r="A36" s="22"/>
      <c r="B36" s="22" t="s">
        <v>30</v>
      </c>
      <c r="C36" s="22" t="s">
        <v>1488</v>
      </c>
      <c r="D36" s="22" t="s">
        <v>1489</v>
      </c>
      <c r="E36" s="22" t="s">
        <v>1490</v>
      </c>
      <c r="F36" s="23">
        <v>4</v>
      </c>
      <c r="G36" s="23">
        <v>1075</v>
      </c>
      <c r="H36" s="23">
        <v>25</v>
      </c>
      <c r="I36" s="23">
        <f t="shared" si="0"/>
        <v>1050</v>
      </c>
      <c r="J36" s="22" t="s">
        <v>148</v>
      </c>
      <c r="K36" s="22" t="s">
        <v>34</v>
      </c>
      <c r="L36" s="22" t="s">
        <v>1415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595</v>
      </c>
      <c r="D37" s="22" t="s">
        <v>1491</v>
      </c>
      <c r="E37" s="22" t="s">
        <v>597</v>
      </c>
      <c r="F37" s="23">
        <v>5</v>
      </c>
      <c r="G37" s="23">
        <v>1065</v>
      </c>
      <c r="H37" s="23">
        <v>25</v>
      </c>
      <c r="I37" s="23">
        <f t="shared" si="0"/>
        <v>1040</v>
      </c>
      <c r="J37" s="22" t="s">
        <v>148</v>
      </c>
      <c r="K37" s="22" t="s">
        <v>34</v>
      </c>
      <c r="L37" s="22" t="s">
        <v>1415</v>
      </c>
      <c r="M37" s="22"/>
      <c r="N37" s="22"/>
      <c r="O37" s="22"/>
      <c r="P37" s="22"/>
      <c r="Q37" s="22">
        <v>1</v>
      </c>
    </row>
    <row r="38" spans="1:18" s="27" customFormat="1" x14ac:dyDescent="0.25">
      <c r="A38" s="25"/>
      <c r="B38" s="25" t="s">
        <v>30</v>
      </c>
      <c r="C38" s="25" t="s">
        <v>1492</v>
      </c>
      <c r="D38" s="25" t="s">
        <v>1493</v>
      </c>
      <c r="E38" s="25" t="s">
        <v>1494</v>
      </c>
      <c r="F38" s="26">
        <v>3</v>
      </c>
      <c r="G38" s="26">
        <v>25</v>
      </c>
      <c r="H38" s="26">
        <v>25</v>
      </c>
      <c r="I38" s="26">
        <f t="shared" si="0"/>
        <v>0</v>
      </c>
      <c r="J38" s="25" t="s">
        <v>148</v>
      </c>
      <c r="K38" s="25" t="s">
        <v>34</v>
      </c>
      <c r="L38" s="25" t="s">
        <v>1415</v>
      </c>
      <c r="M38" s="25" t="s">
        <v>139</v>
      </c>
      <c r="N38" s="25"/>
      <c r="O38" s="25"/>
      <c r="P38" s="25"/>
      <c r="Q38" s="25">
        <v>1</v>
      </c>
    </row>
    <row r="39" spans="1:18" customFormat="1" x14ac:dyDescent="0.25">
      <c r="A39" s="22"/>
      <c r="B39" s="22" t="s">
        <v>30</v>
      </c>
      <c r="C39" s="22" t="s">
        <v>1495</v>
      </c>
      <c r="D39" s="22" t="s">
        <v>1496</v>
      </c>
      <c r="E39" s="22" t="s">
        <v>1497</v>
      </c>
      <c r="F39" s="23">
        <v>1</v>
      </c>
      <c r="G39" s="23">
        <v>915</v>
      </c>
      <c r="H39" s="23">
        <v>25</v>
      </c>
      <c r="I39" s="23">
        <f t="shared" si="0"/>
        <v>890</v>
      </c>
      <c r="J39" s="22" t="s">
        <v>148</v>
      </c>
      <c r="K39" s="22" t="s">
        <v>34</v>
      </c>
      <c r="L39" s="22" t="s">
        <v>1415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1498</v>
      </c>
      <c r="D40" s="22" t="s">
        <v>1499</v>
      </c>
      <c r="E40" s="22" t="s">
        <v>1500</v>
      </c>
      <c r="F40" s="23">
        <v>3</v>
      </c>
      <c r="G40" s="23">
        <v>765</v>
      </c>
      <c r="H40" s="23">
        <v>25</v>
      </c>
      <c r="I40" s="23">
        <f t="shared" si="0"/>
        <v>740</v>
      </c>
      <c r="J40" s="22" t="s">
        <v>148</v>
      </c>
      <c r="K40" s="22" t="s">
        <v>34</v>
      </c>
      <c r="L40" s="22" t="s">
        <v>1415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1501</v>
      </c>
      <c r="D41" s="22" t="s">
        <v>1502</v>
      </c>
      <c r="E41" s="22" t="s">
        <v>1503</v>
      </c>
      <c r="F41" s="23">
        <v>1</v>
      </c>
      <c r="G41" s="23">
        <v>855</v>
      </c>
      <c r="H41" s="23">
        <v>25</v>
      </c>
      <c r="I41" s="23">
        <f t="shared" si="0"/>
        <v>830</v>
      </c>
      <c r="J41" s="22" t="s">
        <v>148</v>
      </c>
      <c r="K41" s="22" t="s">
        <v>34</v>
      </c>
      <c r="L41" s="22" t="s">
        <v>1415</v>
      </c>
      <c r="M41" s="22"/>
      <c r="N41" s="22"/>
      <c r="O41" s="22"/>
      <c r="P41" s="22"/>
      <c r="Q41" s="22">
        <v>1</v>
      </c>
    </row>
    <row r="43" spans="1:18" x14ac:dyDescent="0.25">
      <c r="G43" s="1">
        <f t="shared" ref="G43:R43" si="2">SUBTOTAL(9,G3:G42)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  <c r="R43" s="1">
        <f t="shared" si="2"/>
        <v>410</v>
      </c>
    </row>
    <row r="47" spans="1:18" ht="20.25" customHeight="1" x14ac:dyDescent="0.3">
      <c r="H47" s="4" t="s">
        <v>1311</v>
      </c>
      <c r="I47" s="5" t="s">
        <v>15</v>
      </c>
      <c r="J47" s="6" t="s">
        <v>16</v>
      </c>
    </row>
    <row r="48" spans="1:18" ht="15.75" customHeight="1" x14ac:dyDescent="0.25">
      <c r="H48" s="7" t="s">
        <v>17</v>
      </c>
      <c r="I48" s="8">
        <f>SUM(I42:I46)</f>
        <v>17310</v>
      </c>
      <c r="J48" s="8">
        <f>Q43</f>
        <v>39</v>
      </c>
    </row>
    <row r="49" spans="8:10" x14ac:dyDescent="0.25">
      <c r="H49" s="9" t="s">
        <v>18</v>
      </c>
      <c r="I49" s="10">
        <f>R43</f>
        <v>410</v>
      </c>
      <c r="J49" s="11"/>
    </row>
    <row r="50" spans="8:10" x14ac:dyDescent="0.25">
      <c r="H50" s="9" t="s">
        <v>19</v>
      </c>
      <c r="I50" s="10">
        <f>S42</f>
        <v>0</v>
      </c>
      <c r="J50" s="11"/>
    </row>
    <row r="51" spans="8:10" x14ac:dyDescent="0.25">
      <c r="H51" s="9" t="s">
        <v>20</v>
      </c>
      <c r="I51" s="10">
        <f>T42</f>
        <v>0</v>
      </c>
      <c r="J51" s="11"/>
    </row>
    <row r="52" spans="8:10" x14ac:dyDescent="0.25">
      <c r="H52" s="9" t="s">
        <v>21</v>
      </c>
      <c r="I52" s="10">
        <f>U42</f>
        <v>0</v>
      </c>
      <c r="J52" s="11"/>
    </row>
    <row r="53" spans="8:10" ht="15.75" customHeight="1" x14ac:dyDescent="0.25">
      <c r="H53" s="12" t="s">
        <v>22</v>
      </c>
      <c r="I53" s="13"/>
      <c r="J53" s="13"/>
    </row>
    <row r="54" spans="8:10" ht="15.75" customHeight="1" x14ac:dyDescent="0.25">
      <c r="H54" s="14" t="s">
        <v>23</v>
      </c>
      <c r="I54" s="13"/>
      <c r="J54" s="13"/>
    </row>
    <row r="55" spans="8:10" ht="21" customHeight="1" x14ac:dyDescent="0.35">
      <c r="H55" s="15" t="s">
        <v>24</v>
      </c>
      <c r="I55" s="16">
        <f>SUM(I48:I54)</f>
        <v>17720</v>
      </c>
      <c r="J55" s="16">
        <f>SUM(J48:J52)</f>
        <v>39</v>
      </c>
    </row>
  </sheetData>
  <autoFilter ref="A2:P41" xr:uid="{00000000-0009-0000-0000-000006000000}">
    <sortState xmlns:xlrd2="http://schemas.microsoft.com/office/spreadsheetml/2017/richdata2" ref="A3:P41">
      <sortCondition ref="J2:J4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52C0-C941-442A-A413-82BE1FD6C446}">
  <dimension ref="A1:R43"/>
  <sheetViews>
    <sheetView zoomScale="82" zoomScaleNormal="80" workbookViewId="0">
      <selection activeCell="A16" sqref="A16:XFD1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1410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1506</v>
      </c>
      <c r="D3" s="22" t="s">
        <v>1507</v>
      </c>
      <c r="E3" s="22" t="s">
        <v>1508</v>
      </c>
      <c r="F3" s="23">
        <v>9</v>
      </c>
      <c r="G3" s="23">
        <v>830</v>
      </c>
      <c r="H3" s="23">
        <v>30</v>
      </c>
      <c r="I3" s="23">
        <f t="shared" ref="I3:I29" si="0">G3-H3</f>
        <v>800</v>
      </c>
      <c r="J3" s="22" t="s">
        <v>33</v>
      </c>
      <c r="K3" s="22" t="s">
        <v>34</v>
      </c>
      <c r="L3" s="22" t="s">
        <v>1509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314</v>
      </c>
      <c r="D4" s="22" t="s">
        <v>1510</v>
      </c>
      <c r="E4" s="22" t="s">
        <v>316</v>
      </c>
      <c r="F4" s="22" t="s">
        <v>152</v>
      </c>
      <c r="G4" s="23">
        <v>735</v>
      </c>
      <c r="H4" s="23">
        <v>35</v>
      </c>
      <c r="I4" s="23">
        <f t="shared" si="0"/>
        <v>700</v>
      </c>
      <c r="J4" s="22" t="s">
        <v>1511</v>
      </c>
      <c r="K4" s="22" t="s">
        <v>34</v>
      </c>
      <c r="L4" s="22" t="s">
        <v>1509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1512</v>
      </c>
      <c r="E5" s="22" t="s">
        <v>1513</v>
      </c>
      <c r="F5" s="22" t="s">
        <v>59</v>
      </c>
      <c r="G5" s="23">
        <v>985</v>
      </c>
      <c r="H5" s="23">
        <v>25</v>
      </c>
      <c r="I5" s="23">
        <f t="shared" si="0"/>
        <v>960</v>
      </c>
      <c r="J5" s="22" t="s">
        <v>1511</v>
      </c>
      <c r="K5" s="22" t="s">
        <v>34</v>
      </c>
      <c r="L5" s="22" t="s">
        <v>1509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737</v>
      </c>
      <c r="D6" s="22" t="s">
        <v>1514</v>
      </c>
      <c r="E6" s="22" t="s">
        <v>1515</v>
      </c>
      <c r="F6" s="22" t="s">
        <v>108</v>
      </c>
      <c r="G6" s="23">
        <v>860</v>
      </c>
      <c r="H6" s="23">
        <v>30</v>
      </c>
      <c r="I6" s="23">
        <f t="shared" si="0"/>
        <v>830</v>
      </c>
      <c r="J6" s="22" t="s">
        <v>1511</v>
      </c>
      <c r="K6" s="22" t="s">
        <v>34</v>
      </c>
      <c r="L6" s="22" t="s">
        <v>1509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1516</v>
      </c>
      <c r="D7" s="22" t="s">
        <v>1517</v>
      </c>
      <c r="E7" s="22" t="s">
        <v>1518</v>
      </c>
      <c r="F7" s="23">
        <v>7</v>
      </c>
      <c r="G7" s="23">
        <v>850</v>
      </c>
      <c r="H7" s="23">
        <v>30</v>
      </c>
      <c r="I7" s="23">
        <f t="shared" si="0"/>
        <v>820</v>
      </c>
      <c r="J7" s="22" t="s">
        <v>1511</v>
      </c>
      <c r="K7" s="22" t="s">
        <v>34</v>
      </c>
      <c r="L7" s="22" t="s">
        <v>1509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1519</v>
      </c>
      <c r="D8" s="22" t="s">
        <v>1520</v>
      </c>
      <c r="E8" s="22" t="s">
        <v>1521</v>
      </c>
      <c r="F8" s="22" t="s">
        <v>59</v>
      </c>
      <c r="G8" s="23">
        <v>1115</v>
      </c>
      <c r="H8" s="23">
        <v>25</v>
      </c>
      <c r="I8" s="23">
        <f t="shared" si="0"/>
        <v>1090</v>
      </c>
      <c r="J8" s="22" t="s">
        <v>1511</v>
      </c>
      <c r="K8" s="22" t="s">
        <v>34</v>
      </c>
      <c r="L8" s="22" t="s">
        <v>1509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1522</v>
      </c>
      <c r="D9" s="22" t="s">
        <v>1523</v>
      </c>
      <c r="E9" s="22" t="s">
        <v>213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1511</v>
      </c>
      <c r="K9" s="22" t="s">
        <v>34</v>
      </c>
      <c r="L9" s="22" t="s">
        <v>1509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1524</v>
      </c>
      <c r="D10" s="22" t="s">
        <v>1525</v>
      </c>
      <c r="E10" s="22" t="s">
        <v>1526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1511</v>
      </c>
      <c r="K10" s="22" t="s">
        <v>34</v>
      </c>
      <c r="L10" s="22" t="s">
        <v>1509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1527</v>
      </c>
      <c r="D11" s="22" t="s">
        <v>1528</v>
      </c>
      <c r="E11" s="22" t="s">
        <v>1529</v>
      </c>
      <c r="F11" s="23">
        <v>7</v>
      </c>
      <c r="G11" s="23">
        <v>380</v>
      </c>
      <c r="H11" s="23">
        <v>30</v>
      </c>
      <c r="I11" s="23">
        <f t="shared" si="0"/>
        <v>350</v>
      </c>
      <c r="J11" s="22" t="s">
        <v>1511</v>
      </c>
      <c r="K11" s="22" t="s">
        <v>34</v>
      </c>
      <c r="L11" s="22" t="s">
        <v>1509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1530</v>
      </c>
      <c r="D12" s="22" t="s">
        <v>1531</v>
      </c>
      <c r="E12" s="22" t="s">
        <v>1532</v>
      </c>
      <c r="F12" s="22" t="s">
        <v>59</v>
      </c>
      <c r="G12" s="23">
        <v>0</v>
      </c>
      <c r="H12" s="23">
        <v>25</v>
      </c>
      <c r="I12" s="23">
        <f t="shared" si="0"/>
        <v>-25</v>
      </c>
      <c r="J12" s="22" t="s">
        <v>1511</v>
      </c>
      <c r="K12" s="22" t="s">
        <v>34</v>
      </c>
      <c r="L12" s="22" t="s">
        <v>1509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1533</v>
      </c>
      <c r="D13" s="22" t="s">
        <v>1534</v>
      </c>
      <c r="E13" s="22" t="s">
        <v>1535</v>
      </c>
      <c r="F13" s="23">
        <v>6</v>
      </c>
      <c r="G13" s="23">
        <v>765</v>
      </c>
      <c r="H13" s="23">
        <v>25</v>
      </c>
      <c r="I13" s="23">
        <f t="shared" si="0"/>
        <v>740</v>
      </c>
      <c r="J13" s="22" t="s">
        <v>1511</v>
      </c>
      <c r="K13" s="22" t="s">
        <v>34</v>
      </c>
      <c r="L13" s="22" t="s">
        <v>1509</v>
      </c>
      <c r="M13" s="22"/>
      <c r="N13" s="22"/>
      <c r="O13" s="22"/>
      <c r="P13" s="22"/>
      <c r="Q13" s="22">
        <v>1</v>
      </c>
    </row>
    <row r="14" spans="1:18" customFormat="1" x14ac:dyDescent="0.25">
      <c r="A14" s="22" t="s">
        <v>29</v>
      </c>
      <c r="B14" s="22" t="s">
        <v>30</v>
      </c>
      <c r="C14" s="22" t="s">
        <v>1536</v>
      </c>
      <c r="D14" s="22"/>
      <c r="E14" s="22" t="s">
        <v>1537</v>
      </c>
      <c r="F14" s="23">
        <v>6</v>
      </c>
      <c r="G14" s="23">
        <v>40</v>
      </c>
      <c r="H14" s="23">
        <v>40</v>
      </c>
      <c r="I14" s="23">
        <f t="shared" si="0"/>
        <v>0</v>
      </c>
      <c r="J14" s="22" t="s">
        <v>1511</v>
      </c>
      <c r="K14" s="22" t="s">
        <v>34</v>
      </c>
      <c r="L14" s="22" t="s">
        <v>1509</v>
      </c>
      <c r="M14" s="22"/>
      <c r="N14" s="22"/>
      <c r="O14" s="22"/>
      <c r="P14" s="22"/>
      <c r="Q14" s="22">
        <v>1</v>
      </c>
    </row>
    <row r="15" spans="1:18" customFormat="1" ht="14.25" customHeight="1" x14ac:dyDescent="0.25">
      <c r="A15" s="22"/>
      <c r="B15" s="22" t="s">
        <v>30</v>
      </c>
      <c r="C15" s="22" t="s">
        <v>1538</v>
      </c>
      <c r="D15" s="22" t="s">
        <v>1539</v>
      </c>
      <c r="E15" s="22" t="s">
        <v>1540</v>
      </c>
      <c r="F15" s="22" t="s">
        <v>98</v>
      </c>
      <c r="G15" s="23">
        <v>0</v>
      </c>
      <c r="H15" s="23">
        <v>20</v>
      </c>
      <c r="I15" s="23">
        <f t="shared" si="0"/>
        <v>-20</v>
      </c>
      <c r="J15" s="22" t="s">
        <v>34</v>
      </c>
      <c r="K15" s="22" t="s">
        <v>34</v>
      </c>
      <c r="L15" s="22" t="s">
        <v>1509</v>
      </c>
      <c r="M15" s="22"/>
      <c r="N15" s="22"/>
      <c r="O15" s="22"/>
      <c r="P15" s="22"/>
      <c r="Q15" s="22">
        <v>1</v>
      </c>
      <c r="R15" s="24">
        <f>H15</f>
        <v>20</v>
      </c>
    </row>
    <row r="16" spans="1:18" customFormat="1" x14ac:dyDescent="0.25">
      <c r="A16" s="22"/>
      <c r="B16" s="22" t="s">
        <v>30</v>
      </c>
      <c r="C16" s="22" t="s">
        <v>1541</v>
      </c>
      <c r="D16" s="22" t="s">
        <v>1542</v>
      </c>
      <c r="E16" s="22" t="s">
        <v>1543</v>
      </c>
      <c r="F16" s="22" t="s">
        <v>94</v>
      </c>
      <c r="G16" s="23">
        <v>1020</v>
      </c>
      <c r="H16" s="23">
        <v>30</v>
      </c>
      <c r="I16" s="23">
        <f t="shared" si="0"/>
        <v>990</v>
      </c>
      <c r="J16" s="22" t="s">
        <v>34</v>
      </c>
      <c r="K16" s="22" t="s">
        <v>34</v>
      </c>
      <c r="L16" s="22" t="s">
        <v>1509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1544</v>
      </c>
      <c r="D17" s="22" t="s">
        <v>1545</v>
      </c>
      <c r="E17" s="22" t="s">
        <v>1546</v>
      </c>
      <c r="F17" s="22" t="s">
        <v>90</v>
      </c>
      <c r="G17" s="23">
        <v>0</v>
      </c>
      <c r="H17" s="23">
        <v>25</v>
      </c>
      <c r="I17" s="23">
        <f t="shared" si="0"/>
        <v>-25</v>
      </c>
      <c r="J17" s="22" t="s">
        <v>34</v>
      </c>
      <c r="K17" s="22" t="s">
        <v>34</v>
      </c>
      <c r="L17" s="22" t="s">
        <v>1509</v>
      </c>
      <c r="M17" s="22"/>
      <c r="N17" s="22"/>
      <c r="O17" s="22"/>
      <c r="P17" s="22"/>
      <c r="Q17" s="22">
        <v>1</v>
      </c>
      <c r="R17" s="24">
        <f>H17</f>
        <v>25</v>
      </c>
    </row>
    <row r="18" spans="1:18" customFormat="1" x14ac:dyDescent="0.25">
      <c r="A18" s="22"/>
      <c r="B18" s="22" t="s">
        <v>30</v>
      </c>
      <c r="C18" s="22" t="s">
        <v>1547</v>
      </c>
      <c r="D18" s="22" t="s">
        <v>1548</v>
      </c>
      <c r="E18" s="22" t="s">
        <v>1549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1509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1550</v>
      </c>
      <c r="D19" s="22" t="s">
        <v>1551</v>
      </c>
      <c r="E19" s="22" t="s">
        <v>1552</v>
      </c>
      <c r="F19" s="23">
        <v>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1509</v>
      </c>
      <c r="M19" s="22"/>
      <c r="N19" s="22"/>
      <c r="O19" s="22"/>
      <c r="P19" s="22"/>
      <c r="Q19" s="22">
        <v>1</v>
      </c>
      <c r="R19" s="24">
        <f t="shared" ref="R19:R21" si="1">H19</f>
        <v>30</v>
      </c>
    </row>
    <row r="20" spans="1:18" customFormat="1" x14ac:dyDescent="0.25">
      <c r="A20" s="22"/>
      <c r="B20" s="22" t="s">
        <v>30</v>
      </c>
      <c r="C20" s="22" t="s">
        <v>1553</v>
      </c>
      <c r="D20" s="22" t="s">
        <v>1554</v>
      </c>
      <c r="E20" s="22" t="s">
        <v>1555</v>
      </c>
      <c r="F20" s="22" t="s">
        <v>98</v>
      </c>
      <c r="G20" s="23">
        <v>0</v>
      </c>
      <c r="H20" s="23">
        <v>20</v>
      </c>
      <c r="I20" s="23">
        <f t="shared" si="0"/>
        <v>-20</v>
      </c>
      <c r="J20" s="22" t="s">
        <v>34</v>
      </c>
      <c r="K20" s="22" t="s">
        <v>34</v>
      </c>
      <c r="L20" s="22" t="s">
        <v>1509</v>
      </c>
      <c r="M20" s="22"/>
      <c r="N20" s="22"/>
      <c r="O20" s="22"/>
      <c r="P20" s="22"/>
      <c r="Q20" s="22">
        <v>1</v>
      </c>
      <c r="R20" s="24">
        <f t="shared" si="1"/>
        <v>20</v>
      </c>
    </row>
    <row r="21" spans="1:18" customFormat="1" x14ac:dyDescent="0.25">
      <c r="A21" s="22"/>
      <c r="B21" s="22" t="s">
        <v>30</v>
      </c>
      <c r="C21" s="22" t="s">
        <v>1556</v>
      </c>
      <c r="D21" s="22" t="s">
        <v>1557</v>
      </c>
      <c r="E21" s="22" t="s">
        <v>1558</v>
      </c>
      <c r="F21" s="22" t="s">
        <v>98</v>
      </c>
      <c r="G21" s="23">
        <v>0</v>
      </c>
      <c r="H21" s="23">
        <v>20</v>
      </c>
      <c r="I21" s="23">
        <f t="shared" si="0"/>
        <v>-20</v>
      </c>
      <c r="J21" s="22" t="s">
        <v>34</v>
      </c>
      <c r="K21" s="22" t="s">
        <v>34</v>
      </c>
      <c r="L21" s="22" t="s">
        <v>1509</v>
      </c>
      <c r="M21" s="22"/>
      <c r="N21" s="22"/>
      <c r="O21" s="22"/>
      <c r="P21" s="22"/>
      <c r="Q21" s="22">
        <v>1</v>
      </c>
      <c r="R21" s="24">
        <f t="shared" si="1"/>
        <v>20</v>
      </c>
    </row>
    <row r="22" spans="1:18" customFormat="1" x14ac:dyDescent="0.25">
      <c r="A22" s="22"/>
      <c r="B22" s="22" t="s">
        <v>30</v>
      </c>
      <c r="C22" s="22" t="s">
        <v>762</v>
      </c>
      <c r="D22" s="22" t="s">
        <v>1559</v>
      </c>
      <c r="E22" s="22" t="s">
        <v>764</v>
      </c>
      <c r="F22" s="22" t="s">
        <v>98</v>
      </c>
      <c r="G22" s="23">
        <v>1420</v>
      </c>
      <c r="H22" s="23">
        <v>20</v>
      </c>
      <c r="I22" s="23">
        <f t="shared" si="0"/>
        <v>1400</v>
      </c>
      <c r="J22" s="22" t="s">
        <v>34</v>
      </c>
      <c r="K22" s="22" t="s">
        <v>34</v>
      </c>
      <c r="L22" s="22" t="s">
        <v>1509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1560</v>
      </c>
      <c r="D23" s="22"/>
      <c r="E23" s="22" t="s">
        <v>1561</v>
      </c>
      <c r="F23" s="23">
        <v>12</v>
      </c>
      <c r="G23" s="23">
        <v>0</v>
      </c>
      <c r="H23" s="23">
        <v>60</v>
      </c>
      <c r="I23" s="23">
        <f t="shared" si="0"/>
        <v>-60</v>
      </c>
      <c r="J23" s="22" t="s">
        <v>34</v>
      </c>
      <c r="K23" s="22" t="s">
        <v>34</v>
      </c>
      <c r="L23" s="22" t="s">
        <v>1509</v>
      </c>
      <c r="M23" s="22"/>
      <c r="N23" s="22"/>
      <c r="O23" s="22"/>
      <c r="P23" s="22"/>
      <c r="Q23" s="22">
        <v>1</v>
      </c>
      <c r="R23" s="24">
        <f t="shared" ref="R23:R24" si="2">H23</f>
        <v>60</v>
      </c>
    </row>
    <row r="24" spans="1:18" customFormat="1" x14ac:dyDescent="0.25">
      <c r="A24" s="22" t="s">
        <v>29</v>
      </c>
      <c r="B24" s="22" t="s">
        <v>30</v>
      </c>
      <c r="C24" s="22" t="s">
        <v>1562</v>
      </c>
      <c r="D24" s="22"/>
      <c r="E24" s="22" t="s">
        <v>489</v>
      </c>
      <c r="F24" s="23">
        <v>12</v>
      </c>
      <c r="G24" s="23">
        <v>0</v>
      </c>
      <c r="H24" s="23">
        <v>60</v>
      </c>
      <c r="I24" s="23">
        <f t="shared" si="0"/>
        <v>-60</v>
      </c>
      <c r="J24" s="22" t="s">
        <v>34</v>
      </c>
      <c r="K24" s="22" t="s">
        <v>34</v>
      </c>
      <c r="L24" s="22" t="s">
        <v>1509</v>
      </c>
      <c r="M24" s="22"/>
      <c r="N24" s="22"/>
      <c r="O24" s="22"/>
      <c r="P24" s="22"/>
      <c r="Q24" s="22">
        <v>1</v>
      </c>
      <c r="R24" s="24">
        <f t="shared" si="2"/>
        <v>60</v>
      </c>
    </row>
    <row r="25" spans="1:18" customFormat="1" x14ac:dyDescent="0.25">
      <c r="A25" s="22"/>
      <c r="B25" s="22" t="s">
        <v>30</v>
      </c>
      <c r="C25" s="22" t="s">
        <v>496</v>
      </c>
      <c r="D25" s="22" t="s">
        <v>1563</v>
      </c>
      <c r="E25" s="22" t="s">
        <v>1564</v>
      </c>
      <c r="F25" s="22" t="s">
        <v>108</v>
      </c>
      <c r="G25" s="23">
        <v>1015</v>
      </c>
      <c r="H25" s="23">
        <v>25</v>
      </c>
      <c r="I25" s="23">
        <f t="shared" si="0"/>
        <v>990</v>
      </c>
      <c r="J25" s="22" t="s">
        <v>148</v>
      </c>
      <c r="K25" s="22" t="s">
        <v>34</v>
      </c>
      <c r="L25" s="22" t="s">
        <v>1509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1565</v>
      </c>
      <c r="D26" s="22" t="s">
        <v>1566</v>
      </c>
      <c r="E26" s="22" t="s">
        <v>1567</v>
      </c>
      <c r="F26" s="23">
        <v>10</v>
      </c>
      <c r="G26" s="23">
        <v>1665</v>
      </c>
      <c r="H26" s="23">
        <v>25</v>
      </c>
      <c r="I26" s="23">
        <f t="shared" si="0"/>
        <v>1640</v>
      </c>
      <c r="J26" s="22" t="s">
        <v>148</v>
      </c>
      <c r="K26" s="22" t="s">
        <v>34</v>
      </c>
      <c r="L26" s="22" t="s">
        <v>1509</v>
      </c>
      <c r="M26" s="22"/>
      <c r="N26" s="22"/>
      <c r="O26" s="22"/>
      <c r="P26" s="22"/>
      <c r="Q26" s="22">
        <v>1</v>
      </c>
    </row>
    <row r="27" spans="1:18" s="27" customFormat="1" x14ac:dyDescent="0.25">
      <c r="A27" s="25"/>
      <c r="B27" s="25" t="s">
        <v>30</v>
      </c>
      <c r="C27" s="25" t="s">
        <v>615</v>
      </c>
      <c r="D27" s="25" t="s">
        <v>1568</v>
      </c>
      <c r="E27" s="25" t="s">
        <v>617</v>
      </c>
      <c r="F27" s="26">
        <v>1</v>
      </c>
      <c r="G27" s="26">
        <v>25</v>
      </c>
      <c r="H27" s="26">
        <v>25</v>
      </c>
      <c r="I27" s="26">
        <f t="shared" si="0"/>
        <v>0</v>
      </c>
      <c r="J27" s="25" t="s">
        <v>148</v>
      </c>
      <c r="K27" s="25" t="s">
        <v>34</v>
      </c>
      <c r="L27" s="25" t="s">
        <v>1509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1569</v>
      </c>
      <c r="D28" s="22" t="s">
        <v>1570</v>
      </c>
      <c r="E28" s="22" t="s">
        <v>1571</v>
      </c>
      <c r="F28" s="23">
        <v>5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1509</v>
      </c>
      <c r="M28" s="22"/>
      <c r="N28" s="22"/>
      <c r="O28" s="22"/>
      <c r="P28" s="22"/>
      <c r="Q28" s="22">
        <v>1</v>
      </c>
      <c r="R28" s="24">
        <f t="shared" ref="R28:R29" si="3">H28</f>
        <v>25</v>
      </c>
    </row>
    <row r="29" spans="1:18" customFormat="1" x14ac:dyDescent="0.25">
      <c r="A29" s="22" t="s">
        <v>29</v>
      </c>
      <c r="B29" s="22" t="s">
        <v>30</v>
      </c>
      <c r="C29" s="22" t="s">
        <v>1572</v>
      </c>
      <c r="D29" s="22"/>
      <c r="E29" s="22" t="s">
        <v>1573</v>
      </c>
      <c r="F29" s="22" t="s">
        <v>108</v>
      </c>
      <c r="G29" s="23">
        <v>0</v>
      </c>
      <c r="H29" s="23">
        <v>50</v>
      </c>
      <c r="I29" s="23">
        <f t="shared" si="0"/>
        <v>-50</v>
      </c>
      <c r="J29" s="22" t="s">
        <v>148</v>
      </c>
      <c r="K29" s="22" t="s">
        <v>34</v>
      </c>
      <c r="L29" s="22" t="s">
        <v>1509</v>
      </c>
      <c r="M29" s="22"/>
      <c r="N29" s="22"/>
      <c r="O29" s="22"/>
      <c r="P29" s="22"/>
      <c r="Q29" s="22">
        <v>1</v>
      </c>
      <c r="R29" s="24">
        <f t="shared" si="3"/>
        <v>50</v>
      </c>
    </row>
    <row r="31" spans="1:18" x14ac:dyDescent="0.25">
      <c r="G31" s="1">
        <f t="shared" ref="G31:R31" si="4">SUBTOTAL(9,G3:G30)</f>
        <v>13575</v>
      </c>
      <c r="H31" s="1">
        <f t="shared" si="4"/>
        <v>815</v>
      </c>
      <c r="I31" s="1">
        <f t="shared" si="4"/>
        <v>12760</v>
      </c>
      <c r="J31" s="1">
        <f t="shared" si="4"/>
        <v>0</v>
      </c>
      <c r="K31" s="1">
        <f t="shared" si="4"/>
        <v>0</v>
      </c>
      <c r="L31" s="1">
        <f t="shared" si="4"/>
        <v>0</v>
      </c>
      <c r="M31" s="1">
        <f t="shared" si="4"/>
        <v>0</v>
      </c>
      <c r="N31" s="1">
        <f t="shared" si="4"/>
        <v>0</v>
      </c>
      <c r="O31" s="1">
        <f t="shared" si="4"/>
        <v>0</v>
      </c>
      <c r="P31" s="1">
        <f t="shared" si="4"/>
        <v>0</v>
      </c>
      <c r="Q31" s="1">
        <f t="shared" si="4"/>
        <v>27</v>
      </c>
      <c r="R31" s="1">
        <f t="shared" si="4"/>
        <v>360</v>
      </c>
    </row>
    <row r="35" spans="8:10" ht="20.25" customHeight="1" x14ac:dyDescent="0.3">
      <c r="H35" s="4" t="s">
        <v>1411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12760</v>
      </c>
      <c r="J36" s="8">
        <f>Q31</f>
        <v>27</v>
      </c>
    </row>
    <row r="37" spans="8:10" x14ac:dyDescent="0.25">
      <c r="H37" s="9" t="s">
        <v>18</v>
      </c>
      <c r="I37" s="10">
        <f>R31</f>
        <v>360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13120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BEC2F-69A3-42F1-A9B2-FD77CE177594}">
  <dimension ref="A1:R47"/>
  <sheetViews>
    <sheetView zoomScale="82" zoomScaleNormal="80" workbookViewId="0">
      <selection activeCell="D11" sqref="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1505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1576</v>
      </c>
      <c r="E3" s="22" t="s">
        <v>1123</v>
      </c>
      <c r="F3" s="23">
        <v>9</v>
      </c>
      <c r="G3" s="23">
        <v>900</v>
      </c>
      <c r="H3" s="23">
        <v>30</v>
      </c>
      <c r="I3" s="23">
        <f t="shared" ref="I3:I33" si="0">G3-H3</f>
        <v>870</v>
      </c>
      <c r="J3" s="22" t="s">
        <v>33</v>
      </c>
      <c r="K3" s="22" t="s">
        <v>34</v>
      </c>
      <c r="L3" s="22" t="s">
        <v>1577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1578</v>
      </c>
      <c r="D4" s="22"/>
      <c r="E4" s="22" t="s">
        <v>1579</v>
      </c>
      <c r="F4" s="23">
        <v>6</v>
      </c>
      <c r="G4" s="23">
        <v>0</v>
      </c>
      <c r="H4" s="23">
        <v>30</v>
      </c>
      <c r="I4" s="23">
        <f t="shared" si="0"/>
        <v>-30</v>
      </c>
      <c r="J4" s="22" t="s">
        <v>1580</v>
      </c>
      <c r="K4" s="22" t="s">
        <v>34</v>
      </c>
      <c r="L4" s="22" t="s">
        <v>1577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1581</v>
      </c>
      <c r="D5" s="22" t="s">
        <v>1582</v>
      </c>
      <c r="E5" s="22" t="s">
        <v>1583</v>
      </c>
      <c r="F5" s="23">
        <v>6</v>
      </c>
      <c r="G5" s="23">
        <v>1875</v>
      </c>
      <c r="H5" s="23">
        <v>25</v>
      </c>
      <c r="I5" s="23">
        <f t="shared" si="0"/>
        <v>1850</v>
      </c>
      <c r="J5" s="22" t="s">
        <v>1580</v>
      </c>
      <c r="K5" s="22" t="s">
        <v>34</v>
      </c>
      <c r="L5" s="22" t="s">
        <v>1577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1584</v>
      </c>
      <c r="D6" s="22" t="s">
        <v>1585</v>
      </c>
      <c r="E6" s="22" t="s">
        <v>1586</v>
      </c>
      <c r="F6" s="22" t="s">
        <v>59</v>
      </c>
      <c r="G6" s="23">
        <v>895</v>
      </c>
      <c r="H6" s="23">
        <v>25</v>
      </c>
      <c r="I6" s="23">
        <f t="shared" si="0"/>
        <v>870</v>
      </c>
      <c r="J6" s="22" t="s">
        <v>1580</v>
      </c>
      <c r="K6" s="22" t="s">
        <v>34</v>
      </c>
      <c r="L6" s="22" t="s">
        <v>1577</v>
      </c>
      <c r="M6" s="28" t="s">
        <v>360</v>
      </c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1584</v>
      </c>
      <c r="D7" s="22" t="s">
        <v>1587</v>
      </c>
      <c r="E7" s="22" t="s">
        <v>1586</v>
      </c>
      <c r="F7" s="22" t="s">
        <v>59</v>
      </c>
      <c r="G7" s="23">
        <v>770</v>
      </c>
      <c r="H7" s="23">
        <v>0</v>
      </c>
      <c r="I7" s="23">
        <f t="shared" si="0"/>
        <v>770</v>
      </c>
      <c r="J7" s="22" t="s">
        <v>1580</v>
      </c>
      <c r="K7" s="22" t="s">
        <v>34</v>
      </c>
      <c r="L7" s="22" t="s">
        <v>1577</v>
      </c>
      <c r="M7" s="28" t="s">
        <v>360</v>
      </c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1588</v>
      </c>
      <c r="D8" s="22" t="s">
        <v>1589</v>
      </c>
      <c r="E8" s="22" t="s">
        <v>1300</v>
      </c>
      <c r="F8" s="22" t="s">
        <v>39</v>
      </c>
      <c r="G8" s="23">
        <v>810</v>
      </c>
      <c r="H8" s="23">
        <v>30</v>
      </c>
      <c r="I8" s="23">
        <f t="shared" si="0"/>
        <v>780</v>
      </c>
      <c r="J8" s="22" t="s">
        <v>1580</v>
      </c>
      <c r="K8" s="22" t="s">
        <v>34</v>
      </c>
      <c r="L8" s="22" t="s">
        <v>1577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1590</v>
      </c>
      <c r="D9" s="22" t="s">
        <v>1591</v>
      </c>
      <c r="E9" s="22" t="s">
        <v>1592</v>
      </c>
      <c r="F9" s="23">
        <v>12</v>
      </c>
      <c r="G9" s="23">
        <v>850</v>
      </c>
      <c r="H9" s="23">
        <v>30</v>
      </c>
      <c r="I9" s="23">
        <f t="shared" si="0"/>
        <v>820</v>
      </c>
      <c r="J9" s="22" t="s">
        <v>1580</v>
      </c>
      <c r="K9" s="22" t="s">
        <v>34</v>
      </c>
      <c r="L9" s="22" t="s">
        <v>1577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1593</v>
      </c>
      <c r="D10" s="22" t="s">
        <v>1594</v>
      </c>
      <c r="E10" s="22" t="s">
        <v>1595</v>
      </c>
      <c r="F10" s="23">
        <v>7</v>
      </c>
      <c r="G10" s="23">
        <v>0</v>
      </c>
      <c r="H10" s="23">
        <v>30</v>
      </c>
      <c r="I10" s="23">
        <f t="shared" si="0"/>
        <v>-30</v>
      </c>
      <c r="J10" s="22" t="s">
        <v>1580</v>
      </c>
      <c r="K10" s="22" t="s">
        <v>34</v>
      </c>
      <c r="L10" s="22" t="s">
        <v>1577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1757</v>
      </c>
      <c r="D11" s="22" t="s">
        <v>1596</v>
      </c>
      <c r="E11" s="22" t="s">
        <v>1597</v>
      </c>
      <c r="F11" s="22" t="s">
        <v>59</v>
      </c>
      <c r="G11" s="23">
        <v>375</v>
      </c>
      <c r="H11" s="23">
        <v>25</v>
      </c>
      <c r="I11" s="23">
        <f t="shared" si="0"/>
        <v>350</v>
      </c>
      <c r="J11" s="22" t="s">
        <v>1580</v>
      </c>
      <c r="K11" s="22" t="s">
        <v>34</v>
      </c>
      <c r="L11" s="22" t="s">
        <v>1577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1598</v>
      </c>
      <c r="D12" s="22" t="s">
        <v>1599</v>
      </c>
      <c r="E12" s="22" t="s">
        <v>1600</v>
      </c>
      <c r="F12" s="22" t="s">
        <v>1324</v>
      </c>
      <c r="G12" s="23">
        <v>825</v>
      </c>
      <c r="H12" s="23">
        <v>35</v>
      </c>
      <c r="I12" s="23">
        <f t="shared" si="0"/>
        <v>790</v>
      </c>
      <c r="J12" s="22" t="s">
        <v>1580</v>
      </c>
      <c r="K12" s="22" t="s">
        <v>34</v>
      </c>
      <c r="L12" s="22" t="s">
        <v>1577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1601</v>
      </c>
      <c r="D13" s="22" t="s">
        <v>1602</v>
      </c>
      <c r="E13" s="22" t="s">
        <v>1303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1580</v>
      </c>
      <c r="K13" s="22" t="s">
        <v>34</v>
      </c>
      <c r="L13" s="22" t="s">
        <v>1577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1603</v>
      </c>
      <c r="D14" s="22" t="s">
        <v>1604</v>
      </c>
      <c r="E14" s="22" t="s">
        <v>1605</v>
      </c>
      <c r="F14" s="23">
        <v>12</v>
      </c>
      <c r="G14" s="23">
        <v>1530</v>
      </c>
      <c r="H14" s="23">
        <v>30</v>
      </c>
      <c r="I14" s="23">
        <f t="shared" si="0"/>
        <v>1500</v>
      </c>
      <c r="J14" s="22" t="s">
        <v>1580</v>
      </c>
      <c r="K14" s="22" t="s">
        <v>34</v>
      </c>
      <c r="L14" s="22" t="s">
        <v>1577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1606</v>
      </c>
      <c r="D15" s="22" t="s">
        <v>1607</v>
      </c>
      <c r="E15" s="22" t="s">
        <v>1608</v>
      </c>
      <c r="F15" s="23">
        <v>7</v>
      </c>
      <c r="G15" s="23">
        <v>1020</v>
      </c>
      <c r="H15" s="23">
        <v>30</v>
      </c>
      <c r="I15" s="23">
        <f t="shared" si="0"/>
        <v>990</v>
      </c>
      <c r="J15" s="22" t="s">
        <v>1580</v>
      </c>
      <c r="K15" s="22" t="s">
        <v>34</v>
      </c>
      <c r="L15" s="22" t="s">
        <v>1577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1609</v>
      </c>
      <c r="D16" s="22" t="s">
        <v>1610</v>
      </c>
      <c r="E16" s="22" t="s">
        <v>1611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1580</v>
      </c>
      <c r="K16" s="22" t="s">
        <v>34</v>
      </c>
      <c r="L16" s="22" t="s">
        <v>1577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1442</v>
      </c>
      <c r="D17" s="22" t="s">
        <v>1612</v>
      </c>
      <c r="E17" s="22" t="s">
        <v>1444</v>
      </c>
      <c r="F17" s="22" t="s">
        <v>152</v>
      </c>
      <c r="G17" s="23">
        <v>695</v>
      </c>
      <c r="H17" s="23">
        <v>35</v>
      </c>
      <c r="I17" s="23">
        <f t="shared" si="0"/>
        <v>660</v>
      </c>
      <c r="J17" s="22" t="s">
        <v>1580</v>
      </c>
      <c r="K17" s="22" t="s">
        <v>34</v>
      </c>
      <c r="L17" s="22" t="s">
        <v>1577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1613</v>
      </c>
      <c r="D18" s="22" t="s">
        <v>1614</v>
      </c>
      <c r="E18" s="22" t="s">
        <v>1615</v>
      </c>
      <c r="F18" s="23">
        <v>7</v>
      </c>
      <c r="G18" s="23">
        <v>2710</v>
      </c>
      <c r="H18" s="23">
        <v>35</v>
      </c>
      <c r="I18" s="23">
        <f t="shared" si="0"/>
        <v>2675</v>
      </c>
      <c r="J18" s="22" t="s">
        <v>1580</v>
      </c>
      <c r="K18" s="22" t="s">
        <v>34</v>
      </c>
      <c r="L18" s="22" t="s">
        <v>1577</v>
      </c>
      <c r="M18" s="28" t="s">
        <v>180</v>
      </c>
      <c r="N18" s="22"/>
      <c r="O18" s="22"/>
      <c r="P18" s="22"/>
      <c r="Q18" s="22">
        <v>1</v>
      </c>
      <c r="R18" s="24">
        <f>H18</f>
        <v>35</v>
      </c>
    </row>
    <row r="19" spans="1:18" customFormat="1" x14ac:dyDescent="0.25">
      <c r="A19" s="22"/>
      <c r="B19" s="22" t="s">
        <v>30</v>
      </c>
      <c r="C19" s="22" t="s">
        <v>1616</v>
      </c>
      <c r="D19" s="22" t="s">
        <v>1617</v>
      </c>
      <c r="E19" s="22" t="s">
        <v>1618</v>
      </c>
      <c r="F19" s="22" t="s">
        <v>152</v>
      </c>
      <c r="G19" s="23">
        <v>1685</v>
      </c>
      <c r="H19" s="23">
        <v>35</v>
      </c>
      <c r="I19" s="23">
        <f t="shared" si="0"/>
        <v>1650</v>
      </c>
      <c r="J19" s="22" t="s">
        <v>1580</v>
      </c>
      <c r="K19" s="22" t="s">
        <v>34</v>
      </c>
      <c r="L19" s="22" t="s">
        <v>1577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1619</v>
      </c>
      <c r="D20" s="22" t="s">
        <v>1620</v>
      </c>
      <c r="E20" s="22" t="s">
        <v>1621</v>
      </c>
      <c r="F20" s="22" t="s">
        <v>59</v>
      </c>
      <c r="G20" s="23">
        <v>855</v>
      </c>
      <c r="H20" s="23">
        <v>25</v>
      </c>
      <c r="I20" s="23">
        <f t="shared" si="0"/>
        <v>830</v>
      </c>
      <c r="J20" s="22" t="s">
        <v>1580</v>
      </c>
      <c r="K20" s="22" t="s">
        <v>34</v>
      </c>
      <c r="L20" s="22" t="s">
        <v>1577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353</v>
      </c>
      <c r="D21" s="22"/>
      <c r="E21" s="22" t="s">
        <v>354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1577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351</v>
      </c>
      <c r="D22" s="22"/>
      <c r="E22" s="22" t="s">
        <v>352</v>
      </c>
      <c r="F22" s="22" t="s">
        <v>90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1577</v>
      </c>
      <c r="M22" s="22"/>
      <c r="N22" s="22"/>
      <c r="O22" s="22"/>
      <c r="P22" s="22"/>
      <c r="Q22" s="22">
        <v>1</v>
      </c>
      <c r="R22" s="24">
        <f t="shared" ref="R22:R23" si="1">H22</f>
        <v>30</v>
      </c>
    </row>
    <row r="23" spans="1:18" customFormat="1" x14ac:dyDescent="0.25">
      <c r="A23" s="22" t="s">
        <v>29</v>
      </c>
      <c r="B23" s="22" t="s">
        <v>30</v>
      </c>
      <c r="C23" s="22" t="s">
        <v>1622</v>
      </c>
      <c r="D23" s="22"/>
      <c r="E23" s="22" t="s">
        <v>1623</v>
      </c>
      <c r="F23" s="22" t="s">
        <v>98</v>
      </c>
      <c r="G23" s="23">
        <v>0</v>
      </c>
      <c r="H23" s="23">
        <v>35</v>
      </c>
      <c r="I23" s="23">
        <f t="shared" si="0"/>
        <v>-35</v>
      </c>
      <c r="J23" s="22" t="s">
        <v>34</v>
      </c>
      <c r="K23" s="22" t="s">
        <v>34</v>
      </c>
      <c r="L23" s="22" t="s">
        <v>1577</v>
      </c>
      <c r="M23" s="22"/>
      <c r="N23" s="22"/>
      <c r="O23" s="22"/>
      <c r="P23" s="22"/>
      <c r="Q23" s="22">
        <v>1</v>
      </c>
      <c r="R23" s="24">
        <f t="shared" si="1"/>
        <v>35</v>
      </c>
    </row>
    <row r="24" spans="1:18" customFormat="1" x14ac:dyDescent="0.25">
      <c r="A24" s="22"/>
      <c r="B24" s="22" t="s">
        <v>30</v>
      </c>
      <c r="C24" s="22" t="s">
        <v>1624</v>
      </c>
      <c r="D24" s="22" t="s">
        <v>1625</v>
      </c>
      <c r="E24" s="22" t="s">
        <v>1626</v>
      </c>
      <c r="F24" s="22" t="s">
        <v>90</v>
      </c>
      <c r="G24" s="23">
        <v>595</v>
      </c>
      <c r="H24" s="23">
        <v>25</v>
      </c>
      <c r="I24" s="23">
        <f t="shared" si="0"/>
        <v>570</v>
      </c>
      <c r="J24" s="22" t="s">
        <v>34</v>
      </c>
      <c r="K24" s="22" t="s">
        <v>34</v>
      </c>
      <c r="L24" s="22" t="s">
        <v>1577</v>
      </c>
      <c r="M24" s="28" t="s">
        <v>180</v>
      </c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1627</v>
      </c>
      <c r="D25" s="22" t="s">
        <v>1628</v>
      </c>
      <c r="E25" s="22" t="s">
        <v>1629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1577</v>
      </c>
      <c r="M25" s="22"/>
      <c r="N25" s="22"/>
      <c r="O25" s="22"/>
      <c r="P25" s="22"/>
      <c r="Q25" s="22">
        <v>1</v>
      </c>
      <c r="R25" s="24">
        <f t="shared" ref="R25:R26" si="2">H25</f>
        <v>25</v>
      </c>
    </row>
    <row r="26" spans="1:18" customFormat="1" x14ac:dyDescent="0.25">
      <c r="A26" s="22"/>
      <c r="B26" s="22" t="s">
        <v>30</v>
      </c>
      <c r="C26" s="22" t="s">
        <v>788</v>
      </c>
      <c r="D26" s="22" t="s">
        <v>1630</v>
      </c>
      <c r="E26" s="22" t="s">
        <v>1631</v>
      </c>
      <c r="F26" s="23">
        <v>1</v>
      </c>
      <c r="G26" s="23">
        <v>0</v>
      </c>
      <c r="H26" s="23">
        <v>25</v>
      </c>
      <c r="I26" s="23">
        <f t="shared" si="0"/>
        <v>-25</v>
      </c>
      <c r="J26" s="22" t="s">
        <v>148</v>
      </c>
      <c r="K26" s="22" t="s">
        <v>34</v>
      </c>
      <c r="L26" s="22" t="s">
        <v>1577</v>
      </c>
      <c r="M26" s="22"/>
      <c r="N26" s="22"/>
      <c r="O26" s="22"/>
      <c r="P26" s="22"/>
      <c r="Q26" s="22">
        <v>1</v>
      </c>
      <c r="R26" s="24">
        <f t="shared" si="2"/>
        <v>25</v>
      </c>
    </row>
    <row r="27" spans="1:18" customFormat="1" x14ac:dyDescent="0.25">
      <c r="A27" s="22"/>
      <c r="B27" s="22" t="s">
        <v>30</v>
      </c>
      <c r="C27" s="22" t="s">
        <v>1101</v>
      </c>
      <c r="D27" s="22" t="s">
        <v>1632</v>
      </c>
      <c r="E27" s="22" t="s">
        <v>1633</v>
      </c>
      <c r="F27" s="22" t="s">
        <v>108</v>
      </c>
      <c r="G27" s="23">
        <v>25</v>
      </c>
      <c r="H27" s="23">
        <v>25</v>
      </c>
      <c r="I27" s="23">
        <f t="shared" si="0"/>
        <v>0</v>
      </c>
      <c r="J27" s="22" t="s">
        <v>148</v>
      </c>
      <c r="K27" s="22" t="s">
        <v>34</v>
      </c>
      <c r="L27" s="22" t="s">
        <v>1577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1634</v>
      </c>
      <c r="D28" s="22" t="s">
        <v>1635</v>
      </c>
      <c r="E28" s="22" t="s">
        <v>1636</v>
      </c>
      <c r="F28" s="23">
        <v>3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1577</v>
      </c>
      <c r="M28" s="22"/>
      <c r="N28" s="22"/>
      <c r="O28" s="22"/>
      <c r="P28" s="22"/>
      <c r="Q28" s="22">
        <v>1</v>
      </c>
      <c r="R28" s="24">
        <f t="shared" ref="R28:R30" si="3">H28</f>
        <v>25</v>
      </c>
    </row>
    <row r="29" spans="1:18" customFormat="1" x14ac:dyDescent="0.25">
      <c r="A29" s="22"/>
      <c r="B29" s="22" t="s">
        <v>30</v>
      </c>
      <c r="C29" s="22" t="s">
        <v>1637</v>
      </c>
      <c r="D29" s="22" t="s">
        <v>1638</v>
      </c>
      <c r="E29" s="22" t="s">
        <v>1639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1577</v>
      </c>
      <c r="M29" s="22"/>
      <c r="N29" s="22"/>
      <c r="O29" s="22"/>
      <c r="P29" s="22"/>
      <c r="Q29" s="22">
        <v>1</v>
      </c>
      <c r="R29" s="24">
        <f t="shared" si="3"/>
        <v>25</v>
      </c>
    </row>
    <row r="30" spans="1:18" customFormat="1" x14ac:dyDescent="0.25">
      <c r="A30" s="22"/>
      <c r="B30" s="22" t="s">
        <v>30</v>
      </c>
      <c r="C30" s="22" t="s">
        <v>1640</v>
      </c>
      <c r="D30" s="22" t="s">
        <v>1641</v>
      </c>
      <c r="E30" s="22" t="s">
        <v>1642</v>
      </c>
      <c r="F30" s="22" t="s">
        <v>389</v>
      </c>
      <c r="G30" s="23">
        <v>0</v>
      </c>
      <c r="H30" s="23">
        <v>20</v>
      </c>
      <c r="I30" s="23">
        <f t="shared" si="0"/>
        <v>-20</v>
      </c>
      <c r="J30" s="22" t="s">
        <v>148</v>
      </c>
      <c r="K30" s="22" t="s">
        <v>34</v>
      </c>
      <c r="L30" s="22" t="s">
        <v>1577</v>
      </c>
      <c r="M30" s="22"/>
      <c r="N30" s="22"/>
      <c r="O30" s="22"/>
      <c r="P30" s="22"/>
      <c r="Q30" s="22">
        <v>1</v>
      </c>
      <c r="R30" s="24">
        <f t="shared" si="3"/>
        <v>20</v>
      </c>
    </row>
    <row r="31" spans="1:18" customFormat="1" x14ac:dyDescent="0.25">
      <c r="A31" s="22"/>
      <c r="B31" s="22" t="s">
        <v>30</v>
      </c>
      <c r="C31" s="22" t="s">
        <v>573</v>
      </c>
      <c r="D31" s="22" t="s">
        <v>1643</v>
      </c>
      <c r="E31" s="22" t="s">
        <v>575</v>
      </c>
      <c r="F31" s="22" t="s">
        <v>108</v>
      </c>
      <c r="G31" s="23">
        <v>875</v>
      </c>
      <c r="H31" s="23">
        <v>25</v>
      </c>
      <c r="I31" s="23">
        <f t="shared" si="0"/>
        <v>850</v>
      </c>
      <c r="J31" s="22" t="s">
        <v>148</v>
      </c>
      <c r="K31" s="22" t="s">
        <v>34</v>
      </c>
      <c r="L31" s="22" t="s">
        <v>1577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1644</v>
      </c>
      <c r="D32" s="22" t="s">
        <v>1645</v>
      </c>
      <c r="E32" s="22" t="s">
        <v>1646</v>
      </c>
      <c r="F32" s="23">
        <v>1</v>
      </c>
      <c r="G32" s="23">
        <v>1015</v>
      </c>
      <c r="H32" s="23">
        <v>25</v>
      </c>
      <c r="I32" s="23">
        <f t="shared" si="0"/>
        <v>990</v>
      </c>
      <c r="J32" s="22" t="s">
        <v>148</v>
      </c>
      <c r="K32" s="22" t="s">
        <v>34</v>
      </c>
      <c r="L32" s="22" t="s">
        <v>1577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1647</v>
      </c>
      <c r="D33" s="22" t="s">
        <v>1648</v>
      </c>
      <c r="E33" s="22" t="s">
        <v>1649</v>
      </c>
      <c r="F33" s="23">
        <v>3</v>
      </c>
      <c r="G33" s="23">
        <v>915</v>
      </c>
      <c r="H33" s="23">
        <v>25</v>
      </c>
      <c r="I33" s="23">
        <f t="shared" si="0"/>
        <v>890</v>
      </c>
      <c r="J33" s="22" t="s">
        <v>148</v>
      </c>
      <c r="K33" s="22" t="s">
        <v>34</v>
      </c>
      <c r="L33" s="22" t="s">
        <v>1577</v>
      </c>
      <c r="M33" s="22"/>
      <c r="N33" s="22"/>
      <c r="O33" s="22"/>
      <c r="P33" s="22"/>
      <c r="Q33" s="22">
        <v>1</v>
      </c>
    </row>
    <row r="35" spans="1:18" x14ac:dyDescent="0.25">
      <c r="G35" s="1">
        <f t="shared" ref="G35:R35" si="4">SUBTOTAL(9,G3:G34)</f>
        <v>19250</v>
      </c>
      <c r="H35" s="1">
        <f t="shared" si="4"/>
        <v>850</v>
      </c>
      <c r="I35" s="1">
        <f t="shared" si="4"/>
        <v>18400</v>
      </c>
      <c r="J35" s="1">
        <f t="shared" si="4"/>
        <v>0</v>
      </c>
      <c r="K35" s="1">
        <f t="shared" si="4"/>
        <v>0</v>
      </c>
      <c r="L35" s="1">
        <f t="shared" si="4"/>
        <v>0</v>
      </c>
      <c r="M35" s="1">
        <f t="shared" si="4"/>
        <v>0</v>
      </c>
      <c r="N35" s="1">
        <f t="shared" si="4"/>
        <v>0</v>
      </c>
      <c r="O35" s="1">
        <f t="shared" si="4"/>
        <v>0</v>
      </c>
      <c r="P35" s="1">
        <f t="shared" si="4"/>
        <v>0</v>
      </c>
      <c r="Q35" s="1">
        <f t="shared" si="4"/>
        <v>31</v>
      </c>
      <c r="R35" s="1">
        <f t="shared" si="4"/>
        <v>365</v>
      </c>
    </row>
    <row r="36" spans="1:18" x14ac:dyDescent="0.25">
      <c r="I36" s="1">
        <v>-2930</v>
      </c>
      <c r="J36" s="1" t="s">
        <v>1650</v>
      </c>
    </row>
    <row r="39" spans="1:18" ht="20.25" customHeight="1" x14ac:dyDescent="0.3">
      <c r="H39" s="4" t="s">
        <v>1504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15470</v>
      </c>
      <c r="J40" s="8">
        <f>Q35</f>
        <v>31</v>
      </c>
    </row>
    <row r="41" spans="1:18" x14ac:dyDescent="0.25">
      <c r="H41" s="9" t="s">
        <v>18</v>
      </c>
      <c r="I41" s="10">
        <f>R35</f>
        <v>365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15835</v>
      </c>
      <c r="J47" s="16">
        <f>SUM(J40:J44)</f>
        <v>31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7EC-9F26-4C4B-8BF1-26CBB7F3ED40}">
  <dimension ref="A1:R59"/>
  <sheetViews>
    <sheetView topLeftCell="A24" zoomScale="82" zoomScaleNormal="80" workbookViewId="0">
      <selection activeCell="C59" sqref="C5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1574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 t="s">
        <v>30</v>
      </c>
      <c r="C3" s="17" t="s">
        <v>1652</v>
      </c>
      <c r="D3" s="17" t="s">
        <v>1653</v>
      </c>
      <c r="E3" s="17" t="s">
        <v>1654</v>
      </c>
      <c r="F3" s="17" t="s">
        <v>39</v>
      </c>
      <c r="G3" s="18">
        <v>850</v>
      </c>
      <c r="H3" s="18">
        <v>30</v>
      </c>
      <c r="I3" s="18">
        <v>820</v>
      </c>
      <c r="J3" s="17" t="s">
        <v>1655</v>
      </c>
      <c r="K3" s="17" t="s">
        <v>34</v>
      </c>
      <c r="L3" s="17" t="s">
        <v>1656</v>
      </c>
      <c r="M3" s="17"/>
      <c r="N3" s="17"/>
      <c r="O3" s="17"/>
      <c r="P3" s="17"/>
      <c r="Q3" s="17">
        <v>1</v>
      </c>
    </row>
    <row r="4" spans="1:18" s="19" customFormat="1" x14ac:dyDescent="0.25">
      <c r="A4" s="17"/>
      <c r="B4" s="17" t="s">
        <v>30</v>
      </c>
      <c r="C4" s="17" t="s">
        <v>1657</v>
      </c>
      <c r="D4" s="17" t="s">
        <v>1658</v>
      </c>
      <c r="E4" s="17" t="s">
        <v>1659</v>
      </c>
      <c r="F4" s="17" t="s">
        <v>39</v>
      </c>
      <c r="G4" s="18">
        <v>470</v>
      </c>
      <c r="H4" s="18">
        <v>30</v>
      </c>
      <c r="I4" s="18">
        <v>440</v>
      </c>
      <c r="J4" s="17" t="s">
        <v>1655</v>
      </c>
      <c r="K4" s="17" t="s">
        <v>34</v>
      </c>
      <c r="L4" s="17" t="s">
        <v>1656</v>
      </c>
      <c r="M4" s="17"/>
      <c r="N4" s="17"/>
      <c r="O4" s="17"/>
      <c r="P4" s="17"/>
      <c r="Q4" s="17">
        <v>1</v>
      </c>
    </row>
    <row r="5" spans="1:18" s="19" customFormat="1" x14ac:dyDescent="0.25">
      <c r="A5" s="17"/>
      <c r="B5" s="17" t="s">
        <v>30</v>
      </c>
      <c r="C5" s="17" t="s">
        <v>1660</v>
      </c>
      <c r="D5" s="17" t="s">
        <v>1661</v>
      </c>
      <c r="E5" s="17" t="s">
        <v>1662</v>
      </c>
      <c r="F5" s="18" t="s">
        <v>59</v>
      </c>
      <c r="G5" s="18">
        <v>0</v>
      </c>
      <c r="H5" s="18">
        <v>25</v>
      </c>
      <c r="I5" s="18">
        <v>-25</v>
      </c>
      <c r="J5" s="17" t="s">
        <v>1655</v>
      </c>
      <c r="K5" s="17" t="s">
        <v>34</v>
      </c>
      <c r="L5" s="17" t="s">
        <v>1656</v>
      </c>
      <c r="M5" s="17"/>
      <c r="N5" s="17"/>
      <c r="O5" s="17"/>
      <c r="P5" s="17"/>
      <c r="Q5" s="17">
        <v>1</v>
      </c>
      <c r="R5" s="20">
        <v>25</v>
      </c>
    </row>
    <row r="6" spans="1:18" s="19" customFormat="1" x14ac:dyDescent="0.25">
      <c r="A6" s="17"/>
      <c r="B6" s="17" t="s">
        <v>30</v>
      </c>
      <c r="C6" s="17" t="s">
        <v>1663</v>
      </c>
      <c r="D6" s="17" t="s">
        <v>1664</v>
      </c>
      <c r="E6" s="17" t="s">
        <v>1665</v>
      </c>
      <c r="F6" s="18">
        <v>8</v>
      </c>
      <c r="G6" s="18">
        <v>850</v>
      </c>
      <c r="H6" s="18">
        <v>30</v>
      </c>
      <c r="I6" s="18">
        <v>820</v>
      </c>
      <c r="J6" s="17" t="s">
        <v>1655</v>
      </c>
      <c r="K6" s="17" t="s">
        <v>34</v>
      </c>
      <c r="L6" s="17" t="s">
        <v>1656</v>
      </c>
      <c r="M6" s="17"/>
      <c r="N6" s="17"/>
      <c r="O6" s="17"/>
      <c r="P6" s="17"/>
      <c r="Q6" s="17">
        <v>1</v>
      </c>
    </row>
    <row r="7" spans="1:18" s="19" customFormat="1" x14ac:dyDescent="0.25">
      <c r="A7" s="17"/>
      <c r="B7" s="17" t="s">
        <v>30</v>
      </c>
      <c r="C7" s="17" t="s">
        <v>831</v>
      </c>
      <c r="D7" s="17" t="s">
        <v>1666</v>
      </c>
      <c r="E7" s="17" t="s">
        <v>1513</v>
      </c>
      <c r="F7" s="17" t="s">
        <v>59</v>
      </c>
      <c r="G7" s="18">
        <v>915</v>
      </c>
      <c r="H7" s="18">
        <v>25</v>
      </c>
      <c r="I7" s="18">
        <v>890</v>
      </c>
      <c r="J7" s="17" t="s">
        <v>1655</v>
      </c>
      <c r="K7" s="17" t="s">
        <v>34</v>
      </c>
      <c r="L7" s="17" t="s">
        <v>1656</v>
      </c>
      <c r="M7" s="17"/>
      <c r="N7" s="17"/>
      <c r="O7" s="17"/>
      <c r="P7" s="17"/>
      <c r="Q7" s="17">
        <v>1</v>
      </c>
      <c r="R7" s="20"/>
    </row>
    <row r="8" spans="1:18" s="19" customFormat="1" x14ac:dyDescent="0.25">
      <c r="A8" s="17"/>
      <c r="B8" s="17" t="s">
        <v>30</v>
      </c>
      <c r="C8" s="17" t="s">
        <v>1667</v>
      </c>
      <c r="D8" s="17" t="s">
        <v>1668</v>
      </c>
      <c r="E8" s="17" t="s">
        <v>1669</v>
      </c>
      <c r="F8" s="18" t="s">
        <v>59</v>
      </c>
      <c r="G8" s="18">
        <v>1855</v>
      </c>
      <c r="H8" s="18">
        <v>25</v>
      </c>
      <c r="I8" s="18">
        <v>1830</v>
      </c>
      <c r="J8" s="17" t="s">
        <v>1655</v>
      </c>
      <c r="K8" s="17" t="s">
        <v>34</v>
      </c>
      <c r="L8" s="17" t="s">
        <v>1656</v>
      </c>
      <c r="M8" s="17"/>
      <c r="N8" s="17"/>
      <c r="O8" s="17"/>
      <c r="P8" s="17"/>
      <c r="Q8" s="17">
        <v>1</v>
      </c>
    </row>
    <row r="9" spans="1:18" s="19" customFormat="1" x14ac:dyDescent="0.25">
      <c r="A9" s="17"/>
      <c r="B9" s="17" t="s">
        <v>30</v>
      </c>
      <c r="C9" s="17" t="s">
        <v>1670</v>
      </c>
      <c r="D9" s="17" t="s">
        <v>1671</v>
      </c>
      <c r="E9" s="17" t="s">
        <v>1672</v>
      </c>
      <c r="F9" s="17" t="s">
        <v>59</v>
      </c>
      <c r="G9" s="18">
        <v>795</v>
      </c>
      <c r="H9" s="18">
        <v>25</v>
      </c>
      <c r="I9" s="18">
        <v>770</v>
      </c>
      <c r="J9" s="17" t="s">
        <v>1655</v>
      </c>
      <c r="K9" s="17" t="s">
        <v>34</v>
      </c>
      <c r="L9" s="17" t="s">
        <v>1656</v>
      </c>
      <c r="M9" s="17"/>
      <c r="N9" s="17"/>
      <c r="O9" s="17"/>
      <c r="P9" s="17"/>
      <c r="Q9" s="17">
        <v>1</v>
      </c>
    </row>
    <row r="10" spans="1:18" s="19" customFormat="1" x14ac:dyDescent="0.25">
      <c r="A10" s="17"/>
      <c r="B10" s="17" t="s">
        <v>30</v>
      </c>
      <c r="C10" s="17" t="s">
        <v>1673</v>
      </c>
      <c r="D10" s="17" t="s">
        <v>1674</v>
      </c>
      <c r="E10" s="17" t="s">
        <v>1675</v>
      </c>
      <c r="F10" s="17" t="s">
        <v>39</v>
      </c>
      <c r="G10" s="18">
        <v>1120</v>
      </c>
      <c r="H10" s="18">
        <v>30</v>
      </c>
      <c r="I10" s="18">
        <v>1090</v>
      </c>
      <c r="J10" s="17" t="s">
        <v>1655</v>
      </c>
      <c r="K10" s="17" t="s">
        <v>34</v>
      </c>
      <c r="L10" s="17" t="s">
        <v>1656</v>
      </c>
      <c r="M10" s="21"/>
      <c r="N10" s="17"/>
      <c r="O10" s="17"/>
      <c r="P10" s="17"/>
      <c r="Q10" s="17">
        <v>1</v>
      </c>
      <c r="R10" s="20"/>
    </row>
    <row r="11" spans="1:18" s="19" customFormat="1" x14ac:dyDescent="0.25">
      <c r="A11" s="17"/>
      <c r="B11" s="17" t="s">
        <v>30</v>
      </c>
      <c r="C11" s="17" t="s">
        <v>1676</v>
      </c>
      <c r="D11" s="17" t="s">
        <v>1677</v>
      </c>
      <c r="E11" s="17" t="s">
        <v>1678</v>
      </c>
      <c r="F11" s="18" t="s">
        <v>59</v>
      </c>
      <c r="G11" s="18">
        <v>0</v>
      </c>
      <c r="H11" s="18">
        <v>25</v>
      </c>
      <c r="I11" s="18">
        <v>-25</v>
      </c>
      <c r="J11" s="17" t="s">
        <v>1655</v>
      </c>
      <c r="K11" s="17" t="s">
        <v>34</v>
      </c>
      <c r="L11" s="17" t="s">
        <v>1656</v>
      </c>
      <c r="M11" s="17"/>
      <c r="N11" s="17"/>
      <c r="O11" s="17"/>
      <c r="P11" s="17"/>
      <c r="Q11" s="17">
        <v>1</v>
      </c>
      <c r="R11" s="20">
        <v>25</v>
      </c>
    </row>
    <row r="12" spans="1:18" s="19" customFormat="1" x14ac:dyDescent="0.25">
      <c r="A12" s="17"/>
      <c r="B12" s="17" t="s">
        <v>30</v>
      </c>
      <c r="C12" s="17" t="s">
        <v>1321</v>
      </c>
      <c r="D12" s="17" t="s">
        <v>1679</v>
      </c>
      <c r="E12" s="17" t="s">
        <v>1323</v>
      </c>
      <c r="F12" s="18" t="s">
        <v>1324</v>
      </c>
      <c r="G12" s="18">
        <v>775</v>
      </c>
      <c r="H12" s="18">
        <v>35</v>
      </c>
      <c r="I12" s="18">
        <v>740</v>
      </c>
      <c r="J12" s="17" t="s">
        <v>1655</v>
      </c>
      <c r="K12" s="17" t="s">
        <v>34</v>
      </c>
      <c r="L12" s="17" t="s">
        <v>1656</v>
      </c>
      <c r="M12" s="17"/>
      <c r="N12" s="17"/>
      <c r="O12" s="17"/>
      <c r="P12" s="17"/>
      <c r="Q12" s="17">
        <v>1</v>
      </c>
    </row>
    <row r="13" spans="1:18" s="19" customFormat="1" x14ac:dyDescent="0.25">
      <c r="A13" s="17"/>
      <c r="B13" s="17" t="s">
        <v>30</v>
      </c>
      <c r="C13" s="17" t="s">
        <v>1289</v>
      </c>
      <c r="D13" s="17" t="s">
        <v>1680</v>
      </c>
      <c r="E13" s="17" t="s">
        <v>1291</v>
      </c>
      <c r="F13" s="17" t="s">
        <v>39</v>
      </c>
      <c r="G13" s="18">
        <v>710</v>
      </c>
      <c r="H13" s="18">
        <v>30</v>
      </c>
      <c r="I13" s="18">
        <v>680</v>
      </c>
      <c r="J13" s="17" t="s">
        <v>1655</v>
      </c>
      <c r="K13" s="17" t="s">
        <v>34</v>
      </c>
      <c r="L13" s="17" t="s">
        <v>1656</v>
      </c>
      <c r="M13" s="17"/>
      <c r="N13" s="17"/>
      <c r="O13" s="17"/>
      <c r="P13" s="17"/>
      <c r="Q13" s="17">
        <v>1</v>
      </c>
    </row>
    <row r="14" spans="1:18" s="19" customFormat="1" x14ac:dyDescent="0.25">
      <c r="A14" s="17"/>
      <c r="B14" s="17" t="s">
        <v>30</v>
      </c>
      <c r="C14" s="17" t="s">
        <v>1681</v>
      </c>
      <c r="D14" s="17" t="s">
        <v>1682</v>
      </c>
      <c r="E14" s="17" t="s">
        <v>1683</v>
      </c>
      <c r="F14" s="17">
        <v>7</v>
      </c>
      <c r="G14" s="18">
        <v>520</v>
      </c>
      <c r="H14" s="18">
        <v>30</v>
      </c>
      <c r="I14" s="18">
        <v>490</v>
      </c>
      <c r="J14" s="17" t="s">
        <v>1655</v>
      </c>
      <c r="K14" s="17" t="s">
        <v>34</v>
      </c>
      <c r="L14" s="17" t="s">
        <v>1656</v>
      </c>
      <c r="M14" s="17"/>
      <c r="N14" s="17"/>
      <c r="O14" s="17"/>
      <c r="P14" s="17"/>
      <c r="Q14" s="17">
        <v>1</v>
      </c>
    </row>
    <row r="15" spans="1:18" s="19" customFormat="1" x14ac:dyDescent="0.25">
      <c r="A15" s="17"/>
      <c r="B15" s="17" t="s">
        <v>30</v>
      </c>
      <c r="C15" s="17" t="s">
        <v>1684</v>
      </c>
      <c r="D15" s="17" t="s">
        <v>1685</v>
      </c>
      <c r="E15" s="17" t="s">
        <v>1686</v>
      </c>
      <c r="F15" s="17">
        <v>8</v>
      </c>
      <c r="G15" s="18">
        <v>0</v>
      </c>
      <c r="H15" s="18">
        <v>30</v>
      </c>
      <c r="I15" s="18">
        <v>-30</v>
      </c>
      <c r="J15" s="17" t="s">
        <v>1655</v>
      </c>
      <c r="K15" s="17" t="s">
        <v>34</v>
      </c>
      <c r="L15" s="17" t="s">
        <v>1656</v>
      </c>
      <c r="M15" s="17"/>
      <c r="N15" s="17"/>
      <c r="O15" s="17"/>
      <c r="P15" s="17"/>
      <c r="Q15" s="17">
        <v>1</v>
      </c>
      <c r="R15" s="20">
        <v>30</v>
      </c>
    </row>
    <row r="16" spans="1:18" s="19" customFormat="1" x14ac:dyDescent="0.25">
      <c r="A16" s="17"/>
      <c r="B16" s="17" t="s">
        <v>30</v>
      </c>
      <c r="C16" s="17" t="s">
        <v>1687</v>
      </c>
      <c r="D16" s="17" t="s">
        <v>1688</v>
      </c>
      <c r="E16" s="17" t="s">
        <v>1689</v>
      </c>
      <c r="F16" s="17">
        <v>5</v>
      </c>
      <c r="G16" s="18">
        <v>0</v>
      </c>
      <c r="H16" s="18">
        <v>25</v>
      </c>
      <c r="I16" s="18">
        <v>-25</v>
      </c>
      <c r="J16" s="17" t="s">
        <v>1655</v>
      </c>
      <c r="K16" s="17" t="s">
        <v>34</v>
      </c>
      <c r="L16" s="17" t="s">
        <v>1656</v>
      </c>
      <c r="M16" s="17"/>
      <c r="N16" s="17"/>
      <c r="O16" s="17"/>
      <c r="P16" s="17"/>
      <c r="Q16" s="17">
        <v>1</v>
      </c>
      <c r="R16" s="20">
        <v>25</v>
      </c>
    </row>
    <row r="17" spans="1:18" s="19" customFormat="1" x14ac:dyDescent="0.25">
      <c r="A17" s="17"/>
      <c r="B17" s="17" t="s">
        <v>30</v>
      </c>
      <c r="C17" s="17" t="s">
        <v>1690</v>
      </c>
      <c r="D17" s="17" t="s">
        <v>1691</v>
      </c>
      <c r="E17" s="17" t="s">
        <v>1692</v>
      </c>
      <c r="F17" s="17">
        <v>9</v>
      </c>
      <c r="G17" s="18">
        <v>520</v>
      </c>
      <c r="H17" s="18">
        <v>30</v>
      </c>
      <c r="I17" s="18">
        <v>490</v>
      </c>
      <c r="J17" s="17" t="s">
        <v>1655</v>
      </c>
      <c r="K17" s="17" t="s">
        <v>34</v>
      </c>
      <c r="L17" s="17" t="s">
        <v>1656</v>
      </c>
      <c r="M17" s="17"/>
      <c r="N17" s="17"/>
      <c r="O17" s="17"/>
      <c r="P17" s="17"/>
      <c r="Q17" s="17">
        <v>1</v>
      </c>
      <c r="R17" s="20"/>
    </row>
    <row r="18" spans="1:18" s="19" customFormat="1" x14ac:dyDescent="0.25">
      <c r="A18" s="17"/>
      <c r="B18" s="17" t="s">
        <v>30</v>
      </c>
      <c r="C18" s="17" t="s">
        <v>1289</v>
      </c>
      <c r="D18" s="17" t="s">
        <v>1693</v>
      </c>
      <c r="E18" s="17" t="s">
        <v>1694</v>
      </c>
      <c r="F18" s="17">
        <v>7</v>
      </c>
      <c r="G18" s="18">
        <v>990</v>
      </c>
      <c r="H18" s="18">
        <v>30</v>
      </c>
      <c r="I18" s="18">
        <v>960</v>
      </c>
      <c r="J18" s="17" t="s">
        <v>1655</v>
      </c>
      <c r="K18" s="17" t="s">
        <v>34</v>
      </c>
      <c r="L18" s="17" t="s">
        <v>1656</v>
      </c>
      <c r="M18" s="17"/>
      <c r="N18" s="17"/>
      <c r="O18" s="17"/>
      <c r="P18" s="17"/>
      <c r="Q18" s="17">
        <v>1</v>
      </c>
    </row>
    <row r="19" spans="1:18" s="19" customFormat="1" x14ac:dyDescent="0.25">
      <c r="A19" s="17"/>
      <c r="B19" s="17" t="s">
        <v>30</v>
      </c>
      <c r="C19" s="17" t="s">
        <v>1695</v>
      </c>
      <c r="D19" s="17" t="s">
        <v>1696</v>
      </c>
      <c r="E19" s="17" t="s">
        <v>1697</v>
      </c>
      <c r="F19" s="17">
        <v>8</v>
      </c>
      <c r="G19" s="18">
        <v>1020</v>
      </c>
      <c r="H19" s="18">
        <v>30</v>
      </c>
      <c r="I19" s="18">
        <v>990</v>
      </c>
      <c r="J19" s="17" t="s">
        <v>1655</v>
      </c>
      <c r="K19" s="17" t="s">
        <v>34</v>
      </c>
      <c r="L19" s="17" t="s">
        <v>1656</v>
      </c>
      <c r="M19" s="17"/>
      <c r="N19" s="17"/>
      <c r="O19" s="17"/>
      <c r="P19" s="17"/>
      <c r="Q19" s="17">
        <v>1</v>
      </c>
      <c r="R19" s="20"/>
    </row>
    <row r="20" spans="1:18" s="19" customFormat="1" x14ac:dyDescent="0.25">
      <c r="A20" s="17"/>
      <c r="B20" s="17" t="s">
        <v>30</v>
      </c>
      <c r="C20" s="17" t="s">
        <v>1698</v>
      </c>
      <c r="D20" s="17" t="s">
        <v>1699</v>
      </c>
      <c r="E20" s="17" t="s">
        <v>1700</v>
      </c>
      <c r="F20" s="17" t="s">
        <v>39</v>
      </c>
      <c r="G20" s="18">
        <v>860</v>
      </c>
      <c r="H20" s="18">
        <v>30</v>
      </c>
      <c r="I20" s="18">
        <v>830</v>
      </c>
      <c r="J20" s="17" t="s">
        <v>1655</v>
      </c>
      <c r="K20" s="17" t="s">
        <v>34</v>
      </c>
      <c r="L20" s="17" t="s">
        <v>1656</v>
      </c>
      <c r="M20" s="17"/>
      <c r="N20" s="17"/>
      <c r="O20" s="17"/>
      <c r="P20" s="17"/>
      <c r="Q20" s="17">
        <v>1</v>
      </c>
    </row>
    <row r="21" spans="1:18" s="19" customFormat="1" x14ac:dyDescent="0.25">
      <c r="A21" s="17" t="s">
        <v>29</v>
      </c>
      <c r="B21" s="17" t="s">
        <v>30</v>
      </c>
      <c r="C21" s="17" t="s">
        <v>202</v>
      </c>
      <c r="D21" s="17"/>
      <c r="E21" s="17" t="s">
        <v>863</v>
      </c>
      <c r="F21" s="18">
        <v>5</v>
      </c>
      <c r="G21" s="18">
        <v>30</v>
      </c>
      <c r="H21" s="18">
        <v>30</v>
      </c>
      <c r="I21" s="18">
        <v>0</v>
      </c>
      <c r="J21" s="17" t="s">
        <v>1655</v>
      </c>
      <c r="K21" s="17" t="s">
        <v>34</v>
      </c>
      <c r="L21" s="17" t="s">
        <v>1656</v>
      </c>
      <c r="M21" s="17"/>
      <c r="N21" s="17"/>
      <c r="O21" s="17"/>
      <c r="P21" s="17"/>
      <c r="Q21" s="17">
        <v>1</v>
      </c>
    </row>
    <row r="22" spans="1:18" s="19" customFormat="1" x14ac:dyDescent="0.25">
      <c r="A22" s="17"/>
      <c r="B22" s="17" t="s">
        <v>30</v>
      </c>
      <c r="C22" s="17" t="s">
        <v>1701</v>
      </c>
      <c r="D22" s="17" t="s">
        <v>1702</v>
      </c>
      <c r="E22" s="17" t="s">
        <v>1703</v>
      </c>
      <c r="F22" s="18" t="s">
        <v>94</v>
      </c>
      <c r="G22" s="18">
        <v>1500</v>
      </c>
      <c r="H22" s="18">
        <v>30</v>
      </c>
      <c r="I22" s="18">
        <v>1470</v>
      </c>
      <c r="J22" s="17" t="s">
        <v>34</v>
      </c>
      <c r="K22" s="17" t="s">
        <v>34</v>
      </c>
      <c r="L22" s="17" t="s">
        <v>1656</v>
      </c>
      <c r="M22" s="17"/>
      <c r="N22" s="17"/>
      <c r="O22" s="17"/>
      <c r="P22" s="17"/>
      <c r="Q22" s="17">
        <v>1</v>
      </c>
    </row>
    <row r="23" spans="1:18" s="19" customFormat="1" x14ac:dyDescent="0.25">
      <c r="A23" s="17"/>
      <c r="B23" s="17" t="s">
        <v>30</v>
      </c>
      <c r="C23" s="17" t="s">
        <v>1704</v>
      </c>
      <c r="D23" s="17" t="s">
        <v>1705</v>
      </c>
      <c r="E23" s="17" t="s">
        <v>1706</v>
      </c>
      <c r="F23" s="18">
        <v>12</v>
      </c>
      <c r="G23" s="18">
        <v>0</v>
      </c>
      <c r="H23" s="18">
        <v>30</v>
      </c>
      <c r="I23" s="18">
        <v>-30</v>
      </c>
      <c r="J23" s="17" t="s">
        <v>34</v>
      </c>
      <c r="K23" s="17" t="s">
        <v>34</v>
      </c>
      <c r="L23" s="17" t="s">
        <v>1656</v>
      </c>
      <c r="M23" s="17"/>
      <c r="N23" s="17"/>
      <c r="O23" s="17"/>
      <c r="P23" s="17"/>
      <c r="Q23" s="17">
        <v>1</v>
      </c>
      <c r="R23" s="20">
        <v>30</v>
      </c>
    </row>
    <row r="24" spans="1:18" s="19" customFormat="1" x14ac:dyDescent="0.25">
      <c r="A24" s="17"/>
      <c r="B24" s="17" t="s">
        <v>30</v>
      </c>
      <c r="C24" s="17" t="s">
        <v>993</v>
      </c>
      <c r="D24" s="17" t="s">
        <v>1707</v>
      </c>
      <c r="E24" s="17" t="s">
        <v>995</v>
      </c>
      <c r="F24" s="18">
        <v>2</v>
      </c>
      <c r="G24" s="18">
        <v>720</v>
      </c>
      <c r="H24" s="18">
        <v>30</v>
      </c>
      <c r="I24" s="18">
        <v>690</v>
      </c>
      <c r="J24" s="17" t="s">
        <v>34</v>
      </c>
      <c r="K24" s="17" t="s">
        <v>34</v>
      </c>
      <c r="L24" s="17" t="s">
        <v>1656</v>
      </c>
      <c r="M24" s="17"/>
      <c r="N24" s="17"/>
      <c r="O24" s="17"/>
      <c r="P24" s="17"/>
      <c r="Q24" s="17">
        <v>1</v>
      </c>
    </row>
    <row r="25" spans="1:18" s="19" customFormat="1" x14ac:dyDescent="0.25">
      <c r="A25" s="17"/>
      <c r="B25" s="17" t="s">
        <v>30</v>
      </c>
      <c r="C25" s="17" t="s">
        <v>1708</v>
      </c>
      <c r="D25" s="17" t="s">
        <v>1709</v>
      </c>
      <c r="E25" s="17" t="s">
        <v>1710</v>
      </c>
      <c r="F25" s="17" t="s">
        <v>98</v>
      </c>
      <c r="G25" s="18">
        <v>510</v>
      </c>
      <c r="H25" s="18">
        <v>20</v>
      </c>
      <c r="I25" s="18">
        <v>490</v>
      </c>
      <c r="J25" s="17" t="s">
        <v>34</v>
      </c>
      <c r="K25" s="17" t="s">
        <v>34</v>
      </c>
      <c r="L25" s="17" t="s">
        <v>1656</v>
      </c>
      <c r="M25" s="17"/>
      <c r="N25" s="17"/>
      <c r="O25" s="17"/>
      <c r="P25" s="17"/>
      <c r="Q25" s="17">
        <v>1</v>
      </c>
      <c r="R25" s="20"/>
    </row>
    <row r="26" spans="1:18" s="19" customFormat="1" x14ac:dyDescent="0.25">
      <c r="A26" s="17"/>
      <c r="B26" s="17" t="s">
        <v>30</v>
      </c>
      <c r="C26" s="17" t="s">
        <v>1711</v>
      </c>
      <c r="D26" s="17" t="s">
        <v>1712</v>
      </c>
      <c r="E26" s="17" t="s">
        <v>1713</v>
      </c>
      <c r="F26" s="18" t="s">
        <v>90</v>
      </c>
      <c r="G26" s="18">
        <v>0</v>
      </c>
      <c r="H26" s="18">
        <v>25</v>
      </c>
      <c r="I26" s="18">
        <v>-25</v>
      </c>
      <c r="J26" s="17" t="s">
        <v>34</v>
      </c>
      <c r="K26" s="17" t="s">
        <v>34</v>
      </c>
      <c r="L26" s="17" t="s">
        <v>1656</v>
      </c>
      <c r="M26" s="17"/>
      <c r="N26" s="17"/>
      <c r="O26" s="17"/>
      <c r="P26" s="17"/>
      <c r="Q26" s="17">
        <v>1</v>
      </c>
      <c r="R26" s="19">
        <v>25</v>
      </c>
    </row>
    <row r="27" spans="1:18" s="19" customFormat="1" x14ac:dyDescent="0.25">
      <c r="A27" s="17"/>
      <c r="B27" s="17" t="s">
        <v>30</v>
      </c>
      <c r="C27" s="17" t="s">
        <v>1714</v>
      </c>
      <c r="D27" s="17" t="s">
        <v>1715</v>
      </c>
      <c r="E27" s="17" t="s">
        <v>1716</v>
      </c>
      <c r="F27" s="17">
        <v>2</v>
      </c>
      <c r="G27" s="18">
        <v>850</v>
      </c>
      <c r="H27" s="18">
        <v>30</v>
      </c>
      <c r="I27" s="18">
        <v>820</v>
      </c>
      <c r="J27" s="17" t="s">
        <v>34</v>
      </c>
      <c r="K27" s="17" t="s">
        <v>34</v>
      </c>
      <c r="L27" s="17" t="s">
        <v>1656</v>
      </c>
      <c r="M27" s="17"/>
      <c r="N27" s="17"/>
      <c r="O27" s="17"/>
      <c r="P27" s="17"/>
      <c r="Q27" s="17">
        <v>1</v>
      </c>
    </row>
    <row r="28" spans="1:18" s="19" customFormat="1" x14ac:dyDescent="0.25">
      <c r="A28" s="17"/>
      <c r="B28" s="17" t="s">
        <v>30</v>
      </c>
      <c r="C28" s="17" t="s">
        <v>124</v>
      </c>
      <c r="D28" s="17" t="s">
        <v>1717</v>
      </c>
      <c r="E28" s="17" t="s">
        <v>1718</v>
      </c>
      <c r="F28" s="17" t="s">
        <v>94</v>
      </c>
      <c r="G28" s="18">
        <v>520</v>
      </c>
      <c r="H28" s="18">
        <v>30</v>
      </c>
      <c r="I28" s="18">
        <v>490</v>
      </c>
      <c r="J28" s="17" t="s">
        <v>34</v>
      </c>
      <c r="K28" s="17" t="s">
        <v>34</v>
      </c>
      <c r="L28" s="17" t="s">
        <v>1656</v>
      </c>
      <c r="M28" s="21"/>
      <c r="N28" s="17"/>
      <c r="O28" s="17"/>
      <c r="P28" s="17"/>
      <c r="Q28" s="17">
        <v>1</v>
      </c>
      <c r="R28" s="20"/>
    </row>
    <row r="29" spans="1:18" s="19" customFormat="1" x14ac:dyDescent="0.25">
      <c r="A29" s="17"/>
      <c r="B29" s="17" t="s">
        <v>30</v>
      </c>
      <c r="C29" s="17" t="s">
        <v>1719</v>
      </c>
      <c r="D29" s="17" t="s">
        <v>1720</v>
      </c>
      <c r="E29" s="17" t="s">
        <v>1721</v>
      </c>
      <c r="F29" s="18" t="s">
        <v>98</v>
      </c>
      <c r="G29" s="18">
        <v>800</v>
      </c>
      <c r="H29" s="18">
        <v>20</v>
      </c>
      <c r="I29" s="18">
        <v>780</v>
      </c>
      <c r="J29" s="17" t="s">
        <v>34</v>
      </c>
      <c r="K29" s="17" t="s">
        <v>34</v>
      </c>
      <c r="L29" s="17" t="s">
        <v>1656</v>
      </c>
      <c r="M29" s="17"/>
      <c r="N29" s="17"/>
      <c r="O29" s="17"/>
      <c r="P29" s="17"/>
      <c r="Q29" s="17">
        <v>1</v>
      </c>
      <c r="R29" s="20"/>
    </row>
    <row r="30" spans="1:18" s="19" customFormat="1" x14ac:dyDescent="0.25">
      <c r="A30" s="17"/>
      <c r="B30" s="17" t="s">
        <v>30</v>
      </c>
      <c r="C30" s="17" t="s">
        <v>1722</v>
      </c>
      <c r="D30" s="17" t="s">
        <v>1723</v>
      </c>
      <c r="E30" s="17" t="s">
        <v>678</v>
      </c>
      <c r="F30" s="18" t="s">
        <v>108</v>
      </c>
      <c r="G30" s="18">
        <v>0</v>
      </c>
      <c r="H30" s="18">
        <v>25</v>
      </c>
      <c r="I30" s="18">
        <v>-25</v>
      </c>
      <c r="J30" s="17" t="s">
        <v>34</v>
      </c>
      <c r="K30" s="17" t="s">
        <v>34</v>
      </c>
      <c r="L30" s="17" t="s">
        <v>1656</v>
      </c>
      <c r="M30" s="17"/>
      <c r="N30" s="17"/>
      <c r="O30" s="17"/>
      <c r="P30" s="17"/>
      <c r="Q30" s="17">
        <v>1</v>
      </c>
      <c r="R30" s="19">
        <v>25</v>
      </c>
    </row>
    <row r="31" spans="1:18" s="19" customFormat="1" x14ac:dyDescent="0.25">
      <c r="A31" s="17"/>
      <c r="B31" s="17" t="s">
        <v>30</v>
      </c>
      <c r="C31" s="17" t="s">
        <v>1724</v>
      </c>
      <c r="D31" s="17" t="s">
        <v>1725</v>
      </c>
      <c r="E31" s="17" t="s">
        <v>1726</v>
      </c>
      <c r="F31" s="17" t="s">
        <v>98</v>
      </c>
      <c r="G31" s="18">
        <v>850</v>
      </c>
      <c r="H31" s="18">
        <v>20</v>
      </c>
      <c r="I31" s="18">
        <v>830</v>
      </c>
      <c r="J31" s="17" t="s">
        <v>34</v>
      </c>
      <c r="K31" s="17" t="s">
        <v>34</v>
      </c>
      <c r="L31" s="17" t="s">
        <v>1656</v>
      </c>
      <c r="M31" s="17"/>
      <c r="N31" s="17"/>
      <c r="O31" s="17"/>
      <c r="P31" s="17"/>
      <c r="Q31" s="17">
        <v>1</v>
      </c>
    </row>
    <row r="32" spans="1:18" s="19" customFormat="1" x14ac:dyDescent="0.25">
      <c r="A32" s="17"/>
      <c r="B32" s="17" t="s">
        <v>30</v>
      </c>
      <c r="C32" s="17" t="s">
        <v>1727</v>
      </c>
      <c r="D32" s="17" t="s">
        <v>1728</v>
      </c>
      <c r="E32" s="17" t="s">
        <v>1729</v>
      </c>
      <c r="F32" s="17" t="s">
        <v>108</v>
      </c>
      <c r="G32" s="18">
        <v>0</v>
      </c>
      <c r="H32" s="18">
        <v>25</v>
      </c>
      <c r="I32" s="18">
        <v>-25</v>
      </c>
      <c r="J32" s="17" t="s">
        <v>34</v>
      </c>
      <c r="K32" s="17" t="s">
        <v>34</v>
      </c>
      <c r="L32" s="17" t="s">
        <v>1656</v>
      </c>
      <c r="M32" s="17"/>
      <c r="N32" s="17"/>
      <c r="O32" s="17"/>
      <c r="P32" s="17"/>
      <c r="Q32" s="17">
        <v>1</v>
      </c>
      <c r="R32" s="19">
        <v>25</v>
      </c>
    </row>
    <row r="33" spans="1:18" s="19" customFormat="1" x14ac:dyDescent="0.25">
      <c r="A33" s="17" t="s">
        <v>29</v>
      </c>
      <c r="B33" s="17" t="s">
        <v>30</v>
      </c>
      <c r="C33" s="17" t="s">
        <v>248</v>
      </c>
      <c r="D33" s="17"/>
      <c r="E33" s="17" t="s">
        <v>249</v>
      </c>
      <c r="F33" s="17" t="s">
        <v>90</v>
      </c>
      <c r="G33" s="18">
        <v>0</v>
      </c>
      <c r="H33" s="18">
        <v>40</v>
      </c>
      <c r="I33" s="18">
        <v>-40</v>
      </c>
      <c r="J33" s="17" t="s">
        <v>34</v>
      </c>
      <c r="K33" s="17" t="s">
        <v>34</v>
      </c>
      <c r="L33" s="17" t="s">
        <v>1656</v>
      </c>
      <c r="M33" s="17"/>
      <c r="N33" s="17"/>
      <c r="O33" s="17"/>
      <c r="P33" s="17"/>
      <c r="Q33" s="17">
        <v>1</v>
      </c>
      <c r="R33" s="20">
        <v>40</v>
      </c>
    </row>
    <row r="34" spans="1:18" s="19" customFormat="1" x14ac:dyDescent="0.25">
      <c r="A34" s="17" t="s">
        <v>29</v>
      </c>
      <c r="B34" s="17" t="s">
        <v>30</v>
      </c>
      <c r="C34" s="17" t="s">
        <v>1730</v>
      </c>
      <c r="D34" s="17"/>
      <c r="E34" s="17" t="s">
        <v>1731</v>
      </c>
      <c r="F34" s="18" t="s">
        <v>94</v>
      </c>
      <c r="G34" s="18">
        <v>0</v>
      </c>
      <c r="H34" s="18">
        <v>30</v>
      </c>
      <c r="I34" s="18">
        <v>-30</v>
      </c>
      <c r="J34" s="17" t="s">
        <v>34</v>
      </c>
      <c r="K34" s="17" t="s">
        <v>34</v>
      </c>
      <c r="L34" s="17" t="s">
        <v>1656</v>
      </c>
      <c r="M34" s="17"/>
      <c r="N34" s="17"/>
      <c r="O34" s="17"/>
      <c r="P34" s="17"/>
      <c r="Q34" s="17">
        <v>1</v>
      </c>
      <c r="R34" s="19">
        <v>30</v>
      </c>
    </row>
    <row r="35" spans="1:18" s="19" customFormat="1" x14ac:dyDescent="0.25">
      <c r="A35" s="17"/>
      <c r="B35" s="17" t="s">
        <v>30</v>
      </c>
      <c r="C35" s="17" t="s">
        <v>1732</v>
      </c>
      <c r="D35" s="17" t="s">
        <v>1733</v>
      </c>
      <c r="E35" s="17" t="s">
        <v>1734</v>
      </c>
      <c r="F35" s="18" t="s">
        <v>108</v>
      </c>
      <c r="G35" s="18">
        <v>4400</v>
      </c>
      <c r="H35" s="18">
        <v>35</v>
      </c>
      <c r="I35" s="18">
        <v>4365</v>
      </c>
      <c r="J35" s="17" t="s">
        <v>148</v>
      </c>
      <c r="K35" s="17" t="s">
        <v>34</v>
      </c>
      <c r="L35" s="17" t="s">
        <v>1656</v>
      </c>
      <c r="M35" s="17" t="s">
        <v>180</v>
      </c>
      <c r="N35" s="17"/>
      <c r="O35" s="17"/>
      <c r="P35" s="17"/>
      <c r="Q35" s="17">
        <v>1</v>
      </c>
      <c r="R35" s="19">
        <v>35</v>
      </c>
    </row>
    <row r="36" spans="1:18" s="19" customFormat="1" x14ac:dyDescent="0.25">
      <c r="A36" s="17"/>
      <c r="B36" s="17" t="s">
        <v>30</v>
      </c>
      <c r="C36" s="17" t="s">
        <v>1735</v>
      </c>
      <c r="D36" s="17" t="s">
        <v>1736</v>
      </c>
      <c r="E36" s="17" t="s">
        <v>1737</v>
      </c>
      <c r="F36" s="18">
        <v>10</v>
      </c>
      <c r="G36" s="18">
        <v>515</v>
      </c>
      <c r="H36" s="18">
        <v>25</v>
      </c>
      <c r="I36" s="18">
        <v>490</v>
      </c>
      <c r="J36" s="17" t="s">
        <v>148</v>
      </c>
      <c r="K36" s="17" t="s">
        <v>34</v>
      </c>
      <c r="L36" s="17" t="s">
        <v>1656</v>
      </c>
      <c r="M36" s="17"/>
      <c r="N36" s="17"/>
      <c r="O36" s="17"/>
      <c r="P36" s="17"/>
      <c r="Q36" s="17">
        <v>1</v>
      </c>
      <c r="R36" s="20"/>
    </row>
    <row r="37" spans="1:18" s="19" customFormat="1" x14ac:dyDescent="0.25">
      <c r="A37" s="17"/>
      <c r="B37" s="17" t="s">
        <v>30</v>
      </c>
      <c r="C37" s="17" t="s">
        <v>1738</v>
      </c>
      <c r="D37" s="17" t="s">
        <v>1739</v>
      </c>
      <c r="E37" s="17" t="s">
        <v>1740</v>
      </c>
      <c r="F37" s="18">
        <v>5</v>
      </c>
      <c r="G37" s="18">
        <v>895</v>
      </c>
      <c r="H37" s="18">
        <v>25</v>
      </c>
      <c r="I37" s="18">
        <v>870</v>
      </c>
      <c r="J37" s="17" t="s">
        <v>148</v>
      </c>
      <c r="K37" s="17" t="s">
        <v>34</v>
      </c>
      <c r="L37" s="17" t="s">
        <v>1656</v>
      </c>
      <c r="M37" s="17"/>
      <c r="N37" s="17"/>
      <c r="O37" s="17"/>
      <c r="P37" s="17"/>
      <c r="Q37" s="17">
        <v>1</v>
      </c>
    </row>
    <row r="38" spans="1:18" s="19" customFormat="1" x14ac:dyDescent="0.25">
      <c r="A38" s="17"/>
      <c r="B38" s="17" t="s">
        <v>30</v>
      </c>
      <c r="C38" s="17" t="s">
        <v>1223</v>
      </c>
      <c r="D38" s="17" t="s">
        <v>1741</v>
      </c>
      <c r="E38" s="17" t="s">
        <v>1225</v>
      </c>
      <c r="F38" s="17" t="s">
        <v>389</v>
      </c>
      <c r="G38" s="18">
        <v>710</v>
      </c>
      <c r="H38" s="18">
        <v>20</v>
      </c>
      <c r="I38" s="18">
        <v>690</v>
      </c>
      <c r="J38" s="17" t="s">
        <v>148</v>
      </c>
      <c r="K38" s="17" t="s">
        <v>34</v>
      </c>
      <c r="L38" s="17" t="s">
        <v>1656</v>
      </c>
      <c r="M38" s="17"/>
      <c r="N38" s="17"/>
      <c r="O38" s="17"/>
      <c r="P38" s="17"/>
      <c r="Q38" s="17">
        <v>1</v>
      </c>
    </row>
    <row r="39" spans="1:18" s="19" customFormat="1" x14ac:dyDescent="0.25">
      <c r="A39" s="17"/>
      <c r="B39" s="17" t="s">
        <v>30</v>
      </c>
      <c r="C39" s="17" t="s">
        <v>1742</v>
      </c>
      <c r="D39" s="17" t="s">
        <v>1743</v>
      </c>
      <c r="E39" s="17" t="s">
        <v>1744</v>
      </c>
      <c r="F39" s="17">
        <v>3</v>
      </c>
      <c r="G39" s="18">
        <v>515</v>
      </c>
      <c r="H39" s="18">
        <v>25</v>
      </c>
      <c r="I39" s="18">
        <v>490</v>
      </c>
      <c r="J39" s="17" t="s">
        <v>148</v>
      </c>
      <c r="K39" s="17" t="s">
        <v>34</v>
      </c>
      <c r="L39" s="17" t="s">
        <v>1656</v>
      </c>
      <c r="M39" s="17"/>
      <c r="N39" s="17"/>
      <c r="O39" s="17"/>
      <c r="P39" s="17"/>
      <c r="Q39" s="17">
        <v>1</v>
      </c>
      <c r="R39" s="20"/>
    </row>
    <row r="40" spans="1:18" s="19" customFormat="1" x14ac:dyDescent="0.25">
      <c r="A40" s="17"/>
      <c r="B40" s="17" t="s">
        <v>30</v>
      </c>
      <c r="C40" s="17" t="s">
        <v>1745</v>
      </c>
      <c r="D40" s="17" t="s">
        <v>1746</v>
      </c>
      <c r="E40" s="17" t="s">
        <v>1747</v>
      </c>
      <c r="F40" s="17">
        <v>1</v>
      </c>
      <c r="G40" s="18">
        <v>0</v>
      </c>
      <c r="H40" s="18">
        <v>25</v>
      </c>
      <c r="I40" s="18">
        <v>-25</v>
      </c>
      <c r="J40" s="17" t="s">
        <v>148</v>
      </c>
      <c r="K40" s="17" t="s">
        <v>34</v>
      </c>
      <c r="L40" s="17" t="s">
        <v>1656</v>
      </c>
      <c r="M40" s="17"/>
      <c r="N40" s="17"/>
      <c r="O40" s="17"/>
      <c r="P40" s="17"/>
      <c r="Q40" s="17">
        <v>1</v>
      </c>
      <c r="R40" s="19">
        <v>25</v>
      </c>
    </row>
    <row r="41" spans="1:18" s="19" customFormat="1" x14ac:dyDescent="0.25">
      <c r="A41" s="17"/>
      <c r="B41" s="17" t="s">
        <v>30</v>
      </c>
      <c r="C41" s="17" t="s">
        <v>1748</v>
      </c>
      <c r="D41" s="17" t="s">
        <v>1749</v>
      </c>
      <c r="E41" s="17" t="s">
        <v>1750</v>
      </c>
      <c r="F41" s="18">
        <v>1</v>
      </c>
      <c r="G41" s="18">
        <v>915</v>
      </c>
      <c r="H41" s="18">
        <v>25</v>
      </c>
      <c r="I41" s="18">
        <v>890</v>
      </c>
      <c r="J41" s="17" t="s">
        <v>148</v>
      </c>
      <c r="K41" s="17" t="s">
        <v>34</v>
      </c>
      <c r="L41" s="17" t="s">
        <v>1656</v>
      </c>
      <c r="M41" s="17"/>
      <c r="N41" s="17"/>
      <c r="O41" s="17"/>
      <c r="P41" s="17"/>
      <c r="Q41" s="17">
        <v>1</v>
      </c>
    </row>
    <row r="42" spans="1:18" s="19" customFormat="1" x14ac:dyDescent="0.25">
      <c r="A42" s="17" t="s">
        <v>29</v>
      </c>
      <c r="B42" s="17" t="s">
        <v>30</v>
      </c>
      <c r="C42" s="17" t="s">
        <v>1751</v>
      </c>
      <c r="D42" s="17"/>
      <c r="E42" s="17" t="s">
        <v>1752</v>
      </c>
      <c r="F42" s="18">
        <v>5</v>
      </c>
      <c r="G42" s="18">
        <v>30</v>
      </c>
      <c r="H42" s="18">
        <v>30</v>
      </c>
      <c r="I42" s="18">
        <v>0</v>
      </c>
      <c r="J42" s="17" t="s">
        <v>148</v>
      </c>
      <c r="K42" s="17" t="s">
        <v>34</v>
      </c>
      <c r="L42" s="17" t="s">
        <v>1656</v>
      </c>
      <c r="M42" s="17"/>
      <c r="N42" s="17"/>
      <c r="O42" s="17"/>
      <c r="P42" s="17"/>
      <c r="Q42" s="17">
        <v>1</v>
      </c>
    </row>
    <row r="44" spans="1:18" x14ac:dyDescent="0.25">
      <c r="G44" s="1">
        <f t="shared" ref="G44:R44" si="0">SUBTOTAL(9,G3:G43)</f>
        <v>26010</v>
      </c>
      <c r="H44" s="1">
        <f t="shared" si="0"/>
        <v>1110</v>
      </c>
      <c r="I44" s="1">
        <f t="shared" si="0"/>
        <v>24900</v>
      </c>
      <c r="J44" s="1">
        <f t="shared" si="0"/>
        <v>0</v>
      </c>
      <c r="K44" s="1">
        <f t="shared" si="0"/>
        <v>0</v>
      </c>
      <c r="L44" s="1">
        <f t="shared" si="0"/>
        <v>0</v>
      </c>
      <c r="M44" s="1">
        <f t="shared" si="0"/>
        <v>0</v>
      </c>
      <c r="N44" s="1">
        <f t="shared" si="0"/>
        <v>0</v>
      </c>
      <c r="O44" s="1">
        <f t="shared" si="0"/>
        <v>0</v>
      </c>
      <c r="P44" s="1">
        <f t="shared" si="0"/>
        <v>0</v>
      </c>
      <c r="Q44" s="1">
        <f t="shared" si="0"/>
        <v>40</v>
      </c>
      <c r="R44" s="1">
        <f t="shared" si="0"/>
        <v>340</v>
      </c>
    </row>
    <row r="45" spans="1:18" x14ac:dyDescent="0.25">
      <c r="I45" s="1">
        <v>-780</v>
      </c>
      <c r="J45" s="1" t="s">
        <v>1755</v>
      </c>
    </row>
    <row r="46" spans="1:18" x14ac:dyDescent="0.25">
      <c r="I46" s="1">
        <v>-375</v>
      </c>
      <c r="J46" s="1" t="s">
        <v>622</v>
      </c>
    </row>
    <row r="48" spans="1:18" ht="20.25" customHeight="1" x14ac:dyDescent="0.3">
      <c r="H48" s="4" t="s">
        <v>1575</v>
      </c>
      <c r="I48" s="5" t="s">
        <v>15</v>
      </c>
      <c r="J48" s="6" t="s">
        <v>16</v>
      </c>
    </row>
    <row r="49" spans="1:12" ht="15.75" customHeight="1" x14ac:dyDescent="0.25">
      <c r="H49" s="7" t="s">
        <v>17</v>
      </c>
      <c r="I49" s="8">
        <f>SUM(I43:I47)</f>
        <v>23745</v>
      </c>
      <c r="J49" s="8">
        <f>Q44</f>
        <v>40</v>
      </c>
    </row>
    <row r="50" spans="1:12" x14ac:dyDescent="0.25">
      <c r="H50" s="9" t="s">
        <v>18</v>
      </c>
      <c r="I50" s="10">
        <f>R44</f>
        <v>340</v>
      </c>
      <c r="J50" s="11"/>
    </row>
    <row r="51" spans="1:12" x14ac:dyDescent="0.25">
      <c r="H51" s="9" t="s">
        <v>19</v>
      </c>
      <c r="I51" s="10">
        <f>S43</f>
        <v>0</v>
      </c>
      <c r="J51" s="11"/>
    </row>
    <row r="52" spans="1:12" x14ac:dyDescent="0.25">
      <c r="H52" s="9" t="s">
        <v>20</v>
      </c>
      <c r="I52" s="10">
        <f>T43</f>
        <v>0</v>
      </c>
      <c r="J52" s="11"/>
    </row>
    <row r="53" spans="1:12" x14ac:dyDescent="0.25">
      <c r="H53" s="9" t="s">
        <v>21</v>
      </c>
      <c r="I53" s="10">
        <f>U43</f>
        <v>0</v>
      </c>
      <c r="J53" s="11"/>
    </row>
    <row r="54" spans="1:12" ht="15.75" customHeight="1" x14ac:dyDescent="0.25">
      <c r="H54" s="12" t="s">
        <v>22</v>
      </c>
      <c r="I54" s="13"/>
      <c r="J54" s="13"/>
    </row>
    <row r="55" spans="1:12" ht="15.75" customHeight="1" x14ac:dyDescent="0.25">
      <c r="H55" s="14" t="s">
        <v>23</v>
      </c>
      <c r="I55" s="13"/>
      <c r="J55" s="13"/>
    </row>
    <row r="56" spans="1:12" ht="21" customHeight="1" x14ac:dyDescent="0.35">
      <c r="H56" s="15" t="s">
        <v>24</v>
      </c>
      <c r="I56" s="16">
        <f>SUM(I49:I55)</f>
        <v>24085</v>
      </c>
      <c r="J56" s="16">
        <f>SUM(J49:J53)</f>
        <v>40</v>
      </c>
    </row>
    <row r="58" spans="1:12" ht="15.75" customHeight="1" x14ac:dyDescent="0.25">
      <c r="A58" s="1" t="s">
        <v>622</v>
      </c>
    </row>
    <row r="59" spans="1:12" x14ac:dyDescent="0.25">
      <c r="A59" s="53" t="s">
        <v>30</v>
      </c>
      <c r="B59" s="53" t="s">
        <v>1757</v>
      </c>
      <c r="C59" s="53" t="s">
        <v>1596</v>
      </c>
      <c r="D59" s="53" t="s">
        <v>1597</v>
      </c>
      <c r="E59" s="54" t="s">
        <v>59</v>
      </c>
      <c r="F59" s="54">
        <v>375</v>
      </c>
      <c r="G59" s="54">
        <v>0</v>
      </c>
      <c r="H59" s="54">
        <f t="shared" ref="H59" si="1">F59-G59</f>
        <v>375</v>
      </c>
      <c r="I59" s="53" t="s">
        <v>623</v>
      </c>
      <c r="J59" s="53" t="s">
        <v>34</v>
      </c>
      <c r="K59" s="53" t="s">
        <v>1577</v>
      </c>
      <c r="L59" s="28" t="s">
        <v>1756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6B791-68C0-44F7-B9D9-C785498B1639}">
  <dimension ref="A1:R45"/>
  <sheetViews>
    <sheetView topLeftCell="A18" zoomScale="82" zoomScaleNormal="80" workbookViewId="0">
      <selection activeCell="J31" sqref="J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1753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1285</v>
      </c>
      <c r="D3" s="22" t="s">
        <v>1760</v>
      </c>
      <c r="E3" s="22" t="s">
        <v>1287</v>
      </c>
      <c r="F3" s="22" t="s">
        <v>147</v>
      </c>
      <c r="G3" s="23">
        <v>855</v>
      </c>
      <c r="H3" s="23">
        <v>35</v>
      </c>
      <c r="I3" s="23">
        <f t="shared" ref="I3:I28" si="0">G3-H3</f>
        <v>820</v>
      </c>
      <c r="J3" s="22" t="s">
        <v>1761</v>
      </c>
      <c r="K3" s="22" t="s">
        <v>34</v>
      </c>
      <c r="L3" s="22" t="s">
        <v>1762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1763</v>
      </c>
      <c r="D4" s="22" t="s">
        <v>1764</v>
      </c>
      <c r="E4" s="22" t="s">
        <v>1765</v>
      </c>
      <c r="F4" s="22" t="s">
        <v>39</v>
      </c>
      <c r="G4" s="23">
        <v>400</v>
      </c>
      <c r="H4" s="23">
        <v>30</v>
      </c>
      <c r="I4" s="23">
        <f t="shared" si="0"/>
        <v>370</v>
      </c>
      <c r="J4" s="22" t="s">
        <v>1761</v>
      </c>
      <c r="K4" s="22" t="s">
        <v>34</v>
      </c>
      <c r="L4" s="22" t="s">
        <v>1762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1766</v>
      </c>
      <c r="D5" s="22" t="s">
        <v>1767</v>
      </c>
      <c r="E5" s="22" t="s">
        <v>1300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1761</v>
      </c>
      <c r="K5" s="22" t="s">
        <v>34</v>
      </c>
      <c r="L5" s="22" t="s">
        <v>1762</v>
      </c>
      <c r="M5" s="28" t="s">
        <v>1768</v>
      </c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1769</v>
      </c>
      <c r="D6" s="22" t="s">
        <v>1770</v>
      </c>
      <c r="E6" s="22" t="s">
        <v>1771</v>
      </c>
      <c r="F6" s="23">
        <v>12</v>
      </c>
      <c r="G6" s="23">
        <v>0</v>
      </c>
      <c r="H6" s="23">
        <v>30</v>
      </c>
      <c r="I6" s="23">
        <f t="shared" si="0"/>
        <v>-30</v>
      </c>
      <c r="J6" s="22" t="s">
        <v>1761</v>
      </c>
      <c r="K6" s="22" t="s">
        <v>34</v>
      </c>
      <c r="L6" s="22" t="s">
        <v>1762</v>
      </c>
      <c r="M6" s="22"/>
      <c r="N6" s="22"/>
      <c r="O6" s="22"/>
      <c r="P6" s="22"/>
      <c r="Q6" s="22">
        <v>1</v>
      </c>
      <c r="R6" s="24">
        <f>H6</f>
        <v>30</v>
      </c>
    </row>
    <row r="7" spans="1:18" s="27" customFormat="1" x14ac:dyDescent="0.25">
      <c r="A7" s="25"/>
      <c r="B7" s="25" t="s">
        <v>30</v>
      </c>
      <c r="C7" s="25" t="s">
        <v>1603</v>
      </c>
      <c r="D7" s="25" t="s">
        <v>1772</v>
      </c>
      <c r="E7" s="25" t="s">
        <v>1605</v>
      </c>
      <c r="F7" s="26">
        <v>12</v>
      </c>
      <c r="G7" s="26">
        <v>330</v>
      </c>
      <c r="H7" s="26">
        <v>30</v>
      </c>
      <c r="I7" s="26">
        <f t="shared" si="0"/>
        <v>300</v>
      </c>
      <c r="J7" s="25" t="s">
        <v>1761</v>
      </c>
      <c r="K7" s="25" t="s">
        <v>34</v>
      </c>
      <c r="L7" s="25" t="s">
        <v>1762</v>
      </c>
      <c r="M7" s="25" t="s">
        <v>139</v>
      </c>
      <c r="N7" s="25"/>
      <c r="O7" s="25"/>
      <c r="P7" s="25"/>
      <c r="Q7" s="25">
        <v>1</v>
      </c>
    </row>
    <row r="8" spans="1:18" customFormat="1" x14ac:dyDescent="0.25">
      <c r="A8" s="22"/>
      <c r="B8" s="22" t="s">
        <v>30</v>
      </c>
      <c r="C8" s="22" t="s">
        <v>1773</v>
      </c>
      <c r="D8" s="22" t="s">
        <v>1774</v>
      </c>
      <c r="E8" s="22" t="s">
        <v>1775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1761</v>
      </c>
      <c r="K8" s="22" t="s">
        <v>34</v>
      </c>
      <c r="L8" s="22" t="s">
        <v>1762</v>
      </c>
      <c r="M8" s="22"/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1776</v>
      </c>
      <c r="D9" s="22" t="s">
        <v>1777</v>
      </c>
      <c r="E9" s="22" t="s">
        <v>824</v>
      </c>
      <c r="F9" s="22" t="s">
        <v>39</v>
      </c>
      <c r="G9" s="23">
        <v>860</v>
      </c>
      <c r="H9" s="23">
        <v>30</v>
      </c>
      <c r="I9" s="23">
        <f t="shared" si="0"/>
        <v>830</v>
      </c>
      <c r="J9" s="22" t="s">
        <v>1761</v>
      </c>
      <c r="K9" s="22" t="s">
        <v>34</v>
      </c>
      <c r="L9" s="22" t="s">
        <v>1762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1778</v>
      </c>
      <c r="D10" s="22" t="s">
        <v>1779</v>
      </c>
      <c r="E10" s="22" t="s">
        <v>1780</v>
      </c>
      <c r="F10" s="23">
        <v>8</v>
      </c>
      <c r="G10" s="23">
        <v>690</v>
      </c>
      <c r="H10" s="23">
        <v>30</v>
      </c>
      <c r="I10" s="23">
        <f t="shared" si="0"/>
        <v>660</v>
      </c>
      <c r="J10" s="22" t="s">
        <v>1761</v>
      </c>
      <c r="K10" s="22" t="s">
        <v>34</v>
      </c>
      <c r="L10" s="22" t="s">
        <v>1762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1781</v>
      </c>
      <c r="D11" s="22" t="s">
        <v>1782</v>
      </c>
      <c r="E11" s="22" t="s">
        <v>1783</v>
      </c>
      <c r="F11" s="23">
        <v>7</v>
      </c>
      <c r="G11" s="23">
        <v>920</v>
      </c>
      <c r="H11" s="23">
        <v>30</v>
      </c>
      <c r="I11" s="23">
        <f t="shared" si="0"/>
        <v>890</v>
      </c>
      <c r="J11" s="22" t="s">
        <v>1761</v>
      </c>
      <c r="K11" s="22" t="s">
        <v>34</v>
      </c>
      <c r="L11" s="22" t="s">
        <v>1762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1784</v>
      </c>
      <c r="D12" s="22" t="s">
        <v>744</v>
      </c>
      <c r="E12" s="22" t="s">
        <v>1785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1761</v>
      </c>
      <c r="K12" s="22" t="s">
        <v>34</v>
      </c>
      <c r="L12" s="22" t="s">
        <v>1762</v>
      </c>
      <c r="M12" s="28" t="s">
        <v>360</v>
      </c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1784</v>
      </c>
      <c r="D13" s="22" t="s">
        <v>1786</v>
      </c>
      <c r="E13" s="22" t="s">
        <v>1785</v>
      </c>
      <c r="F13" s="22" t="s">
        <v>39</v>
      </c>
      <c r="G13" s="23">
        <v>660</v>
      </c>
      <c r="H13" s="23">
        <v>0</v>
      </c>
      <c r="I13" s="23">
        <f t="shared" si="0"/>
        <v>660</v>
      </c>
      <c r="J13" s="22" t="s">
        <v>1761</v>
      </c>
      <c r="K13" s="22" t="s">
        <v>34</v>
      </c>
      <c r="L13" s="22" t="s">
        <v>1762</v>
      </c>
      <c r="M13" s="28" t="s">
        <v>360</v>
      </c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1787</v>
      </c>
      <c r="D14" s="22" t="s">
        <v>1788</v>
      </c>
      <c r="E14" s="22" t="s">
        <v>1789</v>
      </c>
      <c r="F14" s="22" t="s">
        <v>39</v>
      </c>
      <c r="G14" s="23">
        <v>510</v>
      </c>
      <c r="H14" s="23">
        <v>30</v>
      </c>
      <c r="I14" s="23">
        <f t="shared" si="0"/>
        <v>480</v>
      </c>
      <c r="J14" s="22" t="s">
        <v>1761</v>
      </c>
      <c r="K14" s="22" t="s">
        <v>34</v>
      </c>
      <c r="L14" s="22" t="s">
        <v>1762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1790</v>
      </c>
      <c r="D15" s="22" t="s">
        <v>1791</v>
      </c>
      <c r="E15" s="22" t="s">
        <v>1792</v>
      </c>
      <c r="F15" s="22" t="s">
        <v>59</v>
      </c>
      <c r="G15" s="23">
        <v>915</v>
      </c>
      <c r="H15" s="23">
        <v>25</v>
      </c>
      <c r="I15" s="23">
        <f t="shared" si="0"/>
        <v>890</v>
      </c>
      <c r="J15" s="22" t="s">
        <v>1761</v>
      </c>
      <c r="K15" s="22" t="s">
        <v>34</v>
      </c>
      <c r="L15" s="22" t="s">
        <v>1762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889</v>
      </c>
      <c r="D16" s="22" t="s">
        <v>1793</v>
      </c>
      <c r="E16" s="22" t="s">
        <v>1794</v>
      </c>
      <c r="F16" s="22" t="s">
        <v>39</v>
      </c>
      <c r="G16" s="23">
        <v>850</v>
      </c>
      <c r="H16" s="23">
        <v>30</v>
      </c>
      <c r="I16" s="23">
        <f t="shared" si="0"/>
        <v>820</v>
      </c>
      <c r="J16" s="22" t="s">
        <v>1761</v>
      </c>
      <c r="K16" s="22" t="s">
        <v>34</v>
      </c>
      <c r="L16" s="22" t="s">
        <v>1762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1795</v>
      </c>
      <c r="D17" s="22" t="s">
        <v>1796</v>
      </c>
      <c r="E17" s="22" t="s">
        <v>1797</v>
      </c>
      <c r="F17" s="23">
        <v>11</v>
      </c>
      <c r="G17" s="23">
        <v>865</v>
      </c>
      <c r="H17" s="23">
        <v>25</v>
      </c>
      <c r="I17" s="23">
        <f t="shared" si="0"/>
        <v>840</v>
      </c>
      <c r="J17" s="22" t="s">
        <v>1761</v>
      </c>
      <c r="K17" s="22" t="s">
        <v>34</v>
      </c>
      <c r="L17" s="22" t="s">
        <v>1762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579</v>
      </c>
      <c r="D18" s="22" t="s">
        <v>1798</v>
      </c>
      <c r="E18" s="22" t="s">
        <v>581</v>
      </c>
      <c r="F18" s="22" t="s">
        <v>98</v>
      </c>
      <c r="G18" s="23">
        <v>910</v>
      </c>
      <c r="H18" s="23">
        <v>20</v>
      </c>
      <c r="I18" s="23">
        <f t="shared" si="0"/>
        <v>890</v>
      </c>
      <c r="J18" s="22" t="s">
        <v>34</v>
      </c>
      <c r="K18" s="22" t="s">
        <v>34</v>
      </c>
      <c r="L18" s="22" t="s">
        <v>1762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1799</v>
      </c>
      <c r="D19" s="22" t="s">
        <v>1800</v>
      </c>
      <c r="E19" s="22" t="s">
        <v>1801</v>
      </c>
      <c r="F19" s="22" t="s">
        <v>90</v>
      </c>
      <c r="G19" s="23">
        <v>1155</v>
      </c>
      <c r="H19" s="23">
        <v>25</v>
      </c>
      <c r="I19" s="23">
        <f t="shared" si="0"/>
        <v>1130</v>
      </c>
      <c r="J19" s="22" t="s">
        <v>34</v>
      </c>
      <c r="K19" s="22" t="s">
        <v>34</v>
      </c>
      <c r="L19" s="22" t="s">
        <v>1762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1802</v>
      </c>
      <c r="D20" s="22" t="s">
        <v>1803</v>
      </c>
      <c r="E20" s="22" t="s">
        <v>1804</v>
      </c>
      <c r="F20" s="22" t="s">
        <v>90</v>
      </c>
      <c r="G20" s="23">
        <v>915</v>
      </c>
      <c r="H20" s="23">
        <v>25</v>
      </c>
      <c r="I20" s="23">
        <f t="shared" si="0"/>
        <v>890</v>
      </c>
      <c r="J20" s="22" t="s">
        <v>34</v>
      </c>
      <c r="K20" s="22" t="s">
        <v>34</v>
      </c>
      <c r="L20" s="22" t="s">
        <v>1762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667</v>
      </c>
      <c r="D21" s="22" t="s">
        <v>1805</v>
      </c>
      <c r="E21" s="22" t="s">
        <v>669</v>
      </c>
      <c r="F21" s="22" t="s">
        <v>108</v>
      </c>
      <c r="G21" s="23">
        <v>2520</v>
      </c>
      <c r="H21" s="23">
        <v>30</v>
      </c>
      <c r="I21" s="23">
        <f t="shared" si="0"/>
        <v>2490</v>
      </c>
      <c r="J21" s="22" t="s">
        <v>34</v>
      </c>
      <c r="K21" s="22" t="s">
        <v>34</v>
      </c>
      <c r="L21" s="22" t="s">
        <v>1762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1806</v>
      </c>
      <c r="D22" s="22" t="s">
        <v>1807</v>
      </c>
      <c r="E22" s="22" t="s">
        <v>1808</v>
      </c>
      <c r="F22" s="22" t="s">
        <v>108</v>
      </c>
      <c r="G22" s="23">
        <v>0</v>
      </c>
      <c r="H22" s="23">
        <v>25</v>
      </c>
      <c r="I22" s="23">
        <f t="shared" si="0"/>
        <v>-25</v>
      </c>
      <c r="J22" s="22" t="s">
        <v>34</v>
      </c>
      <c r="K22" s="22" t="s">
        <v>34</v>
      </c>
      <c r="L22" s="22" t="s">
        <v>1762</v>
      </c>
      <c r="M22" s="22"/>
      <c r="N22" s="22"/>
      <c r="O22" s="22"/>
      <c r="P22" s="22"/>
      <c r="Q22" s="22">
        <v>1</v>
      </c>
      <c r="R22" s="24">
        <f>H22</f>
        <v>25</v>
      </c>
    </row>
    <row r="23" spans="1:18" customFormat="1" x14ac:dyDescent="0.25">
      <c r="A23" s="22" t="s">
        <v>29</v>
      </c>
      <c r="B23" s="22" t="s">
        <v>30</v>
      </c>
      <c r="C23" s="22" t="s">
        <v>1809</v>
      </c>
      <c r="D23" s="22"/>
      <c r="E23" s="22" t="s">
        <v>1810</v>
      </c>
      <c r="F23" s="22" t="s">
        <v>108</v>
      </c>
      <c r="G23" s="23">
        <v>40</v>
      </c>
      <c r="H23" s="23">
        <v>40</v>
      </c>
      <c r="I23" s="23">
        <f t="shared" si="0"/>
        <v>0</v>
      </c>
      <c r="J23" s="22" t="s">
        <v>34</v>
      </c>
      <c r="K23" s="22" t="s">
        <v>34</v>
      </c>
      <c r="L23" s="22" t="s">
        <v>1762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1811</v>
      </c>
      <c r="D24" s="22" t="s">
        <v>1812</v>
      </c>
      <c r="E24" s="22" t="s">
        <v>1813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1762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1814</v>
      </c>
      <c r="D25" s="22" t="s">
        <v>1815</v>
      </c>
      <c r="E25" s="22" t="s">
        <v>1816</v>
      </c>
      <c r="F25" s="22" t="s">
        <v>108</v>
      </c>
      <c r="G25" s="23">
        <v>1595</v>
      </c>
      <c r="H25" s="23">
        <v>25</v>
      </c>
      <c r="I25" s="23">
        <f t="shared" si="0"/>
        <v>1570</v>
      </c>
      <c r="J25" s="22" t="s">
        <v>148</v>
      </c>
      <c r="K25" s="22" t="s">
        <v>34</v>
      </c>
      <c r="L25" s="22" t="s">
        <v>1762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1817</v>
      </c>
      <c r="D26" s="22" t="s">
        <v>1818</v>
      </c>
      <c r="E26" s="22" t="s">
        <v>1819</v>
      </c>
      <c r="F26" s="23">
        <v>10</v>
      </c>
      <c r="G26" s="23">
        <v>915</v>
      </c>
      <c r="H26" s="23">
        <v>25</v>
      </c>
      <c r="I26" s="23">
        <f t="shared" si="0"/>
        <v>890</v>
      </c>
      <c r="J26" s="22" t="s">
        <v>148</v>
      </c>
      <c r="K26" s="22" t="s">
        <v>34</v>
      </c>
      <c r="L26" s="22" t="s">
        <v>1762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1820</v>
      </c>
      <c r="D27" s="22" t="s">
        <v>1821</v>
      </c>
      <c r="E27" s="22" t="s">
        <v>1822</v>
      </c>
      <c r="F27" s="23">
        <v>10</v>
      </c>
      <c r="G27" s="23">
        <v>1225</v>
      </c>
      <c r="H27" s="23">
        <v>25</v>
      </c>
      <c r="I27" s="23">
        <f t="shared" si="0"/>
        <v>1200</v>
      </c>
      <c r="J27" s="22" t="s">
        <v>148</v>
      </c>
      <c r="K27" s="22" t="s">
        <v>34</v>
      </c>
      <c r="L27" s="22" t="s">
        <v>1762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1823</v>
      </c>
      <c r="D28" s="22" t="s">
        <v>1824</v>
      </c>
      <c r="E28" s="22" t="s">
        <v>379</v>
      </c>
      <c r="F28" s="23">
        <v>4</v>
      </c>
      <c r="G28" s="23">
        <v>855</v>
      </c>
      <c r="H28" s="23">
        <v>25</v>
      </c>
      <c r="I28" s="23">
        <f t="shared" si="0"/>
        <v>830</v>
      </c>
      <c r="J28" s="22" t="s">
        <v>148</v>
      </c>
      <c r="K28" s="22" t="s">
        <v>34</v>
      </c>
      <c r="L28" s="22" t="s">
        <v>1762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1">SUBTOTAL(9,G3:G29)</f>
        <v>18805</v>
      </c>
      <c r="H30" s="1">
        <f t="shared" si="1"/>
        <v>705</v>
      </c>
      <c r="I30" s="1">
        <f t="shared" si="1"/>
        <v>18100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  <c r="R30" s="1">
        <f t="shared" si="1"/>
        <v>140</v>
      </c>
    </row>
    <row r="31" spans="1:18" x14ac:dyDescent="0.25">
      <c r="I31" s="1">
        <v>-1585</v>
      </c>
      <c r="J31" s="1" t="s">
        <v>622</v>
      </c>
    </row>
    <row r="34" spans="1:12" ht="20.25" customHeight="1" x14ac:dyDescent="0.3">
      <c r="H34" s="4" t="s">
        <v>1754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16515</v>
      </c>
      <c r="J35" s="8">
        <f>Q30</f>
        <v>26</v>
      </c>
    </row>
    <row r="36" spans="1:12" x14ac:dyDescent="0.25">
      <c r="H36" s="9" t="s">
        <v>18</v>
      </c>
      <c r="I36" s="10">
        <f>R30</f>
        <v>140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16655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1766</v>
      </c>
      <c r="C45" s="36" t="s">
        <v>1767</v>
      </c>
      <c r="D45" s="36" t="s">
        <v>1300</v>
      </c>
      <c r="E45" s="36" t="s">
        <v>39</v>
      </c>
      <c r="F45" s="37">
        <v>1710</v>
      </c>
      <c r="G45" s="37">
        <v>0</v>
      </c>
      <c r="H45" s="37">
        <f t="shared" ref="H45" si="2">F45-G45</f>
        <v>1710</v>
      </c>
      <c r="I45" s="36" t="s">
        <v>1761</v>
      </c>
      <c r="J45" s="36" t="s">
        <v>34</v>
      </c>
      <c r="K45" s="36" t="s">
        <v>1762</v>
      </c>
      <c r="L45" s="28" t="s">
        <v>1768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BC793-A297-404B-A8DD-F38AD7348D10}">
  <dimension ref="A1:R42"/>
  <sheetViews>
    <sheetView topLeftCell="A19" zoomScale="82" zoomScaleNormal="80" workbookViewId="0">
      <selection activeCell="A29" sqref="A29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1759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1603</v>
      </c>
      <c r="D3" s="25" t="s">
        <v>1827</v>
      </c>
      <c r="E3" s="25" t="s">
        <v>1605</v>
      </c>
      <c r="F3" s="26">
        <v>12</v>
      </c>
      <c r="G3" s="26">
        <v>785</v>
      </c>
      <c r="H3" s="26">
        <v>30</v>
      </c>
      <c r="I3" s="26">
        <f t="shared" ref="I3:I28" si="0">G3-H3</f>
        <v>755</v>
      </c>
      <c r="J3" s="25" t="s">
        <v>1828</v>
      </c>
      <c r="K3" s="25" t="s">
        <v>34</v>
      </c>
      <c r="L3" s="25" t="s">
        <v>1829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66</v>
      </c>
      <c r="D4" s="22" t="s">
        <v>1830</v>
      </c>
      <c r="E4" s="22" t="s">
        <v>68</v>
      </c>
      <c r="F4" s="22" t="s">
        <v>39</v>
      </c>
      <c r="G4" s="23">
        <v>1550</v>
      </c>
      <c r="H4" s="23">
        <v>30</v>
      </c>
      <c r="I4" s="23">
        <f t="shared" si="0"/>
        <v>1520</v>
      </c>
      <c r="J4" s="22" t="s">
        <v>1828</v>
      </c>
      <c r="K4" s="22" t="s">
        <v>34</v>
      </c>
      <c r="L4" s="22" t="s">
        <v>1829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1831</v>
      </c>
      <c r="E5" s="22" t="s">
        <v>1832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1828</v>
      </c>
      <c r="K5" s="22" t="s">
        <v>34</v>
      </c>
      <c r="L5" s="22" t="s">
        <v>1829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1833</v>
      </c>
      <c r="D6" s="22" t="s">
        <v>1834</v>
      </c>
      <c r="E6" s="22" t="s">
        <v>1835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1828</v>
      </c>
      <c r="K6" s="22" t="s">
        <v>34</v>
      </c>
      <c r="L6" s="22" t="s">
        <v>1829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1836</v>
      </c>
      <c r="D7" s="22" t="s">
        <v>1837</v>
      </c>
      <c r="E7" s="22" t="s">
        <v>1838</v>
      </c>
      <c r="F7" s="22" t="s">
        <v>152</v>
      </c>
      <c r="G7" s="23">
        <v>1025</v>
      </c>
      <c r="H7" s="23">
        <v>35</v>
      </c>
      <c r="I7" s="23">
        <f t="shared" si="0"/>
        <v>990</v>
      </c>
      <c r="J7" s="22" t="s">
        <v>1828</v>
      </c>
      <c r="K7" s="22" t="s">
        <v>34</v>
      </c>
      <c r="L7" s="22" t="s">
        <v>1829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1781</v>
      </c>
      <c r="D8" s="22" t="s">
        <v>1839</v>
      </c>
      <c r="E8" s="22" t="s">
        <v>1783</v>
      </c>
      <c r="F8" s="23">
        <v>7</v>
      </c>
      <c r="G8" s="23">
        <v>820</v>
      </c>
      <c r="H8" s="23">
        <v>30</v>
      </c>
      <c r="I8" s="23">
        <f t="shared" si="0"/>
        <v>790</v>
      </c>
      <c r="J8" s="22" t="s">
        <v>1828</v>
      </c>
      <c r="K8" s="22" t="s">
        <v>34</v>
      </c>
      <c r="L8" s="22" t="s">
        <v>1829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 t="s">
        <v>29</v>
      </c>
      <c r="B9" s="22" t="s">
        <v>30</v>
      </c>
      <c r="C9" s="22" t="s">
        <v>1840</v>
      </c>
      <c r="D9" s="22"/>
      <c r="E9" s="22" t="s">
        <v>1841</v>
      </c>
      <c r="F9" s="23">
        <v>6</v>
      </c>
      <c r="G9" s="23">
        <v>1400</v>
      </c>
      <c r="H9" s="23">
        <v>30</v>
      </c>
      <c r="I9" s="23">
        <f t="shared" si="0"/>
        <v>1370</v>
      </c>
      <c r="J9" s="22" t="s">
        <v>1828</v>
      </c>
      <c r="K9" s="22" t="s">
        <v>34</v>
      </c>
      <c r="L9" s="22" t="s">
        <v>1829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1842</v>
      </c>
      <c r="D10" s="22" t="s">
        <v>1843</v>
      </c>
      <c r="E10" s="22" t="s">
        <v>1844</v>
      </c>
      <c r="F10" s="22" t="s">
        <v>98</v>
      </c>
      <c r="G10" s="23">
        <v>810</v>
      </c>
      <c r="H10" s="23">
        <v>20</v>
      </c>
      <c r="I10" s="23">
        <f t="shared" si="0"/>
        <v>790</v>
      </c>
      <c r="J10" s="22" t="s">
        <v>34</v>
      </c>
      <c r="K10" s="22" t="s">
        <v>34</v>
      </c>
      <c r="L10" s="22" t="s">
        <v>1829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1845</v>
      </c>
      <c r="D11" s="22" t="s">
        <v>1846</v>
      </c>
      <c r="E11" s="22" t="s">
        <v>1729</v>
      </c>
      <c r="F11" s="22" t="s">
        <v>108</v>
      </c>
      <c r="G11" s="23">
        <v>845</v>
      </c>
      <c r="H11" s="23">
        <v>25</v>
      </c>
      <c r="I11" s="23">
        <f t="shared" si="0"/>
        <v>820</v>
      </c>
      <c r="J11" s="22" t="s">
        <v>34</v>
      </c>
      <c r="K11" s="22" t="s">
        <v>34</v>
      </c>
      <c r="L11" s="22" t="s">
        <v>1829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53</v>
      </c>
      <c r="D12" s="22" t="s">
        <v>1847</v>
      </c>
      <c r="E12" s="22" t="s">
        <v>1848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1829</v>
      </c>
      <c r="M12" s="22"/>
      <c r="N12" s="22"/>
      <c r="O12" s="22"/>
      <c r="P12" s="22"/>
      <c r="Q12" s="22">
        <v>1</v>
      </c>
      <c r="R12" s="24">
        <f t="shared" ref="R12:R13" si="1">H12</f>
        <v>30</v>
      </c>
    </row>
    <row r="13" spans="1:18" customFormat="1" x14ac:dyDescent="0.25">
      <c r="A13" s="22"/>
      <c r="B13" s="22" t="s">
        <v>30</v>
      </c>
      <c r="C13" s="22" t="s">
        <v>1849</v>
      </c>
      <c r="D13" s="22" t="s">
        <v>1850</v>
      </c>
      <c r="E13" s="22" t="s">
        <v>1851</v>
      </c>
      <c r="F13" s="22" t="s">
        <v>90</v>
      </c>
      <c r="G13" s="23">
        <v>0</v>
      </c>
      <c r="H13" s="23">
        <v>30</v>
      </c>
      <c r="I13" s="23">
        <f t="shared" si="0"/>
        <v>-30</v>
      </c>
      <c r="J13" s="22" t="s">
        <v>34</v>
      </c>
      <c r="K13" s="22" t="s">
        <v>34</v>
      </c>
      <c r="L13" s="22" t="s">
        <v>1829</v>
      </c>
      <c r="M13" s="22"/>
      <c r="N13" s="22"/>
      <c r="O13" s="22"/>
      <c r="P13" s="22"/>
      <c r="Q13" s="22">
        <v>1</v>
      </c>
      <c r="R13" s="24">
        <f t="shared" si="1"/>
        <v>30</v>
      </c>
    </row>
    <row r="14" spans="1:18" customFormat="1" x14ac:dyDescent="0.25">
      <c r="A14" s="22"/>
      <c r="B14" s="22" t="s">
        <v>30</v>
      </c>
      <c r="C14" s="22" t="s">
        <v>1380</v>
      </c>
      <c r="D14" s="22" t="s">
        <v>1852</v>
      </c>
      <c r="E14" s="22" t="s">
        <v>1382</v>
      </c>
      <c r="F14" s="23">
        <v>2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1829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1853</v>
      </c>
      <c r="D15" s="22" t="s">
        <v>1854</v>
      </c>
      <c r="E15" s="22" t="s">
        <v>1855</v>
      </c>
      <c r="F15" s="22" t="s">
        <v>98</v>
      </c>
      <c r="G15" s="23">
        <v>500</v>
      </c>
      <c r="H15" s="23">
        <v>20</v>
      </c>
      <c r="I15" s="23">
        <f t="shared" si="0"/>
        <v>480</v>
      </c>
      <c r="J15" s="22" t="s">
        <v>34</v>
      </c>
      <c r="K15" s="22" t="s">
        <v>34</v>
      </c>
      <c r="L15" s="22" t="s">
        <v>1829</v>
      </c>
      <c r="M15" s="22"/>
      <c r="N15" s="22"/>
      <c r="O15" s="22"/>
      <c r="P15" s="22"/>
      <c r="Q15" s="22">
        <v>1</v>
      </c>
    </row>
    <row r="16" spans="1:18" s="27" customFormat="1" x14ac:dyDescent="0.25">
      <c r="A16" s="25"/>
      <c r="B16" s="25" t="s">
        <v>30</v>
      </c>
      <c r="C16" s="25" t="s">
        <v>1799</v>
      </c>
      <c r="D16" s="25" t="s">
        <v>1856</v>
      </c>
      <c r="E16" s="25" t="s">
        <v>1857</v>
      </c>
      <c r="F16" s="25" t="s">
        <v>90</v>
      </c>
      <c r="G16" s="26">
        <v>25</v>
      </c>
      <c r="H16" s="26">
        <v>25</v>
      </c>
      <c r="I16" s="26">
        <f t="shared" si="0"/>
        <v>0</v>
      </c>
      <c r="J16" s="25" t="s">
        <v>34</v>
      </c>
      <c r="K16" s="25" t="s">
        <v>34</v>
      </c>
      <c r="L16" s="25" t="s">
        <v>1829</v>
      </c>
      <c r="M16" s="25" t="s">
        <v>139</v>
      </c>
      <c r="N16" s="25"/>
      <c r="O16" s="25"/>
      <c r="P16" s="25"/>
      <c r="Q16" s="25">
        <v>1</v>
      </c>
    </row>
    <row r="17" spans="1:18" customFormat="1" x14ac:dyDescent="0.25">
      <c r="A17" s="22"/>
      <c r="B17" s="22" t="s">
        <v>30</v>
      </c>
      <c r="C17" s="22" t="s">
        <v>1858</v>
      </c>
      <c r="D17" s="22" t="s">
        <v>1859</v>
      </c>
      <c r="E17" s="22" t="s">
        <v>1860</v>
      </c>
      <c r="F17" s="22" t="s">
        <v>98</v>
      </c>
      <c r="G17" s="23">
        <v>0</v>
      </c>
      <c r="H17" s="23">
        <v>20</v>
      </c>
      <c r="I17" s="23">
        <f t="shared" si="0"/>
        <v>-20</v>
      </c>
      <c r="J17" s="22" t="s">
        <v>34</v>
      </c>
      <c r="K17" s="22" t="s">
        <v>34</v>
      </c>
      <c r="L17" s="22" t="s">
        <v>1829</v>
      </c>
      <c r="M17" s="22"/>
      <c r="N17" s="22"/>
      <c r="O17" s="22"/>
      <c r="P17" s="22"/>
      <c r="Q17" s="22">
        <v>1</v>
      </c>
      <c r="R17" s="24">
        <f>H17</f>
        <v>20</v>
      </c>
    </row>
    <row r="18" spans="1:18" customFormat="1" x14ac:dyDescent="0.25">
      <c r="A18" s="22" t="s">
        <v>29</v>
      </c>
      <c r="B18" s="22" t="s">
        <v>30</v>
      </c>
      <c r="C18" s="22" t="s">
        <v>353</v>
      </c>
      <c r="D18" s="22"/>
      <c r="E18" s="22" t="s">
        <v>354</v>
      </c>
      <c r="F18" s="22" t="s">
        <v>90</v>
      </c>
      <c r="G18" s="23">
        <v>30</v>
      </c>
      <c r="H18" s="23">
        <v>30</v>
      </c>
      <c r="I18" s="23">
        <f t="shared" si="0"/>
        <v>0</v>
      </c>
      <c r="J18" s="22" t="s">
        <v>34</v>
      </c>
      <c r="K18" s="22" t="s">
        <v>34</v>
      </c>
      <c r="L18" s="22" t="s">
        <v>1829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1861</v>
      </c>
      <c r="D19" s="22"/>
      <c r="E19" s="22" t="s">
        <v>1862</v>
      </c>
      <c r="F19" s="22" t="s">
        <v>98</v>
      </c>
      <c r="G19" s="23">
        <v>1575</v>
      </c>
      <c r="H19" s="23">
        <v>25</v>
      </c>
      <c r="I19" s="23">
        <f t="shared" si="0"/>
        <v>1550</v>
      </c>
      <c r="J19" s="22" t="s">
        <v>34</v>
      </c>
      <c r="K19" s="22" t="s">
        <v>34</v>
      </c>
      <c r="L19" s="22" t="s">
        <v>1829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1863</v>
      </c>
      <c r="D20" s="22"/>
      <c r="E20" s="22" t="s">
        <v>489</v>
      </c>
      <c r="F20" s="23">
        <v>12</v>
      </c>
      <c r="G20" s="23">
        <v>0</v>
      </c>
      <c r="H20" s="23">
        <v>40</v>
      </c>
      <c r="I20" s="23">
        <f t="shared" si="0"/>
        <v>-40</v>
      </c>
      <c r="J20" s="22" t="s">
        <v>34</v>
      </c>
      <c r="K20" s="22" t="s">
        <v>34</v>
      </c>
      <c r="L20" s="22" t="s">
        <v>1829</v>
      </c>
      <c r="M20" s="22"/>
      <c r="N20" s="22"/>
      <c r="O20" s="22"/>
      <c r="P20" s="22"/>
      <c r="Q20" s="22">
        <v>1</v>
      </c>
      <c r="R20" s="24">
        <f>H20</f>
        <v>40</v>
      </c>
    </row>
    <row r="21" spans="1:18" customFormat="1" x14ac:dyDescent="0.25">
      <c r="A21" s="22"/>
      <c r="B21" s="22" t="s">
        <v>30</v>
      </c>
      <c r="C21" s="22" t="s">
        <v>1864</v>
      </c>
      <c r="D21" s="22" t="s">
        <v>1865</v>
      </c>
      <c r="E21" s="22" t="s">
        <v>1866</v>
      </c>
      <c r="F21" s="23">
        <v>3</v>
      </c>
      <c r="G21" s="23">
        <v>1830</v>
      </c>
      <c r="H21" s="23">
        <v>25</v>
      </c>
      <c r="I21" s="23">
        <f t="shared" si="0"/>
        <v>1805</v>
      </c>
      <c r="J21" s="22" t="s">
        <v>148</v>
      </c>
      <c r="K21" s="22" t="s">
        <v>34</v>
      </c>
      <c r="L21" s="22" t="s">
        <v>1829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1867</v>
      </c>
      <c r="D22" s="22" t="s">
        <v>1868</v>
      </c>
      <c r="E22" s="22" t="s">
        <v>1869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1829</v>
      </c>
      <c r="M22" s="22"/>
      <c r="N22" s="22"/>
      <c r="O22" s="22"/>
      <c r="P22" s="22"/>
      <c r="Q22" s="22">
        <v>1</v>
      </c>
      <c r="R22" s="24">
        <f t="shared" ref="R22:R25" si="2">H22</f>
        <v>25</v>
      </c>
    </row>
    <row r="23" spans="1:18" customFormat="1" x14ac:dyDescent="0.25">
      <c r="A23" s="22"/>
      <c r="B23" s="22" t="s">
        <v>30</v>
      </c>
      <c r="C23" s="22" t="s">
        <v>1870</v>
      </c>
      <c r="D23" s="22" t="s">
        <v>1871</v>
      </c>
      <c r="E23" s="22" t="s">
        <v>1872</v>
      </c>
      <c r="F23" s="23">
        <v>4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1829</v>
      </c>
      <c r="M23" s="22"/>
      <c r="N23" s="22"/>
      <c r="O23" s="22"/>
      <c r="P23" s="22"/>
      <c r="Q23" s="22">
        <v>1</v>
      </c>
      <c r="R23" s="24">
        <f t="shared" si="2"/>
        <v>25</v>
      </c>
    </row>
    <row r="24" spans="1:18" customFormat="1" x14ac:dyDescent="0.25">
      <c r="A24" s="22"/>
      <c r="B24" s="22" t="s">
        <v>30</v>
      </c>
      <c r="C24" s="22" t="s">
        <v>1873</v>
      </c>
      <c r="D24" s="22" t="s">
        <v>1874</v>
      </c>
      <c r="E24" s="22" t="s">
        <v>1875</v>
      </c>
      <c r="F24" s="23">
        <v>3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1829</v>
      </c>
      <c r="M24" s="22"/>
      <c r="N24" s="22"/>
      <c r="O24" s="22"/>
      <c r="P24" s="22"/>
      <c r="Q24" s="22">
        <v>1</v>
      </c>
      <c r="R24" s="24">
        <f t="shared" si="2"/>
        <v>25</v>
      </c>
    </row>
    <row r="25" spans="1:18" customFormat="1" x14ac:dyDescent="0.25">
      <c r="A25" s="22"/>
      <c r="B25" s="22" t="s">
        <v>30</v>
      </c>
      <c r="C25" s="22" t="s">
        <v>947</v>
      </c>
      <c r="D25" s="22" t="s">
        <v>1876</v>
      </c>
      <c r="E25" s="22" t="s">
        <v>1877</v>
      </c>
      <c r="F25" s="23">
        <v>5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1829</v>
      </c>
      <c r="M25" s="22"/>
      <c r="N25" s="22"/>
      <c r="O25" s="22"/>
      <c r="P25" s="22"/>
      <c r="Q25" s="22">
        <v>1</v>
      </c>
      <c r="R25" s="24">
        <f t="shared" si="2"/>
        <v>25</v>
      </c>
    </row>
    <row r="26" spans="1:18" customFormat="1" x14ac:dyDescent="0.25">
      <c r="A26" s="22"/>
      <c r="B26" s="22" t="s">
        <v>30</v>
      </c>
      <c r="C26" s="22" t="s">
        <v>1878</v>
      </c>
      <c r="D26" s="22" t="s">
        <v>1879</v>
      </c>
      <c r="E26" s="22" t="s">
        <v>1880</v>
      </c>
      <c r="F26" s="23">
        <v>3</v>
      </c>
      <c r="G26" s="23">
        <v>845</v>
      </c>
      <c r="H26" s="23">
        <v>25</v>
      </c>
      <c r="I26" s="23">
        <f t="shared" si="0"/>
        <v>820</v>
      </c>
      <c r="J26" s="22" t="s">
        <v>148</v>
      </c>
      <c r="K26" s="22" t="s">
        <v>34</v>
      </c>
      <c r="L26" s="22" t="s">
        <v>1829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1881</v>
      </c>
      <c r="D27" s="22" t="s">
        <v>1882</v>
      </c>
      <c r="E27" s="22" t="s">
        <v>1883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1829</v>
      </c>
      <c r="M27" s="22"/>
      <c r="N27" s="22"/>
      <c r="O27" s="22"/>
      <c r="P27" s="22"/>
      <c r="Q27" s="22">
        <v>1</v>
      </c>
      <c r="R27" s="24">
        <f t="shared" ref="R27:R28" si="3">H27</f>
        <v>25</v>
      </c>
    </row>
    <row r="28" spans="1:18" customFormat="1" x14ac:dyDescent="0.25">
      <c r="A28" s="22"/>
      <c r="B28" s="22" t="s">
        <v>30</v>
      </c>
      <c r="C28" s="22" t="s">
        <v>1884</v>
      </c>
      <c r="D28" s="22" t="s">
        <v>1885</v>
      </c>
      <c r="E28" s="22" t="s">
        <v>1886</v>
      </c>
      <c r="F28" s="22" t="s">
        <v>108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1829</v>
      </c>
      <c r="M28" s="22"/>
      <c r="N28" s="22"/>
      <c r="O28" s="22"/>
      <c r="P28" s="22"/>
      <c r="Q28" s="22">
        <v>1</v>
      </c>
      <c r="R28" s="24">
        <f t="shared" si="3"/>
        <v>25</v>
      </c>
    </row>
    <row r="30" spans="1:18" x14ac:dyDescent="0.25">
      <c r="G30" s="1">
        <f t="shared" ref="G30:R30" si="4">SUBTOTAL(9,G3:G29)</f>
        <v>13780</v>
      </c>
      <c r="H30" s="1">
        <f t="shared" si="4"/>
        <v>705</v>
      </c>
      <c r="I30" s="1">
        <f t="shared" si="4"/>
        <v>13075</v>
      </c>
      <c r="J30" s="1">
        <f t="shared" si="4"/>
        <v>0</v>
      </c>
      <c r="K30" s="1">
        <f t="shared" si="4"/>
        <v>0</v>
      </c>
      <c r="L30" s="1">
        <f t="shared" si="4"/>
        <v>0</v>
      </c>
      <c r="M30" s="1">
        <f t="shared" si="4"/>
        <v>0</v>
      </c>
      <c r="N30" s="1">
        <f t="shared" si="4"/>
        <v>0</v>
      </c>
      <c r="O30" s="1">
        <f t="shared" si="4"/>
        <v>0</v>
      </c>
      <c r="P30" s="1">
        <f t="shared" si="4"/>
        <v>0</v>
      </c>
      <c r="Q30" s="1">
        <f t="shared" si="4"/>
        <v>26</v>
      </c>
      <c r="R30" s="1">
        <f t="shared" si="4"/>
        <v>350</v>
      </c>
    </row>
    <row r="34" spans="8:10" ht="20.25" customHeight="1" x14ac:dyDescent="0.3">
      <c r="H34" s="4" t="s">
        <v>1758</v>
      </c>
      <c r="I34" s="5" t="s">
        <v>15</v>
      </c>
      <c r="J34" s="6" t="s">
        <v>16</v>
      </c>
    </row>
    <row r="35" spans="8:10" ht="15.75" customHeight="1" x14ac:dyDescent="0.25">
      <c r="H35" s="7" t="s">
        <v>17</v>
      </c>
      <c r="I35" s="8">
        <f>SUM(I29:I33)</f>
        <v>13075</v>
      </c>
      <c r="J35" s="8">
        <f>Q30</f>
        <v>26</v>
      </c>
    </row>
    <row r="36" spans="8:10" x14ac:dyDescent="0.25">
      <c r="H36" s="9" t="s">
        <v>18</v>
      </c>
      <c r="I36" s="10">
        <f>R30</f>
        <v>350</v>
      </c>
      <c r="J36" s="11"/>
    </row>
    <row r="37" spans="8:10" x14ac:dyDescent="0.25">
      <c r="H37" s="9" t="s">
        <v>19</v>
      </c>
      <c r="I37" s="10">
        <f>S29</f>
        <v>0</v>
      </c>
      <c r="J37" s="11"/>
    </row>
    <row r="38" spans="8:10" x14ac:dyDescent="0.25">
      <c r="H38" s="9" t="s">
        <v>20</v>
      </c>
      <c r="I38" s="10">
        <f>T29</f>
        <v>0</v>
      </c>
      <c r="J38" s="11"/>
    </row>
    <row r="39" spans="8:10" x14ac:dyDescent="0.25">
      <c r="H39" s="9" t="s">
        <v>21</v>
      </c>
      <c r="I39" s="10">
        <f>U29</f>
        <v>0</v>
      </c>
      <c r="J39" s="11"/>
    </row>
    <row r="40" spans="8:10" ht="15.75" customHeight="1" x14ac:dyDescent="0.25">
      <c r="H40" s="12" t="s">
        <v>22</v>
      </c>
      <c r="I40" s="13"/>
      <c r="J40" s="13"/>
    </row>
    <row r="41" spans="8:10" ht="15.75" customHeight="1" x14ac:dyDescent="0.25">
      <c r="H41" s="14" t="s">
        <v>23</v>
      </c>
      <c r="I41" s="13"/>
      <c r="J41" s="13"/>
    </row>
    <row r="42" spans="8:10" ht="21" customHeight="1" x14ac:dyDescent="0.35">
      <c r="H42" s="15" t="s">
        <v>24</v>
      </c>
      <c r="I42" s="16">
        <f>SUM(I35:I41)</f>
        <v>13425</v>
      </c>
      <c r="J42" s="16">
        <f>SUM(J35:J39)</f>
        <v>26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0F276-2063-46DB-90A8-8062375B1F9A}">
  <dimension ref="A1:R72"/>
  <sheetViews>
    <sheetView topLeftCell="A46" zoomScale="82" zoomScaleNormal="80" workbookViewId="0">
      <selection activeCell="G14" sqref="G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1825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1889</v>
      </c>
      <c r="D3" s="22" t="s">
        <v>1890</v>
      </c>
      <c r="E3" s="22" t="s">
        <v>1891</v>
      </c>
      <c r="F3" s="23">
        <v>12</v>
      </c>
      <c r="G3" s="23">
        <v>820</v>
      </c>
      <c r="H3" s="23">
        <v>30</v>
      </c>
      <c r="I3" s="23">
        <f t="shared" ref="I3:I55" si="0">G3-H3</f>
        <v>790</v>
      </c>
      <c r="J3" s="22" t="s">
        <v>1892</v>
      </c>
      <c r="K3" s="22" t="s">
        <v>34</v>
      </c>
      <c r="L3" s="22" t="s">
        <v>1893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280</v>
      </c>
      <c r="D4" s="22" t="s">
        <v>1894</v>
      </c>
      <c r="E4" s="22" t="s">
        <v>282</v>
      </c>
      <c r="F4" s="23">
        <v>7</v>
      </c>
      <c r="G4" s="23">
        <v>470</v>
      </c>
      <c r="H4" s="23">
        <v>30</v>
      </c>
      <c r="I4" s="23">
        <f t="shared" si="0"/>
        <v>440</v>
      </c>
      <c r="J4" s="22" t="s">
        <v>1892</v>
      </c>
      <c r="K4" s="22" t="s">
        <v>34</v>
      </c>
      <c r="L4" s="22" t="s">
        <v>1893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1895</v>
      </c>
      <c r="D5" s="22" t="s">
        <v>1896</v>
      </c>
      <c r="E5" s="22" t="s">
        <v>71</v>
      </c>
      <c r="F5" s="23">
        <v>6</v>
      </c>
      <c r="G5" s="23">
        <v>505</v>
      </c>
      <c r="H5" s="23">
        <v>25</v>
      </c>
      <c r="I5" s="23">
        <f t="shared" si="0"/>
        <v>480</v>
      </c>
      <c r="J5" s="22" t="s">
        <v>1892</v>
      </c>
      <c r="K5" s="22" t="s">
        <v>34</v>
      </c>
      <c r="L5" s="22" t="s">
        <v>1893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1814</v>
      </c>
      <c r="D6" s="22" t="s">
        <v>1897</v>
      </c>
      <c r="E6" s="22" t="s">
        <v>1898</v>
      </c>
      <c r="F6" s="22" t="s">
        <v>152</v>
      </c>
      <c r="G6" s="23">
        <v>5640</v>
      </c>
      <c r="H6" s="23">
        <v>55</v>
      </c>
      <c r="I6" s="23">
        <f t="shared" si="0"/>
        <v>5585</v>
      </c>
      <c r="J6" s="22" t="s">
        <v>1892</v>
      </c>
      <c r="K6" s="22" t="s">
        <v>34</v>
      </c>
      <c r="L6" s="22" t="s">
        <v>1893</v>
      </c>
      <c r="M6" s="28" t="s">
        <v>180</v>
      </c>
      <c r="N6" s="22"/>
      <c r="O6" s="22"/>
      <c r="P6" s="22"/>
      <c r="Q6" s="22">
        <v>1</v>
      </c>
      <c r="R6" s="24">
        <f>H6</f>
        <v>55</v>
      </c>
    </row>
    <row r="7" spans="1:18" customFormat="1" x14ac:dyDescent="0.25">
      <c r="A7" s="22"/>
      <c r="B7" s="22" t="s">
        <v>30</v>
      </c>
      <c r="C7" s="22" t="s">
        <v>1899</v>
      </c>
      <c r="D7" s="22" t="s">
        <v>1900</v>
      </c>
      <c r="E7" s="22" t="s">
        <v>1901</v>
      </c>
      <c r="F7" s="23">
        <v>12</v>
      </c>
      <c r="G7" s="23">
        <v>0</v>
      </c>
      <c r="H7" s="23">
        <v>30</v>
      </c>
      <c r="I7" s="23">
        <f t="shared" si="0"/>
        <v>-30</v>
      </c>
      <c r="J7" s="22" t="s">
        <v>1892</v>
      </c>
      <c r="K7" s="22" t="s">
        <v>34</v>
      </c>
      <c r="L7" s="22" t="s">
        <v>1893</v>
      </c>
      <c r="M7" s="22"/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1155</v>
      </c>
      <c r="D8" s="22" t="s">
        <v>1902</v>
      </c>
      <c r="E8" s="22" t="s">
        <v>1157</v>
      </c>
      <c r="F8" s="23">
        <v>8</v>
      </c>
      <c r="G8" s="23">
        <v>850</v>
      </c>
      <c r="H8" s="23">
        <v>30</v>
      </c>
      <c r="I8" s="23">
        <f t="shared" si="0"/>
        <v>820</v>
      </c>
      <c r="J8" s="22" t="s">
        <v>1892</v>
      </c>
      <c r="K8" s="22" t="s">
        <v>34</v>
      </c>
      <c r="L8" s="22" t="s">
        <v>1893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1903</v>
      </c>
      <c r="D9" s="22" t="s">
        <v>1904</v>
      </c>
      <c r="E9" s="22" t="s">
        <v>1905</v>
      </c>
      <c r="F9" s="22" t="s">
        <v>39</v>
      </c>
      <c r="G9" s="23">
        <v>690</v>
      </c>
      <c r="H9" s="23">
        <v>30</v>
      </c>
      <c r="I9" s="23">
        <f t="shared" si="0"/>
        <v>660</v>
      </c>
      <c r="J9" s="22" t="s">
        <v>1892</v>
      </c>
      <c r="K9" s="22" t="s">
        <v>34</v>
      </c>
      <c r="L9" s="22" t="s">
        <v>1893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1906</v>
      </c>
      <c r="D10" s="22" t="s">
        <v>1907</v>
      </c>
      <c r="E10" s="22" t="s">
        <v>1908</v>
      </c>
      <c r="F10" s="23">
        <v>5</v>
      </c>
      <c r="G10" s="23">
        <v>845</v>
      </c>
      <c r="H10" s="23">
        <v>25</v>
      </c>
      <c r="I10" s="23">
        <f t="shared" si="0"/>
        <v>820</v>
      </c>
      <c r="J10" s="22" t="s">
        <v>1892</v>
      </c>
      <c r="K10" s="22" t="s">
        <v>34</v>
      </c>
      <c r="L10" s="22" t="s">
        <v>1893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1909</v>
      </c>
      <c r="D11" s="22" t="s">
        <v>1910</v>
      </c>
      <c r="E11" s="22" t="s">
        <v>1911</v>
      </c>
      <c r="F11" s="22" t="s">
        <v>59</v>
      </c>
      <c r="G11" s="23">
        <v>465</v>
      </c>
      <c r="H11" s="23">
        <v>25</v>
      </c>
      <c r="I11" s="23">
        <f t="shared" si="0"/>
        <v>440</v>
      </c>
      <c r="J11" s="22" t="s">
        <v>1892</v>
      </c>
      <c r="K11" s="22" t="s">
        <v>34</v>
      </c>
      <c r="L11" s="22" t="s">
        <v>1893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1912</v>
      </c>
      <c r="D12" s="22" t="s">
        <v>1913</v>
      </c>
      <c r="E12" s="22" t="s">
        <v>1914</v>
      </c>
      <c r="F12" s="22" t="s">
        <v>59</v>
      </c>
      <c r="G12" s="23">
        <v>845</v>
      </c>
      <c r="H12" s="23">
        <v>25</v>
      </c>
      <c r="I12" s="23">
        <f t="shared" si="0"/>
        <v>820</v>
      </c>
      <c r="J12" s="22" t="s">
        <v>1892</v>
      </c>
      <c r="K12" s="22" t="s">
        <v>34</v>
      </c>
      <c r="L12" s="22" t="s">
        <v>1893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298</v>
      </c>
      <c r="D13" s="22" t="s">
        <v>1915</v>
      </c>
      <c r="E13" s="22" t="s">
        <v>1916</v>
      </c>
      <c r="F13" s="23">
        <v>7</v>
      </c>
      <c r="G13" s="23">
        <v>990</v>
      </c>
      <c r="H13" s="23">
        <v>30</v>
      </c>
      <c r="I13" s="23">
        <f t="shared" si="0"/>
        <v>960</v>
      </c>
      <c r="J13" s="22" t="s">
        <v>1892</v>
      </c>
      <c r="K13" s="22" t="s">
        <v>34</v>
      </c>
      <c r="L13" s="22" t="s">
        <v>1893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1917</v>
      </c>
      <c r="D14" s="22" t="s">
        <v>1918</v>
      </c>
      <c r="E14" s="22" t="s">
        <v>1919</v>
      </c>
      <c r="F14" s="23">
        <v>8</v>
      </c>
      <c r="G14" s="23">
        <v>1640</v>
      </c>
      <c r="H14" s="23">
        <v>30</v>
      </c>
      <c r="I14" s="23">
        <f t="shared" si="0"/>
        <v>1610</v>
      </c>
      <c r="J14" s="22" t="s">
        <v>1892</v>
      </c>
      <c r="K14" s="22" t="s">
        <v>34</v>
      </c>
      <c r="L14" s="22" t="s">
        <v>1893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737</v>
      </c>
      <c r="D15" s="22" t="s">
        <v>1920</v>
      </c>
      <c r="E15" s="22" t="s">
        <v>1921</v>
      </c>
      <c r="F15" s="23">
        <v>7</v>
      </c>
      <c r="G15" s="23">
        <v>1260</v>
      </c>
      <c r="H15" s="23">
        <v>30</v>
      </c>
      <c r="I15" s="23">
        <f t="shared" si="0"/>
        <v>1230</v>
      </c>
      <c r="J15" s="22" t="s">
        <v>1892</v>
      </c>
      <c r="K15" s="22" t="s">
        <v>34</v>
      </c>
      <c r="L15" s="22" t="s">
        <v>1893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1581</v>
      </c>
      <c r="D16" s="22" t="s">
        <v>1922</v>
      </c>
      <c r="E16" s="22" t="s">
        <v>1583</v>
      </c>
      <c r="F16" s="23">
        <v>6</v>
      </c>
      <c r="G16" s="23">
        <v>1735</v>
      </c>
      <c r="H16" s="23">
        <v>25</v>
      </c>
      <c r="I16" s="23">
        <f t="shared" si="0"/>
        <v>1710</v>
      </c>
      <c r="J16" s="22" t="s">
        <v>1892</v>
      </c>
      <c r="K16" s="22" t="s">
        <v>34</v>
      </c>
      <c r="L16" s="22" t="s">
        <v>1893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1923</v>
      </c>
      <c r="D17" s="22" t="s">
        <v>1924</v>
      </c>
      <c r="E17" s="22" t="s">
        <v>1925</v>
      </c>
      <c r="F17" s="23">
        <v>6</v>
      </c>
      <c r="G17" s="23">
        <v>995</v>
      </c>
      <c r="H17" s="23">
        <v>25</v>
      </c>
      <c r="I17" s="23">
        <f t="shared" si="0"/>
        <v>970</v>
      </c>
      <c r="J17" s="22" t="s">
        <v>1892</v>
      </c>
      <c r="K17" s="22" t="s">
        <v>34</v>
      </c>
      <c r="L17" s="22" t="s">
        <v>1893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987</v>
      </c>
      <c r="D18" s="22" t="s">
        <v>1926</v>
      </c>
      <c r="E18" s="22" t="s">
        <v>989</v>
      </c>
      <c r="F18" s="22" t="s">
        <v>39</v>
      </c>
      <c r="G18" s="23">
        <v>470</v>
      </c>
      <c r="H18" s="23">
        <v>30</v>
      </c>
      <c r="I18" s="23">
        <f t="shared" si="0"/>
        <v>440</v>
      </c>
      <c r="J18" s="22" t="s">
        <v>1892</v>
      </c>
      <c r="K18" s="22" t="s">
        <v>34</v>
      </c>
      <c r="L18" s="22" t="s">
        <v>1893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1927</v>
      </c>
      <c r="D19" s="22" t="s">
        <v>1928</v>
      </c>
      <c r="E19" s="22" t="s">
        <v>1929</v>
      </c>
      <c r="F19" s="22" t="s">
        <v>39</v>
      </c>
      <c r="G19" s="23">
        <v>520</v>
      </c>
      <c r="H19" s="23">
        <v>30</v>
      </c>
      <c r="I19" s="23">
        <f t="shared" si="0"/>
        <v>490</v>
      </c>
      <c r="J19" s="22" t="s">
        <v>1892</v>
      </c>
      <c r="K19" s="22" t="s">
        <v>34</v>
      </c>
      <c r="L19" s="22" t="s">
        <v>1893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1930</v>
      </c>
      <c r="D20" s="22" t="s">
        <v>1931</v>
      </c>
      <c r="E20" s="22" t="s">
        <v>1932</v>
      </c>
      <c r="F20" s="22" t="s">
        <v>39</v>
      </c>
      <c r="G20" s="23">
        <v>0</v>
      </c>
      <c r="H20" s="23">
        <v>30</v>
      </c>
      <c r="I20" s="23">
        <f t="shared" si="0"/>
        <v>-30</v>
      </c>
      <c r="J20" s="22" t="s">
        <v>1892</v>
      </c>
      <c r="K20" s="22" t="s">
        <v>34</v>
      </c>
      <c r="L20" s="22" t="s">
        <v>1893</v>
      </c>
      <c r="M20" s="22"/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1933</v>
      </c>
      <c r="D21" s="22" t="s">
        <v>1934</v>
      </c>
      <c r="E21" s="22" t="s">
        <v>1935</v>
      </c>
      <c r="F21" s="23">
        <v>7</v>
      </c>
      <c r="G21" s="23">
        <v>810</v>
      </c>
      <c r="H21" s="23">
        <v>30</v>
      </c>
      <c r="I21" s="23">
        <f t="shared" si="0"/>
        <v>780</v>
      </c>
      <c r="J21" s="22" t="s">
        <v>1892</v>
      </c>
      <c r="K21" s="22" t="s">
        <v>34</v>
      </c>
      <c r="L21" s="22" t="s">
        <v>1893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162</v>
      </c>
      <c r="D22" s="22" t="s">
        <v>1936</v>
      </c>
      <c r="E22" s="22" t="s">
        <v>1937</v>
      </c>
      <c r="F22" s="22" t="s">
        <v>59</v>
      </c>
      <c r="G22" s="23">
        <v>795</v>
      </c>
      <c r="H22" s="23">
        <v>25</v>
      </c>
      <c r="I22" s="23">
        <f t="shared" si="0"/>
        <v>770</v>
      </c>
      <c r="J22" s="22" t="s">
        <v>1892</v>
      </c>
      <c r="K22" s="22" t="s">
        <v>34</v>
      </c>
      <c r="L22" s="22" t="s">
        <v>1893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650</v>
      </c>
      <c r="D23" s="22" t="s">
        <v>1938</v>
      </c>
      <c r="E23" s="22" t="s">
        <v>652</v>
      </c>
      <c r="F23" s="22" t="s">
        <v>59</v>
      </c>
      <c r="G23" s="23">
        <v>995</v>
      </c>
      <c r="H23" s="23">
        <v>25</v>
      </c>
      <c r="I23" s="23">
        <f t="shared" si="0"/>
        <v>970</v>
      </c>
      <c r="J23" s="22" t="s">
        <v>1892</v>
      </c>
      <c r="K23" s="22" t="s">
        <v>34</v>
      </c>
      <c r="L23" s="22" t="s">
        <v>1893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55" t="s">
        <v>1939</v>
      </c>
      <c r="D24" s="22" t="s">
        <v>1940</v>
      </c>
      <c r="E24" s="22" t="s">
        <v>1941</v>
      </c>
      <c r="F24" s="22" t="s">
        <v>1324</v>
      </c>
      <c r="G24" s="23">
        <v>865</v>
      </c>
      <c r="H24" s="23">
        <v>35</v>
      </c>
      <c r="I24" s="23">
        <f t="shared" si="0"/>
        <v>830</v>
      </c>
      <c r="J24" s="22" t="s">
        <v>1892</v>
      </c>
      <c r="K24" s="22" t="s">
        <v>34</v>
      </c>
      <c r="L24" s="22" t="s">
        <v>1893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1942</v>
      </c>
      <c r="D25" s="22" t="s">
        <v>1943</v>
      </c>
      <c r="E25" s="22" t="s">
        <v>1944</v>
      </c>
      <c r="F25" s="22" t="s">
        <v>59</v>
      </c>
      <c r="G25" s="23">
        <v>0</v>
      </c>
      <c r="H25" s="23">
        <v>25</v>
      </c>
      <c r="I25" s="23">
        <f t="shared" si="0"/>
        <v>-25</v>
      </c>
      <c r="J25" s="22" t="s">
        <v>1892</v>
      </c>
      <c r="K25" s="22" t="s">
        <v>34</v>
      </c>
      <c r="L25" s="22" t="s">
        <v>1893</v>
      </c>
      <c r="M25" s="22"/>
      <c r="N25" s="22"/>
      <c r="O25" s="22"/>
      <c r="P25" s="22"/>
      <c r="Q25" s="22">
        <v>1</v>
      </c>
      <c r="R25" s="24">
        <f>H25</f>
        <v>25</v>
      </c>
    </row>
    <row r="26" spans="1:18" customFormat="1" x14ac:dyDescent="0.25">
      <c r="A26" s="22"/>
      <c r="B26" s="22" t="s">
        <v>30</v>
      </c>
      <c r="C26" s="22" t="s">
        <v>1945</v>
      </c>
      <c r="D26" s="22" t="s">
        <v>1946</v>
      </c>
      <c r="E26" s="22" t="s">
        <v>1947</v>
      </c>
      <c r="F26" s="22" t="s">
        <v>147</v>
      </c>
      <c r="G26" s="23">
        <v>2760</v>
      </c>
      <c r="H26" s="23">
        <v>35</v>
      </c>
      <c r="I26" s="23">
        <f t="shared" si="0"/>
        <v>2725</v>
      </c>
      <c r="J26" s="22" t="s">
        <v>1892</v>
      </c>
      <c r="K26" s="22" t="s">
        <v>34</v>
      </c>
      <c r="L26" s="22" t="s">
        <v>1893</v>
      </c>
      <c r="M26" s="28" t="s">
        <v>180</v>
      </c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/>
      <c r="B27" s="22" t="s">
        <v>30</v>
      </c>
      <c r="C27" s="22" t="s">
        <v>598</v>
      </c>
      <c r="D27" s="22" t="s">
        <v>1948</v>
      </c>
      <c r="E27" s="22" t="s">
        <v>1949</v>
      </c>
      <c r="F27" s="23">
        <v>7</v>
      </c>
      <c r="G27" s="23">
        <v>820</v>
      </c>
      <c r="H27" s="23">
        <v>30</v>
      </c>
      <c r="I27" s="23">
        <f t="shared" si="0"/>
        <v>790</v>
      </c>
      <c r="J27" s="22" t="s">
        <v>1892</v>
      </c>
      <c r="K27" s="22" t="s">
        <v>34</v>
      </c>
      <c r="L27" s="22" t="s">
        <v>1893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1950</v>
      </c>
      <c r="D28" s="22" t="s">
        <v>1951</v>
      </c>
      <c r="E28" s="22" t="s">
        <v>1952</v>
      </c>
      <c r="F28" s="23">
        <v>7</v>
      </c>
      <c r="G28" s="23">
        <v>810</v>
      </c>
      <c r="H28" s="23">
        <v>30</v>
      </c>
      <c r="I28" s="23">
        <f t="shared" si="0"/>
        <v>780</v>
      </c>
      <c r="J28" s="22" t="s">
        <v>1892</v>
      </c>
      <c r="K28" s="22" t="s">
        <v>34</v>
      </c>
      <c r="L28" s="22" t="s">
        <v>1893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1953</v>
      </c>
      <c r="D29" s="22" t="s">
        <v>1954</v>
      </c>
      <c r="E29" s="22" t="s">
        <v>1955</v>
      </c>
      <c r="F29" s="23">
        <v>9</v>
      </c>
      <c r="G29" s="23">
        <v>0</v>
      </c>
      <c r="H29" s="23">
        <v>30</v>
      </c>
      <c r="I29" s="23">
        <f t="shared" si="0"/>
        <v>-30</v>
      </c>
      <c r="J29" s="22" t="s">
        <v>1892</v>
      </c>
      <c r="K29" s="22" t="s">
        <v>34</v>
      </c>
      <c r="L29" s="22" t="s">
        <v>1893</v>
      </c>
      <c r="M29" s="22"/>
      <c r="N29" s="22"/>
      <c r="O29" s="22"/>
      <c r="P29" s="22"/>
      <c r="Q29" s="22">
        <v>1</v>
      </c>
      <c r="R29" s="24">
        <f t="shared" ref="R29:R31" si="1">H29</f>
        <v>30</v>
      </c>
    </row>
    <row r="30" spans="1:18" customFormat="1" x14ac:dyDescent="0.25">
      <c r="A30" s="22" t="s">
        <v>29</v>
      </c>
      <c r="B30" s="22" t="s">
        <v>30</v>
      </c>
      <c r="C30" s="22" t="s">
        <v>864</v>
      </c>
      <c r="D30" s="22"/>
      <c r="E30" s="22" t="s">
        <v>626</v>
      </c>
      <c r="F30" s="23">
        <v>6</v>
      </c>
      <c r="G30" s="23">
        <v>0</v>
      </c>
      <c r="H30" s="23">
        <v>30</v>
      </c>
      <c r="I30" s="23">
        <f t="shared" si="0"/>
        <v>-30</v>
      </c>
      <c r="J30" s="22" t="s">
        <v>1892</v>
      </c>
      <c r="K30" s="22" t="s">
        <v>34</v>
      </c>
      <c r="L30" s="22" t="s">
        <v>1893</v>
      </c>
      <c r="M30" s="22"/>
      <c r="N30" s="22"/>
      <c r="O30" s="22"/>
      <c r="P30" s="22"/>
      <c r="Q30" s="22">
        <v>1</v>
      </c>
      <c r="R30" s="24">
        <f t="shared" si="1"/>
        <v>30</v>
      </c>
    </row>
    <row r="31" spans="1:18" customFormat="1" x14ac:dyDescent="0.25">
      <c r="A31" s="22"/>
      <c r="B31" s="22" t="s">
        <v>30</v>
      </c>
      <c r="C31" s="22" t="s">
        <v>1538</v>
      </c>
      <c r="D31" s="22" t="s">
        <v>1956</v>
      </c>
      <c r="E31" s="22" t="s">
        <v>1540</v>
      </c>
      <c r="F31" s="22" t="s">
        <v>98</v>
      </c>
      <c r="G31" s="23">
        <v>0</v>
      </c>
      <c r="H31" s="23">
        <v>20</v>
      </c>
      <c r="I31" s="23">
        <f t="shared" si="0"/>
        <v>-20</v>
      </c>
      <c r="J31" s="22" t="s">
        <v>34</v>
      </c>
      <c r="K31" s="22" t="s">
        <v>34</v>
      </c>
      <c r="L31" s="22" t="s">
        <v>1893</v>
      </c>
      <c r="M31" s="22"/>
      <c r="N31" s="22"/>
      <c r="O31" s="22"/>
      <c r="P31" s="22"/>
      <c r="Q31" s="22">
        <v>1</v>
      </c>
      <c r="R31" s="24">
        <f t="shared" si="1"/>
        <v>20</v>
      </c>
    </row>
    <row r="32" spans="1:18" customFormat="1" x14ac:dyDescent="0.25">
      <c r="A32" s="22"/>
      <c r="B32" s="22" t="s">
        <v>30</v>
      </c>
      <c r="C32" s="22" t="s">
        <v>1957</v>
      </c>
      <c r="D32" s="22" t="s">
        <v>1958</v>
      </c>
      <c r="E32" s="22" t="s">
        <v>1959</v>
      </c>
      <c r="F32" s="22" t="s">
        <v>90</v>
      </c>
      <c r="G32" s="23">
        <v>1855</v>
      </c>
      <c r="H32" s="23">
        <v>25</v>
      </c>
      <c r="I32" s="23">
        <f t="shared" si="0"/>
        <v>1830</v>
      </c>
      <c r="J32" s="22" t="s">
        <v>34</v>
      </c>
      <c r="K32" s="22" t="s">
        <v>34</v>
      </c>
      <c r="L32" s="22" t="s">
        <v>1893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1960</v>
      </c>
      <c r="D33" s="22" t="s">
        <v>1961</v>
      </c>
      <c r="E33" s="22" t="s">
        <v>1962</v>
      </c>
      <c r="F33" s="22" t="s">
        <v>90</v>
      </c>
      <c r="G33" s="23">
        <v>785</v>
      </c>
      <c r="H33" s="23">
        <v>25</v>
      </c>
      <c r="I33" s="23">
        <f t="shared" si="0"/>
        <v>760</v>
      </c>
      <c r="J33" s="22" t="s">
        <v>34</v>
      </c>
      <c r="K33" s="22" t="s">
        <v>34</v>
      </c>
      <c r="L33" s="22" t="s">
        <v>1893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1963</v>
      </c>
      <c r="D34" s="22" t="s">
        <v>1964</v>
      </c>
      <c r="E34" s="22" t="s">
        <v>1965</v>
      </c>
      <c r="F34" s="23">
        <v>2</v>
      </c>
      <c r="G34" s="23">
        <v>1110</v>
      </c>
      <c r="H34" s="23">
        <v>30</v>
      </c>
      <c r="I34" s="23">
        <f t="shared" si="0"/>
        <v>1080</v>
      </c>
      <c r="J34" s="22" t="s">
        <v>34</v>
      </c>
      <c r="K34" s="22" t="s">
        <v>34</v>
      </c>
      <c r="L34" s="22" t="s">
        <v>1893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1858</v>
      </c>
      <c r="D35" s="22" t="s">
        <v>1966</v>
      </c>
      <c r="E35" s="22" t="s">
        <v>1860</v>
      </c>
      <c r="F35" s="22" t="s">
        <v>98</v>
      </c>
      <c r="G35" s="23">
        <v>60</v>
      </c>
      <c r="H35" s="23">
        <v>20</v>
      </c>
      <c r="I35" s="23">
        <f t="shared" si="0"/>
        <v>40</v>
      </c>
      <c r="J35" s="22" t="s">
        <v>34</v>
      </c>
      <c r="K35" s="22" t="s">
        <v>34</v>
      </c>
      <c r="L35" s="22" t="s">
        <v>1893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1967</v>
      </c>
      <c r="D36" s="22" t="s">
        <v>1968</v>
      </c>
      <c r="E36" s="22" t="s">
        <v>1969</v>
      </c>
      <c r="F36" s="23">
        <v>2</v>
      </c>
      <c r="G36" s="23">
        <v>880</v>
      </c>
      <c r="H36" s="23">
        <v>30</v>
      </c>
      <c r="I36" s="23">
        <f t="shared" si="0"/>
        <v>850</v>
      </c>
      <c r="J36" s="22" t="s">
        <v>34</v>
      </c>
      <c r="K36" s="22" t="s">
        <v>34</v>
      </c>
      <c r="L36" s="22" t="s">
        <v>1893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1085</v>
      </c>
      <c r="D37" s="22" t="s">
        <v>1970</v>
      </c>
      <c r="E37" s="22" t="s">
        <v>1971</v>
      </c>
      <c r="F37" s="22" t="s">
        <v>90</v>
      </c>
      <c r="G37" s="23">
        <v>995</v>
      </c>
      <c r="H37" s="23">
        <v>25</v>
      </c>
      <c r="I37" s="23">
        <f t="shared" si="0"/>
        <v>970</v>
      </c>
      <c r="J37" s="22" t="s">
        <v>34</v>
      </c>
      <c r="K37" s="22" t="s">
        <v>34</v>
      </c>
      <c r="L37" s="22" t="s">
        <v>1893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865</v>
      </c>
      <c r="D38" s="22" t="s">
        <v>1972</v>
      </c>
      <c r="E38" s="22" t="s">
        <v>867</v>
      </c>
      <c r="F38" s="22" t="s">
        <v>90</v>
      </c>
      <c r="G38" s="23">
        <v>725</v>
      </c>
      <c r="H38" s="23">
        <v>25</v>
      </c>
      <c r="I38" s="23">
        <f t="shared" si="0"/>
        <v>700</v>
      </c>
      <c r="J38" s="22" t="s">
        <v>34</v>
      </c>
      <c r="K38" s="22" t="s">
        <v>34</v>
      </c>
      <c r="L38" s="22" t="s">
        <v>1893</v>
      </c>
      <c r="M38" s="28" t="s">
        <v>360</v>
      </c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865</v>
      </c>
      <c r="D39" s="22" t="s">
        <v>1973</v>
      </c>
      <c r="E39" s="22" t="s">
        <v>867</v>
      </c>
      <c r="F39" s="22" t="s">
        <v>90</v>
      </c>
      <c r="G39" s="23">
        <v>850</v>
      </c>
      <c r="H39" s="23">
        <v>0</v>
      </c>
      <c r="I39" s="23">
        <f t="shared" si="0"/>
        <v>850</v>
      </c>
      <c r="J39" s="22" t="s">
        <v>34</v>
      </c>
      <c r="K39" s="22" t="s">
        <v>34</v>
      </c>
      <c r="L39" s="22" t="s">
        <v>1893</v>
      </c>
      <c r="M39" s="28" t="s">
        <v>360</v>
      </c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1974</v>
      </c>
      <c r="D40" s="22" t="s">
        <v>1975</v>
      </c>
      <c r="E40" s="22" t="s">
        <v>1976</v>
      </c>
      <c r="F40" s="22" t="s">
        <v>90</v>
      </c>
      <c r="G40" s="23">
        <v>845</v>
      </c>
      <c r="H40" s="23">
        <v>25</v>
      </c>
      <c r="I40" s="23">
        <f t="shared" si="0"/>
        <v>820</v>
      </c>
      <c r="J40" s="22" t="s">
        <v>34</v>
      </c>
      <c r="K40" s="22" t="s">
        <v>34</v>
      </c>
      <c r="L40" s="22" t="s">
        <v>1893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1977</v>
      </c>
      <c r="D41" s="22" t="s">
        <v>1978</v>
      </c>
      <c r="E41" s="22" t="s">
        <v>1979</v>
      </c>
      <c r="F41" s="22" t="s">
        <v>108</v>
      </c>
      <c r="G41" s="23">
        <v>715</v>
      </c>
      <c r="H41" s="23">
        <v>25</v>
      </c>
      <c r="I41" s="23">
        <f t="shared" si="0"/>
        <v>690</v>
      </c>
      <c r="J41" s="22" t="s">
        <v>34</v>
      </c>
      <c r="K41" s="22" t="s">
        <v>34</v>
      </c>
      <c r="L41" s="22" t="s">
        <v>1893</v>
      </c>
      <c r="M41" s="22"/>
      <c r="N41" s="22"/>
      <c r="O41" s="22"/>
      <c r="P41" s="22"/>
      <c r="Q41" s="22">
        <v>1</v>
      </c>
    </row>
    <row r="42" spans="1:18" customFormat="1" x14ac:dyDescent="0.25">
      <c r="A42" s="22" t="s">
        <v>29</v>
      </c>
      <c r="B42" s="22" t="s">
        <v>30</v>
      </c>
      <c r="C42" s="22" t="s">
        <v>142</v>
      </c>
      <c r="D42" s="22"/>
      <c r="E42" s="22" t="s">
        <v>143</v>
      </c>
      <c r="F42" s="22" t="s">
        <v>90</v>
      </c>
      <c r="G42" s="23">
        <v>2450</v>
      </c>
      <c r="H42" s="23">
        <v>30</v>
      </c>
      <c r="I42" s="23">
        <f t="shared" si="0"/>
        <v>2420</v>
      </c>
      <c r="J42" s="22" t="s">
        <v>34</v>
      </c>
      <c r="K42" s="22" t="s">
        <v>34</v>
      </c>
      <c r="L42" s="22" t="s">
        <v>1893</v>
      </c>
      <c r="M42" s="22"/>
      <c r="N42" s="22"/>
      <c r="O42" s="22"/>
      <c r="P42" s="22"/>
      <c r="Q42" s="22">
        <v>1</v>
      </c>
    </row>
    <row r="43" spans="1:18" customFormat="1" x14ac:dyDescent="0.25">
      <c r="A43" s="22" t="s">
        <v>29</v>
      </c>
      <c r="B43" s="22" t="s">
        <v>30</v>
      </c>
      <c r="C43" s="22" t="s">
        <v>1266</v>
      </c>
      <c r="D43" s="22"/>
      <c r="E43" s="22" t="s">
        <v>1267</v>
      </c>
      <c r="F43" s="22" t="s">
        <v>108</v>
      </c>
      <c r="G43" s="23">
        <v>0</v>
      </c>
      <c r="H43" s="23">
        <v>30</v>
      </c>
      <c r="I43" s="23">
        <f t="shared" si="0"/>
        <v>-30</v>
      </c>
      <c r="J43" s="22" t="s">
        <v>34</v>
      </c>
      <c r="K43" s="22" t="s">
        <v>34</v>
      </c>
      <c r="L43" s="22" t="s">
        <v>1893</v>
      </c>
      <c r="M43" s="22"/>
      <c r="N43" s="22"/>
      <c r="O43" s="22"/>
      <c r="P43" s="22"/>
      <c r="Q43" s="22">
        <v>1</v>
      </c>
      <c r="R43" s="24">
        <f>H43</f>
        <v>30</v>
      </c>
    </row>
    <row r="44" spans="1:18" customFormat="1" x14ac:dyDescent="0.25">
      <c r="A44" s="22" t="s">
        <v>29</v>
      </c>
      <c r="B44" s="22" t="s">
        <v>30</v>
      </c>
      <c r="C44" s="22" t="s">
        <v>353</v>
      </c>
      <c r="D44" s="22"/>
      <c r="E44" s="22" t="s">
        <v>354</v>
      </c>
      <c r="F44" s="22" t="s">
        <v>90</v>
      </c>
      <c r="G44" s="23">
        <v>370</v>
      </c>
      <c r="H44" s="23">
        <v>30</v>
      </c>
      <c r="I44" s="23">
        <f t="shared" si="0"/>
        <v>340</v>
      </c>
      <c r="J44" s="22" t="s">
        <v>34</v>
      </c>
      <c r="K44" s="22" t="s">
        <v>34</v>
      </c>
      <c r="L44" s="22" t="s">
        <v>1893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1980</v>
      </c>
      <c r="D45" s="22" t="s">
        <v>1981</v>
      </c>
      <c r="E45" s="22" t="s">
        <v>1982</v>
      </c>
      <c r="F45" s="23">
        <v>1</v>
      </c>
      <c r="G45" s="23">
        <v>0</v>
      </c>
      <c r="H45" s="23">
        <v>25</v>
      </c>
      <c r="I45" s="23">
        <f t="shared" si="0"/>
        <v>-25</v>
      </c>
      <c r="J45" s="22" t="s">
        <v>148</v>
      </c>
      <c r="K45" s="22" t="s">
        <v>34</v>
      </c>
      <c r="L45" s="22" t="s">
        <v>1893</v>
      </c>
      <c r="M45" s="22"/>
      <c r="N45" s="22"/>
      <c r="O45" s="22"/>
      <c r="P45" s="22"/>
      <c r="Q45" s="22">
        <v>1</v>
      </c>
      <c r="R45" s="24">
        <f>H45</f>
        <v>25</v>
      </c>
    </row>
    <row r="46" spans="1:18" customFormat="1" x14ac:dyDescent="0.25">
      <c r="A46" s="22"/>
      <c r="B46" s="22" t="s">
        <v>30</v>
      </c>
      <c r="C46" s="22" t="s">
        <v>1223</v>
      </c>
      <c r="D46" s="22" t="s">
        <v>1983</v>
      </c>
      <c r="E46" s="22" t="s">
        <v>1225</v>
      </c>
      <c r="F46" s="22" t="s">
        <v>389</v>
      </c>
      <c r="G46" s="23">
        <v>1100</v>
      </c>
      <c r="H46" s="23">
        <v>20</v>
      </c>
      <c r="I46" s="23">
        <f t="shared" si="0"/>
        <v>1080</v>
      </c>
      <c r="J46" s="22" t="s">
        <v>148</v>
      </c>
      <c r="K46" s="22" t="s">
        <v>34</v>
      </c>
      <c r="L46" s="22" t="s">
        <v>1893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1984</v>
      </c>
      <c r="D47" s="22" t="s">
        <v>1985</v>
      </c>
      <c r="E47" s="22" t="s">
        <v>1986</v>
      </c>
      <c r="F47" s="22" t="s">
        <v>108</v>
      </c>
      <c r="G47" s="23">
        <v>995</v>
      </c>
      <c r="H47" s="23">
        <v>25</v>
      </c>
      <c r="I47" s="23">
        <f t="shared" si="0"/>
        <v>970</v>
      </c>
      <c r="J47" s="22" t="s">
        <v>148</v>
      </c>
      <c r="K47" s="22" t="s">
        <v>34</v>
      </c>
      <c r="L47" s="22" t="s">
        <v>1893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1987</v>
      </c>
      <c r="D48" s="22" t="s">
        <v>1988</v>
      </c>
      <c r="E48" s="22" t="s">
        <v>1989</v>
      </c>
      <c r="F48" s="23">
        <v>4</v>
      </c>
      <c r="G48" s="23">
        <v>845</v>
      </c>
      <c r="H48" s="23">
        <v>25</v>
      </c>
      <c r="I48" s="23">
        <f t="shared" si="0"/>
        <v>820</v>
      </c>
      <c r="J48" s="22" t="s">
        <v>148</v>
      </c>
      <c r="K48" s="22" t="s">
        <v>34</v>
      </c>
      <c r="L48" s="22" t="s">
        <v>1893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1990</v>
      </c>
      <c r="D49" s="22" t="s">
        <v>1991</v>
      </c>
      <c r="E49" s="22" t="s">
        <v>1992</v>
      </c>
      <c r="F49" s="22" t="s">
        <v>389</v>
      </c>
      <c r="G49" s="23">
        <v>1010</v>
      </c>
      <c r="H49" s="23">
        <v>20</v>
      </c>
      <c r="I49" s="23">
        <f t="shared" si="0"/>
        <v>990</v>
      </c>
      <c r="J49" s="22" t="s">
        <v>148</v>
      </c>
      <c r="K49" s="22" t="s">
        <v>34</v>
      </c>
      <c r="L49" s="22" t="s">
        <v>1893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1993</v>
      </c>
      <c r="D50" s="22" t="s">
        <v>1994</v>
      </c>
      <c r="E50" s="22" t="s">
        <v>1995</v>
      </c>
      <c r="F50" s="22" t="s">
        <v>108</v>
      </c>
      <c r="G50" s="23">
        <v>0</v>
      </c>
      <c r="H50" s="23">
        <v>25</v>
      </c>
      <c r="I50" s="23">
        <f t="shared" si="0"/>
        <v>-25</v>
      </c>
      <c r="J50" s="22" t="s">
        <v>148</v>
      </c>
      <c r="K50" s="22" t="s">
        <v>34</v>
      </c>
      <c r="L50" s="22" t="s">
        <v>1893</v>
      </c>
      <c r="M50" s="22"/>
      <c r="N50" s="22"/>
      <c r="O50" s="22"/>
      <c r="P50" s="22"/>
      <c r="Q50" s="22">
        <v>1</v>
      </c>
      <c r="R50" s="24">
        <f t="shared" ref="R50:R51" si="2">H50</f>
        <v>25</v>
      </c>
    </row>
    <row r="51" spans="1:18" customFormat="1" x14ac:dyDescent="0.25">
      <c r="A51" s="22"/>
      <c r="B51" s="22" t="s">
        <v>30</v>
      </c>
      <c r="C51" s="22" t="s">
        <v>1873</v>
      </c>
      <c r="D51" s="22" t="s">
        <v>1996</v>
      </c>
      <c r="E51" s="22" t="s">
        <v>1875</v>
      </c>
      <c r="F51" s="23">
        <v>3</v>
      </c>
      <c r="G51" s="23">
        <v>0</v>
      </c>
      <c r="H51" s="23">
        <v>25</v>
      </c>
      <c r="I51" s="23">
        <f t="shared" si="0"/>
        <v>-25</v>
      </c>
      <c r="J51" s="22" t="s">
        <v>148</v>
      </c>
      <c r="K51" s="22" t="s">
        <v>34</v>
      </c>
      <c r="L51" s="22" t="s">
        <v>1893</v>
      </c>
      <c r="M51" s="28" t="s">
        <v>1997</v>
      </c>
      <c r="N51" s="22"/>
      <c r="O51" s="22"/>
      <c r="P51" s="22"/>
      <c r="Q51" s="22">
        <v>1</v>
      </c>
      <c r="R51" s="24">
        <f t="shared" si="2"/>
        <v>25</v>
      </c>
    </row>
    <row r="52" spans="1:18" customFormat="1" x14ac:dyDescent="0.25">
      <c r="A52" s="22"/>
      <c r="B52" s="22" t="s">
        <v>30</v>
      </c>
      <c r="C52" s="22" t="s">
        <v>1998</v>
      </c>
      <c r="D52" s="22" t="s">
        <v>1999</v>
      </c>
      <c r="E52" s="22" t="s">
        <v>2000</v>
      </c>
      <c r="F52" s="22" t="s">
        <v>389</v>
      </c>
      <c r="G52" s="23">
        <v>390</v>
      </c>
      <c r="H52" s="23">
        <v>20</v>
      </c>
      <c r="I52" s="23">
        <f t="shared" si="0"/>
        <v>370</v>
      </c>
      <c r="J52" s="22" t="s">
        <v>148</v>
      </c>
      <c r="K52" s="22" t="s">
        <v>34</v>
      </c>
      <c r="L52" s="22" t="s">
        <v>1893</v>
      </c>
      <c r="M52" s="22"/>
      <c r="N52" s="22"/>
      <c r="O52" s="22"/>
      <c r="P52" s="22"/>
      <c r="Q52" s="22">
        <v>1</v>
      </c>
    </row>
    <row r="53" spans="1:18" customFormat="1" x14ac:dyDescent="0.25">
      <c r="A53" s="22"/>
      <c r="B53" s="22" t="s">
        <v>30</v>
      </c>
      <c r="C53" s="22" t="s">
        <v>714</v>
      </c>
      <c r="D53" s="22" t="s">
        <v>2001</v>
      </c>
      <c r="E53" s="22" t="s">
        <v>2002</v>
      </c>
      <c r="F53" s="23">
        <v>10</v>
      </c>
      <c r="G53" s="23">
        <v>845</v>
      </c>
      <c r="H53" s="23">
        <v>25</v>
      </c>
      <c r="I53" s="23">
        <f t="shared" si="0"/>
        <v>820</v>
      </c>
      <c r="J53" s="22" t="s">
        <v>148</v>
      </c>
      <c r="K53" s="22" t="s">
        <v>34</v>
      </c>
      <c r="L53" s="22" t="s">
        <v>1893</v>
      </c>
      <c r="M53" s="28" t="s">
        <v>360</v>
      </c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714</v>
      </c>
      <c r="D54" s="22" t="s">
        <v>2003</v>
      </c>
      <c r="E54" s="22" t="s">
        <v>2002</v>
      </c>
      <c r="F54" s="23">
        <v>10</v>
      </c>
      <c r="G54" s="23">
        <v>770</v>
      </c>
      <c r="H54" s="23">
        <v>0</v>
      </c>
      <c r="I54" s="23">
        <f t="shared" si="0"/>
        <v>770</v>
      </c>
      <c r="J54" s="22" t="s">
        <v>148</v>
      </c>
      <c r="K54" s="22" t="s">
        <v>34</v>
      </c>
      <c r="L54" s="22" t="s">
        <v>1893</v>
      </c>
      <c r="M54" s="28" t="s">
        <v>360</v>
      </c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2004</v>
      </c>
      <c r="D55" s="22" t="s">
        <v>2005</v>
      </c>
      <c r="E55" s="22" t="s">
        <v>2006</v>
      </c>
      <c r="F55" s="23">
        <v>10</v>
      </c>
      <c r="G55" s="23">
        <v>465</v>
      </c>
      <c r="H55" s="23">
        <v>25</v>
      </c>
      <c r="I55" s="23">
        <f t="shared" si="0"/>
        <v>440</v>
      </c>
      <c r="J55" s="22" t="s">
        <v>148</v>
      </c>
      <c r="K55" s="22" t="s">
        <v>34</v>
      </c>
      <c r="L55" s="22" t="s">
        <v>1893</v>
      </c>
      <c r="M55" s="22"/>
      <c r="N55" s="22"/>
      <c r="O55" s="22"/>
      <c r="P55" s="22"/>
      <c r="Q55" s="22">
        <v>1</v>
      </c>
    </row>
    <row r="57" spans="1:18" x14ac:dyDescent="0.25">
      <c r="G57" s="1">
        <f t="shared" ref="G57:R57" si="3">SUBTOTAL(9,G3:G56)</f>
        <v>44655</v>
      </c>
      <c r="H57" s="1">
        <f t="shared" si="3"/>
        <v>1405</v>
      </c>
      <c r="I57" s="1">
        <f t="shared" si="3"/>
        <v>43250</v>
      </c>
      <c r="J57" s="1">
        <f t="shared" si="3"/>
        <v>0</v>
      </c>
      <c r="K57" s="1">
        <f t="shared" si="3"/>
        <v>0</v>
      </c>
      <c r="L57" s="1">
        <f t="shared" si="3"/>
        <v>0</v>
      </c>
      <c r="M57" s="1">
        <f t="shared" si="3"/>
        <v>0</v>
      </c>
      <c r="N57" s="1">
        <f t="shared" si="3"/>
        <v>0</v>
      </c>
      <c r="O57" s="1">
        <f t="shared" si="3"/>
        <v>0</v>
      </c>
      <c r="P57" s="1">
        <f t="shared" si="3"/>
        <v>0</v>
      </c>
      <c r="Q57" s="1">
        <f t="shared" si="3"/>
        <v>53</v>
      </c>
      <c r="R57" s="1">
        <f t="shared" si="3"/>
        <v>360</v>
      </c>
    </row>
    <row r="61" spans="1:18" ht="20.25" customHeight="1" x14ac:dyDescent="0.3">
      <c r="H61" s="4" t="s">
        <v>1826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43250</v>
      </c>
      <c r="J62" s="8">
        <f>Q57</f>
        <v>53</v>
      </c>
    </row>
    <row r="63" spans="1:18" x14ac:dyDescent="0.25">
      <c r="H63" s="9" t="s">
        <v>18</v>
      </c>
      <c r="I63" s="10">
        <f>R57</f>
        <v>360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43610</v>
      </c>
      <c r="J69" s="16">
        <f>SUM(J62:J66)</f>
        <v>53</v>
      </c>
    </row>
    <row r="71" spans="1:12" x14ac:dyDescent="0.25">
      <c r="A71" s="1" t="s">
        <v>800</v>
      </c>
    </row>
    <row r="72" spans="1:12" x14ac:dyDescent="0.25">
      <c r="A72" s="36" t="s">
        <v>30</v>
      </c>
      <c r="B72" s="36" t="s">
        <v>1873</v>
      </c>
      <c r="C72" s="36" t="s">
        <v>1996</v>
      </c>
      <c r="D72" s="36" t="s">
        <v>1875</v>
      </c>
      <c r="E72" s="37">
        <v>3</v>
      </c>
      <c r="F72" s="37">
        <v>2230</v>
      </c>
      <c r="G72" s="37">
        <v>0</v>
      </c>
      <c r="H72" s="37">
        <f t="shared" ref="H72" si="4">F72-G72</f>
        <v>2230</v>
      </c>
      <c r="I72" s="36" t="s">
        <v>148</v>
      </c>
      <c r="J72" s="36" t="s">
        <v>34</v>
      </c>
      <c r="K72" s="36" t="s">
        <v>1893</v>
      </c>
      <c r="L72" s="28" t="s">
        <v>1997</v>
      </c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E5FA-3A0A-4FBF-A036-7CE4C38D04EE}">
  <dimension ref="A1:R43"/>
  <sheetViews>
    <sheetView tabSelected="1" topLeftCell="A21" zoomScale="82" zoomScaleNormal="80" workbookViewId="0">
      <selection activeCell="J32" sqref="J3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1888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2009</v>
      </c>
      <c r="D3" s="22"/>
      <c r="E3" s="22" t="s">
        <v>2010</v>
      </c>
      <c r="F3" s="23">
        <v>9</v>
      </c>
      <c r="G3" s="23">
        <v>1545</v>
      </c>
      <c r="H3" s="23">
        <v>35</v>
      </c>
      <c r="I3" s="23">
        <f t="shared" ref="I3:I29" si="0">G3-H3</f>
        <v>1510</v>
      </c>
      <c r="J3" s="22" t="s">
        <v>33</v>
      </c>
      <c r="K3" s="22" t="s">
        <v>34</v>
      </c>
      <c r="L3" s="22" t="s">
        <v>2011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2012</v>
      </c>
      <c r="D4" s="22" t="s">
        <v>2013</v>
      </c>
      <c r="E4" s="22" t="s">
        <v>2014</v>
      </c>
      <c r="F4" s="23">
        <v>9</v>
      </c>
      <c r="G4" s="23">
        <v>880</v>
      </c>
      <c r="H4" s="23">
        <v>30</v>
      </c>
      <c r="I4" s="23">
        <f t="shared" si="0"/>
        <v>850</v>
      </c>
      <c r="J4" s="22" t="s">
        <v>33</v>
      </c>
      <c r="K4" s="22" t="s">
        <v>34</v>
      </c>
      <c r="L4" s="22" t="s">
        <v>2011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202</v>
      </c>
      <c r="D5" s="22"/>
      <c r="E5" s="22" t="s">
        <v>863</v>
      </c>
      <c r="F5" s="23">
        <v>5</v>
      </c>
      <c r="G5" s="23">
        <v>30</v>
      </c>
      <c r="H5" s="23">
        <v>30</v>
      </c>
      <c r="I5" s="23">
        <f t="shared" si="0"/>
        <v>0</v>
      </c>
      <c r="J5" s="22" t="s">
        <v>2015</v>
      </c>
      <c r="K5" s="22" t="s">
        <v>34</v>
      </c>
      <c r="L5" s="22" t="s">
        <v>2011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1536</v>
      </c>
      <c r="D6" s="22"/>
      <c r="E6" s="22" t="s">
        <v>2016</v>
      </c>
      <c r="F6" s="23">
        <v>6</v>
      </c>
      <c r="G6" s="23">
        <v>0</v>
      </c>
      <c r="H6" s="23">
        <v>30</v>
      </c>
      <c r="I6" s="23">
        <f t="shared" si="0"/>
        <v>-30</v>
      </c>
      <c r="J6" s="22" t="s">
        <v>2015</v>
      </c>
      <c r="K6" s="22" t="s">
        <v>34</v>
      </c>
      <c r="L6" s="22" t="s">
        <v>2011</v>
      </c>
      <c r="M6" s="22"/>
      <c r="N6" s="22"/>
      <c r="O6" s="22"/>
      <c r="P6" s="22"/>
      <c r="Q6" s="22">
        <v>1</v>
      </c>
      <c r="R6" s="24">
        <f>H6</f>
        <v>30</v>
      </c>
    </row>
    <row r="7" spans="1:18" customFormat="1" x14ac:dyDescent="0.25">
      <c r="A7" s="22"/>
      <c r="B7" s="22" t="s">
        <v>30</v>
      </c>
      <c r="C7" s="22" t="s">
        <v>2017</v>
      </c>
      <c r="D7" s="22" t="s">
        <v>2018</v>
      </c>
      <c r="E7" s="22" t="s">
        <v>2019</v>
      </c>
      <c r="F7" s="23">
        <v>12</v>
      </c>
      <c r="G7" s="23">
        <v>2270</v>
      </c>
      <c r="H7" s="23">
        <v>30</v>
      </c>
      <c r="I7" s="23">
        <f t="shared" si="0"/>
        <v>2240</v>
      </c>
      <c r="J7" s="22" t="s">
        <v>2015</v>
      </c>
      <c r="K7" s="22" t="s">
        <v>34</v>
      </c>
      <c r="L7" s="22" t="s">
        <v>2011</v>
      </c>
      <c r="M7" s="28" t="s">
        <v>180</v>
      </c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2020</v>
      </c>
      <c r="D8" s="22" t="s">
        <v>2021</v>
      </c>
      <c r="E8" s="22" t="s">
        <v>2022</v>
      </c>
      <c r="F8" s="23">
        <v>7</v>
      </c>
      <c r="G8" s="23">
        <v>2110</v>
      </c>
      <c r="H8" s="23">
        <v>30</v>
      </c>
      <c r="I8" s="23">
        <f t="shared" si="0"/>
        <v>2080</v>
      </c>
      <c r="J8" s="22" t="s">
        <v>2015</v>
      </c>
      <c r="K8" s="22" t="s">
        <v>34</v>
      </c>
      <c r="L8" s="22" t="s">
        <v>2011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2023</v>
      </c>
      <c r="D9" s="22" t="s">
        <v>2024</v>
      </c>
      <c r="E9" s="22" t="s">
        <v>2025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2015</v>
      </c>
      <c r="K9" s="22" t="s">
        <v>34</v>
      </c>
      <c r="L9" s="22" t="s">
        <v>2011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2026</v>
      </c>
      <c r="E10" s="22" t="s">
        <v>2027</v>
      </c>
      <c r="F10" s="22" t="s">
        <v>39</v>
      </c>
      <c r="G10" s="23">
        <v>380</v>
      </c>
      <c r="H10" s="23">
        <v>30</v>
      </c>
      <c r="I10" s="23">
        <f t="shared" si="0"/>
        <v>350</v>
      </c>
      <c r="J10" s="22" t="s">
        <v>2015</v>
      </c>
      <c r="K10" s="22" t="s">
        <v>34</v>
      </c>
      <c r="L10" s="22" t="s">
        <v>2011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168</v>
      </c>
      <c r="D11" s="22" t="s">
        <v>2028</v>
      </c>
      <c r="E11" s="22" t="s">
        <v>170</v>
      </c>
      <c r="F11" s="23">
        <v>7</v>
      </c>
      <c r="G11" s="23">
        <v>510</v>
      </c>
      <c r="H11" s="23">
        <v>30</v>
      </c>
      <c r="I11" s="23">
        <f t="shared" si="0"/>
        <v>480</v>
      </c>
      <c r="J11" s="22" t="s">
        <v>2015</v>
      </c>
      <c r="K11" s="22" t="s">
        <v>34</v>
      </c>
      <c r="L11" s="22" t="s">
        <v>2011</v>
      </c>
      <c r="M11" s="22"/>
      <c r="N11" s="22"/>
      <c r="O11" s="22"/>
      <c r="P11" s="22"/>
      <c r="Q11" s="22">
        <v>1</v>
      </c>
    </row>
    <row r="12" spans="1:18" s="27" customFormat="1" x14ac:dyDescent="0.25">
      <c r="A12" s="25"/>
      <c r="B12" s="25" t="s">
        <v>30</v>
      </c>
      <c r="C12" s="25" t="s">
        <v>2029</v>
      </c>
      <c r="D12" s="25" t="s">
        <v>2030</v>
      </c>
      <c r="E12" s="25" t="s">
        <v>2031</v>
      </c>
      <c r="F12" s="26">
        <v>8</v>
      </c>
      <c r="G12" s="26">
        <v>0</v>
      </c>
      <c r="H12" s="26">
        <v>30</v>
      </c>
      <c r="I12" s="26">
        <f t="shared" si="0"/>
        <v>-30</v>
      </c>
      <c r="J12" s="25" t="s">
        <v>2015</v>
      </c>
      <c r="K12" s="25" t="s">
        <v>34</v>
      </c>
      <c r="L12" s="25" t="s">
        <v>2011</v>
      </c>
      <c r="M12" s="25" t="s">
        <v>139</v>
      </c>
      <c r="N12" s="25"/>
      <c r="O12" s="25"/>
      <c r="P12" s="25"/>
      <c r="Q12" s="25">
        <v>1</v>
      </c>
      <c r="R12" s="31">
        <f>H12</f>
        <v>30</v>
      </c>
    </row>
    <row r="13" spans="1:18" customFormat="1" x14ac:dyDescent="0.25">
      <c r="A13" s="22"/>
      <c r="B13" s="22" t="s">
        <v>30</v>
      </c>
      <c r="C13" s="22" t="s">
        <v>2032</v>
      </c>
      <c r="D13" s="22" t="s">
        <v>2033</v>
      </c>
      <c r="E13" s="22" t="s">
        <v>2034</v>
      </c>
      <c r="F13" s="23">
        <v>7</v>
      </c>
      <c r="G13" s="23">
        <v>920</v>
      </c>
      <c r="H13" s="23">
        <v>30</v>
      </c>
      <c r="I13" s="23">
        <f t="shared" si="0"/>
        <v>890</v>
      </c>
      <c r="J13" s="22" t="s">
        <v>2015</v>
      </c>
      <c r="K13" s="22" t="s">
        <v>34</v>
      </c>
      <c r="L13" s="22" t="s">
        <v>2011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2035</v>
      </c>
      <c r="D14" s="22" t="s">
        <v>2036</v>
      </c>
      <c r="E14" s="22" t="s">
        <v>2037</v>
      </c>
      <c r="F14" s="22" t="s">
        <v>90</v>
      </c>
      <c r="G14" s="23">
        <v>0</v>
      </c>
      <c r="H14" s="23">
        <v>25</v>
      </c>
      <c r="I14" s="23">
        <f t="shared" si="0"/>
        <v>-25</v>
      </c>
      <c r="J14" s="22" t="s">
        <v>34</v>
      </c>
      <c r="K14" s="22" t="s">
        <v>34</v>
      </c>
      <c r="L14" s="22" t="s">
        <v>2011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customFormat="1" x14ac:dyDescent="0.25">
      <c r="A15" s="22"/>
      <c r="B15" s="22" t="s">
        <v>30</v>
      </c>
      <c r="C15" s="22" t="s">
        <v>2038</v>
      </c>
      <c r="D15" s="22" t="s">
        <v>2039</v>
      </c>
      <c r="E15" s="22" t="s">
        <v>1716</v>
      </c>
      <c r="F15" s="23">
        <v>2</v>
      </c>
      <c r="G15" s="23">
        <v>510</v>
      </c>
      <c r="H15" s="23">
        <v>30</v>
      </c>
      <c r="I15" s="23">
        <f t="shared" si="0"/>
        <v>480</v>
      </c>
      <c r="J15" s="22" t="s">
        <v>34</v>
      </c>
      <c r="K15" s="22" t="s">
        <v>34</v>
      </c>
      <c r="L15" s="22" t="s">
        <v>2011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2040</v>
      </c>
      <c r="D16" s="22" t="s">
        <v>2030</v>
      </c>
      <c r="E16" s="22" t="s">
        <v>1093</v>
      </c>
      <c r="F16" s="22" t="s">
        <v>98</v>
      </c>
      <c r="G16" s="23">
        <v>870</v>
      </c>
      <c r="H16" s="23">
        <v>20</v>
      </c>
      <c r="I16" s="23">
        <f t="shared" si="0"/>
        <v>850</v>
      </c>
      <c r="J16" s="22" t="s">
        <v>34</v>
      </c>
      <c r="K16" s="22" t="s">
        <v>34</v>
      </c>
      <c r="L16" s="22" t="s">
        <v>2011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2041</v>
      </c>
      <c r="E17" s="22" t="s">
        <v>2042</v>
      </c>
      <c r="F17" s="22" t="s">
        <v>90</v>
      </c>
      <c r="G17" s="23">
        <v>685</v>
      </c>
      <c r="H17" s="23">
        <v>25</v>
      </c>
      <c r="I17" s="23">
        <f t="shared" si="0"/>
        <v>660</v>
      </c>
      <c r="J17" s="22" t="s">
        <v>34</v>
      </c>
      <c r="K17" s="22" t="s">
        <v>34</v>
      </c>
      <c r="L17" s="22" t="s">
        <v>2011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2043</v>
      </c>
      <c r="D18" s="22" t="s">
        <v>2044</v>
      </c>
      <c r="E18" s="22" t="s">
        <v>2045</v>
      </c>
      <c r="F18" s="22" t="s">
        <v>98</v>
      </c>
      <c r="G18" s="23">
        <v>740</v>
      </c>
      <c r="H18" s="23">
        <v>20</v>
      </c>
      <c r="I18" s="23">
        <f t="shared" si="0"/>
        <v>720</v>
      </c>
      <c r="J18" s="22" t="s">
        <v>34</v>
      </c>
      <c r="K18" s="22" t="s">
        <v>34</v>
      </c>
      <c r="L18" s="22" t="s">
        <v>2011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2046</v>
      </c>
      <c r="D19" s="22" t="s">
        <v>2047</v>
      </c>
      <c r="E19" s="22" t="s">
        <v>2048</v>
      </c>
      <c r="F19" s="22" t="s">
        <v>94</v>
      </c>
      <c r="G19" s="23">
        <v>920</v>
      </c>
      <c r="H19" s="23">
        <v>30</v>
      </c>
      <c r="I19" s="23">
        <f t="shared" si="0"/>
        <v>890</v>
      </c>
      <c r="J19" s="22" t="s">
        <v>34</v>
      </c>
      <c r="K19" s="22" t="s">
        <v>34</v>
      </c>
      <c r="L19" s="22" t="s">
        <v>2011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2049</v>
      </c>
      <c r="D20" s="22" t="s">
        <v>2050</v>
      </c>
      <c r="E20" s="22" t="s">
        <v>2051</v>
      </c>
      <c r="F20" s="23">
        <v>2</v>
      </c>
      <c r="G20" s="23">
        <v>2410</v>
      </c>
      <c r="H20" s="23">
        <v>35</v>
      </c>
      <c r="I20" s="23">
        <f t="shared" si="0"/>
        <v>2375</v>
      </c>
      <c r="J20" s="22" t="s">
        <v>34</v>
      </c>
      <c r="K20" s="22" t="s">
        <v>34</v>
      </c>
      <c r="L20" s="22" t="s">
        <v>2011</v>
      </c>
      <c r="M20" s="28" t="s">
        <v>180</v>
      </c>
      <c r="N20" s="22"/>
      <c r="O20" s="22"/>
      <c r="P20" s="22"/>
      <c r="Q20" s="22">
        <v>1</v>
      </c>
      <c r="R20" s="24">
        <f>H20</f>
        <v>35</v>
      </c>
    </row>
    <row r="21" spans="1:18" customFormat="1" x14ac:dyDescent="0.25">
      <c r="A21" s="22"/>
      <c r="B21" s="22" t="s">
        <v>30</v>
      </c>
      <c r="C21" s="22" t="s">
        <v>2052</v>
      </c>
      <c r="D21" s="22" t="s">
        <v>2053</v>
      </c>
      <c r="E21" s="22" t="s">
        <v>489</v>
      </c>
      <c r="F21" s="23">
        <v>12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2011</v>
      </c>
      <c r="M21" s="22"/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245</v>
      </c>
      <c r="D22" s="22" t="s">
        <v>2054</v>
      </c>
      <c r="E22" s="22" t="s">
        <v>2055</v>
      </c>
      <c r="F22" s="22" t="s">
        <v>98</v>
      </c>
      <c r="G22" s="23">
        <v>890</v>
      </c>
      <c r="H22" s="23">
        <v>20</v>
      </c>
      <c r="I22" s="23">
        <f t="shared" si="0"/>
        <v>870</v>
      </c>
      <c r="J22" s="22" t="s">
        <v>34</v>
      </c>
      <c r="K22" s="22" t="s">
        <v>34</v>
      </c>
      <c r="L22" s="22" t="s">
        <v>2011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2056</v>
      </c>
      <c r="D23" s="22"/>
      <c r="E23" s="22" t="s">
        <v>2057</v>
      </c>
      <c r="F23" s="23">
        <v>4</v>
      </c>
      <c r="G23" s="23">
        <v>30</v>
      </c>
      <c r="H23" s="23">
        <v>30</v>
      </c>
      <c r="I23" s="23">
        <f t="shared" si="0"/>
        <v>0</v>
      </c>
      <c r="J23" s="22" t="s">
        <v>148</v>
      </c>
      <c r="K23" s="22" t="s">
        <v>34</v>
      </c>
      <c r="L23" s="22" t="s">
        <v>2011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1482</v>
      </c>
      <c r="D24" s="22"/>
      <c r="E24" s="22" t="s">
        <v>493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2011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2058</v>
      </c>
      <c r="D25" s="22" t="s">
        <v>2059</v>
      </c>
      <c r="E25" s="22" t="s">
        <v>2060</v>
      </c>
      <c r="F25" s="23">
        <v>1</v>
      </c>
      <c r="G25" s="23">
        <v>855</v>
      </c>
      <c r="H25" s="23">
        <v>25</v>
      </c>
      <c r="I25" s="23">
        <f t="shared" si="0"/>
        <v>830</v>
      </c>
      <c r="J25" s="22" t="s">
        <v>148</v>
      </c>
      <c r="K25" s="22" t="s">
        <v>34</v>
      </c>
      <c r="L25" s="22" t="s">
        <v>2011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2061</v>
      </c>
      <c r="D26" s="22" t="s">
        <v>2062</v>
      </c>
      <c r="E26" s="22" t="s">
        <v>2063</v>
      </c>
      <c r="F26" s="23">
        <v>10</v>
      </c>
      <c r="G26" s="23">
        <v>1145</v>
      </c>
      <c r="H26" s="23">
        <v>25</v>
      </c>
      <c r="I26" s="23">
        <f t="shared" si="0"/>
        <v>1120</v>
      </c>
      <c r="J26" s="22" t="s">
        <v>148</v>
      </c>
      <c r="K26" s="22" t="s">
        <v>34</v>
      </c>
      <c r="L26" s="22" t="s">
        <v>2011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2064</v>
      </c>
      <c r="D27" s="22" t="s">
        <v>2065</v>
      </c>
      <c r="E27" s="22" t="s">
        <v>2066</v>
      </c>
      <c r="F27" s="23">
        <v>5</v>
      </c>
      <c r="G27" s="23">
        <v>1015</v>
      </c>
      <c r="H27" s="23">
        <v>25</v>
      </c>
      <c r="I27" s="23">
        <f t="shared" si="0"/>
        <v>990</v>
      </c>
      <c r="J27" s="22" t="s">
        <v>148</v>
      </c>
      <c r="K27" s="22" t="s">
        <v>34</v>
      </c>
      <c r="L27" s="22" t="s">
        <v>2011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2067</v>
      </c>
      <c r="D28" s="22" t="s">
        <v>2068</v>
      </c>
      <c r="E28" s="22" t="s">
        <v>2069</v>
      </c>
      <c r="F28" s="23">
        <v>5</v>
      </c>
      <c r="G28" s="23">
        <v>1115</v>
      </c>
      <c r="H28" s="23">
        <v>25</v>
      </c>
      <c r="I28" s="23">
        <f t="shared" si="0"/>
        <v>1090</v>
      </c>
      <c r="J28" s="22" t="s">
        <v>148</v>
      </c>
      <c r="K28" s="22" t="s">
        <v>34</v>
      </c>
      <c r="L28" s="22" t="s">
        <v>2011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2070</v>
      </c>
      <c r="D29" s="22" t="s">
        <v>2071</v>
      </c>
      <c r="E29" s="22" t="s">
        <v>2072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2011</v>
      </c>
      <c r="M29" s="22"/>
      <c r="N29" s="22"/>
      <c r="O29" s="22"/>
      <c r="P29" s="22"/>
      <c r="Q29" s="22">
        <v>1</v>
      </c>
      <c r="R29" s="24">
        <f>H29</f>
        <v>25</v>
      </c>
    </row>
    <row r="31" spans="1:18" x14ac:dyDescent="0.25">
      <c r="G31" s="1">
        <f>SUBTOTAL(9,G3:G30)</f>
        <v>19830</v>
      </c>
      <c r="H31" s="1">
        <f>SUBTOTAL(9,H3:H30)</f>
        <v>750</v>
      </c>
      <c r="I31" s="1">
        <f>SUBTOTAL(9,I3:I30)</f>
        <v>19080</v>
      </c>
      <c r="J31" s="1">
        <f>SUBTOTAL(9,J3:J30)</f>
        <v>0</v>
      </c>
      <c r="K31" s="1">
        <f>SUBTOTAL(9,K3:K30)</f>
        <v>0</v>
      </c>
      <c r="L31" s="1">
        <f>SUBTOTAL(9,L3:L30)</f>
        <v>0</v>
      </c>
      <c r="M31" s="1">
        <f>SUBTOTAL(9,M3:M30)</f>
        <v>0</v>
      </c>
      <c r="N31" s="1">
        <f>SUBTOTAL(9,N3:N30)</f>
        <v>0</v>
      </c>
      <c r="O31" s="1">
        <f>SUBTOTAL(9,O3:O30)</f>
        <v>0</v>
      </c>
      <c r="P31" s="1">
        <f>SUBTOTAL(9,P3:P30)</f>
        <v>0</v>
      </c>
      <c r="Q31" s="1">
        <f>SUBTOTAL(9,Q3:Q30)</f>
        <v>27</v>
      </c>
      <c r="R31" s="1">
        <f>SUBTOTAL(9,R3:R30)</f>
        <v>290</v>
      </c>
    </row>
    <row r="32" spans="1:18" x14ac:dyDescent="0.25">
      <c r="I32" s="1">
        <v>-4330</v>
      </c>
      <c r="J32" s="1" t="s">
        <v>2073</v>
      </c>
    </row>
    <row r="35" spans="8:10" ht="20.25" customHeight="1" x14ac:dyDescent="0.3">
      <c r="H35" s="4" t="s">
        <v>1887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14750</v>
      </c>
      <c r="J36" s="8">
        <f>Q31</f>
        <v>27</v>
      </c>
    </row>
    <row r="37" spans="8:10" x14ac:dyDescent="0.25">
      <c r="H37" s="9" t="s">
        <v>18</v>
      </c>
      <c r="I37" s="10">
        <f>R31</f>
        <v>290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15040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31B5-6A22-4DF7-8507-2FFA70595544}">
  <dimension ref="A1:R70"/>
  <sheetViews>
    <sheetView topLeftCell="A57"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2007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2008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  <vt:lpstr>14-5</vt:lpstr>
      <vt:lpstr>15-5</vt:lpstr>
      <vt:lpstr>16-5</vt:lpstr>
      <vt:lpstr>18-5</vt:lpstr>
      <vt:lpstr>19-5</vt:lpstr>
      <vt:lpstr>20-5</vt:lpstr>
      <vt:lpstr>21-5</vt:lpstr>
      <vt:lpstr>22-5</vt:lpstr>
      <vt:lpstr>23-5</vt:lpstr>
      <vt:lpstr>25-5</vt:lpstr>
      <vt:lpstr>26-5</vt:lpstr>
      <vt:lpstr>27-5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2026-05-27T05:43:18Z</dcterms:modified>
</cp:coreProperties>
</file>