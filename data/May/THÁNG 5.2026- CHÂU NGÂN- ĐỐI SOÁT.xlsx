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Work\Freelance\TextInputter\data\May\"/>
    </mc:Choice>
  </mc:AlternateContent>
  <xr:revisionPtr revIDLastSave="0" documentId="13_ncr:1_{20B921B2-B7B1-4B45-9D48-45CE135CD8D2}" xr6:coauthVersionLast="47" xr6:coauthVersionMax="47" xr10:uidLastSave="{00000000-0000-0000-0000-000000000000}"/>
  <bookViews>
    <workbookView xWindow="-120" yWindow="-120" windowWidth="29040" windowHeight="15720" activeTab="10" xr2:uid="{00000000-000D-0000-FFFF-FFFF00000000}"/>
  </bookViews>
  <sheets>
    <sheet name="1-5" sheetId="3" r:id="rId1"/>
    <sheet name="4-5" sheetId="4" r:id="rId2"/>
    <sheet name="5-5" sheetId="5" r:id="rId3"/>
    <sheet name="6-5" sheetId="6" r:id="rId4"/>
    <sheet name="7-5" sheetId="7" r:id="rId5"/>
    <sheet name="8-5" sheetId="8" r:id="rId6"/>
    <sheet name="9-5" sheetId="9" r:id="rId7"/>
    <sheet name="11-5" sheetId="10" r:id="rId8"/>
    <sheet name="12-5" sheetId="11" r:id="rId9"/>
    <sheet name="13-5" sheetId="12" r:id="rId10"/>
    <sheet name="14-5" sheetId="13" r:id="rId11"/>
    <sheet name="15-5" sheetId="14" r:id="rId12"/>
    <sheet name="16-5" sheetId="15" r:id="rId13"/>
    <sheet name="18-5" sheetId="16" r:id="rId14"/>
    <sheet name="19-5" sheetId="17" r:id="rId15"/>
    <sheet name="20-5" sheetId="19" r:id="rId16"/>
    <sheet name="21-5" sheetId="18" r:id="rId17"/>
  </sheets>
  <definedNames>
    <definedName name="_xlnm._FilterDatabase" localSheetId="7" hidden="1">'11-5'!$A$2:$P$58</definedName>
    <definedName name="_xlnm._FilterDatabase" localSheetId="8" hidden="1">'12-5'!$A$2:$P$27</definedName>
    <definedName name="_xlnm._FilterDatabase" localSheetId="9" hidden="1">'13-5'!$A$2:$P$35</definedName>
    <definedName name="_xlnm._FilterDatabase" localSheetId="10" hidden="1">'14-5'!$A$2:$P$39</definedName>
    <definedName name="_xlnm._FilterDatabase" localSheetId="0" hidden="1">'1-5'!$A$2:$P$56</definedName>
    <definedName name="_xlnm._FilterDatabase" localSheetId="11" hidden="1">'15-5'!$A$2:$P$34</definedName>
    <definedName name="_xlnm._FilterDatabase" localSheetId="12" hidden="1">'16-5'!$A$2:$P$39</definedName>
    <definedName name="_xlnm._FilterDatabase" localSheetId="13" hidden="1">'18-5'!$A$2:$P$41</definedName>
    <definedName name="_xlnm._FilterDatabase" localSheetId="14" hidden="1">'19-5'!$A$2:$P$29</definedName>
    <definedName name="_xlnm._FilterDatabase" localSheetId="15" hidden="1">'20-5'!$A$2:$P$33</definedName>
    <definedName name="_xlnm._FilterDatabase" localSheetId="16" hidden="1">'21-5'!$A$2:$P$56</definedName>
    <definedName name="_xlnm._FilterDatabase" localSheetId="1" hidden="1">'4-5'!$A$2:$P$22</definedName>
    <definedName name="_xlnm._FilterDatabase" localSheetId="2" hidden="1">'5-5'!$A$2:$P$55</definedName>
    <definedName name="_xlnm._FilterDatabase" localSheetId="3" hidden="1">'6-5'!$A$2:$P$34</definedName>
    <definedName name="_xlnm._FilterDatabase" localSheetId="4" hidden="1">'7-5'!$A$2:$P$36</definedName>
    <definedName name="_xlnm._FilterDatabase" localSheetId="5" hidden="1">'8-5'!$A$2:$P$38</definedName>
    <definedName name="_xlnm._FilterDatabase" localSheetId="6" hidden="1">'9-5'!$A$2:$P$33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3" l="1"/>
  <c r="I33" i="19"/>
  <c r="I32" i="19"/>
  <c r="I31" i="19"/>
  <c r="R30" i="19"/>
  <c r="I30" i="19"/>
  <c r="R29" i="19"/>
  <c r="I29" i="19"/>
  <c r="R28" i="19"/>
  <c r="I28" i="19"/>
  <c r="I27" i="19"/>
  <c r="R26" i="19"/>
  <c r="I26" i="19"/>
  <c r="R25" i="19"/>
  <c r="I25" i="19"/>
  <c r="R24" i="19"/>
  <c r="I24" i="19"/>
  <c r="R23" i="19"/>
  <c r="I23" i="19"/>
  <c r="R22" i="19"/>
  <c r="I22" i="19"/>
  <c r="I21" i="19"/>
  <c r="I20" i="19"/>
  <c r="I19" i="19"/>
  <c r="R18" i="19"/>
  <c r="I18" i="19"/>
  <c r="I17" i="19"/>
  <c r="R16" i="19"/>
  <c r="I16" i="19"/>
  <c r="I15" i="19"/>
  <c r="I14" i="19"/>
  <c r="R13" i="19"/>
  <c r="I13" i="19"/>
  <c r="I12" i="19"/>
  <c r="I11" i="19"/>
  <c r="R10" i="19"/>
  <c r="I10" i="19"/>
  <c r="I9" i="19"/>
  <c r="I8" i="19"/>
  <c r="I7" i="19"/>
  <c r="I6" i="19"/>
  <c r="I5" i="19"/>
  <c r="R4" i="19"/>
  <c r="I4" i="19"/>
  <c r="I3" i="19"/>
  <c r="I44" i="19" l="1"/>
  <c r="I43" i="19"/>
  <c r="I42" i="19"/>
  <c r="R35" i="19"/>
  <c r="I41" i="19" s="1"/>
  <c r="Q35" i="19"/>
  <c r="J40" i="19" s="1"/>
  <c r="J47" i="19" s="1"/>
  <c r="P35" i="19"/>
  <c r="O35" i="19"/>
  <c r="N35" i="19"/>
  <c r="M35" i="19"/>
  <c r="L35" i="19"/>
  <c r="K35" i="19"/>
  <c r="J35" i="19"/>
  <c r="I35" i="19"/>
  <c r="I40" i="19" s="1"/>
  <c r="H35" i="19"/>
  <c r="G35" i="19"/>
  <c r="R29" i="17"/>
  <c r="I29" i="17"/>
  <c r="R28" i="17"/>
  <c r="I28" i="17"/>
  <c r="I27" i="17"/>
  <c r="I26" i="17"/>
  <c r="I25" i="17"/>
  <c r="R24" i="17"/>
  <c r="I24" i="17"/>
  <c r="R23" i="17"/>
  <c r="I23" i="17"/>
  <c r="I22" i="17"/>
  <c r="R21" i="17"/>
  <c r="I21" i="17"/>
  <c r="R20" i="17"/>
  <c r="I20" i="17"/>
  <c r="R19" i="17"/>
  <c r="I19" i="17"/>
  <c r="I18" i="17"/>
  <c r="R17" i="17"/>
  <c r="I17" i="17"/>
  <c r="I16" i="17"/>
  <c r="R15" i="17"/>
  <c r="I15" i="17"/>
  <c r="I14" i="17"/>
  <c r="I13" i="17"/>
  <c r="R12" i="17"/>
  <c r="I12" i="17"/>
  <c r="I11" i="17"/>
  <c r="I10" i="17"/>
  <c r="R9" i="17"/>
  <c r="I9" i="17"/>
  <c r="I8" i="17"/>
  <c r="I7" i="17"/>
  <c r="I6" i="17"/>
  <c r="I5" i="17"/>
  <c r="I4" i="17"/>
  <c r="I3" i="17"/>
  <c r="I47" i="19" l="1"/>
  <c r="I67" i="18"/>
  <c r="I66" i="18"/>
  <c r="I65" i="18"/>
  <c r="R58" i="18"/>
  <c r="I64" i="18" s="1"/>
  <c r="Q58" i="18"/>
  <c r="J63" i="18" s="1"/>
  <c r="J70" i="18" s="1"/>
  <c r="P58" i="18"/>
  <c r="O58" i="18"/>
  <c r="N58" i="18"/>
  <c r="M58" i="18"/>
  <c r="L58" i="18"/>
  <c r="K58" i="18"/>
  <c r="J58" i="18"/>
  <c r="I58" i="18"/>
  <c r="I63" i="18" s="1"/>
  <c r="H58" i="18"/>
  <c r="G58" i="18"/>
  <c r="I41" i="16"/>
  <c r="I40" i="16"/>
  <c r="I39" i="16"/>
  <c r="I38" i="16"/>
  <c r="I37" i="16"/>
  <c r="I36" i="16"/>
  <c r="R35" i="16"/>
  <c r="I35" i="16"/>
  <c r="I34" i="16"/>
  <c r="R33" i="16"/>
  <c r="I33" i="16"/>
  <c r="I32" i="16"/>
  <c r="I31" i="16"/>
  <c r="I30" i="16"/>
  <c r="R29" i="16"/>
  <c r="I29" i="16"/>
  <c r="I28" i="16"/>
  <c r="I27" i="16"/>
  <c r="R26" i="16"/>
  <c r="I26" i="16"/>
  <c r="I25" i="16"/>
  <c r="I24" i="16"/>
  <c r="I23" i="16"/>
  <c r="I22" i="16"/>
  <c r="I21" i="16"/>
  <c r="R20" i="16"/>
  <c r="I20" i="16"/>
  <c r="I19" i="16"/>
  <c r="I18" i="16"/>
  <c r="I17" i="16"/>
  <c r="I16" i="16"/>
  <c r="I15" i="16"/>
  <c r="I14" i="16"/>
  <c r="R13" i="16"/>
  <c r="I13" i="16"/>
  <c r="R12" i="16"/>
  <c r="I12" i="16"/>
  <c r="R11" i="16"/>
  <c r="I11" i="16"/>
  <c r="R10" i="16"/>
  <c r="I10" i="16"/>
  <c r="R9" i="16"/>
  <c r="I9" i="16"/>
  <c r="R8" i="16"/>
  <c r="I8" i="16"/>
  <c r="R7" i="16"/>
  <c r="I7" i="16"/>
  <c r="I6" i="16"/>
  <c r="R5" i="16"/>
  <c r="I5" i="16"/>
  <c r="I4" i="16"/>
  <c r="I3" i="16"/>
  <c r="I40" i="17"/>
  <c r="I39" i="17"/>
  <c r="I38" i="17"/>
  <c r="R31" i="17"/>
  <c r="I37" i="17" s="1"/>
  <c r="Q31" i="17"/>
  <c r="J36" i="17" s="1"/>
  <c r="J43" i="17" s="1"/>
  <c r="P31" i="17"/>
  <c r="O31" i="17"/>
  <c r="N31" i="17"/>
  <c r="M31" i="17"/>
  <c r="L31" i="17"/>
  <c r="K31" i="17"/>
  <c r="J31" i="17"/>
  <c r="I31" i="17"/>
  <c r="I36" i="17" s="1"/>
  <c r="H31" i="17"/>
  <c r="G31" i="17"/>
  <c r="H59" i="15"/>
  <c r="I43" i="17" l="1"/>
  <c r="I70" i="18"/>
  <c r="H57" i="15"/>
  <c r="H56" i="15"/>
  <c r="R39" i="15"/>
  <c r="I39" i="15"/>
  <c r="I38" i="15"/>
  <c r="I37" i="15"/>
  <c r="I36" i="15"/>
  <c r="I35" i="15"/>
  <c r="I34" i="15"/>
  <c r="R33" i="15"/>
  <c r="I33" i="15"/>
  <c r="R32" i="15"/>
  <c r="I32" i="15"/>
  <c r="I31" i="15"/>
  <c r="I30" i="15"/>
  <c r="I29" i="15"/>
  <c r="R28" i="15"/>
  <c r="I28" i="15"/>
  <c r="I27" i="15"/>
  <c r="I26" i="15"/>
  <c r="I25" i="15"/>
  <c r="R24" i="15"/>
  <c r="I24" i="15"/>
  <c r="I23" i="15"/>
  <c r="I22" i="15"/>
  <c r="I21" i="15"/>
  <c r="I20" i="15"/>
  <c r="I19" i="15"/>
  <c r="R18" i="15"/>
  <c r="I18" i="15"/>
  <c r="I17" i="15"/>
  <c r="I16" i="15"/>
  <c r="I15" i="15"/>
  <c r="I14" i="15"/>
  <c r="I13" i="15"/>
  <c r="R12" i="15"/>
  <c r="I12" i="15"/>
  <c r="I11" i="15"/>
  <c r="I10" i="15"/>
  <c r="I9" i="15"/>
  <c r="I8" i="15"/>
  <c r="R7" i="15"/>
  <c r="I7" i="15"/>
  <c r="R6" i="15"/>
  <c r="I6" i="15"/>
  <c r="I5" i="15"/>
  <c r="R4" i="15"/>
  <c r="I4" i="15"/>
  <c r="R3" i="15"/>
  <c r="R41" i="15" s="1"/>
  <c r="I47" i="15" s="1"/>
  <c r="I3" i="15"/>
  <c r="I41" i="15" s="1"/>
  <c r="I46" i="15" s="1"/>
  <c r="I53" i="15" s="1"/>
  <c r="R43" i="16"/>
  <c r="I49" i="16" s="1"/>
  <c r="I43" i="16"/>
  <c r="I48" i="16" s="1"/>
  <c r="I52" i="16"/>
  <c r="I51" i="16"/>
  <c r="I50" i="16"/>
  <c r="Q43" i="16"/>
  <c r="J48" i="16" s="1"/>
  <c r="J55" i="16" s="1"/>
  <c r="P43" i="16"/>
  <c r="O43" i="16"/>
  <c r="N43" i="16"/>
  <c r="M43" i="16"/>
  <c r="L43" i="16"/>
  <c r="K43" i="16"/>
  <c r="J43" i="16"/>
  <c r="H43" i="16"/>
  <c r="G43" i="16"/>
  <c r="I34" i="14"/>
  <c r="I33" i="14"/>
  <c r="I32" i="14"/>
  <c r="R31" i="14"/>
  <c r="I31" i="14"/>
  <c r="R30" i="14"/>
  <c r="I30" i="14"/>
  <c r="I29" i="14"/>
  <c r="I28" i="14"/>
  <c r="I27" i="14"/>
  <c r="I26" i="14"/>
  <c r="I25" i="14"/>
  <c r="I36" i="14" s="1"/>
  <c r="I41" i="14" s="1"/>
  <c r="R24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R10" i="14"/>
  <c r="I10" i="14"/>
  <c r="R9" i="14"/>
  <c r="I9" i="14"/>
  <c r="I8" i="14"/>
  <c r="I7" i="14"/>
  <c r="R6" i="14"/>
  <c r="I6" i="14"/>
  <c r="I5" i="14"/>
  <c r="R4" i="14"/>
  <c r="I4" i="14"/>
  <c r="I3" i="14"/>
  <c r="I50" i="15"/>
  <c r="I49" i="15"/>
  <c r="I48" i="15"/>
  <c r="Q41" i="15"/>
  <c r="J46" i="15" s="1"/>
  <c r="J53" i="15" s="1"/>
  <c r="P41" i="15"/>
  <c r="O41" i="15"/>
  <c r="N41" i="15"/>
  <c r="M41" i="15"/>
  <c r="L41" i="15"/>
  <c r="K41" i="15"/>
  <c r="J41" i="15"/>
  <c r="H41" i="15"/>
  <c r="G41" i="15"/>
  <c r="R39" i="13"/>
  <c r="H56" i="13"/>
  <c r="I39" i="13"/>
  <c r="R38" i="13"/>
  <c r="I38" i="13"/>
  <c r="I37" i="13"/>
  <c r="R36" i="13"/>
  <c r="I36" i="13"/>
  <c r="I35" i="13"/>
  <c r="I34" i="13"/>
  <c r="R33" i="13"/>
  <c r="I33" i="13"/>
  <c r="I32" i="13"/>
  <c r="I31" i="13"/>
  <c r="I30" i="13"/>
  <c r="R29" i="13"/>
  <c r="I29" i="13"/>
  <c r="I28" i="13"/>
  <c r="R27" i="13"/>
  <c r="I27" i="13"/>
  <c r="R26" i="13"/>
  <c r="I26" i="13"/>
  <c r="R25" i="13"/>
  <c r="I25" i="13"/>
  <c r="I24" i="13"/>
  <c r="I23" i="13"/>
  <c r="I22" i="13"/>
  <c r="R21" i="13"/>
  <c r="I21" i="13"/>
  <c r="I20" i="13"/>
  <c r="R19" i="13"/>
  <c r="I19" i="13"/>
  <c r="I18" i="13"/>
  <c r="I17" i="13"/>
  <c r="R16" i="13"/>
  <c r="I16" i="13"/>
  <c r="I15" i="13"/>
  <c r="I14" i="13"/>
  <c r="R13" i="13"/>
  <c r="I13" i="13"/>
  <c r="I12" i="13"/>
  <c r="I11" i="13"/>
  <c r="R10" i="13"/>
  <c r="I10" i="13"/>
  <c r="I9" i="13"/>
  <c r="R8" i="13"/>
  <c r="I8" i="13"/>
  <c r="I7" i="13"/>
  <c r="I6" i="13"/>
  <c r="R4" i="13"/>
  <c r="I4" i="13"/>
  <c r="I3" i="13"/>
  <c r="I45" i="14"/>
  <c r="I44" i="14"/>
  <c r="I43" i="14"/>
  <c r="R36" i="14"/>
  <c r="I42" i="14" s="1"/>
  <c r="Q36" i="14"/>
  <c r="J41" i="14" s="1"/>
  <c r="J48" i="14" s="1"/>
  <c r="P36" i="14"/>
  <c r="O36" i="14"/>
  <c r="N36" i="14"/>
  <c r="M36" i="14"/>
  <c r="L36" i="14"/>
  <c r="K36" i="14"/>
  <c r="J36" i="14"/>
  <c r="H36" i="14"/>
  <c r="G36" i="14"/>
  <c r="I55" i="16" l="1"/>
  <c r="I48" i="14"/>
  <c r="I35" i="12" l="1"/>
  <c r="I34" i="12"/>
  <c r="I33" i="12"/>
  <c r="I32" i="12"/>
  <c r="I31" i="12"/>
  <c r="I30" i="12"/>
  <c r="I29" i="12"/>
  <c r="I28" i="12"/>
  <c r="I27" i="12"/>
  <c r="I26" i="12"/>
  <c r="I25" i="12"/>
  <c r="I24" i="12"/>
  <c r="R23" i="12"/>
  <c r="I23" i="12"/>
  <c r="I22" i="12"/>
  <c r="R21" i="12"/>
  <c r="I21" i="12"/>
  <c r="I20" i="12"/>
  <c r="I19" i="12"/>
  <c r="I18" i="12"/>
  <c r="R17" i="12"/>
  <c r="I17" i="12"/>
  <c r="I16" i="12"/>
  <c r="I15" i="12"/>
  <c r="I14" i="12"/>
  <c r="R13" i="12"/>
  <c r="I13" i="12"/>
  <c r="I12" i="12"/>
  <c r="I11" i="12"/>
  <c r="R10" i="12"/>
  <c r="I10" i="12"/>
  <c r="R9" i="12"/>
  <c r="I9" i="12"/>
  <c r="I8" i="12"/>
  <c r="R7" i="12"/>
  <c r="I7" i="12"/>
  <c r="I6" i="12"/>
  <c r="I5" i="12"/>
  <c r="I4" i="12"/>
  <c r="I3" i="12"/>
  <c r="I50" i="13" l="1"/>
  <c r="I49" i="13"/>
  <c r="I48" i="13"/>
  <c r="R41" i="13"/>
  <c r="I47" i="13" s="1"/>
  <c r="Q41" i="13"/>
  <c r="J46" i="13" s="1"/>
  <c r="J53" i="13" s="1"/>
  <c r="P41" i="13"/>
  <c r="O41" i="13"/>
  <c r="N41" i="13"/>
  <c r="M41" i="13"/>
  <c r="L41" i="13"/>
  <c r="K41" i="13"/>
  <c r="J41" i="13"/>
  <c r="I41" i="13"/>
  <c r="I46" i="13" s="1"/>
  <c r="H41" i="13"/>
  <c r="G41" i="13"/>
  <c r="I27" i="11"/>
  <c r="R26" i="11"/>
  <c r="I26" i="11"/>
  <c r="I25" i="11"/>
  <c r="I24" i="11"/>
  <c r="R23" i="11"/>
  <c r="I23" i="11"/>
  <c r="R22" i="11"/>
  <c r="I22" i="11"/>
  <c r="R21" i="11"/>
  <c r="I21" i="11"/>
  <c r="I20" i="11"/>
  <c r="R19" i="11"/>
  <c r="I19" i="11"/>
  <c r="I18" i="11"/>
  <c r="I17" i="11"/>
  <c r="I16" i="11"/>
  <c r="R15" i="11"/>
  <c r="I15" i="11"/>
  <c r="I14" i="11"/>
  <c r="I13" i="11"/>
  <c r="I12" i="11"/>
  <c r="I11" i="11"/>
  <c r="I10" i="11"/>
  <c r="I9" i="11"/>
  <c r="I8" i="11"/>
  <c r="I7" i="11"/>
  <c r="I6" i="11"/>
  <c r="R5" i="11"/>
  <c r="I5" i="11"/>
  <c r="I4" i="11"/>
  <c r="I3" i="11"/>
  <c r="R55" i="10"/>
  <c r="R44" i="10"/>
  <c r="R42" i="10"/>
  <c r="R38" i="10"/>
  <c r="R60" i="10" s="1"/>
  <c r="R37" i="10"/>
  <c r="R28" i="10"/>
  <c r="R24" i="10"/>
  <c r="R16" i="10"/>
  <c r="R15" i="10"/>
  <c r="R13" i="10"/>
  <c r="R3" i="10"/>
  <c r="R52" i="10"/>
  <c r="I46" i="12"/>
  <c r="I45" i="12"/>
  <c r="I44" i="12"/>
  <c r="R37" i="12"/>
  <c r="I43" i="12" s="1"/>
  <c r="Q37" i="12"/>
  <c r="J42" i="12" s="1"/>
  <c r="J49" i="12" s="1"/>
  <c r="P37" i="12"/>
  <c r="O37" i="12"/>
  <c r="N37" i="12"/>
  <c r="M37" i="12"/>
  <c r="L37" i="12"/>
  <c r="K37" i="12"/>
  <c r="J37" i="12"/>
  <c r="I37" i="12"/>
  <c r="I42" i="12" s="1"/>
  <c r="I49" i="12" s="1"/>
  <c r="H37" i="12"/>
  <c r="G37" i="12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G60" i="10"/>
  <c r="H60" i="10"/>
  <c r="J60" i="10"/>
  <c r="K60" i="10"/>
  <c r="L60" i="10"/>
  <c r="M60" i="10"/>
  <c r="N60" i="10"/>
  <c r="O60" i="10"/>
  <c r="P60" i="10"/>
  <c r="Q60" i="10"/>
  <c r="I38" i="11"/>
  <c r="I37" i="11"/>
  <c r="I36" i="11"/>
  <c r="Q29" i="11"/>
  <c r="J34" i="11" s="1"/>
  <c r="J41" i="11" s="1"/>
  <c r="P29" i="11"/>
  <c r="O29" i="11"/>
  <c r="N29" i="11"/>
  <c r="M29" i="11"/>
  <c r="L29" i="11"/>
  <c r="K29" i="11"/>
  <c r="J29" i="11"/>
  <c r="H29" i="11"/>
  <c r="G29" i="11"/>
  <c r="H50" i="9"/>
  <c r="R33" i="9"/>
  <c r="I33" i="9"/>
  <c r="I32" i="9"/>
  <c r="I31" i="9"/>
  <c r="R30" i="9"/>
  <c r="I30" i="9"/>
  <c r="I29" i="9"/>
  <c r="R28" i="9"/>
  <c r="I28" i="9"/>
  <c r="I27" i="9"/>
  <c r="R26" i="9"/>
  <c r="I26" i="9"/>
  <c r="I25" i="9"/>
  <c r="I24" i="9"/>
  <c r="I23" i="9"/>
  <c r="I22" i="9"/>
  <c r="R21" i="9"/>
  <c r="I21" i="9"/>
  <c r="I20" i="9"/>
  <c r="R19" i="9"/>
  <c r="I19" i="9"/>
  <c r="I18" i="9"/>
  <c r="I17" i="9"/>
  <c r="I16" i="9"/>
  <c r="R15" i="9"/>
  <c r="I15" i="9"/>
  <c r="I14" i="9"/>
  <c r="R13" i="9"/>
  <c r="I13" i="9"/>
  <c r="I12" i="9"/>
  <c r="I11" i="9"/>
  <c r="I10" i="9"/>
  <c r="R9" i="9"/>
  <c r="I9" i="9"/>
  <c r="I8" i="9"/>
  <c r="R7" i="9"/>
  <c r="I7" i="9"/>
  <c r="I6" i="9"/>
  <c r="I5" i="9"/>
  <c r="I4" i="9"/>
  <c r="I3" i="9"/>
  <c r="I53" i="13" l="1"/>
  <c r="R29" i="11"/>
  <c r="I35" i="11" s="1"/>
  <c r="I29" i="11"/>
  <c r="I34" i="11" s="1"/>
  <c r="I41" i="11" s="1"/>
  <c r="I60" i="10"/>
  <c r="I65" i="10" s="1"/>
  <c r="I69" i="10"/>
  <c r="I68" i="10"/>
  <c r="I67" i="10"/>
  <c r="I66" i="10"/>
  <c r="J65" i="10"/>
  <c r="J72" i="10" s="1"/>
  <c r="I44" i="9"/>
  <c r="I43" i="9"/>
  <c r="I42" i="9"/>
  <c r="R35" i="9"/>
  <c r="I41" i="9" s="1"/>
  <c r="Q35" i="9"/>
  <c r="J40" i="9" s="1"/>
  <c r="J47" i="9" s="1"/>
  <c r="P35" i="9"/>
  <c r="O35" i="9"/>
  <c r="N35" i="9"/>
  <c r="M35" i="9"/>
  <c r="L35" i="9"/>
  <c r="K35" i="9"/>
  <c r="J35" i="9"/>
  <c r="I35" i="9"/>
  <c r="I40" i="9" s="1"/>
  <c r="H35" i="9"/>
  <c r="G35" i="9"/>
  <c r="H55" i="8"/>
  <c r="I72" i="10" l="1"/>
  <c r="I47" i="9"/>
  <c r="R36" i="7"/>
  <c r="I36" i="7"/>
  <c r="R35" i="7"/>
  <c r="I35" i="7"/>
  <c r="R34" i="7"/>
  <c r="I34" i="7"/>
  <c r="I33" i="7"/>
  <c r="I32" i="7"/>
  <c r="R31" i="7"/>
  <c r="I31" i="7"/>
  <c r="I30" i="7"/>
  <c r="I29" i="7"/>
  <c r="I28" i="7"/>
  <c r="R27" i="7"/>
  <c r="I27" i="7"/>
  <c r="I26" i="7"/>
  <c r="I25" i="7"/>
  <c r="I24" i="7"/>
  <c r="I23" i="7"/>
  <c r="R22" i="7"/>
  <c r="I22" i="7"/>
  <c r="I21" i="7"/>
  <c r="R20" i="7"/>
  <c r="I20" i="7"/>
  <c r="R19" i="7"/>
  <c r="I19" i="7"/>
  <c r="I18" i="7"/>
  <c r="R17" i="7"/>
  <c r="I17" i="7"/>
  <c r="R16" i="7"/>
  <c r="I16" i="7"/>
  <c r="I15" i="7"/>
  <c r="I14" i="7"/>
  <c r="R13" i="7"/>
  <c r="I13" i="7"/>
  <c r="I12" i="7"/>
  <c r="I11" i="7"/>
  <c r="I10" i="7"/>
  <c r="R9" i="7"/>
  <c r="I9" i="7"/>
  <c r="I8" i="7"/>
  <c r="I7" i="7"/>
  <c r="I6" i="7"/>
  <c r="R5" i="7"/>
  <c r="I5" i="7"/>
  <c r="I4" i="7"/>
  <c r="I3" i="7"/>
  <c r="I49" i="8"/>
  <c r="I48" i="8"/>
  <c r="I47" i="8"/>
  <c r="R40" i="8"/>
  <c r="I46" i="8" s="1"/>
  <c r="Q40" i="8"/>
  <c r="J45" i="8" s="1"/>
  <c r="J52" i="8" s="1"/>
  <c r="P40" i="8"/>
  <c r="O40" i="8"/>
  <c r="N40" i="8"/>
  <c r="M40" i="8"/>
  <c r="L40" i="8"/>
  <c r="K40" i="8"/>
  <c r="J40" i="8"/>
  <c r="I40" i="8"/>
  <c r="I45" i="8" s="1"/>
  <c r="H40" i="8"/>
  <c r="G40" i="8"/>
  <c r="I52" i="8" l="1"/>
  <c r="R30" i="6"/>
  <c r="R28" i="6"/>
  <c r="R25" i="6"/>
  <c r="R24" i="6"/>
  <c r="R23" i="6"/>
  <c r="R22" i="6"/>
  <c r="R21" i="6"/>
  <c r="R14" i="6"/>
  <c r="R7" i="6"/>
  <c r="R3" i="6"/>
  <c r="R15" i="6"/>
  <c r="R27" i="6"/>
  <c r="R34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47" i="7"/>
  <c r="I46" i="7"/>
  <c r="I45" i="7"/>
  <c r="R38" i="7"/>
  <c r="I44" i="7" s="1"/>
  <c r="Q38" i="7"/>
  <c r="J43" i="7" s="1"/>
  <c r="J50" i="7" s="1"/>
  <c r="P38" i="7"/>
  <c r="O38" i="7"/>
  <c r="N38" i="7"/>
  <c r="M38" i="7"/>
  <c r="L38" i="7"/>
  <c r="K38" i="7"/>
  <c r="J38" i="7"/>
  <c r="I38" i="7"/>
  <c r="I43" i="7" s="1"/>
  <c r="H38" i="7"/>
  <c r="G38" i="7"/>
  <c r="I50" i="7" l="1"/>
  <c r="H72" i="5" l="1"/>
  <c r="R55" i="5" l="1"/>
  <c r="R47" i="5"/>
  <c r="R28" i="5"/>
  <c r="R27" i="5"/>
  <c r="R26" i="5"/>
  <c r="R22" i="5"/>
  <c r="R20" i="5"/>
  <c r="R18" i="5"/>
  <c r="R12" i="5"/>
  <c r="R46" i="5"/>
  <c r="R39" i="5"/>
  <c r="R37" i="5"/>
  <c r="R25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45" i="6" l="1"/>
  <c r="I44" i="6"/>
  <c r="I43" i="6"/>
  <c r="R36" i="6"/>
  <c r="I42" i="6" s="1"/>
  <c r="Q36" i="6"/>
  <c r="J41" i="6" s="1"/>
  <c r="J48" i="6" s="1"/>
  <c r="P36" i="6"/>
  <c r="O36" i="6"/>
  <c r="N36" i="6"/>
  <c r="M36" i="6"/>
  <c r="L36" i="6"/>
  <c r="K36" i="6"/>
  <c r="J36" i="6"/>
  <c r="I36" i="6"/>
  <c r="I41" i="6" s="1"/>
  <c r="H36" i="6"/>
  <c r="G36" i="6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66" i="5"/>
  <c r="I65" i="5"/>
  <c r="I64" i="5"/>
  <c r="R57" i="5"/>
  <c r="I63" i="5" s="1"/>
  <c r="Q57" i="5"/>
  <c r="J62" i="5" s="1"/>
  <c r="J69" i="5" s="1"/>
  <c r="P57" i="5"/>
  <c r="O57" i="5"/>
  <c r="N57" i="5"/>
  <c r="M57" i="5"/>
  <c r="L57" i="5"/>
  <c r="K57" i="5"/>
  <c r="J57" i="5"/>
  <c r="I57" i="5"/>
  <c r="I62" i="5" s="1"/>
  <c r="H57" i="5"/>
  <c r="G57" i="5"/>
  <c r="I48" i="6" l="1"/>
  <c r="I69" i="5"/>
  <c r="I47" i="3"/>
  <c r="R56" i="3"/>
  <c r="I56" i="3"/>
  <c r="I55" i="3"/>
  <c r="I54" i="3"/>
  <c r="R53" i="3"/>
  <c r="I53" i="3"/>
  <c r="R52" i="3"/>
  <c r="I52" i="3"/>
  <c r="I51" i="3"/>
  <c r="I50" i="3"/>
  <c r="I49" i="3"/>
  <c r="R48" i="3"/>
  <c r="I48" i="3"/>
  <c r="R46" i="3"/>
  <c r="I46" i="3"/>
  <c r="I45" i="3"/>
  <c r="I44" i="3"/>
  <c r="I43" i="3"/>
  <c r="R42" i="3"/>
  <c r="I42" i="3"/>
  <c r="I41" i="3"/>
  <c r="I40" i="3"/>
  <c r="I39" i="3"/>
  <c r="I38" i="3"/>
  <c r="I37" i="3"/>
  <c r="I36" i="3"/>
  <c r="I35" i="3"/>
  <c r="I34" i="3"/>
  <c r="R33" i="3"/>
  <c r="I33" i="3"/>
  <c r="I32" i="3"/>
  <c r="I31" i="3"/>
  <c r="I30" i="3"/>
  <c r="I29" i="3"/>
  <c r="R28" i="3"/>
  <c r="I28" i="3"/>
  <c r="I27" i="3"/>
  <c r="R26" i="3"/>
  <c r="I26" i="3"/>
  <c r="I25" i="3"/>
  <c r="R24" i="3"/>
  <c r="I24" i="3"/>
  <c r="I23" i="3"/>
  <c r="I22" i="3"/>
  <c r="I21" i="3"/>
  <c r="R20" i="3"/>
  <c r="I20" i="3"/>
  <c r="R19" i="3"/>
  <c r="I19" i="3"/>
  <c r="I18" i="3"/>
  <c r="I17" i="3"/>
  <c r="R16" i="3"/>
  <c r="I16" i="3"/>
  <c r="I15" i="3"/>
  <c r="I14" i="3"/>
  <c r="I13" i="3"/>
  <c r="I12" i="3"/>
  <c r="I11" i="3"/>
  <c r="I10" i="3"/>
  <c r="R9" i="3"/>
  <c r="I9" i="3"/>
  <c r="I8" i="3"/>
  <c r="I7" i="3"/>
  <c r="I6" i="3"/>
  <c r="I5" i="3"/>
  <c r="I4" i="3"/>
  <c r="I3" i="3"/>
  <c r="I33" i="4"/>
  <c r="I32" i="4"/>
  <c r="I31" i="4"/>
  <c r="R24" i="4"/>
  <c r="I30" i="4" s="1"/>
  <c r="Q24" i="4"/>
  <c r="J29" i="4" s="1"/>
  <c r="J36" i="4" s="1"/>
  <c r="P24" i="4"/>
  <c r="O24" i="4"/>
  <c r="N24" i="4"/>
  <c r="M24" i="4"/>
  <c r="L24" i="4"/>
  <c r="K24" i="4"/>
  <c r="J24" i="4"/>
  <c r="I24" i="4"/>
  <c r="I29" i="4" s="1"/>
  <c r="H24" i="4"/>
  <c r="G24" i="4"/>
  <c r="I65" i="3"/>
  <c r="I36" i="4" l="1"/>
  <c r="I58" i="3"/>
  <c r="I63" i="3" s="1"/>
  <c r="I67" i="3"/>
  <c r="I66" i="3"/>
  <c r="Q58" i="3"/>
  <c r="J63" i="3" s="1"/>
  <c r="J70" i="3" s="1"/>
  <c r="P58" i="3"/>
  <c r="O58" i="3"/>
  <c r="N58" i="3"/>
  <c r="M58" i="3"/>
  <c r="L58" i="3"/>
  <c r="K58" i="3"/>
  <c r="J58" i="3"/>
  <c r="H58" i="3"/>
  <c r="G58" i="3"/>
  <c r="R58" i="3" l="1"/>
  <c r="I64" i="3" s="1"/>
  <c r="I70" i="3" s="1"/>
</calcChain>
</file>

<file path=xl/sharedStrings.xml><?xml version="1.0" encoding="utf-8"?>
<sst xmlns="http://schemas.openxmlformats.org/spreadsheetml/2006/main" count="4915" uniqueCount="1653">
  <si>
    <t>Tình trạng TT</t>
  </si>
  <si>
    <t>SHOP</t>
  </si>
  <si>
    <t>TÊN KH</t>
  </si>
  <si>
    <t>MÃ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</si>
  <si>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</si>
  <si>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</si>
  <si>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</si>
  <si>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</si>
  <si>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</si>
  <si>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</si>
  <si>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</si>
  <si>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</si>
  <si>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</si>
  <si>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</si>
  <si>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</si>
  <si>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Tiền</t>
  </si>
  <si>
    <t>Số đơn</t>
  </si>
  <si>
    <t>Tiền hàng Thanh Toán</t>
  </si>
  <si>
    <t>Trừ Ship</t>
  </si>
  <si>
    <t>Cước xe</t>
  </si>
  <si>
    <t>Khách C.khoản</t>
  </si>
  <si>
    <t>Giảm tiền thu Khách</t>
  </si>
  <si>
    <t xml:space="preserve">Hàng Boom Trả </t>
  </si>
  <si>
    <t>Trừ đơn củ đã ck</t>
  </si>
  <si>
    <t xml:space="preserve">Tổng Tiền Hàng </t>
  </si>
  <si>
    <t>ĐỊA CHỈ</t>
  </si>
  <si>
    <t>THU 6</t>
  </si>
  <si>
    <t>NGAY 1-5</t>
  </si>
  <si>
    <t>T6.1.5.2026</t>
  </si>
  <si>
    <t>hàng sỉ</t>
  </si>
  <si>
    <t>ĐOÀN NGÂN CHÂU</t>
  </si>
  <si>
    <t>MAI CHI</t>
  </si>
  <si>
    <t>toa BS16 - The oasis - vinhome grand park</t>
  </si>
  <si>
    <t>a.quyen</t>
  </si>
  <si>
    <t>c.cuong</t>
  </si>
  <si>
    <t>01-05-2026</t>
  </si>
  <si>
    <t>Thu Lê</t>
  </si>
  <si>
    <t>HD017813</t>
  </si>
  <si>
    <t>293 vành đai trong, P.Bình trị đông B</t>
  </si>
  <si>
    <t>binh tan</t>
  </si>
  <si>
    <t>AT 01-05</t>
  </si>
  <si>
    <t>Như Quỳnh</t>
  </si>
  <si>
    <t>HD017879</t>
  </si>
  <si>
    <t>56/13/18 huỳnh thị hai phường tân chánh hiệp</t>
  </si>
  <si>
    <t>C Thảo Thao Nguyen</t>
  </si>
  <si>
    <t>HD017906</t>
  </si>
  <si>
    <t>111/8B Trường Chinh, phường Đông Hưng Thuận</t>
  </si>
  <si>
    <t>Kim Bình</t>
  </si>
  <si>
    <t>HD018057</t>
  </si>
  <si>
    <t>1253 phạm thế hiển p5</t>
  </si>
  <si>
    <t>Ánh Linh</t>
  </si>
  <si>
    <t>HD018056</t>
  </si>
  <si>
    <t>Toà A chung cư diamond 49C lê quang kim p8</t>
  </si>
  <si>
    <t>W3235</t>
  </si>
  <si>
    <t>HD017713</t>
  </si>
  <si>
    <t>375 tân thới hiệp 21, Tổ 3,Kp3</t>
  </si>
  <si>
    <t>Đỗ Nhi</t>
  </si>
  <si>
    <t>HD017976</t>
  </si>
  <si>
    <t>25/49/15/8 nguyễn minh châu</t>
  </si>
  <si>
    <t>tan phu</t>
  </si>
  <si>
    <t>Nguyễn Thị Khánh Ly</t>
  </si>
  <si>
    <t>HD017945</t>
  </si>
  <si>
    <t>Chung cư akari block 9</t>
  </si>
  <si>
    <t>Võ Thục Trinh</t>
  </si>
  <si>
    <t>HD017966</t>
  </si>
  <si>
    <t>Chung cư Topaz City block A1, 39 Cao Lỗ P4</t>
  </si>
  <si>
    <t>Hang Nguyen fb Bella Nguyen</t>
  </si>
  <si>
    <t>HD018060</t>
  </si>
  <si>
    <t>10/23 chiến lược p bình trị đông</t>
  </si>
  <si>
    <t>Ruby Nguyễn</t>
  </si>
  <si>
    <t>HD018067</t>
  </si>
  <si>
    <t>M37/15 Cư Xá Phú Lâm A Phường 12</t>
  </si>
  <si>
    <t>Diễn Phan</t>
  </si>
  <si>
    <t>HD017789</t>
  </si>
  <si>
    <t>11/26/14 đường nam cao, p tân phú</t>
  </si>
  <si>
    <t>fb Thuyên Quyên</t>
  </si>
  <si>
    <t>HD018007</t>
  </si>
  <si>
    <t>68B/23/1C hương lộ 2, phường bình trị đông A</t>
  </si>
  <si>
    <t>Hoa Tuyết</t>
  </si>
  <si>
    <t>HD017605</t>
  </si>
  <si>
    <t>126A/4 tổ 17 trung mỹ tây</t>
  </si>
  <si>
    <t>ng nhận Duyên Mai</t>
  </si>
  <si>
    <t>HD017665</t>
  </si>
  <si>
    <t>lexington residence block c67 Mai chí thọ An Phú</t>
  </si>
  <si>
    <t>MM QUYNH - GỬI HÀO</t>
  </si>
  <si>
    <t>HD017748</t>
  </si>
  <si>
    <t>22 đường tân thới nhất 1B, khu phố 5, phường Tân Thới Nhất</t>
  </si>
  <si>
    <t>Natalie Truong</t>
  </si>
  <si>
    <t>HD017560</t>
  </si>
  <si>
    <t>189/46A Bạch Đằng P3</t>
  </si>
  <si>
    <t>go vap</t>
  </si>
  <si>
    <t>Tran Thu</t>
  </si>
  <si>
    <t>HD017899</t>
  </si>
  <si>
    <t>76/14/6 duong so 7 linh trung</t>
  </si>
  <si>
    <t>thu duc</t>
  </si>
  <si>
    <t>Tran Thi Thuy Trang</t>
  </si>
  <si>
    <t>HD017894</t>
  </si>
  <si>
    <t>184 nguyễn xí- cc Bắc Đinh Bộ Lĩnh - lô A82 căn cầu thang cuối cùng, Phường 26</t>
  </si>
  <si>
    <t>binh thanh</t>
  </si>
  <si>
    <t>Trần Thảo Na</t>
  </si>
  <si>
    <t>HD018101</t>
  </si>
  <si>
    <t>74/5/47A đường số 9 phường an hội đông</t>
  </si>
  <si>
    <t>Triệu Vy _ Cindy</t>
  </si>
  <si>
    <t>HD017806</t>
  </si>
  <si>
    <t>403 Tân Sơn, p12</t>
  </si>
  <si>
    <t>Nguyễn Ánh Dương</t>
  </si>
  <si>
    <t>HD017964</t>
  </si>
  <si>
    <t>382/3/22 nguyễn thái sơn khu phố 1 phường An Nhơn</t>
  </si>
  <si>
    <t>tan binh</t>
  </si>
  <si>
    <t>Nguyễn bảo trân</t>
  </si>
  <si>
    <t>HD017961</t>
  </si>
  <si>
    <t>68/6 Thống Nhất, p10</t>
  </si>
  <si>
    <t>Thu Thảo</t>
  </si>
  <si>
    <t>HD018090</t>
  </si>
  <si>
    <t>401 /21 phường 8, Nguyễn văn khối</t>
  </si>
  <si>
    <t>Chi</t>
  </si>
  <si>
    <t>HD017710</t>
  </si>
  <si>
    <t>Block B, B607 Chung cư Dreamhome 2 đường số 59, Phường 14</t>
  </si>
  <si>
    <t>Hứa Tuyên</t>
  </si>
  <si>
    <t>HD018021</t>
  </si>
  <si>
    <t>939 Nguyễn kiệm phường Hạnh Thông</t>
  </si>
  <si>
    <t>Mộng Thuý Trảo</t>
  </si>
  <si>
    <t>HD017827</t>
  </si>
  <si>
    <t>53A kha vạn cân, kp1, hiệp bình chánh</t>
  </si>
  <si>
    <t>Ngọc Ánh</t>
  </si>
  <si>
    <t>HD018053</t>
  </si>
  <si>
    <t>236/43/9 điện biên phủ</t>
  </si>
  <si>
    <t>An An</t>
  </si>
  <si>
    <t>HD017441</t>
  </si>
  <si>
    <t>374 Xô viết nghệ tĩnh, P25</t>
  </si>
  <si>
    <t>Ngân Phan</t>
  </si>
  <si>
    <t>HD017688</t>
  </si>
  <si>
    <t>Chung cư Sarina tháp B (Sarina 1B), đường B2, mặt sau đường Hoàng Thế Thiện, Phường An Khánh</t>
  </si>
  <si>
    <t>Mén HM</t>
  </si>
  <si>
    <t>HD017895</t>
  </si>
  <si>
    <t>Toà landmark 2</t>
  </si>
  <si>
    <t>Trúc Phương</t>
  </si>
  <si>
    <t>HD017982</t>
  </si>
  <si>
    <t>Chung cư citiesto, cát lái</t>
  </si>
  <si>
    <t>đổi hàng</t>
  </si>
  <si>
    <t>BOS BMB</t>
  </si>
  <si>
    <t>119 hoàng diệu 2 linh trung</t>
  </si>
  <si>
    <t>jenny bouti</t>
  </si>
  <si>
    <t>401 Quang trung f10</t>
  </si>
  <si>
    <t>Nguyễn Havy</t>
  </si>
  <si>
    <t>HD017867</t>
  </si>
  <si>
    <t>CC The Park Residence, 12 Nguyễn Hữu Thọ, Phước Kiển</t>
  </si>
  <si>
    <t>nha be</t>
  </si>
  <si>
    <t>c.hieu</t>
  </si>
  <si>
    <t>Minơ fb Lê Tú</t>
  </si>
  <si>
    <t>HD017844</t>
  </si>
  <si>
    <t>chung cư Sài Gòn Mia - lock A ) 200 đường số 9A- xã bình hưng</t>
  </si>
  <si>
    <t>binh chanh</t>
  </si>
  <si>
    <t>Phuong Thaoo</t>
  </si>
  <si>
    <t>HD018004</t>
  </si>
  <si>
    <t>12c trần phú p4</t>
  </si>
  <si>
    <t>Trang Lưu</t>
  </si>
  <si>
    <t>HD017868</t>
  </si>
  <si>
    <t>223/2G phạm viết chánh phường nguyễn cư trinh</t>
  </si>
  <si>
    <t>Yun Sokhour D17386666</t>
  </si>
  <si>
    <t>HD017709</t>
  </si>
  <si>
    <t>nhà xe Khải nam</t>
  </si>
  <si>
    <t>Uyên Thư</t>
  </si>
  <si>
    <t>HD017958</t>
  </si>
  <si>
    <t>Nguyễn Đình Chiêu Phường Bàn Cờ</t>
  </si>
  <si>
    <t>Mỹ Kiều</t>
  </si>
  <si>
    <t>HD017795</t>
  </si>
  <si>
    <t>51 lê quý đôn phường xuân hòa</t>
  </si>
  <si>
    <t>Thu Thuỷ</t>
  </si>
  <si>
    <t>HD018074</t>
  </si>
  <si>
    <t>181 đường 79 tân quy</t>
  </si>
  <si>
    <t>Trần Ngọc trang - malaysia - Tuyên</t>
  </si>
  <si>
    <t>HD017715</t>
  </si>
  <si>
    <t>36/15 yên thế, phường 2</t>
  </si>
  <si>
    <t>Yin Nguyễn</t>
  </si>
  <si>
    <t>HD017561</t>
  </si>
  <si>
    <t>116a đường số 16 p tân quy</t>
  </si>
  <si>
    <t>anh phước (đồ của chị yến)</t>
  </si>
  <si>
    <t>HD017832</t>
  </si>
  <si>
    <t>241 lê thánh tôn, p. bến thành</t>
  </si>
  <si>
    <t>shop chịu ship</t>
  </si>
  <si>
    <t>Nhu Thanh</t>
  </si>
  <si>
    <t>HD017793</t>
  </si>
  <si>
    <t>99 D1 Hoàng Trọng Mậu, Him Lam, Tân Hưng</t>
  </si>
  <si>
    <t>Mone Ng</t>
  </si>
  <si>
    <t>HD017667</t>
  </si>
  <si>
    <t>Sky Garden 2 p tân phong PMH</t>
  </si>
  <si>
    <t>Kimmie Van</t>
  </si>
  <si>
    <t>HD017625</t>
  </si>
  <si>
    <t>645/48 đường Trần Xuân Soạn p. Tân Hưng</t>
  </si>
  <si>
    <t>Mai Anh</t>
  </si>
  <si>
    <t>HD017687</t>
  </si>
  <si>
    <t>109/22/14 Dương Bá Trạc p1</t>
  </si>
  <si>
    <t>Ngọc Phạm</t>
  </si>
  <si>
    <t>HD017869</t>
  </si>
  <si>
    <t>80 BÀ HUYỆN THANH QUAN, P.9</t>
  </si>
  <si>
    <t>bảo bảo fb Phương Phương</t>
  </si>
  <si>
    <t>HD017593</t>
  </si>
  <si>
    <t>132 bến vân đồn p5</t>
  </si>
  <si>
    <t>Thao My</t>
  </si>
  <si>
    <t>HD017676</t>
  </si>
  <si>
    <t>346 Bên Vân đồn f1 Chung cư Gold View</t>
  </si>
  <si>
    <t>MAI TRẦN</t>
  </si>
  <si>
    <t>135 hải thượng lãn ông P10</t>
  </si>
  <si>
    <t>NGAY 4-5</t>
  </si>
  <si>
    <t>THU 2</t>
  </si>
  <si>
    <t>T2.4.5.2026</t>
  </si>
  <si>
    <t>Hồ Thị Mỹ Hạnh</t>
  </si>
  <si>
    <t>HD018199</t>
  </si>
  <si>
    <t>S3.02 vinhomes garden park long bình</t>
  </si>
  <si>
    <t>04-05-2026</t>
  </si>
  <si>
    <t>Dạ Thảo (Hàng của Thanh đi Malaysia)</t>
  </si>
  <si>
    <t>HD018104</t>
  </si>
  <si>
    <t>66 đường số 17 phường 10</t>
  </si>
  <si>
    <t>AT 04-05</t>
  </si>
  <si>
    <t>hương</t>
  </si>
  <si>
    <t>HD018201</t>
  </si>
  <si>
    <t>97 đường 24A -bình trị đông b</t>
  </si>
  <si>
    <t>Ngọc - fb Nguyễn Mười Ut</t>
  </si>
  <si>
    <t>HD018123</t>
  </si>
  <si>
    <t>45/8 đường số 8 phường bình hưng hòa A</t>
  </si>
  <si>
    <t>Hạnh Huỳnh</t>
  </si>
  <si>
    <t>HD018243</t>
  </si>
  <si>
    <t>42A, đường Mã Lò, phường Bình Trị Đông A</t>
  </si>
  <si>
    <t>Bé Bờm</t>
  </si>
  <si>
    <t>HD018225</t>
  </si>
  <si>
    <t>167/10 Đào Sư Tích, Phước Kiển</t>
  </si>
  <si>
    <t>Quế Trân Nguyễn</t>
  </si>
  <si>
    <t>HD018214</t>
  </si>
  <si>
    <t>145 Nguyễn Cửu Đàm - Tân Sơn Nhì</t>
  </si>
  <si>
    <t>Bé My</t>
  </si>
  <si>
    <t>HD017792</t>
  </si>
  <si>
    <t>304/45 đường số 8 bình hưng hoà a</t>
  </si>
  <si>
    <t>chip chip</t>
  </si>
  <si>
    <t>HD018274</t>
  </si>
  <si>
    <t>71/16 thới an 16</t>
  </si>
  <si>
    <t>My Nguyễn</t>
  </si>
  <si>
    <t>HD018234</t>
  </si>
  <si>
    <t>256/33 liên khu 4 - 5 - Bình Hưng Hòa B</t>
  </si>
  <si>
    <t>Hoàng Trinh</t>
  </si>
  <si>
    <t>HD018238</t>
  </si>
  <si>
    <t>71/1/33.Nguyễn van Thuong p Thạnh mỹ tây</t>
  </si>
  <si>
    <t>chi hương fb Kim Tien Phan</t>
  </si>
  <si>
    <t>HD018239</t>
  </si>
  <si>
    <t>328 đường số 8 thông tây hội</t>
  </si>
  <si>
    <t>Kim Anh</t>
  </si>
  <si>
    <t>HD018216</t>
  </si>
  <si>
    <t>124/83/1 xô viết nghệ tĩnh p21</t>
  </si>
  <si>
    <t>TRANG TRẦN 2</t>
  </si>
  <si>
    <t>1122/23/7 quang trung phường 8</t>
  </si>
  <si>
    <t>Qn Nguyễn</t>
  </si>
  <si>
    <t>189/46a Bạch Đằng, phường Hạnh Thông</t>
  </si>
  <si>
    <t>NIKI VIJANDRE + Air Shipment + Mien Tran</t>
  </si>
  <si>
    <t>14 Lam Thi Ho, Tan Chanh Hiep Ward</t>
  </si>
  <si>
    <t>Ngọc Thủy</t>
  </si>
  <si>
    <t>41 Mạc Đĩnh Chi, đakao, P1</t>
  </si>
  <si>
    <t>Mã Thục Phối</t>
  </si>
  <si>
    <t>HD016561</t>
  </si>
  <si>
    <t>156 hàn hải nguyên f8</t>
  </si>
  <si>
    <t>Ngọc Tuyền</t>
  </si>
  <si>
    <t>HD018193</t>
  </si>
  <si>
    <t>Saigon Royal OT2</t>
  </si>
  <si>
    <t>Người nhận chuột</t>
  </si>
  <si>
    <t>HD018256</t>
  </si>
  <si>
    <t>số 229A Đường bùi thị xuân phường 1</t>
  </si>
  <si>
    <t>đơn trả 5.5</t>
  </si>
  <si>
    <t>THU 3</t>
  </si>
  <si>
    <t>NGAY 5-5</t>
  </si>
  <si>
    <t>T3.5.5.2026</t>
  </si>
  <si>
    <t>T4.6.5.2026</t>
  </si>
  <si>
    <t>THU 4</t>
  </si>
  <si>
    <t>NGAY 6-5</t>
  </si>
  <si>
    <t>Lan Anh Nguyễn</t>
  </si>
  <si>
    <t>HD018539</t>
  </si>
  <si>
    <t>70 đường số 1 KDC nam long</t>
  </si>
  <si>
    <t>AT 05-05</t>
  </si>
  <si>
    <t>05-05-2026</t>
  </si>
  <si>
    <t>Giáng Hương</t>
  </si>
  <si>
    <t>HD018400</t>
  </si>
  <si>
    <t>111 đường số 10 phường 13</t>
  </si>
  <si>
    <t>Hiểu My</t>
  </si>
  <si>
    <t>HD018563</t>
  </si>
  <si>
    <t>Toà 2, chung cư river panorama, 20 lê thị chợ, phường phú thuận</t>
  </si>
  <si>
    <t>Nhung Bùi</t>
  </si>
  <si>
    <t>H0018373</t>
  </si>
  <si>
    <t>409/108/32/14c huynh thị hai, tân chánh hiệp</t>
  </si>
  <si>
    <t>C. Phương fb Nuory Le</t>
  </si>
  <si>
    <t>HD018435</t>
  </si>
  <si>
    <t>A28/1Dw3 quốc lộ 50 ấp 1 xã bình hưng</t>
  </si>
  <si>
    <t>ny nhỏ</t>
  </si>
  <si>
    <t>HD018341</t>
  </si>
  <si>
    <t>49 le quang kim p8</t>
  </si>
  <si>
    <t>Hoàng Bảo Trân</t>
  </si>
  <si>
    <t>HD018387</t>
  </si>
  <si>
    <t>2/11 đường thiên phước, p9</t>
  </si>
  <si>
    <t>Lê Thị Minh Phượng</t>
  </si>
  <si>
    <t>HD018553</t>
  </si>
  <si>
    <t>155/14 đs 11 bình hưng hoà</t>
  </si>
  <si>
    <t>Tuyết Nhi</t>
  </si>
  <si>
    <t>HD018231</t>
  </si>
  <si>
    <t>100/17 liên khu 1-6 bình trị đông</t>
  </si>
  <si>
    <t>hàng của Đào Ngọc Bích</t>
  </si>
  <si>
    <t>HD018540</t>
  </si>
  <si>
    <t>007 Lộ B chung cư Tây Thạnh, phường Tân Thạnh</t>
  </si>
  <si>
    <t>Việt Anh - fb Hồ Thị Uyên</t>
  </si>
  <si>
    <t>HD018388</t>
  </si>
  <si>
    <t>350/27 Lê Văn Quới, Bình Hưng Hòa A</t>
  </si>
  <si>
    <t>cô dung fb Nini Thach</t>
  </si>
  <si>
    <t>HD018521</t>
  </si>
  <si>
    <t>137/74a âu dương lân - p2</t>
  </si>
  <si>
    <t>Mi Ni</t>
  </si>
  <si>
    <t>HD018437</t>
  </si>
  <si>
    <t>536/32/23 âu cơ</t>
  </si>
  <si>
    <t>HD018486</t>
  </si>
  <si>
    <t>Châu Châu</t>
  </si>
  <si>
    <t>HD018490</t>
  </si>
  <si>
    <t>E3/8 ấp 56 xã vĩnh lộc</t>
  </si>
  <si>
    <t>Thanh Xuân</t>
  </si>
  <si>
    <t>HD018565</t>
  </si>
  <si>
    <t>17/4B Liên khu 5-6 bình hưng hòa b</t>
  </si>
  <si>
    <t>Hồng My</t>
  </si>
  <si>
    <t>HD018549</t>
  </si>
  <si>
    <t>192 Phạm Đức Sơn, Phường 16 (Chung Cư Heaven Riverview - Mỹ Phúc) Block B</t>
  </si>
  <si>
    <t>Nguyễn Minh Hải</t>
  </si>
  <si>
    <t>17 Đường Số 13 Bình Hưng Hoà</t>
  </si>
  <si>
    <t>My Luu</t>
  </si>
  <si>
    <t>HD018546</t>
  </si>
  <si>
    <t>Toà T1, chung cư Vista Verde, số 8 Nguyễn Thanh Sơn, phường Cát Lái</t>
  </si>
  <si>
    <t>gộp, đổi hàng</t>
  </si>
  <si>
    <t>HD018552</t>
  </si>
  <si>
    <t>Thảo</t>
  </si>
  <si>
    <t>HD018440</t>
  </si>
  <si>
    <t>280a12 Lương Đình Của. An Phú</t>
  </si>
  <si>
    <t>Nguyen Diem My</t>
  </si>
  <si>
    <t>HD018321</t>
  </si>
  <si>
    <t>212 lê quang định phường 14</t>
  </si>
  <si>
    <t>Love May</t>
  </si>
  <si>
    <t>HD018311</t>
  </si>
  <si>
    <t>T4 Masteri Đường Số 10, Thảo Điền</t>
  </si>
  <si>
    <t>Đinh Thị Kim Lan</t>
  </si>
  <si>
    <t>HD018306</t>
  </si>
  <si>
    <t>Ngân hàng Tpbank 303 (39/6) Trường Chinh P Tân Thới Nhất</t>
  </si>
  <si>
    <t>Thu Ba DS</t>
  </si>
  <si>
    <t>HD018302</t>
  </si>
  <si>
    <t>395 Bùi Đình Tuý, p14</t>
  </si>
  <si>
    <t>Ivy Dao</t>
  </si>
  <si>
    <t>HD018318</t>
  </si>
  <si>
    <t>238/3 trường chinh, đông hưng thuận</t>
  </si>
  <si>
    <t>Mỹ Ngọc</t>
  </si>
  <si>
    <t>HD018275</t>
  </si>
  <si>
    <t>242 nguyễn oanh, phường gò vấp</t>
  </si>
  <si>
    <t>Ly Clara Selena</t>
  </si>
  <si>
    <t>403 tân sơn p12</t>
  </si>
  <si>
    <t>LISA</t>
  </si>
  <si>
    <t>685 tân sơn phường 12</t>
  </si>
  <si>
    <t>THU TRƯƠNG</t>
  </si>
  <si>
    <t>159/43/5 Đường Bạch Đằng, phường Tân Sơn Hòa</t>
  </si>
  <si>
    <t>Nhung SaLin</t>
  </si>
  <si>
    <t>HD018386</t>
  </si>
  <si>
    <t>19a Trần Quang diệu p13</t>
  </si>
  <si>
    <t>gộp</t>
  </si>
  <si>
    <t>HD018538</t>
  </si>
  <si>
    <t>Trâm Trang</t>
  </si>
  <si>
    <t>HD018328</t>
  </si>
  <si>
    <t>346 bến vân đồn p1</t>
  </si>
  <si>
    <t>Nhi</t>
  </si>
  <si>
    <t>HD018213</t>
  </si>
  <si>
    <t>27 nguyễn hữu thọ (sunrise city toà X1) phường Tân Hưng</t>
  </si>
  <si>
    <t>Trần Thục Oanh</t>
  </si>
  <si>
    <t>HD018532</t>
  </si>
  <si>
    <t>118 đường 3/2, p12</t>
  </si>
  <si>
    <t>Trần Ngọc Thúy</t>
  </si>
  <si>
    <t>HD018516</t>
  </si>
  <si>
    <t>saigon mia block b cổng sau</t>
  </si>
  <si>
    <t>Ngọc Vinh</t>
  </si>
  <si>
    <t>HD018285</t>
  </si>
  <si>
    <t>17-19 Trường Sơn P4</t>
  </si>
  <si>
    <t>Miu miu quỳnh</t>
  </si>
  <si>
    <t>HD018466</t>
  </si>
  <si>
    <t>109 Bến Vân Đồn P9</t>
  </si>
  <si>
    <t>Nguyễn Thị Bảo Loan</t>
  </si>
  <si>
    <t>HD018401</t>
  </si>
  <si>
    <t>tòa b2 chung cư lavida plus số 1181 nguyễn văn linh tân phong</t>
  </si>
  <si>
    <t>Vy Vy</t>
  </si>
  <si>
    <t>HD018348</t>
  </si>
  <si>
    <t>Block B chung cư Sunrise RiverSide, Nguyễn Hữu Thọ, Phước Kiển</t>
  </si>
  <si>
    <t>Ngà Ngọc</t>
  </si>
  <si>
    <t>HD018269</t>
  </si>
  <si>
    <t>85 phan xích long p2</t>
  </si>
  <si>
    <t>phu nhuan</t>
  </si>
  <si>
    <t>Elena Nguyễn</t>
  </si>
  <si>
    <t>HD018325</t>
  </si>
  <si>
    <t>56/41 dương ba trạc, Phường 02</t>
  </si>
  <si>
    <t>HD018494</t>
  </si>
  <si>
    <t>chung cư the park residence, 12 nguyễn hữu thọ phước kien nha be</t>
  </si>
  <si>
    <t>Hoàng Thuý Liên</t>
  </si>
  <si>
    <t>HD017772</t>
  </si>
  <si>
    <t>290 an dương vương phường chợ quán</t>
  </si>
  <si>
    <t>yenchau</t>
  </si>
  <si>
    <t>HD018526</t>
  </si>
  <si>
    <t>Chung cu Horita, lo C, Đường D4, P. Tân Hưng</t>
  </si>
  <si>
    <t>Thư Ánh Võ</t>
  </si>
  <si>
    <t>HD018343</t>
  </si>
  <si>
    <t>5 lê thánh tôn bến nghé</t>
  </si>
  <si>
    <t>Ly Sokny- 012776599</t>
  </si>
  <si>
    <t>HD018248</t>
  </si>
  <si>
    <t>359 phạm ngũ lão</t>
  </si>
  <si>
    <t>shipper ứng tiền cho nhà xe</t>
  </si>
  <si>
    <t>Tuyết</t>
  </si>
  <si>
    <t>HD018429</t>
  </si>
  <si>
    <t>30/18 đường số 6 KP18 Phường Vĩnh Hội</t>
  </si>
  <si>
    <t>Hồng Miên</t>
  </si>
  <si>
    <t>HD018250</t>
  </si>
  <si>
    <t>123 đường số 11 tân kiểng tân quy</t>
  </si>
  <si>
    <t>HD018376</t>
  </si>
  <si>
    <t>Loan Thỏ</t>
  </si>
  <si>
    <t>HD018544</t>
  </si>
  <si>
    <t>81/6 Hồ thị kỷ, phường 1</t>
  </si>
  <si>
    <t>FANG FANG</t>
  </si>
  <si>
    <t>A75/6B/2 Bạch Đằng, Phường 2</t>
  </si>
  <si>
    <t>DARAVIN</t>
  </si>
  <si>
    <t>301 Phạm Ngũ Lão, Phường Phạm Ngũ Lão</t>
  </si>
  <si>
    <t>đơn lấy hàng về cho shop</t>
  </si>
  <si>
    <t>Cc cardinal tower B Phường Tân Phú</t>
  </si>
  <si>
    <t>THU 5</t>
  </si>
  <si>
    <t>NGAY 7-5</t>
  </si>
  <si>
    <t>C Phước - fb Yến Nguyễn</t>
  </si>
  <si>
    <t>HD018741</t>
  </si>
  <si>
    <t>Block C 685 Âu Cơ, Chung Cư Oriental Plaza</t>
  </si>
  <si>
    <t>AT 06-05</t>
  </si>
  <si>
    <t>06-05-2026</t>
  </si>
  <si>
    <t>Chi Kim</t>
  </si>
  <si>
    <t>HD018829</t>
  </si>
  <si>
    <t>68A trung mỹ tây 3, phường trung mỹ tây</t>
  </si>
  <si>
    <t>Tăng Ánh Hồng</t>
  </si>
  <si>
    <t>HD018739</t>
  </si>
  <si>
    <t>41a phú định p16</t>
  </si>
  <si>
    <t>Trúc Ly</t>
  </si>
  <si>
    <t>HD018824</t>
  </si>
  <si>
    <t>280 Bình Trị Đông, Phường Bình Trị Đông</t>
  </si>
  <si>
    <t>Jasploy9989 (inst slideincloset)</t>
  </si>
  <si>
    <t>HD018695</t>
  </si>
  <si>
    <t>275/14B1 Đặng Nguyên Cẩn, Phường Phú Lâm (phường 14 cũ)</t>
  </si>
  <si>
    <t>Tên dinh - fb NG Eric 0đ</t>
  </si>
  <si>
    <t>HD018721</t>
  </si>
  <si>
    <t>215 tên lửa, bình trị đông b</t>
  </si>
  <si>
    <t>Phương Như Tiết</t>
  </si>
  <si>
    <t>HD018610</t>
  </si>
  <si>
    <t>8 đường 19 phường Bình Trị Đông B</t>
  </si>
  <si>
    <t>Gia Linh</t>
  </si>
  <si>
    <t>HD018601</t>
  </si>
  <si>
    <t>100 đinh văn ước ấp5 xã hưng long</t>
  </si>
  <si>
    <t>Nam Diep Hung Tue</t>
  </si>
  <si>
    <t>HD018802</t>
  </si>
  <si>
    <t>Chung cư Sơn Kỳ 2 số 37 đường DC 13 p Tây Thạnh</t>
  </si>
  <si>
    <t>Lý Ngọc Khuyên ( 1805) fb Jessy Dang</t>
  </si>
  <si>
    <t>HD018774</t>
  </si>
  <si>
    <t>Toà nhà Bảy Hiền : 9 Phạm Phu Thử, nay phường Bảy Hiền (phuong 11 cũ)</t>
  </si>
  <si>
    <t>Huỳnh Thị Thúy Kiều</t>
  </si>
  <si>
    <t>HD018671</t>
  </si>
  <si>
    <t>Chung cư zentower 34/1 ql1 phường thới an</t>
  </si>
  <si>
    <t>Trân Hoàng Kỳ Châu</t>
  </si>
  <si>
    <t>HD018517</t>
  </si>
  <si>
    <t>Công ty TNHH GỐM sứ Kim Trúc, khu công nghiệp Tân Bình, đường số 3 lô 4, phường Tây Thạnh</t>
  </si>
  <si>
    <t>TEQUILA THAO VY</t>
  </si>
  <si>
    <t>426 nơ trang long</t>
  </si>
  <si>
    <t>Phạm Vui</t>
  </si>
  <si>
    <t>HD018823</t>
  </si>
  <si>
    <t>508/16 trường chinh p13</t>
  </si>
  <si>
    <t>Tâm Như</t>
  </si>
  <si>
    <t>HD018669</t>
  </si>
  <si>
    <t>33 Võ Văn Ngân, P.Linh Chiểu</t>
  </si>
  <si>
    <t>Fb: Vân Nhung</t>
  </si>
  <si>
    <t>HD018780</t>
  </si>
  <si>
    <t>Cty Thế Long Express 27/5 quách văn tuấn, F12</t>
  </si>
  <si>
    <t>thaoquyen tran</t>
  </si>
  <si>
    <t>HD018784</t>
  </si>
  <si>
    <t>21/41 bình lợi p13</t>
  </si>
  <si>
    <t>Hoàng Nhung</t>
  </si>
  <si>
    <t>HD018652</t>
  </si>
  <si>
    <t>Chung cư Sai Gon Avenue - Đường số 11, khu phố 4, phường Tam Bình</t>
  </si>
  <si>
    <t>Hoàng Thúy Triều</t>
  </si>
  <si>
    <t>HD018807</t>
  </si>
  <si>
    <t>477 19 nguyễn văn công p3</t>
  </si>
  <si>
    <t>Charii ( inst chari_importshop )-BN2441</t>
  </si>
  <si>
    <t>HD018456</t>
  </si>
  <si>
    <t>163 Trương Thị Hoa, phường Tân Thới Hiệp</t>
  </si>
  <si>
    <t>BN182 miki chouchou Fb</t>
  </si>
  <si>
    <t>HD018603</t>
  </si>
  <si>
    <t>163 Đường Trương Thị Hoa, phường Tân Thới Hiệp</t>
  </si>
  <si>
    <t>KIM LIÊN</t>
  </si>
  <si>
    <t>25/17/11 CỬU LONG PHƯỜNG 2</t>
  </si>
  <si>
    <t>Su Anh</t>
  </si>
  <si>
    <t>22/40 Yên Thế, P2</t>
  </si>
  <si>
    <t>TOM AG</t>
  </si>
  <si>
    <t>12 HỒ VĂN HUÊ PHƯỜNG 9</t>
  </si>
  <si>
    <t>Tường Vi</t>
  </si>
  <si>
    <t>HD018651</t>
  </si>
  <si>
    <t>325 phan xích long</t>
  </si>
  <si>
    <t>Lê Thảo</t>
  </si>
  <si>
    <t>HD017759</t>
  </si>
  <si>
    <t>3 Đặng Dung, P Tân Định</t>
  </si>
  <si>
    <t>Ánh Tuyết</t>
  </si>
  <si>
    <t>HD018620</t>
  </si>
  <si>
    <t>23 lộc hưng p6</t>
  </si>
  <si>
    <t>Michelle Nguyen (Tu Anh)</t>
  </si>
  <si>
    <t>HD018799</t>
  </si>
  <si>
    <t>19 Yên Thế p.2</t>
  </si>
  <si>
    <t>Thiên Trang</t>
  </si>
  <si>
    <t>HD018668</t>
  </si>
  <si>
    <t>221 trần bình trọng p2</t>
  </si>
  <si>
    <t>Phượng Nhi</t>
  </si>
  <si>
    <t>HD018622</t>
  </si>
  <si>
    <t>35 đặng thị nhu phường Nguyễn thái bình</t>
  </si>
  <si>
    <t>Quỳnh Hương</t>
  </si>
  <si>
    <t>HD018593</t>
  </si>
  <si>
    <t>Saigon Royal Residence, Nguyễn Trường Tộ, phường 13</t>
  </si>
  <si>
    <t>Macie Nguyen</t>
  </si>
  <si>
    <t>HD018621</t>
  </si>
  <si>
    <t>91 Phạm Văn Hai, f3</t>
  </si>
  <si>
    <t>NGAY 8-5</t>
  </si>
  <si>
    <t>T6.8.5.2026</t>
  </si>
  <si>
    <t>T5.7.5.2026</t>
  </si>
  <si>
    <t>Thuỳ Duyên - fb Elyna Tran</t>
  </si>
  <si>
    <t>HD019033</t>
  </si>
  <si>
    <t>Vinhome Grandpark Be3, Nguyễn Xiển, Long Bình</t>
  </si>
  <si>
    <t>07-05-2026</t>
  </si>
  <si>
    <t>Phương Phạm</t>
  </si>
  <si>
    <t>HD018958</t>
  </si>
  <si>
    <t>Bs16A vinhome grand park long bình</t>
  </si>
  <si>
    <t>Tuyến fb Có Đuôi Gà</t>
  </si>
  <si>
    <t>HD019062</t>
  </si>
  <si>
    <t>7/88, Ik 5-6, bình Hưng hoà B</t>
  </si>
  <si>
    <t>AT 07-05</t>
  </si>
  <si>
    <t>Lê Thị Minh Phượng.</t>
  </si>
  <si>
    <t>HD019071</t>
  </si>
  <si>
    <t>155/14 ds 11 bình hưng hoà</t>
  </si>
  <si>
    <t>My Nhung Ly</t>
  </si>
  <si>
    <t>HD019061</t>
  </si>
  <si>
    <t>số 13 đường số 9, P13</t>
  </si>
  <si>
    <t>Chị Phương</t>
  </si>
  <si>
    <t>HD019053</t>
  </si>
  <si>
    <t>984/62 hà huy giáp</t>
  </si>
  <si>
    <t>Nguyễn Kim Dung</t>
  </si>
  <si>
    <t>HD019069</t>
  </si>
  <si>
    <t>40/20 trần văn quang p10</t>
  </si>
  <si>
    <t>Thu Phương</t>
  </si>
  <si>
    <t>HD018907</t>
  </si>
  <si>
    <t>96a đg 79 phường tân quy</t>
  </si>
  <si>
    <t>Uyên Phương ( Trân)</t>
  </si>
  <si>
    <t>HD018834</t>
  </si>
  <si>
    <t>31 Nguyễn Văn Linh, phường Tân Thuận Tây</t>
  </si>
  <si>
    <t>Trần Phương Quỳnh</t>
  </si>
  <si>
    <t>HD018973</t>
  </si>
  <si>
    <t>53 nguyễn thị minh khai, p sài gòn tòa nhà avalon</t>
  </si>
  <si>
    <t>VN ( Allie Biiny)</t>
  </si>
  <si>
    <t>HD018858</t>
  </si>
  <si>
    <t>Phương 1 Street/Buildding Name: \450/28Gdương bá trạc(061771181)</t>
  </si>
  <si>
    <t>Kim Hằng</t>
  </si>
  <si>
    <t>HD018939</t>
  </si>
  <si>
    <t>PARK VIEW APARTMENT R4-10-11, Hưng Gia 1,Đ. Số 2, Tân Phong</t>
  </si>
  <si>
    <t>HD018855</t>
  </si>
  <si>
    <t>chung cư the park residence. 12 nguyễn hữu thọ phước kien</t>
  </si>
  <si>
    <t>Ngọc Hân Nghiêm</t>
  </si>
  <si>
    <t>HD018899</t>
  </si>
  <si>
    <t>124 đường số 9 KDC Bình Hưng, Bình Hưng</t>
  </si>
  <si>
    <t>HD018512</t>
  </si>
  <si>
    <t>Thỏ Selina</t>
  </si>
  <si>
    <t>HD019055</t>
  </si>
  <si>
    <t>Tháp S2 - The sun avenue 28 Mai Chí Thọ, P bình trưng</t>
  </si>
  <si>
    <t>ái quyên mai malaysia</t>
  </si>
  <si>
    <t>HD018836</t>
  </si>
  <si>
    <t>22 Tân Thới Nhất 1B, p. Tân Thới Nhất</t>
  </si>
  <si>
    <t>Trang Lê</t>
  </si>
  <si>
    <t>HD019057</t>
  </si>
  <si>
    <t>8A Sông Thương P2</t>
  </si>
  <si>
    <t>Phạm Thị Bảo Trân</t>
  </si>
  <si>
    <t>HD018909</t>
  </si>
  <si>
    <t>Block B Chung Cư Urban Green, Đường Số 6, Hiệp Bình</t>
  </si>
  <si>
    <t>Thụy Uyên Vũ</t>
  </si>
  <si>
    <t>HD018911</t>
  </si>
  <si>
    <t>Chung cư the manor 2</t>
  </si>
  <si>
    <t>Phương Thúy</t>
  </si>
  <si>
    <t>HD018990</t>
  </si>
  <si>
    <t>33 đường số 5 cát lái</t>
  </si>
  <si>
    <t>HD019025</t>
  </si>
  <si>
    <t>Nguyễn Trang</t>
  </si>
  <si>
    <t>HD018885</t>
  </si>
  <si>
    <t>Chung cư freshca lock b Phường Bình Chiểu</t>
  </si>
  <si>
    <t>Diễm Quỳnh</t>
  </si>
  <si>
    <t>HD019054</t>
  </si>
  <si>
    <t>Masteri thảo điền tháp t3 Thao dien</t>
  </si>
  <si>
    <t>ELLY NGUYỄN - THẮM NGUYÊN</t>
  </si>
  <si>
    <t>HD019058</t>
  </si>
  <si>
    <t>120/3/11 Đăng Thùy Trâm, P13 ( CTY GIA HUY EXPRESS )</t>
  </si>
  <si>
    <t>Lê Thị Quỳnh Yến</t>
  </si>
  <si>
    <t>HD019032</t>
  </si>
  <si>
    <t>82 bạch vân</t>
  </si>
  <si>
    <t>Phương Thảo</t>
  </si>
  <si>
    <t>HD018831</t>
  </si>
  <si>
    <t>504 Nguyễn Tất Thành, phường 18 chung cư Riva Park</t>
  </si>
  <si>
    <t>Huyền</t>
  </si>
  <si>
    <t>HD018987</t>
  </si>
  <si>
    <t>218/10 nam kì khởi nghĩa</t>
  </si>
  <si>
    <t>huyền nguyễn</t>
  </si>
  <si>
    <t>HD016429</t>
  </si>
  <si>
    <t>Trần HUỆ</t>
  </si>
  <si>
    <t>HD018874</t>
  </si>
  <si>
    <t>391 ngô gia tự p2</t>
  </si>
  <si>
    <t>CUS TWO EIGHT EIGHT TWO NINE</t>
  </si>
  <si>
    <t>HD018877</t>
  </si>
  <si>
    <t>270B LÝ THƯỜNG KIỆT KP1 P6</t>
  </si>
  <si>
    <t>hải my fb Bé Hân</t>
  </si>
  <si>
    <t>HD018959</t>
  </si>
  <si>
    <t>31 an bình P6</t>
  </si>
  <si>
    <t>Thanh Thanh Trương</t>
  </si>
  <si>
    <t>HD019041</t>
  </si>
  <si>
    <t>518/24 võ văn kiệt</t>
  </si>
  <si>
    <t>Cindy Nguyễn</t>
  </si>
  <si>
    <t>HD017482</t>
  </si>
  <si>
    <t>12/7 đường P - Khu phố Mỹ Tú 2 - P. Tân Hưng</t>
  </si>
  <si>
    <t>29-04-2026</t>
  </si>
  <si>
    <t>đơn cũ ck</t>
  </si>
  <si>
    <t>luu tra</t>
  </si>
  <si>
    <t>kh ck shop 1980k</t>
  </si>
  <si>
    <t>VNTH Dịch vụ vận chuyển - NoyNa Thailand Service</t>
  </si>
  <si>
    <t>275/14B1 Đặng Nguyên Cẩn, Phường Phú Lâm</t>
  </si>
  <si>
    <t>AT 08-05</t>
  </si>
  <si>
    <t>Nguyễn Minh Hải (Bow)</t>
  </si>
  <si>
    <t>17 Đường Số 13 Bình Hưng Hòa</t>
  </si>
  <si>
    <t>Thịnh Nguyễn fb Loan Nguyen</t>
  </si>
  <si>
    <t>HD019175</t>
  </si>
  <si>
    <t>20/15 đường số 8 hẻm 20 phường Long Phước</t>
  </si>
  <si>
    <t>Nhật Nguyên</t>
  </si>
  <si>
    <t>HD019225</t>
  </si>
  <si>
    <t>Nhà Trọ Mai Anh, Ấp 3, Phước kiển (cuối đường b7)</t>
  </si>
  <si>
    <t>Nguyễn Thị Kim Ngân</t>
  </si>
  <si>
    <t>HD019275</t>
  </si>
  <si>
    <t>Hẻm 218, An dương vương, phường 16</t>
  </si>
  <si>
    <t>Mi Mi</t>
  </si>
  <si>
    <t>HD018473</t>
  </si>
  <si>
    <t>2 đường 3643 phạm thế hiển p7</t>
  </si>
  <si>
    <t>Tuyến fb Cỏ Đuôi Già</t>
  </si>
  <si>
    <t>HD019271</t>
  </si>
  <si>
    <t>Mai Nguyen</t>
  </si>
  <si>
    <t>HD019299</t>
  </si>
  <si>
    <t>272/21D lê văn quới, phường bình trị đông</t>
  </si>
  <si>
    <t>Nguyễn Thị Trà My</t>
  </si>
  <si>
    <t>HD019248</t>
  </si>
  <si>
    <t>325/9 bùi minh trực phường 6</t>
  </si>
  <si>
    <t>Thuy An Dao</t>
  </si>
  <si>
    <t>HD019092</t>
  </si>
  <si>
    <t>Sảnh B2 chung cư Emerald phường Sơn Kỳ</t>
  </si>
  <si>
    <t>HD019293</t>
  </si>
  <si>
    <t>Ngọc Diệp</t>
  </si>
  <si>
    <t>HD019226</t>
  </si>
  <si>
    <t>Ngọc diệp ak neo chung cư akari 77 đại lộ võ văn kiệt p an lạc</t>
  </si>
  <si>
    <t>Trương Kim Hồng</t>
  </si>
  <si>
    <t>HD019237</t>
  </si>
  <si>
    <t>114/15/14 Phạm Văn Chiêu, P.Thông Tây Hội</t>
  </si>
  <si>
    <t>Tần Châu Yến Vy</t>
  </si>
  <si>
    <t>HD019113</t>
  </si>
  <si>
    <t>2B Mai Chí Thọ, Enpi, Toà "lạ thường Thủ Thiêm</t>
  </si>
  <si>
    <t>HD019096</t>
  </si>
  <si>
    <t>W3337</t>
  </si>
  <si>
    <t>HD019276</t>
  </si>
  <si>
    <t>375 tân thới hiệp</t>
  </si>
  <si>
    <t>Thảo Nguyên Thị Nguyễn</t>
  </si>
  <si>
    <t>HD019222</t>
  </si>
  <si>
    <t>40/18 ấp bắc</t>
  </si>
  <si>
    <t>Minh Nguyệt + Lin Xiao</t>
  </si>
  <si>
    <t>HD019184</t>
  </si>
  <si>
    <t>C16 - Lô C1, đg DD5, Phường Đông Hưng Thuận (Sau chợ An Sương)</t>
  </si>
  <si>
    <t>Hà Chi</t>
  </si>
  <si>
    <t>HD014556</t>
  </si>
  <si>
    <t>1400 Đồng Văn Cống, phường Thạnh Mỹ Lợi</t>
  </si>
  <si>
    <t>Mỷ Ý</t>
  </si>
  <si>
    <t>HD019154</t>
  </si>
  <si>
    <t>137 Hoàng Hoa Thám</t>
  </si>
  <si>
    <t>Hoàng Lê Dung</t>
  </si>
  <si>
    <t>HD019266</t>
  </si>
  <si>
    <t>27/24/30 điện biên phủ, F. gia định</t>
  </si>
  <si>
    <t>Trúc Anh</t>
  </si>
  <si>
    <t>HD018871</t>
  </si>
  <si>
    <t>99 trần não phường an khánh</t>
  </si>
  <si>
    <t>Thuý Đào</t>
  </si>
  <si>
    <t>HD019309</t>
  </si>
  <si>
    <t>53/34/49 bình lợi, p13</t>
  </si>
  <si>
    <t>HD019277</t>
  </si>
  <si>
    <t>Phương liên (jun đặng)</t>
  </si>
  <si>
    <t>HD019311</t>
  </si>
  <si>
    <t>241 đông Hưng Thuận 2 phường Tân Hưng</t>
  </si>
  <si>
    <t>Trân Helen</t>
  </si>
  <si>
    <t>HD019219</t>
  </si>
  <si>
    <t>36/15 Yên Thế, Phường Tân Sơn Hoà, Phường Tân Bình</t>
  </si>
  <si>
    <t>HD019156</t>
  </si>
  <si>
    <t>Trần Hạ Mây</t>
  </si>
  <si>
    <t>HD019227</t>
  </si>
  <si>
    <t>Hòm thư A1.11-14, toà Aqua 1, Vinhomes golden river, số 2 Tôn Đức Thắng, phường Bến Nghé</t>
  </si>
  <si>
    <t>Cô Kiều</t>
  </si>
  <si>
    <t>HD019279</t>
  </si>
  <si>
    <t>59/7 điện biên phủ p10</t>
  </si>
  <si>
    <t>Nguyễn Ái My</t>
  </si>
  <si>
    <t>HD019244</t>
  </si>
  <si>
    <t>702/45/31 điện biên phủ phường 13</t>
  </si>
  <si>
    <t>Kim - fb July Phan</t>
  </si>
  <si>
    <t>HD019137</t>
  </si>
  <si>
    <t>86 Lê Thị Riêng p. Bến Thành</t>
  </si>
  <si>
    <t>Trần Thảo Ngân</t>
  </si>
  <si>
    <t>HD019270</t>
  </si>
  <si>
    <t>Ngân 27-19 block G chung cư eco green, đường nguyễn văn linh, phường tân thuận tây</t>
  </si>
  <si>
    <t>borameyyy 015738168</t>
  </si>
  <si>
    <t>HD019089</t>
  </si>
  <si>
    <t>363-365-367 363 Đi Hung Vương, Phường 9</t>
  </si>
  <si>
    <t>Trần Chi</t>
  </si>
  <si>
    <t>HD019216</t>
  </si>
  <si>
    <t>260 Nguyễn Tiểu La P8</t>
  </si>
  <si>
    <t>THU 7</t>
  </si>
  <si>
    <t>NGAY 9-5</t>
  </si>
  <si>
    <t>T7.9.5.2026</t>
  </si>
  <si>
    <t>NGAY 11-5</t>
  </si>
  <si>
    <t>T2.11.5.2026</t>
  </si>
  <si>
    <t>KIỀU HOANH</t>
  </si>
  <si>
    <t>277 âu dương lân p2</t>
  </si>
  <si>
    <t>AT 09-05</t>
  </si>
  <si>
    <t>09-05-2026</t>
  </si>
  <si>
    <t>THƯƠNG</t>
  </si>
  <si>
    <t>49 TX22, phường Thới An</t>
  </si>
  <si>
    <t>TUYẾT NHI</t>
  </si>
  <si>
    <t>170F Tân Hoà Đông f14</t>
  </si>
  <si>
    <t>Nguyễn Hà</t>
  </si>
  <si>
    <t>HD019502</t>
  </si>
  <si>
    <t>007 Lô B chung cư Tây Thạnh phường Tân Thạnh</t>
  </si>
  <si>
    <t>HD019300</t>
  </si>
  <si>
    <t>Barmey Bori Ev26146</t>
  </si>
  <si>
    <t>HD019327</t>
  </si>
  <si>
    <t>315/18/6 Nhuyễn Thị Tú, Phường Bình Hưng Hòa B</t>
  </si>
  <si>
    <t>Hạnh Trần</t>
  </si>
  <si>
    <t>HD019306</t>
  </si>
  <si>
    <t>Chung cư Tecco, block C, đường Nguyễn Cửu Phủ, phường Tân Tạo</t>
  </si>
  <si>
    <t>Huyền Nhung</t>
  </si>
  <si>
    <t>HD019331</t>
  </si>
  <si>
    <t>910 Nguyễn chí thanh, p4</t>
  </si>
  <si>
    <t>Thu Hà</t>
  </si>
  <si>
    <t>HD019369</t>
  </si>
  <si>
    <t>số 201/12 mã văn lò, p, bình trị đông a</t>
  </si>
  <si>
    <t>Thuý Heri</t>
  </si>
  <si>
    <t>HD019180</t>
  </si>
  <si>
    <t>184/17/35 bãi sậy, phường bình tiên</t>
  </si>
  <si>
    <t>Thy Mai</t>
  </si>
  <si>
    <t>HD019514</t>
  </si>
  <si>
    <t>2 nguyễn văn tưởng, phường tân phú</t>
  </si>
  <si>
    <t>Isabella</t>
  </si>
  <si>
    <t>494/1/12 Le Quang Dinh, P1</t>
  </si>
  <si>
    <t>NGUYỄN MINH DUY</t>
  </si>
  <si>
    <t>90/35 Trần Văn Ơn, Phường Tân Sơn Nhì</t>
  </si>
  <si>
    <t>Thanh Thao</t>
  </si>
  <si>
    <t>HD019454</t>
  </si>
  <si>
    <t>9a8, Chung cư Phúc Yên 1, 31 Phan Huy Ích, p Tân sơn</t>
  </si>
  <si>
    <t>Trang Phan</t>
  </si>
  <si>
    <t>HD019513</t>
  </si>
  <si>
    <t>162/25, Đường Nguyễn Văn Khối, Phường 8</t>
  </si>
  <si>
    <t>Phạm Dung</t>
  </si>
  <si>
    <t>HD019531</t>
  </si>
  <si>
    <t>208 nguyễn hữu cảnh phường 22 chung cư vinhome toà lanmark 5</t>
  </si>
  <si>
    <t>mai anh</t>
  </si>
  <si>
    <t>HD019506</t>
  </si>
  <si>
    <t>Gate 4 - Feliz en vista, 1 trương văn bang, thạnh mỹ lợi 42 Toà cruz - C810</t>
  </si>
  <si>
    <t>Minh Uyên (Kaydis T Ha)</t>
  </si>
  <si>
    <t>HD019522</t>
  </si>
  <si>
    <t>154/4/7, Nguyễn Phúc Chu Phường 15</t>
  </si>
  <si>
    <t>HD019413</t>
  </si>
  <si>
    <t>32B đường số 8 thông tây hội</t>
  </si>
  <si>
    <t>HD019503</t>
  </si>
  <si>
    <t>HD018297</t>
  </si>
  <si>
    <t>SU MO</t>
  </si>
  <si>
    <t>487 le van sy f12</t>
  </si>
  <si>
    <t>NOTE GỬI CHO SU ANH</t>
  </si>
  <si>
    <t>22/40 Yên Thế, P2, Tân Bình</t>
  </si>
  <si>
    <t>Ashley Khin (inst ashley__khin)</t>
  </si>
  <si>
    <t>HD015540</t>
  </si>
  <si>
    <t>100/2A Trần Hưng Đạo</t>
  </si>
  <si>
    <t>kh ck shop 975k</t>
  </si>
  <si>
    <t>Kimchou Try</t>
  </si>
  <si>
    <t>HD019523</t>
  </si>
  <si>
    <t>301 Pham Ngu Lao Street</t>
  </si>
  <si>
    <t>HD019430</t>
  </si>
  <si>
    <t>702/45/31 điện biên phủ phường 10</t>
  </si>
  <si>
    <t>Minh Ngọc</t>
  </si>
  <si>
    <t>HD019516</t>
  </si>
  <si>
    <t>Vincom đồng khởi 45 lý tự trọng căn hộ 2604</t>
  </si>
  <si>
    <t>Lê Nguyễn Nhật Ánh</t>
  </si>
  <si>
    <t>HD019357</t>
  </si>
  <si>
    <t>orchid 1, Hà Đô Centrosa, 118 3/2, phường Hòa Hưng</t>
  </si>
  <si>
    <t>Kim Mese Phan</t>
  </si>
  <si>
    <t>HD019317</t>
  </si>
  <si>
    <t>72 bùi hữu nghĩa p7</t>
  </si>
  <si>
    <t>Hương Giang SHIP GIỜ HÀNH CHÍNH</t>
  </si>
  <si>
    <t>HDO19455</t>
  </si>
  <si>
    <t>92 Nguyễn Trãi, phường Bến Thành</t>
  </si>
  <si>
    <t>đơn ck</t>
  </si>
  <si>
    <t>NGAY 12-5</t>
  </si>
  <si>
    <t>T3.12.5.2026</t>
  </si>
  <si>
    <t>Minh Nguyệt + Lin Xiao + Hàng Air</t>
  </si>
  <si>
    <t>HD019693</t>
  </si>
  <si>
    <t>C16-17 lô C1, đường DD5, phường Đông Hưng Thuận (ghi chú: sau lưng chợ An Sương)</t>
  </si>
  <si>
    <t>AT 11-05</t>
  </si>
  <si>
    <t>11-05-2026</t>
  </si>
  <si>
    <t>Thúy Kiều</t>
  </si>
  <si>
    <t>HD019818</t>
  </si>
  <si>
    <t>Số 6 mai văn vĩnh tân quy</t>
  </si>
  <si>
    <t>HD019881</t>
  </si>
  <si>
    <t>100.đinh văn ước ấp5 xã hưng long</t>
  </si>
  <si>
    <t>Ruby Cẩm Tú</t>
  </si>
  <si>
    <t>HD019626</t>
  </si>
  <si>
    <t>61 bui diên p4</t>
  </si>
  <si>
    <t>Phương Bình</t>
  </si>
  <si>
    <t>HD019877</t>
  </si>
  <si>
    <t>CC Ehome3, Hồ Học Lãm, An Lạc</t>
  </si>
  <si>
    <t>Nguyễn Thị Ngọc Ngà</t>
  </si>
  <si>
    <t>HD019744</t>
  </si>
  <si>
    <t>38b đường số 12 tân quy</t>
  </si>
  <si>
    <t>Minh Hải ( Ruby Eyelash - Nail )</t>
  </si>
  <si>
    <t>HD019891</t>
  </si>
  <si>
    <t>17 Đường Số 13 Phường Bình Hưng Hòa</t>
  </si>
  <si>
    <t>Đỗ Đông Mi</t>
  </si>
  <si>
    <t>HD019570</t>
  </si>
  <si>
    <t>115 phan huy thuc ptan kieng</t>
  </si>
  <si>
    <t>Nguyễn Cao Kim Anh</t>
  </si>
  <si>
    <t>HD019644</t>
  </si>
  <si>
    <t>264 lê văn lương phước kiểng</t>
  </si>
  <si>
    <t>Trúc Uyên</t>
  </si>
  <si>
    <t>HD019781</t>
  </si>
  <si>
    <t>Trường Ruby Hồng Ngọc, số 4 Lê Quát, Phường Tân Thới Hoà cũ</t>
  </si>
  <si>
    <t>Kaity Hg</t>
  </si>
  <si>
    <t>HD019671</t>
  </si>
  <si>
    <t>6B8/23/1c hương lộ 2, p bình trị đông A</t>
  </si>
  <si>
    <t>Trang Cherry</t>
  </si>
  <si>
    <t>HD019937</t>
  </si>
  <si>
    <t>Chung cư an gia thị trấn Tân túc</t>
  </si>
  <si>
    <t>Thuỳ</t>
  </si>
  <si>
    <t>HD019994</t>
  </si>
  <si>
    <t>24b tân sơn nhì</t>
  </si>
  <si>
    <t>W24130 miki</t>
  </si>
  <si>
    <t>624 Lê Thị Riêng, Thới An</t>
  </si>
  <si>
    <t>Myle Pham</t>
  </si>
  <si>
    <t>HD019988</t>
  </si>
  <si>
    <t>88/29 đường 17, phường Tân thuận Tây</t>
  </si>
  <si>
    <t>Yến Phương</t>
  </si>
  <si>
    <t>HD020005</t>
  </si>
  <si>
    <t>Toà nhà Namn 10 đường số 67 phường tân quy</t>
  </si>
  <si>
    <t>Lê Hữu Nhân</t>
  </si>
  <si>
    <t>HD019980</t>
  </si>
  <si>
    <t>53/3B Mai Hắc Đế, phường Phú Định</t>
  </si>
  <si>
    <t>Anh Thu</t>
  </si>
  <si>
    <t>HD019992</t>
  </si>
  <si>
    <t>157/59/11 Dương Bá Trạc Phường 1</t>
  </si>
  <si>
    <t>Võ Trần Như Bích</t>
  </si>
  <si>
    <t>HD019760</t>
  </si>
  <si>
    <t>Chung cư Richstar 1, sảnh RS1 - 278A Hoà Bình, P. Hiệp Tân</t>
  </si>
  <si>
    <t>Nguyễn Kim Ngân</t>
  </si>
  <si>
    <t>HD019934</t>
  </si>
  <si>
    <t>Lavida Plus, Nguyễn Văn Linh, Tân Phong</t>
  </si>
  <si>
    <t>135 hải thượng lãn Ông P10</t>
  </si>
  <si>
    <t>MIE</t>
  </si>
  <si>
    <t>Phan Nhi</t>
  </si>
  <si>
    <t>HD019796</t>
  </si>
  <si>
    <t>107/189 quang trung, f.10</t>
  </si>
  <si>
    <t>Kiên Thị Thanh Hiền</t>
  </si>
  <si>
    <t>HD019616</t>
  </si>
  <si>
    <t>31 đường số 30 phường cát lái</t>
  </si>
  <si>
    <t>Cẩm Tú</t>
  </si>
  <si>
    <t>HD019735</t>
  </si>
  <si>
    <t>chung cư terrace 21 võ trường toản</t>
  </si>
  <si>
    <t>HD019469</t>
  </si>
  <si>
    <t>Diệu Linh</t>
  </si>
  <si>
    <t>HD019905</t>
  </si>
  <si>
    <t>Vinhomes central park( park 2 -P2) 720a Điện Biên Phủ, Phường 22</t>
  </si>
  <si>
    <t>Mary Tran</t>
  </si>
  <si>
    <t>HD019738</t>
  </si>
  <si>
    <t>9/5 đường số 66 Phường thảo điền</t>
  </si>
  <si>
    <t>Trang Nhung Bui</t>
  </si>
  <si>
    <t>HD019787</t>
  </si>
  <si>
    <t>Toà Golden House - Sunwah Pearl 90 Nguyễn Hữu Cảnh - phường 22</t>
  </si>
  <si>
    <t>chi hương fb Kim Tien Pham</t>
  </si>
  <si>
    <t>HD19599</t>
  </si>
  <si>
    <t>Đỗ Thị Kiều Chinh</t>
  </si>
  <si>
    <t>HD019899</t>
  </si>
  <si>
    <t>42, đường 21,Khu dân cư bình chiểu, P tam binh (chợ đầu mối nông sản thủ đức)</t>
  </si>
  <si>
    <t>Dung Nguyen</t>
  </si>
  <si>
    <t>HD019705</t>
  </si>
  <si>
    <t>15/32/2 võ duy ninh f22</t>
  </si>
  <si>
    <t>Vân Ốc</t>
  </si>
  <si>
    <t>HD019745</t>
  </si>
  <si>
    <t>16 đường 6, p linh chiểu</t>
  </si>
  <si>
    <t>HD019779</t>
  </si>
  <si>
    <t>Gate 4 - Feliz en vista, 1 trương văn bang, thạnh mỹ lợi Toà cruz - C810</t>
  </si>
  <si>
    <t>Nguyễn Thị Thuỳ Trang</t>
  </si>
  <si>
    <t>HD020003</t>
  </si>
  <si>
    <t>41A huỳnh tịnh của p19</t>
  </si>
  <si>
    <t>Hồ Ly</t>
  </si>
  <si>
    <t>HD019939</t>
  </si>
  <si>
    <t>cổng B Cát Lái đường Lê Phụng Hiểu, Cát Lái</t>
  </si>
  <si>
    <t>HƯƠNG TRẦN</t>
  </si>
  <si>
    <t>261/26c chu văn an p12</t>
  </si>
  <si>
    <t>UYÊN MI</t>
  </si>
  <si>
    <t>78 Trần Não, P. An Khánh</t>
  </si>
  <si>
    <t>quyên quyên</t>
  </si>
  <si>
    <t>HD019808</t>
  </si>
  <si>
    <t>89 thành thái diên hồng</t>
  </si>
  <si>
    <t>Na Na</t>
  </si>
  <si>
    <t>HD019683</t>
  </si>
  <si>
    <t>145/11 Nguyễn Văn trỗi</t>
  </si>
  <si>
    <t>Ngô Thị Bích Loan</t>
  </si>
  <si>
    <t>HD019556</t>
  </si>
  <si>
    <t>167 đặng văn ngữ</t>
  </si>
  <si>
    <t>Trần Chi / Yaya Tran</t>
  </si>
  <si>
    <t>HD019782</t>
  </si>
  <si>
    <t>36 sư vạn hạnh p9</t>
  </si>
  <si>
    <t>Nhy Lê</t>
  </si>
  <si>
    <t>HD019780</t>
  </si>
  <si>
    <t>42 nguyễn sơn hà f5</t>
  </si>
  <si>
    <t>Nguyet</t>
  </si>
  <si>
    <t>HD019907</t>
  </si>
  <si>
    <t>Toà nhà lux 6...Vinhomes Golden River (Bason), 2 Nguyễn Hữu Cảnh, P. Bến Nghé</t>
  </si>
  <si>
    <t>Phi Phụng</t>
  </si>
  <si>
    <t>HD019753</t>
  </si>
  <si>
    <t>85 hồ tùng mậu bến nghé</t>
  </si>
  <si>
    <t>Vi Chanel</t>
  </si>
  <si>
    <t>HD019639</t>
  </si>
  <si>
    <t>132 Bến Vân Đồn Chung cư Millennium toà A 22.07</t>
  </si>
  <si>
    <t>Huỳnh Kim</t>
  </si>
  <si>
    <t>HD019764</t>
  </si>
  <si>
    <t>109 bến vân đồn, phường 9</t>
  </si>
  <si>
    <t>Huynh Anh</t>
  </si>
  <si>
    <t>HD019576</t>
  </si>
  <si>
    <t>284 nguyễn thiện thuật</t>
  </si>
  <si>
    <t>Tuyet Nhung Nguyen</t>
  </si>
  <si>
    <t>HD019767</t>
  </si>
  <si>
    <t>36 Lê lai phường Bảy Hiền</t>
  </si>
  <si>
    <t>Chị Dương - fb Lien Phuong Bui</t>
  </si>
  <si>
    <t>HD019733</t>
  </si>
  <si>
    <t>14 Bạch Mã, p15 cư xá bắc hải</t>
  </si>
  <si>
    <t>HD019969</t>
  </si>
  <si>
    <t>Yến Nhi - fb Thanh Thanh</t>
  </si>
  <si>
    <t>HD020012</t>
  </si>
  <si>
    <t>38 Nguyễn Bá Tuyển, P12</t>
  </si>
  <si>
    <t>Ama Bella - zalo</t>
  </si>
  <si>
    <t>HD020009</t>
  </si>
  <si>
    <t>363 Hùng Vương An Đông</t>
  </si>
  <si>
    <t>Titi</t>
  </si>
  <si>
    <t>HD019977</t>
  </si>
  <si>
    <t>196/16 Đề Thám, P. Cầu Ông Lãnh</t>
  </si>
  <si>
    <t>Mỹ Hương</t>
  </si>
  <si>
    <t>HD020008</t>
  </si>
  <si>
    <t>1A Đ. Lý Thường Kiệt, Phường 7</t>
  </si>
  <si>
    <t>Diễm My</t>
  </si>
  <si>
    <t>HD020004</t>
  </si>
  <si>
    <t>174 ton dan p4</t>
  </si>
  <si>
    <t>đơn trả 12.5</t>
  </si>
  <si>
    <t>T4.13.5.2026</t>
  </si>
  <si>
    <t>NGAY 13-5</t>
  </si>
  <si>
    <t>Thiên Nga</t>
  </si>
  <si>
    <t>HD020151</t>
  </si>
  <si>
    <t>S5.02 Vinhomes grand park, Nguyễn Xiển, Long Mỹ</t>
  </si>
  <si>
    <t>12-05-2026</t>
  </si>
  <si>
    <t>kim xuyến</t>
  </si>
  <si>
    <t>HD019918</t>
  </si>
  <si>
    <t>1002 tạ quang bửu p6</t>
  </si>
  <si>
    <t>AT 12-05</t>
  </si>
  <si>
    <t>Bella Tran (Lê Huy)</t>
  </si>
  <si>
    <t>HD020184</t>
  </si>
  <si>
    <t>67B đường T5, phường Tây Thạnh</t>
  </si>
  <si>
    <t>Phạm Oanh</t>
  </si>
  <si>
    <t>HD020045</t>
  </si>
  <si>
    <t>Cty Eidaikake xưởng 2. đường số 8 phường tân thuận đông đường huỳnh tấn phát kcxtt</t>
  </si>
  <si>
    <t>Trần Thị Kim Phương</t>
  </si>
  <si>
    <t>HD020054</t>
  </si>
  <si>
    <t>1870\1\98\14a tỉnh lộ 10 tân tạo bình tân</t>
  </si>
  <si>
    <t>Hoàng Thị Hồng</t>
  </si>
  <si>
    <t>HD020036</t>
  </si>
  <si>
    <t>Eco green tòa E nguyễn văn linh tân thuận tây</t>
  </si>
  <si>
    <t>Trinh Kim</t>
  </si>
  <si>
    <t>HD020079</t>
  </si>
  <si>
    <t>2117A/9 Phạm Thế Hiển phường 6</t>
  </si>
  <si>
    <t>HD020221</t>
  </si>
  <si>
    <t>90a /10/10 Âu duong lân p3</t>
  </si>
  <si>
    <t>Thu Thủy</t>
  </si>
  <si>
    <t>HD020187</t>
  </si>
  <si>
    <t>287 Kinh Dương Vương, P An Lạc</t>
  </si>
  <si>
    <t>Đoàn Ngọc</t>
  </si>
  <si>
    <t>HD020082</t>
  </si>
  <si>
    <t>137/2 bình long</t>
  </si>
  <si>
    <t>Thế Diễm</t>
  </si>
  <si>
    <t>HD020049</t>
  </si>
  <si>
    <t>159 Võ Nguyên Giáp, P Thảo Điền Chung cư Masteri Thảo Điền (Tháp 3)</t>
  </si>
  <si>
    <t>Trần Thị Ngọc Trâm</t>
  </si>
  <si>
    <t>HD020123</t>
  </si>
  <si>
    <t>5/1H đường số 11 Bình Thọ</t>
  </si>
  <si>
    <t>Bella</t>
  </si>
  <si>
    <t>HD020155</t>
  </si>
  <si>
    <t>209/8 nguyễn duy cung, P12</t>
  </si>
  <si>
    <t>Lọ Lem</t>
  </si>
  <si>
    <t>HD020148</t>
  </si>
  <si>
    <t>484B no trang long p13</t>
  </si>
  <si>
    <t>Hải Anh</t>
  </si>
  <si>
    <t>HDO1778410597940_472532</t>
  </si>
  <si>
    <t>L-1506, chung cư One Verandah, số 2 Bát Nàn p. Thạnh Mỹ Lợi</t>
  </si>
  <si>
    <t>Hoang Yen</t>
  </si>
  <si>
    <t>HD020081</t>
  </si>
  <si>
    <t>652/7A Cộng Hoà - P13</t>
  </si>
  <si>
    <t>HẠNH NARIN</t>
  </si>
  <si>
    <t>Nguyễn My</t>
  </si>
  <si>
    <t>HD020162</t>
  </si>
  <si>
    <t>Tk18/3 nguyễn cảnh chân p cầu kho</t>
  </si>
  <si>
    <t>Chị Quyên fb An Nhiên</t>
  </si>
  <si>
    <t>HD020066</t>
  </si>
  <si>
    <t>510 Ngô Gia Tự, P.An Đông</t>
  </si>
  <si>
    <t>HD020192</t>
  </si>
  <si>
    <t>#301 Pham Ngu Lao Street</t>
  </si>
  <si>
    <t>HD020091</t>
  </si>
  <si>
    <t>594/7 điện biên phủ p10</t>
  </si>
  <si>
    <t>Tram Hoang Ngoc</t>
  </si>
  <si>
    <t>HD020186</t>
  </si>
  <si>
    <t>105K 15 hồ thị kỷ vườn lài</t>
  </si>
  <si>
    <t>Phương Anh Chu</t>
  </si>
  <si>
    <t>HD020219</t>
  </si>
  <si>
    <t>Chung cư Grand Riverside - 278 Bến Vân Đồn P2</t>
  </si>
  <si>
    <t>Em Na</t>
  </si>
  <si>
    <t>Xe Khải Nam</t>
  </si>
  <si>
    <t>NGAY 14-5</t>
  </si>
  <si>
    <t>T5.14.5.2026</t>
  </si>
  <si>
    <t>Sun Na</t>
  </si>
  <si>
    <t>HD020281</t>
  </si>
  <si>
    <t>Chung cư cardinal court toà B</t>
  </si>
  <si>
    <t>AT 13-05</t>
  </si>
  <si>
    <t>13-05-2026</t>
  </si>
  <si>
    <t>tran Bảo Châu</t>
  </si>
  <si>
    <t>HD020279</t>
  </si>
  <si>
    <t>654/6 lạc long quân p9</t>
  </si>
  <si>
    <t>Kim Nhân</t>
  </si>
  <si>
    <t>HD020448</t>
  </si>
  <si>
    <t>5M1/10 An Hạ</t>
  </si>
  <si>
    <t>Mie Mie</t>
  </si>
  <si>
    <t>HD020255</t>
  </si>
  <si>
    <t>38 đường số 3, phường Tân Phú</t>
  </si>
  <si>
    <t>Nguyễn Thị Kim Thoa</t>
  </si>
  <si>
    <t>HD020457</t>
  </si>
  <si>
    <t>số 25a đường 22 tình hưng hòa a</t>
  </si>
  <si>
    <t>gộp, shop chịu ship</t>
  </si>
  <si>
    <t>Bé Ty - fb Anh Lan</t>
  </si>
  <si>
    <t>HD020293</t>
  </si>
  <si>
    <t>532/3/6 Kinh Dương Vương, Phường An Lạc</t>
  </si>
  <si>
    <t>FB NGUYỄN THỊ TRÚC NGÂN</t>
  </si>
  <si>
    <t>HD020315</t>
  </si>
  <si>
    <t>Số 78 Đường Số 7, P. Bình Hưng Hòa</t>
  </si>
  <si>
    <t>Heng Roza (EV35382)</t>
  </si>
  <si>
    <t>HD019725</t>
  </si>
  <si>
    <t>HD020460</t>
  </si>
  <si>
    <t>Hồng Phấn</t>
  </si>
  <si>
    <t>HD020494</t>
  </si>
  <si>
    <t>Ship Sảnh RS4 chung cư richstar 278 hoà bình, p.phú thạnh</t>
  </si>
  <si>
    <t>Đoàn Kim</t>
  </si>
  <si>
    <t>HD020450</t>
  </si>
  <si>
    <t>Block D, chung cư floria đường số 1, tân hưng</t>
  </si>
  <si>
    <t>HD020509</t>
  </si>
  <si>
    <t>số 25a đường 22 bình hưng hòa a</t>
  </si>
  <si>
    <t>nguyễn minh hải</t>
  </si>
  <si>
    <t>No. 17, Street No. 13, Binh Hung Hoa Ward</t>
  </si>
  <si>
    <t>Roxy Nguyen</t>
  </si>
  <si>
    <t>HD020452</t>
  </si>
  <si>
    <t>965/14c quang Trung, P.14</t>
  </si>
  <si>
    <t>Nho Nhỏ</t>
  </si>
  <si>
    <t>HD020360</t>
  </si>
  <si>
    <t>Số 35 đường 34 phường linh đông</t>
  </si>
  <si>
    <t>Đoan Trang</t>
  </si>
  <si>
    <t>HD020499</t>
  </si>
  <si>
    <t>Chung cư CitiEsto, Đ. 33-CL, Cát Lái, B02-07, Phường Cát Lái</t>
  </si>
  <si>
    <t>HD020451</t>
  </si>
  <si>
    <t>Tâm Vũ</t>
  </si>
  <si>
    <t>HD020429</t>
  </si>
  <si>
    <t>100/40/56 lê văn duyệt, phường gia định (p1 cũ)</t>
  </si>
  <si>
    <t>(phan pham ngô nhi)</t>
  </si>
  <si>
    <t>HD020453</t>
  </si>
  <si>
    <t>403 đường tân sơn - phường an hội tây</t>
  </si>
  <si>
    <t>zalo tuyền hoàng</t>
  </si>
  <si>
    <t>HD020393</t>
  </si>
  <si>
    <t>433/11/2 Lê Đức Thọ, Phường Gò Vấp (phường 17 CŨ)</t>
  </si>
  <si>
    <t>Nytha</t>
  </si>
  <si>
    <t>HD020287</t>
  </si>
  <si>
    <t>392/2 ung văn khiêm p25</t>
  </si>
  <si>
    <t>lindsiepham</t>
  </si>
  <si>
    <t>HD020177</t>
  </si>
  <si>
    <t>landmark 5b vinhomes central park</t>
  </si>
  <si>
    <t>401 quang trung f10</t>
  </si>
  <si>
    <t>huỳnh như</t>
  </si>
  <si>
    <t>HD020300</t>
  </si>
  <si>
    <t>387/12 phan văn trị chợ quán</t>
  </si>
  <si>
    <t>Linh Đan</t>
  </si>
  <si>
    <t>HD020536</t>
  </si>
  <si>
    <t>Saigon Royal; Tháp AP1, 34-35 Bến Vân Đồn, P. 12</t>
  </si>
  <si>
    <t>Thanh Phương</t>
  </si>
  <si>
    <t>HD020444</t>
  </si>
  <si>
    <t>Tòa nhà C22 Building S6 G26, đường C22, Phường 12</t>
  </si>
  <si>
    <t>suz, fb Bei Bei</t>
  </si>
  <si>
    <t>HD020337</t>
  </si>
  <si>
    <t>256- 258 Lý thường kiết p14 (chung cư xi grand) Lock A2</t>
  </si>
  <si>
    <t>Thanh Hương-Hương Missi</t>
  </si>
  <si>
    <t>HD020496</t>
  </si>
  <si>
    <t>215 Nam Kì Khởi Nghĩa Phường Võ Thị Sáu</t>
  </si>
  <si>
    <t>Kim Tuyến</t>
  </si>
  <si>
    <t>HD012977</t>
  </si>
  <si>
    <t>718/3/12 trần hưng đạo p2</t>
  </si>
  <si>
    <t>HD020295</t>
  </si>
  <si>
    <t>36 Lê Lai phường bảy Hiền</t>
  </si>
  <si>
    <t>HD020486</t>
  </si>
  <si>
    <t>Mai Mai</t>
  </si>
  <si>
    <t>HD020230</t>
  </si>
  <si>
    <t>21b lý van phức tân định</t>
  </si>
  <si>
    <t>T6.15.5.2026</t>
  </si>
  <si>
    <t>NGAY 15-5</t>
  </si>
  <si>
    <t>Bé Sarah</t>
  </si>
  <si>
    <t>HD020613</t>
  </si>
  <si>
    <t>Vinhome grand park toà gh2</t>
  </si>
  <si>
    <t>14-05-2026</t>
  </si>
  <si>
    <t>LDVKH</t>
  </si>
  <si>
    <t>HD020852</t>
  </si>
  <si>
    <t>(LDVKH1211714)177C ( Đối diện 93C) Đường Số 1, Phường Hưng Hoà B</t>
  </si>
  <si>
    <t>AT 14-05</t>
  </si>
  <si>
    <t>Lê Ngọc Nhân</t>
  </si>
  <si>
    <t>192 Phạm đức Sơn, P. Phú Định</t>
  </si>
  <si>
    <t>My My</t>
  </si>
  <si>
    <t>HD020534</t>
  </si>
  <si>
    <t>114 vỏ liêm Sơn, phường Chánh hưng</t>
  </si>
  <si>
    <t>Thùy An</t>
  </si>
  <si>
    <t>HD020806</t>
  </si>
  <si>
    <t>57/16 Phùng Chí Kiên</t>
  </si>
  <si>
    <t>MeyMey EV28641</t>
  </si>
  <si>
    <t>HD020601</t>
  </si>
  <si>
    <t>315/18/6 Nguyễn Thị Tú Bình Hưng Hòa B</t>
  </si>
  <si>
    <t>thanh nhàn - fb Lam Ng</t>
  </si>
  <si>
    <t>HD020612</t>
  </si>
  <si>
    <t>156a Tân quý phường Phú thọ hòa</t>
  </si>
  <si>
    <t>VTS-34309SAK</t>
  </si>
  <si>
    <t>HD020558</t>
  </si>
  <si>
    <t>VTS-34309SAK, 601 QL1A, An Lạc</t>
  </si>
  <si>
    <t>Mỹ Linh</t>
  </si>
  <si>
    <t>HD020896</t>
  </si>
  <si>
    <t>117/4b/15 hồ văn long, tân tạo, gần cây xăng đức lợi phát</t>
  </si>
  <si>
    <t>Hiếu Lee</t>
  </si>
  <si>
    <t>HD020637</t>
  </si>
  <si>
    <t>Chung cu folita him lam</t>
  </si>
  <si>
    <t>Nguyên Hà</t>
  </si>
  <si>
    <t>HD020597</t>
  </si>
  <si>
    <t>007 lô B chung cư Tây Thạnh, phườn Tân Thạnh</t>
  </si>
  <si>
    <t>Thư Thỏ</t>
  </si>
  <si>
    <t>HD020632</t>
  </si>
  <si>
    <t>13 phạm thế hiển phường chánh hưng</t>
  </si>
  <si>
    <t>Uyen Cam Cao</t>
  </si>
  <si>
    <t>HD020895</t>
  </si>
  <si>
    <t>182/8 đường số 6, bình hưng hoà b</t>
  </si>
  <si>
    <t>Bookzan</t>
  </si>
  <si>
    <t>137 phan huy ich p15</t>
  </si>
  <si>
    <t>tân sơn phường 12</t>
  </si>
  <si>
    <t>Anh Thư</t>
  </si>
  <si>
    <t>HD020661</t>
  </si>
  <si>
    <t>số 69 trần quốc tuấn hạnh thông</t>
  </si>
  <si>
    <t>HD020802</t>
  </si>
  <si>
    <t>cát giang</t>
  </si>
  <si>
    <t>HD020867</t>
  </si>
  <si>
    <t>1 ấp bắc</t>
  </si>
  <si>
    <t>Khánh</t>
  </si>
  <si>
    <t>HD020813</t>
  </si>
  <si>
    <t>11 tam bình khu phố 7, phường hiệp bình</t>
  </si>
  <si>
    <t>Linh Anh</t>
  </si>
  <si>
    <t>HD020801</t>
  </si>
  <si>
    <t>208 nguyễn hữu cảnh phường 22</t>
  </si>
  <si>
    <t>HD020548</t>
  </si>
  <si>
    <t>Tòa landmark 2</t>
  </si>
  <si>
    <t>Thảo Ngân Lê</t>
  </si>
  <si>
    <t>HD020823</t>
  </si>
  <si>
    <t>1264/19/8 lê đức thọ, p13</t>
  </si>
  <si>
    <t>THẢO PHẠM</t>
  </si>
  <si>
    <t>NHÀ XE MINH QUỐC</t>
  </si>
  <si>
    <t>LYKA</t>
  </si>
  <si>
    <t>Gửi qua xe Khải Nam 363 Đường Hùng vương P. 9</t>
  </si>
  <si>
    <t>Kim Hân</t>
  </si>
  <si>
    <t>HD020598</t>
  </si>
  <si>
    <t>302 Nguyễn chí thanh p5</t>
  </si>
  <si>
    <t>kim nhung châu</t>
  </si>
  <si>
    <t>HD020804</t>
  </si>
  <si>
    <t>phòng 14.07 chung cư riva park số 504 nguyễn tất thành phường xóm chiếu</t>
  </si>
  <si>
    <t>Ngan Tran</t>
  </si>
  <si>
    <t>HD020814</t>
  </si>
  <si>
    <t>11/39, Nguyễn Văn Mại, Phường Tân Sơn Nhất</t>
  </si>
  <si>
    <t>Cherry Nguyễn</t>
  </si>
  <si>
    <t>HD020793</t>
  </si>
  <si>
    <t>66 hùng vương p1</t>
  </si>
  <si>
    <t>Trâm</t>
  </si>
  <si>
    <t>HD020800</t>
  </si>
  <si>
    <t>132 bến vân đồn p9</t>
  </si>
  <si>
    <t>___det___ insta</t>
  </si>
  <si>
    <t>HD020529</t>
  </si>
  <si>
    <t>363 Hùng Vương,p9</t>
  </si>
  <si>
    <t>HD020687</t>
  </si>
  <si>
    <t>HD020757</t>
  </si>
  <si>
    <t>324/11 lý thường kiệt</t>
  </si>
  <si>
    <t>HD020885</t>
  </si>
  <si>
    <t>Linh Huệ</t>
  </si>
  <si>
    <t>HD020761</t>
  </si>
  <si>
    <t>12 tôn đản</t>
  </si>
  <si>
    <t>Kami - fb Đan Khanh</t>
  </si>
  <si>
    <t>HD020872</t>
  </si>
  <si>
    <t>Chung cư DELASOL, căn A2.09.04, số 1 Tôn Thất Thuyết, P1</t>
  </si>
  <si>
    <t>Elly Nguyễn</t>
  </si>
  <si>
    <t>HD020858</t>
  </si>
  <si>
    <t>431/7b đường Phan Văn Trị phường 7</t>
  </si>
  <si>
    <t>kh ck shop 775k</t>
  </si>
  <si>
    <t>T7.16.5.2026</t>
  </si>
  <si>
    <t>NGAY 16-5</t>
  </si>
  <si>
    <t>THƯƠNG 1994</t>
  </si>
  <si>
    <t>Tòa S501, Vinhome grand park, Long Thạnh Mỹ</t>
  </si>
  <si>
    <t>15-05-2026</t>
  </si>
  <si>
    <t>Nguyễn Hoài An</t>
  </si>
  <si>
    <t>HD020928</t>
  </si>
  <si>
    <t>15 đặng thai mai p7</t>
  </si>
  <si>
    <t>Trang Nguyên</t>
  </si>
  <si>
    <t>HD021087</t>
  </si>
  <si>
    <t>13c lê thánh tôn</t>
  </si>
  <si>
    <t>W24130 MiKi</t>
  </si>
  <si>
    <t>HD021125</t>
  </si>
  <si>
    <t>64 Lê Thị Riêng</t>
  </si>
  <si>
    <t>Thanh Hà Phạm</t>
  </si>
  <si>
    <t>HD020997</t>
  </si>
  <si>
    <t>29/15 yên thế, p2</t>
  </si>
  <si>
    <t>Binh Hương</t>
  </si>
  <si>
    <t>HD020878</t>
  </si>
  <si>
    <t>13 đươngg 44 phường 14</t>
  </si>
  <si>
    <t>Người Nhận BN2705</t>
  </si>
  <si>
    <t>HD021163</t>
  </si>
  <si>
    <t>Đăng + Hạnh</t>
  </si>
  <si>
    <t>HD021152</t>
  </si>
  <si>
    <t>403 Tân Sơn, P12</t>
  </si>
  <si>
    <t>HD021002</t>
  </si>
  <si>
    <t>Tòa nhà C22 Building Số G26, đường C22, Phường 12</t>
  </si>
  <si>
    <t>Lê Thị Ngọc Vân</t>
  </si>
  <si>
    <t>HD021150</t>
  </si>
  <si>
    <t>34 phùng văn cung p7</t>
  </si>
  <si>
    <t>Huyền Trang</t>
  </si>
  <si>
    <t>HD021153</t>
  </si>
  <si>
    <t>108 hồng hà p2</t>
  </si>
  <si>
    <t>Đức nhận hộ Mimi -87780266</t>
  </si>
  <si>
    <t>HD020538</t>
  </si>
  <si>
    <t>39 an nhơn phương 17</t>
  </si>
  <si>
    <t>Bing Bing</t>
  </si>
  <si>
    <t>HD021129</t>
  </si>
  <si>
    <t>Landmark 5, Vinhome central park, F22</t>
  </si>
  <si>
    <t>Vu Hiếu</t>
  </si>
  <si>
    <t>HD021028</t>
  </si>
  <si>
    <t>Số 10 đuong 18 linh đông</t>
  </si>
  <si>
    <t>ĐÔNG MIÊN malay</t>
  </si>
  <si>
    <t>HD021014</t>
  </si>
  <si>
    <t>22 TÂN THỚI NHẤT 1B, Phường Tân Thới Nhất</t>
  </si>
  <si>
    <t>Daisy</t>
  </si>
  <si>
    <t>HD021054</t>
  </si>
  <si>
    <t>5A Lam Sơn, Phường Tân Sơn Hòa</t>
  </si>
  <si>
    <t>Mr Thế</t>
  </si>
  <si>
    <t>27/5 Quách Văn Tuấn, F12</t>
  </si>
  <si>
    <t>Kiên Hoàng Khiêm</t>
  </si>
  <si>
    <t>HD020881</t>
  </si>
  <si>
    <t>531 Điện Biên Phủ P. Bàn Cờ</t>
  </si>
  <si>
    <t>AT 15-05</t>
  </si>
  <si>
    <t>Hồ Nguyễn Quỳnh Như</t>
  </si>
  <si>
    <t>HD020995</t>
  </si>
  <si>
    <t>Central premium lock A 0946374247</t>
  </si>
  <si>
    <t>Người nhận: Vũ Hạ</t>
  </si>
  <si>
    <t>HD020648</t>
  </si>
  <si>
    <t>cầu thang số 2 lô F, chung cư Sơn Kỳ, đường CC5, P. Tây Thạnh</t>
  </si>
  <si>
    <t>Jenny Đoàn</t>
  </si>
  <si>
    <t>HD021013</t>
  </si>
  <si>
    <t>lô m3 chung cư số 1 tôn thất thuyết p1</t>
  </si>
  <si>
    <t>Mứt Dâu</t>
  </si>
  <si>
    <t>HD018064</t>
  </si>
  <si>
    <t>238/14 quốc lộ 50 phường 6</t>
  </si>
  <si>
    <t>HD021101</t>
  </si>
  <si>
    <t>Megan Truong</t>
  </si>
  <si>
    <t>HD020862</t>
  </si>
  <si>
    <t>số nhà 1527/3/1 hẻm 1545 lê văn lương, nhơn đức</t>
  </si>
  <si>
    <t>HD021024</t>
  </si>
  <si>
    <t>Nguyễn Thùy</t>
  </si>
  <si>
    <t>HD021164</t>
  </si>
  <si>
    <t>71/46 gò xoài p bình hưng hoà a</t>
  </si>
  <si>
    <t>Bảo Trân</t>
  </si>
  <si>
    <t>HD021085</t>
  </si>
  <si>
    <t>90a đường 37 Tân Quy</t>
  </si>
  <si>
    <t>Bác Thanh - fb Pé Síu</t>
  </si>
  <si>
    <t>HDO21082</t>
  </si>
  <si>
    <t>566/17 An Duong Vuong p11</t>
  </si>
  <si>
    <t>VTS-51916TNV</t>
  </si>
  <si>
    <t>HD020984</t>
  </si>
  <si>
    <t>601 QL1A, An Lạc</t>
  </si>
  <si>
    <t>coca ( kẹ)</t>
  </si>
  <si>
    <t>HD021127</t>
  </si>
  <si>
    <t>532/3/93 kinh dương vương, Phường an lạc</t>
  </si>
  <si>
    <t>Phương Dung</t>
  </si>
  <si>
    <t>HD020877</t>
  </si>
  <si>
    <t>Sunshine sky city tòa A2</t>
  </si>
  <si>
    <t>Phuong Ho</t>
  </si>
  <si>
    <t>HD021147</t>
  </si>
  <si>
    <t>576a dien bien phu phuong vuon lai</t>
  </si>
  <si>
    <t>NGAY 18-5</t>
  </si>
  <si>
    <t>T2.18.5.2026</t>
  </si>
  <si>
    <t>yến trinh</t>
  </si>
  <si>
    <t>HD021308</t>
  </si>
  <si>
    <t>321 an dương vương, an lạc, bình tân Chung cư khang điền lộck b</t>
  </si>
  <si>
    <t>AT 16-05</t>
  </si>
  <si>
    <t>16-05-2026</t>
  </si>
  <si>
    <t>kh ck shop 4210k</t>
  </si>
  <si>
    <t>Phạm T. Thảo</t>
  </si>
  <si>
    <t>HD021288</t>
  </si>
  <si>
    <t>63 dương bá trạc p. rạch ông</t>
  </si>
  <si>
    <t>Nhận hành giúp chị phương (ở Úc) fb Phương My</t>
  </si>
  <si>
    <t>HD021421</t>
  </si>
  <si>
    <t>126/5h song hành, tân hiệp</t>
  </si>
  <si>
    <t>hoc mon</t>
  </si>
  <si>
    <t>Trần Bảo Hân (inst tienbaohen17)</t>
  </si>
  <si>
    <t>HD021310</t>
  </si>
  <si>
    <t>E4/25a đường Nguyễn Hữu Trí, khu phố 12, thị trấn Tân Túc</t>
  </si>
  <si>
    <t>Trần Bảo Hân (inst tranbaohan17)</t>
  </si>
  <si>
    <t>HD021309</t>
  </si>
  <si>
    <t>Loan Trần</t>
  </si>
  <si>
    <t>HD021379</t>
  </si>
  <si>
    <t>64/24C hoà bình phường hòa bình</t>
  </si>
  <si>
    <t>Đỗ T. Thu Hồng</t>
  </si>
  <si>
    <t>HD021466</t>
  </si>
  <si>
    <t>Lock A - eco green - nguyễn văn linh</t>
  </si>
  <si>
    <t>Nguyễn Lê</t>
  </si>
  <si>
    <t>HD021425</t>
  </si>
  <si>
    <t>287/1/5 thành công, tân thành</t>
  </si>
  <si>
    <t>HD021282</t>
  </si>
  <si>
    <t>287/1/5 thành công, tấn thành</t>
  </si>
  <si>
    <t>Ngọc Mỹ Kim</t>
  </si>
  <si>
    <t>HD021327</t>
  </si>
  <si>
    <t>Chung cu topaz elite drgon 2c p4 ta quang buu</t>
  </si>
  <si>
    <t>kh ck shop 1820k</t>
  </si>
  <si>
    <t>Cẩm Cẩm</t>
  </si>
  <si>
    <t>HD021193</t>
  </si>
  <si>
    <t>150 Hoàng Trọng Mậu Tân Hưng</t>
  </si>
  <si>
    <t>Sam Sam</t>
  </si>
  <si>
    <t>HD021214</t>
  </si>
  <si>
    <t>Sunrise city view tòa B .33 Nguyễn Hữu Thọ phường tân hưng</t>
  </si>
  <si>
    <t>Ann Ann</t>
  </si>
  <si>
    <t>HD021246</t>
  </si>
  <si>
    <t>172 lê thị bạch cát p11</t>
  </si>
  <si>
    <t>HD021369</t>
  </si>
  <si>
    <t>87/10 trần quang cơ phú thạnh</t>
  </si>
  <si>
    <t>Người nhận: Fb Phương Mai</t>
  </si>
  <si>
    <t>HD020876</t>
  </si>
  <si>
    <t>433/11/2 Lê Đức Thọ, Phường 17</t>
  </si>
  <si>
    <t>HD021355</t>
  </si>
  <si>
    <t>HD021442</t>
  </si>
  <si>
    <t>42, đường 21,Khu dân cư bình chiểu, P tam bình (chợ đầu mối nông sản thủ đức)</t>
  </si>
  <si>
    <t>chị Huyền</t>
  </si>
  <si>
    <t>HĐ021386</t>
  </si>
  <si>
    <t>9B nguyễn xí, phường 26</t>
  </si>
  <si>
    <t>Duyên Duyên</t>
  </si>
  <si>
    <t>HD021253</t>
  </si>
  <si>
    <t>Đường số 9 hẻm 58/36 linh tây</t>
  </si>
  <si>
    <t>Nuong Huynh</t>
  </si>
  <si>
    <t>HD021213</t>
  </si>
  <si>
    <t>67 mai chí thọ phường an phú</t>
  </si>
  <si>
    <t>HD021227</t>
  </si>
  <si>
    <t>BN9663</t>
  </si>
  <si>
    <t>HD021364</t>
  </si>
  <si>
    <t>Khả Di</t>
  </si>
  <si>
    <t>HD021217</t>
  </si>
  <si>
    <t>54A đường số 7, Linh Trung</t>
  </si>
  <si>
    <t>Ánh Hoàng</t>
  </si>
  <si>
    <t>HD021275</t>
  </si>
  <si>
    <t>Stown Tham Lương sảnh B Phường Tân Thới Nhất</t>
  </si>
  <si>
    <t>Huỳnh Phương Mỹ Duyên</t>
  </si>
  <si>
    <t>HD021212</t>
  </si>
  <si>
    <t>21 bis đường số 10, phường bình an</t>
  </si>
  <si>
    <t>Hồng Thắm</t>
  </si>
  <si>
    <t>27 đông hưng thuận 45 tân hưng thuận</t>
  </si>
  <si>
    <t>tân sơn p12</t>
  </si>
  <si>
    <t>VERISKA (YAYANG) - ROOM 104.</t>
  </si>
  <si>
    <t>HD021409</t>
  </si>
  <si>
    <t>Saigon Europe Hotel, Số 207 đường Đề Thám, phường bến Thành</t>
  </si>
  <si>
    <t>HD021185</t>
  </si>
  <si>
    <t>Số 207 đường Đề Thám, phường bến Thành</t>
  </si>
  <si>
    <t>Hiệp fb Đặng Tổ Trinh</t>
  </si>
  <si>
    <t>HD021271</t>
  </si>
  <si>
    <t>Số 3 hoàng minh giám phường đức nhuận</t>
  </si>
  <si>
    <t>Linh Tiêu</t>
  </si>
  <si>
    <t>HD021267</t>
  </si>
  <si>
    <t>97 Ký Con, p. Nguyễn Thái Bình</t>
  </si>
  <si>
    <t>Thien Phu Nguyen</t>
  </si>
  <si>
    <t>HD021468</t>
  </si>
  <si>
    <t>Block B - Chung cư RiverGate Residence 151-155 Bến Vân Đồn, Phường Khánh Hội</t>
  </si>
  <si>
    <t>Mai Sương</t>
  </si>
  <si>
    <t>HD021469</t>
  </si>
  <si>
    <t>55/3 trần đình xu, phường cầu kho</t>
  </si>
  <si>
    <t>Heng Stella</t>
  </si>
  <si>
    <t>Ngọc Phượng</t>
  </si>
  <si>
    <t>HD014928</t>
  </si>
  <si>
    <t>The grand midtown m5 đường số 16 p. Tân Phú</t>
  </si>
  <si>
    <t>24-04-2026</t>
  </si>
  <si>
    <t>kh ck shop 870k</t>
  </si>
  <si>
    <t>đơn trả 18.5</t>
  </si>
  <si>
    <t>NGAY 19-5</t>
  </si>
  <si>
    <t>T3.19.5.2026</t>
  </si>
  <si>
    <t>Quỳnh Nga</t>
  </si>
  <si>
    <t>HD021747</t>
  </si>
  <si>
    <t>56/7 đường Tân Hoà 2 phường Hiệp Phú</t>
  </si>
  <si>
    <t>18-05-2026</t>
  </si>
  <si>
    <t>Hợp Vũ</t>
  </si>
  <si>
    <t>HD021640</t>
  </si>
  <si>
    <t>2A Phan Chu Trinh, P Hiệp Phú</t>
  </si>
  <si>
    <t>AT 18-05</t>
  </si>
  <si>
    <t>HD021621</t>
  </si>
  <si>
    <t>Heng Roza (EV38382)</t>
  </si>
  <si>
    <t>HD020691</t>
  </si>
  <si>
    <t>HD021855</t>
  </si>
  <si>
    <t>Ngọc Hồng Thương</t>
  </si>
  <si>
    <t>HD021553</t>
  </si>
  <si>
    <t>51 đường 81 tân quy</t>
  </si>
  <si>
    <t>PIMVIPA 3883</t>
  </si>
  <si>
    <t>HD021837</t>
  </si>
  <si>
    <t>Gia Tuệ</t>
  </si>
  <si>
    <t>HD021808</t>
  </si>
  <si>
    <t>42/32 trần đại nghĩa, tân tạo a</t>
  </si>
  <si>
    <t>HSM RIDA CHUON</t>
  </si>
  <si>
    <t>HD021615</t>
  </si>
  <si>
    <t>177c đường số 1 bình hưng hòa b</t>
  </si>
  <si>
    <t>Nga Còi</t>
  </si>
  <si>
    <t>Sửa xe Anh Sơn, liên ấp 2,3,4 Vĩnh Lộc A</t>
  </si>
  <si>
    <t>HD021418</t>
  </si>
  <si>
    <t>Central premium lock A</t>
  </si>
  <si>
    <t>Ái Nương</t>
  </si>
  <si>
    <t>HD021666</t>
  </si>
  <si>
    <t>154/33 au dương lân phường 3</t>
  </si>
  <si>
    <t>chị Bích Huyền</t>
  </si>
  <si>
    <t>HD021868</t>
  </si>
  <si>
    <t>Số 4 đường số 22 kdc bình hưng</t>
  </si>
  <si>
    <t>Chị Bích Huyền</t>
  </si>
  <si>
    <t>HD021775</t>
  </si>
  <si>
    <t>số 4 đường số 22 kdc bình hưng</t>
  </si>
  <si>
    <t>Phuong Nguyen</t>
  </si>
  <si>
    <t>HD021530</t>
  </si>
  <si>
    <t>Eco green toà I, HR30710, 39 Nguyễn Văn linh</t>
  </si>
  <si>
    <t>Ngann Lee</t>
  </si>
  <si>
    <t>HD021534</t>
  </si>
  <si>
    <t>360 lạc long quân phường 5 (phường hòa bình)</t>
  </si>
  <si>
    <t>NIKI</t>
  </si>
  <si>
    <t>Nguyễn Thị Mỹ Phúc</t>
  </si>
  <si>
    <t>HD021574</t>
  </si>
  <si>
    <t>nha The Sun Avenue (tòa S5) 28 Mai Chí Thọ, An Phú</t>
  </si>
  <si>
    <t>HD021424</t>
  </si>
  <si>
    <t>Hoàng Trâm Anh</t>
  </si>
  <si>
    <t>HD021810</t>
  </si>
  <si>
    <t>11 Nguyễn Bá Huân phường thảo điền</t>
  </si>
  <si>
    <t>Trúc Nguyễn</t>
  </si>
  <si>
    <t>HD021871</t>
  </si>
  <si>
    <t>38 Đường 6 Linh Chiếu</t>
  </si>
  <si>
    <t>như fb Đặng Tố Trinh</t>
  </si>
  <si>
    <t>HD021866</t>
  </si>
  <si>
    <t>Đối diện 110/42 đường số 5 phường 17</t>
  </si>
  <si>
    <t>Nguyễn Thảo Uyên</t>
  </si>
  <si>
    <t>HD021746</t>
  </si>
  <si>
    <t>15/32/56 võ duy ninh p22</t>
  </si>
  <si>
    <t>HD021539</t>
  </si>
  <si>
    <t>129/34 Nguyễn Văn Công, P. 3</t>
  </si>
  <si>
    <t>MC Phương Nhi</t>
  </si>
  <si>
    <t>HD021829</t>
  </si>
  <si>
    <t>99 Trần Bá Giao An Nhơn</t>
  </si>
  <si>
    <t>Ngân Ngân</t>
  </si>
  <si>
    <t>HD021620</t>
  </si>
  <si>
    <t>74B/148 thống nhất p15</t>
  </si>
  <si>
    <t>Vân Thuỳ</t>
  </si>
  <si>
    <t>HD021612</t>
  </si>
  <si>
    <t>497/73/5 phan văn trị Phường 5</t>
  </si>
  <si>
    <t>SU ANH</t>
  </si>
  <si>
    <t>Hong Nho + NGUYỄN THỊ DIỄM CHI</t>
  </si>
  <si>
    <t>29/7 Yên Thế, Phường 2</t>
  </si>
  <si>
    <t>Gia Huy nhận của ELIS NGUYỄN ( singapore)</t>
  </si>
  <si>
    <t>HD021334</t>
  </si>
  <si>
    <t>2/11 Đường Thiên Phước, Phường 9</t>
  </si>
  <si>
    <t>Ngọc - fb Naila Unner</t>
  </si>
  <si>
    <t>HD021827</t>
  </si>
  <si>
    <t>Rivergate</t>
  </si>
  <si>
    <t>HD021876</t>
  </si>
  <si>
    <t>Ngọc</t>
  </si>
  <si>
    <t>HD021842</t>
  </si>
  <si>
    <t>222 pasteur, phường xuân hòa</t>
  </si>
  <si>
    <t>Thinh HB</t>
  </si>
  <si>
    <t>HD021608</t>
  </si>
  <si>
    <t>17 cô giang, phường cầu ông lãnh</t>
  </si>
  <si>
    <t>Trân Nguyễn</t>
  </si>
  <si>
    <t>HD021600</t>
  </si>
  <si>
    <t>177 Nguyễn Đình Chiểu, p. Xuân Hòa</t>
  </si>
  <si>
    <t>Tô Tô</t>
  </si>
  <si>
    <t>HD021603</t>
  </si>
  <si>
    <t>46 Lê Thị Riêng, phường Bến Thành</t>
  </si>
  <si>
    <t>T4.20.5.2026</t>
  </si>
  <si>
    <t>NGAY 20-5</t>
  </si>
  <si>
    <t>YẾN</t>
  </si>
  <si>
    <t>HD022130</t>
  </si>
  <si>
    <t>Số 21 đường 10, khu Khang Điền, P.Phước Long B</t>
  </si>
  <si>
    <t>19-05-2026</t>
  </si>
  <si>
    <t>HD021999</t>
  </si>
  <si>
    <t>AT 19-05</t>
  </si>
  <si>
    <t>HD021937</t>
  </si>
  <si>
    <t>Trường Ruby Hồng Ngọc, số 4 Lê Quát, Phường Tân Thới Hoà</t>
  </si>
  <si>
    <t>HD021909</t>
  </si>
  <si>
    <t>Chung cư Tecco, block C, đường Nguyễn Cửu Phú, phường Tân Tạo</t>
  </si>
  <si>
    <t>Thiều Phương Nhi</t>
  </si>
  <si>
    <t>HD022153</t>
  </si>
  <si>
    <t>115 Phan Huy Thực, P.Tân Hưng</t>
  </si>
  <si>
    <t>Nguyễn Thị Hà Vy</t>
  </si>
  <si>
    <t>HD021917</t>
  </si>
  <si>
    <t>30/8 trịnh đình thảo p. Hòa Thạnh</t>
  </si>
  <si>
    <t>Nguyễn Võ Thụy Hương (Hoàng Ngân)</t>
  </si>
  <si>
    <t>HD022099</t>
  </si>
  <si>
    <t>Châu Nguyễn</t>
  </si>
  <si>
    <t>HD021967</t>
  </si>
  <si>
    <t>chung cu eco green block H</t>
  </si>
  <si>
    <t>Eny Nguyen</t>
  </si>
  <si>
    <t>HD022152</t>
  </si>
  <si>
    <t>362/26 lê văn lương, tân hưng</t>
  </si>
  <si>
    <t>Ivy Tran</t>
  </si>
  <si>
    <t>HD021976</t>
  </si>
  <si>
    <t>128/3 Nguyễn Sơn, Phú Thọ Hoà</t>
  </si>
  <si>
    <t>Ivy Nguyen</t>
  </si>
  <si>
    <t>HD022104</t>
  </si>
  <si>
    <t>296 gia phú p1</t>
  </si>
  <si>
    <t>BELLA TRẦN</t>
  </si>
  <si>
    <t>66đường 17 p10</t>
  </si>
  <si>
    <t>Nguyễn Trương Phương Oanh</t>
  </si>
  <si>
    <t>HD021780</t>
  </si>
  <si>
    <t>125/42/2 Bùi Đình Tuý, phường 14</t>
  </si>
  <si>
    <t>Bảo Ngân</t>
  </si>
  <si>
    <t>HD021981</t>
  </si>
  <si>
    <t>62 đường 36, Khu đô thị Vạn Phúc</t>
  </si>
  <si>
    <t>Trang Gpe / Wang Yu Hua</t>
  </si>
  <si>
    <t>HD021970</t>
  </si>
  <si>
    <t>Số 192 Trần Bá Giao, Phường 5</t>
  </si>
  <si>
    <t>Khả Hân</t>
  </si>
  <si>
    <t>HD021776</t>
  </si>
  <si>
    <t>10 Tạ Hiện Cát Lái</t>
  </si>
  <si>
    <t>Nguyễn Thị Thương Hoài</t>
  </si>
  <si>
    <t>HD022106</t>
  </si>
  <si>
    <t>32/4/17 khu phố 3, đường 21, phường Cát Lái</t>
  </si>
  <si>
    <t>Phạm Ngọc Thương</t>
  </si>
  <si>
    <t>HD022114</t>
  </si>
  <si>
    <t>23/53 Nơ Trang Long, p7</t>
  </si>
  <si>
    <t>Ngọc Trang</t>
  </si>
  <si>
    <t>HD022158</t>
  </si>
  <si>
    <t>Foxshop 28 Lê Văn Duyệt, P1</t>
  </si>
  <si>
    <t>HD021846</t>
  </si>
  <si>
    <t>NT Hải Yến</t>
  </si>
  <si>
    <t>123 khu dân cư Tân Tiến, Tân Thới Hiệp</t>
  </si>
  <si>
    <t>LEMONA</t>
  </si>
  <si>
    <t>HD022145</t>
  </si>
  <si>
    <t>chung cư botanica premier block C2 Hồng Hà</t>
  </si>
  <si>
    <t>Hiền Hiền</t>
  </si>
  <si>
    <t>HD022103</t>
  </si>
  <si>
    <t>163/25/42 Tô Hiến Thành p13</t>
  </si>
  <si>
    <t>HD022101</t>
  </si>
  <si>
    <t>khun leang 092559972</t>
  </si>
  <si>
    <t>HD021974</t>
  </si>
  <si>
    <t>nhà xe khải nam</t>
  </si>
  <si>
    <t>GENY</t>
  </si>
  <si>
    <t>B12 Đ. Bạch Đằng, Phường 2</t>
  </si>
  <si>
    <t>NGAY 21-5</t>
  </si>
  <si>
    <t>T5.21.5.2026</t>
  </si>
  <si>
    <t>HD022402</t>
  </si>
  <si>
    <t>20-05-2026</t>
  </si>
  <si>
    <t>Jess-9244</t>
  </si>
  <si>
    <t>275/14B1 Dạng Nguyên Cẩn, Phường Phú Lâm</t>
  </si>
  <si>
    <t>AT 20-05</t>
  </si>
  <si>
    <t>Bé Hiền - fb Yudy Phạm</t>
  </si>
  <si>
    <t>HD022410</t>
  </si>
  <si>
    <t>336/20 nguyễn văn luông p12</t>
  </si>
  <si>
    <t>Trần Lê Trâm Anh</t>
  </si>
  <si>
    <t>HD022426</t>
  </si>
  <si>
    <t>179/13A hoà bình Phường Hiệp Tân</t>
  </si>
  <si>
    <t>HD022286</t>
  </si>
  <si>
    <t>Mr Quốc - VTS-64591HCR</t>
  </si>
  <si>
    <t>HD022211</t>
  </si>
  <si>
    <t>Thanh Yến</t>
  </si>
  <si>
    <t>HD022266</t>
  </si>
  <si>
    <t>188/4 đường thới an 16 phường thới an</t>
  </si>
  <si>
    <t>HƯƠNG</t>
  </si>
  <si>
    <t>HD022382</t>
  </si>
  <si>
    <t>7g đường số 8 tân hưng</t>
  </si>
  <si>
    <t>Vận</t>
  </si>
  <si>
    <t>HD022293</t>
  </si>
  <si>
    <t>Tháp RS6, chung cư Richstar 2, số 239 Hoà Bình, phường Phú Thạnh</t>
  </si>
  <si>
    <t>nguyen lý</t>
  </si>
  <si>
    <t>HD022279</t>
  </si>
  <si>
    <t>62/7h ấp 3 xã xuaabn thơi thượng</t>
  </si>
  <si>
    <t>Alice Nguyễn</t>
  </si>
  <si>
    <t>HD022396</t>
  </si>
  <si>
    <t>Lyly My</t>
  </si>
  <si>
    <t>HD022377</t>
  </si>
  <si>
    <t>50/26 thanh xuân 24 thới an</t>
  </si>
  <si>
    <t>Mỹ Phượng</t>
  </si>
  <si>
    <t>HD022263</t>
  </si>
  <si>
    <t>1414 huỳnh tấn phát p phú mỹ</t>
  </si>
  <si>
    <t>Any</t>
  </si>
  <si>
    <t>HD022412</t>
  </si>
  <si>
    <t>101 đông hưng thuận42 phường tân hưng thuận</t>
  </si>
  <si>
    <t>HD022267</t>
  </si>
  <si>
    <t>Thương</t>
  </si>
  <si>
    <t>HD022196</t>
  </si>
  <si>
    <t>181 đường số 79 phường tân quy</t>
  </si>
  <si>
    <t>Moon Nguyễn</t>
  </si>
  <si>
    <t>HD022375</t>
  </si>
  <si>
    <t>16 kim ngân, khu dân cư phong phu 4, xã phong phú</t>
  </si>
  <si>
    <t>Ngoc_Ann tiktok gingeri 16:39</t>
  </si>
  <si>
    <t>HD022381</t>
  </si>
  <si>
    <t>1/7 nguyễn văn yên tân thới hoà</t>
  </si>
  <si>
    <t>VICKY TRẦN</t>
  </si>
  <si>
    <t>Đắc Hội Express 127/17 bình lợi p13</t>
  </si>
  <si>
    <t>ms Linh</t>
  </si>
  <si>
    <t>HD022275</t>
  </si>
  <si>
    <t>141A đường số 1 phường Thông Tây Hội</t>
  </si>
  <si>
    <t>hsu_myat to</t>
  </si>
  <si>
    <t>HD022406</t>
  </si>
  <si>
    <t>2A/14, Nguyễn Thị Minh Khai, P. Đakao</t>
  </si>
  <si>
    <t>HD022200</t>
  </si>
  <si>
    <t>Vincom đồng khởi, 45 lý tự trọng, căn hộ 2604</t>
  </si>
  <si>
    <t>HD022255</t>
  </si>
  <si>
    <t>Tòa nhà C22 Building Số G5, Đường C22, Phường 12</t>
  </si>
  <si>
    <t>Ý nhi</t>
  </si>
  <si>
    <t>HD022414</t>
  </si>
  <si>
    <t>53 phạm ngọc thạch p6</t>
  </si>
  <si>
    <t>CUS19950/pelpanhaketya</t>
  </si>
  <si>
    <t>HD022206</t>
  </si>
  <si>
    <t>270B Lý thường kiệt, khu phố 1, Phường 6</t>
  </si>
  <si>
    <t>Amsumalin Abu</t>
  </si>
  <si>
    <t>HD022399</t>
  </si>
  <si>
    <t>03 trương quốc dung p8</t>
  </si>
  <si>
    <t>HD022240</t>
  </si>
  <si>
    <t>Huyentran Nguyen</t>
  </si>
  <si>
    <t>HD022374</t>
  </si>
  <si>
    <t>86-88 pasteur</t>
  </si>
  <si>
    <t>linh</t>
  </si>
  <si>
    <t>HD022244</t>
  </si>
  <si>
    <t>358/2/2 cmt8</t>
  </si>
  <si>
    <t>đơn trả 21.5</t>
  </si>
  <si>
    <t>HD020811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</si>
</sst>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  <charset val="163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A9694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3">
    <xf numFmtId="0" fontId="0" fillId="0" borderId="0" xfId="0"/>
    <xf numFmtId="0" fontId="2" fillId="0" borderId="0" xfId="1"/>
    <xf numFmtId="0" fontId="1" fillId="2" borderId="1" xfId="1" applyFont="1" applyFill="1" applyBorder="1"/>
    <xf numFmtId="0" fontId="2" fillId="0" borderId="1" xfId="1" applyBorder="1"/>
    <xf numFmtId="0" fontId="3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right"/>
    </xf>
    <xf numFmtId="0" fontId="1" fillId="4" borderId="1" xfId="1" applyFont="1" applyFill="1" applyBorder="1" applyAlignment="1">
      <alignment horizontal="left"/>
    </xf>
    <xf numFmtId="0" fontId="4" fillId="4" borderId="1" xfId="1" applyFont="1" applyFill="1" applyBorder="1" applyAlignment="1">
      <alignment horizontal="right"/>
    </xf>
    <xf numFmtId="0" fontId="1" fillId="5" borderId="1" xfId="1" applyFont="1" applyFill="1" applyBorder="1" applyAlignment="1">
      <alignment horizontal="left"/>
    </xf>
    <xf numFmtId="0" fontId="5" fillId="5" borderId="1" xfId="1" applyFont="1" applyFill="1" applyBorder="1" applyAlignment="1">
      <alignment horizontal="right"/>
    </xf>
    <xf numFmtId="0" fontId="1" fillId="5" borderId="1" xfId="1" applyFont="1" applyFill="1" applyBorder="1"/>
    <xf numFmtId="0" fontId="1" fillId="6" borderId="1" xfId="1" applyFont="1" applyFill="1" applyBorder="1" applyAlignment="1">
      <alignment horizontal="left"/>
    </xf>
    <xf numFmtId="0" fontId="6" fillId="6" borderId="1" xfId="1" applyFont="1" applyFill="1" applyBorder="1"/>
    <xf numFmtId="0" fontId="5" fillId="6" borderId="1" xfId="1" applyFont="1" applyFill="1" applyBorder="1" applyAlignment="1">
      <alignment horizontal="left"/>
    </xf>
    <xf numFmtId="0" fontId="7" fillId="7" borderId="1" xfId="1" applyFont="1" applyFill="1" applyBorder="1" applyAlignment="1">
      <alignment horizontal="left"/>
    </xf>
    <xf numFmtId="0" fontId="7" fillId="7" borderId="1" xfId="1" applyFont="1" applyFill="1" applyBorder="1" applyAlignment="1">
      <alignment horizontal="right"/>
    </xf>
    <xf numFmtId="0" fontId="0" fillId="8" borderId="1" xfId="0" applyFill="1" applyBorder="1"/>
    <xf numFmtId="3" fontId="0" fillId="8" borderId="1" xfId="0" applyNumberFormat="1" applyFill="1" applyBorder="1"/>
    <xf numFmtId="0" fontId="0" fillId="8" borderId="0" xfId="0" applyFill="1"/>
    <xf numFmtId="3" fontId="0" fillId="8" borderId="0" xfId="0" applyNumberFormat="1" applyFill="1"/>
    <xf numFmtId="0" fontId="2" fillId="8" borderId="0" xfId="1" applyFill="1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0" fontId="0" fillId="9" borderId="1" xfId="0" applyFill="1" applyBorder="1"/>
    <xf numFmtId="3" fontId="0" fillId="9" borderId="1" xfId="0" applyNumberFormat="1" applyFill="1" applyBorder="1"/>
    <xf numFmtId="0" fontId="0" fillId="9" borderId="0" xfId="0" applyFill="1"/>
    <xf numFmtId="0" fontId="8" fillId="2" borderId="1" xfId="0" applyFont="1" applyFill="1" applyBorder="1"/>
    <xf numFmtId="49" fontId="0" fillId="0" borderId="1" xfId="0" applyNumberFormat="1" applyBorder="1"/>
    <xf numFmtId="49" fontId="0" fillId="9" borderId="1" xfId="0" applyNumberFormat="1" applyFill="1" applyBorder="1"/>
    <xf numFmtId="3" fontId="0" fillId="9" borderId="0" xfId="0" applyNumberFormat="1" applyFill="1"/>
    <xf numFmtId="0" fontId="9" fillId="0" borderId="0" xfId="1" applyFont="1"/>
    <xf numFmtId="0" fontId="9" fillId="0" borderId="1" xfId="1" applyFont="1" applyBorder="1"/>
    <xf numFmtId="0" fontId="7" fillId="7" borderId="0" xfId="1" applyFont="1" applyFill="1" applyAlignment="1">
      <alignment horizontal="left"/>
    </xf>
    <xf numFmtId="0" fontId="7" fillId="7" borderId="0" xfId="1" applyFont="1" applyFill="1" applyAlignment="1">
      <alignment horizontal="right"/>
    </xf>
    <xf numFmtId="0" fontId="10" fillId="0" borderId="1" xfId="0" applyFont="1" applyBorder="1"/>
    <xf numFmtId="3" fontId="10" fillId="0" borderId="1" xfId="0" applyNumberFormat="1" applyFont="1" applyBorder="1"/>
    <xf numFmtId="0" fontId="10" fillId="2" borderId="1" xfId="1" applyFont="1" applyFill="1" applyBorder="1"/>
    <xf numFmtId="0" fontId="11" fillId="0" borderId="1" xfId="0" applyFont="1" applyBorder="1"/>
    <xf numFmtId="0" fontId="11" fillId="0" borderId="2" xfId="0" applyFont="1" applyBorder="1"/>
    <xf numFmtId="0" fontId="11" fillId="0" borderId="0" xfId="0" applyFont="1"/>
    <xf numFmtId="3" fontId="11" fillId="0" borderId="2" xfId="0" applyNumberFormat="1" applyFont="1" applyBorder="1"/>
    <xf numFmtId="3" fontId="11" fillId="0" borderId="0" xfId="0" applyNumberFormat="1" applyFont="1"/>
    <xf numFmtId="0" fontId="11" fillId="0" borderId="3" xfId="0" applyFont="1" applyBorder="1"/>
    <xf numFmtId="0" fontId="11" fillId="0" borderId="4" xfId="0" applyFont="1" applyBorder="1"/>
    <xf numFmtId="3" fontId="11" fillId="0" borderId="4" xfId="0" applyNumberFormat="1" applyFont="1" applyBorder="1"/>
    <xf numFmtId="0" fontId="10" fillId="10" borderId="4" xfId="0" applyFont="1" applyFill="1" applyBorder="1"/>
    <xf numFmtId="0" fontId="11" fillId="11" borderId="3" xfId="0" applyFont="1" applyFill="1" applyBorder="1"/>
    <xf numFmtId="0" fontId="11" fillId="11" borderId="4" xfId="0" applyFont="1" applyFill="1" applyBorder="1"/>
    <xf numFmtId="3" fontId="11" fillId="11" borderId="4" xfId="0" applyNumberFormat="1" applyFont="1" applyFill="1" applyBorder="1"/>
    <xf numFmtId="3" fontId="11" fillId="11" borderId="0" xfId="0" applyNumberFormat="1" applyFont="1" applyFill="1"/>
    <xf numFmtId="0" fontId="11" fillId="11" borderId="0" xfId="0" applyFont="1" applyFill="1"/>
  </cellXfs>
  <cellStyles count="2">
    <cellStyle name="Normal" xfId="0" builtinId="0"/>
    <cellStyle name="Normal 2" xfId="1" xr:uid="{D1AD9FCC-7941-4EA1-A803-F399CA3A66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E80B-AB04-46A5-9E8F-1C3F1DDB835A}">
  <dimension ref="A1:R70"/>
  <sheetViews>
    <sheetView topLeftCell="A16" zoomScale="82" zoomScaleNormal="80" workbookViewId="0">
      <selection activeCell="F47" sqref="F47"/>
    </sheetView>
  </sheetViews>
  <sheetFormatPr defaultRowHeight="15" x14ac:dyDescent="0.25"/>
  <cols>
    <col min="1" max="2" width="9.140625" style="1"/>
    <col min="3" max="3" width="34.42578125" style="1" bestFit="1" customWidth="1"/>
    <col min="4" max="4" width="10.28515625" style="1" bestFit="1" customWidth="1"/>
    <col min="5" max="5" width="95.85546875" style="1" bestFit="1" customWidth="1"/>
    <col min="6" max="6" width="11.85546875" style="1" bestFit="1" customWidth="1"/>
    <col min="7" max="9" width="9.140625" style="1"/>
    <col min="10" max="10" width="9.140625" style="1" customWidth="1"/>
    <col min="11" max="11" width="9.140625" style="1"/>
    <col min="12" max="12" width="12.710937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</v>
      </c>
      <c r="C1" s="1" t="s">
        <v>27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22" t="s">
        <v>29</v>
      </c>
      <c r="B3" s="22" t="s">
        <v>30</v>
      </c>
      <c r="C3" s="22" t="s">
        <v>31</v>
      </c>
      <c r="D3" s="22"/>
      <c r="E3" s="22" t="s">
        <v>32</v>
      </c>
      <c r="F3" s="29">
        <v>9</v>
      </c>
      <c r="G3" s="23">
        <v>895</v>
      </c>
      <c r="H3" s="23">
        <v>35</v>
      </c>
      <c r="I3" s="23">
        <f t="shared" ref="I3:I8" si="0">G3-H3</f>
        <v>860</v>
      </c>
      <c r="J3" s="22" t="s">
        <v>33</v>
      </c>
      <c r="K3" s="22" t="s">
        <v>34</v>
      </c>
      <c r="L3" s="22" t="s">
        <v>35</v>
      </c>
      <c r="M3" s="22"/>
      <c r="N3" s="22"/>
      <c r="O3" s="22"/>
      <c r="P3" s="22"/>
      <c r="Q3" s="22">
        <v>1</v>
      </c>
    </row>
    <row r="4" spans="1:18" customFormat="1" x14ac:dyDescent="0.25">
      <c r="A4" s="22"/>
      <c r="B4" s="22" t="s">
        <v>30</v>
      </c>
      <c r="C4" s="22" t="s">
        <v>36</v>
      </c>
      <c r="D4" s="22" t="s">
        <v>37</v>
      </c>
      <c r="E4" s="22" t="s">
        <v>38</v>
      </c>
      <c r="F4" s="29" t="s">
        <v>39</v>
      </c>
      <c r="G4" s="23">
        <v>920</v>
      </c>
      <c r="H4" s="23">
        <v>30</v>
      </c>
      <c r="I4" s="23">
        <f t="shared" si="0"/>
        <v>890</v>
      </c>
      <c r="J4" s="22" t="s">
        <v>40</v>
      </c>
      <c r="K4" s="22" t="s">
        <v>34</v>
      </c>
      <c r="L4" s="22" t="s">
        <v>35</v>
      </c>
      <c r="M4" s="22"/>
      <c r="N4" s="22"/>
      <c r="O4" s="22"/>
      <c r="P4" s="22"/>
      <c r="Q4" s="22">
        <v>1</v>
      </c>
    </row>
    <row r="5" spans="1:18" customFormat="1" x14ac:dyDescent="0.25">
      <c r="A5" s="22"/>
      <c r="B5" s="22" t="s">
        <v>30</v>
      </c>
      <c r="C5" s="22" t="s">
        <v>41</v>
      </c>
      <c r="D5" s="22" t="s">
        <v>42</v>
      </c>
      <c r="E5" s="22" t="s">
        <v>43</v>
      </c>
      <c r="F5" s="29">
        <v>12</v>
      </c>
      <c r="G5" s="23">
        <v>890</v>
      </c>
      <c r="H5" s="23">
        <v>30</v>
      </c>
      <c r="I5" s="23">
        <f t="shared" si="0"/>
        <v>860</v>
      </c>
      <c r="J5" s="22" t="s">
        <v>40</v>
      </c>
      <c r="K5" s="22" t="s">
        <v>34</v>
      </c>
      <c r="L5" s="22" t="s">
        <v>35</v>
      </c>
      <c r="M5" s="22"/>
      <c r="N5" s="22"/>
      <c r="O5" s="22"/>
      <c r="P5" s="22"/>
      <c r="Q5" s="22">
        <v>1</v>
      </c>
    </row>
    <row r="6" spans="1:18" customFormat="1" x14ac:dyDescent="0.25">
      <c r="A6" s="22"/>
      <c r="B6" s="22" t="s">
        <v>30</v>
      </c>
      <c r="C6" s="22" t="s">
        <v>44</v>
      </c>
      <c r="D6" s="22" t="s">
        <v>45</v>
      </c>
      <c r="E6" s="22" t="s">
        <v>46</v>
      </c>
      <c r="F6" s="29">
        <v>12</v>
      </c>
      <c r="G6" s="23">
        <v>380</v>
      </c>
      <c r="H6" s="23">
        <v>30</v>
      </c>
      <c r="I6" s="23">
        <f t="shared" si="0"/>
        <v>350</v>
      </c>
      <c r="J6" s="22" t="s">
        <v>40</v>
      </c>
      <c r="K6" s="22" t="s">
        <v>34</v>
      </c>
      <c r="L6" s="22" t="s">
        <v>35</v>
      </c>
      <c r="M6" s="22"/>
      <c r="N6" s="22"/>
      <c r="O6" s="22"/>
      <c r="P6" s="22"/>
      <c r="Q6" s="22">
        <v>1</v>
      </c>
    </row>
    <row r="7" spans="1:18" customFormat="1" x14ac:dyDescent="0.25">
      <c r="A7" s="22"/>
      <c r="B7" s="22" t="s">
        <v>30</v>
      </c>
      <c r="C7" s="22" t="s">
        <v>47</v>
      </c>
      <c r="D7" s="22" t="s">
        <v>48</v>
      </c>
      <c r="E7" s="22" t="s">
        <v>49</v>
      </c>
      <c r="F7" s="29">
        <v>8</v>
      </c>
      <c r="G7" s="23">
        <v>500</v>
      </c>
      <c r="H7" s="23">
        <v>30</v>
      </c>
      <c r="I7" s="23">
        <f t="shared" si="0"/>
        <v>470</v>
      </c>
      <c r="J7" s="22" t="s">
        <v>40</v>
      </c>
      <c r="K7" s="22" t="s">
        <v>34</v>
      </c>
      <c r="L7" s="22" t="s">
        <v>35</v>
      </c>
      <c r="M7" s="22"/>
      <c r="N7" s="22"/>
      <c r="O7" s="22"/>
      <c r="P7" s="22"/>
      <c r="Q7" s="22">
        <v>1</v>
      </c>
    </row>
    <row r="8" spans="1:18" customFormat="1" x14ac:dyDescent="0.25">
      <c r="A8" s="22"/>
      <c r="B8" s="22" t="s">
        <v>30</v>
      </c>
      <c r="C8" s="22" t="s">
        <v>50</v>
      </c>
      <c r="D8" s="22" t="s">
        <v>51</v>
      </c>
      <c r="E8" s="22" t="s">
        <v>52</v>
      </c>
      <c r="F8" s="29">
        <v>8</v>
      </c>
      <c r="G8" s="23">
        <v>890</v>
      </c>
      <c r="H8" s="23">
        <v>30</v>
      </c>
      <c r="I8" s="23">
        <f t="shared" si="0"/>
        <v>860</v>
      </c>
      <c r="J8" s="22" t="s">
        <v>40</v>
      </c>
      <c r="K8" s="22" t="s">
        <v>34</v>
      </c>
      <c r="L8" s="22" t="s">
        <v>35</v>
      </c>
      <c r="M8" s="22"/>
      <c r="N8" s="22"/>
      <c r="O8" s="22"/>
      <c r="P8" s="22"/>
      <c r="Q8" s="22">
        <v>1</v>
      </c>
    </row>
    <row r="9" spans="1:18" customFormat="1" x14ac:dyDescent="0.25">
      <c r="A9" s="22"/>
      <c r="B9" s="22" t="s">
        <v>30</v>
      </c>
      <c r="C9" s="22" t="s">
        <v>53</v>
      </c>
      <c r="D9" s="22" t="s">
        <v>54</v>
      </c>
      <c r="E9" s="22" t="s">
        <v>55</v>
      </c>
      <c r="F9" s="29">
        <v>12</v>
      </c>
      <c r="G9" s="23">
        <v>0</v>
      </c>
      <c r="H9" s="23">
        <v>30</v>
      </c>
      <c r="I9" s="23">
        <f>-H9</f>
        <v>-30</v>
      </c>
      <c r="J9" s="22" t="s">
        <v>40</v>
      </c>
      <c r="K9" s="22" t="s">
        <v>34</v>
      </c>
      <c r="L9" s="22" t="s">
        <v>35</v>
      </c>
      <c r="M9" s="22"/>
      <c r="N9" s="22"/>
      <c r="O9" s="22"/>
      <c r="P9" s="22"/>
      <c r="Q9" s="22">
        <v>1</v>
      </c>
      <c r="R9" s="24">
        <f>H9</f>
        <v>30</v>
      </c>
    </row>
    <row r="10" spans="1:18" customFormat="1" x14ac:dyDescent="0.25">
      <c r="A10" s="22"/>
      <c r="B10" s="22" t="s">
        <v>30</v>
      </c>
      <c r="C10" s="22" t="s">
        <v>56</v>
      </c>
      <c r="D10" s="22" t="s">
        <v>57</v>
      </c>
      <c r="E10" s="22" t="s">
        <v>58</v>
      </c>
      <c r="F10" s="29" t="s">
        <v>59</v>
      </c>
      <c r="G10" s="23">
        <v>785</v>
      </c>
      <c r="H10" s="23">
        <v>25</v>
      </c>
      <c r="I10" s="23">
        <f t="shared" ref="I10:I15" si="1">G10-H10</f>
        <v>760</v>
      </c>
      <c r="J10" s="22" t="s">
        <v>40</v>
      </c>
      <c r="K10" s="22" t="s">
        <v>34</v>
      </c>
      <c r="L10" s="22" t="s">
        <v>35</v>
      </c>
      <c r="M10" s="22"/>
      <c r="N10" s="22"/>
      <c r="O10" s="22"/>
      <c r="P10" s="22"/>
      <c r="Q10" s="22">
        <v>1</v>
      </c>
    </row>
    <row r="11" spans="1:18" customFormat="1" x14ac:dyDescent="0.25">
      <c r="A11" s="22"/>
      <c r="B11" s="22" t="s">
        <v>30</v>
      </c>
      <c r="C11" s="22" t="s">
        <v>60</v>
      </c>
      <c r="D11" s="22" t="s">
        <v>61</v>
      </c>
      <c r="E11" s="22" t="s">
        <v>62</v>
      </c>
      <c r="F11" s="29" t="s">
        <v>39</v>
      </c>
      <c r="G11" s="23">
        <v>720</v>
      </c>
      <c r="H11" s="23">
        <v>30</v>
      </c>
      <c r="I11" s="23">
        <f t="shared" si="1"/>
        <v>690</v>
      </c>
      <c r="J11" s="22" t="s">
        <v>40</v>
      </c>
      <c r="K11" s="22" t="s">
        <v>34</v>
      </c>
      <c r="L11" s="22" t="s">
        <v>35</v>
      </c>
      <c r="M11" s="22"/>
      <c r="N11" s="22"/>
      <c r="O11" s="22"/>
      <c r="P11" s="22"/>
      <c r="Q11" s="22">
        <v>1</v>
      </c>
    </row>
    <row r="12" spans="1:18" customFormat="1" x14ac:dyDescent="0.25">
      <c r="A12" s="22"/>
      <c r="B12" s="22" t="s">
        <v>30</v>
      </c>
      <c r="C12" s="22" t="s">
        <v>63</v>
      </c>
      <c r="D12" s="22" t="s">
        <v>64</v>
      </c>
      <c r="E12" s="22" t="s">
        <v>65</v>
      </c>
      <c r="F12" s="29">
        <v>8</v>
      </c>
      <c r="G12" s="23">
        <v>780</v>
      </c>
      <c r="H12" s="23">
        <v>30</v>
      </c>
      <c r="I12" s="23">
        <f t="shared" si="1"/>
        <v>750</v>
      </c>
      <c r="J12" s="22" t="s">
        <v>40</v>
      </c>
      <c r="K12" s="22" t="s">
        <v>34</v>
      </c>
      <c r="L12" s="22" t="s">
        <v>35</v>
      </c>
      <c r="M12" s="22"/>
      <c r="N12" s="22"/>
      <c r="O12" s="22"/>
      <c r="P12" s="22"/>
      <c r="Q12" s="22">
        <v>1</v>
      </c>
    </row>
    <row r="13" spans="1:18" customFormat="1" x14ac:dyDescent="0.25">
      <c r="A13" s="22"/>
      <c r="B13" s="22" t="s">
        <v>30</v>
      </c>
      <c r="C13" s="22" t="s">
        <v>66</v>
      </c>
      <c r="D13" s="22" t="s">
        <v>67</v>
      </c>
      <c r="E13" s="22" t="s">
        <v>68</v>
      </c>
      <c r="F13" s="29" t="s">
        <v>39</v>
      </c>
      <c r="G13" s="23">
        <v>670</v>
      </c>
      <c r="H13" s="23">
        <v>30</v>
      </c>
      <c r="I13" s="23">
        <f t="shared" si="1"/>
        <v>640</v>
      </c>
      <c r="J13" s="22" t="s">
        <v>40</v>
      </c>
      <c r="K13" s="22" t="s">
        <v>34</v>
      </c>
      <c r="L13" s="22" t="s">
        <v>35</v>
      </c>
      <c r="M13" s="22"/>
      <c r="N13" s="22"/>
      <c r="O13" s="22"/>
      <c r="P13" s="22"/>
      <c r="Q13" s="22">
        <v>1</v>
      </c>
    </row>
    <row r="14" spans="1:18" customFormat="1" x14ac:dyDescent="0.25">
      <c r="A14" s="22"/>
      <c r="B14" s="22" t="s">
        <v>30</v>
      </c>
      <c r="C14" s="22" t="s">
        <v>69</v>
      </c>
      <c r="D14" s="22" t="s">
        <v>70</v>
      </c>
      <c r="E14" s="22" t="s">
        <v>71</v>
      </c>
      <c r="F14" s="29">
        <v>6</v>
      </c>
      <c r="G14" s="23">
        <v>1445</v>
      </c>
      <c r="H14" s="23">
        <v>25</v>
      </c>
      <c r="I14" s="23">
        <f t="shared" si="1"/>
        <v>1420</v>
      </c>
      <c r="J14" s="22" t="s">
        <v>40</v>
      </c>
      <c r="K14" s="22" t="s">
        <v>34</v>
      </c>
      <c r="L14" s="22" t="s">
        <v>35</v>
      </c>
      <c r="M14" s="22"/>
      <c r="N14" s="22"/>
      <c r="O14" s="22"/>
      <c r="P14" s="22"/>
      <c r="Q14" s="22">
        <v>1</v>
      </c>
    </row>
    <row r="15" spans="1:18" customFormat="1" x14ac:dyDescent="0.25">
      <c r="A15" s="22"/>
      <c r="B15" s="22" t="s">
        <v>30</v>
      </c>
      <c r="C15" s="22" t="s">
        <v>72</v>
      </c>
      <c r="D15" s="22" t="s">
        <v>73</v>
      </c>
      <c r="E15" s="22" t="s">
        <v>74</v>
      </c>
      <c r="F15" s="29">
        <v>9</v>
      </c>
      <c r="G15" s="23">
        <v>780</v>
      </c>
      <c r="H15" s="23">
        <v>30</v>
      </c>
      <c r="I15" s="23">
        <f t="shared" si="1"/>
        <v>750</v>
      </c>
      <c r="J15" s="22" t="s">
        <v>40</v>
      </c>
      <c r="K15" s="22" t="s">
        <v>34</v>
      </c>
      <c r="L15" s="22" t="s">
        <v>35</v>
      </c>
      <c r="M15" s="22"/>
      <c r="N15" s="22"/>
      <c r="O15" s="22"/>
      <c r="P15" s="22"/>
      <c r="Q15" s="22">
        <v>1</v>
      </c>
    </row>
    <row r="16" spans="1:18" customFormat="1" x14ac:dyDescent="0.25">
      <c r="A16" s="22"/>
      <c r="B16" s="22" t="s">
        <v>30</v>
      </c>
      <c r="C16" s="22" t="s">
        <v>75</v>
      </c>
      <c r="D16" s="22" t="s">
        <v>76</v>
      </c>
      <c r="E16" s="22" t="s">
        <v>77</v>
      </c>
      <c r="F16" s="29" t="s">
        <v>39</v>
      </c>
      <c r="G16" s="23">
        <v>0</v>
      </c>
      <c r="H16" s="23">
        <v>30</v>
      </c>
      <c r="I16" s="23">
        <f>-H16</f>
        <v>-30</v>
      </c>
      <c r="J16" s="22" t="s">
        <v>40</v>
      </c>
      <c r="K16" s="22" t="s">
        <v>34</v>
      </c>
      <c r="L16" s="22" t="s">
        <v>35</v>
      </c>
      <c r="M16" s="22"/>
      <c r="N16" s="22"/>
      <c r="O16" s="22"/>
      <c r="P16" s="22"/>
      <c r="Q16" s="22">
        <v>1</v>
      </c>
      <c r="R16" s="24">
        <f>H16</f>
        <v>30</v>
      </c>
    </row>
    <row r="17" spans="1:18" customFormat="1" x14ac:dyDescent="0.25">
      <c r="A17" s="22"/>
      <c r="B17" s="22" t="s">
        <v>30</v>
      </c>
      <c r="C17" s="22" t="s">
        <v>78</v>
      </c>
      <c r="D17" s="22" t="s">
        <v>79</v>
      </c>
      <c r="E17" s="22" t="s">
        <v>80</v>
      </c>
      <c r="F17" s="29">
        <v>12</v>
      </c>
      <c r="G17" s="23">
        <v>690</v>
      </c>
      <c r="H17" s="23">
        <v>30</v>
      </c>
      <c r="I17" s="23">
        <f>G17-H17</f>
        <v>660</v>
      </c>
      <c r="J17" s="22" t="s">
        <v>40</v>
      </c>
      <c r="K17" s="22" t="s">
        <v>34</v>
      </c>
      <c r="L17" s="22" t="s">
        <v>35</v>
      </c>
      <c r="M17" s="22"/>
      <c r="N17" s="22"/>
      <c r="O17" s="22"/>
      <c r="P17" s="22"/>
      <c r="Q17" s="22">
        <v>1</v>
      </c>
    </row>
    <row r="18" spans="1:18" customFormat="1" x14ac:dyDescent="0.25">
      <c r="A18" s="22"/>
      <c r="B18" s="22" t="s">
        <v>30</v>
      </c>
      <c r="C18" s="22" t="s">
        <v>81</v>
      </c>
      <c r="D18" s="22" t="s">
        <v>82</v>
      </c>
      <c r="E18" s="22" t="s">
        <v>83</v>
      </c>
      <c r="F18" s="29">
        <v>2</v>
      </c>
      <c r="G18" s="23">
        <v>820</v>
      </c>
      <c r="H18" s="23">
        <v>30</v>
      </c>
      <c r="I18" s="23">
        <f>G18-H18</f>
        <v>790</v>
      </c>
      <c r="J18" s="22" t="s">
        <v>34</v>
      </c>
      <c r="K18" s="22" t="s">
        <v>34</v>
      </c>
      <c r="L18" s="22" t="s">
        <v>35</v>
      </c>
      <c r="M18" s="22"/>
      <c r="N18" s="22"/>
      <c r="O18" s="22"/>
      <c r="P18" s="22"/>
      <c r="Q18" s="22">
        <v>1</v>
      </c>
    </row>
    <row r="19" spans="1:18" customFormat="1" x14ac:dyDescent="0.25">
      <c r="A19" s="22"/>
      <c r="B19" s="22" t="s">
        <v>30</v>
      </c>
      <c r="C19" s="22" t="s">
        <v>84</v>
      </c>
      <c r="D19" s="22" t="s">
        <v>85</v>
      </c>
      <c r="E19" s="22" t="s">
        <v>86</v>
      </c>
      <c r="F19" s="29">
        <v>12</v>
      </c>
      <c r="G19" s="23">
        <v>0</v>
      </c>
      <c r="H19" s="23">
        <v>30</v>
      </c>
      <c r="I19" s="23">
        <f>-H19</f>
        <v>-30</v>
      </c>
      <c r="J19" s="22" t="s">
        <v>34</v>
      </c>
      <c r="K19" s="22" t="s">
        <v>34</v>
      </c>
      <c r="L19" s="22" t="s">
        <v>35</v>
      </c>
      <c r="M19" s="22"/>
      <c r="N19" s="22"/>
      <c r="O19" s="22"/>
      <c r="P19" s="22"/>
      <c r="Q19" s="22">
        <v>1</v>
      </c>
      <c r="R19" s="24">
        <f t="shared" ref="R19:R20" si="2">H19</f>
        <v>30</v>
      </c>
    </row>
    <row r="20" spans="1:18" customFormat="1" x14ac:dyDescent="0.25">
      <c r="A20" s="22"/>
      <c r="B20" s="22" t="s">
        <v>30</v>
      </c>
      <c r="C20" s="22" t="s">
        <v>87</v>
      </c>
      <c r="D20" s="22" t="s">
        <v>88</v>
      </c>
      <c r="E20" s="22" t="s">
        <v>89</v>
      </c>
      <c r="F20" s="29" t="s">
        <v>90</v>
      </c>
      <c r="G20" s="23">
        <v>0</v>
      </c>
      <c r="H20" s="23">
        <v>40</v>
      </c>
      <c r="I20" s="23">
        <f>-H20</f>
        <v>-40</v>
      </c>
      <c r="J20" s="22" t="s">
        <v>34</v>
      </c>
      <c r="K20" s="22" t="s">
        <v>34</v>
      </c>
      <c r="L20" s="22" t="s">
        <v>35</v>
      </c>
      <c r="M20" s="22"/>
      <c r="N20" s="22"/>
      <c r="O20" s="22"/>
      <c r="P20" s="22"/>
      <c r="Q20" s="22">
        <v>1</v>
      </c>
      <c r="R20" s="24">
        <f t="shared" si="2"/>
        <v>40</v>
      </c>
    </row>
    <row r="21" spans="1:18" customFormat="1" x14ac:dyDescent="0.25">
      <c r="A21" s="22"/>
      <c r="B21" s="22" t="s">
        <v>30</v>
      </c>
      <c r="C21" s="22" t="s">
        <v>91</v>
      </c>
      <c r="D21" s="22" t="s">
        <v>92</v>
      </c>
      <c r="E21" s="22" t="s">
        <v>93</v>
      </c>
      <c r="F21" s="29" t="s">
        <v>94</v>
      </c>
      <c r="G21" s="23">
        <v>690</v>
      </c>
      <c r="H21" s="23">
        <v>30</v>
      </c>
      <c r="I21" s="23">
        <f>G21-H21</f>
        <v>660</v>
      </c>
      <c r="J21" s="22" t="s">
        <v>34</v>
      </c>
      <c r="K21" s="22" t="s">
        <v>34</v>
      </c>
      <c r="L21" s="22" t="s">
        <v>35</v>
      </c>
      <c r="M21" s="22"/>
      <c r="N21" s="22"/>
      <c r="O21" s="22"/>
      <c r="P21" s="22"/>
      <c r="Q21" s="22">
        <v>1</v>
      </c>
    </row>
    <row r="22" spans="1:18" customFormat="1" x14ac:dyDescent="0.25">
      <c r="A22" s="22"/>
      <c r="B22" s="22" t="s">
        <v>30</v>
      </c>
      <c r="C22" s="22" t="s">
        <v>95</v>
      </c>
      <c r="D22" s="22" t="s">
        <v>96</v>
      </c>
      <c r="E22" s="22" t="s">
        <v>97</v>
      </c>
      <c r="F22" s="29" t="s">
        <v>98</v>
      </c>
      <c r="G22" s="23">
        <v>660</v>
      </c>
      <c r="H22" s="23">
        <v>20</v>
      </c>
      <c r="I22" s="23">
        <f>G22-H22</f>
        <v>640</v>
      </c>
      <c r="J22" s="22" t="s">
        <v>34</v>
      </c>
      <c r="K22" s="22" t="s">
        <v>34</v>
      </c>
      <c r="L22" s="22" t="s">
        <v>35</v>
      </c>
      <c r="M22" s="22"/>
      <c r="N22" s="22"/>
      <c r="O22" s="22"/>
      <c r="P22" s="22"/>
      <c r="Q22" s="22">
        <v>1</v>
      </c>
    </row>
    <row r="23" spans="1:18" customFormat="1" x14ac:dyDescent="0.25">
      <c r="A23" s="22"/>
      <c r="B23" s="22" t="s">
        <v>30</v>
      </c>
      <c r="C23" s="22" t="s">
        <v>99</v>
      </c>
      <c r="D23" s="22" t="s">
        <v>100</v>
      </c>
      <c r="E23" s="22" t="s">
        <v>101</v>
      </c>
      <c r="F23" s="29" t="s">
        <v>90</v>
      </c>
      <c r="G23" s="23">
        <v>375</v>
      </c>
      <c r="H23" s="23">
        <v>25</v>
      </c>
      <c r="I23" s="23">
        <f>G23-H23</f>
        <v>350</v>
      </c>
      <c r="J23" s="22" t="s">
        <v>34</v>
      </c>
      <c r="K23" s="22" t="s">
        <v>34</v>
      </c>
      <c r="L23" s="22" t="s">
        <v>35</v>
      </c>
      <c r="M23" s="22"/>
      <c r="N23" s="22"/>
      <c r="O23" s="22"/>
      <c r="P23" s="22"/>
      <c r="Q23" s="22">
        <v>1</v>
      </c>
    </row>
    <row r="24" spans="1:18" customFormat="1" x14ac:dyDescent="0.25">
      <c r="A24" s="22"/>
      <c r="B24" s="22" t="s">
        <v>30</v>
      </c>
      <c r="C24" s="22" t="s">
        <v>102</v>
      </c>
      <c r="D24" s="22" t="s">
        <v>103</v>
      </c>
      <c r="E24" s="22" t="s">
        <v>104</v>
      </c>
      <c r="F24" s="29" t="s">
        <v>90</v>
      </c>
      <c r="G24" s="23">
        <v>0</v>
      </c>
      <c r="H24" s="23">
        <v>25</v>
      </c>
      <c r="I24" s="23">
        <f>-H24</f>
        <v>-25</v>
      </c>
      <c r="J24" s="22" t="s">
        <v>34</v>
      </c>
      <c r="K24" s="22" t="s">
        <v>34</v>
      </c>
      <c r="L24" s="22" t="s">
        <v>35</v>
      </c>
      <c r="M24" s="22"/>
      <c r="N24" s="22"/>
      <c r="O24" s="22"/>
      <c r="P24" s="22"/>
      <c r="Q24" s="22">
        <v>1</v>
      </c>
      <c r="R24" s="24">
        <f>H24</f>
        <v>25</v>
      </c>
    </row>
    <row r="25" spans="1:18" customFormat="1" x14ac:dyDescent="0.25">
      <c r="A25" s="22"/>
      <c r="B25" s="22" t="s">
        <v>30</v>
      </c>
      <c r="C25" s="22" t="s">
        <v>105</v>
      </c>
      <c r="D25" s="22" t="s">
        <v>106</v>
      </c>
      <c r="E25" s="22" t="s">
        <v>107</v>
      </c>
      <c r="F25" s="29" t="s">
        <v>108</v>
      </c>
      <c r="G25" s="23">
        <v>725</v>
      </c>
      <c r="H25" s="23">
        <v>25</v>
      </c>
      <c r="I25" s="23">
        <f>G25-H25</f>
        <v>700</v>
      </c>
      <c r="J25" s="22" t="s">
        <v>34</v>
      </c>
      <c r="K25" s="22" t="s">
        <v>34</v>
      </c>
      <c r="L25" s="22" t="s">
        <v>35</v>
      </c>
      <c r="M25" s="22"/>
      <c r="N25" s="22"/>
      <c r="O25" s="22"/>
      <c r="P25" s="22"/>
      <c r="Q25" s="22">
        <v>1</v>
      </c>
    </row>
    <row r="26" spans="1:18" customFormat="1" x14ac:dyDescent="0.25">
      <c r="A26" s="22"/>
      <c r="B26" s="22" t="s">
        <v>30</v>
      </c>
      <c r="C26" s="22" t="s">
        <v>109</v>
      </c>
      <c r="D26" s="22" t="s">
        <v>110</v>
      </c>
      <c r="E26" s="22" t="s">
        <v>111</v>
      </c>
      <c r="F26" s="29" t="s">
        <v>90</v>
      </c>
      <c r="G26" s="23">
        <v>0</v>
      </c>
      <c r="H26" s="23">
        <v>25</v>
      </c>
      <c r="I26" s="23">
        <f>-H26</f>
        <v>-25</v>
      </c>
      <c r="J26" s="22" t="s">
        <v>34</v>
      </c>
      <c r="K26" s="22" t="s">
        <v>34</v>
      </c>
      <c r="L26" s="22" t="s">
        <v>35</v>
      </c>
      <c r="M26" s="22"/>
      <c r="N26" s="22"/>
      <c r="O26" s="22"/>
      <c r="P26" s="22"/>
      <c r="Q26" s="22">
        <v>1</v>
      </c>
      <c r="R26" s="24">
        <f>H26</f>
        <v>25</v>
      </c>
    </row>
    <row r="27" spans="1:18" customFormat="1" x14ac:dyDescent="0.25">
      <c r="A27" s="22"/>
      <c r="B27" s="22" t="s">
        <v>30</v>
      </c>
      <c r="C27" s="22" t="s">
        <v>112</v>
      </c>
      <c r="D27" s="22" t="s">
        <v>113</v>
      </c>
      <c r="E27" s="22" t="s">
        <v>114</v>
      </c>
      <c r="F27" s="29" t="s">
        <v>90</v>
      </c>
      <c r="G27" s="23">
        <v>1765</v>
      </c>
      <c r="H27" s="23">
        <v>25</v>
      </c>
      <c r="I27" s="23">
        <f>G27-H27</f>
        <v>1740</v>
      </c>
      <c r="J27" s="22" t="s">
        <v>34</v>
      </c>
      <c r="K27" s="22" t="s">
        <v>34</v>
      </c>
      <c r="L27" s="22" t="s">
        <v>35</v>
      </c>
      <c r="M27" s="22"/>
      <c r="N27" s="22"/>
      <c r="O27" s="22"/>
      <c r="P27" s="22"/>
      <c r="Q27" s="22">
        <v>1</v>
      </c>
    </row>
    <row r="28" spans="1:18" customFormat="1" x14ac:dyDescent="0.25">
      <c r="A28" s="22"/>
      <c r="B28" s="22" t="s">
        <v>30</v>
      </c>
      <c r="C28" s="22" t="s">
        <v>115</v>
      </c>
      <c r="D28" s="22" t="s">
        <v>116</v>
      </c>
      <c r="E28" s="22" t="s">
        <v>117</v>
      </c>
      <c r="F28" s="29" t="s">
        <v>90</v>
      </c>
      <c r="G28" s="23">
        <v>0</v>
      </c>
      <c r="H28" s="23">
        <v>25</v>
      </c>
      <c r="I28" s="23">
        <f>-H28</f>
        <v>-25</v>
      </c>
      <c r="J28" s="22" t="s">
        <v>34</v>
      </c>
      <c r="K28" s="22" t="s">
        <v>34</v>
      </c>
      <c r="L28" s="22" t="s">
        <v>35</v>
      </c>
      <c r="M28" s="22"/>
      <c r="N28" s="22"/>
      <c r="O28" s="22"/>
      <c r="P28" s="22"/>
      <c r="Q28" s="22">
        <v>1</v>
      </c>
      <c r="R28" s="24">
        <f>H28</f>
        <v>25</v>
      </c>
    </row>
    <row r="29" spans="1:18" customFormat="1" x14ac:dyDescent="0.25">
      <c r="A29" s="22"/>
      <c r="B29" s="22" t="s">
        <v>30</v>
      </c>
      <c r="C29" s="22" t="s">
        <v>118</v>
      </c>
      <c r="D29" s="22" t="s">
        <v>119</v>
      </c>
      <c r="E29" s="22" t="s">
        <v>120</v>
      </c>
      <c r="F29" s="29" t="s">
        <v>90</v>
      </c>
      <c r="G29" s="23">
        <v>765</v>
      </c>
      <c r="H29" s="23">
        <v>25</v>
      </c>
      <c r="I29" s="23">
        <f>G29-H29</f>
        <v>740</v>
      </c>
      <c r="J29" s="22" t="s">
        <v>34</v>
      </c>
      <c r="K29" s="22" t="s">
        <v>34</v>
      </c>
      <c r="L29" s="22" t="s">
        <v>35</v>
      </c>
      <c r="M29" s="22"/>
      <c r="N29" s="22"/>
      <c r="O29" s="22"/>
      <c r="P29" s="22"/>
      <c r="Q29" s="22">
        <v>1</v>
      </c>
    </row>
    <row r="30" spans="1:18" customFormat="1" x14ac:dyDescent="0.25">
      <c r="A30" s="22"/>
      <c r="B30" s="22" t="s">
        <v>30</v>
      </c>
      <c r="C30" s="22" t="s">
        <v>121</v>
      </c>
      <c r="D30" s="22" t="s">
        <v>122</v>
      </c>
      <c r="E30" s="22" t="s">
        <v>123</v>
      </c>
      <c r="F30" s="29" t="s">
        <v>94</v>
      </c>
      <c r="G30" s="23">
        <v>820</v>
      </c>
      <c r="H30" s="23">
        <v>30</v>
      </c>
      <c r="I30" s="23">
        <f>G30-H30</f>
        <v>790</v>
      </c>
      <c r="J30" s="22" t="s">
        <v>34</v>
      </c>
      <c r="K30" s="22" t="s">
        <v>34</v>
      </c>
      <c r="L30" s="22" t="s">
        <v>35</v>
      </c>
      <c r="M30" s="22"/>
      <c r="N30" s="22"/>
      <c r="O30" s="22"/>
      <c r="P30" s="22"/>
      <c r="Q30" s="22">
        <v>1</v>
      </c>
    </row>
    <row r="31" spans="1:18" customFormat="1" x14ac:dyDescent="0.25">
      <c r="A31" s="22"/>
      <c r="B31" s="22" t="s">
        <v>30</v>
      </c>
      <c r="C31" s="22" t="s">
        <v>124</v>
      </c>
      <c r="D31" s="22" t="s">
        <v>125</v>
      </c>
      <c r="E31" s="22" t="s">
        <v>126</v>
      </c>
      <c r="F31" s="29" t="s">
        <v>98</v>
      </c>
      <c r="G31" s="23">
        <v>740</v>
      </c>
      <c r="H31" s="23">
        <v>20</v>
      </c>
      <c r="I31" s="23">
        <f>G31-H31</f>
        <v>720</v>
      </c>
      <c r="J31" s="22" t="s">
        <v>34</v>
      </c>
      <c r="K31" s="22" t="s">
        <v>34</v>
      </c>
      <c r="L31" s="22" t="s">
        <v>35</v>
      </c>
      <c r="M31" s="22"/>
      <c r="N31" s="22"/>
      <c r="O31" s="22"/>
      <c r="P31" s="22"/>
      <c r="Q31" s="22">
        <v>1</v>
      </c>
    </row>
    <row r="32" spans="1:18" customFormat="1" x14ac:dyDescent="0.25">
      <c r="A32" s="22"/>
      <c r="B32" s="22" t="s">
        <v>30</v>
      </c>
      <c r="C32" s="22" t="s">
        <v>127</v>
      </c>
      <c r="D32" s="22" t="s">
        <v>128</v>
      </c>
      <c r="E32" s="22" t="s">
        <v>129</v>
      </c>
      <c r="F32" s="29" t="s">
        <v>98</v>
      </c>
      <c r="G32" s="23">
        <v>770</v>
      </c>
      <c r="H32" s="23">
        <v>20</v>
      </c>
      <c r="I32" s="23">
        <f>G32-H32</f>
        <v>750</v>
      </c>
      <c r="J32" s="22" t="s">
        <v>34</v>
      </c>
      <c r="K32" s="22" t="s">
        <v>34</v>
      </c>
      <c r="L32" s="22" t="s">
        <v>35</v>
      </c>
      <c r="M32" s="22"/>
      <c r="N32" s="22"/>
      <c r="O32" s="22"/>
      <c r="P32" s="22"/>
      <c r="Q32" s="22">
        <v>1</v>
      </c>
    </row>
    <row r="33" spans="1:18" customFormat="1" x14ac:dyDescent="0.25">
      <c r="A33" s="22"/>
      <c r="B33" s="22" t="s">
        <v>30</v>
      </c>
      <c r="C33" s="22" t="s">
        <v>130</v>
      </c>
      <c r="D33" s="22" t="s">
        <v>131</v>
      </c>
      <c r="E33" s="22" t="s">
        <v>132</v>
      </c>
      <c r="F33" s="29">
        <v>2</v>
      </c>
      <c r="G33" s="23">
        <v>0</v>
      </c>
      <c r="H33" s="23">
        <v>30</v>
      </c>
      <c r="I33" s="23">
        <f>-H33</f>
        <v>-30</v>
      </c>
      <c r="J33" s="22" t="s">
        <v>34</v>
      </c>
      <c r="K33" s="22" t="s">
        <v>34</v>
      </c>
      <c r="L33" s="22" t="s">
        <v>35</v>
      </c>
      <c r="M33" s="22"/>
      <c r="N33" s="22"/>
      <c r="O33" s="22"/>
      <c r="P33" s="22"/>
      <c r="Q33" s="22">
        <v>1</v>
      </c>
      <c r="R33" s="24">
        <f>H33</f>
        <v>30</v>
      </c>
    </row>
    <row r="34" spans="1:18" customFormat="1" x14ac:dyDescent="0.25">
      <c r="A34" s="22"/>
      <c r="B34" s="22" t="s">
        <v>30</v>
      </c>
      <c r="C34" s="22" t="s">
        <v>133</v>
      </c>
      <c r="D34" s="22" t="s">
        <v>134</v>
      </c>
      <c r="E34" s="22" t="s">
        <v>135</v>
      </c>
      <c r="F34" s="29" t="s">
        <v>98</v>
      </c>
      <c r="G34" s="23">
        <v>590</v>
      </c>
      <c r="H34" s="23">
        <v>20</v>
      </c>
      <c r="I34" s="23">
        <f t="shared" ref="I34:I41" si="3">G34-H34</f>
        <v>570</v>
      </c>
      <c r="J34" s="22" t="s">
        <v>34</v>
      </c>
      <c r="K34" s="22" t="s">
        <v>34</v>
      </c>
      <c r="L34" s="22" t="s">
        <v>35</v>
      </c>
      <c r="M34" s="22"/>
      <c r="N34" s="22"/>
      <c r="O34" s="22"/>
      <c r="P34" s="22"/>
      <c r="Q34" s="22">
        <v>1</v>
      </c>
    </row>
    <row r="35" spans="1:18" s="27" customFormat="1" x14ac:dyDescent="0.25">
      <c r="A35" s="25"/>
      <c r="B35" s="25" t="s">
        <v>30</v>
      </c>
      <c r="C35" s="25" t="s">
        <v>136</v>
      </c>
      <c r="D35" s="25" t="s">
        <v>137</v>
      </c>
      <c r="E35" s="25" t="s">
        <v>138</v>
      </c>
      <c r="F35" s="30">
        <v>2</v>
      </c>
      <c r="G35" s="26">
        <v>110</v>
      </c>
      <c r="H35" s="26">
        <v>30</v>
      </c>
      <c r="I35" s="26">
        <f t="shared" si="3"/>
        <v>80</v>
      </c>
      <c r="J35" s="25" t="s">
        <v>34</v>
      </c>
      <c r="K35" s="25" t="s">
        <v>34</v>
      </c>
      <c r="L35" s="25" t="s">
        <v>35</v>
      </c>
      <c r="M35" s="25" t="s">
        <v>139</v>
      </c>
      <c r="N35" s="25"/>
      <c r="O35" s="25"/>
      <c r="P35" s="25"/>
      <c r="Q35" s="25">
        <v>1</v>
      </c>
    </row>
    <row r="36" spans="1:18" customFormat="1" x14ac:dyDescent="0.25">
      <c r="A36" s="22" t="s">
        <v>29</v>
      </c>
      <c r="B36" s="22" t="s">
        <v>30</v>
      </c>
      <c r="C36" s="22" t="s">
        <v>140</v>
      </c>
      <c r="D36" s="22"/>
      <c r="E36" s="22" t="s">
        <v>141</v>
      </c>
      <c r="F36" s="29" t="s">
        <v>94</v>
      </c>
      <c r="G36" s="23">
        <v>1165</v>
      </c>
      <c r="H36" s="23">
        <v>35</v>
      </c>
      <c r="I36" s="23">
        <f t="shared" si="3"/>
        <v>1130</v>
      </c>
      <c r="J36" s="22" t="s">
        <v>34</v>
      </c>
      <c r="K36" s="22" t="s">
        <v>34</v>
      </c>
      <c r="L36" s="22" t="s">
        <v>35</v>
      </c>
      <c r="M36" s="22"/>
      <c r="N36" s="22"/>
      <c r="O36" s="22"/>
      <c r="P36" s="22"/>
      <c r="Q36" s="22">
        <v>1</v>
      </c>
    </row>
    <row r="37" spans="1:18" customFormat="1" x14ac:dyDescent="0.25">
      <c r="A37" s="22" t="s">
        <v>29</v>
      </c>
      <c r="B37" s="22" t="s">
        <v>30</v>
      </c>
      <c r="C37" s="22" t="s">
        <v>142</v>
      </c>
      <c r="D37" s="22"/>
      <c r="E37" s="22" t="s">
        <v>143</v>
      </c>
      <c r="F37" s="29" t="s">
        <v>90</v>
      </c>
      <c r="G37" s="23">
        <v>2985</v>
      </c>
      <c r="H37" s="23">
        <v>35</v>
      </c>
      <c r="I37" s="23">
        <f t="shared" si="3"/>
        <v>2950</v>
      </c>
      <c r="J37" s="22" t="s">
        <v>34</v>
      </c>
      <c r="K37" s="22" t="s">
        <v>34</v>
      </c>
      <c r="L37" s="22" t="s">
        <v>35</v>
      </c>
      <c r="M37" s="22"/>
      <c r="N37" s="22"/>
      <c r="O37" s="22"/>
      <c r="P37" s="22"/>
      <c r="Q37" s="22">
        <v>1</v>
      </c>
    </row>
    <row r="38" spans="1:18" customFormat="1" x14ac:dyDescent="0.25">
      <c r="A38" s="22"/>
      <c r="B38" s="22" t="s">
        <v>30</v>
      </c>
      <c r="C38" s="22" t="s">
        <v>144</v>
      </c>
      <c r="D38" s="22" t="s">
        <v>145</v>
      </c>
      <c r="E38" s="22" t="s">
        <v>146</v>
      </c>
      <c r="F38" s="29" t="s">
        <v>147</v>
      </c>
      <c r="G38" s="23">
        <v>1145</v>
      </c>
      <c r="H38" s="23">
        <v>35</v>
      </c>
      <c r="I38" s="23">
        <f t="shared" si="3"/>
        <v>1110</v>
      </c>
      <c r="J38" s="22" t="s">
        <v>148</v>
      </c>
      <c r="K38" s="22" t="s">
        <v>34</v>
      </c>
      <c r="L38" s="22" t="s">
        <v>35</v>
      </c>
      <c r="M38" s="22"/>
      <c r="N38" s="22"/>
      <c r="O38" s="22"/>
      <c r="P38" s="22"/>
      <c r="Q38" s="22">
        <v>1</v>
      </c>
    </row>
    <row r="39" spans="1:18" customFormat="1" x14ac:dyDescent="0.25">
      <c r="A39" s="22"/>
      <c r="B39" s="22" t="s">
        <v>30</v>
      </c>
      <c r="C39" s="22" t="s">
        <v>149</v>
      </c>
      <c r="D39" s="22" t="s">
        <v>150</v>
      </c>
      <c r="E39" s="22" t="s">
        <v>151</v>
      </c>
      <c r="F39" s="29" t="s">
        <v>152</v>
      </c>
      <c r="G39" s="23">
        <v>675</v>
      </c>
      <c r="H39" s="23">
        <v>35</v>
      </c>
      <c r="I39" s="23">
        <f t="shared" si="3"/>
        <v>640</v>
      </c>
      <c r="J39" s="22" t="s">
        <v>148</v>
      </c>
      <c r="K39" s="22" t="s">
        <v>34</v>
      </c>
      <c r="L39" s="22" t="s">
        <v>35</v>
      </c>
      <c r="M39" s="22"/>
      <c r="N39" s="22"/>
      <c r="O39" s="22"/>
      <c r="P39" s="22"/>
      <c r="Q39" s="22">
        <v>1</v>
      </c>
    </row>
    <row r="40" spans="1:18" customFormat="1" x14ac:dyDescent="0.25">
      <c r="A40" s="22"/>
      <c r="B40" s="22" t="s">
        <v>30</v>
      </c>
      <c r="C40" s="22" t="s">
        <v>153</v>
      </c>
      <c r="D40" s="22" t="s">
        <v>154</v>
      </c>
      <c r="E40" s="22" t="s">
        <v>155</v>
      </c>
      <c r="F40" s="29">
        <v>5</v>
      </c>
      <c r="G40" s="23">
        <v>785</v>
      </c>
      <c r="H40" s="23">
        <v>25</v>
      </c>
      <c r="I40" s="23">
        <f t="shared" si="3"/>
        <v>760</v>
      </c>
      <c r="J40" s="22" t="s">
        <v>148</v>
      </c>
      <c r="K40" s="22" t="s">
        <v>34</v>
      </c>
      <c r="L40" s="22" t="s">
        <v>35</v>
      </c>
      <c r="M40" s="22"/>
      <c r="N40" s="22"/>
      <c r="O40" s="22"/>
      <c r="P40" s="22"/>
      <c r="Q40" s="22">
        <v>1</v>
      </c>
    </row>
    <row r="41" spans="1:18" customFormat="1" x14ac:dyDescent="0.25">
      <c r="A41" s="22"/>
      <c r="B41" s="22" t="s">
        <v>30</v>
      </c>
      <c r="C41" s="22" t="s">
        <v>156</v>
      </c>
      <c r="D41" s="22" t="s">
        <v>157</v>
      </c>
      <c r="E41" s="22" t="s">
        <v>158</v>
      </c>
      <c r="F41" s="29">
        <v>1</v>
      </c>
      <c r="G41" s="23">
        <v>725</v>
      </c>
      <c r="H41" s="23">
        <v>25</v>
      </c>
      <c r="I41" s="23">
        <f t="shared" si="3"/>
        <v>700</v>
      </c>
      <c r="J41" s="22" t="s">
        <v>148</v>
      </c>
      <c r="K41" s="22" t="s">
        <v>34</v>
      </c>
      <c r="L41" s="22" t="s">
        <v>35</v>
      </c>
      <c r="M41" s="22"/>
      <c r="N41" s="22"/>
      <c r="O41" s="22"/>
      <c r="P41" s="22"/>
      <c r="Q41" s="22">
        <v>1</v>
      </c>
    </row>
    <row r="42" spans="1:18" customFormat="1" x14ac:dyDescent="0.25">
      <c r="A42" s="22"/>
      <c r="B42" s="22" t="s">
        <v>30</v>
      </c>
      <c r="C42" s="22" t="s">
        <v>159</v>
      </c>
      <c r="D42" s="22" t="s">
        <v>160</v>
      </c>
      <c r="E42" s="22" t="s">
        <v>161</v>
      </c>
      <c r="F42" s="29">
        <v>5</v>
      </c>
      <c r="G42" s="23">
        <v>0</v>
      </c>
      <c r="H42" s="23">
        <v>25</v>
      </c>
      <c r="I42" s="23">
        <f>-H42</f>
        <v>-25</v>
      </c>
      <c r="J42" s="22" t="s">
        <v>148</v>
      </c>
      <c r="K42" s="22" t="s">
        <v>34</v>
      </c>
      <c r="L42" s="22" t="s">
        <v>35</v>
      </c>
      <c r="M42" s="22"/>
      <c r="N42" s="22"/>
      <c r="O42" s="22"/>
      <c r="P42" s="22"/>
      <c r="Q42" s="22">
        <v>1</v>
      </c>
      <c r="R42" s="24">
        <f>H42</f>
        <v>25</v>
      </c>
    </row>
    <row r="43" spans="1:18" customFormat="1" x14ac:dyDescent="0.25">
      <c r="A43" s="22"/>
      <c r="B43" s="22" t="s">
        <v>30</v>
      </c>
      <c r="C43" s="22" t="s">
        <v>162</v>
      </c>
      <c r="D43" s="22" t="s">
        <v>163</v>
      </c>
      <c r="E43" s="22" t="s">
        <v>164</v>
      </c>
      <c r="F43" s="29">
        <v>3</v>
      </c>
      <c r="G43" s="23">
        <v>1585</v>
      </c>
      <c r="H43" s="23">
        <v>25</v>
      </c>
      <c r="I43" s="23">
        <f>G43-H43</f>
        <v>1560</v>
      </c>
      <c r="J43" s="22" t="s">
        <v>148</v>
      </c>
      <c r="K43" s="22" t="s">
        <v>34</v>
      </c>
      <c r="L43" s="22" t="s">
        <v>35</v>
      </c>
      <c r="M43" s="22"/>
      <c r="N43" s="22"/>
      <c r="O43" s="22"/>
      <c r="P43" s="22"/>
      <c r="Q43" s="22">
        <v>1</v>
      </c>
    </row>
    <row r="44" spans="1:18" customFormat="1" x14ac:dyDescent="0.25">
      <c r="A44" s="22"/>
      <c r="B44" s="22" t="s">
        <v>30</v>
      </c>
      <c r="C44" s="22" t="s">
        <v>165</v>
      </c>
      <c r="D44" s="22" t="s">
        <v>166</v>
      </c>
      <c r="E44" s="22" t="s">
        <v>167</v>
      </c>
      <c r="F44" s="29">
        <v>3</v>
      </c>
      <c r="G44" s="23">
        <v>815</v>
      </c>
      <c r="H44" s="23">
        <v>25</v>
      </c>
      <c r="I44" s="23">
        <f>G44-H44</f>
        <v>790</v>
      </c>
      <c r="J44" s="22" t="s">
        <v>148</v>
      </c>
      <c r="K44" s="22" t="s">
        <v>34</v>
      </c>
      <c r="L44" s="22" t="s">
        <v>35</v>
      </c>
      <c r="M44" s="22"/>
      <c r="N44" s="22"/>
      <c r="O44" s="22"/>
      <c r="P44" s="22"/>
      <c r="Q44" s="22">
        <v>1</v>
      </c>
    </row>
    <row r="45" spans="1:18" customFormat="1" x14ac:dyDescent="0.25">
      <c r="A45" s="22"/>
      <c r="B45" s="22" t="s">
        <v>30</v>
      </c>
      <c r="C45" s="22" t="s">
        <v>168</v>
      </c>
      <c r="D45" s="22" t="s">
        <v>169</v>
      </c>
      <c r="E45" s="22" t="s">
        <v>170</v>
      </c>
      <c r="F45" s="29">
        <v>7</v>
      </c>
      <c r="G45" s="23">
        <v>690</v>
      </c>
      <c r="H45" s="23">
        <v>30</v>
      </c>
      <c r="I45" s="23">
        <f>G45-H45</f>
        <v>660</v>
      </c>
      <c r="J45" s="22" t="s">
        <v>148</v>
      </c>
      <c r="K45" s="22" t="s">
        <v>34</v>
      </c>
      <c r="L45" s="22" t="s">
        <v>35</v>
      </c>
      <c r="M45" s="22"/>
      <c r="N45" s="22"/>
      <c r="O45" s="22"/>
      <c r="P45" s="22"/>
      <c r="Q45" s="22">
        <v>1</v>
      </c>
    </row>
    <row r="46" spans="1:18" customFormat="1" x14ac:dyDescent="0.25">
      <c r="A46" s="22"/>
      <c r="B46" s="22" t="s">
        <v>30</v>
      </c>
      <c r="C46" s="22" t="s">
        <v>171</v>
      </c>
      <c r="D46" s="22" t="s">
        <v>172</v>
      </c>
      <c r="E46" s="22" t="s">
        <v>173</v>
      </c>
      <c r="F46" s="29" t="s">
        <v>108</v>
      </c>
      <c r="G46" s="23">
        <v>0</v>
      </c>
      <c r="H46" s="23">
        <v>25</v>
      </c>
      <c r="I46" s="23">
        <f>-H46</f>
        <v>-25</v>
      </c>
      <c r="J46" s="22" t="s">
        <v>148</v>
      </c>
      <c r="K46" s="22" t="s">
        <v>34</v>
      </c>
      <c r="L46" s="22" t="s">
        <v>35</v>
      </c>
      <c r="M46" s="22"/>
      <c r="N46" s="22"/>
      <c r="O46" s="22"/>
      <c r="P46" s="22"/>
      <c r="Q46" s="22">
        <v>1</v>
      </c>
      <c r="R46" s="24">
        <f>H46</f>
        <v>25</v>
      </c>
    </row>
    <row r="47" spans="1:18" s="27" customFormat="1" x14ac:dyDescent="0.25">
      <c r="A47" s="25"/>
      <c r="B47" s="25" t="s">
        <v>30</v>
      </c>
      <c r="C47" s="25" t="s">
        <v>174</v>
      </c>
      <c r="D47" s="25" t="s">
        <v>175</v>
      </c>
      <c r="E47" s="25" t="s">
        <v>176</v>
      </c>
      <c r="F47" s="30">
        <v>7</v>
      </c>
      <c r="G47" s="26">
        <v>60</v>
      </c>
      <c r="H47" s="26">
        <v>30</v>
      </c>
      <c r="I47" s="26">
        <f>G47-H47</f>
        <v>30</v>
      </c>
      <c r="J47" s="25" t="s">
        <v>148</v>
      </c>
      <c r="K47" s="25" t="s">
        <v>34</v>
      </c>
      <c r="L47" s="25" t="s">
        <v>35</v>
      </c>
      <c r="M47" s="25" t="s">
        <v>139</v>
      </c>
      <c r="N47" s="25"/>
      <c r="O47" s="25"/>
      <c r="P47" s="25"/>
      <c r="Q47" s="25">
        <v>1</v>
      </c>
    </row>
    <row r="48" spans="1:18" customFormat="1" x14ac:dyDescent="0.25">
      <c r="A48" s="22"/>
      <c r="B48" s="22" t="s">
        <v>30</v>
      </c>
      <c r="C48" s="22" t="s">
        <v>177</v>
      </c>
      <c r="D48" s="22" t="s">
        <v>178</v>
      </c>
      <c r="E48" s="22" t="s">
        <v>179</v>
      </c>
      <c r="F48" s="29">
        <v>1</v>
      </c>
      <c r="G48" s="23">
        <v>2040</v>
      </c>
      <c r="H48" s="23">
        <v>30</v>
      </c>
      <c r="I48" s="23">
        <f>G48-H48</f>
        <v>2010</v>
      </c>
      <c r="J48" s="22" t="s">
        <v>148</v>
      </c>
      <c r="K48" s="22" t="s">
        <v>34</v>
      </c>
      <c r="L48" s="22" t="s">
        <v>35</v>
      </c>
      <c r="M48" s="28" t="s">
        <v>180</v>
      </c>
      <c r="N48" s="22"/>
      <c r="O48" s="22"/>
      <c r="P48" s="22"/>
      <c r="Q48" s="22">
        <v>1</v>
      </c>
      <c r="R48" s="24">
        <f>H48</f>
        <v>30</v>
      </c>
    </row>
    <row r="49" spans="1:18" customFormat="1" x14ac:dyDescent="0.25">
      <c r="A49" s="22"/>
      <c r="B49" s="22" t="s">
        <v>30</v>
      </c>
      <c r="C49" s="22" t="s">
        <v>181</v>
      </c>
      <c r="D49" s="22" t="s">
        <v>182</v>
      </c>
      <c r="E49" s="22" t="s">
        <v>183</v>
      </c>
      <c r="F49" s="29">
        <v>7</v>
      </c>
      <c r="G49" s="23">
        <v>1800</v>
      </c>
      <c r="H49" s="23">
        <v>30</v>
      </c>
      <c r="I49" s="23">
        <f>G49-H49</f>
        <v>1770</v>
      </c>
      <c r="J49" s="22" t="s">
        <v>148</v>
      </c>
      <c r="K49" s="22" t="s">
        <v>34</v>
      </c>
      <c r="L49" s="22" t="s">
        <v>35</v>
      </c>
      <c r="M49" s="22"/>
      <c r="N49" s="22"/>
      <c r="O49" s="22"/>
      <c r="P49" s="22"/>
      <c r="Q49" s="22">
        <v>1</v>
      </c>
    </row>
    <row r="50" spans="1:18" customFormat="1" x14ac:dyDescent="0.25">
      <c r="A50" s="22"/>
      <c r="B50" s="22" t="s">
        <v>30</v>
      </c>
      <c r="C50" s="22" t="s">
        <v>184</v>
      </c>
      <c r="D50" s="22" t="s">
        <v>185</v>
      </c>
      <c r="E50" s="22" t="s">
        <v>186</v>
      </c>
      <c r="F50" s="29">
        <v>7</v>
      </c>
      <c r="G50" s="23">
        <v>770</v>
      </c>
      <c r="H50" s="23">
        <v>30</v>
      </c>
      <c r="I50" s="23">
        <f>G50-H50</f>
        <v>740</v>
      </c>
      <c r="J50" s="22" t="s">
        <v>148</v>
      </c>
      <c r="K50" s="22" t="s">
        <v>34</v>
      </c>
      <c r="L50" s="22" t="s">
        <v>35</v>
      </c>
      <c r="M50" s="22"/>
      <c r="N50" s="22"/>
      <c r="O50" s="22"/>
      <c r="P50" s="22"/>
      <c r="Q50" s="22">
        <v>1</v>
      </c>
    </row>
    <row r="51" spans="1:18" customFormat="1" x14ac:dyDescent="0.25">
      <c r="A51" s="22"/>
      <c r="B51" s="22" t="s">
        <v>30</v>
      </c>
      <c r="C51" s="22" t="s">
        <v>187</v>
      </c>
      <c r="D51" s="22" t="s">
        <v>188</v>
      </c>
      <c r="E51" s="22" t="s">
        <v>189</v>
      </c>
      <c r="F51" s="29">
        <v>7</v>
      </c>
      <c r="G51" s="23">
        <v>770</v>
      </c>
      <c r="H51" s="23">
        <v>30</v>
      </c>
      <c r="I51" s="23">
        <f>G51-H51</f>
        <v>740</v>
      </c>
      <c r="J51" s="22" t="s">
        <v>148</v>
      </c>
      <c r="K51" s="22" t="s">
        <v>34</v>
      </c>
      <c r="L51" s="22" t="s">
        <v>35</v>
      </c>
      <c r="M51" s="22"/>
      <c r="N51" s="22"/>
      <c r="O51" s="22"/>
      <c r="P51" s="22"/>
      <c r="Q51" s="22">
        <v>1</v>
      </c>
    </row>
    <row r="52" spans="1:18" customFormat="1" x14ac:dyDescent="0.25">
      <c r="A52" s="22"/>
      <c r="B52" s="22" t="s">
        <v>30</v>
      </c>
      <c r="C52" s="22" t="s">
        <v>190</v>
      </c>
      <c r="D52" s="22" t="s">
        <v>191</v>
      </c>
      <c r="E52" s="22" t="s">
        <v>192</v>
      </c>
      <c r="F52" s="29">
        <v>8</v>
      </c>
      <c r="G52" s="23">
        <v>0</v>
      </c>
      <c r="H52" s="23">
        <v>25</v>
      </c>
      <c r="I52" s="23">
        <f>-H52</f>
        <v>-25</v>
      </c>
      <c r="J52" s="22" t="s">
        <v>148</v>
      </c>
      <c r="K52" s="22" t="s">
        <v>34</v>
      </c>
      <c r="L52" s="22" t="s">
        <v>35</v>
      </c>
      <c r="M52" s="22"/>
      <c r="N52" s="22"/>
      <c r="O52" s="22"/>
      <c r="P52" s="22"/>
      <c r="Q52" s="22">
        <v>1</v>
      </c>
      <c r="R52" s="24">
        <f t="shared" ref="R52:R53" si="4">H52</f>
        <v>25</v>
      </c>
    </row>
    <row r="53" spans="1:18" customFormat="1" x14ac:dyDescent="0.25">
      <c r="A53" s="22"/>
      <c r="B53" s="22" t="s">
        <v>30</v>
      </c>
      <c r="C53" s="22" t="s">
        <v>193</v>
      </c>
      <c r="D53" s="22" t="s">
        <v>194</v>
      </c>
      <c r="E53" s="22" t="s">
        <v>195</v>
      </c>
      <c r="F53" s="29">
        <v>3</v>
      </c>
      <c r="G53" s="23">
        <v>0</v>
      </c>
      <c r="H53" s="23">
        <v>25</v>
      </c>
      <c r="I53" s="23">
        <f>-H53</f>
        <v>-25</v>
      </c>
      <c r="J53" s="22" t="s">
        <v>148</v>
      </c>
      <c r="K53" s="22" t="s">
        <v>34</v>
      </c>
      <c r="L53" s="22" t="s">
        <v>35</v>
      </c>
      <c r="M53" s="22"/>
      <c r="N53" s="22"/>
      <c r="O53" s="22"/>
      <c r="P53" s="22"/>
      <c r="Q53" s="22">
        <v>1</v>
      </c>
      <c r="R53" s="24">
        <f t="shared" si="4"/>
        <v>25</v>
      </c>
    </row>
    <row r="54" spans="1:18" customFormat="1" x14ac:dyDescent="0.25">
      <c r="A54" s="22"/>
      <c r="B54" s="22" t="s">
        <v>30</v>
      </c>
      <c r="C54" s="22" t="s">
        <v>196</v>
      </c>
      <c r="D54" s="22" t="s">
        <v>197</v>
      </c>
      <c r="E54" s="22" t="s">
        <v>198</v>
      </c>
      <c r="F54" s="29">
        <v>4</v>
      </c>
      <c r="G54" s="23">
        <v>815</v>
      </c>
      <c r="H54" s="23">
        <v>25</v>
      </c>
      <c r="I54" s="23">
        <f>G54-H54</f>
        <v>790</v>
      </c>
      <c r="J54" s="22" t="s">
        <v>148</v>
      </c>
      <c r="K54" s="22" t="s">
        <v>34</v>
      </c>
      <c r="L54" s="22" t="s">
        <v>35</v>
      </c>
      <c r="M54" s="22"/>
      <c r="N54" s="22"/>
      <c r="O54" s="22"/>
      <c r="P54" s="22"/>
      <c r="Q54" s="22">
        <v>1</v>
      </c>
    </row>
    <row r="55" spans="1:18" customFormat="1" x14ac:dyDescent="0.25">
      <c r="A55" s="22"/>
      <c r="B55" s="22" t="s">
        <v>30</v>
      </c>
      <c r="C55" s="22" t="s">
        <v>199</v>
      </c>
      <c r="D55" s="22" t="s">
        <v>200</v>
      </c>
      <c r="E55" s="22" t="s">
        <v>201</v>
      </c>
      <c r="F55" s="29">
        <v>4</v>
      </c>
      <c r="G55" s="23">
        <v>815</v>
      </c>
      <c r="H55" s="23">
        <v>25</v>
      </c>
      <c r="I55" s="23">
        <f>G55-H55</f>
        <v>790</v>
      </c>
      <c r="J55" s="22" t="s">
        <v>148</v>
      </c>
      <c r="K55" s="22" t="s">
        <v>34</v>
      </c>
      <c r="L55" s="22" t="s">
        <v>35</v>
      </c>
      <c r="M55" s="22"/>
      <c r="N55" s="22"/>
      <c r="O55" s="22"/>
      <c r="P55" s="22"/>
      <c r="Q55" s="22">
        <v>1</v>
      </c>
    </row>
    <row r="56" spans="1:18" customFormat="1" x14ac:dyDescent="0.25">
      <c r="A56" s="22" t="s">
        <v>29</v>
      </c>
      <c r="B56" s="22" t="s">
        <v>30</v>
      </c>
      <c r="C56" s="22" t="s">
        <v>202</v>
      </c>
      <c r="D56" s="22"/>
      <c r="E56" s="22" t="s">
        <v>203</v>
      </c>
      <c r="F56" s="29">
        <v>5</v>
      </c>
      <c r="G56" s="23">
        <v>0</v>
      </c>
      <c r="H56" s="23">
        <v>30</v>
      </c>
      <c r="I56" s="23">
        <f>-H56</f>
        <v>-30</v>
      </c>
      <c r="J56" s="22" t="s">
        <v>148</v>
      </c>
      <c r="K56" s="22" t="s">
        <v>34</v>
      </c>
      <c r="L56" s="22" t="s">
        <v>35</v>
      </c>
      <c r="M56" s="22"/>
      <c r="N56" s="22"/>
      <c r="O56" s="22"/>
      <c r="P56" s="22"/>
      <c r="Q56" s="22">
        <v>1</v>
      </c>
      <c r="R56" s="24">
        <f>H56</f>
        <v>30</v>
      </c>
    </row>
    <row r="58" spans="1:18" x14ac:dyDescent="0.25">
      <c r="G58" s="1">
        <f t="shared" ref="G58:R58" si="5">SUBTOTAL(9,G3:G57)</f>
        <v>36815</v>
      </c>
      <c r="H58" s="1">
        <f t="shared" si="5"/>
        <v>1520</v>
      </c>
      <c r="I58" s="1">
        <f t="shared" si="5"/>
        <v>35295</v>
      </c>
      <c r="J58" s="1">
        <f t="shared" si="5"/>
        <v>0</v>
      </c>
      <c r="K58" s="1">
        <f t="shared" si="5"/>
        <v>0</v>
      </c>
      <c r="L58" s="1">
        <f t="shared" si="5"/>
        <v>0</v>
      </c>
      <c r="M58" s="1">
        <f t="shared" si="5"/>
        <v>0</v>
      </c>
      <c r="N58" s="1">
        <f t="shared" si="5"/>
        <v>0</v>
      </c>
      <c r="O58" s="1">
        <f t="shared" si="5"/>
        <v>0</v>
      </c>
      <c r="P58" s="1">
        <f t="shared" si="5"/>
        <v>0</v>
      </c>
      <c r="Q58" s="1">
        <f t="shared" si="5"/>
        <v>54</v>
      </c>
      <c r="R58" s="1">
        <f t="shared" si="5"/>
        <v>395</v>
      </c>
    </row>
    <row r="62" spans="1:18" ht="20.25" customHeight="1" x14ac:dyDescent="0.3">
      <c r="H62" s="4" t="s">
        <v>28</v>
      </c>
      <c r="I62" s="5" t="s">
        <v>15</v>
      </c>
      <c r="J62" s="6" t="s">
        <v>16</v>
      </c>
    </row>
    <row r="63" spans="1:18" ht="15.75" customHeight="1" x14ac:dyDescent="0.25">
      <c r="H63" s="7" t="s">
        <v>17</v>
      </c>
      <c r="I63" s="8">
        <f>SUM(I57:I61)</f>
        <v>35295</v>
      </c>
      <c r="J63" s="8">
        <f>Q58</f>
        <v>54</v>
      </c>
    </row>
    <row r="64" spans="1:18" x14ac:dyDescent="0.25">
      <c r="H64" s="9" t="s">
        <v>18</v>
      </c>
      <c r="I64" s="10">
        <f>R58</f>
        <v>395</v>
      </c>
      <c r="J64" s="11"/>
    </row>
    <row r="65" spans="8:10" x14ac:dyDescent="0.25">
      <c r="H65" s="9" t="s">
        <v>19</v>
      </c>
      <c r="I65" s="10">
        <f>S57</f>
        <v>0</v>
      </c>
      <c r="J65" s="11"/>
    </row>
    <row r="66" spans="8:10" x14ac:dyDescent="0.25">
      <c r="H66" s="9" t="s">
        <v>20</v>
      </c>
      <c r="I66" s="10">
        <f>T57</f>
        <v>0</v>
      </c>
      <c r="J66" s="11"/>
    </row>
    <row r="67" spans="8:10" x14ac:dyDescent="0.25">
      <c r="H67" s="9" t="s">
        <v>21</v>
      </c>
      <c r="I67" s="10">
        <f>U57</f>
        <v>0</v>
      </c>
      <c r="J67" s="11"/>
    </row>
    <row r="68" spans="8:10" ht="15.75" customHeight="1" x14ac:dyDescent="0.25">
      <c r="H68" s="12" t="s">
        <v>22</v>
      </c>
      <c r="I68" s="13"/>
      <c r="J68" s="13"/>
    </row>
    <row r="69" spans="8:10" ht="15.75" customHeight="1" x14ac:dyDescent="0.25">
      <c r="H69" s="14" t="s">
        <v>23</v>
      </c>
      <c r="I69" s="13"/>
      <c r="J69" s="13"/>
    </row>
    <row r="70" spans="8:10" ht="21" customHeight="1" x14ac:dyDescent="0.35">
      <c r="H70" s="15" t="s">
        <v>24</v>
      </c>
      <c r="I70" s="16">
        <f>SUM(I63:I69)</f>
        <v>35690</v>
      </c>
      <c r="J70" s="16">
        <f>SUM(J63:J67)</f>
        <v>54</v>
      </c>
    </row>
  </sheetData>
  <autoFilter ref="A2:P56" xr:uid="{00000000-0009-0000-0000-000006000000}">
    <sortState xmlns:xlrd2="http://schemas.microsoft.com/office/spreadsheetml/2017/richdata2" ref="A3:P56">
      <sortCondition ref="J2:J56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166D-647F-4247-A049-709567A97092}">
  <dimension ref="A1:R36"/>
  <sheetViews>
    <sheetView topLeftCell="A5" zoomScale="82" zoomScaleNormal="80" workbookViewId="0">
      <selection activeCell="J25" sqref="J25"/>
    </sheetView>
  </sheetViews>
  <sheetFormatPr defaultRowHeight="15" x14ac:dyDescent="0.25"/>
  <cols>
    <col min="1" max="2" width="9.140625" style="1"/>
    <col min="3" max="3" width="41.570312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7" x14ac:dyDescent="0.25">
      <c r="B1" s="1" t="s">
        <v>205</v>
      </c>
      <c r="C1" s="1" t="s">
        <v>204</v>
      </c>
    </row>
    <row r="2" spans="1:1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7" customFormat="1" x14ac:dyDescent="0.25">
      <c r="A3" s="22"/>
      <c r="B3" s="22" t="s">
        <v>30</v>
      </c>
      <c r="C3" s="22" t="s">
        <v>207</v>
      </c>
      <c r="D3" s="22" t="s">
        <v>208</v>
      </c>
      <c r="E3" s="22" t="s">
        <v>209</v>
      </c>
      <c r="F3" s="23">
        <v>9</v>
      </c>
      <c r="G3" s="23">
        <v>60</v>
      </c>
      <c r="H3" s="23">
        <v>30</v>
      </c>
      <c r="I3" s="23">
        <f>G3-H3</f>
        <v>30</v>
      </c>
      <c r="J3" s="22" t="s">
        <v>33</v>
      </c>
      <c r="K3" s="22" t="s">
        <v>34</v>
      </c>
      <c r="L3" s="22" t="s">
        <v>210</v>
      </c>
      <c r="M3" s="22" t="s">
        <v>180</v>
      </c>
      <c r="N3" s="22"/>
      <c r="O3" s="22"/>
      <c r="P3" s="22"/>
      <c r="Q3" s="22">
        <v>1</v>
      </c>
    </row>
    <row r="4" spans="1:17" customFormat="1" x14ac:dyDescent="0.25">
      <c r="A4" s="22"/>
      <c r="B4" s="22" t="s">
        <v>30</v>
      </c>
      <c r="C4" s="22" t="s">
        <v>211</v>
      </c>
      <c r="D4" s="22" t="s">
        <v>212</v>
      </c>
      <c r="E4" s="22" t="s">
        <v>213</v>
      </c>
      <c r="F4" s="23">
        <v>6</v>
      </c>
      <c r="G4" s="23">
        <v>0</v>
      </c>
      <c r="H4" s="23">
        <v>25</v>
      </c>
      <c r="I4" s="23">
        <f>-H4</f>
        <v>-25</v>
      </c>
      <c r="J4" s="22" t="s">
        <v>214</v>
      </c>
      <c r="K4" s="22" t="s">
        <v>34</v>
      </c>
      <c r="L4" s="22" t="s">
        <v>210</v>
      </c>
      <c r="M4" s="22"/>
      <c r="N4" s="22"/>
      <c r="O4" s="22"/>
      <c r="P4" s="22"/>
      <c r="Q4" s="22">
        <v>1</v>
      </c>
    </row>
    <row r="5" spans="1:17" customFormat="1" x14ac:dyDescent="0.25">
      <c r="A5" s="22"/>
      <c r="B5" s="22" t="s">
        <v>30</v>
      </c>
      <c r="C5" s="22" t="s">
        <v>215</v>
      </c>
      <c r="D5" s="22" t="s">
        <v>216</v>
      </c>
      <c r="E5" s="22" t="s">
        <v>217</v>
      </c>
      <c r="F5" s="22" t="s">
        <v>39</v>
      </c>
      <c r="G5" s="23">
        <v>0</v>
      </c>
      <c r="H5" s="23">
        <v>30</v>
      </c>
      <c r="I5" s="23">
        <f>-H5</f>
        <v>-30</v>
      </c>
      <c r="J5" s="22" t="s">
        <v>214</v>
      </c>
      <c r="K5" s="22" t="s">
        <v>34</v>
      </c>
      <c r="L5" s="22" t="s">
        <v>210</v>
      </c>
      <c r="M5" s="22" t="s">
        <v>139</v>
      </c>
      <c r="N5" s="22"/>
      <c r="O5" s="22"/>
      <c r="P5" s="22"/>
      <c r="Q5" s="22">
        <v>1</v>
      </c>
    </row>
    <row r="6" spans="1:17" customFormat="1" x14ac:dyDescent="0.25">
      <c r="A6" s="22"/>
      <c r="B6" s="22" t="s">
        <v>30</v>
      </c>
      <c r="C6" s="22" t="s">
        <v>218</v>
      </c>
      <c r="D6" s="22" t="s">
        <v>219</v>
      </c>
      <c r="E6" s="22" t="s">
        <v>220</v>
      </c>
      <c r="F6" s="22" t="s">
        <v>39</v>
      </c>
      <c r="G6" s="23">
        <v>0</v>
      </c>
      <c r="H6" s="23">
        <v>30</v>
      </c>
      <c r="I6" s="23">
        <f>-H6</f>
        <v>-30</v>
      </c>
      <c r="J6" s="22" t="s">
        <v>214</v>
      </c>
      <c r="K6" s="22" t="s">
        <v>34</v>
      </c>
      <c r="L6" s="22" t="s">
        <v>210</v>
      </c>
      <c r="M6" s="22"/>
      <c r="N6" s="22"/>
      <c r="O6" s="22"/>
      <c r="P6" s="22"/>
      <c r="Q6" s="22">
        <v>1</v>
      </c>
    </row>
    <row r="7" spans="1:17" customFormat="1" x14ac:dyDescent="0.25">
      <c r="A7" s="22"/>
      <c r="B7" s="22" t="s">
        <v>30</v>
      </c>
      <c r="C7" s="22" t="s">
        <v>221</v>
      </c>
      <c r="D7" s="22" t="s">
        <v>222</v>
      </c>
      <c r="E7" s="22" t="s">
        <v>223</v>
      </c>
      <c r="F7" s="22" t="s">
        <v>39</v>
      </c>
      <c r="G7" s="23">
        <v>820</v>
      </c>
      <c r="H7" s="23">
        <v>30</v>
      </c>
      <c r="I7" s="23">
        <f t="shared" ref="I7:I12" si="0">G7-H7</f>
        <v>790</v>
      </c>
      <c r="J7" s="22" t="s">
        <v>214</v>
      </c>
      <c r="K7" s="22" t="s">
        <v>34</v>
      </c>
      <c r="L7" s="22" t="s">
        <v>210</v>
      </c>
      <c r="M7" s="22"/>
      <c r="N7" s="22"/>
      <c r="O7" s="22"/>
      <c r="P7" s="22"/>
      <c r="Q7" s="22">
        <v>1</v>
      </c>
    </row>
    <row r="8" spans="1:17" customFormat="1" x14ac:dyDescent="0.25">
      <c r="A8" s="22"/>
      <c r="B8" s="22" t="s">
        <v>30</v>
      </c>
      <c r="C8" s="22" t="s">
        <v>224</v>
      </c>
      <c r="D8" s="22" t="s">
        <v>225</v>
      </c>
      <c r="E8" s="22" t="s">
        <v>226</v>
      </c>
      <c r="F8" s="22" t="s">
        <v>147</v>
      </c>
      <c r="G8" s="23">
        <v>35</v>
      </c>
      <c r="H8" s="23">
        <v>35</v>
      </c>
      <c r="I8" s="23">
        <f t="shared" si="0"/>
        <v>0</v>
      </c>
      <c r="J8" s="22" t="s">
        <v>214</v>
      </c>
      <c r="K8" s="22" t="s">
        <v>34</v>
      </c>
      <c r="L8" s="22" t="s">
        <v>210</v>
      </c>
      <c r="M8" s="22" t="s">
        <v>139</v>
      </c>
      <c r="N8" s="22"/>
      <c r="O8" s="22"/>
      <c r="P8" s="22"/>
      <c r="Q8" s="22">
        <v>1</v>
      </c>
    </row>
    <row r="9" spans="1:17" customFormat="1" x14ac:dyDescent="0.25">
      <c r="A9" s="22"/>
      <c r="B9" s="22" t="s">
        <v>30</v>
      </c>
      <c r="C9" s="22" t="s">
        <v>227</v>
      </c>
      <c r="D9" s="22" t="s">
        <v>228</v>
      </c>
      <c r="E9" s="22" t="s">
        <v>229</v>
      </c>
      <c r="F9" s="22" t="s">
        <v>59</v>
      </c>
      <c r="G9" s="23">
        <v>985</v>
      </c>
      <c r="H9" s="23">
        <v>25</v>
      </c>
      <c r="I9" s="23">
        <f t="shared" si="0"/>
        <v>960</v>
      </c>
      <c r="J9" s="22" t="s">
        <v>214</v>
      </c>
      <c r="K9" s="22" t="s">
        <v>34</v>
      </c>
      <c r="L9" s="22" t="s">
        <v>210</v>
      </c>
      <c r="M9" s="22"/>
      <c r="N9" s="22"/>
      <c r="O9" s="22"/>
      <c r="P9" s="22"/>
      <c r="Q9" s="22">
        <v>1</v>
      </c>
    </row>
    <row r="10" spans="1:17" customFormat="1" x14ac:dyDescent="0.25">
      <c r="A10" s="22"/>
      <c r="B10" s="22" t="s">
        <v>30</v>
      </c>
      <c r="C10" s="22" t="s">
        <v>230</v>
      </c>
      <c r="D10" s="22" t="s">
        <v>231</v>
      </c>
      <c r="E10" s="22" t="s">
        <v>232</v>
      </c>
      <c r="F10" s="22" t="s">
        <v>39</v>
      </c>
      <c r="G10" s="23">
        <v>1430</v>
      </c>
      <c r="H10" s="23">
        <v>30</v>
      </c>
      <c r="I10" s="23">
        <f t="shared" si="0"/>
        <v>1400</v>
      </c>
      <c r="J10" s="22" t="s">
        <v>214</v>
      </c>
      <c r="K10" s="22" t="s">
        <v>34</v>
      </c>
      <c r="L10" s="22" t="s">
        <v>210</v>
      </c>
      <c r="M10" s="22"/>
      <c r="N10" s="22"/>
      <c r="O10" s="22"/>
      <c r="P10" s="22"/>
      <c r="Q10" s="22">
        <v>1</v>
      </c>
    </row>
    <row r="11" spans="1:17" customFormat="1" x14ac:dyDescent="0.25">
      <c r="A11" s="22"/>
      <c r="B11" s="22" t="s">
        <v>30</v>
      </c>
      <c r="C11" s="22" t="s">
        <v>233</v>
      </c>
      <c r="D11" s="22" t="s">
        <v>234</v>
      </c>
      <c r="E11" s="22" t="s">
        <v>235</v>
      </c>
      <c r="F11" s="23">
        <v>12</v>
      </c>
      <c r="G11" s="23">
        <v>890</v>
      </c>
      <c r="H11" s="23">
        <v>30</v>
      </c>
      <c r="I11" s="23">
        <f t="shared" si="0"/>
        <v>860</v>
      </c>
      <c r="J11" s="22" t="s">
        <v>214</v>
      </c>
      <c r="K11" s="22" t="s">
        <v>34</v>
      </c>
      <c r="L11" s="22" t="s">
        <v>210</v>
      </c>
      <c r="M11" s="22"/>
      <c r="N11" s="22"/>
      <c r="O11" s="22"/>
      <c r="P11" s="22"/>
      <c r="Q11" s="22">
        <v>1</v>
      </c>
    </row>
    <row r="12" spans="1:17" customFormat="1" x14ac:dyDescent="0.25">
      <c r="A12" s="22"/>
      <c r="B12" s="22" t="s">
        <v>30</v>
      </c>
      <c r="C12" s="22" t="s">
        <v>236</v>
      </c>
      <c r="D12" s="22" t="s">
        <v>237</v>
      </c>
      <c r="E12" s="22" t="s">
        <v>238</v>
      </c>
      <c r="F12" s="22" t="s">
        <v>39</v>
      </c>
      <c r="G12" s="23">
        <v>770</v>
      </c>
      <c r="H12" s="23">
        <v>30</v>
      </c>
      <c r="I12" s="23">
        <f t="shared" si="0"/>
        <v>740</v>
      </c>
      <c r="J12" s="22" t="s">
        <v>214</v>
      </c>
      <c r="K12" s="22" t="s">
        <v>34</v>
      </c>
      <c r="L12" s="22" t="s">
        <v>210</v>
      </c>
      <c r="M12" s="22"/>
      <c r="N12" s="22"/>
      <c r="O12" s="22"/>
      <c r="P12" s="22"/>
      <c r="Q12" s="22">
        <v>1</v>
      </c>
    </row>
    <row r="13" spans="1:17" customFormat="1" x14ac:dyDescent="0.25">
      <c r="A13" s="22"/>
      <c r="B13" s="22" t="s">
        <v>30</v>
      </c>
      <c r="C13" s="22" t="s">
        <v>239</v>
      </c>
      <c r="D13" s="22" t="s">
        <v>240</v>
      </c>
      <c r="E13" s="22" t="s">
        <v>241</v>
      </c>
      <c r="F13" s="22" t="s">
        <v>98</v>
      </c>
      <c r="G13" s="23">
        <v>0</v>
      </c>
      <c r="H13" s="23">
        <v>20</v>
      </c>
      <c r="I13" s="23">
        <f>-H13</f>
        <v>-20</v>
      </c>
      <c r="J13" s="22" t="s">
        <v>34</v>
      </c>
      <c r="K13" s="22" t="s">
        <v>34</v>
      </c>
      <c r="L13" s="22" t="s">
        <v>210</v>
      </c>
      <c r="M13" s="22"/>
      <c r="N13" s="22"/>
      <c r="O13" s="22"/>
      <c r="P13" s="22"/>
      <c r="Q13" s="22">
        <v>1</v>
      </c>
    </row>
    <row r="14" spans="1:17" customFormat="1" x14ac:dyDescent="0.25">
      <c r="A14" s="22"/>
      <c r="B14" s="22" t="s">
        <v>30</v>
      </c>
      <c r="C14" s="22" t="s">
        <v>242</v>
      </c>
      <c r="D14" s="22" t="s">
        <v>243</v>
      </c>
      <c r="E14" s="22" t="s">
        <v>244</v>
      </c>
      <c r="F14" s="22" t="s">
        <v>90</v>
      </c>
      <c r="G14" s="23">
        <v>905</v>
      </c>
      <c r="H14" s="23">
        <v>25</v>
      </c>
      <c r="I14" s="23">
        <f>G14-H14</f>
        <v>880</v>
      </c>
      <c r="J14" s="22" t="s">
        <v>34</v>
      </c>
      <c r="K14" s="22" t="s">
        <v>34</v>
      </c>
      <c r="L14" s="22" t="s">
        <v>210</v>
      </c>
      <c r="M14" s="22"/>
      <c r="N14" s="22"/>
      <c r="O14" s="22"/>
      <c r="P14" s="22"/>
      <c r="Q14" s="22">
        <v>1</v>
      </c>
    </row>
    <row r="15" spans="1:17" customFormat="1" x14ac:dyDescent="0.25">
      <c r="A15" s="22"/>
      <c r="B15" s="22" t="s">
        <v>30</v>
      </c>
      <c r="C15" s="22" t="s">
        <v>245</v>
      </c>
      <c r="D15" s="22" t="s">
        <v>246</v>
      </c>
      <c r="E15" s="22" t="s">
        <v>247</v>
      </c>
      <c r="F15" s="22" t="s">
        <v>98</v>
      </c>
      <c r="G15" s="23">
        <v>0</v>
      </c>
      <c r="H15" s="23">
        <v>20</v>
      </c>
      <c r="I15" s="23">
        <f>-H15</f>
        <v>-20</v>
      </c>
      <c r="J15" s="22" t="s">
        <v>34</v>
      </c>
      <c r="K15" s="22" t="s">
        <v>34</v>
      </c>
      <c r="L15" s="22" t="s">
        <v>210</v>
      </c>
      <c r="M15" s="22"/>
      <c r="N15" s="22"/>
      <c r="O15" s="22"/>
      <c r="P15" s="22"/>
      <c r="Q15" s="22">
        <v>1</v>
      </c>
    </row>
    <row r="16" spans="1:17" customFormat="1" x14ac:dyDescent="0.25">
      <c r="A16" s="22" t="s">
        <v>29</v>
      </c>
      <c r="B16" s="22" t="s">
        <v>30</v>
      </c>
      <c r="C16" s="22" t="s">
        <v>248</v>
      </c>
      <c r="D16" s="22"/>
      <c r="E16" s="22" t="s">
        <v>249</v>
      </c>
      <c r="F16" s="22" t="s">
        <v>90</v>
      </c>
      <c r="G16" s="23">
        <v>0</v>
      </c>
      <c r="H16" s="23">
        <v>40</v>
      </c>
      <c r="I16" s="23">
        <f>-H16</f>
        <v>-40</v>
      </c>
      <c r="J16" s="22" t="s">
        <v>34</v>
      </c>
      <c r="K16" s="22" t="s">
        <v>34</v>
      </c>
      <c r="L16" s="22" t="s">
        <v>210</v>
      </c>
      <c r="M16" s="22"/>
      <c r="N16" s="22"/>
      <c r="O16" s="22"/>
      <c r="P16" s="22"/>
      <c r="Q16" s="22">
        <v>1</v>
      </c>
    </row>
    <row r="17" spans="1:18" customFormat="1" x14ac:dyDescent="0.25">
      <c r="A17" s="22" t="s">
        <v>29</v>
      </c>
      <c r="B17" s="22" t="s">
        <v>30</v>
      </c>
      <c r="C17" s="22" t="s">
        <v>250</v>
      </c>
      <c r="D17" s="22"/>
      <c r="E17" s="22" t="s">
        <v>251</v>
      </c>
      <c r="F17" s="22" t="s">
        <v>90</v>
      </c>
      <c r="G17" s="23">
        <v>1720</v>
      </c>
      <c r="H17" s="23">
        <v>30</v>
      </c>
      <c r="I17" s="23">
        <f>G17-H17</f>
        <v>1690</v>
      </c>
      <c r="J17" s="22" t="s">
        <v>34</v>
      </c>
      <c r="K17" s="22" t="s">
        <v>34</v>
      </c>
      <c r="L17" s="22" t="s">
        <v>210</v>
      </c>
      <c r="M17" s="22"/>
      <c r="N17" s="22"/>
      <c r="O17" s="22"/>
      <c r="P17" s="22"/>
      <c r="Q17" s="22">
        <v>1</v>
      </c>
    </row>
    <row r="18" spans="1:18" customFormat="1" x14ac:dyDescent="0.25">
      <c r="A18" s="22" t="s">
        <v>29</v>
      </c>
      <c r="B18" s="22" t="s">
        <v>30</v>
      </c>
      <c r="C18" s="22" t="s">
        <v>252</v>
      </c>
      <c r="D18" s="22"/>
      <c r="E18" s="22" t="s">
        <v>253</v>
      </c>
      <c r="F18" s="23">
        <v>12</v>
      </c>
      <c r="G18" s="23">
        <v>50</v>
      </c>
      <c r="H18" s="23">
        <v>50</v>
      </c>
      <c r="I18" s="23">
        <f>G18-H18</f>
        <v>0</v>
      </c>
      <c r="J18" s="22" t="s">
        <v>34</v>
      </c>
      <c r="K18" s="22" t="s">
        <v>34</v>
      </c>
      <c r="L18" s="22" t="s">
        <v>210</v>
      </c>
      <c r="M18" s="22"/>
      <c r="N18" s="22"/>
      <c r="O18" s="22"/>
      <c r="P18" s="22"/>
      <c r="Q18" s="22">
        <v>1</v>
      </c>
    </row>
    <row r="19" spans="1:18" customFormat="1" x14ac:dyDescent="0.25">
      <c r="A19" s="22" t="s">
        <v>29</v>
      </c>
      <c r="B19" s="22" t="s">
        <v>30</v>
      </c>
      <c r="C19" s="22" t="s">
        <v>254</v>
      </c>
      <c r="D19" s="22"/>
      <c r="E19" s="22" t="s">
        <v>255</v>
      </c>
      <c r="F19" s="23">
        <v>1</v>
      </c>
      <c r="G19" s="23">
        <v>0</v>
      </c>
      <c r="H19" s="23">
        <v>25</v>
      </c>
      <c r="I19" s="23">
        <f>-H19</f>
        <v>-25</v>
      </c>
      <c r="J19" s="22" t="s">
        <v>148</v>
      </c>
      <c r="K19" s="22" t="s">
        <v>34</v>
      </c>
      <c r="L19" s="22" t="s">
        <v>210</v>
      </c>
      <c r="M19" s="22" t="s">
        <v>139</v>
      </c>
      <c r="N19" s="22"/>
      <c r="O19" s="22"/>
      <c r="P19" s="22"/>
      <c r="Q19" s="22">
        <v>1</v>
      </c>
    </row>
    <row r="20" spans="1:18" customFormat="1" x14ac:dyDescent="0.25">
      <c r="A20" s="22"/>
      <c r="B20" s="22" t="s">
        <v>30</v>
      </c>
      <c r="C20" s="22" t="s">
        <v>256</v>
      </c>
      <c r="D20" s="22" t="s">
        <v>257</v>
      </c>
      <c r="E20" s="22" t="s">
        <v>258</v>
      </c>
      <c r="F20" s="23">
        <v>11</v>
      </c>
      <c r="G20" s="23">
        <v>615</v>
      </c>
      <c r="H20" s="23">
        <v>25</v>
      </c>
      <c r="I20" s="23">
        <f t="shared" ref="I20:I22" si="1">G20-H20</f>
        <v>590</v>
      </c>
      <c r="J20" s="22" t="s">
        <v>148</v>
      </c>
      <c r="K20" s="22" t="s">
        <v>34</v>
      </c>
      <c r="L20" s="22" t="s">
        <v>210</v>
      </c>
      <c r="M20" s="22"/>
      <c r="N20" s="22"/>
      <c r="O20" s="22"/>
      <c r="P20" s="22"/>
      <c r="Q20" s="22">
        <v>1</v>
      </c>
    </row>
    <row r="21" spans="1:18" customFormat="1" x14ac:dyDescent="0.25">
      <c r="A21" s="22"/>
      <c r="B21" s="22" t="s">
        <v>30</v>
      </c>
      <c r="C21" s="22" t="s">
        <v>259</v>
      </c>
      <c r="D21" s="22" t="s">
        <v>260</v>
      </c>
      <c r="E21" s="22" t="s">
        <v>261</v>
      </c>
      <c r="F21" s="23">
        <v>4</v>
      </c>
      <c r="G21" s="23">
        <v>815</v>
      </c>
      <c r="H21" s="23">
        <v>25</v>
      </c>
      <c r="I21" s="23">
        <f t="shared" si="1"/>
        <v>790</v>
      </c>
      <c r="J21" s="22" t="s">
        <v>148</v>
      </c>
      <c r="K21" s="22" t="s">
        <v>34</v>
      </c>
      <c r="L21" s="22" t="s">
        <v>210</v>
      </c>
      <c r="M21" s="22"/>
      <c r="N21" s="22"/>
      <c r="O21" s="22"/>
      <c r="P21" s="22"/>
      <c r="Q21" s="22">
        <v>1</v>
      </c>
    </row>
    <row r="22" spans="1:18" customFormat="1" x14ac:dyDescent="0.25">
      <c r="A22" s="22"/>
      <c r="B22" s="22" t="s">
        <v>30</v>
      </c>
      <c r="C22" s="22" t="s">
        <v>262</v>
      </c>
      <c r="D22" s="22" t="s">
        <v>263</v>
      </c>
      <c r="E22" s="22" t="s">
        <v>264</v>
      </c>
      <c r="F22" s="22" t="s">
        <v>108</v>
      </c>
      <c r="G22" s="23">
        <v>765</v>
      </c>
      <c r="H22" s="23">
        <v>25</v>
      </c>
      <c r="I22" s="23">
        <f t="shared" si="1"/>
        <v>740</v>
      </c>
      <c r="J22" s="22" t="s">
        <v>148</v>
      </c>
      <c r="K22" s="22" t="s">
        <v>34</v>
      </c>
      <c r="L22" s="22" t="s">
        <v>210</v>
      </c>
      <c r="M22" s="22"/>
      <c r="N22" s="22"/>
      <c r="O22" s="22"/>
      <c r="P22" s="22"/>
      <c r="Q22" s="22">
        <v>1</v>
      </c>
    </row>
    <row r="24" spans="1:18" x14ac:dyDescent="0.25">
      <c r="G24" s="1">
        <f t="shared" ref="G24:R24" si="2">SUBTOTAL(9,G3:G23)</f>
        <v>9860</v>
      </c>
      <c r="H24" s="1">
        <f t="shared" si="2"/>
        <v>580</v>
      </c>
      <c r="I24" s="1">
        <f t="shared" si="2"/>
        <v>9280</v>
      </c>
      <c r="J24" s="1">
        <f t="shared" si="2"/>
        <v>0</v>
      </c>
      <c r="K24" s="1">
        <f t="shared" si="2"/>
        <v>0</v>
      </c>
      <c r="L24" s="1">
        <f t="shared" si="2"/>
        <v>0</v>
      </c>
      <c r="M24" s="1">
        <f t="shared" si="2"/>
        <v>0</v>
      </c>
      <c r="N24" s="1">
        <f t="shared" si="2"/>
        <v>0</v>
      </c>
      <c r="O24" s="1">
        <f t="shared" si="2"/>
        <v>0</v>
      </c>
      <c r="P24" s="1">
        <f t="shared" si="2"/>
        <v>0</v>
      </c>
      <c r="Q24" s="1">
        <f t="shared" si="2"/>
        <v>20</v>
      </c>
      <c r="R24" s="1">
        <f t="shared" si="2"/>
        <v>0</v>
      </c>
    </row>
    <row r="25" spans="1:18" x14ac:dyDescent="0.25">
      <c r="I25" s="1">
        <v>-3055</v>
      </c>
      <c r="J25" s="1" t="s">
        <v>265</v>
      </c>
    </row>
    <row r="28" spans="1:18" ht="20.25" customHeight="1" x14ac:dyDescent="0.3">
      <c r="H28" s="4" t="s">
        <v>206</v>
      </c>
      <c r="I28" s="5" t="s">
        <v>15</v>
      </c>
      <c r="J28" s="6" t="s">
        <v>16</v>
      </c>
    </row>
    <row r="29" spans="1:18" ht="15.75" customHeight="1" x14ac:dyDescent="0.25">
      <c r="H29" s="7" t="s">
        <v>17</v>
      </c>
      <c r="I29" s="8">
        <f>SUM(I23:I27)</f>
        <v>6225</v>
      </c>
      <c r="J29" s="8">
        <f>Q24</f>
        <v>20</v>
      </c>
    </row>
    <row r="30" spans="1:18" x14ac:dyDescent="0.25">
      <c r="H30" s="9" t="s">
        <v>18</v>
      </c>
      <c r="I30" s="10">
        <f>R24</f>
        <v>0</v>
      </c>
      <c r="J30" s="11"/>
    </row>
    <row r="31" spans="1:18" x14ac:dyDescent="0.25">
      <c r="H31" s="9" t="s">
        <v>19</v>
      </c>
      <c r="I31" s="10">
        <f>S23</f>
        <v>0</v>
      </c>
      <c r="J31" s="11"/>
    </row>
    <row r="32" spans="1:18" x14ac:dyDescent="0.25">
      <c r="H32" s="9" t="s">
        <v>20</v>
      </c>
      <c r="I32" s="10">
        <f>T23</f>
        <v>0</v>
      </c>
      <c r="J32" s="11"/>
    </row>
    <row r="33" spans="8:10" x14ac:dyDescent="0.25">
      <c r="H33" s="9" t="s">
        <v>21</v>
      </c>
      <c r="I33" s="10">
        <f>U23</f>
        <v>0</v>
      </c>
      <c r="J33" s="11"/>
    </row>
    <row r="34" spans="8:10" ht="15.75" customHeight="1" x14ac:dyDescent="0.25">
      <c r="H34" s="12" t="s">
        <v>22</v>
      </c>
      <c r="I34" s="13"/>
      <c r="J34" s="13"/>
    </row>
    <row r="35" spans="8:10" ht="15.75" customHeight="1" x14ac:dyDescent="0.25">
      <c r="H35" s="14" t="s">
        <v>23</v>
      </c>
      <c r="I35" s="13"/>
      <c r="J35" s="13"/>
    </row>
    <row r="36" spans="8:10" ht="21" customHeight="1" x14ac:dyDescent="0.35">
      <c r="H36" s="15" t="s">
        <v>24</v>
      </c>
      <c r="I36" s="16">
        <f>SUM(I29:I35)</f>
        <v>6225</v>
      </c>
      <c r="J36" s="16">
        <f>SUM(J29:J33)</f>
        <v>20</v>
      </c>
    </row>
  </sheetData>
  <autoFilter ref="A2:P22" xr:uid="{00000000-0009-0000-0000-000006000000}">
    <sortState xmlns:xlrd2="http://schemas.microsoft.com/office/spreadsheetml/2017/richdata2" ref="A3:P22">
      <sortCondition ref="J2:J22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5974-9CA3-40AA-9389-A33FB2F60527}">
  <dimension ref="A1:R72"/>
  <sheetViews>
    <sheetView topLeftCell="A41" zoomScale="82" zoomScaleNormal="80" workbookViewId="0">
      <selection activeCell="J75" sqref="J75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266</v>
      </c>
      <c r="C1" s="1" t="s">
        <v>267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27" customFormat="1" x14ac:dyDescent="0.25">
      <c r="A3" s="25"/>
      <c r="B3" s="25" t="s">
        <v>30</v>
      </c>
      <c r="C3" s="25" t="s">
        <v>272</v>
      </c>
      <c r="D3" s="25" t="s">
        <v>273</v>
      </c>
      <c r="E3" s="25" t="s">
        <v>274</v>
      </c>
      <c r="F3" s="26">
        <v>7</v>
      </c>
      <c r="G3" s="26">
        <v>30</v>
      </c>
      <c r="H3" s="26">
        <v>30</v>
      </c>
      <c r="I3" s="26">
        <f t="shared" ref="I3:I55" si="0">G3-H3</f>
        <v>0</v>
      </c>
      <c r="J3" s="25" t="s">
        <v>275</v>
      </c>
      <c r="K3" s="25" t="s">
        <v>34</v>
      </c>
      <c r="L3" s="25" t="s">
        <v>276</v>
      </c>
      <c r="M3" s="25" t="s">
        <v>139</v>
      </c>
      <c r="N3" s="25"/>
      <c r="O3" s="25"/>
      <c r="P3" s="25"/>
      <c r="Q3" s="25">
        <v>1</v>
      </c>
    </row>
    <row r="4" spans="1:18" customFormat="1" x14ac:dyDescent="0.25">
      <c r="A4" s="22"/>
      <c r="B4" s="22" t="s">
        <v>30</v>
      </c>
      <c r="C4" s="22" t="s">
        <v>277</v>
      </c>
      <c r="D4" s="22" t="s">
        <v>278</v>
      </c>
      <c r="E4" s="22" t="s">
        <v>279</v>
      </c>
      <c r="F4" s="23">
        <v>6</v>
      </c>
      <c r="G4" s="23">
        <v>915</v>
      </c>
      <c r="H4" s="23">
        <v>25</v>
      </c>
      <c r="I4" s="18">
        <f t="shared" si="0"/>
        <v>890</v>
      </c>
      <c r="J4" s="22" t="s">
        <v>275</v>
      </c>
      <c r="K4" s="22" t="s">
        <v>34</v>
      </c>
      <c r="L4" s="22" t="s">
        <v>276</v>
      </c>
      <c r="M4" s="22"/>
      <c r="N4" s="22"/>
      <c r="O4" s="22"/>
      <c r="P4" s="22"/>
      <c r="Q4" s="22">
        <v>1</v>
      </c>
    </row>
    <row r="5" spans="1:18" customFormat="1" x14ac:dyDescent="0.25">
      <c r="A5" s="22"/>
      <c r="B5" s="22" t="s">
        <v>30</v>
      </c>
      <c r="C5" s="22" t="s">
        <v>280</v>
      </c>
      <c r="D5" s="22" t="s">
        <v>281</v>
      </c>
      <c r="E5" s="22" t="s">
        <v>282</v>
      </c>
      <c r="F5" s="23">
        <v>7</v>
      </c>
      <c r="G5" s="23">
        <v>850</v>
      </c>
      <c r="H5" s="23">
        <v>30</v>
      </c>
      <c r="I5" s="18">
        <f t="shared" si="0"/>
        <v>820</v>
      </c>
      <c r="J5" s="22" t="s">
        <v>275</v>
      </c>
      <c r="K5" s="22" t="s">
        <v>34</v>
      </c>
      <c r="L5" s="22" t="s">
        <v>276</v>
      </c>
      <c r="M5" s="22"/>
      <c r="N5" s="22"/>
      <c r="O5" s="22"/>
      <c r="P5" s="22"/>
      <c r="Q5" s="22">
        <v>1</v>
      </c>
    </row>
    <row r="6" spans="1:18" customFormat="1" x14ac:dyDescent="0.25">
      <c r="A6" s="22"/>
      <c r="B6" s="22" t="s">
        <v>30</v>
      </c>
      <c r="C6" s="22" t="s">
        <v>283</v>
      </c>
      <c r="D6" s="22" t="s">
        <v>284</v>
      </c>
      <c r="E6" s="22" t="s">
        <v>285</v>
      </c>
      <c r="F6" s="23">
        <v>12</v>
      </c>
      <c r="G6" s="23">
        <v>670</v>
      </c>
      <c r="H6" s="23">
        <v>30</v>
      </c>
      <c r="I6" s="18">
        <f t="shared" si="0"/>
        <v>640</v>
      </c>
      <c r="J6" s="22" t="s">
        <v>275</v>
      </c>
      <c r="K6" s="22" t="s">
        <v>34</v>
      </c>
      <c r="L6" s="22" t="s">
        <v>276</v>
      </c>
      <c r="M6" s="22"/>
      <c r="N6" s="22"/>
      <c r="O6" s="22"/>
      <c r="P6" s="22"/>
      <c r="Q6" s="22">
        <v>1</v>
      </c>
    </row>
    <row r="7" spans="1:18" customFormat="1" x14ac:dyDescent="0.25">
      <c r="A7" s="22"/>
      <c r="B7" s="22" t="s">
        <v>30</v>
      </c>
      <c r="C7" s="22" t="s">
        <v>286</v>
      </c>
      <c r="D7" s="22" t="s">
        <v>287</v>
      </c>
      <c r="E7" s="22" t="s">
        <v>288</v>
      </c>
      <c r="F7" s="22" t="s">
        <v>152</v>
      </c>
      <c r="G7" s="23">
        <v>1515</v>
      </c>
      <c r="H7" s="23">
        <v>35</v>
      </c>
      <c r="I7" s="18">
        <f t="shared" si="0"/>
        <v>1480</v>
      </c>
      <c r="J7" s="22" t="s">
        <v>275</v>
      </c>
      <c r="K7" s="22" t="s">
        <v>34</v>
      </c>
      <c r="L7" s="22" t="s">
        <v>276</v>
      </c>
      <c r="M7" s="22"/>
      <c r="N7" s="22"/>
      <c r="O7" s="22"/>
      <c r="P7" s="22"/>
      <c r="Q7" s="22">
        <v>1</v>
      </c>
    </row>
    <row r="8" spans="1:18" customFormat="1" x14ac:dyDescent="0.25">
      <c r="A8" s="22"/>
      <c r="B8" s="22" t="s">
        <v>30</v>
      </c>
      <c r="C8" s="22" t="s">
        <v>289</v>
      </c>
      <c r="D8" s="22" t="s">
        <v>290</v>
      </c>
      <c r="E8" s="22" t="s">
        <v>291</v>
      </c>
      <c r="F8" s="23">
        <v>8</v>
      </c>
      <c r="G8" s="23">
        <v>690</v>
      </c>
      <c r="H8" s="23">
        <v>30</v>
      </c>
      <c r="I8" s="18">
        <f t="shared" si="0"/>
        <v>660</v>
      </c>
      <c r="J8" s="22" t="s">
        <v>275</v>
      </c>
      <c r="K8" s="22" t="s">
        <v>34</v>
      </c>
      <c r="L8" s="22" t="s">
        <v>276</v>
      </c>
      <c r="M8" s="22"/>
      <c r="N8" s="22"/>
      <c r="O8" s="22"/>
      <c r="P8" s="22"/>
      <c r="Q8" s="22">
        <v>1</v>
      </c>
    </row>
    <row r="9" spans="1:18" customFormat="1" x14ac:dyDescent="0.25">
      <c r="A9" s="22"/>
      <c r="B9" s="22" t="s">
        <v>30</v>
      </c>
      <c r="C9" s="22" t="s">
        <v>292</v>
      </c>
      <c r="D9" s="22" t="s">
        <v>293</v>
      </c>
      <c r="E9" s="22" t="s">
        <v>294</v>
      </c>
      <c r="F9" s="22" t="s">
        <v>108</v>
      </c>
      <c r="G9" s="23">
        <v>1345</v>
      </c>
      <c r="H9" s="23">
        <v>25</v>
      </c>
      <c r="I9" s="18">
        <f t="shared" si="0"/>
        <v>1320</v>
      </c>
      <c r="J9" s="22" t="s">
        <v>275</v>
      </c>
      <c r="K9" s="22" t="s">
        <v>34</v>
      </c>
      <c r="L9" s="22" t="s">
        <v>276</v>
      </c>
      <c r="M9" s="22"/>
      <c r="N9" s="22"/>
      <c r="O9" s="22"/>
      <c r="P9" s="22"/>
      <c r="Q9" s="22">
        <v>1</v>
      </c>
    </row>
    <row r="10" spans="1:18" customFormat="1" x14ac:dyDescent="0.25">
      <c r="A10" s="22"/>
      <c r="B10" s="22" t="s">
        <v>30</v>
      </c>
      <c r="C10" s="22" t="s">
        <v>295</v>
      </c>
      <c r="D10" s="22" t="s">
        <v>296</v>
      </c>
      <c r="E10" s="22" t="s">
        <v>297</v>
      </c>
      <c r="F10" s="22" t="s">
        <v>39</v>
      </c>
      <c r="G10" s="23">
        <v>850</v>
      </c>
      <c r="H10" s="23">
        <v>30</v>
      </c>
      <c r="I10" s="18">
        <f t="shared" si="0"/>
        <v>820</v>
      </c>
      <c r="J10" s="22" t="s">
        <v>275</v>
      </c>
      <c r="K10" s="22" t="s">
        <v>34</v>
      </c>
      <c r="L10" s="22" t="s">
        <v>276</v>
      </c>
      <c r="M10" s="22"/>
      <c r="N10" s="22"/>
      <c r="O10" s="22"/>
      <c r="P10" s="22"/>
      <c r="Q10" s="22">
        <v>1</v>
      </c>
    </row>
    <row r="11" spans="1:18" customFormat="1" x14ac:dyDescent="0.25">
      <c r="A11" s="22"/>
      <c r="B11" s="22" t="s">
        <v>30</v>
      </c>
      <c r="C11" s="22" t="s">
        <v>298</v>
      </c>
      <c r="D11" s="22" t="s">
        <v>299</v>
      </c>
      <c r="E11" s="22" t="s">
        <v>300</v>
      </c>
      <c r="F11" s="22" t="s">
        <v>39</v>
      </c>
      <c r="G11" s="23">
        <v>830</v>
      </c>
      <c r="H11" s="23">
        <v>30</v>
      </c>
      <c r="I11" s="18">
        <f t="shared" si="0"/>
        <v>800</v>
      </c>
      <c r="J11" s="22" t="s">
        <v>275</v>
      </c>
      <c r="K11" s="22" t="s">
        <v>34</v>
      </c>
      <c r="L11" s="22" t="s">
        <v>276</v>
      </c>
      <c r="M11" s="22"/>
      <c r="N11" s="22"/>
      <c r="O11" s="22"/>
      <c r="P11" s="22"/>
      <c r="Q11" s="22">
        <v>1</v>
      </c>
    </row>
    <row r="12" spans="1:18" customFormat="1" x14ac:dyDescent="0.25">
      <c r="A12" s="22"/>
      <c r="B12" s="22" t="s">
        <v>30</v>
      </c>
      <c r="C12" s="22" t="s">
        <v>301</v>
      </c>
      <c r="D12" s="22" t="s">
        <v>302</v>
      </c>
      <c r="E12" s="22" t="s">
        <v>303</v>
      </c>
      <c r="F12" s="22" t="s">
        <v>59</v>
      </c>
      <c r="G12" s="23">
        <v>0</v>
      </c>
      <c r="H12" s="23">
        <v>25</v>
      </c>
      <c r="I12" s="18">
        <f t="shared" si="0"/>
        <v>-25</v>
      </c>
      <c r="J12" s="22" t="s">
        <v>275</v>
      </c>
      <c r="K12" s="22" t="s">
        <v>34</v>
      </c>
      <c r="L12" s="22" t="s">
        <v>276</v>
      </c>
      <c r="M12" s="22"/>
      <c r="N12" s="22"/>
      <c r="O12" s="22"/>
      <c r="P12" s="22"/>
      <c r="Q12" s="22">
        <v>1</v>
      </c>
      <c r="R12" s="24">
        <f>H12</f>
        <v>25</v>
      </c>
    </row>
    <row r="13" spans="1:18" customFormat="1" x14ac:dyDescent="0.25">
      <c r="A13" s="22"/>
      <c r="B13" s="22" t="s">
        <v>30</v>
      </c>
      <c r="C13" s="22" t="s">
        <v>304</v>
      </c>
      <c r="D13" s="22" t="s">
        <v>305</v>
      </c>
      <c r="E13" s="22" t="s">
        <v>306</v>
      </c>
      <c r="F13" s="22" t="s">
        <v>39</v>
      </c>
      <c r="G13" s="23">
        <v>780</v>
      </c>
      <c r="H13" s="23">
        <v>30</v>
      </c>
      <c r="I13" s="18">
        <f t="shared" si="0"/>
        <v>750</v>
      </c>
      <c r="J13" s="22" t="s">
        <v>275</v>
      </c>
      <c r="K13" s="22" t="s">
        <v>34</v>
      </c>
      <c r="L13" s="22" t="s">
        <v>276</v>
      </c>
      <c r="M13" s="22"/>
      <c r="N13" s="22"/>
      <c r="O13" s="22"/>
      <c r="P13" s="22"/>
      <c r="Q13" s="22">
        <v>1</v>
      </c>
    </row>
    <row r="14" spans="1:18" customFormat="1" x14ac:dyDescent="0.25">
      <c r="A14" s="22"/>
      <c r="B14" s="22" t="s">
        <v>30</v>
      </c>
      <c r="C14" s="22" t="s">
        <v>307</v>
      </c>
      <c r="D14" s="22" t="s">
        <v>308</v>
      </c>
      <c r="E14" s="22" t="s">
        <v>309</v>
      </c>
      <c r="F14" s="23">
        <v>8</v>
      </c>
      <c r="G14" s="23">
        <v>740</v>
      </c>
      <c r="H14" s="23">
        <v>30</v>
      </c>
      <c r="I14" s="18">
        <f t="shared" si="0"/>
        <v>710</v>
      </c>
      <c r="J14" s="22" t="s">
        <v>275</v>
      </c>
      <c r="K14" s="22" t="s">
        <v>34</v>
      </c>
      <c r="L14" s="22" t="s">
        <v>276</v>
      </c>
      <c r="M14" s="22"/>
      <c r="N14" s="22"/>
      <c r="O14" s="22"/>
      <c r="P14" s="22"/>
      <c r="Q14" s="22">
        <v>1</v>
      </c>
    </row>
    <row r="15" spans="1:18" customFormat="1" x14ac:dyDescent="0.25">
      <c r="A15" s="22"/>
      <c r="B15" s="22" t="s">
        <v>30</v>
      </c>
      <c r="C15" s="22" t="s">
        <v>310</v>
      </c>
      <c r="D15" s="22" t="s">
        <v>311</v>
      </c>
      <c r="E15" s="22" t="s">
        <v>312</v>
      </c>
      <c r="F15" s="22" t="s">
        <v>108</v>
      </c>
      <c r="G15" s="23">
        <v>755</v>
      </c>
      <c r="H15" s="23">
        <v>25</v>
      </c>
      <c r="I15" s="18">
        <f t="shared" si="0"/>
        <v>730</v>
      </c>
      <c r="J15" s="22" t="s">
        <v>275</v>
      </c>
      <c r="K15" s="22" t="s">
        <v>34</v>
      </c>
      <c r="L15" s="22" t="s">
        <v>276</v>
      </c>
      <c r="M15" s="22"/>
      <c r="N15" s="22"/>
      <c r="O15" s="22"/>
      <c r="P15" s="22"/>
      <c r="Q15" s="22">
        <v>1</v>
      </c>
    </row>
    <row r="16" spans="1:18" customFormat="1" x14ac:dyDescent="0.25">
      <c r="A16" s="22"/>
      <c r="B16" s="22" t="s">
        <v>30</v>
      </c>
      <c r="C16" s="22" t="s">
        <v>78</v>
      </c>
      <c r="D16" s="22" t="s">
        <v>313</v>
      </c>
      <c r="E16" s="22" t="s">
        <v>80</v>
      </c>
      <c r="F16" s="23">
        <v>12</v>
      </c>
      <c r="G16" s="23">
        <v>770</v>
      </c>
      <c r="H16" s="23">
        <v>30</v>
      </c>
      <c r="I16" s="18">
        <f t="shared" si="0"/>
        <v>740</v>
      </c>
      <c r="J16" s="22" t="s">
        <v>275</v>
      </c>
      <c r="K16" s="22" t="s">
        <v>34</v>
      </c>
      <c r="L16" s="22" t="s">
        <v>276</v>
      </c>
      <c r="M16" s="22"/>
      <c r="N16" s="22"/>
      <c r="O16" s="22"/>
      <c r="P16" s="22"/>
      <c r="Q16" s="22">
        <v>1</v>
      </c>
    </row>
    <row r="17" spans="1:18" customFormat="1" x14ac:dyDescent="0.25">
      <c r="A17" s="22"/>
      <c r="B17" s="22" t="s">
        <v>30</v>
      </c>
      <c r="C17" s="22" t="s">
        <v>314</v>
      </c>
      <c r="D17" s="22" t="s">
        <v>315</v>
      </c>
      <c r="E17" s="22" t="s">
        <v>316</v>
      </c>
      <c r="F17" s="22" t="s">
        <v>152</v>
      </c>
      <c r="G17" s="23">
        <v>735</v>
      </c>
      <c r="H17" s="23">
        <v>35</v>
      </c>
      <c r="I17" s="18">
        <f t="shared" si="0"/>
        <v>700</v>
      </c>
      <c r="J17" s="22" t="s">
        <v>275</v>
      </c>
      <c r="K17" s="22" t="s">
        <v>34</v>
      </c>
      <c r="L17" s="22" t="s">
        <v>276</v>
      </c>
      <c r="M17" s="22"/>
      <c r="N17" s="22"/>
      <c r="O17" s="22"/>
      <c r="P17" s="22"/>
      <c r="Q17" s="22">
        <v>1</v>
      </c>
    </row>
    <row r="18" spans="1:18" customFormat="1" x14ac:dyDescent="0.25">
      <c r="A18" s="22"/>
      <c r="B18" s="22" t="s">
        <v>30</v>
      </c>
      <c r="C18" s="22" t="s">
        <v>317</v>
      </c>
      <c r="D18" s="22" t="s">
        <v>318</v>
      </c>
      <c r="E18" s="22" t="s">
        <v>319</v>
      </c>
      <c r="F18" s="22" t="s">
        <v>39</v>
      </c>
      <c r="G18" s="23">
        <v>0</v>
      </c>
      <c r="H18" s="23">
        <v>30</v>
      </c>
      <c r="I18" s="18">
        <f t="shared" si="0"/>
        <v>-30</v>
      </c>
      <c r="J18" s="22" t="s">
        <v>275</v>
      </c>
      <c r="K18" s="22" t="s">
        <v>34</v>
      </c>
      <c r="L18" s="22" t="s">
        <v>276</v>
      </c>
      <c r="M18" s="22"/>
      <c r="N18" s="22"/>
      <c r="O18" s="22"/>
      <c r="P18" s="22"/>
      <c r="Q18" s="22">
        <v>1</v>
      </c>
      <c r="R18" s="24">
        <f>H18</f>
        <v>30</v>
      </c>
    </row>
    <row r="19" spans="1:18" customFormat="1" x14ac:dyDescent="0.25">
      <c r="A19" s="22"/>
      <c r="B19" s="22" t="s">
        <v>30</v>
      </c>
      <c r="C19" s="22" t="s">
        <v>320</v>
      </c>
      <c r="D19" s="22" t="s">
        <v>321</v>
      </c>
      <c r="E19" s="22" t="s">
        <v>322</v>
      </c>
      <c r="F19" s="23">
        <v>8</v>
      </c>
      <c r="G19" s="23">
        <v>690</v>
      </c>
      <c r="H19" s="23">
        <v>30</v>
      </c>
      <c r="I19" s="18">
        <f t="shared" si="0"/>
        <v>660</v>
      </c>
      <c r="J19" s="22" t="s">
        <v>275</v>
      </c>
      <c r="K19" s="22" t="s">
        <v>34</v>
      </c>
      <c r="L19" s="22" t="s">
        <v>276</v>
      </c>
      <c r="M19" s="22"/>
      <c r="N19" s="22"/>
      <c r="O19" s="22"/>
      <c r="P19" s="22"/>
      <c r="Q19" s="22">
        <v>1</v>
      </c>
    </row>
    <row r="20" spans="1:18" customFormat="1" x14ac:dyDescent="0.25">
      <c r="A20" s="22" t="s">
        <v>29</v>
      </c>
      <c r="B20" s="22" t="s">
        <v>30</v>
      </c>
      <c r="C20" s="22" t="s">
        <v>323</v>
      </c>
      <c r="D20" s="22"/>
      <c r="E20" s="22" t="s">
        <v>324</v>
      </c>
      <c r="F20" s="22" t="s">
        <v>39</v>
      </c>
      <c r="G20" s="23">
        <v>0</v>
      </c>
      <c r="H20" s="23">
        <v>35</v>
      </c>
      <c r="I20" s="18">
        <f t="shared" si="0"/>
        <v>-35</v>
      </c>
      <c r="J20" s="22" t="s">
        <v>275</v>
      </c>
      <c r="K20" s="22" t="s">
        <v>34</v>
      </c>
      <c r="L20" s="22" t="s">
        <v>276</v>
      </c>
      <c r="M20" s="22"/>
      <c r="N20" s="22"/>
      <c r="O20" s="22"/>
      <c r="P20" s="22"/>
      <c r="Q20" s="22">
        <v>1</v>
      </c>
      <c r="R20" s="24">
        <f>H20</f>
        <v>35</v>
      </c>
    </row>
    <row r="21" spans="1:18" s="27" customFormat="1" x14ac:dyDescent="0.25">
      <c r="A21" s="25"/>
      <c r="B21" s="25" t="s">
        <v>30</v>
      </c>
      <c r="C21" s="25" t="s">
        <v>325</v>
      </c>
      <c r="D21" s="25" t="s">
        <v>326</v>
      </c>
      <c r="E21" s="25" t="s">
        <v>327</v>
      </c>
      <c r="F21" s="26">
        <v>2</v>
      </c>
      <c r="G21" s="26">
        <v>120</v>
      </c>
      <c r="H21" s="26">
        <v>60</v>
      </c>
      <c r="I21" s="26">
        <f t="shared" si="0"/>
        <v>60</v>
      </c>
      <c r="J21" s="25" t="s">
        <v>34</v>
      </c>
      <c r="K21" s="25" t="s">
        <v>34</v>
      </c>
      <c r="L21" s="25" t="s">
        <v>276</v>
      </c>
      <c r="M21" s="25" t="s">
        <v>328</v>
      </c>
      <c r="N21" s="25"/>
      <c r="O21" s="25"/>
      <c r="P21" s="25"/>
      <c r="Q21" s="25">
        <v>1</v>
      </c>
    </row>
    <row r="22" spans="1:18" s="27" customFormat="1" x14ac:dyDescent="0.25">
      <c r="A22" s="25"/>
      <c r="B22" s="25" t="s">
        <v>30</v>
      </c>
      <c r="C22" s="25" t="s">
        <v>325</v>
      </c>
      <c r="D22" s="25" t="s">
        <v>329</v>
      </c>
      <c r="E22" s="25" t="s">
        <v>327</v>
      </c>
      <c r="F22" s="26">
        <v>2</v>
      </c>
      <c r="G22" s="26">
        <v>0</v>
      </c>
      <c r="H22" s="26">
        <v>0</v>
      </c>
      <c r="I22" s="26">
        <f t="shared" si="0"/>
        <v>0</v>
      </c>
      <c r="J22" s="25" t="s">
        <v>34</v>
      </c>
      <c r="K22" s="25" t="s">
        <v>34</v>
      </c>
      <c r="L22" s="25" t="s">
        <v>276</v>
      </c>
      <c r="M22" s="25" t="s">
        <v>328</v>
      </c>
      <c r="N22" s="25"/>
      <c r="O22" s="25"/>
      <c r="P22" s="25"/>
      <c r="Q22" s="25">
        <v>1</v>
      </c>
      <c r="R22" s="31">
        <f>H22</f>
        <v>0</v>
      </c>
    </row>
    <row r="23" spans="1:18" customFormat="1" x14ac:dyDescent="0.25">
      <c r="A23" s="22"/>
      <c r="B23" s="22" t="s">
        <v>30</v>
      </c>
      <c r="C23" s="22" t="s">
        <v>330</v>
      </c>
      <c r="D23" s="22" t="s">
        <v>331</v>
      </c>
      <c r="E23" s="22" t="s">
        <v>332</v>
      </c>
      <c r="F23" s="23">
        <v>2</v>
      </c>
      <c r="G23" s="23">
        <v>1150</v>
      </c>
      <c r="H23" s="23">
        <v>30</v>
      </c>
      <c r="I23" s="18">
        <f t="shared" si="0"/>
        <v>1120</v>
      </c>
      <c r="J23" s="22" t="s">
        <v>34</v>
      </c>
      <c r="K23" s="22" t="s">
        <v>34</v>
      </c>
      <c r="L23" s="22" t="s">
        <v>276</v>
      </c>
      <c r="M23" s="22"/>
      <c r="N23" s="22"/>
      <c r="O23" s="22"/>
      <c r="P23" s="22"/>
      <c r="Q23" s="22">
        <v>1</v>
      </c>
    </row>
    <row r="24" spans="1:18" customFormat="1" x14ac:dyDescent="0.25">
      <c r="A24" s="22"/>
      <c r="B24" s="22" t="s">
        <v>30</v>
      </c>
      <c r="C24" s="22" t="s">
        <v>333</v>
      </c>
      <c r="D24" s="22" t="s">
        <v>334</v>
      </c>
      <c r="E24" s="22" t="s">
        <v>335</v>
      </c>
      <c r="F24" s="22" t="s">
        <v>98</v>
      </c>
      <c r="G24" s="23">
        <v>820</v>
      </c>
      <c r="H24" s="23">
        <v>20</v>
      </c>
      <c r="I24" s="18">
        <f t="shared" si="0"/>
        <v>800</v>
      </c>
      <c r="J24" s="22" t="s">
        <v>34</v>
      </c>
      <c r="K24" s="22" t="s">
        <v>34</v>
      </c>
      <c r="L24" s="22" t="s">
        <v>276</v>
      </c>
      <c r="M24" s="22"/>
      <c r="N24" s="22"/>
      <c r="O24" s="22"/>
      <c r="P24" s="22"/>
      <c r="Q24" s="22">
        <v>1</v>
      </c>
    </row>
    <row r="25" spans="1:18" customFormat="1" x14ac:dyDescent="0.25">
      <c r="A25" s="22"/>
      <c r="B25" s="22" t="s">
        <v>30</v>
      </c>
      <c r="C25" s="22" t="s">
        <v>336</v>
      </c>
      <c r="D25" s="22" t="s">
        <v>337</v>
      </c>
      <c r="E25" s="22" t="s">
        <v>338</v>
      </c>
      <c r="F25" s="23">
        <v>2</v>
      </c>
      <c r="G25" s="23">
        <v>2120</v>
      </c>
      <c r="H25" s="23">
        <v>35</v>
      </c>
      <c r="I25" s="18">
        <f t="shared" si="0"/>
        <v>2085</v>
      </c>
      <c r="J25" s="22" t="s">
        <v>34</v>
      </c>
      <c r="K25" s="22" t="s">
        <v>34</v>
      </c>
      <c r="L25" s="22" t="s">
        <v>276</v>
      </c>
      <c r="M25" s="28" t="s">
        <v>180</v>
      </c>
      <c r="N25" s="22"/>
      <c r="O25" s="22"/>
      <c r="P25" s="22"/>
      <c r="Q25" s="22">
        <v>1</v>
      </c>
      <c r="R25" s="24">
        <f>H25</f>
        <v>35</v>
      </c>
    </row>
    <row r="26" spans="1:18" customFormat="1" x14ac:dyDescent="0.25">
      <c r="A26" s="22"/>
      <c r="B26" s="22" t="s">
        <v>30</v>
      </c>
      <c r="C26" s="22" t="s">
        <v>339</v>
      </c>
      <c r="D26" s="22" t="s">
        <v>340</v>
      </c>
      <c r="E26" s="22" t="s">
        <v>341</v>
      </c>
      <c r="F26" s="23">
        <v>12</v>
      </c>
      <c r="G26" s="23">
        <v>0</v>
      </c>
      <c r="H26" s="23">
        <v>30</v>
      </c>
      <c r="I26" s="18">
        <f t="shared" si="0"/>
        <v>-30</v>
      </c>
      <c r="J26" s="22" t="s">
        <v>34</v>
      </c>
      <c r="K26" s="22" t="s">
        <v>34</v>
      </c>
      <c r="L26" s="22" t="s">
        <v>276</v>
      </c>
      <c r="M26" s="22"/>
      <c r="N26" s="22"/>
      <c r="O26" s="22"/>
      <c r="P26" s="22"/>
      <c r="Q26" s="22">
        <v>1</v>
      </c>
      <c r="R26" s="24">
        <f>H26</f>
        <v>30</v>
      </c>
    </row>
    <row r="27" spans="1:18" s="27" customFormat="1" x14ac:dyDescent="0.25">
      <c r="A27" s="25"/>
      <c r="B27" s="25" t="s">
        <v>30</v>
      </c>
      <c r="C27" s="25" t="s">
        <v>342</v>
      </c>
      <c r="D27" s="25" t="s">
        <v>343</v>
      </c>
      <c r="E27" s="25" t="s">
        <v>344</v>
      </c>
      <c r="F27" s="25" t="s">
        <v>98</v>
      </c>
      <c r="G27" s="26">
        <v>0</v>
      </c>
      <c r="H27" s="26">
        <v>20</v>
      </c>
      <c r="I27" s="26">
        <f t="shared" si="0"/>
        <v>-20</v>
      </c>
      <c r="J27" s="25" t="s">
        <v>34</v>
      </c>
      <c r="K27" s="25" t="s">
        <v>34</v>
      </c>
      <c r="L27" s="25" t="s">
        <v>276</v>
      </c>
      <c r="M27" s="25" t="s">
        <v>139</v>
      </c>
      <c r="N27" s="25"/>
      <c r="O27" s="25"/>
      <c r="P27" s="25"/>
      <c r="Q27" s="25">
        <v>1</v>
      </c>
      <c r="R27" s="31">
        <f>H27</f>
        <v>20</v>
      </c>
    </row>
    <row r="28" spans="1:18" customFormat="1" x14ac:dyDescent="0.25">
      <c r="A28" s="22"/>
      <c r="B28" s="22" t="s">
        <v>30</v>
      </c>
      <c r="C28" s="22" t="s">
        <v>345</v>
      </c>
      <c r="D28" s="22" t="s">
        <v>346</v>
      </c>
      <c r="E28" s="22" t="s">
        <v>347</v>
      </c>
      <c r="F28" s="23">
        <v>12</v>
      </c>
      <c r="G28" s="23">
        <v>0</v>
      </c>
      <c r="H28" s="23">
        <v>30</v>
      </c>
      <c r="I28" s="18">
        <f t="shared" si="0"/>
        <v>-30</v>
      </c>
      <c r="J28" s="22" t="s">
        <v>34</v>
      </c>
      <c r="K28" s="22" t="s">
        <v>34</v>
      </c>
      <c r="L28" s="22" t="s">
        <v>276</v>
      </c>
      <c r="M28" s="22"/>
      <c r="N28" s="22"/>
      <c r="O28" s="22"/>
      <c r="P28" s="22"/>
      <c r="Q28" s="22">
        <v>1</v>
      </c>
      <c r="R28" s="24">
        <f>H28</f>
        <v>30</v>
      </c>
    </row>
    <row r="29" spans="1:18" customFormat="1" x14ac:dyDescent="0.25">
      <c r="A29" s="22"/>
      <c r="B29" s="22" t="s">
        <v>30</v>
      </c>
      <c r="C29" s="22" t="s">
        <v>348</v>
      </c>
      <c r="D29" s="22" t="s">
        <v>349</v>
      </c>
      <c r="E29" s="22" t="s">
        <v>350</v>
      </c>
      <c r="F29" s="22" t="s">
        <v>90</v>
      </c>
      <c r="G29" s="23">
        <v>1165</v>
      </c>
      <c r="H29" s="23">
        <v>25</v>
      </c>
      <c r="I29" s="18">
        <f t="shared" si="0"/>
        <v>1140</v>
      </c>
      <c r="J29" s="22" t="s">
        <v>34</v>
      </c>
      <c r="K29" s="22" t="s">
        <v>34</v>
      </c>
      <c r="L29" s="22" t="s">
        <v>276</v>
      </c>
      <c r="M29" s="22"/>
      <c r="N29" s="22"/>
      <c r="O29" s="22"/>
      <c r="P29" s="22"/>
      <c r="Q29" s="22">
        <v>1</v>
      </c>
    </row>
    <row r="30" spans="1:18" customFormat="1" x14ac:dyDescent="0.25">
      <c r="A30" s="22" t="s">
        <v>29</v>
      </c>
      <c r="B30" s="22" t="s">
        <v>30</v>
      </c>
      <c r="C30" s="22" t="s">
        <v>351</v>
      </c>
      <c r="D30" s="22"/>
      <c r="E30" s="22" t="s">
        <v>352</v>
      </c>
      <c r="F30" s="22" t="s">
        <v>90</v>
      </c>
      <c r="G30" s="23">
        <v>30</v>
      </c>
      <c r="H30" s="23">
        <v>30</v>
      </c>
      <c r="I30" s="18">
        <f t="shared" si="0"/>
        <v>0</v>
      </c>
      <c r="J30" s="22" t="s">
        <v>34</v>
      </c>
      <c r="K30" s="22" t="s">
        <v>34</v>
      </c>
      <c r="L30" s="22" t="s">
        <v>276</v>
      </c>
      <c r="M30" s="22"/>
      <c r="N30" s="22"/>
      <c r="O30" s="22"/>
      <c r="P30" s="22"/>
      <c r="Q30" s="22">
        <v>1</v>
      </c>
    </row>
    <row r="31" spans="1:18" customFormat="1" x14ac:dyDescent="0.25">
      <c r="A31" s="22" t="s">
        <v>29</v>
      </c>
      <c r="B31" s="22" t="s">
        <v>30</v>
      </c>
      <c r="C31" s="22" t="s">
        <v>353</v>
      </c>
      <c r="D31" s="22"/>
      <c r="E31" s="22" t="s">
        <v>354</v>
      </c>
      <c r="F31" s="22" t="s">
        <v>90</v>
      </c>
      <c r="G31" s="23">
        <v>30</v>
      </c>
      <c r="H31" s="23">
        <v>30</v>
      </c>
      <c r="I31" s="18">
        <f t="shared" si="0"/>
        <v>0</v>
      </c>
      <c r="J31" s="22" t="s">
        <v>34</v>
      </c>
      <c r="K31" s="22" t="s">
        <v>34</v>
      </c>
      <c r="L31" s="22" t="s">
        <v>276</v>
      </c>
      <c r="M31" s="22"/>
      <c r="N31" s="22"/>
      <c r="O31" s="22"/>
      <c r="P31" s="22"/>
      <c r="Q31" s="22">
        <v>1</v>
      </c>
    </row>
    <row r="32" spans="1:18" customFormat="1" x14ac:dyDescent="0.25">
      <c r="A32" s="22" t="s">
        <v>29</v>
      </c>
      <c r="B32" s="22" t="s">
        <v>30</v>
      </c>
      <c r="C32" s="22" t="s">
        <v>355</v>
      </c>
      <c r="D32" s="22"/>
      <c r="E32" s="22" t="s">
        <v>356</v>
      </c>
      <c r="F32" s="22" t="s">
        <v>108</v>
      </c>
      <c r="G32" s="23">
        <v>40</v>
      </c>
      <c r="H32" s="23">
        <v>40</v>
      </c>
      <c r="I32" s="18">
        <f t="shared" si="0"/>
        <v>0</v>
      </c>
      <c r="J32" s="22" t="s">
        <v>34</v>
      </c>
      <c r="K32" s="22" t="s">
        <v>34</v>
      </c>
      <c r="L32" s="22" t="s">
        <v>276</v>
      </c>
      <c r="M32" s="22"/>
      <c r="N32" s="22"/>
      <c r="O32" s="22"/>
      <c r="P32" s="22"/>
      <c r="Q32" s="22">
        <v>1</v>
      </c>
    </row>
    <row r="33" spans="1:18" customFormat="1" x14ac:dyDescent="0.25">
      <c r="A33" s="22"/>
      <c r="B33" s="22" t="s">
        <v>30</v>
      </c>
      <c r="C33" s="22" t="s">
        <v>357</v>
      </c>
      <c r="D33" s="22" t="s">
        <v>358</v>
      </c>
      <c r="E33" s="22" t="s">
        <v>359</v>
      </c>
      <c r="F33" s="23">
        <v>3</v>
      </c>
      <c r="G33" s="23">
        <v>775</v>
      </c>
      <c r="H33" s="23">
        <v>25</v>
      </c>
      <c r="I33" s="18">
        <f t="shared" si="0"/>
        <v>750</v>
      </c>
      <c r="J33" s="22" t="s">
        <v>148</v>
      </c>
      <c r="K33" s="22" t="s">
        <v>34</v>
      </c>
      <c r="L33" s="22" t="s">
        <v>276</v>
      </c>
      <c r="M33" s="28" t="s">
        <v>360</v>
      </c>
      <c r="N33" s="22"/>
      <c r="O33" s="22"/>
      <c r="P33" s="22"/>
      <c r="Q33" s="22">
        <v>1</v>
      </c>
    </row>
    <row r="34" spans="1:18" customFormat="1" x14ac:dyDescent="0.25">
      <c r="A34" s="22"/>
      <c r="B34" s="22" t="s">
        <v>30</v>
      </c>
      <c r="C34" s="22" t="s">
        <v>357</v>
      </c>
      <c r="D34" s="22" t="s">
        <v>361</v>
      </c>
      <c r="E34" s="22" t="s">
        <v>359</v>
      </c>
      <c r="F34" s="23">
        <v>3</v>
      </c>
      <c r="G34" s="23">
        <v>790</v>
      </c>
      <c r="H34" s="23">
        <v>0</v>
      </c>
      <c r="I34" s="18">
        <f t="shared" si="0"/>
        <v>790</v>
      </c>
      <c r="J34" s="22" t="s">
        <v>148</v>
      </c>
      <c r="K34" s="22" t="s">
        <v>34</v>
      </c>
      <c r="L34" s="22" t="s">
        <v>276</v>
      </c>
      <c r="M34" s="28" t="s">
        <v>360</v>
      </c>
      <c r="N34" s="22"/>
      <c r="O34" s="22"/>
      <c r="P34" s="22"/>
      <c r="Q34" s="22">
        <v>1</v>
      </c>
    </row>
    <row r="35" spans="1:18" customFormat="1" x14ac:dyDescent="0.25">
      <c r="A35" s="22"/>
      <c r="B35" s="22" t="s">
        <v>30</v>
      </c>
      <c r="C35" s="22" t="s">
        <v>362</v>
      </c>
      <c r="D35" s="22" t="s">
        <v>363</v>
      </c>
      <c r="E35" s="22" t="s">
        <v>364</v>
      </c>
      <c r="F35" s="23">
        <v>4</v>
      </c>
      <c r="G35" s="23">
        <v>535</v>
      </c>
      <c r="H35" s="23">
        <v>25</v>
      </c>
      <c r="I35" s="18">
        <f t="shared" si="0"/>
        <v>510</v>
      </c>
      <c r="J35" s="22" t="s">
        <v>148</v>
      </c>
      <c r="K35" s="22" t="s">
        <v>34</v>
      </c>
      <c r="L35" s="22" t="s">
        <v>276</v>
      </c>
      <c r="M35" s="22"/>
      <c r="N35" s="22"/>
      <c r="O35" s="22"/>
      <c r="P35" s="22"/>
      <c r="Q35" s="22">
        <v>1</v>
      </c>
    </row>
    <row r="36" spans="1:18" customFormat="1" x14ac:dyDescent="0.25">
      <c r="A36" s="22"/>
      <c r="B36" s="22" t="s">
        <v>30</v>
      </c>
      <c r="C36" s="22" t="s">
        <v>365</v>
      </c>
      <c r="D36" s="22" t="s">
        <v>366</v>
      </c>
      <c r="E36" s="22" t="s">
        <v>367</v>
      </c>
      <c r="F36" s="23">
        <v>7</v>
      </c>
      <c r="G36" s="23">
        <v>820</v>
      </c>
      <c r="H36" s="23">
        <v>30</v>
      </c>
      <c r="I36" s="18">
        <f t="shared" si="0"/>
        <v>790</v>
      </c>
      <c r="J36" s="22" t="s">
        <v>148</v>
      </c>
      <c r="K36" s="22" t="s">
        <v>34</v>
      </c>
      <c r="L36" s="22" t="s">
        <v>276</v>
      </c>
      <c r="M36" s="22"/>
      <c r="N36" s="22"/>
      <c r="O36" s="22"/>
      <c r="P36" s="22"/>
      <c r="Q36" s="22">
        <v>1</v>
      </c>
    </row>
    <row r="37" spans="1:18" customFormat="1" x14ac:dyDescent="0.25">
      <c r="A37" s="22"/>
      <c r="B37" s="22" t="s">
        <v>30</v>
      </c>
      <c r="C37" s="22" t="s">
        <v>368</v>
      </c>
      <c r="D37" s="22" t="s">
        <v>369</v>
      </c>
      <c r="E37" s="22" t="s">
        <v>370</v>
      </c>
      <c r="F37" s="23">
        <v>10</v>
      </c>
      <c r="G37" s="23">
        <v>2620</v>
      </c>
      <c r="H37" s="23">
        <v>30</v>
      </c>
      <c r="I37" s="18">
        <f t="shared" si="0"/>
        <v>2590</v>
      </c>
      <c r="J37" s="22" t="s">
        <v>148</v>
      </c>
      <c r="K37" s="22" t="s">
        <v>34</v>
      </c>
      <c r="L37" s="22" t="s">
        <v>276</v>
      </c>
      <c r="M37" s="28" t="s">
        <v>180</v>
      </c>
      <c r="N37" s="22"/>
      <c r="O37" s="22"/>
      <c r="P37" s="22"/>
      <c r="Q37" s="22">
        <v>1</v>
      </c>
      <c r="R37" s="24">
        <f>H37</f>
        <v>30</v>
      </c>
    </row>
    <row r="38" spans="1:18" customFormat="1" x14ac:dyDescent="0.25">
      <c r="A38" s="22"/>
      <c r="B38" s="22" t="s">
        <v>30</v>
      </c>
      <c r="C38" s="22" t="s">
        <v>371</v>
      </c>
      <c r="D38" s="22" t="s">
        <v>372</v>
      </c>
      <c r="E38" s="22" t="s">
        <v>373</v>
      </c>
      <c r="F38" s="22" t="s">
        <v>152</v>
      </c>
      <c r="G38" s="23">
        <v>705</v>
      </c>
      <c r="H38" s="23">
        <v>35</v>
      </c>
      <c r="I38" s="18">
        <f t="shared" si="0"/>
        <v>670</v>
      </c>
      <c r="J38" s="22" t="s">
        <v>148</v>
      </c>
      <c r="K38" s="22" t="s">
        <v>34</v>
      </c>
      <c r="L38" s="22" t="s">
        <v>276</v>
      </c>
      <c r="M38" s="22"/>
      <c r="N38" s="22"/>
      <c r="O38" s="22"/>
      <c r="P38" s="22"/>
      <c r="Q38" s="22">
        <v>1</v>
      </c>
    </row>
    <row r="39" spans="1:18" customFormat="1" x14ac:dyDescent="0.25">
      <c r="A39" s="22"/>
      <c r="B39" s="22" t="s">
        <v>30</v>
      </c>
      <c r="C39" s="22" t="s">
        <v>374</v>
      </c>
      <c r="D39" s="22" t="s">
        <v>375</v>
      </c>
      <c r="E39" s="22" t="s">
        <v>376</v>
      </c>
      <c r="F39" s="22" t="s">
        <v>108</v>
      </c>
      <c r="G39" s="23">
        <v>2860</v>
      </c>
      <c r="H39" s="23">
        <v>30</v>
      </c>
      <c r="I39" s="18">
        <f t="shared" si="0"/>
        <v>2830</v>
      </c>
      <c r="J39" s="22" t="s">
        <v>148</v>
      </c>
      <c r="K39" s="22" t="s">
        <v>34</v>
      </c>
      <c r="L39" s="22" t="s">
        <v>276</v>
      </c>
      <c r="M39" s="28" t="s">
        <v>180</v>
      </c>
      <c r="N39" s="22"/>
      <c r="O39" s="22"/>
      <c r="P39" s="22"/>
      <c r="Q39" s="22">
        <v>1</v>
      </c>
      <c r="R39" s="24">
        <f>H39</f>
        <v>30</v>
      </c>
    </row>
    <row r="40" spans="1:18" customFormat="1" x14ac:dyDescent="0.25">
      <c r="A40" s="22"/>
      <c r="B40" s="22" t="s">
        <v>30</v>
      </c>
      <c r="C40" s="22" t="s">
        <v>377</v>
      </c>
      <c r="D40" s="22" t="s">
        <v>378</v>
      </c>
      <c r="E40" s="22" t="s">
        <v>379</v>
      </c>
      <c r="F40" s="23">
        <v>4</v>
      </c>
      <c r="G40" s="23">
        <v>1165</v>
      </c>
      <c r="H40" s="23">
        <v>25</v>
      </c>
      <c r="I40" s="18">
        <f t="shared" si="0"/>
        <v>1140</v>
      </c>
      <c r="J40" s="22" t="s">
        <v>148</v>
      </c>
      <c r="K40" s="22" t="s">
        <v>34</v>
      </c>
      <c r="L40" s="22" t="s">
        <v>276</v>
      </c>
      <c r="M40" s="22"/>
      <c r="N40" s="22"/>
      <c r="O40" s="22"/>
      <c r="P40" s="22"/>
      <c r="Q40" s="22">
        <v>1</v>
      </c>
    </row>
    <row r="41" spans="1:18" customFormat="1" x14ac:dyDescent="0.25">
      <c r="A41" s="22"/>
      <c r="B41" s="22" t="s">
        <v>30</v>
      </c>
      <c r="C41" s="22" t="s">
        <v>380</v>
      </c>
      <c r="D41" s="22" t="s">
        <v>381</v>
      </c>
      <c r="E41" s="22" t="s">
        <v>382</v>
      </c>
      <c r="F41" s="23">
        <v>7</v>
      </c>
      <c r="G41" s="23">
        <v>1350</v>
      </c>
      <c r="H41" s="23">
        <v>30</v>
      </c>
      <c r="I41" s="18">
        <f t="shared" si="0"/>
        <v>1320</v>
      </c>
      <c r="J41" s="22" t="s">
        <v>148</v>
      </c>
      <c r="K41" s="22" t="s">
        <v>34</v>
      </c>
      <c r="L41" s="22" t="s">
        <v>276</v>
      </c>
      <c r="M41" s="22"/>
      <c r="N41" s="22"/>
      <c r="O41" s="22"/>
      <c r="P41" s="22"/>
      <c r="Q41" s="22">
        <v>1</v>
      </c>
    </row>
    <row r="42" spans="1:18" customFormat="1" x14ac:dyDescent="0.25">
      <c r="A42" s="22"/>
      <c r="B42" s="22" t="s">
        <v>30</v>
      </c>
      <c r="C42" s="22" t="s">
        <v>383</v>
      </c>
      <c r="D42" s="22" t="s">
        <v>384</v>
      </c>
      <c r="E42" s="22" t="s">
        <v>385</v>
      </c>
      <c r="F42" s="22" t="s">
        <v>147</v>
      </c>
      <c r="G42" s="23">
        <v>675</v>
      </c>
      <c r="H42" s="23">
        <v>35</v>
      </c>
      <c r="I42" s="18">
        <f t="shared" si="0"/>
        <v>640</v>
      </c>
      <c r="J42" s="22" t="s">
        <v>148</v>
      </c>
      <c r="K42" s="22" t="s">
        <v>34</v>
      </c>
      <c r="L42" s="22" t="s">
        <v>276</v>
      </c>
      <c r="M42" s="22"/>
      <c r="N42" s="22"/>
      <c r="O42" s="22"/>
      <c r="P42" s="22"/>
      <c r="Q42" s="22">
        <v>1</v>
      </c>
    </row>
    <row r="43" spans="1:18" customFormat="1" x14ac:dyDescent="0.25">
      <c r="A43" s="22"/>
      <c r="B43" s="22" t="s">
        <v>30</v>
      </c>
      <c r="C43" s="22" t="s">
        <v>386</v>
      </c>
      <c r="D43" s="22" t="s">
        <v>387</v>
      </c>
      <c r="E43" s="22" t="s">
        <v>388</v>
      </c>
      <c r="F43" s="22" t="s">
        <v>389</v>
      </c>
      <c r="G43" s="23">
        <v>660</v>
      </c>
      <c r="H43" s="23">
        <v>20</v>
      </c>
      <c r="I43" s="18">
        <f t="shared" si="0"/>
        <v>640</v>
      </c>
      <c r="J43" s="22" t="s">
        <v>148</v>
      </c>
      <c r="K43" s="22" t="s">
        <v>34</v>
      </c>
      <c r="L43" s="22" t="s">
        <v>276</v>
      </c>
      <c r="M43" s="22"/>
      <c r="N43" s="22"/>
      <c r="O43" s="22"/>
      <c r="P43" s="22"/>
      <c r="Q43" s="22">
        <v>1</v>
      </c>
    </row>
    <row r="44" spans="1:18" customFormat="1" x14ac:dyDescent="0.25">
      <c r="A44" s="22"/>
      <c r="B44" s="22" t="s">
        <v>30</v>
      </c>
      <c r="C44" s="22" t="s">
        <v>390</v>
      </c>
      <c r="D44" s="22" t="s">
        <v>391</v>
      </c>
      <c r="E44" s="22" t="s">
        <v>392</v>
      </c>
      <c r="F44" s="23">
        <v>8</v>
      </c>
      <c r="G44" s="23">
        <v>1430</v>
      </c>
      <c r="H44" s="23">
        <v>30</v>
      </c>
      <c r="I44" s="18">
        <f t="shared" si="0"/>
        <v>1400</v>
      </c>
      <c r="J44" s="22" t="s">
        <v>148</v>
      </c>
      <c r="K44" s="22" t="s">
        <v>34</v>
      </c>
      <c r="L44" s="22" t="s">
        <v>276</v>
      </c>
      <c r="M44" s="22"/>
      <c r="N44" s="22"/>
      <c r="O44" s="22"/>
      <c r="P44" s="22"/>
      <c r="Q44" s="22">
        <v>1</v>
      </c>
    </row>
    <row r="45" spans="1:18" customFormat="1" x14ac:dyDescent="0.25">
      <c r="A45" s="22"/>
      <c r="B45" s="22" t="s">
        <v>30</v>
      </c>
      <c r="C45" s="22" t="s">
        <v>144</v>
      </c>
      <c r="D45" s="22" t="s">
        <v>393</v>
      </c>
      <c r="E45" s="22" t="s">
        <v>394</v>
      </c>
      <c r="F45" s="22" t="s">
        <v>147</v>
      </c>
      <c r="G45" s="23">
        <v>855</v>
      </c>
      <c r="H45" s="23">
        <v>35</v>
      </c>
      <c r="I45" s="18">
        <f t="shared" si="0"/>
        <v>820</v>
      </c>
      <c r="J45" s="22" t="s">
        <v>148</v>
      </c>
      <c r="K45" s="22" t="s">
        <v>34</v>
      </c>
      <c r="L45" s="22" t="s">
        <v>276</v>
      </c>
      <c r="M45" s="22"/>
      <c r="N45" s="22"/>
      <c r="O45" s="22"/>
      <c r="P45" s="22"/>
      <c r="Q45" s="22">
        <v>1</v>
      </c>
    </row>
    <row r="46" spans="1:18" customFormat="1" x14ac:dyDescent="0.25">
      <c r="A46" s="22"/>
      <c r="B46" s="22" t="s">
        <v>30</v>
      </c>
      <c r="C46" s="22" t="s">
        <v>395</v>
      </c>
      <c r="D46" s="22" t="s">
        <v>396</v>
      </c>
      <c r="E46" s="22" t="s">
        <v>397</v>
      </c>
      <c r="F46" s="23">
        <v>5</v>
      </c>
      <c r="G46" s="23">
        <v>2120</v>
      </c>
      <c r="H46" s="23">
        <v>30</v>
      </c>
      <c r="I46" s="18">
        <f t="shared" si="0"/>
        <v>2090</v>
      </c>
      <c r="J46" s="22" t="s">
        <v>148</v>
      </c>
      <c r="K46" s="22" t="s">
        <v>34</v>
      </c>
      <c r="L46" s="22" t="s">
        <v>276</v>
      </c>
      <c r="M46" s="28" t="s">
        <v>180</v>
      </c>
      <c r="N46" s="22"/>
      <c r="O46" s="22"/>
      <c r="P46" s="22"/>
      <c r="Q46" s="22">
        <v>1</v>
      </c>
      <c r="R46" s="24">
        <f>H46</f>
        <v>30</v>
      </c>
    </row>
    <row r="47" spans="1:18" customFormat="1" x14ac:dyDescent="0.25">
      <c r="A47" s="22"/>
      <c r="B47" s="22" t="s">
        <v>30</v>
      </c>
      <c r="C47" s="22" t="s">
        <v>398</v>
      </c>
      <c r="D47" s="22" t="s">
        <v>399</v>
      </c>
      <c r="E47" s="22" t="s">
        <v>400</v>
      </c>
      <c r="F47" s="23">
        <v>7</v>
      </c>
      <c r="G47" s="23">
        <v>0</v>
      </c>
      <c r="H47" s="23">
        <v>30</v>
      </c>
      <c r="I47" s="18">
        <f t="shared" si="0"/>
        <v>-30</v>
      </c>
      <c r="J47" s="22" t="s">
        <v>148</v>
      </c>
      <c r="K47" s="22" t="s">
        <v>34</v>
      </c>
      <c r="L47" s="22" t="s">
        <v>276</v>
      </c>
      <c r="M47" s="22"/>
      <c r="N47" s="22"/>
      <c r="O47" s="22"/>
      <c r="P47" s="22"/>
      <c r="Q47" s="22">
        <v>1</v>
      </c>
      <c r="R47" s="24">
        <f>H47</f>
        <v>30</v>
      </c>
    </row>
    <row r="48" spans="1:18" customFormat="1" x14ac:dyDescent="0.25">
      <c r="A48" s="22"/>
      <c r="B48" s="22" t="s">
        <v>30</v>
      </c>
      <c r="C48" s="22" t="s">
        <v>401</v>
      </c>
      <c r="D48" s="22" t="s">
        <v>402</v>
      </c>
      <c r="E48" s="22" t="s">
        <v>403</v>
      </c>
      <c r="F48" s="23">
        <v>1</v>
      </c>
      <c r="G48" s="23">
        <v>535</v>
      </c>
      <c r="H48" s="23">
        <v>25</v>
      </c>
      <c r="I48" s="18">
        <f t="shared" si="0"/>
        <v>510</v>
      </c>
      <c r="J48" s="22" t="s">
        <v>148</v>
      </c>
      <c r="K48" s="22" t="s">
        <v>34</v>
      </c>
      <c r="L48" s="22" t="s">
        <v>276</v>
      </c>
      <c r="M48" s="22"/>
      <c r="N48" s="22"/>
      <c r="O48" s="22"/>
      <c r="P48" s="22"/>
      <c r="Q48" s="22">
        <v>1</v>
      </c>
    </row>
    <row r="49" spans="1:18" customFormat="1" x14ac:dyDescent="0.25">
      <c r="A49" s="22"/>
      <c r="B49" s="22" t="s">
        <v>30</v>
      </c>
      <c r="C49" s="22" t="s">
        <v>404</v>
      </c>
      <c r="D49" s="22" t="s">
        <v>405</v>
      </c>
      <c r="E49" s="22" t="s">
        <v>406</v>
      </c>
      <c r="F49" s="23">
        <v>1</v>
      </c>
      <c r="G49" s="23">
        <v>-180</v>
      </c>
      <c r="H49" s="23">
        <v>25</v>
      </c>
      <c r="I49" s="18">
        <f t="shared" si="0"/>
        <v>-205</v>
      </c>
      <c r="J49" s="22" t="s">
        <v>148</v>
      </c>
      <c r="K49" s="22" t="s">
        <v>34</v>
      </c>
      <c r="L49" s="22" t="s">
        <v>276</v>
      </c>
      <c r="M49" s="28" t="s">
        <v>407</v>
      </c>
      <c r="N49" s="22"/>
      <c r="O49" s="22"/>
      <c r="P49" s="22"/>
      <c r="Q49" s="22">
        <v>1</v>
      </c>
    </row>
    <row r="50" spans="1:18" customFormat="1" x14ac:dyDescent="0.25">
      <c r="A50" s="22"/>
      <c r="B50" s="22" t="s">
        <v>30</v>
      </c>
      <c r="C50" s="22" t="s">
        <v>408</v>
      </c>
      <c r="D50" s="22" t="s">
        <v>409</v>
      </c>
      <c r="E50" s="22" t="s">
        <v>410</v>
      </c>
      <c r="F50" s="23">
        <v>4</v>
      </c>
      <c r="G50" s="23">
        <v>1355</v>
      </c>
      <c r="H50" s="23">
        <v>25</v>
      </c>
      <c r="I50" s="18">
        <f t="shared" si="0"/>
        <v>1330</v>
      </c>
      <c r="J50" s="22" t="s">
        <v>148</v>
      </c>
      <c r="K50" s="22" t="s">
        <v>34</v>
      </c>
      <c r="L50" s="22" t="s">
        <v>276</v>
      </c>
      <c r="M50" s="22"/>
      <c r="N50" s="22"/>
      <c r="O50" s="22"/>
      <c r="P50" s="22"/>
      <c r="Q50" s="22">
        <v>1</v>
      </c>
    </row>
    <row r="51" spans="1:18" customFormat="1" x14ac:dyDescent="0.25">
      <c r="A51" s="22"/>
      <c r="B51" s="22" t="s">
        <v>30</v>
      </c>
      <c r="C51" s="22" t="s">
        <v>411</v>
      </c>
      <c r="D51" s="22" t="s">
        <v>412</v>
      </c>
      <c r="E51" s="22" t="s">
        <v>413</v>
      </c>
      <c r="F51" s="23">
        <v>7</v>
      </c>
      <c r="G51" s="23">
        <v>1890</v>
      </c>
      <c r="H51" s="23">
        <v>30</v>
      </c>
      <c r="I51" s="18">
        <f t="shared" si="0"/>
        <v>1860</v>
      </c>
      <c r="J51" s="22" t="s">
        <v>148</v>
      </c>
      <c r="K51" s="22" t="s">
        <v>34</v>
      </c>
      <c r="L51" s="22" t="s">
        <v>276</v>
      </c>
      <c r="M51" s="22"/>
      <c r="N51" s="22"/>
      <c r="O51" s="22"/>
      <c r="P51" s="22"/>
      <c r="Q51" s="22">
        <v>1</v>
      </c>
    </row>
    <row r="52" spans="1:18" s="27" customFormat="1" x14ac:dyDescent="0.25">
      <c r="A52" s="25"/>
      <c r="B52" s="25" t="s">
        <v>30</v>
      </c>
      <c r="C52" s="25" t="s">
        <v>184</v>
      </c>
      <c r="D52" s="25" t="s">
        <v>414</v>
      </c>
      <c r="E52" s="25" t="s">
        <v>186</v>
      </c>
      <c r="F52" s="26">
        <v>7</v>
      </c>
      <c r="G52" s="26">
        <v>30</v>
      </c>
      <c r="H52" s="26">
        <v>30</v>
      </c>
      <c r="I52" s="26">
        <f t="shared" si="0"/>
        <v>0</v>
      </c>
      <c r="J52" s="25" t="s">
        <v>148</v>
      </c>
      <c r="K52" s="25" t="s">
        <v>34</v>
      </c>
      <c r="L52" s="25" t="s">
        <v>276</v>
      </c>
      <c r="M52" s="25" t="s">
        <v>139</v>
      </c>
      <c r="N52" s="25"/>
      <c r="O52" s="25"/>
      <c r="P52" s="25"/>
      <c r="Q52" s="25">
        <v>1</v>
      </c>
    </row>
    <row r="53" spans="1:18" customFormat="1" x14ac:dyDescent="0.25">
      <c r="A53" s="22"/>
      <c r="B53" s="22" t="s">
        <v>30</v>
      </c>
      <c r="C53" s="22" t="s">
        <v>415</v>
      </c>
      <c r="D53" s="22" t="s">
        <v>416</v>
      </c>
      <c r="E53" s="22" t="s">
        <v>417</v>
      </c>
      <c r="F53" s="23">
        <v>10</v>
      </c>
      <c r="G53" s="23">
        <v>25</v>
      </c>
      <c r="H53" s="23">
        <v>25</v>
      </c>
      <c r="I53" s="18">
        <f t="shared" si="0"/>
        <v>0</v>
      </c>
      <c r="J53" s="22" t="s">
        <v>148</v>
      </c>
      <c r="K53" s="22" t="s">
        <v>34</v>
      </c>
      <c r="L53" s="22" t="s">
        <v>276</v>
      </c>
      <c r="M53" s="22"/>
      <c r="N53" s="22"/>
      <c r="O53" s="22"/>
      <c r="P53" s="22"/>
      <c r="Q53" s="22">
        <v>1</v>
      </c>
    </row>
    <row r="54" spans="1:18" customFormat="1" x14ac:dyDescent="0.25">
      <c r="A54" s="22" t="s">
        <v>29</v>
      </c>
      <c r="B54" s="22" t="s">
        <v>30</v>
      </c>
      <c r="C54" s="22" t="s">
        <v>418</v>
      </c>
      <c r="D54" s="22"/>
      <c r="E54" s="22" t="s">
        <v>419</v>
      </c>
      <c r="F54" s="22" t="s">
        <v>108</v>
      </c>
      <c r="G54" s="23">
        <v>750</v>
      </c>
      <c r="H54" s="23">
        <v>30</v>
      </c>
      <c r="I54" s="18">
        <f t="shared" si="0"/>
        <v>720</v>
      </c>
      <c r="J54" s="22" t="s">
        <v>148</v>
      </c>
      <c r="K54" s="22" t="s">
        <v>34</v>
      </c>
      <c r="L54" s="22" t="s">
        <v>276</v>
      </c>
      <c r="M54" s="22"/>
      <c r="N54" s="22"/>
      <c r="O54" s="22"/>
      <c r="P54" s="22"/>
      <c r="Q54" s="22">
        <v>1</v>
      </c>
    </row>
    <row r="55" spans="1:18" customFormat="1" x14ac:dyDescent="0.25">
      <c r="A55" s="22" t="s">
        <v>29</v>
      </c>
      <c r="B55" s="22" t="s">
        <v>30</v>
      </c>
      <c r="C55" s="22" t="s">
        <v>420</v>
      </c>
      <c r="D55" s="22"/>
      <c r="E55" s="22" t="s">
        <v>421</v>
      </c>
      <c r="F55" s="23">
        <v>1</v>
      </c>
      <c r="G55" s="23">
        <v>0</v>
      </c>
      <c r="H55" s="23">
        <v>30</v>
      </c>
      <c r="I55" s="18">
        <f t="shared" si="0"/>
        <v>-30</v>
      </c>
      <c r="J55" s="22" t="s">
        <v>148</v>
      </c>
      <c r="K55" s="22" t="s">
        <v>34</v>
      </c>
      <c r="L55" s="22" t="s">
        <v>276</v>
      </c>
      <c r="M55" s="22"/>
      <c r="N55" s="22"/>
      <c r="O55" s="22"/>
      <c r="P55" s="22"/>
      <c r="Q55" s="22">
        <v>1</v>
      </c>
      <c r="R55" s="24">
        <f>H55</f>
        <v>30</v>
      </c>
    </row>
    <row r="57" spans="1:18" x14ac:dyDescent="0.25">
      <c r="G57" s="1">
        <f t="shared" ref="G57:R57" si="1">SUBTOTAL(9,G3:G56)</f>
        <v>39405</v>
      </c>
      <c r="H57" s="1">
        <f t="shared" si="1"/>
        <v>1515</v>
      </c>
      <c r="I57" s="1">
        <f t="shared" si="1"/>
        <v>37890</v>
      </c>
      <c r="J57" s="1">
        <f t="shared" si="1"/>
        <v>0</v>
      </c>
      <c r="K57" s="1">
        <f t="shared" si="1"/>
        <v>0</v>
      </c>
      <c r="L57" s="1">
        <f t="shared" si="1"/>
        <v>0</v>
      </c>
      <c r="M57" s="1">
        <f t="shared" si="1"/>
        <v>0</v>
      </c>
      <c r="N57" s="1">
        <f t="shared" si="1"/>
        <v>0</v>
      </c>
      <c r="O57" s="1">
        <f t="shared" si="1"/>
        <v>0</v>
      </c>
      <c r="P57" s="1">
        <f t="shared" si="1"/>
        <v>0</v>
      </c>
      <c r="Q57" s="1">
        <f t="shared" si="1"/>
        <v>53</v>
      </c>
      <c r="R57" s="1">
        <f t="shared" si="1"/>
        <v>355</v>
      </c>
    </row>
    <row r="58" spans="1:18" x14ac:dyDescent="0.25">
      <c r="I58" s="1">
        <v>-30</v>
      </c>
      <c r="J58" s="1" t="s">
        <v>422</v>
      </c>
    </row>
    <row r="61" spans="1:18" ht="20.25" customHeight="1" x14ac:dyDescent="0.3">
      <c r="H61" s="4" t="s">
        <v>268</v>
      </c>
      <c r="I61" s="5" t="s">
        <v>15</v>
      </c>
      <c r="J61" s="6" t="s">
        <v>16</v>
      </c>
    </row>
    <row r="62" spans="1:18" ht="15.75" customHeight="1" x14ac:dyDescent="0.25">
      <c r="H62" s="7" t="s">
        <v>17</v>
      </c>
      <c r="I62" s="8">
        <f>SUM(I56:I60)</f>
        <v>37860</v>
      </c>
      <c r="J62" s="8">
        <f>Q57</f>
        <v>53</v>
      </c>
    </row>
    <row r="63" spans="1:18" x14ac:dyDescent="0.25">
      <c r="H63" s="9" t="s">
        <v>18</v>
      </c>
      <c r="I63" s="10">
        <f>R57</f>
        <v>355</v>
      </c>
      <c r="J63" s="11"/>
    </row>
    <row r="64" spans="1:18" x14ac:dyDescent="0.25">
      <c r="H64" s="9" t="s">
        <v>19</v>
      </c>
      <c r="I64" s="10">
        <f>S56</f>
        <v>0</v>
      </c>
      <c r="J64" s="11"/>
    </row>
    <row r="65" spans="1:12" x14ac:dyDescent="0.25">
      <c r="H65" s="9" t="s">
        <v>20</v>
      </c>
      <c r="I65" s="10">
        <f>T56</f>
        <v>0</v>
      </c>
      <c r="J65" s="11"/>
    </row>
    <row r="66" spans="1:12" x14ac:dyDescent="0.25">
      <c r="H66" s="9" t="s">
        <v>21</v>
      </c>
      <c r="I66" s="10">
        <f>U56</f>
        <v>0</v>
      </c>
      <c r="J66" s="11"/>
    </row>
    <row r="67" spans="1:12" ht="15.75" customHeight="1" x14ac:dyDescent="0.25">
      <c r="H67" s="12" t="s">
        <v>22</v>
      </c>
      <c r="I67" s="13"/>
      <c r="J67" s="13"/>
    </row>
    <row r="68" spans="1:12" ht="15.75" customHeight="1" x14ac:dyDescent="0.25">
      <c r="H68" s="14" t="s">
        <v>23</v>
      </c>
      <c r="I68" s="13"/>
      <c r="J68" s="13"/>
    </row>
    <row r="69" spans="1:12" ht="21" customHeight="1" x14ac:dyDescent="0.35">
      <c r="H69" s="15" t="s">
        <v>24</v>
      </c>
      <c r="I69" s="16">
        <f>SUM(I62:I68)</f>
        <v>38215</v>
      </c>
      <c r="J69" s="16">
        <f>SUM(J62:J66)</f>
        <v>53</v>
      </c>
    </row>
    <row r="71" spans="1:12" x14ac:dyDescent="0.25">
      <c r="A71" s="1" t="s">
        <v>422</v>
      </c>
    </row>
    <row r="72" spans="1:12" x14ac:dyDescent="0.25">
      <c r="A72" s="33" t="s">
        <v>30</v>
      </c>
      <c r="B72" s="33"/>
      <c r="C72" s="33"/>
      <c r="D72" s="33" t="s">
        <v>423</v>
      </c>
      <c r="E72" s="33">
        <v>7</v>
      </c>
      <c r="F72" s="33">
        <v>30</v>
      </c>
      <c r="G72" s="33">
        <v>0</v>
      </c>
      <c r="H72" s="33">
        <f>F72-G72</f>
        <v>30</v>
      </c>
      <c r="I72" s="33"/>
      <c r="J72" s="33" t="s">
        <v>34</v>
      </c>
      <c r="K72" s="32"/>
      <c r="L72" s="32"/>
    </row>
  </sheetData>
  <autoFilter ref="A2:P55" xr:uid="{00000000-0009-0000-0000-000006000000}">
    <sortState xmlns:xlrd2="http://schemas.microsoft.com/office/spreadsheetml/2017/richdata2" ref="A3:P55">
      <sortCondition ref="J2:J55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F0EA-33EE-4115-8B9A-CA76170BD361}">
  <dimension ref="A1:R48"/>
  <sheetViews>
    <sheetView topLeftCell="A26" zoomScale="82" zoomScaleNormal="80" workbookViewId="0">
      <selection activeCell="L22" sqref="L22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270</v>
      </c>
      <c r="C1" s="1" t="s">
        <v>271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22"/>
      <c r="B3" s="22" t="s">
        <v>30</v>
      </c>
      <c r="C3" s="22" t="s">
        <v>426</v>
      </c>
      <c r="D3" s="22" t="s">
        <v>427</v>
      </c>
      <c r="E3" s="22" t="s">
        <v>428</v>
      </c>
      <c r="F3" s="22" t="s">
        <v>59</v>
      </c>
      <c r="G3" s="23">
        <v>0</v>
      </c>
      <c r="H3" s="23">
        <v>25</v>
      </c>
      <c r="I3" s="23">
        <f t="shared" ref="I3:I34" si="0">G3-H3</f>
        <v>-25</v>
      </c>
      <c r="J3" s="22" t="s">
        <v>429</v>
      </c>
      <c r="K3" s="22" t="s">
        <v>34</v>
      </c>
      <c r="L3" s="22" t="s">
        <v>430</v>
      </c>
      <c r="M3" s="22"/>
      <c r="N3" s="22"/>
      <c r="O3" s="22"/>
      <c r="P3" s="22"/>
      <c r="Q3" s="22">
        <v>1</v>
      </c>
      <c r="R3" s="24">
        <f>H3</f>
        <v>25</v>
      </c>
    </row>
    <row r="4" spans="1:18" customFormat="1" x14ac:dyDescent="0.25">
      <c r="A4" s="22"/>
      <c r="B4" s="22" t="s">
        <v>30</v>
      </c>
      <c r="C4" s="22" t="s">
        <v>431</v>
      </c>
      <c r="D4" s="22" t="s">
        <v>432</v>
      </c>
      <c r="E4" s="22" t="s">
        <v>433</v>
      </c>
      <c r="F4" s="23">
        <v>12</v>
      </c>
      <c r="G4" s="23">
        <v>400</v>
      </c>
      <c r="H4" s="23">
        <v>30</v>
      </c>
      <c r="I4" s="23">
        <f t="shared" si="0"/>
        <v>370</v>
      </c>
      <c r="J4" s="22" t="s">
        <v>429</v>
      </c>
      <c r="K4" s="22" t="s">
        <v>34</v>
      </c>
      <c r="L4" s="22" t="s">
        <v>430</v>
      </c>
      <c r="M4" s="22"/>
      <c r="N4" s="22"/>
      <c r="O4" s="22"/>
      <c r="P4" s="22"/>
      <c r="Q4" s="22">
        <v>1</v>
      </c>
    </row>
    <row r="5" spans="1:18" customFormat="1" x14ac:dyDescent="0.25">
      <c r="A5" s="22"/>
      <c r="B5" s="22" t="s">
        <v>30</v>
      </c>
      <c r="C5" s="22" t="s">
        <v>434</v>
      </c>
      <c r="D5" s="22" t="s">
        <v>435</v>
      </c>
      <c r="E5" s="22" t="s">
        <v>436</v>
      </c>
      <c r="F5" s="23">
        <v>8</v>
      </c>
      <c r="G5" s="23">
        <v>1060</v>
      </c>
      <c r="H5" s="23">
        <v>30</v>
      </c>
      <c r="I5" s="23">
        <f t="shared" si="0"/>
        <v>1030</v>
      </c>
      <c r="J5" s="22" t="s">
        <v>429</v>
      </c>
      <c r="K5" s="22" t="s">
        <v>34</v>
      </c>
      <c r="L5" s="22" t="s">
        <v>430</v>
      </c>
      <c r="M5" s="22"/>
      <c r="N5" s="22"/>
      <c r="O5" s="22"/>
      <c r="P5" s="22"/>
      <c r="Q5" s="22">
        <v>1</v>
      </c>
    </row>
    <row r="6" spans="1:18" customFormat="1" x14ac:dyDescent="0.25">
      <c r="A6" s="22"/>
      <c r="B6" s="22" t="s">
        <v>30</v>
      </c>
      <c r="C6" s="22" t="s">
        <v>437</v>
      </c>
      <c r="D6" s="22" t="s">
        <v>438</v>
      </c>
      <c r="E6" s="22" t="s">
        <v>439</v>
      </c>
      <c r="F6" s="22" t="s">
        <v>39</v>
      </c>
      <c r="G6" s="23">
        <v>820</v>
      </c>
      <c r="H6" s="23">
        <v>30</v>
      </c>
      <c r="I6" s="23">
        <f t="shared" si="0"/>
        <v>790</v>
      </c>
      <c r="J6" s="22" t="s">
        <v>429</v>
      </c>
      <c r="K6" s="22" t="s">
        <v>34</v>
      </c>
      <c r="L6" s="22" t="s">
        <v>430</v>
      </c>
      <c r="M6" s="22"/>
      <c r="N6" s="22"/>
      <c r="O6" s="22"/>
      <c r="P6" s="22"/>
      <c r="Q6" s="22">
        <v>1</v>
      </c>
    </row>
    <row r="7" spans="1:18" customFormat="1" x14ac:dyDescent="0.25">
      <c r="A7" s="22"/>
      <c r="B7" s="22" t="s">
        <v>30</v>
      </c>
      <c r="C7" s="22" t="s">
        <v>440</v>
      </c>
      <c r="D7" s="22" t="s">
        <v>441</v>
      </c>
      <c r="E7" s="22" t="s">
        <v>442</v>
      </c>
      <c r="F7" s="23">
        <v>6</v>
      </c>
      <c r="G7" s="23">
        <v>0</v>
      </c>
      <c r="H7" s="23">
        <v>25</v>
      </c>
      <c r="I7" s="23">
        <f t="shared" si="0"/>
        <v>-25</v>
      </c>
      <c r="J7" s="22" t="s">
        <v>429</v>
      </c>
      <c r="K7" s="22" t="s">
        <v>34</v>
      </c>
      <c r="L7" s="22" t="s">
        <v>430</v>
      </c>
      <c r="M7" s="22"/>
      <c r="N7" s="22"/>
      <c r="O7" s="22"/>
      <c r="P7" s="22"/>
      <c r="Q7" s="22">
        <v>1</v>
      </c>
      <c r="R7" s="24">
        <f>H7</f>
        <v>25</v>
      </c>
    </row>
    <row r="8" spans="1:18" customFormat="1" x14ac:dyDescent="0.25">
      <c r="A8" s="22"/>
      <c r="B8" s="22" t="s">
        <v>30</v>
      </c>
      <c r="C8" s="22" t="s">
        <v>443</v>
      </c>
      <c r="D8" s="22" t="s">
        <v>444</v>
      </c>
      <c r="E8" s="22" t="s">
        <v>445</v>
      </c>
      <c r="F8" s="22" t="s">
        <v>39</v>
      </c>
      <c r="G8" s="23">
        <v>890</v>
      </c>
      <c r="H8" s="23">
        <v>30</v>
      </c>
      <c r="I8" s="23">
        <f t="shared" si="0"/>
        <v>860</v>
      </c>
      <c r="J8" s="22" t="s">
        <v>429</v>
      </c>
      <c r="K8" s="22" t="s">
        <v>34</v>
      </c>
      <c r="L8" s="22" t="s">
        <v>430</v>
      </c>
      <c r="M8" s="22"/>
      <c r="N8" s="22"/>
      <c r="O8" s="22"/>
      <c r="P8" s="22"/>
      <c r="Q8" s="22">
        <v>1</v>
      </c>
    </row>
    <row r="9" spans="1:18" customFormat="1" x14ac:dyDescent="0.25">
      <c r="A9" s="22"/>
      <c r="B9" s="22" t="s">
        <v>30</v>
      </c>
      <c r="C9" s="22" t="s">
        <v>446</v>
      </c>
      <c r="D9" s="22" t="s">
        <v>447</v>
      </c>
      <c r="E9" s="22" t="s">
        <v>448</v>
      </c>
      <c r="F9" s="22" t="s">
        <v>39</v>
      </c>
      <c r="G9" s="23">
        <v>850</v>
      </c>
      <c r="H9" s="23">
        <v>30</v>
      </c>
      <c r="I9" s="23">
        <f t="shared" si="0"/>
        <v>820</v>
      </c>
      <c r="J9" s="22" t="s">
        <v>429</v>
      </c>
      <c r="K9" s="22" t="s">
        <v>34</v>
      </c>
      <c r="L9" s="22" t="s">
        <v>430</v>
      </c>
      <c r="M9" s="22"/>
      <c r="N9" s="22"/>
      <c r="O9" s="22"/>
      <c r="P9" s="22"/>
      <c r="Q9" s="22">
        <v>1</v>
      </c>
    </row>
    <row r="10" spans="1:18" customFormat="1" x14ac:dyDescent="0.25">
      <c r="A10" s="22"/>
      <c r="B10" s="22" t="s">
        <v>30</v>
      </c>
      <c r="C10" s="22" t="s">
        <v>449</v>
      </c>
      <c r="D10" s="22" t="s">
        <v>450</v>
      </c>
      <c r="E10" s="22" t="s">
        <v>451</v>
      </c>
      <c r="F10" s="22" t="s">
        <v>152</v>
      </c>
      <c r="G10" s="23">
        <v>855</v>
      </c>
      <c r="H10" s="23">
        <v>35</v>
      </c>
      <c r="I10" s="23">
        <f t="shared" si="0"/>
        <v>820</v>
      </c>
      <c r="J10" s="22" t="s">
        <v>429</v>
      </c>
      <c r="K10" s="22" t="s">
        <v>34</v>
      </c>
      <c r="L10" s="22" t="s">
        <v>430</v>
      </c>
      <c r="M10" s="22"/>
      <c r="N10" s="22"/>
      <c r="O10" s="22"/>
      <c r="P10" s="22"/>
      <c r="Q10" s="22">
        <v>1</v>
      </c>
    </row>
    <row r="11" spans="1:18" customFormat="1" x14ac:dyDescent="0.25">
      <c r="A11" s="22"/>
      <c r="B11" s="22" t="s">
        <v>30</v>
      </c>
      <c r="C11" s="22" t="s">
        <v>452</v>
      </c>
      <c r="D11" s="22" t="s">
        <v>453</v>
      </c>
      <c r="E11" s="22" t="s">
        <v>454</v>
      </c>
      <c r="F11" s="22" t="s">
        <v>59</v>
      </c>
      <c r="G11" s="23">
        <v>1175</v>
      </c>
      <c r="H11" s="23">
        <v>25</v>
      </c>
      <c r="I11" s="23">
        <f t="shared" si="0"/>
        <v>1150</v>
      </c>
      <c r="J11" s="22" t="s">
        <v>429</v>
      </c>
      <c r="K11" s="22" t="s">
        <v>34</v>
      </c>
      <c r="L11" s="22" t="s">
        <v>430</v>
      </c>
      <c r="M11" s="22"/>
      <c r="N11" s="22"/>
      <c r="O11" s="22"/>
      <c r="P11" s="22"/>
      <c r="Q11" s="22">
        <v>1</v>
      </c>
    </row>
    <row r="12" spans="1:18" customFormat="1" x14ac:dyDescent="0.25">
      <c r="A12" s="22"/>
      <c r="B12" s="22" t="s">
        <v>30</v>
      </c>
      <c r="C12" s="22" t="s">
        <v>455</v>
      </c>
      <c r="D12" s="22" t="s">
        <v>456</v>
      </c>
      <c r="E12" s="22" t="s">
        <v>457</v>
      </c>
      <c r="F12" s="22" t="s">
        <v>108</v>
      </c>
      <c r="G12" s="23">
        <v>715</v>
      </c>
      <c r="H12" s="23">
        <v>25</v>
      </c>
      <c r="I12" s="23">
        <f t="shared" si="0"/>
        <v>690</v>
      </c>
      <c r="J12" s="22" t="s">
        <v>429</v>
      </c>
      <c r="K12" s="22" t="s">
        <v>34</v>
      </c>
      <c r="L12" s="22" t="s">
        <v>430</v>
      </c>
      <c r="M12" s="22"/>
      <c r="N12" s="22"/>
      <c r="O12" s="22"/>
      <c r="P12" s="22"/>
      <c r="Q12" s="22">
        <v>1</v>
      </c>
    </row>
    <row r="13" spans="1:18" customFormat="1" x14ac:dyDescent="0.25">
      <c r="A13" s="22"/>
      <c r="B13" s="22" t="s">
        <v>30</v>
      </c>
      <c r="C13" s="22" t="s">
        <v>458</v>
      </c>
      <c r="D13" s="22" t="s">
        <v>459</v>
      </c>
      <c r="E13" s="22" t="s">
        <v>460</v>
      </c>
      <c r="F13" s="23">
        <v>12</v>
      </c>
      <c r="G13" s="23">
        <v>1150</v>
      </c>
      <c r="H13" s="23">
        <v>30</v>
      </c>
      <c r="I13" s="23">
        <f t="shared" si="0"/>
        <v>1120</v>
      </c>
      <c r="J13" s="22" t="s">
        <v>429</v>
      </c>
      <c r="K13" s="22" t="s">
        <v>34</v>
      </c>
      <c r="L13" s="22" t="s">
        <v>430</v>
      </c>
      <c r="M13" s="22"/>
      <c r="N13" s="22"/>
      <c r="O13" s="22"/>
      <c r="P13" s="22"/>
      <c r="Q13" s="22">
        <v>1</v>
      </c>
    </row>
    <row r="14" spans="1:18" customFormat="1" x14ac:dyDescent="0.25">
      <c r="A14" s="22"/>
      <c r="B14" s="22" t="s">
        <v>30</v>
      </c>
      <c r="C14" s="22" t="s">
        <v>461</v>
      </c>
      <c r="D14" s="22" t="s">
        <v>462</v>
      </c>
      <c r="E14" s="22" t="s">
        <v>463</v>
      </c>
      <c r="F14" s="22" t="s">
        <v>59</v>
      </c>
      <c r="G14" s="23">
        <v>0</v>
      </c>
      <c r="H14" s="23">
        <v>25</v>
      </c>
      <c r="I14" s="23">
        <f t="shared" si="0"/>
        <v>-25</v>
      </c>
      <c r="J14" s="22" t="s">
        <v>429</v>
      </c>
      <c r="K14" s="22" t="s">
        <v>34</v>
      </c>
      <c r="L14" s="22" t="s">
        <v>430</v>
      </c>
      <c r="M14" s="22"/>
      <c r="N14" s="22"/>
      <c r="O14" s="22"/>
      <c r="P14" s="22"/>
      <c r="Q14" s="22">
        <v>1</v>
      </c>
      <c r="R14" s="24">
        <f>H14</f>
        <v>25</v>
      </c>
    </row>
    <row r="15" spans="1:18" s="27" customFormat="1" x14ac:dyDescent="0.25">
      <c r="A15" s="25" t="s">
        <v>29</v>
      </c>
      <c r="B15" s="25" t="s">
        <v>30</v>
      </c>
      <c r="C15" s="25" t="s">
        <v>464</v>
      </c>
      <c r="D15" s="25"/>
      <c r="E15" s="25" t="s">
        <v>465</v>
      </c>
      <c r="F15" s="25" t="s">
        <v>98</v>
      </c>
      <c r="G15" s="26">
        <v>0</v>
      </c>
      <c r="H15" s="26">
        <v>25</v>
      </c>
      <c r="I15" s="26">
        <f t="shared" si="0"/>
        <v>-25</v>
      </c>
      <c r="J15" s="25" t="s">
        <v>34</v>
      </c>
      <c r="K15" s="25" t="s">
        <v>34</v>
      </c>
      <c r="L15" s="25" t="s">
        <v>430</v>
      </c>
      <c r="M15" s="25" t="s">
        <v>139</v>
      </c>
      <c r="N15" s="25"/>
      <c r="O15" s="25"/>
      <c r="P15" s="25"/>
      <c r="Q15" s="25">
        <v>1</v>
      </c>
      <c r="R15" s="31">
        <f>H15</f>
        <v>25</v>
      </c>
    </row>
    <row r="16" spans="1:18" customFormat="1" x14ac:dyDescent="0.25">
      <c r="A16" s="22"/>
      <c r="B16" s="22" t="s">
        <v>30</v>
      </c>
      <c r="C16" s="22" t="s">
        <v>466</v>
      </c>
      <c r="D16" s="22" t="s">
        <v>467</v>
      </c>
      <c r="E16" s="22" t="s">
        <v>468</v>
      </c>
      <c r="F16" s="22" t="s">
        <v>108</v>
      </c>
      <c r="G16" s="23">
        <v>985</v>
      </c>
      <c r="H16" s="23">
        <v>25</v>
      </c>
      <c r="I16" s="23">
        <f t="shared" si="0"/>
        <v>960</v>
      </c>
      <c r="J16" s="22" t="s">
        <v>34</v>
      </c>
      <c r="K16" s="22" t="s">
        <v>34</v>
      </c>
      <c r="L16" s="22" t="s">
        <v>430</v>
      </c>
      <c r="M16" s="22"/>
      <c r="N16" s="22"/>
      <c r="O16" s="22"/>
      <c r="P16" s="22"/>
      <c r="Q16" s="22">
        <v>1</v>
      </c>
    </row>
    <row r="17" spans="1:18" customFormat="1" x14ac:dyDescent="0.25">
      <c r="A17" s="22"/>
      <c r="B17" s="22" t="s">
        <v>30</v>
      </c>
      <c r="C17" s="22" t="s">
        <v>469</v>
      </c>
      <c r="D17" s="22" t="s">
        <v>470</v>
      </c>
      <c r="E17" s="22" t="s">
        <v>471</v>
      </c>
      <c r="F17" s="22" t="s">
        <v>94</v>
      </c>
      <c r="G17" s="23">
        <v>560</v>
      </c>
      <c r="H17" s="23">
        <v>30</v>
      </c>
      <c r="I17" s="23">
        <f t="shared" si="0"/>
        <v>530</v>
      </c>
      <c r="J17" s="22" t="s">
        <v>34</v>
      </c>
      <c r="K17" s="22" t="s">
        <v>34</v>
      </c>
      <c r="L17" s="22" t="s">
        <v>430</v>
      </c>
      <c r="M17" s="22"/>
      <c r="N17" s="22"/>
      <c r="O17" s="22"/>
      <c r="P17" s="22"/>
      <c r="Q17" s="22">
        <v>1</v>
      </c>
    </row>
    <row r="18" spans="1:18" customFormat="1" x14ac:dyDescent="0.25">
      <c r="A18" s="22"/>
      <c r="B18" s="22" t="s">
        <v>30</v>
      </c>
      <c r="C18" s="22" t="s">
        <v>472</v>
      </c>
      <c r="D18" s="22" t="s">
        <v>473</v>
      </c>
      <c r="E18" s="22" t="s">
        <v>474</v>
      </c>
      <c r="F18" s="22" t="s">
        <v>108</v>
      </c>
      <c r="G18" s="23">
        <v>815</v>
      </c>
      <c r="H18" s="23">
        <v>25</v>
      </c>
      <c r="I18" s="23">
        <f t="shared" si="0"/>
        <v>790</v>
      </c>
      <c r="J18" s="22" t="s">
        <v>34</v>
      </c>
      <c r="K18" s="22" t="s">
        <v>34</v>
      </c>
      <c r="L18" s="22" t="s">
        <v>430</v>
      </c>
      <c r="M18" s="22"/>
      <c r="N18" s="22"/>
      <c r="O18" s="22"/>
      <c r="P18" s="22"/>
      <c r="Q18" s="22">
        <v>1</v>
      </c>
    </row>
    <row r="19" spans="1:18" customFormat="1" x14ac:dyDescent="0.25">
      <c r="A19" s="22"/>
      <c r="B19" s="22" t="s">
        <v>30</v>
      </c>
      <c r="C19" s="22" t="s">
        <v>475</v>
      </c>
      <c r="D19" s="22" t="s">
        <v>476</v>
      </c>
      <c r="E19" s="22" t="s">
        <v>477</v>
      </c>
      <c r="F19" s="22" t="s">
        <v>98</v>
      </c>
      <c r="G19" s="23">
        <v>1140</v>
      </c>
      <c r="H19" s="23">
        <v>20</v>
      </c>
      <c r="I19" s="23">
        <f t="shared" si="0"/>
        <v>1120</v>
      </c>
      <c r="J19" s="22" t="s">
        <v>34</v>
      </c>
      <c r="K19" s="22" t="s">
        <v>34</v>
      </c>
      <c r="L19" s="22" t="s">
        <v>430</v>
      </c>
      <c r="M19" s="22"/>
      <c r="N19" s="22"/>
      <c r="O19" s="22"/>
      <c r="P19" s="22"/>
      <c r="Q19" s="22">
        <v>1</v>
      </c>
    </row>
    <row r="20" spans="1:18" customFormat="1" x14ac:dyDescent="0.25">
      <c r="A20" s="22"/>
      <c r="B20" s="22" t="s">
        <v>30</v>
      </c>
      <c r="C20" s="22" t="s">
        <v>478</v>
      </c>
      <c r="D20" s="22" t="s">
        <v>479</v>
      </c>
      <c r="E20" s="22" t="s">
        <v>480</v>
      </c>
      <c r="F20" s="22" t="s">
        <v>94</v>
      </c>
      <c r="G20" s="23">
        <v>410</v>
      </c>
      <c r="H20" s="23">
        <v>30</v>
      </c>
      <c r="I20" s="23">
        <f t="shared" si="0"/>
        <v>380</v>
      </c>
      <c r="J20" s="22" t="s">
        <v>34</v>
      </c>
      <c r="K20" s="22" t="s">
        <v>34</v>
      </c>
      <c r="L20" s="22" t="s">
        <v>430</v>
      </c>
      <c r="M20" s="22"/>
      <c r="N20" s="22"/>
      <c r="O20" s="22"/>
      <c r="P20" s="22"/>
      <c r="Q20" s="22">
        <v>1</v>
      </c>
    </row>
    <row r="21" spans="1:18" customFormat="1" x14ac:dyDescent="0.25">
      <c r="A21" s="22"/>
      <c r="B21" s="22" t="s">
        <v>30</v>
      </c>
      <c r="C21" s="22" t="s">
        <v>481</v>
      </c>
      <c r="D21" s="22" t="s">
        <v>482</v>
      </c>
      <c r="E21" s="22" t="s">
        <v>483</v>
      </c>
      <c r="F21" s="22" t="s">
        <v>90</v>
      </c>
      <c r="G21" s="23">
        <v>0</v>
      </c>
      <c r="H21" s="23">
        <v>25</v>
      </c>
      <c r="I21" s="23">
        <f t="shared" si="0"/>
        <v>-25</v>
      </c>
      <c r="J21" s="22" t="s">
        <v>34</v>
      </c>
      <c r="K21" s="22" t="s">
        <v>34</v>
      </c>
      <c r="L21" s="22" t="s">
        <v>430</v>
      </c>
      <c r="M21" s="22"/>
      <c r="N21" s="22"/>
      <c r="O21" s="22"/>
      <c r="P21" s="22"/>
      <c r="Q21" s="22">
        <v>1</v>
      </c>
      <c r="R21" s="24">
        <f>H21</f>
        <v>25</v>
      </c>
    </row>
    <row r="22" spans="1:18" customFormat="1" x14ac:dyDescent="0.25">
      <c r="A22" s="22"/>
      <c r="B22" s="22" t="s">
        <v>30</v>
      </c>
      <c r="C22" s="22" t="s">
        <v>484</v>
      </c>
      <c r="D22" s="22" t="s">
        <v>485</v>
      </c>
      <c r="E22" s="22" t="s">
        <v>486</v>
      </c>
      <c r="F22" s="23">
        <v>12</v>
      </c>
      <c r="G22" s="23">
        <v>0</v>
      </c>
      <c r="H22" s="23">
        <v>30</v>
      </c>
      <c r="I22" s="23">
        <f t="shared" si="0"/>
        <v>-30</v>
      </c>
      <c r="J22" s="22" t="s">
        <v>34</v>
      </c>
      <c r="K22" s="22" t="s">
        <v>34</v>
      </c>
      <c r="L22" s="22" t="s">
        <v>430</v>
      </c>
      <c r="M22" s="22"/>
      <c r="N22" s="22"/>
      <c r="O22" s="22"/>
      <c r="P22" s="22"/>
      <c r="Q22" s="22">
        <v>1</v>
      </c>
      <c r="R22" s="24">
        <f t="shared" ref="R22:R25" si="1">H22</f>
        <v>30</v>
      </c>
    </row>
    <row r="23" spans="1:18" customFormat="1" x14ac:dyDescent="0.25">
      <c r="A23" s="22"/>
      <c r="B23" s="22" t="s">
        <v>30</v>
      </c>
      <c r="C23" s="22" t="s">
        <v>487</v>
      </c>
      <c r="D23" s="22" t="s">
        <v>488</v>
      </c>
      <c r="E23" s="22" t="s">
        <v>489</v>
      </c>
      <c r="F23" s="23">
        <v>12</v>
      </c>
      <c r="G23" s="23">
        <v>0</v>
      </c>
      <c r="H23" s="23">
        <v>30</v>
      </c>
      <c r="I23" s="23">
        <f t="shared" si="0"/>
        <v>-30</v>
      </c>
      <c r="J23" s="22" t="s">
        <v>34</v>
      </c>
      <c r="K23" s="22" t="s">
        <v>34</v>
      </c>
      <c r="L23" s="22" t="s">
        <v>430</v>
      </c>
      <c r="M23" s="22"/>
      <c r="N23" s="22"/>
      <c r="O23" s="22"/>
      <c r="P23" s="22"/>
      <c r="Q23" s="22">
        <v>1</v>
      </c>
      <c r="R23" s="24">
        <f t="shared" si="1"/>
        <v>30</v>
      </c>
    </row>
    <row r="24" spans="1:18" customFormat="1" x14ac:dyDescent="0.25">
      <c r="A24" s="22" t="s">
        <v>29</v>
      </c>
      <c r="B24" s="22" t="s">
        <v>30</v>
      </c>
      <c r="C24" s="22" t="s">
        <v>490</v>
      </c>
      <c r="D24" s="22"/>
      <c r="E24" s="22" t="s">
        <v>491</v>
      </c>
      <c r="F24" s="22" t="s">
        <v>108</v>
      </c>
      <c r="G24" s="23">
        <v>0</v>
      </c>
      <c r="H24" s="23">
        <v>30</v>
      </c>
      <c r="I24" s="23">
        <f t="shared" si="0"/>
        <v>-30</v>
      </c>
      <c r="J24" s="22" t="s">
        <v>148</v>
      </c>
      <c r="K24" s="22" t="s">
        <v>34</v>
      </c>
      <c r="L24" s="22" t="s">
        <v>430</v>
      </c>
      <c r="M24" s="22"/>
      <c r="N24" s="22"/>
      <c r="O24" s="22"/>
      <c r="P24" s="22"/>
      <c r="Q24" s="22">
        <v>1</v>
      </c>
      <c r="R24" s="24">
        <f t="shared" si="1"/>
        <v>30</v>
      </c>
    </row>
    <row r="25" spans="1:18" customFormat="1" x14ac:dyDescent="0.25">
      <c r="A25" s="22" t="s">
        <v>29</v>
      </c>
      <c r="B25" s="22" t="s">
        <v>30</v>
      </c>
      <c r="C25" s="22" t="s">
        <v>492</v>
      </c>
      <c r="D25" s="22"/>
      <c r="E25" s="22" t="s">
        <v>493</v>
      </c>
      <c r="F25" s="22" t="s">
        <v>108</v>
      </c>
      <c r="G25" s="23">
        <v>0</v>
      </c>
      <c r="H25" s="23">
        <v>30</v>
      </c>
      <c r="I25" s="23">
        <f t="shared" si="0"/>
        <v>-30</v>
      </c>
      <c r="J25" s="22" t="s">
        <v>148</v>
      </c>
      <c r="K25" s="22" t="s">
        <v>34</v>
      </c>
      <c r="L25" s="22" t="s">
        <v>430</v>
      </c>
      <c r="M25" s="22"/>
      <c r="N25" s="22"/>
      <c r="O25" s="22"/>
      <c r="P25" s="22"/>
      <c r="Q25" s="22">
        <v>1</v>
      </c>
      <c r="R25" s="24">
        <f t="shared" si="1"/>
        <v>30</v>
      </c>
    </row>
    <row r="26" spans="1:18" customFormat="1" x14ac:dyDescent="0.25">
      <c r="A26" s="22" t="s">
        <v>29</v>
      </c>
      <c r="B26" s="22" t="s">
        <v>30</v>
      </c>
      <c r="C26" s="22" t="s">
        <v>494</v>
      </c>
      <c r="D26" s="22"/>
      <c r="E26" s="22" t="s">
        <v>495</v>
      </c>
      <c r="F26" s="22" t="s">
        <v>389</v>
      </c>
      <c r="G26" s="23">
        <v>25</v>
      </c>
      <c r="H26" s="23">
        <v>25</v>
      </c>
      <c r="I26" s="23">
        <f t="shared" si="0"/>
        <v>0</v>
      </c>
      <c r="J26" s="22" t="s">
        <v>148</v>
      </c>
      <c r="K26" s="22" t="s">
        <v>34</v>
      </c>
      <c r="L26" s="22" t="s">
        <v>430</v>
      </c>
      <c r="M26" s="22"/>
      <c r="N26" s="22"/>
      <c r="O26" s="22"/>
      <c r="P26" s="22"/>
      <c r="Q26" s="22">
        <v>1</v>
      </c>
    </row>
    <row r="27" spans="1:18" customFormat="1" x14ac:dyDescent="0.25">
      <c r="A27" s="22"/>
      <c r="B27" s="22" t="s">
        <v>30</v>
      </c>
      <c r="C27" s="22" t="s">
        <v>496</v>
      </c>
      <c r="D27" s="22" t="s">
        <v>497</v>
      </c>
      <c r="E27" s="22" t="s">
        <v>498</v>
      </c>
      <c r="F27" s="22" t="s">
        <v>389</v>
      </c>
      <c r="G27" s="23">
        <v>4860</v>
      </c>
      <c r="H27" s="23">
        <v>30</v>
      </c>
      <c r="I27" s="23">
        <f t="shared" si="0"/>
        <v>4830</v>
      </c>
      <c r="J27" s="22" t="s">
        <v>148</v>
      </c>
      <c r="K27" s="22" t="s">
        <v>34</v>
      </c>
      <c r="L27" s="22" t="s">
        <v>430</v>
      </c>
      <c r="M27" s="28" t="s">
        <v>180</v>
      </c>
      <c r="N27" s="22"/>
      <c r="O27" s="22"/>
      <c r="P27" s="22"/>
      <c r="Q27" s="22">
        <v>1</v>
      </c>
      <c r="R27" s="24">
        <f>H27</f>
        <v>30</v>
      </c>
    </row>
    <row r="28" spans="1:18" customFormat="1" x14ac:dyDescent="0.25">
      <c r="A28" s="22"/>
      <c r="B28" s="22" t="s">
        <v>30</v>
      </c>
      <c r="C28" s="22" t="s">
        <v>499</v>
      </c>
      <c r="D28" s="22" t="s">
        <v>500</v>
      </c>
      <c r="E28" s="22" t="s">
        <v>501</v>
      </c>
      <c r="F28" s="23">
        <v>1</v>
      </c>
      <c r="G28" s="23">
        <v>0</v>
      </c>
      <c r="H28" s="23">
        <v>25</v>
      </c>
      <c r="I28" s="23">
        <f t="shared" si="0"/>
        <v>-25</v>
      </c>
      <c r="J28" s="22" t="s">
        <v>148</v>
      </c>
      <c r="K28" s="22" t="s">
        <v>34</v>
      </c>
      <c r="L28" s="22" t="s">
        <v>430</v>
      </c>
      <c r="M28" s="22"/>
      <c r="N28" s="22"/>
      <c r="O28" s="22"/>
      <c r="P28" s="22"/>
      <c r="Q28" s="22">
        <v>1</v>
      </c>
      <c r="R28" s="24">
        <f>H28</f>
        <v>25</v>
      </c>
    </row>
    <row r="29" spans="1:18" customFormat="1" x14ac:dyDescent="0.25">
      <c r="A29" s="22"/>
      <c r="B29" s="22" t="s">
        <v>30</v>
      </c>
      <c r="C29" s="22" t="s">
        <v>502</v>
      </c>
      <c r="D29" s="22" t="s">
        <v>503</v>
      </c>
      <c r="E29" s="22" t="s">
        <v>504</v>
      </c>
      <c r="F29" s="22" t="s">
        <v>108</v>
      </c>
      <c r="G29" s="23">
        <v>795</v>
      </c>
      <c r="H29" s="23">
        <v>25</v>
      </c>
      <c r="I29" s="23">
        <f t="shared" si="0"/>
        <v>770</v>
      </c>
      <c r="J29" s="22" t="s">
        <v>148</v>
      </c>
      <c r="K29" s="22" t="s">
        <v>34</v>
      </c>
      <c r="L29" s="22" t="s">
        <v>430</v>
      </c>
      <c r="M29" s="22"/>
      <c r="N29" s="22"/>
      <c r="O29" s="22"/>
      <c r="P29" s="22"/>
      <c r="Q29" s="22">
        <v>1</v>
      </c>
    </row>
    <row r="30" spans="1:18" customFormat="1" x14ac:dyDescent="0.25">
      <c r="A30" s="22"/>
      <c r="B30" s="22" t="s">
        <v>30</v>
      </c>
      <c r="C30" s="22" t="s">
        <v>505</v>
      </c>
      <c r="D30" s="22" t="s">
        <v>506</v>
      </c>
      <c r="E30" s="22" t="s">
        <v>507</v>
      </c>
      <c r="F30" s="22" t="s">
        <v>108</v>
      </c>
      <c r="G30" s="23">
        <v>0</v>
      </c>
      <c r="H30" s="23">
        <v>25</v>
      </c>
      <c r="I30" s="23">
        <f t="shared" si="0"/>
        <v>-25</v>
      </c>
      <c r="J30" s="22" t="s">
        <v>148</v>
      </c>
      <c r="K30" s="22" t="s">
        <v>34</v>
      </c>
      <c r="L30" s="22" t="s">
        <v>430</v>
      </c>
      <c r="M30" s="22"/>
      <c r="N30" s="22"/>
      <c r="O30" s="22"/>
      <c r="P30" s="22"/>
      <c r="Q30" s="22">
        <v>1</v>
      </c>
      <c r="R30" s="24">
        <f>H30</f>
        <v>25</v>
      </c>
    </row>
    <row r="31" spans="1:18" s="27" customFormat="1" x14ac:dyDescent="0.25">
      <c r="A31" s="25"/>
      <c r="B31" s="25" t="s">
        <v>30</v>
      </c>
      <c r="C31" s="25" t="s">
        <v>508</v>
      </c>
      <c r="D31" s="25" t="s">
        <v>509</v>
      </c>
      <c r="E31" s="25" t="s">
        <v>510</v>
      </c>
      <c r="F31" s="26">
        <v>5</v>
      </c>
      <c r="G31" s="26">
        <v>25</v>
      </c>
      <c r="H31" s="26">
        <v>25</v>
      </c>
      <c r="I31" s="26">
        <f t="shared" si="0"/>
        <v>0</v>
      </c>
      <c r="J31" s="25" t="s">
        <v>148</v>
      </c>
      <c r="K31" s="25" t="s">
        <v>34</v>
      </c>
      <c r="L31" s="25" t="s">
        <v>430</v>
      </c>
      <c r="M31" s="25" t="s">
        <v>139</v>
      </c>
      <c r="N31" s="25"/>
      <c r="O31" s="25"/>
      <c r="P31" s="25"/>
      <c r="Q31" s="25">
        <v>1</v>
      </c>
    </row>
    <row r="32" spans="1:18" customFormat="1" x14ac:dyDescent="0.25">
      <c r="A32" s="22"/>
      <c r="B32" s="22" t="s">
        <v>30</v>
      </c>
      <c r="C32" s="22" t="s">
        <v>511</v>
      </c>
      <c r="D32" s="22" t="s">
        <v>512</v>
      </c>
      <c r="E32" s="22" t="s">
        <v>513</v>
      </c>
      <c r="F32" s="23">
        <v>1</v>
      </c>
      <c r="G32" s="23">
        <v>1475</v>
      </c>
      <c r="H32" s="23">
        <v>25</v>
      </c>
      <c r="I32" s="23">
        <f t="shared" si="0"/>
        <v>1450</v>
      </c>
      <c r="J32" s="22" t="s">
        <v>148</v>
      </c>
      <c r="K32" s="22" t="s">
        <v>34</v>
      </c>
      <c r="L32" s="22" t="s">
        <v>430</v>
      </c>
      <c r="M32" s="22"/>
      <c r="N32" s="22"/>
      <c r="O32" s="22"/>
      <c r="P32" s="22"/>
      <c r="Q32" s="22">
        <v>1</v>
      </c>
    </row>
    <row r="33" spans="1:18" customFormat="1" x14ac:dyDescent="0.25">
      <c r="A33" s="22"/>
      <c r="B33" s="22" t="s">
        <v>30</v>
      </c>
      <c r="C33" s="22" t="s">
        <v>514</v>
      </c>
      <c r="D33" s="22" t="s">
        <v>515</v>
      </c>
      <c r="E33" s="22" t="s">
        <v>516</v>
      </c>
      <c r="F33" s="23">
        <v>4</v>
      </c>
      <c r="G33" s="23">
        <v>825</v>
      </c>
      <c r="H33" s="23">
        <v>25</v>
      </c>
      <c r="I33" s="23">
        <f t="shared" si="0"/>
        <v>800</v>
      </c>
      <c r="J33" s="22" t="s">
        <v>148</v>
      </c>
      <c r="K33" s="22" t="s">
        <v>34</v>
      </c>
      <c r="L33" s="22" t="s">
        <v>430</v>
      </c>
      <c r="M33" s="22"/>
      <c r="N33" s="22"/>
      <c r="O33" s="22"/>
      <c r="P33" s="22"/>
      <c r="Q33" s="22">
        <v>1</v>
      </c>
    </row>
    <row r="34" spans="1:18" customFormat="1" x14ac:dyDescent="0.25">
      <c r="A34" s="22"/>
      <c r="B34" s="22" t="s">
        <v>30</v>
      </c>
      <c r="C34" s="22" t="s">
        <v>517</v>
      </c>
      <c r="D34" s="22" t="s">
        <v>518</v>
      </c>
      <c r="E34" s="22" t="s">
        <v>519</v>
      </c>
      <c r="F34" s="22" t="s">
        <v>108</v>
      </c>
      <c r="G34" s="23">
        <v>3370</v>
      </c>
      <c r="H34" s="23">
        <v>30</v>
      </c>
      <c r="I34" s="23">
        <f t="shared" si="0"/>
        <v>3340</v>
      </c>
      <c r="J34" s="22" t="s">
        <v>148</v>
      </c>
      <c r="K34" s="22" t="s">
        <v>34</v>
      </c>
      <c r="L34" s="22" t="s">
        <v>430</v>
      </c>
      <c r="M34" s="28" t="s">
        <v>180</v>
      </c>
      <c r="N34" s="22"/>
      <c r="O34" s="22"/>
      <c r="P34" s="22"/>
      <c r="Q34" s="22">
        <v>1</v>
      </c>
      <c r="R34" s="24">
        <f>H34</f>
        <v>30</v>
      </c>
    </row>
    <row r="36" spans="1:18" x14ac:dyDescent="0.25">
      <c r="G36" s="1">
        <f t="shared" ref="G36:R36" si="2">SUBTOTAL(9,G3:G35)</f>
        <v>23200</v>
      </c>
      <c r="H36" s="1">
        <f t="shared" si="2"/>
        <v>875</v>
      </c>
      <c r="I36" s="1">
        <f t="shared" si="2"/>
        <v>22325</v>
      </c>
      <c r="J36" s="1">
        <f t="shared" si="2"/>
        <v>0</v>
      </c>
      <c r="K36" s="1">
        <f t="shared" si="2"/>
        <v>0</v>
      </c>
      <c r="L36" s="1">
        <f t="shared" si="2"/>
        <v>0</v>
      </c>
      <c r="M36" s="1">
        <f t="shared" si="2"/>
        <v>0</v>
      </c>
      <c r="N36" s="1">
        <f t="shared" si="2"/>
        <v>0</v>
      </c>
      <c r="O36" s="1">
        <f t="shared" si="2"/>
        <v>0</v>
      </c>
      <c r="P36" s="1">
        <f t="shared" si="2"/>
        <v>0</v>
      </c>
      <c r="Q36" s="1">
        <f t="shared" si="2"/>
        <v>32</v>
      </c>
      <c r="R36" s="1">
        <f t="shared" si="2"/>
        <v>355</v>
      </c>
    </row>
    <row r="40" spans="1:18" ht="20.25" customHeight="1" x14ac:dyDescent="0.3">
      <c r="H40" s="4" t="s">
        <v>269</v>
      </c>
      <c r="I40" s="5" t="s">
        <v>15</v>
      </c>
      <c r="J40" s="6" t="s">
        <v>16</v>
      </c>
    </row>
    <row r="41" spans="1:18" ht="15.75" customHeight="1" x14ac:dyDescent="0.25">
      <c r="H41" s="7" t="s">
        <v>17</v>
      </c>
      <c r="I41" s="8">
        <f>SUM(I35:I39)</f>
        <v>22325</v>
      </c>
      <c r="J41" s="8">
        <f>Q36</f>
        <v>32</v>
      </c>
    </row>
    <row r="42" spans="1:18" x14ac:dyDescent="0.25">
      <c r="H42" s="9" t="s">
        <v>18</v>
      </c>
      <c r="I42" s="10">
        <f>R36</f>
        <v>355</v>
      </c>
      <c r="J42" s="11"/>
    </row>
    <row r="43" spans="1:18" x14ac:dyDescent="0.25">
      <c r="H43" s="9" t="s">
        <v>19</v>
      </c>
      <c r="I43" s="10">
        <f>S35</f>
        <v>0</v>
      </c>
      <c r="J43" s="11"/>
    </row>
    <row r="44" spans="1:18" x14ac:dyDescent="0.25">
      <c r="H44" s="9" t="s">
        <v>20</v>
      </c>
      <c r="I44" s="10">
        <f>T35</f>
        <v>0</v>
      </c>
      <c r="J44" s="11"/>
    </row>
    <row r="45" spans="1:18" x14ac:dyDescent="0.25">
      <c r="H45" s="9" t="s">
        <v>21</v>
      </c>
      <c r="I45" s="10">
        <f>U35</f>
        <v>0</v>
      </c>
      <c r="J45" s="11"/>
    </row>
    <row r="46" spans="1:18" ht="15.75" customHeight="1" x14ac:dyDescent="0.25">
      <c r="H46" s="12" t="s">
        <v>22</v>
      </c>
      <c r="I46" s="13"/>
      <c r="J46" s="13"/>
    </row>
    <row r="47" spans="1:18" ht="15.75" customHeight="1" x14ac:dyDescent="0.25">
      <c r="H47" s="14" t="s">
        <v>23</v>
      </c>
      <c r="I47" s="13"/>
      <c r="J47" s="13"/>
    </row>
    <row r="48" spans="1:18" ht="21" customHeight="1" x14ac:dyDescent="0.35">
      <c r="H48" s="15" t="s">
        <v>24</v>
      </c>
      <c r="I48" s="16">
        <f>SUM(I41:I47)</f>
        <v>22680</v>
      </c>
      <c r="J48" s="16">
        <f>SUM(J41:J45)</f>
        <v>32</v>
      </c>
    </row>
  </sheetData>
  <autoFilter ref="A2:P34" xr:uid="{00000000-0009-0000-0000-000006000000}">
    <sortState xmlns:xlrd2="http://schemas.microsoft.com/office/spreadsheetml/2017/richdata2" ref="A3:P34">
      <sortCondition ref="J2:J34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704C-EE25-4E64-8D81-EF9F283336A2}">
  <dimension ref="A1:R51"/>
  <sheetViews>
    <sheetView topLeftCell="A23" zoomScale="82" zoomScaleNormal="80" workbookViewId="0">
      <selection activeCell="E54" sqref="E54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424</v>
      </c>
      <c r="C1" s="1" t="s">
        <v>425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22"/>
      <c r="B3" s="22" t="s">
        <v>30</v>
      </c>
      <c r="C3" s="22" t="s">
        <v>523</v>
      </c>
      <c r="D3" s="22" t="s">
        <v>524</v>
      </c>
      <c r="E3" s="22" t="s">
        <v>525</v>
      </c>
      <c r="F3" s="23">
        <v>9</v>
      </c>
      <c r="G3" s="23">
        <v>850</v>
      </c>
      <c r="H3" s="23">
        <v>30</v>
      </c>
      <c r="I3" s="23">
        <f t="shared" ref="I3:I16" si="0">G3-H3</f>
        <v>820</v>
      </c>
      <c r="J3" s="22" t="s">
        <v>33</v>
      </c>
      <c r="K3" s="22" t="s">
        <v>34</v>
      </c>
      <c r="L3" s="22" t="s">
        <v>526</v>
      </c>
      <c r="M3" s="22"/>
      <c r="N3" s="22"/>
      <c r="O3" s="22"/>
      <c r="P3" s="22"/>
      <c r="Q3" s="22">
        <v>1</v>
      </c>
    </row>
    <row r="4" spans="1:18" customFormat="1" x14ac:dyDescent="0.25">
      <c r="A4" s="22"/>
      <c r="B4" s="22" t="s">
        <v>30</v>
      </c>
      <c r="C4" s="22" t="s">
        <v>527</v>
      </c>
      <c r="D4" s="22" t="s">
        <v>528</v>
      </c>
      <c r="E4" s="22" t="s">
        <v>529</v>
      </c>
      <c r="F4" s="23">
        <v>9</v>
      </c>
      <c r="G4" s="23">
        <v>750</v>
      </c>
      <c r="H4" s="23">
        <v>30</v>
      </c>
      <c r="I4" s="23">
        <f t="shared" si="0"/>
        <v>720</v>
      </c>
      <c r="J4" s="22" t="s">
        <v>33</v>
      </c>
      <c r="K4" s="22" t="s">
        <v>34</v>
      </c>
      <c r="L4" s="22" t="s">
        <v>526</v>
      </c>
      <c r="M4" s="22"/>
      <c r="N4" s="22"/>
      <c r="O4" s="22"/>
      <c r="P4" s="22"/>
      <c r="Q4" s="22">
        <v>1</v>
      </c>
    </row>
    <row r="5" spans="1:18" customFormat="1" x14ac:dyDescent="0.25">
      <c r="A5" s="22"/>
      <c r="B5" s="22" t="s">
        <v>30</v>
      </c>
      <c r="C5" s="22" t="s">
        <v>530</v>
      </c>
      <c r="D5" s="22" t="s">
        <v>531</v>
      </c>
      <c r="E5" s="22" t="s">
        <v>532</v>
      </c>
      <c r="F5" s="22" t="s">
        <v>39</v>
      </c>
      <c r="G5" s="23">
        <v>0</v>
      </c>
      <c r="H5" s="23">
        <v>30</v>
      </c>
      <c r="I5" s="23">
        <f t="shared" si="0"/>
        <v>-30</v>
      </c>
      <c r="J5" s="22" t="s">
        <v>533</v>
      </c>
      <c r="K5" s="22" t="s">
        <v>34</v>
      </c>
      <c r="L5" s="22" t="s">
        <v>526</v>
      </c>
      <c r="M5" s="22"/>
      <c r="N5" s="22"/>
      <c r="O5" s="22"/>
      <c r="P5" s="22"/>
      <c r="Q5" s="22">
        <v>1</v>
      </c>
      <c r="R5" s="24">
        <f>H5</f>
        <v>30</v>
      </c>
    </row>
    <row r="6" spans="1:18" customFormat="1" x14ac:dyDescent="0.25">
      <c r="A6" s="22"/>
      <c r="B6" s="22" t="s">
        <v>30</v>
      </c>
      <c r="C6" s="22" t="s">
        <v>534</v>
      </c>
      <c r="D6" s="22" t="s">
        <v>535</v>
      </c>
      <c r="E6" s="22" t="s">
        <v>536</v>
      </c>
      <c r="F6" s="22" t="s">
        <v>39</v>
      </c>
      <c r="G6" s="23">
        <v>900</v>
      </c>
      <c r="H6" s="23">
        <v>30</v>
      </c>
      <c r="I6" s="23">
        <f t="shared" si="0"/>
        <v>870</v>
      </c>
      <c r="J6" s="22" t="s">
        <v>533</v>
      </c>
      <c r="K6" s="22" t="s">
        <v>34</v>
      </c>
      <c r="L6" s="22" t="s">
        <v>526</v>
      </c>
      <c r="M6" s="22"/>
      <c r="N6" s="22"/>
      <c r="O6" s="22"/>
      <c r="P6" s="22"/>
      <c r="Q6" s="22">
        <v>1</v>
      </c>
    </row>
    <row r="7" spans="1:18" customFormat="1" x14ac:dyDescent="0.25">
      <c r="A7" s="22"/>
      <c r="B7" s="22" t="s">
        <v>30</v>
      </c>
      <c r="C7" s="22" t="s">
        <v>537</v>
      </c>
      <c r="D7" s="22" t="s">
        <v>538</v>
      </c>
      <c r="E7" s="22" t="s">
        <v>539</v>
      </c>
      <c r="F7" s="23">
        <v>6</v>
      </c>
      <c r="G7" s="23">
        <v>775</v>
      </c>
      <c r="H7" s="23">
        <v>25</v>
      </c>
      <c r="I7" s="23">
        <f t="shared" si="0"/>
        <v>750</v>
      </c>
      <c r="J7" s="22" t="s">
        <v>533</v>
      </c>
      <c r="K7" s="22" t="s">
        <v>34</v>
      </c>
      <c r="L7" s="22" t="s">
        <v>526</v>
      </c>
      <c r="M7" s="22"/>
      <c r="N7" s="22"/>
      <c r="O7" s="22"/>
      <c r="P7" s="22"/>
      <c r="Q7" s="22">
        <v>1</v>
      </c>
    </row>
    <row r="8" spans="1:18" customFormat="1" x14ac:dyDescent="0.25">
      <c r="A8" s="22"/>
      <c r="B8" s="22" t="s">
        <v>30</v>
      </c>
      <c r="C8" s="22" t="s">
        <v>540</v>
      </c>
      <c r="D8" s="22" t="s">
        <v>541</v>
      </c>
      <c r="E8" s="22" t="s">
        <v>542</v>
      </c>
      <c r="F8" s="23">
        <v>12</v>
      </c>
      <c r="G8" s="23">
        <v>400</v>
      </c>
      <c r="H8" s="23">
        <v>30</v>
      </c>
      <c r="I8" s="23">
        <f t="shared" si="0"/>
        <v>370</v>
      </c>
      <c r="J8" s="22" t="s">
        <v>533</v>
      </c>
      <c r="K8" s="22" t="s">
        <v>34</v>
      </c>
      <c r="L8" s="22" t="s">
        <v>526</v>
      </c>
      <c r="M8" s="22"/>
      <c r="N8" s="22"/>
      <c r="O8" s="22"/>
      <c r="P8" s="22"/>
      <c r="Q8" s="22">
        <v>1</v>
      </c>
    </row>
    <row r="9" spans="1:18" customFormat="1" x14ac:dyDescent="0.25">
      <c r="A9" s="22"/>
      <c r="B9" s="22" t="s">
        <v>30</v>
      </c>
      <c r="C9" s="22" t="s">
        <v>543</v>
      </c>
      <c r="D9" s="22" t="s">
        <v>544</v>
      </c>
      <c r="E9" s="22" t="s">
        <v>545</v>
      </c>
      <c r="F9" s="22" t="s">
        <v>108</v>
      </c>
      <c r="G9" s="23">
        <v>0</v>
      </c>
      <c r="H9" s="23">
        <v>25</v>
      </c>
      <c r="I9" s="23">
        <f t="shared" si="0"/>
        <v>-25</v>
      </c>
      <c r="J9" s="22" t="s">
        <v>533</v>
      </c>
      <c r="K9" s="22" t="s">
        <v>34</v>
      </c>
      <c r="L9" s="22" t="s">
        <v>526</v>
      </c>
      <c r="M9" s="22"/>
      <c r="N9" s="22"/>
      <c r="O9" s="22"/>
      <c r="P9" s="22"/>
      <c r="Q9" s="22">
        <v>1</v>
      </c>
      <c r="R9" s="24">
        <f>H9</f>
        <v>25</v>
      </c>
    </row>
    <row r="10" spans="1:18" customFormat="1" x14ac:dyDescent="0.25">
      <c r="A10" s="22"/>
      <c r="B10" s="22" t="s">
        <v>30</v>
      </c>
      <c r="C10" s="22" t="s">
        <v>546</v>
      </c>
      <c r="D10" s="22" t="s">
        <v>547</v>
      </c>
      <c r="E10" s="22" t="s">
        <v>548</v>
      </c>
      <c r="F10" s="23">
        <v>7</v>
      </c>
      <c r="G10" s="23">
        <v>850</v>
      </c>
      <c r="H10" s="23">
        <v>30</v>
      </c>
      <c r="I10" s="23">
        <f t="shared" si="0"/>
        <v>820</v>
      </c>
      <c r="J10" s="22" t="s">
        <v>533</v>
      </c>
      <c r="K10" s="22" t="s">
        <v>34</v>
      </c>
      <c r="L10" s="22" t="s">
        <v>526</v>
      </c>
      <c r="M10" s="22"/>
      <c r="N10" s="22"/>
      <c r="O10" s="22"/>
      <c r="P10" s="22"/>
      <c r="Q10" s="22">
        <v>1</v>
      </c>
    </row>
    <row r="11" spans="1:18" customFormat="1" x14ac:dyDescent="0.25">
      <c r="A11" s="22"/>
      <c r="B11" s="22" t="s">
        <v>30</v>
      </c>
      <c r="C11" s="22" t="s">
        <v>549</v>
      </c>
      <c r="D11" s="22" t="s">
        <v>550</v>
      </c>
      <c r="E11" s="22" t="s">
        <v>551</v>
      </c>
      <c r="F11" s="23">
        <v>7</v>
      </c>
      <c r="G11" s="23">
        <v>480</v>
      </c>
      <c r="H11" s="23">
        <v>30</v>
      </c>
      <c r="I11" s="23">
        <f t="shared" si="0"/>
        <v>450</v>
      </c>
      <c r="J11" s="22" t="s">
        <v>533</v>
      </c>
      <c r="K11" s="22" t="s">
        <v>34</v>
      </c>
      <c r="L11" s="22" t="s">
        <v>526</v>
      </c>
      <c r="M11" s="22"/>
      <c r="N11" s="22"/>
      <c r="O11" s="22"/>
      <c r="P11" s="22"/>
      <c r="Q11" s="22">
        <v>1</v>
      </c>
    </row>
    <row r="12" spans="1:18" customFormat="1" x14ac:dyDescent="0.25">
      <c r="A12" s="22"/>
      <c r="B12" s="22" t="s">
        <v>30</v>
      </c>
      <c r="C12" s="22" t="s">
        <v>552</v>
      </c>
      <c r="D12" s="22" t="s">
        <v>553</v>
      </c>
      <c r="E12" s="22" t="s">
        <v>554</v>
      </c>
      <c r="F12" s="23">
        <v>1</v>
      </c>
      <c r="G12" s="23">
        <v>1135</v>
      </c>
      <c r="H12" s="23">
        <v>25</v>
      </c>
      <c r="I12" s="23">
        <f t="shared" si="0"/>
        <v>1110</v>
      </c>
      <c r="J12" s="22" t="s">
        <v>533</v>
      </c>
      <c r="K12" s="22" t="s">
        <v>34</v>
      </c>
      <c r="L12" s="22" t="s">
        <v>526</v>
      </c>
      <c r="M12" s="22"/>
      <c r="N12" s="22"/>
      <c r="O12" s="22"/>
      <c r="P12" s="22"/>
      <c r="Q12" s="22">
        <v>1</v>
      </c>
    </row>
    <row r="13" spans="1:18" customFormat="1" x14ac:dyDescent="0.25">
      <c r="A13" s="22"/>
      <c r="B13" s="22" t="s">
        <v>30</v>
      </c>
      <c r="C13" s="22" t="s">
        <v>555</v>
      </c>
      <c r="D13" s="22" t="s">
        <v>556</v>
      </c>
      <c r="E13" s="22" t="s">
        <v>557</v>
      </c>
      <c r="F13" s="23">
        <v>8</v>
      </c>
      <c r="G13" s="23">
        <v>0</v>
      </c>
      <c r="H13" s="23">
        <v>30</v>
      </c>
      <c r="I13" s="23">
        <f t="shared" si="0"/>
        <v>-30</v>
      </c>
      <c r="J13" s="22" t="s">
        <v>533</v>
      </c>
      <c r="K13" s="22" t="s">
        <v>34</v>
      </c>
      <c r="L13" s="22" t="s">
        <v>526</v>
      </c>
      <c r="M13" s="22"/>
      <c r="N13" s="22"/>
      <c r="O13" s="22"/>
      <c r="P13" s="22"/>
      <c r="Q13" s="22">
        <v>1</v>
      </c>
      <c r="R13" s="24">
        <f>H13</f>
        <v>30</v>
      </c>
    </row>
    <row r="14" spans="1:18" customFormat="1" x14ac:dyDescent="0.25">
      <c r="A14" s="22"/>
      <c r="B14" s="22" t="s">
        <v>30</v>
      </c>
      <c r="C14" s="22" t="s">
        <v>558</v>
      </c>
      <c r="D14" s="22" t="s">
        <v>559</v>
      </c>
      <c r="E14" s="22" t="s">
        <v>560</v>
      </c>
      <c r="F14" s="23">
        <v>7</v>
      </c>
      <c r="G14" s="23">
        <v>670</v>
      </c>
      <c r="H14" s="23">
        <v>30</v>
      </c>
      <c r="I14" s="23">
        <f t="shared" si="0"/>
        <v>640</v>
      </c>
      <c r="J14" s="22" t="s">
        <v>533</v>
      </c>
      <c r="K14" s="22" t="s">
        <v>34</v>
      </c>
      <c r="L14" s="22" t="s">
        <v>526</v>
      </c>
      <c r="M14" s="22"/>
      <c r="N14" s="22"/>
      <c r="O14" s="22"/>
      <c r="P14" s="22"/>
      <c r="Q14" s="22">
        <v>1</v>
      </c>
    </row>
    <row r="15" spans="1:18" s="27" customFormat="1" x14ac:dyDescent="0.25">
      <c r="A15" s="25"/>
      <c r="B15" s="25" t="s">
        <v>30</v>
      </c>
      <c r="C15" s="25" t="s">
        <v>144</v>
      </c>
      <c r="D15" s="25" t="s">
        <v>561</v>
      </c>
      <c r="E15" s="25" t="s">
        <v>562</v>
      </c>
      <c r="F15" s="25" t="s">
        <v>147</v>
      </c>
      <c r="G15" s="26">
        <v>95</v>
      </c>
      <c r="H15" s="26">
        <v>35</v>
      </c>
      <c r="I15" s="26">
        <f t="shared" si="0"/>
        <v>60</v>
      </c>
      <c r="J15" s="25" t="s">
        <v>533</v>
      </c>
      <c r="K15" s="25" t="s">
        <v>34</v>
      </c>
      <c r="L15" s="25" t="s">
        <v>526</v>
      </c>
      <c r="M15" s="25" t="s">
        <v>139</v>
      </c>
      <c r="N15" s="25"/>
      <c r="O15" s="25"/>
      <c r="P15" s="25"/>
      <c r="Q15" s="25">
        <v>1</v>
      </c>
    </row>
    <row r="16" spans="1:18" customFormat="1" x14ac:dyDescent="0.25">
      <c r="A16" s="22"/>
      <c r="B16" s="22" t="s">
        <v>30</v>
      </c>
      <c r="C16" s="22" t="s">
        <v>563</v>
      </c>
      <c r="D16" s="22" t="s">
        <v>564</v>
      </c>
      <c r="E16" s="22" t="s">
        <v>565</v>
      </c>
      <c r="F16" s="22" t="s">
        <v>152</v>
      </c>
      <c r="G16" s="23">
        <v>0</v>
      </c>
      <c r="H16" s="23">
        <v>35</v>
      </c>
      <c r="I16" s="23">
        <f t="shared" si="0"/>
        <v>-35</v>
      </c>
      <c r="J16" s="22" t="s">
        <v>533</v>
      </c>
      <c r="K16" s="22" t="s">
        <v>34</v>
      </c>
      <c r="L16" s="22" t="s">
        <v>526</v>
      </c>
      <c r="M16" s="28" t="s">
        <v>360</v>
      </c>
      <c r="N16" s="22"/>
      <c r="O16" s="22"/>
      <c r="P16" s="22"/>
      <c r="Q16" s="22">
        <v>1</v>
      </c>
      <c r="R16" s="24">
        <f t="shared" ref="R16:R17" si="1">H16</f>
        <v>35</v>
      </c>
    </row>
    <row r="17" spans="1:18" customFormat="1" x14ac:dyDescent="0.25">
      <c r="A17" s="22"/>
      <c r="B17" s="22" t="s">
        <v>30</v>
      </c>
      <c r="C17" s="22" t="s">
        <v>563</v>
      </c>
      <c r="D17" s="22" t="s">
        <v>566</v>
      </c>
      <c r="E17" s="22" t="s">
        <v>565</v>
      </c>
      <c r="F17" s="22" t="s">
        <v>152</v>
      </c>
      <c r="G17" s="23">
        <v>0</v>
      </c>
      <c r="H17" s="23">
        <v>0</v>
      </c>
      <c r="I17" s="23">
        <f>H17</f>
        <v>0</v>
      </c>
      <c r="J17" s="22" t="s">
        <v>533</v>
      </c>
      <c r="K17" s="22" t="s">
        <v>34</v>
      </c>
      <c r="L17" s="22" t="s">
        <v>526</v>
      </c>
      <c r="M17" s="28" t="s">
        <v>360</v>
      </c>
      <c r="N17" s="22"/>
      <c r="O17" s="22"/>
      <c r="P17" s="22"/>
      <c r="Q17" s="22">
        <v>1</v>
      </c>
      <c r="R17" s="24">
        <f t="shared" si="1"/>
        <v>0</v>
      </c>
    </row>
    <row r="18" spans="1:18" customFormat="1" x14ac:dyDescent="0.25">
      <c r="A18" s="22"/>
      <c r="B18" s="22" t="s">
        <v>30</v>
      </c>
      <c r="C18" s="22" t="s">
        <v>567</v>
      </c>
      <c r="D18" s="22" t="s">
        <v>568</v>
      </c>
      <c r="E18" s="22" t="s">
        <v>569</v>
      </c>
      <c r="F18" s="23">
        <v>2</v>
      </c>
      <c r="G18" s="23">
        <v>850</v>
      </c>
      <c r="H18" s="23">
        <v>30</v>
      </c>
      <c r="I18" s="23">
        <f t="shared" ref="I18:I36" si="2">G18-H18</f>
        <v>820</v>
      </c>
      <c r="J18" s="22" t="s">
        <v>34</v>
      </c>
      <c r="K18" s="22" t="s">
        <v>34</v>
      </c>
      <c r="L18" s="22" t="s">
        <v>526</v>
      </c>
      <c r="M18" s="22"/>
      <c r="N18" s="22"/>
      <c r="O18" s="22"/>
      <c r="P18" s="22"/>
      <c r="Q18" s="22">
        <v>1</v>
      </c>
    </row>
    <row r="19" spans="1:18" customFormat="1" x14ac:dyDescent="0.25">
      <c r="A19" s="22"/>
      <c r="B19" s="22" t="s">
        <v>30</v>
      </c>
      <c r="C19" s="22" t="s">
        <v>570</v>
      </c>
      <c r="D19" s="22" t="s">
        <v>571</v>
      </c>
      <c r="E19" s="22" t="s">
        <v>572</v>
      </c>
      <c r="F19" s="23">
        <v>12</v>
      </c>
      <c r="G19" s="23">
        <v>0</v>
      </c>
      <c r="H19" s="23">
        <v>30</v>
      </c>
      <c r="I19" s="23">
        <f t="shared" si="2"/>
        <v>-30</v>
      </c>
      <c r="J19" s="22" t="s">
        <v>34</v>
      </c>
      <c r="K19" s="22" t="s">
        <v>34</v>
      </c>
      <c r="L19" s="22" t="s">
        <v>526</v>
      </c>
      <c r="M19" s="22"/>
      <c r="N19" s="22"/>
      <c r="O19" s="22"/>
      <c r="P19" s="22"/>
      <c r="Q19" s="22">
        <v>1</v>
      </c>
      <c r="R19" s="24">
        <f>H19</f>
        <v>30</v>
      </c>
    </row>
    <row r="20" spans="1:18" customFormat="1" x14ac:dyDescent="0.25">
      <c r="A20" s="22"/>
      <c r="B20" s="22" t="s">
        <v>30</v>
      </c>
      <c r="C20" s="22" t="s">
        <v>573</v>
      </c>
      <c r="D20" s="22" t="s">
        <v>574</v>
      </c>
      <c r="E20" s="22" t="s">
        <v>575</v>
      </c>
      <c r="F20" s="22" t="s">
        <v>108</v>
      </c>
      <c r="G20" s="23">
        <v>2200</v>
      </c>
      <c r="H20" s="23">
        <v>30</v>
      </c>
      <c r="I20" s="23">
        <f t="shared" si="2"/>
        <v>2170</v>
      </c>
      <c r="J20" s="22" t="s">
        <v>34</v>
      </c>
      <c r="K20" s="22" t="s">
        <v>34</v>
      </c>
      <c r="L20" s="22" t="s">
        <v>526</v>
      </c>
      <c r="M20" s="28" t="s">
        <v>180</v>
      </c>
      <c r="N20" s="22"/>
      <c r="O20" s="22"/>
      <c r="P20" s="22"/>
      <c r="Q20" s="22">
        <v>1</v>
      </c>
      <c r="R20" s="24">
        <f>H20</f>
        <v>30</v>
      </c>
    </row>
    <row r="21" spans="1:18" customFormat="1" x14ac:dyDescent="0.25">
      <c r="A21" s="22"/>
      <c r="B21" s="22" t="s">
        <v>30</v>
      </c>
      <c r="C21" s="22" t="s">
        <v>576</v>
      </c>
      <c r="D21" s="22" t="s">
        <v>577</v>
      </c>
      <c r="E21" s="22" t="s">
        <v>578</v>
      </c>
      <c r="F21" s="22" t="s">
        <v>94</v>
      </c>
      <c r="G21" s="23">
        <v>670</v>
      </c>
      <c r="H21" s="23">
        <v>30</v>
      </c>
      <c r="I21" s="23">
        <f t="shared" si="2"/>
        <v>640</v>
      </c>
      <c r="J21" s="22" t="s">
        <v>34</v>
      </c>
      <c r="K21" s="22" t="s">
        <v>34</v>
      </c>
      <c r="L21" s="22" t="s">
        <v>526</v>
      </c>
      <c r="M21" s="22"/>
      <c r="N21" s="22"/>
      <c r="O21" s="22"/>
      <c r="P21" s="22"/>
      <c r="Q21" s="22">
        <v>1</v>
      </c>
    </row>
    <row r="22" spans="1:18" customFormat="1" x14ac:dyDescent="0.25">
      <c r="A22" s="22"/>
      <c r="B22" s="22" t="s">
        <v>30</v>
      </c>
      <c r="C22" s="22" t="s">
        <v>579</v>
      </c>
      <c r="D22" s="22" t="s">
        <v>580</v>
      </c>
      <c r="E22" s="22" t="s">
        <v>581</v>
      </c>
      <c r="F22" s="22" t="s">
        <v>98</v>
      </c>
      <c r="G22" s="23">
        <v>0</v>
      </c>
      <c r="H22" s="23">
        <v>20</v>
      </c>
      <c r="I22" s="23">
        <f t="shared" si="2"/>
        <v>-20</v>
      </c>
      <c r="J22" s="22" t="s">
        <v>34</v>
      </c>
      <c r="K22" s="22" t="s">
        <v>34</v>
      </c>
      <c r="L22" s="22" t="s">
        <v>526</v>
      </c>
      <c r="M22" s="22"/>
      <c r="N22" s="22"/>
      <c r="O22" s="22"/>
      <c r="P22" s="22"/>
      <c r="Q22" s="22">
        <v>1</v>
      </c>
      <c r="R22" s="24">
        <f>H22</f>
        <v>20</v>
      </c>
    </row>
    <row r="23" spans="1:18" customFormat="1" x14ac:dyDescent="0.25">
      <c r="A23" s="22"/>
      <c r="B23" s="22" t="s">
        <v>30</v>
      </c>
      <c r="C23" s="22" t="s">
        <v>582</v>
      </c>
      <c r="D23" s="22" t="s">
        <v>583</v>
      </c>
      <c r="E23" s="22" t="s">
        <v>584</v>
      </c>
      <c r="F23" s="23">
        <v>2</v>
      </c>
      <c r="G23" s="23">
        <v>690</v>
      </c>
      <c r="H23" s="23">
        <v>30</v>
      </c>
      <c r="I23" s="23">
        <f t="shared" si="2"/>
        <v>660</v>
      </c>
      <c r="J23" s="22" t="s">
        <v>34</v>
      </c>
      <c r="K23" s="22" t="s">
        <v>34</v>
      </c>
      <c r="L23" s="22" t="s">
        <v>526</v>
      </c>
      <c r="M23" s="22"/>
      <c r="N23" s="22"/>
      <c r="O23" s="22"/>
      <c r="P23" s="22"/>
      <c r="Q23" s="22">
        <v>1</v>
      </c>
    </row>
    <row r="24" spans="1:18" s="27" customFormat="1" x14ac:dyDescent="0.25">
      <c r="A24" s="25"/>
      <c r="B24" s="25" t="s">
        <v>30</v>
      </c>
      <c r="C24" s="25" t="s">
        <v>91</v>
      </c>
      <c r="D24" s="25" t="s">
        <v>585</v>
      </c>
      <c r="E24" s="25" t="s">
        <v>93</v>
      </c>
      <c r="F24" s="25" t="s">
        <v>94</v>
      </c>
      <c r="G24" s="26">
        <v>30</v>
      </c>
      <c r="H24" s="26">
        <v>30</v>
      </c>
      <c r="I24" s="26">
        <f t="shared" si="2"/>
        <v>0</v>
      </c>
      <c r="J24" s="25" t="s">
        <v>34</v>
      </c>
      <c r="K24" s="25" t="s">
        <v>34</v>
      </c>
      <c r="L24" s="25" t="s">
        <v>526</v>
      </c>
      <c r="M24" s="25" t="s">
        <v>139</v>
      </c>
      <c r="N24" s="25"/>
      <c r="O24" s="25"/>
      <c r="P24" s="25"/>
      <c r="Q24" s="25">
        <v>1</v>
      </c>
    </row>
    <row r="25" spans="1:18" customFormat="1" x14ac:dyDescent="0.25">
      <c r="A25" s="22"/>
      <c r="B25" s="22" t="s">
        <v>30</v>
      </c>
      <c r="C25" s="22" t="s">
        <v>586</v>
      </c>
      <c r="D25" s="22" t="s">
        <v>587</v>
      </c>
      <c r="E25" s="22" t="s">
        <v>588</v>
      </c>
      <c r="F25" s="22" t="s">
        <v>94</v>
      </c>
      <c r="G25" s="23">
        <v>780</v>
      </c>
      <c r="H25" s="23">
        <v>30</v>
      </c>
      <c r="I25" s="23">
        <f t="shared" si="2"/>
        <v>750</v>
      </c>
      <c r="J25" s="22" t="s">
        <v>34</v>
      </c>
      <c r="K25" s="22" t="s">
        <v>34</v>
      </c>
      <c r="L25" s="22" t="s">
        <v>526</v>
      </c>
      <c r="M25" s="22"/>
      <c r="N25" s="22"/>
      <c r="O25" s="22"/>
      <c r="P25" s="22"/>
      <c r="Q25" s="22">
        <v>1</v>
      </c>
    </row>
    <row r="26" spans="1:18" customFormat="1" x14ac:dyDescent="0.25">
      <c r="A26" s="22"/>
      <c r="B26" s="22" t="s">
        <v>30</v>
      </c>
      <c r="C26" s="22" t="s">
        <v>589</v>
      </c>
      <c r="D26" s="22" t="s">
        <v>590</v>
      </c>
      <c r="E26" s="22" t="s">
        <v>591</v>
      </c>
      <c r="F26" s="23">
        <v>2</v>
      </c>
      <c r="G26" s="23">
        <v>850</v>
      </c>
      <c r="H26" s="23">
        <v>30</v>
      </c>
      <c r="I26" s="23">
        <f t="shared" si="2"/>
        <v>820</v>
      </c>
      <c r="J26" s="22" t="s">
        <v>34</v>
      </c>
      <c r="K26" s="22" t="s">
        <v>34</v>
      </c>
      <c r="L26" s="22" t="s">
        <v>526</v>
      </c>
      <c r="M26" s="22"/>
      <c r="N26" s="22"/>
      <c r="O26" s="22"/>
      <c r="P26" s="22"/>
      <c r="Q26" s="22">
        <v>1</v>
      </c>
    </row>
    <row r="27" spans="1:18" customFormat="1" x14ac:dyDescent="0.25">
      <c r="A27" s="22"/>
      <c r="B27" s="22" t="s">
        <v>30</v>
      </c>
      <c r="C27" s="22" t="s">
        <v>592</v>
      </c>
      <c r="D27" s="22" t="s">
        <v>593</v>
      </c>
      <c r="E27" s="22" t="s">
        <v>594</v>
      </c>
      <c r="F27" s="22" t="s">
        <v>98</v>
      </c>
      <c r="G27" s="23">
        <v>0</v>
      </c>
      <c r="H27" s="23">
        <v>20</v>
      </c>
      <c r="I27" s="23">
        <f t="shared" si="2"/>
        <v>-20</v>
      </c>
      <c r="J27" s="22" t="s">
        <v>34</v>
      </c>
      <c r="K27" s="22" t="s">
        <v>34</v>
      </c>
      <c r="L27" s="22" t="s">
        <v>526</v>
      </c>
      <c r="M27" s="22"/>
      <c r="N27" s="22"/>
      <c r="O27" s="22"/>
      <c r="P27" s="22"/>
      <c r="Q27" s="22">
        <v>1</v>
      </c>
      <c r="R27" s="24">
        <f>H27</f>
        <v>20</v>
      </c>
    </row>
    <row r="28" spans="1:18" customFormat="1" x14ac:dyDescent="0.25">
      <c r="A28" s="22" t="s">
        <v>29</v>
      </c>
      <c r="B28" s="22" t="s">
        <v>30</v>
      </c>
      <c r="C28" s="22" t="s">
        <v>353</v>
      </c>
      <c r="D28" s="22"/>
      <c r="E28" s="22" t="s">
        <v>354</v>
      </c>
      <c r="F28" s="22" t="s">
        <v>90</v>
      </c>
      <c r="G28" s="23">
        <v>30</v>
      </c>
      <c r="H28" s="23">
        <v>30</v>
      </c>
      <c r="I28" s="23">
        <f t="shared" si="2"/>
        <v>0</v>
      </c>
      <c r="J28" s="22" t="s">
        <v>34</v>
      </c>
      <c r="K28" s="22" t="s">
        <v>34</v>
      </c>
      <c r="L28" s="22" t="s">
        <v>526</v>
      </c>
      <c r="M28" s="22"/>
      <c r="N28" s="22"/>
      <c r="O28" s="22"/>
      <c r="P28" s="22"/>
      <c r="Q28" s="22">
        <v>1</v>
      </c>
    </row>
    <row r="29" spans="1:18" customFormat="1" x14ac:dyDescent="0.25">
      <c r="A29" s="22"/>
      <c r="B29" s="22" t="s">
        <v>30</v>
      </c>
      <c r="C29" s="22" t="s">
        <v>595</v>
      </c>
      <c r="D29" s="22" t="s">
        <v>596</v>
      </c>
      <c r="E29" s="22" t="s">
        <v>597</v>
      </c>
      <c r="F29" s="23">
        <v>5</v>
      </c>
      <c r="G29" s="23">
        <v>1175</v>
      </c>
      <c r="H29" s="23">
        <v>25</v>
      </c>
      <c r="I29" s="23">
        <f t="shared" si="2"/>
        <v>1150</v>
      </c>
      <c r="J29" s="22" t="s">
        <v>148</v>
      </c>
      <c r="K29" s="22" t="s">
        <v>34</v>
      </c>
      <c r="L29" s="22" t="s">
        <v>526</v>
      </c>
      <c r="M29" s="22"/>
      <c r="N29" s="22"/>
      <c r="O29" s="22"/>
      <c r="P29" s="22"/>
      <c r="Q29" s="22">
        <v>1</v>
      </c>
    </row>
    <row r="30" spans="1:18" customFormat="1" x14ac:dyDescent="0.25">
      <c r="A30" s="22"/>
      <c r="B30" s="22" t="s">
        <v>30</v>
      </c>
      <c r="C30" s="22" t="s">
        <v>598</v>
      </c>
      <c r="D30" s="22" t="s">
        <v>599</v>
      </c>
      <c r="E30" s="22" t="s">
        <v>600</v>
      </c>
      <c r="F30" s="23">
        <v>4</v>
      </c>
      <c r="G30" s="23">
        <v>765</v>
      </c>
      <c r="H30" s="23">
        <v>25</v>
      </c>
      <c r="I30" s="23">
        <f t="shared" si="2"/>
        <v>740</v>
      </c>
      <c r="J30" s="22" t="s">
        <v>148</v>
      </c>
      <c r="K30" s="22" t="s">
        <v>34</v>
      </c>
      <c r="L30" s="22" t="s">
        <v>526</v>
      </c>
      <c r="M30" s="22"/>
      <c r="N30" s="22"/>
      <c r="O30" s="22"/>
      <c r="P30" s="22"/>
      <c r="Q30" s="22">
        <v>1</v>
      </c>
    </row>
    <row r="31" spans="1:18" customFormat="1" x14ac:dyDescent="0.25">
      <c r="A31" s="22"/>
      <c r="B31" s="22" t="s">
        <v>30</v>
      </c>
      <c r="C31" s="22" t="s">
        <v>601</v>
      </c>
      <c r="D31" s="22" t="s">
        <v>602</v>
      </c>
      <c r="E31" s="22" t="s">
        <v>603</v>
      </c>
      <c r="F31" s="23">
        <v>3</v>
      </c>
      <c r="G31" s="23">
        <v>0</v>
      </c>
      <c r="H31" s="23">
        <v>25</v>
      </c>
      <c r="I31" s="23">
        <f t="shared" si="2"/>
        <v>-25</v>
      </c>
      <c r="J31" s="22" t="s">
        <v>148</v>
      </c>
      <c r="K31" s="22" t="s">
        <v>34</v>
      </c>
      <c r="L31" s="22" t="s">
        <v>526</v>
      </c>
      <c r="M31" s="22"/>
      <c r="N31" s="22"/>
      <c r="O31" s="22"/>
      <c r="P31" s="22"/>
      <c r="Q31" s="22">
        <v>1</v>
      </c>
      <c r="R31" s="24">
        <f>H31</f>
        <v>25</v>
      </c>
    </row>
    <row r="32" spans="1:18" customFormat="1" x14ac:dyDescent="0.25">
      <c r="A32" s="22"/>
      <c r="B32" s="22" t="s">
        <v>30</v>
      </c>
      <c r="C32" s="22" t="s">
        <v>604</v>
      </c>
      <c r="D32" s="22" t="s">
        <v>605</v>
      </c>
      <c r="E32" s="22" t="s">
        <v>264</v>
      </c>
      <c r="F32" s="22" t="s">
        <v>108</v>
      </c>
      <c r="G32" s="23">
        <v>685</v>
      </c>
      <c r="H32" s="23">
        <v>25</v>
      </c>
      <c r="I32" s="23">
        <f t="shared" si="2"/>
        <v>660</v>
      </c>
      <c r="J32" s="22" t="s">
        <v>148</v>
      </c>
      <c r="K32" s="22" t="s">
        <v>34</v>
      </c>
      <c r="L32" s="22" t="s">
        <v>526</v>
      </c>
      <c r="M32" s="22"/>
      <c r="N32" s="22"/>
      <c r="O32" s="22"/>
      <c r="P32" s="22"/>
      <c r="Q32" s="22">
        <v>1</v>
      </c>
    </row>
    <row r="33" spans="1:18" customFormat="1" x14ac:dyDescent="0.25">
      <c r="A33" s="22"/>
      <c r="B33" s="22" t="s">
        <v>30</v>
      </c>
      <c r="C33" s="22" t="s">
        <v>606</v>
      </c>
      <c r="D33" s="22" t="s">
        <v>607</v>
      </c>
      <c r="E33" s="22" t="s">
        <v>608</v>
      </c>
      <c r="F33" s="23">
        <v>10</v>
      </c>
      <c r="G33" s="23">
        <v>865</v>
      </c>
      <c r="H33" s="23">
        <v>25</v>
      </c>
      <c r="I33" s="23">
        <f t="shared" si="2"/>
        <v>840</v>
      </c>
      <c r="J33" s="22" t="s">
        <v>148</v>
      </c>
      <c r="K33" s="22" t="s">
        <v>34</v>
      </c>
      <c r="L33" s="22" t="s">
        <v>526</v>
      </c>
      <c r="M33" s="22"/>
      <c r="N33" s="22"/>
      <c r="O33" s="22"/>
      <c r="P33" s="22"/>
      <c r="Q33" s="22">
        <v>1</v>
      </c>
    </row>
    <row r="34" spans="1:18" customFormat="1" x14ac:dyDescent="0.25">
      <c r="A34" s="22"/>
      <c r="B34" s="22" t="s">
        <v>30</v>
      </c>
      <c r="C34" s="22" t="s">
        <v>609</v>
      </c>
      <c r="D34" s="22" t="s">
        <v>610</v>
      </c>
      <c r="E34" s="22" t="s">
        <v>611</v>
      </c>
      <c r="F34" s="22" t="s">
        <v>108</v>
      </c>
      <c r="G34" s="23">
        <v>0</v>
      </c>
      <c r="H34" s="23">
        <v>25</v>
      </c>
      <c r="I34" s="23">
        <f t="shared" si="2"/>
        <v>-25</v>
      </c>
      <c r="J34" s="22" t="s">
        <v>148</v>
      </c>
      <c r="K34" s="22" t="s">
        <v>34</v>
      </c>
      <c r="L34" s="22" t="s">
        <v>526</v>
      </c>
      <c r="M34" s="22"/>
      <c r="N34" s="22"/>
      <c r="O34" s="22"/>
      <c r="P34" s="22"/>
      <c r="Q34" s="22">
        <v>1</v>
      </c>
      <c r="R34" s="24">
        <f t="shared" ref="R34:R35" si="3">H34</f>
        <v>25</v>
      </c>
    </row>
    <row r="35" spans="1:18" customFormat="1" x14ac:dyDescent="0.25">
      <c r="A35" s="22"/>
      <c r="B35" s="22" t="s">
        <v>30</v>
      </c>
      <c r="C35" s="22" t="s">
        <v>612</v>
      </c>
      <c r="D35" s="22" t="s">
        <v>613</v>
      </c>
      <c r="E35" s="22" t="s">
        <v>614</v>
      </c>
      <c r="F35" s="23">
        <v>5</v>
      </c>
      <c r="G35" s="23">
        <v>0</v>
      </c>
      <c r="H35" s="23">
        <v>25</v>
      </c>
      <c r="I35" s="23">
        <f t="shared" si="2"/>
        <v>-25</v>
      </c>
      <c r="J35" s="22" t="s">
        <v>148</v>
      </c>
      <c r="K35" s="22" t="s">
        <v>34</v>
      </c>
      <c r="L35" s="22" t="s">
        <v>526</v>
      </c>
      <c r="M35" s="22"/>
      <c r="N35" s="22"/>
      <c r="O35" s="22"/>
      <c r="P35" s="22"/>
      <c r="Q35" s="22">
        <v>1</v>
      </c>
      <c r="R35" s="24">
        <f t="shared" si="3"/>
        <v>25</v>
      </c>
    </row>
    <row r="36" spans="1:18" customFormat="1" x14ac:dyDescent="0.25">
      <c r="A36" s="22"/>
      <c r="B36" s="22" t="s">
        <v>30</v>
      </c>
      <c r="C36" s="22" t="s">
        <v>615</v>
      </c>
      <c r="D36" s="22" t="s">
        <v>616</v>
      </c>
      <c r="E36" s="22" t="s">
        <v>617</v>
      </c>
      <c r="F36" s="23">
        <v>1</v>
      </c>
      <c r="G36" s="23">
        <v>2050</v>
      </c>
      <c r="H36" s="23">
        <v>30</v>
      </c>
      <c r="I36" s="23">
        <f t="shared" si="2"/>
        <v>2020</v>
      </c>
      <c r="J36" s="22" t="s">
        <v>148</v>
      </c>
      <c r="K36" s="22" t="s">
        <v>34</v>
      </c>
      <c r="L36" s="22" t="s">
        <v>526</v>
      </c>
      <c r="M36" s="28" t="s">
        <v>180</v>
      </c>
      <c r="N36" s="22"/>
      <c r="O36" s="22"/>
      <c r="P36" s="22"/>
      <c r="Q36" s="22">
        <v>1</v>
      </c>
      <c r="R36" s="24">
        <f>H36</f>
        <v>30</v>
      </c>
    </row>
    <row r="38" spans="1:18" x14ac:dyDescent="0.25">
      <c r="G38" s="1">
        <f t="shared" ref="G38:R38" si="4">SUBTOTAL(9,G3:G37)</f>
        <v>18545</v>
      </c>
      <c r="H38" s="1">
        <f t="shared" si="4"/>
        <v>930</v>
      </c>
      <c r="I38" s="1">
        <f t="shared" si="4"/>
        <v>17615</v>
      </c>
      <c r="J38" s="1">
        <f t="shared" si="4"/>
        <v>0</v>
      </c>
      <c r="K38" s="1">
        <f t="shared" si="4"/>
        <v>0</v>
      </c>
      <c r="L38" s="1">
        <f t="shared" si="4"/>
        <v>0</v>
      </c>
      <c r="M38" s="1">
        <f t="shared" si="4"/>
        <v>0</v>
      </c>
      <c r="N38" s="1">
        <f t="shared" si="4"/>
        <v>0</v>
      </c>
      <c r="O38" s="1">
        <f t="shared" si="4"/>
        <v>0</v>
      </c>
      <c r="P38" s="1">
        <f t="shared" si="4"/>
        <v>0</v>
      </c>
      <c r="Q38" s="1">
        <f t="shared" si="4"/>
        <v>34</v>
      </c>
      <c r="R38" s="1">
        <f t="shared" si="4"/>
        <v>325</v>
      </c>
    </row>
    <row r="42" spans="1:18" ht="20.25" customHeight="1" x14ac:dyDescent="0.3">
      <c r="H42" s="4" t="s">
        <v>522</v>
      </c>
      <c r="I42" s="5" t="s">
        <v>15</v>
      </c>
      <c r="J42" s="6" t="s">
        <v>16</v>
      </c>
    </row>
    <row r="43" spans="1:18" ht="15.75" customHeight="1" x14ac:dyDescent="0.25">
      <c r="H43" s="7" t="s">
        <v>17</v>
      </c>
      <c r="I43" s="8">
        <f>SUM(I37:I41)</f>
        <v>17615</v>
      </c>
      <c r="J43" s="8">
        <f>Q38</f>
        <v>34</v>
      </c>
    </row>
    <row r="44" spans="1:18" x14ac:dyDescent="0.25">
      <c r="H44" s="9" t="s">
        <v>18</v>
      </c>
      <c r="I44" s="10">
        <f>R38</f>
        <v>325</v>
      </c>
      <c r="J44" s="11"/>
    </row>
    <row r="45" spans="1:18" x14ac:dyDescent="0.25">
      <c r="H45" s="9" t="s">
        <v>19</v>
      </c>
      <c r="I45" s="10">
        <f>S37</f>
        <v>0</v>
      </c>
      <c r="J45" s="11"/>
    </row>
    <row r="46" spans="1:18" x14ac:dyDescent="0.25">
      <c r="H46" s="9" t="s">
        <v>20</v>
      </c>
      <c r="I46" s="10">
        <f>T37</f>
        <v>0</v>
      </c>
      <c r="J46" s="11"/>
    </row>
    <row r="47" spans="1:18" x14ac:dyDescent="0.25">
      <c r="H47" s="9" t="s">
        <v>21</v>
      </c>
      <c r="I47" s="10">
        <f>U37</f>
        <v>0</v>
      </c>
      <c r="J47" s="11"/>
    </row>
    <row r="48" spans="1:18" ht="15.75" customHeight="1" x14ac:dyDescent="0.25">
      <c r="H48" s="12" t="s">
        <v>22</v>
      </c>
      <c r="I48" s="13"/>
      <c r="J48" s="13"/>
    </row>
    <row r="49" spans="8:10" ht="15.75" customHeight="1" x14ac:dyDescent="0.25">
      <c r="H49" s="14" t="s">
        <v>23</v>
      </c>
      <c r="I49" s="13"/>
      <c r="J49" s="13"/>
    </row>
    <row r="50" spans="8:10" ht="21" customHeight="1" x14ac:dyDescent="0.35">
      <c r="H50" s="15" t="s">
        <v>24</v>
      </c>
      <c r="I50" s="16">
        <f>SUM(I43:I49)</f>
        <v>17940</v>
      </c>
      <c r="J50" s="16">
        <f>SUM(J43:J47)</f>
        <v>34</v>
      </c>
    </row>
    <row r="51" spans="8:10" ht="21" customHeight="1" x14ac:dyDescent="0.35">
      <c r="H51" s="34"/>
      <c r="I51" s="35"/>
      <c r="J51" s="35"/>
    </row>
  </sheetData>
  <autoFilter ref="A2:P36" xr:uid="{00000000-0009-0000-0000-000006000000}">
    <sortState xmlns:xlrd2="http://schemas.microsoft.com/office/spreadsheetml/2017/richdata2" ref="A3:P36">
      <sortCondition ref="J2:J36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00B3-0891-4E25-BC1A-2BDA276BB257}">
  <dimension ref="A1:R55"/>
  <sheetViews>
    <sheetView topLeftCell="A20" zoomScale="82" zoomScaleNormal="80" workbookViewId="0">
      <selection activeCell="I55" sqref="I55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</v>
      </c>
      <c r="C1" s="1" t="s">
        <v>520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19" customFormat="1" x14ac:dyDescent="0.25">
      <c r="A3" s="39" t="s">
        <v>29</v>
      </c>
      <c r="B3" s="40" t="s">
        <v>30</v>
      </c>
      <c r="C3" s="40" t="s">
        <v>625</v>
      </c>
      <c r="D3" s="40"/>
      <c r="E3" s="40" t="s">
        <v>626</v>
      </c>
      <c r="F3" s="42">
        <v>6</v>
      </c>
      <c r="G3" s="42">
        <v>0</v>
      </c>
      <c r="H3" s="42">
        <v>30</v>
      </c>
      <c r="I3" s="42">
        <v>-30</v>
      </c>
      <c r="J3" s="40" t="s">
        <v>627</v>
      </c>
      <c r="K3" s="40" t="s">
        <v>34</v>
      </c>
      <c r="L3" s="40">
        <v>46239</v>
      </c>
      <c r="M3" s="40"/>
      <c r="N3" s="40"/>
      <c r="O3" s="40"/>
      <c r="P3" s="40"/>
      <c r="Q3" s="40">
        <v>1</v>
      </c>
      <c r="R3" s="43">
        <v>30</v>
      </c>
    </row>
    <row r="4" spans="1:18" s="19" customFormat="1" x14ac:dyDescent="0.25">
      <c r="A4" s="44" t="s">
        <v>29</v>
      </c>
      <c r="B4" s="45" t="s">
        <v>30</v>
      </c>
      <c r="C4" s="45" t="s">
        <v>628</v>
      </c>
      <c r="D4" s="45"/>
      <c r="E4" s="45" t="s">
        <v>629</v>
      </c>
      <c r="F4" s="45" t="s">
        <v>39</v>
      </c>
      <c r="G4" s="46">
        <v>0</v>
      </c>
      <c r="H4" s="46">
        <v>35</v>
      </c>
      <c r="I4" s="46">
        <v>-35</v>
      </c>
      <c r="J4" s="45" t="s">
        <v>627</v>
      </c>
      <c r="K4" s="45" t="s">
        <v>34</v>
      </c>
      <c r="L4" s="45">
        <v>46239</v>
      </c>
      <c r="M4" s="45"/>
      <c r="N4" s="45"/>
      <c r="O4" s="45"/>
      <c r="P4" s="45"/>
      <c r="Q4" s="45">
        <v>1</v>
      </c>
      <c r="R4" s="43">
        <v>35</v>
      </c>
    </row>
    <row r="5" spans="1:18" s="19" customFormat="1" x14ac:dyDescent="0.25">
      <c r="A5" s="44"/>
      <c r="B5" s="45" t="s">
        <v>30</v>
      </c>
      <c r="C5" s="45" t="s">
        <v>630</v>
      </c>
      <c r="D5" s="45" t="s">
        <v>631</v>
      </c>
      <c r="E5" s="45" t="s">
        <v>632</v>
      </c>
      <c r="F5" s="46">
        <v>9</v>
      </c>
      <c r="G5" s="46">
        <v>2630</v>
      </c>
      <c r="H5" s="46">
        <v>30</v>
      </c>
      <c r="I5" s="46">
        <v>2600</v>
      </c>
      <c r="J5" s="45" t="s">
        <v>627</v>
      </c>
      <c r="K5" s="45" t="s">
        <v>34</v>
      </c>
      <c r="L5" s="45">
        <v>46239</v>
      </c>
      <c r="M5" s="47" t="s">
        <v>180</v>
      </c>
      <c r="N5" s="45"/>
      <c r="O5" s="45"/>
      <c r="P5" s="45"/>
      <c r="Q5" s="45">
        <v>1</v>
      </c>
      <c r="R5" s="43">
        <v>30</v>
      </c>
    </row>
    <row r="6" spans="1:18" s="19" customFormat="1" x14ac:dyDescent="0.25">
      <c r="A6" s="44"/>
      <c r="B6" s="45" t="s">
        <v>30</v>
      </c>
      <c r="C6" s="45" t="s">
        <v>633</v>
      </c>
      <c r="D6" s="45" t="s">
        <v>634</v>
      </c>
      <c r="E6" s="45" t="s">
        <v>635</v>
      </c>
      <c r="F6" s="45" t="s">
        <v>147</v>
      </c>
      <c r="G6" s="46">
        <v>905</v>
      </c>
      <c r="H6" s="46">
        <v>35</v>
      </c>
      <c r="I6" s="46">
        <v>870</v>
      </c>
      <c r="J6" s="45" t="s">
        <v>627</v>
      </c>
      <c r="K6" s="45" t="s">
        <v>34</v>
      </c>
      <c r="L6" s="45">
        <v>46239</v>
      </c>
      <c r="M6" s="45"/>
      <c r="N6" s="45"/>
      <c r="O6" s="45"/>
      <c r="P6" s="45"/>
      <c r="Q6" s="45">
        <v>1</v>
      </c>
      <c r="R6" s="41"/>
    </row>
    <row r="7" spans="1:18" s="19" customFormat="1" x14ac:dyDescent="0.25">
      <c r="A7" s="44"/>
      <c r="B7" s="45" t="s">
        <v>30</v>
      </c>
      <c r="C7" s="45" t="s">
        <v>636</v>
      </c>
      <c r="D7" s="45" t="s">
        <v>637</v>
      </c>
      <c r="E7" s="45" t="s">
        <v>638</v>
      </c>
      <c r="F7" s="46">
        <v>8</v>
      </c>
      <c r="G7" s="46">
        <v>0</v>
      </c>
      <c r="H7" s="46">
        <v>30</v>
      </c>
      <c r="I7" s="46">
        <v>-30</v>
      </c>
      <c r="J7" s="45" t="s">
        <v>627</v>
      </c>
      <c r="K7" s="45" t="s">
        <v>34</v>
      </c>
      <c r="L7" s="45">
        <v>46239</v>
      </c>
      <c r="M7" s="45"/>
      <c r="N7" s="45"/>
      <c r="O7" s="45"/>
      <c r="P7" s="45"/>
      <c r="Q7" s="45">
        <v>1</v>
      </c>
      <c r="R7" s="43">
        <v>30</v>
      </c>
    </row>
    <row r="8" spans="1:18" s="19" customFormat="1" x14ac:dyDescent="0.25">
      <c r="A8" s="44"/>
      <c r="B8" s="45" t="s">
        <v>30</v>
      </c>
      <c r="C8" s="45" t="s">
        <v>639</v>
      </c>
      <c r="D8" s="45" t="s">
        <v>640</v>
      </c>
      <c r="E8" s="45" t="s">
        <v>641</v>
      </c>
      <c r="F8" s="46">
        <v>8</v>
      </c>
      <c r="G8" s="46">
        <v>470</v>
      </c>
      <c r="H8" s="46">
        <v>30</v>
      </c>
      <c r="I8" s="46">
        <v>440</v>
      </c>
      <c r="J8" s="45" t="s">
        <v>627</v>
      </c>
      <c r="K8" s="45" t="s">
        <v>34</v>
      </c>
      <c r="L8" s="45">
        <v>46239</v>
      </c>
      <c r="M8" s="45"/>
      <c r="N8" s="45"/>
      <c r="O8" s="45"/>
      <c r="P8" s="45"/>
      <c r="Q8" s="45">
        <v>1</v>
      </c>
      <c r="R8" s="41"/>
    </row>
    <row r="9" spans="1:18" s="19" customFormat="1" x14ac:dyDescent="0.25">
      <c r="A9" s="44"/>
      <c r="B9" s="45" t="s">
        <v>30</v>
      </c>
      <c r="C9" s="45" t="s">
        <v>642</v>
      </c>
      <c r="D9" s="45" t="s">
        <v>643</v>
      </c>
      <c r="E9" s="45" t="s">
        <v>532</v>
      </c>
      <c r="F9" s="45" t="s">
        <v>39</v>
      </c>
      <c r="G9" s="46">
        <v>0</v>
      </c>
      <c r="H9" s="46">
        <v>30</v>
      </c>
      <c r="I9" s="46">
        <v>-30</v>
      </c>
      <c r="J9" s="45" t="s">
        <v>627</v>
      </c>
      <c r="K9" s="45" t="s">
        <v>34</v>
      </c>
      <c r="L9" s="45">
        <v>46239</v>
      </c>
      <c r="M9" s="45"/>
      <c r="N9" s="45"/>
      <c r="O9" s="45"/>
      <c r="P9" s="45"/>
      <c r="Q9" s="45">
        <v>1</v>
      </c>
      <c r="R9" s="43">
        <v>30</v>
      </c>
    </row>
    <row r="10" spans="1:18" s="19" customFormat="1" x14ac:dyDescent="0.25">
      <c r="A10" s="44"/>
      <c r="B10" s="45" t="s">
        <v>30</v>
      </c>
      <c r="C10" s="45" t="s">
        <v>644</v>
      </c>
      <c r="D10" s="45" t="s">
        <v>645</v>
      </c>
      <c r="E10" s="45" t="s">
        <v>646</v>
      </c>
      <c r="F10" s="45" t="s">
        <v>39</v>
      </c>
      <c r="G10" s="46">
        <v>980</v>
      </c>
      <c r="H10" s="46">
        <v>30</v>
      </c>
      <c r="I10" s="46">
        <v>950</v>
      </c>
      <c r="J10" s="45" t="s">
        <v>627</v>
      </c>
      <c r="K10" s="45" t="s">
        <v>34</v>
      </c>
      <c r="L10" s="45">
        <v>46239</v>
      </c>
      <c r="M10" s="45"/>
      <c r="N10" s="45"/>
      <c r="O10" s="45"/>
      <c r="P10" s="45"/>
      <c r="Q10" s="45">
        <v>1</v>
      </c>
      <c r="R10" s="41"/>
    </row>
    <row r="11" spans="1:18" s="19" customFormat="1" x14ac:dyDescent="0.25">
      <c r="A11" s="44"/>
      <c r="B11" s="45" t="s">
        <v>30</v>
      </c>
      <c r="C11" s="45" t="s">
        <v>647</v>
      </c>
      <c r="D11" s="45" t="s">
        <v>648</v>
      </c>
      <c r="E11" s="45" t="s">
        <v>649</v>
      </c>
      <c r="F11" s="46">
        <v>8</v>
      </c>
      <c r="G11" s="46">
        <v>950</v>
      </c>
      <c r="H11" s="46">
        <v>30</v>
      </c>
      <c r="I11" s="46">
        <v>920</v>
      </c>
      <c r="J11" s="45" t="s">
        <v>627</v>
      </c>
      <c r="K11" s="45" t="s">
        <v>34</v>
      </c>
      <c r="L11" s="45">
        <v>46239</v>
      </c>
      <c r="M11" s="45"/>
      <c r="N11" s="45"/>
      <c r="O11" s="45"/>
      <c r="P11" s="45"/>
      <c r="Q11" s="45">
        <v>1</v>
      </c>
      <c r="R11" s="41"/>
    </row>
    <row r="12" spans="1:18" s="19" customFormat="1" x14ac:dyDescent="0.25">
      <c r="A12" s="44"/>
      <c r="B12" s="45" t="s">
        <v>30</v>
      </c>
      <c r="C12" s="45" t="s">
        <v>650</v>
      </c>
      <c r="D12" s="45" t="s">
        <v>651</v>
      </c>
      <c r="E12" s="45" t="s">
        <v>652</v>
      </c>
      <c r="F12" s="45" t="s">
        <v>59</v>
      </c>
      <c r="G12" s="46">
        <v>895</v>
      </c>
      <c r="H12" s="46">
        <v>25</v>
      </c>
      <c r="I12" s="46">
        <v>870</v>
      </c>
      <c r="J12" s="45" t="s">
        <v>627</v>
      </c>
      <c r="K12" s="45" t="s">
        <v>34</v>
      </c>
      <c r="L12" s="45">
        <v>46239</v>
      </c>
      <c r="M12" s="45"/>
      <c r="N12" s="45"/>
      <c r="O12" s="45"/>
      <c r="P12" s="45"/>
      <c r="Q12" s="45">
        <v>1</v>
      </c>
      <c r="R12" s="41"/>
    </row>
    <row r="13" spans="1:18" s="19" customFormat="1" x14ac:dyDescent="0.25">
      <c r="A13" s="48"/>
      <c r="B13" s="49" t="s">
        <v>30</v>
      </c>
      <c r="C13" s="49" t="s">
        <v>47</v>
      </c>
      <c r="D13" s="49" t="s">
        <v>653</v>
      </c>
      <c r="E13" s="49" t="s">
        <v>49</v>
      </c>
      <c r="F13" s="50">
        <v>8</v>
      </c>
      <c r="G13" s="50">
        <v>0</v>
      </c>
      <c r="H13" s="50">
        <v>30</v>
      </c>
      <c r="I13" s="50">
        <v>-30</v>
      </c>
      <c r="J13" s="49" t="s">
        <v>627</v>
      </c>
      <c r="K13" s="49" t="s">
        <v>34</v>
      </c>
      <c r="L13" s="49">
        <v>46239</v>
      </c>
      <c r="M13" s="49" t="s">
        <v>139</v>
      </c>
      <c r="N13" s="49"/>
      <c r="O13" s="49"/>
      <c r="P13" s="49"/>
      <c r="Q13" s="49">
        <v>1</v>
      </c>
      <c r="R13" s="51">
        <v>30</v>
      </c>
    </row>
    <row r="14" spans="1:18" s="19" customFormat="1" x14ac:dyDescent="0.25">
      <c r="A14" s="44"/>
      <c r="B14" s="45" t="s">
        <v>30</v>
      </c>
      <c r="C14" s="45" t="s">
        <v>654</v>
      </c>
      <c r="D14" s="45" t="s">
        <v>655</v>
      </c>
      <c r="E14" s="45" t="s">
        <v>656</v>
      </c>
      <c r="F14" s="45" t="s">
        <v>39</v>
      </c>
      <c r="G14" s="46">
        <v>670</v>
      </c>
      <c r="H14" s="46">
        <v>30</v>
      </c>
      <c r="I14" s="46">
        <v>640</v>
      </c>
      <c r="J14" s="45" t="s">
        <v>627</v>
      </c>
      <c r="K14" s="45" t="s">
        <v>34</v>
      </c>
      <c r="L14" s="45">
        <v>46239</v>
      </c>
      <c r="M14" s="45"/>
      <c r="N14" s="45"/>
      <c r="O14" s="45"/>
      <c r="P14" s="45"/>
      <c r="Q14" s="45">
        <v>1</v>
      </c>
      <c r="R14" s="41"/>
    </row>
    <row r="15" spans="1:18" s="19" customFormat="1" x14ac:dyDescent="0.25">
      <c r="A15" s="44" t="s">
        <v>29</v>
      </c>
      <c r="B15" s="45" t="s">
        <v>30</v>
      </c>
      <c r="C15" s="45" t="s">
        <v>353</v>
      </c>
      <c r="D15" s="45"/>
      <c r="E15" s="45" t="s">
        <v>354</v>
      </c>
      <c r="F15" s="45" t="s">
        <v>90</v>
      </c>
      <c r="G15" s="46">
        <v>30</v>
      </c>
      <c r="H15" s="46">
        <v>30</v>
      </c>
      <c r="I15" s="46">
        <v>0</v>
      </c>
      <c r="J15" s="45" t="s">
        <v>34</v>
      </c>
      <c r="K15" s="45" t="s">
        <v>34</v>
      </c>
      <c r="L15" s="45">
        <v>46239</v>
      </c>
      <c r="M15" s="45"/>
      <c r="N15" s="45"/>
      <c r="O15" s="45"/>
      <c r="P15" s="45"/>
      <c r="Q15" s="45">
        <v>1</v>
      </c>
      <c r="R15" s="41"/>
    </row>
    <row r="16" spans="1:18" s="19" customFormat="1" x14ac:dyDescent="0.25">
      <c r="A16" s="44"/>
      <c r="B16" s="45" t="s">
        <v>30</v>
      </c>
      <c r="C16" s="45" t="s">
        <v>657</v>
      </c>
      <c r="D16" s="45" t="s">
        <v>658</v>
      </c>
      <c r="E16" s="45" t="s">
        <v>659</v>
      </c>
      <c r="F16" s="45" t="s">
        <v>90</v>
      </c>
      <c r="G16" s="46">
        <v>565</v>
      </c>
      <c r="H16" s="46">
        <v>25</v>
      </c>
      <c r="I16" s="46">
        <v>540</v>
      </c>
      <c r="J16" s="45" t="s">
        <v>34</v>
      </c>
      <c r="K16" s="45" t="s">
        <v>34</v>
      </c>
      <c r="L16" s="45">
        <v>46239</v>
      </c>
      <c r="M16" s="45"/>
      <c r="N16" s="45"/>
      <c r="O16" s="45"/>
      <c r="P16" s="45"/>
      <c r="Q16" s="45">
        <v>1</v>
      </c>
      <c r="R16" s="41"/>
    </row>
    <row r="17" spans="1:18" s="19" customFormat="1" x14ac:dyDescent="0.25">
      <c r="A17" s="44"/>
      <c r="B17" s="45" t="s">
        <v>30</v>
      </c>
      <c r="C17" s="45" t="s">
        <v>660</v>
      </c>
      <c r="D17" s="45" t="s">
        <v>661</v>
      </c>
      <c r="E17" s="45" t="s">
        <v>662</v>
      </c>
      <c r="F17" s="46">
        <v>2</v>
      </c>
      <c r="G17" s="46">
        <v>1670</v>
      </c>
      <c r="H17" s="46">
        <v>30</v>
      </c>
      <c r="I17" s="46">
        <v>1640</v>
      </c>
      <c r="J17" s="45" t="s">
        <v>34</v>
      </c>
      <c r="K17" s="45" t="s">
        <v>34</v>
      </c>
      <c r="L17" s="45">
        <v>46239</v>
      </c>
      <c r="M17" s="45"/>
      <c r="N17" s="45"/>
      <c r="O17" s="45"/>
      <c r="P17" s="45"/>
      <c r="Q17" s="45">
        <v>1</v>
      </c>
      <c r="R17" s="41"/>
    </row>
    <row r="18" spans="1:18" s="19" customFormat="1" x14ac:dyDescent="0.25">
      <c r="A18" s="44"/>
      <c r="B18" s="45" t="s">
        <v>30</v>
      </c>
      <c r="C18" s="45" t="s">
        <v>339</v>
      </c>
      <c r="D18" s="45" t="s">
        <v>663</v>
      </c>
      <c r="E18" s="45" t="s">
        <v>341</v>
      </c>
      <c r="F18" s="46">
        <v>12</v>
      </c>
      <c r="G18" s="46">
        <v>741</v>
      </c>
      <c r="H18" s="46">
        <v>30</v>
      </c>
      <c r="I18" s="46">
        <v>711</v>
      </c>
      <c r="J18" s="45" t="s">
        <v>34</v>
      </c>
      <c r="K18" s="45" t="s">
        <v>34</v>
      </c>
      <c r="L18" s="45">
        <v>46239</v>
      </c>
      <c r="M18" s="45"/>
      <c r="N18" s="45"/>
      <c r="O18" s="45"/>
      <c r="P18" s="45"/>
      <c r="Q18" s="45">
        <v>1</v>
      </c>
      <c r="R18" s="41"/>
    </row>
    <row r="19" spans="1:18" s="19" customFormat="1" x14ac:dyDescent="0.25">
      <c r="A19" s="44"/>
      <c r="B19" s="45" t="s">
        <v>30</v>
      </c>
      <c r="C19" s="45" t="s">
        <v>664</v>
      </c>
      <c r="D19" s="45" t="s">
        <v>665</v>
      </c>
      <c r="E19" s="45" t="s">
        <v>666</v>
      </c>
      <c r="F19" s="46">
        <v>12</v>
      </c>
      <c r="G19" s="46">
        <v>0</v>
      </c>
      <c r="H19" s="46">
        <v>30</v>
      </c>
      <c r="I19" s="46">
        <v>-30</v>
      </c>
      <c r="J19" s="45" t="s">
        <v>34</v>
      </c>
      <c r="K19" s="45" t="s">
        <v>34</v>
      </c>
      <c r="L19" s="45">
        <v>46239</v>
      </c>
      <c r="M19" s="45"/>
      <c r="N19" s="45"/>
      <c r="O19" s="45"/>
      <c r="P19" s="45"/>
      <c r="Q19" s="45">
        <v>1</v>
      </c>
      <c r="R19" s="43">
        <v>30</v>
      </c>
    </row>
    <row r="20" spans="1:18" s="19" customFormat="1" x14ac:dyDescent="0.25">
      <c r="A20" s="44"/>
      <c r="B20" s="45" t="s">
        <v>30</v>
      </c>
      <c r="C20" s="45" t="s">
        <v>667</v>
      </c>
      <c r="D20" s="45" t="s">
        <v>668</v>
      </c>
      <c r="E20" s="45" t="s">
        <v>669</v>
      </c>
      <c r="F20" s="45" t="s">
        <v>108</v>
      </c>
      <c r="G20" s="46">
        <v>805</v>
      </c>
      <c r="H20" s="46">
        <v>25</v>
      </c>
      <c r="I20" s="46">
        <v>780</v>
      </c>
      <c r="J20" s="45" t="s">
        <v>34</v>
      </c>
      <c r="K20" s="45" t="s">
        <v>34</v>
      </c>
      <c r="L20" s="45">
        <v>46239</v>
      </c>
      <c r="M20" s="45"/>
      <c r="N20" s="45"/>
      <c r="O20" s="45"/>
      <c r="P20" s="45"/>
      <c r="Q20" s="45">
        <v>1</v>
      </c>
      <c r="R20" s="41"/>
    </row>
    <row r="21" spans="1:18" s="19" customFormat="1" x14ac:dyDescent="0.25">
      <c r="A21" s="44"/>
      <c r="B21" s="45" t="s">
        <v>30</v>
      </c>
      <c r="C21" s="45" t="s">
        <v>670</v>
      </c>
      <c r="D21" s="45" t="s">
        <v>671</v>
      </c>
      <c r="E21" s="45" t="s">
        <v>672</v>
      </c>
      <c r="F21" s="46">
        <v>12</v>
      </c>
      <c r="G21" s="46">
        <v>0</v>
      </c>
      <c r="H21" s="46">
        <v>30</v>
      </c>
      <c r="I21" s="46">
        <v>-30</v>
      </c>
      <c r="J21" s="45" t="s">
        <v>34</v>
      </c>
      <c r="K21" s="45" t="s">
        <v>34</v>
      </c>
      <c r="L21" s="45">
        <v>46239</v>
      </c>
      <c r="M21" s="45"/>
      <c r="N21" s="45"/>
      <c r="O21" s="45"/>
      <c r="P21" s="45"/>
      <c r="Q21" s="45">
        <v>1</v>
      </c>
      <c r="R21" s="43">
        <v>30</v>
      </c>
    </row>
    <row r="22" spans="1:18" s="19" customFormat="1" x14ac:dyDescent="0.25">
      <c r="A22" s="44"/>
      <c r="B22" s="45" t="s">
        <v>30</v>
      </c>
      <c r="C22" s="45" t="s">
        <v>673</v>
      </c>
      <c r="D22" s="45" t="s">
        <v>674</v>
      </c>
      <c r="E22" s="45" t="s">
        <v>675</v>
      </c>
      <c r="F22" s="46">
        <v>2</v>
      </c>
      <c r="G22" s="46">
        <v>30</v>
      </c>
      <c r="H22" s="46">
        <v>30</v>
      </c>
      <c r="I22" s="46">
        <v>0</v>
      </c>
      <c r="J22" s="45" t="s">
        <v>34</v>
      </c>
      <c r="K22" s="45" t="s">
        <v>34</v>
      </c>
      <c r="L22" s="45">
        <v>46239</v>
      </c>
      <c r="M22" s="45"/>
      <c r="N22" s="45"/>
      <c r="O22" s="45"/>
      <c r="P22" s="45"/>
      <c r="Q22" s="45">
        <v>1</v>
      </c>
      <c r="R22" s="41"/>
    </row>
    <row r="23" spans="1:18" s="19" customFormat="1" x14ac:dyDescent="0.25">
      <c r="A23" s="44"/>
      <c r="B23" s="45" t="s">
        <v>30</v>
      </c>
      <c r="C23" s="45" t="s">
        <v>676</v>
      </c>
      <c r="D23" s="45" t="s">
        <v>677</v>
      </c>
      <c r="E23" s="45" t="s">
        <v>678</v>
      </c>
      <c r="F23" s="45" t="s">
        <v>108</v>
      </c>
      <c r="G23" s="46">
        <v>50</v>
      </c>
      <c r="H23" s="46">
        <v>50</v>
      </c>
      <c r="I23" s="46">
        <v>0</v>
      </c>
      <c r="J23" s="45" t="s">
        <v>34</v>
      </c>
      <c r="K23" s="45" t="s">
        <v>34</v>
      </c>
      <c r="L23" s="45">
        <v>46239</v>
      </c>
      <c r="M23" s="45"/>
      <c r="N23" s="45"/>
      <c r="O23" s="45"/>
      <c r="P23" s="45"/>
      <c r="Q23" s="45">
        <v>1</v>
      </c>
      <c r="R23" s="41"/>
    </row>
    <row r="24" spans="1:18" s="19" customFormat="1" x14ac:dyDescent="0.25">
      <c r="A24" s="44"/>
      <c r="B24" s="45" t="s">
        <v>30</v>
      </c>
      <c r="C24" s="45" t="s">
        <v>679</v>
      </c>
      <c r="D24" s="45" t="s">
        <v>680</v>
      </c>
      <c r="E24" s="45" t="s">
        <v>681</v>
      </c>
      <c r="F24" s="45" t="s">
        <v>98</v>
      </c>
      <c r="G24" s="46">
        <v>710</v>
      </c>
      <c r="H24" s="46">
        <v>20</v>
      </c>
      <c r="I24" s="46">
        <v>690</v>
      </c>
      <c r="J24" s="45" t="s">
        <v>34</v>
      </c>
      <c r="K24" s="45" t="s">
        <v>34</v>
      </c>
      <c r="L24" s="45">
        <v>46239</v>
      </c>
      <c r="M24" s="45"/>
      <c r="N24" s="45"/>
      <c r="O24" s="45"/>
      <c r="P24" s="45"/>
      <c r="Q24" s="45">
        <v>1</v>
      </c>
      <c r="R24" s="41"/>
    </row>
    <row r="25" spans="1:18" s="19" customFormat="1" x14ac:dyDescent="0.25">
      <c r="A25" s="44"/>
      <c r="B25" s="45" t="s">
        <v>30</v>
      </c>
      <c r="C25" s="45" t="s">
        <v>682</v>
      </c>
      <c r="D25" s="45" t="s">
        <v>683</v>
      </c>
      <c r="E25" s="45" t="s">
        <v>684</v>
      </c>
      <c r="F25" s="46">
        <v>2</v>
      </c>
      <c r="G25" s="46">
        <v>820</v>
      </c>
      <c r="H25" s="46">
        <v>30</v>
      </c>
      <c r="I25" s="46">
        <v>790</v>
      </c>
      <c r="J25" s="45" t="s">
        <v>34</v>
      </c>
      <c r="K25" s="45" t="s">
        <v>34</v>
      </c>
      <c r="L25" s="45">
        <v>46239</v>
      </c>
      <c r="M25" s="45"/>
      <c r="N25" s="45"/>
      <c r="O25" s="45"/>
      <c r="P25" s="45"/>
      <c r="Q25" s="45">
        <v>1</v>
      </c>
      <c r="R25" s="41"/>
    </row>
    <row r="26" spans="1:18" s="19" customFormat="1" x14ac:dyDescent="0.25">
      <c r="A26" s="44"/>
      <c r="B26" s="45" t="s">
        <v>30</v>
      </c>
      <c r="C26" s="45" t="s">
        <v>685</v>
      </c>
      <c r="D26" s="45" t="s">
        <v>686</v>
      </c>
      <c r="E26" s="45" t="s">
        <v>687</v>
      </c>
      <c r="F26" s="45" t="s">
        <v>98</v>
      </c>
      <c r="G26" s="46">
        <v>880</v>
      </c>
      <c r="H26" s="46">
        <v>20</v>
      </c>
      <c r="I26" s="46">
        <v>860</v>
      </c>
      <c r="J26" s="45" t="s">
        <v>34</v>
      </c>
      <c r="K26" s="45" t="s">
        <v>34</v>
      </c>
      <c r="L26" s="45">
        <v>46239</v>
      </c>
      <c r="M26" s="45"/>
      <c r="N26" s="45"/>
      <c r="O26" s="45"/>
      <c r="P26" s="45"/>
      <c r="Q26" s="45">
        <v>1</v>
      </c>
      <c r="R26" s="41"/>
    </row>
    <row r="27" spans="1:18" s="19" customFormat="1" x14ac:dyDescent="0.25">
      <c r="A27" s="44"/>
      <c r="B27" s="45" t="s">
        <v>30</v>
      </c>
      <c r="C27" s="45" t="s">
        <v>348</v>
      </c>
      <c r="D27" s="45" t="s">
        <v>688</v>
      </c>
      <c r="E27" s="45" t="s">
        <v>350</v>
      </c>
      <c r="F27" s="45" t="s">
        <v>90</v>
      </c>
      <c r="G27" s="46">
        <v>845</v>
      </c>
      <c r="H27" s="46">
        <v>25</v>
      </c>
      <c r="I27" s="46">
        <v>820</v>
      </c>
      <c r="J27" s="45" t="s">
        <v>34</v>
      </c>
      <c r="K27" s="45" t="s">
        <v>34</v>
      </c>
      <c r="L27" s="45">
        <v>46239</v>
      </c>
      <c r="M27" s="45"/>
      <c r="N27" s="45"/>
      <c r="O27" s="45"/>
      <c r="P27" s="45"/>
      <c r="Q27" s="45">
        <v>1</v>
      </c>
      <c r="R27" s="41"/>
    </row>
    <row r="28" spans="1:18" s="19" customFormat="1" x14ac:dyDescent="0.25">
      <c r="A28" s="44"/>
      <c r="B28" s="45" t="s">
        <v>30</v>
      </c>
      <c r="C28" s="45" t="s">
        <v>689</v>
      </c>
      <c r="D28" s="45" t="s">
        <v>690</v>
      </c>
      <c r="E28" s="45" t="s">
        <v>691</v>
      </c>
      <c r="F28" s="46">
        <v>12</v>
      </c>
      <c r="G28" s="46">
        <v>0</v>
      </c>
      <c r="H28" s="46">
        <v>30</v>
      </c>
      <c r="I28" s="46">
        <v>-30</v>
      </c>
      <c r="J28" s="45" t="s">
        <v>34</v>
      </c>
      <c r="K28" s="45" t="s">
        <v>34</v>
      </c>
      <c r="L28" s="45">
        <v>46239</v>
      </c>
      <c r="M28" s="45"/>
      <c r="N28" s="45"/>
      <c r="O28" s="45"/>
      <c r="P28" s="45"/>
      <c r="Q28" s="45">
        <v>1</v>
      </c>
      <c r="R28" s="43">
        <v>30</v>
      </c>
    </row>
    <row r="29" spans="1:18" s="19" customFormat="1" x14ac:dyDescent="0.25">
      <c r="A29" s="44" t="s">
        <v>29</v>
      </c>
      <c r="B29" s="45" t="s">
        <v>30</v>
      </c>
      <c r="C29" s="45" t="s">
        <v>420</v>
      </c>
      <c r="D29" s="45"/>
      <c r="E29" s="45" t="s">
        <v>421</v>
      </c>
      <c r="F29" s="46">
        <v>1</v>
      </c>
      <c r="G29" s="46">
        <v>0</v>
      </c>
      <c r="H29" s="46">
        <v>30</v>
      </c>
      <c r="I29" s="46">
        <v>-30</v>
      </c>
      <c r="J29" s="45" t="s">
        <v>148</v>
      </c>
      <c r="K29" s="45" t="s">
        <v>34</v>
      </c>
      <c r="L29" s="45">
        <v>46239</v>
      </c>
      <c r="M29" s="45"/>
      <c r="N29" s="45"/>
      <c r="O29" s="45"/>
      <c r="P29" s="45"/>
      <c r="Q29" s="45">
        <v>1</v>
      </c>
      <c r="R29" s="43">
        <v>30</v>
      </c>
    </row>
    <row r="30" spans="1:18" s="19" customFormat="1" x14ac:dyDescent="0.25">
      <c r="A30" s="44"/>
      <c r="B30" s="45" t="s">
        <v>30</v>
      </c>
      <c r="C30" s="45" t="s">
        <v>692</v>
      </c>
      <c r="D30" s="45" t="s">
        <v>693</v>
      </c>
      <c r="E30" s="45" t="s">
        <v>694</v>
      </c>
      <c r="F30" s="45" t="s">
        <v>108</v>
      </c>
      <c r="G30" s="46">
        <v>0</v>
      </c>
      <c r="H30" s="46">
        <v>25</v>
      </c>
      <c r="I30" s="46">
        <v>-25</v>
      </c>
      <c r="J30" s="45" t="s">
        <v>148</v>
      </c>
      <c r="K30" s="45" t="s">
        <v>34</v>
      </c>
      <c r="L30" s="45">
        <v>46239</v>
      </c>
      <c r="M30" s="45"/>
      <c r="N30" s="45"/>
      <c r="O30" s="45"/>
      <c r="P30" s="45"/>
      <c r="Q30" s="45">
        <v>1</v>
      </c>
      <c r="R30" s="43">
        <v>25</v>
      </c>
    </row>
    <row r="31" spans="1:18" s="19" customFormat="1" x14ac:dyDescent="0.25">
      <c r="A31" s="44"/>
      <c r="B31" s="45" t="s">
        <v>30</v>
      </c>
      <c r="C31" s="45" t="s">
        <v>196</v>
      </c>
      <c r="D31" s="45" t="s">
        <v>695</v>
      </c>
      <c r="E31" s="45" t="s">
        <v>198</v>
      </c>
      <c r="F31" s="46">
        <v>4</v>
      </c>
      <c r="G31" s="46">
        <v>885</v>
      </c>
      <c r="H31" s="46">
        <v>25</v>
      </c>
      <c r="I31" s="46">
        <v>860</v>
      </c>
      <c r="J31" s="45" t="s">
        <v>148</v>
      </c>
      <c r="K31" s="45" t="s">
        <v>34</v>
      </c>
      <c r="L31" s="45">
        <v>46239</v>
      </c>
      <c r="M31" s="45"/>
      <c r="N31" s="45"/>
      <c r="O31" s="45"/>
      <c r="P31" s="45"/>
      <c r="Q31" s="45">
        <v>1</v>
      </c>
      <c r="R31" s="41"/>
    </row>
    <row r="32" spans="1:18" s="19" customFormat="1" x14ac:dyDescent="0.25">
      <c r="A32" s="44"/>
      <c r="B32" s="45" t="s">
        <v>30</v>
      </c>
      <c r="C32" s="45" t="s">
        <v>696</v>
      </c>
      <c r="D32" s="45" t="s">
        <v>697</v>
      </c>
      <c r="E32" s="45" t="s">
        <v>698</v>
      </c>
      <c r="F32" s="46">
        <v>1</v>
      </c>
      <c r="G32" s="46">
        <v>825</v>
      </c>
      <c r="H32" s="46">
        <v>25</v>
      </c>
      <c r="I32" s="46">
        <v>800</v>
      </c>
      <c r="J32" s="45" t="s">
        <v>148</v>
      </c>
      <c r="K32" s="45" t="s">
        <v>34</v>
      </c>
      <c r="L32" s="45">
        <v>46239</v>
      </c>
      <c r="M32" s="45"/>
      <c r="N32" s="45"/>
      <c r="O32" s="45"/>
      <c r="P32" s="45"/>
      <c r="Q32" s="45">
        <v>1</v>
      </c>
      <c r="R32" s="41"/>
    </row>
    <row r="33" spans="1:18" s="19" customFormat="1" x14ac:dyDescent="0.25">
      <c r="A33" s="44"/>
      <c r="B33" s="45" t="s">
        <v>30</v>
      </c>
      <c r="C33" s="45" t="s">
        <v>699</v>
      </c>
      <c r="D33" s="45" t="s">
        <v>700</v>
      </c>
      <c r="E33" s="45" t="s">
        <v>701</v>
      </c>
      <c r="F33" s="46">
        <v>10</v>
      </c>
      <c r="G33" s="46">
        <v>0</v>
      </c>
      <c r="H33" s="46">
        <v>25</v>
      </c>
      <c r="I33" s="46">
        <v>-25</v>
      </c>
      <c r="J33" s="45" t="s">
        <v>148</v>
      </c>
      <c r="K33" s="45" t="s">
        <v>34</v>
      </c>
      <c r="L33" s="45">
        <v>46239</v>
      </c>
      <c r="M33" s="45"/>
      <c r="N33" s="45"/>
      <c r="O33" s="45"/>
      <c r="P33" s="45"/>
      <c r="Q33" s="45">
        <v>1</v>
      </c>
      <c r="R33" s="43">
        <v>25</v>
      </c>
    </row>
    <row r="34" spans="1:18" s="19" customFormat="1" x14ac:dyDescent="0.25">
      <c r="A34" s="44"/>
      <c r="B34" s="45" t="s">
        <v>30</v>
      </c>
      <c r="C34" s="45" t="s">
        <v>702</v>
      </c>
      <c r="D34" s="45" t="s">
        <v>703</v>
      </c>
      <c r="E34" s="45" t="s">
        <v>704</v>
      </c>
      <c r="F34" s="46">
        <v>10</v>
      </c>
      <c r="G34" s="46">
        <v>815</v>
      </c>
      <c r="H34" s="46">
        <v>25</v>
      </c>
      <c r="I34" s="46">
        <v>790</v>
      </c>
      <c r="J34" s="45" t="s">
        <v>148</v>
      </c>
      <c r="K34" s="45" t="s">
        <v>34</v>
      </c>
      <c r="L34" s="45">
        <v>46239</v>
      </c>
      <c r="M34" s="45"/>
      <c r="N34" s="45"/>
      <c r="O34" s="45"/>
      <c r="P34" s="45"/>
      <c r="Q34" s="45">
        <v>1</v>
      </c>
      <c r="R34" s="41"/>
    </row>
    <row r="35" spans="1:18" s="19" customFormat="1" x14ac:dyDescent="0.25">
      <c r="A35" s="48"/>
      <c r="B35" s="49" t="s">
        <v>30</v>
      </c>
      <c r="C35" s="49" t="s">
        <v>705</v>
      </c>
      <c r="D35" s="49" t="s">
        <v>706</v>
      </c>
      <c r="E35" s="49" t="s">
        <v>707</v>
      </c>
      <c r="F35" s="50">
        <v>1</v>
      </c>
      <c r="G35" s="50">
        <v>25</v>
      </c>
      <c r="H35" s="50">
        <v>25</v>
      </c>
      <c r="I35" s="50">
        <v>0</v>
      </c>
      <c r="J35" s="49" t="s">
        <v>148</v>
      </c>
      <c r="K35" s="49" t="s">
        <v>34</v>
      </c>
      <c r="L35" s="49">
        <v>46239</v>
      </c>
      <c r="M35" s="49" t="s">
        <v>139</v>
      </c>
      <c r="N35" s="49"/>
      <c r="O35" s="49"/>
      <c r="P35" s="49"/>
      <c r="Q35" s="49">
        <v>1</v>
      </c>
      <c r="R35" s="52"/>
    </row>
    <row r="36" spans="1:18" s="19" customFormat="1" x14ac:dyDescent="0.25">
      <c r="A36" s="44"/>
      <c r="B36" s="45" t="s">
        <v>30</v>
      </c>
      <c r="C36" s="45" t="s">
        <v>708</v>
      </c>
      <c r="D36" s="45" t="s">
        <v>709</v>
      </c>
      <c r="E36" s="45" t="s">
        <v>710</v>
      </c>
      <c r="F36" s="46">
        <v>7</v>
      </c>
      <c r="G36" s="46">
        <v>850</v>
      </c>
      <c r="H36" s="46">
        <v>30</v>
      </c>
      <c r="I36" s="46">
        <v>820</v>
      </c>
      <c r="J36" s="45" t="s">
        <v>148</v>
      </c>
      <c r="K36" s="45" t="s">
        <v>34</v>
      </c>
      <c r="L36" s="45">
        <v>46239</v>
      </c>
      <c r="M36" s="45"/>
      <c r="N36" s="45"/>
      <c r="O36" s="45"/>
      <c r="P36" s="45"/>
      <c r="Q36" s="45">
        <v>1</v>
      </c>
      <c r="R36" s="41"/>
    </row>
    <row r="37" spans="1:18" s="19" customFormat="1" x14ac:dyDescent="0.25">
      <c r="A37" s="44"/>
      <c r="B37" s="45" t="s">
        <v>30</v>
      </c>
      <c r="C37" s="45" t="s">
        <v>711</v>
      </c>
      <c r="D37" s="45" t="s">
        <v>712</v>
      </c>
      <c r="E37" s="45" t="s">
        <v>713</v>
      </c>
      <c r="F37" s="46">
        <v>5</v>
      </c>
      <c r="G37" s="46">
        <v>0</v>
      </c>
      <c r="H37" s="46">
        <v>25</v>
      </c>
      <c r="I37" s="46">
        <v>-25</v>
      </c>
      <c r="J37" s="45" t="s">
        <v>148</v>
      </c>
      <c r="K37" s="45" t="s">
        <v>34</v>
      </c>
      <c r="L37" s="45">
        <v>46239</v>
      </c>
      <c r="M37" s="45"/>
      <c r="N37" s="45"/>
      <c r="O37" s="45"/>
      <c r="P37" s="45"/>
      <c r="Q37" s="45">
        <v>1</v>
      </c>
      <c r="R37" s="43">
        <v>25</v>
      </c>
    </row>
    <row r="38" spans="1:18" s="19" customFormat="1" x14ac:dyDescent="0.25">
      <c r="A38" s="44"/>
      <c r="B38" s="45" t="s">
        <v>30</v>
      </c>
      <c r="C38" s="45" t="s">
        <v>714</v>
      </c>
      <c r="D38" s="45" t="s">
        <v>715</v>
      </c>
      <c r="E38" s="45" t="s">
        <v>716</v>
      </c>
      <c r="F38" s="46">
        <v>10</v>
      </c>
      <c r="G38" s="46">
        <v>455</v>
      </c>
      <c r="H38" s="46">
        <v>25</v>
      </c>
      <c r="I38" s="46">
        <v>430</v>
      </c>
      <c r="J38" s="45" t="s">
        <v>148</v>
      </c>
      <c r="K38" s="45" t="s">
        <v>34</v>
      </c>
      <c r="L38" s="45">
        <v>46239</v>
      </c>
      <c r="M38" s="45"/>
      <c r="N38" s="45"/>
      <c r="O38" s="45"/>
      <c r="P38" s="45"/>
      <c r="Q38" s="45">
        <v>1</v>
      </c>
      <c r="R38" s="41"/>
    </row>
    <row r="40" spans="1:18" x14ac:dyDescent="0.25">
      <c r="G40" s="1">
        <f t="shared" ref="G40:R40" si="0">SUBTOTAL(9,G3:G39)</f>
        <v>18501</v>
      </c>
      <c r="H40" s="1">
        <f t="shared" si="0"/>
        <v>1030</v>
      </c>
      <c r="I40" s="1">
        <f t="shared" si="0"/>
        <v>17471</v>
      </c>
      <c r="J40" s="1">
        <f t="shared" si="0"/>
        <v>0</v>
      </c>
      <c r="K40" s="1">
        <f t="shared" si="0"/>
        <v>0</v>
      </c>
      <c r="L40" s="1">
        <f t="shared" si="0"/>
        <v>1664604</v>
      </c>
      <c r="M40" s="1">
        <f t="shared" si="0"/>
        <v>0</v>
      </c>
      <c r="N40" s="1">
        <f t="shared" si="0"/>
        <v>0</v>
      </c>
      <c r="O40" s="1">
        <f t="shared" si="0"/>
        <v>0</v>
      </c>
      <c r="P40" s="1">
        <f t="shared" si="0"/>
        <v>0</v>
      </c>
      <c r="Q40" s="1">
        <f t="shared" si="0"/>
        <v>36</v>
      </c>
      <c r="R40" s="1">
        <f t="shared" si="0"/>
        <v>380</v>
      </c>
    </row>
    <row r="41" spans="1:18" x14ac:dyDescent="0.25">
      <c r="I41" s="1">
        <v>-1980</v>
      </c>
      <c r="J41" s="1" t="s">
        <v>622</v>
      </c>
    </row>
    <row r="44" spans="1:18" ht="20.25" customHeight="1" x14ac:dyDescent="0.3">
      <c r="H44" s="4" t="s">
        <v>521</v>
      </c>
      <c r="I44" s="5" t="s">
        <v>15</v>
      </c>
      <c r="J44" s="6" t="s">
        <v>16</v>
      </c>
    </row>
    <row r="45" spans="1:18" ht="15.75" customHeight="1" x14ac:dyDescent="0.25">
      <c r="H45" s="7" t="s">
        <v>17</v>
      </c>
      <c r="I45" s="8">
        <f>SUM(I39:I43)</f>
        <v>15491</v>
      </c>
      <c r="J45" s="8">
        <f>Q40</f>
        <v>36</v>
      </c>
    </row>
    <row r="46" spans="1:18" x14ac:dyDescent="0.25">
      <c r="H46" s="9" t="s">
        <v>18</v>
      </c>
      <c r="I46" s="10">
        <f>R40</f>
        <v>380</v>
      </c>
      <c r="J46" s="11"/>
    </row>
    <row r="47" spans="1:18" x14ac:dyDescent="0.25">
      <c r="H47" s="9" t="s">
        <v>19</v>
      </c>
      <c r="I47" s="10">
        <f>S39</f>
        <v>0</v>
      </c>
      <c r="J47" s="11"/>
    </row>
    <row r="48" spans="1:18" x14ac:dyDescent="0.25">
      <c r="H48" s="9" t="s">
        <v>20</v>
      </c>
      <c r="I48" s="10">
        <f>T39</f>
        <v>0</v>
      </c>
      <c r="J48" s="11"/>
    </row>
    <row r="49" spans="1:12" x14ac:dyDescent="0.25">
      <c r="H49" s="9" t="s">
        <v>21</v>
      </c>
      <c r="I49" s="10">
        <f>U39</f>
        <v>0</v>
      </c>
      <c r="J49" s="11"/>
    </row>
    <row r="50" spans="1:12" ht="15.75" customHeight="1" x14ac:dyDescent="0.25">
      <c r="H50" s="12" t="s">
        <v>22</v>
      </c>
      <c r="I50" s="13"/>
      <c r="J50" s="13"/>
    </row>
    <row r="51" spans="1:12" ht="15.75" customHeight="1" x14ac:dyDescent="0.25">
      <c r="H51" s="14" t="s">
        <v>23</v>
      </c>
      <c r="I51" s="13"/>
      <c r="J51" s="13"/>
    </row>
    <row r="52" spans="1:12" ht="21" customHeight="1" x14ac:dyDescent="0.35">
      <c r="H52" s="15" t="s">
        <v>24</v>
      </c>
      <c r="I52" s="16">
        <f>SUM(I45:I51)</f>
        <v>15871</v>
      </c>
      <c r="J52" s="16">
        <f>SUM(J45:J49)</f>
        <v>36</v>
      </c>
    </row>
    <row r="54" spans="1:12" x14ac:dyDescent="0.25">
      <c r="A54" s="1" t="s">
        <v>622</v>
      </c>
    </row>
    <row r="55" spans="1:12" x14ac:dyDescent="0.25">
      <c r="A55" s="36" t="s">
        <v>30</v>
      </c>
      <c r="B55" s="36" t="s">
        <v>618</v>
      </c>
      <c r="C55" s="36" t="s">
        <v>619</v>
      </c>
      <c r="D55" s="36" t="s">
        <v>620</v>
      </c>
      <c r="E55" s="37">
        <v>7</v>
      </c>
      <c r="F55" s="37">
        <v>1980</v>
      </c>
      <c r="G55" s="37">
        <v>0</v>
      </c>
      <c r="H55" s="37">
        <f>F55-G55</f>
        <v>1980</v>
      </c>
      <c r="I55" s="36" t="s">
        <v>623</v>
      </c>
      <c r="J55" s="36" t="s">
        <v>34</v>
      </c>
      <c r="K55" s="36" t="s">
        <v>621</v>
      </c>
      <c r="L55" s="38" t="s">
        <v>624</v>
      </c>
    </row>
  </sheetData>
  <autoFilter ref="A2:P38" xr:uid="{00000000-0009-0000-0000-000006000000}">
    <sortState xmlns:xlrd2="http://schemas.microsoft.com/office/spreadsheetml/2017/richdata2" ref="A3:P38">
      <sortCondition ref="J2:J38"/>
    </sortState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CE89-8A5E-4F72-A1A8-5286164E7275}">
  <dimension ref="A1:R50"/>
  <sheetViews>
    <sheetView topLeftCell="A12" zoomScale="82" zoomScaleNormal="80" workbookViewId="0">
      <selection activeCell="A12" sqref="A12:XFD12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717</v>
      </c>
      <c r="C1" s="1" t="s">
        <v>718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22" t="s">
        <v>29</v>
      </c>
      <c r="B3" s="22" t="s">
        <v>30</v>
      </c>
      <c r="C3" s="22" t="s">
        <v>722</v>
      </c>
      <c r="D3" s="22"/>
      <c r="E3" s="22" t="s">
        <v>723</v>
      </c>
      <c r="F3" s="23">
        <v>8</v>
      </c>
      <c r="G3" s="23">
        <v>30</v>
      </c>
      <c r="H3" s="23">
        <v>30</v>
      </c>
      <c r="I3" s="23">
        <f t="shared" ref="I3:I33" si="0">G3-H3</f>
        <v>0</v>
      </c>
      <c r="J3" s="22" t="s">
        <v>724</v>
      </c>
      <c r="K3" s="22" t="s">
        <v>34</v>
      </c>
      <c r="L3" s="22" t="s">
        <v>725</v>
      </c>
      <c r="M3" s="22"/>
      <c r="N3" s="22"/>
      <c r="O3" s="22"/>
      <c r="P3" s="22"/>
      <c r="Q3" s="22">
        <v>1</v>
      </c>
    </row>
    <row r="4" spans="1:18" customFormat="1" x14ac:dyDescent="0.25">
      <c r="A4" s="22" t="s">
        <v>29</v>
      </c>
      <c r="B4" s="22" t="s">
        <v>30</v>
      </c>
      <c r="C4" s="22" t="s">
        <v>323</v>
      </c>
      <c r="D4" s="22"/>
      <c r="E4" s="22" t="s">
        <v>629</v>
      </c>
      <c r="F4" s="22" t="s">
        <v>39</v>
      </c>
      <c r="G4" s="23">
        <v>35</v>
      </c>
      <c r="H4" s="23">
        <v>35</v>
      </c>
      <c r="I4" s="23">
        <f t="shared" si="0"/>
        <v>0</v>
      </c>
      <c r="J4" s="22" t="s">
        <v>724</v>
      </c>
      <c r="K4" s="22" t="s">
        <v>34</v>
      </c>
      <c r="L4" s="22" t="s">
        <v>725</v>
      </c>
      <c r="M4" s="22"/>
      <c r="N4" s="22"/>
      <c r="O4" s="22"/>
      <c r="P4" s="22"/>
      <c r="Q4" s="22">
        <v>1</v>
      </c>
    </row>
    <row r="5" spans="1:18" customFormat="1" x14ac:dyDescent="0.25">
      <c r="A5" s="22" t="s">
        <v>29</v>
      </c>
      <c r="B5" s="22" t="s">
        <v>30</v>
      </c>
      <c r="C5" s="22" t="s">
        <v>726</v>
      </c>
      <c r="D5" s="22"/>
      <c r="E5" s="22" t="s">
        <v>727</v>
      </c>
      <c r="F5" s="23">
        <v>12</v>
      </c>
      <c r="G5" s="23">
        <v>35</v>
      </c>
      <c r="H5" s="23">
        <v>35</v>
      </c>
      <c r="I5" s="23">
        <f t="shared" si="0"/>
        <v>0</v>
      </c>
      <c r="J5" s="22" t="s">
        <v>724</v>
      </c>
      <c r="K5" s="22" t="s">
        <v>34</v>
      </c>
      <c r="L5" s="22" t="s">
        <v>725</v>
      </c>
      <c r="M5" s="22"/>
      <c r="N5" s="22"/>
      <c r="O5" s="22"/>
      <c r="P5" s="22"/>
      <c r="Q5" s="22">
        <v>1</v>
      </c>
    </row>
    <row r="6" spans="1:18" customFormat="1" x14ac:dyDescent="0.25">
      <c r="A6" s="22" t="s">
        <v>29</v>
      </c>
      <c r="B6" s="22" t="s">
        <v>30</v>
      </c>
      <c r="C6" s="22" t="s">
        <v>728</v>
      </c>
      <c r="D6" s="22"/>
      <c r="E6" s="22" t="s">
        <v>729</v>
      </c>
      <c r="F6" s="23">
        <v>6</v>
      </c>
      <c r="G6" s="23">
        <v>650</v>
      </c>
      <c r="H6" s="23">
        <v>30</v>
      </c>
      <c r="I6" s="23">
        <f t="shared" si="0"/>
        <v>620</v>
      </c>
      <c r="J6" s="22" t="s">
        <v>724</v>
      </c>
      <c r="K6" s="22" t="s">
        <v>34</v>
      </c>
      <c r="L6" s="22" t="s">
        <v>725</v>
      </c>
      <c r="M6" s="22"/>
      <c r="N6" s="22"/>
      <c r="O6" s="22"/>
      <c r="P6" s="22"/>
      <c r="Q6" s="22">
        <v>1</v>
      </c>
    </row>
    <row r="7" spans="1:18" customFormat="1" x14ac:dyDescent="0.25">
      <c r="A7" s="22"/>
      <c r="B7" s="22" t="s">
        <v>30</v>
      </c>
      <c r="C7" s="22" t="s">
        <v>730</v>
      </c>
      <c r="D7" s="22" t="s">
        <v>731</v>
      </c>
      <c r="E7" s="22" t="s">
        <v>732</v>
      </c>
      <c r="F7" s="22" t="s">
        <v>59</v>
      </c>
      <c r="G7" s="23">
        <v>0</v>
      </c>
      <c r="H7" s="23">
        <v>25</v>
      </c>
      <c r="I7" s="23">
        <f t="shared" si="0"/>
        <v>-25</v>
      </c>
      <c r="J7" s="22" t="s">
        <v>724</v>
      </c>
      <c r="K7" s="22" t="s">
        <v>34</v>
      </c>
      <c r="L7" s="22" t="s">
        <v>725</v>
      </c>
      <c r="M7" s="22"/>
      <c r="N7" s="22"/>
      <c r="O7" s="22"/>
      <c r="P7" s="22"/>
      <c r="Q7" s="22">
        <v>1</v>
      </c>
      <c r="R7" s="24">
        <f>H7</f>
        <v>25</v>
      </c>
    </row>
    <row r="8" spans="1:18" s="27" customFormat="1" x14ac:dyDescent="0.25">
      <c r="A8" s="25"/>
      <c r="B8" s="25" t="s">
        <v>30</v>
      </c>
      <c r="C8" s="25" t="s">
        <v>144</v>
      </c>
      <c r="D8" s="25" t="s">
        <v>733</v>
      </c>
      <c r="E8" s="25" t="s">
        <v>562</v>
      </c>
      <c r="F8" s="25" t="s">
        <v>147</v>
      </c>
      <c r="G8" s="26">
        <v>35</v>
      </c>
      <c r="H8" s="26">
        <v>35</v>
      </c>
      <c r="I8" s="26">
        <f t="shared" si="0"/>
        <v>0</v>
      </c>
      <c r="J8" s="25" t="s">
        <v>724</v>
      </c>
      <c r="K8" s="25" t="s">
        <v>34</v>
      </c>
      <c r="L8" s="25" t="s">
        <v>725</v>
      </c>
      <c r="M8" s="25" t="s">
        <v>139</v>
      </c>
      <c r="N8" s="25"/>
      <c r="O8" s="25"/>
      <c r="P8" s="25"/>
      <c r="Q8" s="25">
        <v>1</v>
      </c>
    </row>
    <row r="9" spans="1:18" customFormat="1" x14ac:dyDescent="0.25">
      <c r="A9" s="22"/>
      <c r="B9" s="22" t="s">
        <v>30</v>
      </c>
      <c r="C9" s="22" t="s">
        <v>734</v>
      </c>
      <c r="D9" s="22" t="s">
        <v>735</v>
      </c>
      <c r="E9" s="22" t="s">
        <v>736</v>
      </c>
      <c r="F9" s="22" t="s">
        <v>39</v>
      </c>
      <c r="G9" s="23">
        <v>0</v>
      </c>
      <c r="H9" s="23">
        <v>30</v>
      </c>
      <c r="I9" s="23">
        <f t="shared" si="0"/>
        <v>-30</v>
      </c>
      <c r="J9" s="22" t="s">
        <v>724</v>
      </c>
      <c r="K9" s="22" t="s">
        <v>34</v>
      </c>
      <c r="L9" s="22" t="s">
        <v>725</v>
      </c>
      <c r="M9" s="22"/>
      <c r="N9" s="22"/>
      <c r="O9" s="22"/>
      <c r="P9" s="22"/>
      <c r="Q9" s="22">
        <v>1</v>
      </c>
      <c r="R9" s="24">
        <f>H9</f>
        <v>30</v>
      </c>
    </row>
    <row r="10" spans="1:18" customFormat="1" x14ac:dyDescent="0.25">
      <c r="A10" s="22"/>
      <c r="B10" s="22" t="s">
        <v>30</v>
      </c>
      <c r="C10" s="22" t="s">
        <v>737</v>
      </c>
      <c r="D10" s="22" t="s">
        <v>738</v>
      </c>
      <c r="E10" s="22" t="s">
        <v>739</v>
      </c>
      <c r="F10" s="22" t="s">
        <v>39</v>
      </c>
      <c r="G10" s="23">
        <v>400</v>
      </c>
      <c r="H10" s="23">
        <v>30</v>
      </c>
      <c r="I10" s="23">
        <f t="shared" si="0"/>
        <v>370</v>
      </c>
      <c r="J10" s="22" t="s">
        <v>724</v>
      </c>
      <c r="K10" s="22" t="s">
        <v>34</v>
      </c>
      <c r="L10" s="22" t="s">
        <v>725</v>
      </c>
      <c r="M10" s="22"/>
      <c r="N10" s="22"/>
      <c r="O10" s="22"/>
      <c r="P10" s="22"/>
      <c r="Q10" s="22">
        <v>1</v>
      </c>
    </row>
    <row r="11" spans="1:18" customFormat="1" x14ac:dyDescent="0.25">
      <c r="A11" s="22"/>
      <c r="B11" s="22" t="s">
        <v>30</v>
      </c>
      <c r="C11" s="22" t="s">
        <v>740</v>
      </c>
      <c r="D11" s="22" t="s">
        <v>741</v>
      </c>
      <c r="E11" s="22" t="s">
        <v>742</v>
      </c>
      <c r="F11" s="23">
        <v>11</v>
      </c>
      <c r="G11" s="23">
        <v>665</v>
      </c>
      <c r="H11" s="23">
        <v>25</v>
      </c>
      <c r="I11" s="23">
        <f t="shared" si="0"/>
        <v>640</v>
      </c>
      <c r="J11" s="22" t="s">
        <v>724</v>
      </c>
      <c r="K11" s="22" t="s">
        <v>34</v>
      </c>
      <c r="L11" s="22" t="s">
        <v>725</v>
      </c>
      <c r="M11" s="22"/>
      <c r="N11" s="22"/>
      <c r="O11" s="22"/>
      <c r="P11" s="22"/>
      <c r="Q11" s="22">
        <v>1</v>
      </c>
    </row>
    <row r="12" spans="1:18" customFormat="1" x14ac:dyDescent="0.25">
      <c r="A12" s="22"/>
      <c r="B12" s="22" t="s">
        <v>30</v>
      </c>
      <c r="C12" s="22" t="s">
        <v>743</v>
      </c>
      <c r="D12" s="22" t="s">
        <v>744</v>
      </c>
      <c r="E12" s="22" t="s">
        <v>745</v>
      </c>
      <c r="F12" s="22" t="s">
        <v>39</v>
      </c>
      <c r="G12" s="23">
        <v>820</v>
      </c>
      <c r="H12" s="23">
        <v>30</v>
      </c>
      <c r="I12" s="23">
        <f t="shared" si="0"/>
        <v>790</v>
      </c>
      <c r="J12" s="22" t="s">
        <v>724</v>
      </c>
      <c r="K12" s="22" t="s">
        <v>34</v>
      </c>
      <c r="L12" s="22" t="s">
        <v>725</v>
      </c>
      <c r="M12" s="22"/>
      <c r="N12" s="22"/>
      <c r="O12" s="22"/>
      <c r="P12" s="22"/>
      <c r="Q12" s="22">
        <v>1</v>
      </c>
    </row>
    <row r="13" spans="1:18" customFormat="1" x14ac:dyDescent="0.25">
      <c r="A13" s="22"/>
      <c r="B13" s="22" t="s">
        <v>30</v>
      </c>
      <c r="C13" s="22" t="s">
        <v>746</v>
      </c>
      <c r="D13" s="22" t="s">
        <v>747</v>
      </c>
      <c r="E13" s="22" t="s">
        <v>748</v>
      </c>
      <c r="F13" s="23">
        <v>6</v>
      </c>
      <c r="G13" s="23">
        <v>0</v>
      </c>
      <c r="H13" s="23">
        <v>25</v>
      </c>
      <c r="I13" s="23">
        <f t="shared" si="0"/>
        <v>-25</v>
      </c>
      <c r="J13" s="22" t="s">
        <v>724</v>
      </c>
      <c r="K13" s="22" t="s">
        <v>34</v>
      </c>
      <c r="L13" s="22" t="s">
        <v>725</v>
      </c>
      <c r="M13" s="22"/>
      <c r="N13" s="22"/>
      <c r="O13" s="22"/>
      <c r="P13" s="22"/>
      <c r="Q13" s="22">
        <v>1</v>
      </c>
      <c r="R13" s="24">
        <f>H13</f>
        <v>25</v>
      </c>
    </row>
    <row r="14" spans="1:18" customFormat="1" x14ac:dyDescent="0.25">
      <c r="A14" s="22"/>
      <c r="B14" s="22" t="s">
        <v>30</v>
      </c>
      <c r="C14" s="22" t="s">
        <v>749</v>
      </c>
      <c r="D14" s="22" t="s">
        <v>750</v>
      </c>
      <c r="E14" s="22" t="s">
        <v>751</v>
      </c>
      <c r="F14" s="23">
        <v>7</v>
      </c>
      <c r="G14" s="23">
        <v>770</v>
      </c>
      <c r="H14" s="23">
        <v>30</v>
      </c>
      <c r="I14" s="23">
        <f t="shared" si="0"/>
        <v>740</v>
      </c>
      <c r="J14" s="22" t="s">
        <v>724</v>
      </c>
      <c r="K14" s="22" t="s">
        <v>34</v>
      </c>
      <c r="L14" s="22" t="s">
        <v>725</v>
      </c>
      <c r="M14" s="22"/>
      <c r="N14" s="22"/>
      <c r="O14" s="22"/>
      <c r="P14" s="22"/>
      <c r="Q14" s="22">
        <v>1</v>
      </c>
    </row>
    <row r="15" spans="1:18" customFormat="1" x14ac:dyDescent="0.25">
      <c r="A15" s="22" t="s">
        <v>29</v>
      </c>
      <c r="B15" s="22" t="s">
        <v>30</v>
      </c>
      <c r="C15" s="22" t="s">
        <v>752</v>
      </c>
      <c r="D15" s="22"/>
      <c r="E15" s="22" t="s">
        <v>753</v>
      </c>
      <c r="F15" s="22" t="s">
        <v>90</v>
      </c>
      <c r="G15" s="23">
        <v>0</v>
      </c>
      <c r="H15" s="23">
        <v>30</v>
      </c>
      <c r="I15" s="23">
        <f t="shared" si="0"/>
        <v>-30</v>
      </c>
      <c r="J15" s="22" t="s">
        <v>34</v>
      </c>
      <c r="K15" s="22" t="s">
        <v>34</v>
      </c>
      <c r="L15" s="22" t="s">
        <v>725</v>
      </c>
      <c r="M15" s="22"/>
      <c r="N15" s="22"/>
      <c r="O15" s="22"/>
      <c r="P15" s="22"/>
      <c r="Q15" s="22">
        <v>1</v>
      </c>
      <c r="R15" s="24">
        <f>H15</f>
        <v>30</v>
      </c>
    </row>
    <row r="16" spans="1:18" customFormat="1" x14ac:dyDescent="0.25">
      <c r="A16" s="22" t="s">
        <v>29</v>
      </c>
      <c r="B16" s="22" t="s">
        <v>30</v>
      </c>
      <c r="C16" s="22" t="s">
        <v>754</v>
      </c>
      <c r="D16" s="22"/>
      <c r="E16" s="22" t="s">
        <v>755</v>
      </c>
      <c r="F16" s="22" t="s">
        <v>59</v>
      </c>
      <c r="G16" s="23">
        <v>12110</v>
      </c>
      <c r="H16" s="23">
        <v>60</v>
      </c>
      <c r="I16" s="23">
        <f t="shared" si="0"/>
        <v>12050</v>
      </c>
      <c r="J16" s="22" t="s">
        <v>34</v>
      </c>
      <c r="K16" s="22" t="s">
        <v>34</v>
      </c>
      <c r="L16" s="22" t="s">
        <v>725</v>
      </c>
      <c r="M16" s="22"/>
      <c r="N16" s="22"/>
      <c r="O16" s="22"/>
      <c r="P16" s="22"/>
      <c r="Q16" s="22">
        <v>1</v>
      </c>
    </row>
    <row r="17" spans="1:18" customFormat="1" x14ac:dyDescent="0.25">
      <c r="A17" s="22"/>
      <c r="B17" s="22" t="s">
        <v>30</v>
      </c>
      <c r="C17" s="22" t="s">
        <v>756</v>
      </c>
      <c r="D17" s="22" t="s">
        <v>757</v>
      </c>
      <c r="E17" s="22" t="s">
        <v>758</v>
      </c>
      <c r="F17" s="22" t="s">
        <v>108</v>
      </c>
      <c r="G17" s="23">
        <v>795</v>
      </c>
      <c r="H17" s="23">
        <v>25</v>
      </c>
      <c r="I17" s="23">
        <f t="shared" si="0"/>
        <v>770</v>
      </c>
      <c r="J17" s="22" t="s">
        <v>34</v>
      </c>
      <c r="K17" s="22" t="s">
        <v>34</v>
      </c>
      <c r="L17" s="22" t="s">
        <v>725</v>
      </c>
      <c r="M17" s="22"/>
      <c r="N17" s="22"/>
      <c r="O17" s="22"/>
      <c r="P17" s="22"/>
      <c r="Q17" s="22">
        <v>1</v>
      </c>
    </row>
    <row r="18" spans="1:18" customFormat="1" x14ac:dyDescent="0.25">
      <c r="A18" s="22"/>
      <c r="B18" s="22" t="s">
        <v>30</v>
      </c>
      <c r="C18" s="22" t="s">
        <v>759</v>
      </c>
      <c r="D18" s="22" t="s">
        <v>760</v>
      </c>
      <c r="E18" s="22" t="s">
        <v>761</v>
      </c>
      <c r="F18" s="22" t="s">
        <v>90</v>
      </c>
      <c r="G18" s="23">
        <v>1145</v>
      </c>
      <c r="H18" s="23">
        <v>25</v>
      </c>
      <c r="I18" s="23">
        <f t="shared" si="0"/>
        <v>1120</v>
      </c>
      <c r="J18" s="22" t="s">
        <v>34</v>
      </c>
      <c r="K18" s="22" t="s">
        <v>34</v>
      </c>
      <c r="L18" s="22" t="s">
        <v>725</v>
      </c>
      <c r="M18" s="22"/>
      <c r="N18" s="22"/>
      <c r="O18" s="22"/>
      <c r="P18" s="22"/>
      <c r="Q18" s="22">
        <v>1</v>
      </c>
    </row>
    <row r="19" spans="1:18" customFormat="1" x14ac:dyDescent="0.25">
      <c r="A19" s="22"/>
      <c r="B19" s="22" t="s">
        <v>30</v>
      </c>
      <c r="C19" s="22" t="s">
        <v>762</v>
      </c>
      <c r="D19" s="22" t="s">
        <v>763</v>
      </c>
      <c r="E19" s="22" t="s">
        <v>764</v>
      </c>
      <c r="F19" s="22" t="s">
        <v>98</v>
      </c>
      <c r="G19" s="23">
        <v>3640</v>
      </c>
      <c r="H19" s="23">
        <v>30</v>
      </c>
      <c r="I19" s="23">
        <f t="shared" si="0"/>
        <v>3610</v>
      </c>
      <c r="J19" s="22" t="s">
        <v>34</v>
      </c>
      <c r="K19" s="22" t="s">
        <v>34</v>
      </c>
      <c r="L19" s="22" t="s">
        <v>725</v>
      </c>
      <c r="M19" s="28" t="s">
        <v>180</v>
      </c>
      <c r="N19" s="22"/>
      <c r="O19" s="22"/>
      <c r="P19" s="22"/>
      <c r="Q19" s="22">
        <v>1</v>
      </c>
      <c r="R19" s="24">
        <f>H19</f>
        <v>30</v>
      </c>
    </row>
    <row r="20" spans="1:18" customFormat="1" x14ac:dyDescent="0.25">
      <c r="A20" s="22"/>
      <c r="B20" s="22" t="s">
        <v>30</v>
      </c>
      <c r="C20" s="22" t="s">
        <v>765</v>
      </c>
      <c r="D20" s="22" t="s">
        <v>766</v>
      </c>
      <c r="E20" s="22" t="s">
        <v>767</v>
      </c>
      <c r="F20" s="23">
        <v>2</v>
      </c>
      <c r="G20" s="23">
        <v>690</v>
      </c>
      <c r="H20" s="23">
        <v>30</v>
      </c>
      <c r="I20" s="23">
        <f t="shared" si="0"/>
        <v>660</v>
      </c>
      <c r="J20" s="22" t="s">
        <v>34</v>
      </c>
      <c r="K20" s="22" t="s">
        <v>34</v>
      </c>
      <c r="L20" s="22" t="s">
        <v>725</v>
      </c>
      <c r="M20" s="22"/>
      <c r="N20" s="22"/>
      <c r="O20" s="22"/>
      <c r="P20" s="22"/>
      <c r="Q20" s="22">
        <v>1</v>
      </c>
    </row>
    <row r="21" spans="1:18" customFormat="1" x14ac:dyDescent="0.25">
      <c r="A21" s="22"/>
      <c r="B21" s="22" t="s">
        <v>30</v>
      </c>
      <c r="C21" s="22" t="s">
        <v>768</v>
      </c>
      <c r="D21" s="22" t="s">
        <v>769</v>
      </c>
      <c r="E21" s="22" t="s">
        <v>770</v>
      </c>
      <c r="F21" s="22" t="s">
        <v>108</v>
      </c>
      <c r="G21" s="23">
        <v>2310</v>
      </c>
      <c r="H21" s="23">
        <v>30</v>
      </c>
      <c r="I21" s="23">
        <f t="shared" si="0"/>
        <v>2280</v>
      </c>
      <c r="J21" s="22" t="s">
        <v>34</v>
      </c>
      <c r="K21" s="22" t="s">
        <v>34</v>
      </c>
      <c r="L21" s="22" t="s">
        <v>725</v>
      </c>
      <c r="M21" s="28" t="s">
        <v>180</v>
      </c>
      <c r="N21" s="22"/>
      <c r="O21" s="22"/>
      <c r="P21" s="22"/>
      <c r="Q21" s="22">
        <v>1</v>
      </c>
      <c r="R21" s="24">
        <f>H21</f>
        <v>30</v>
      </c>
    </row>
    <row r="22" spans="1:18" customFormat="1" x14ac:dyDescent="0.25">
      <c r="A22" s="22"/>
      <c r="B22" s="22" t="s">
        <v>30</v>
      </c>
      <c r="C22" s="22" t="s">
        <v>242</v>
      </c>
      <c r="D22" s="22" t="s">
        <v>771</v>
      </c>
      <c r="E22" s="22" t="s">
        <v>772</v>
      </c>
      <c r="F22" s="22" t="s">
        <v>90</v>
      </c>
      <c r="G22" s="23">
        <v>395</v>
      </c>
      <c r="H22" s="23">
        <v>25</v>
      </c>
      <c r="I22" s="23">
        <f t="shared" si="0"/>
        <v>370</v>
      </c>
      <c r="J22" s="22" t="s">
        <v>34</v>
      </c>
      <c r="K22" s="22" t="s">
        <v>34</v>
      </c>
      <c r="L22" s="22" t="s">
        <v>725</v>
      </c>
      <c r="M22" s="22"/>
      <c r="N22" s="22"/>
      <c r="O22" s="22"/>
      <c r="P22" s="22"/>
      <c r="Q22" s="22">
        <v>1</v>
      </c>
    </row>
    <row r="23" spans="1:18" s="27" customFormat="1" x14ac:dyDescent="0.25">
      <c r="A23" s="25"/>
      <c r="B23" s="25" t="s">
        <v>30</v>
      </c>
      <c r="C23" s="25" t="s">
        <v>685</v>
      </c>
      <c r="D23" s="25" t="s">
        <v>773</v>
      </c>
      <c r="E23" s="25" t="s">
        <v>687</v>
      </c>
      <c r="F23" s="25" t="s">
        <v>98</v>
      </c>
      <c r="G23" s="26">
        <v>200</v>
      </c>
      <c r="H23" s="26">
        <v>20</v>
      </c>
      <c r="I23" s="26">
        <f t="shared" si="0"/>
        <v>180</v>
      </c>
      <c r="J23" s="25" t="s">
        <v>34</v>
      </c>
      <c r="K23" s="25" t="s">
        <v>34</v>
      </c>
      <c r="L23" s="25" t="s">
        <v>725</v>
      </c>
      <c r="M23" s="25" t="s">
        <v>139</v>
      </c>
      <c r="N23" s="25"/>
      <c r="O23" s="25"/>
      <c r="P23" s="25"/>
      <c r="Q23" s="25">
        <v>1</v>
      </c>
    </row>
    <row r="24" spans="1:18" s="27" customFormat="1" x14ac:dyDescent="0.25">
      <c r="A24" s="25"/>
      <c r="B24" s="25" t="s">
        <v>30</v>
      </c>
      <c r="C24" s="25" t="s">
        <v>115</v>
      </c>
      <c r="D24" s="25" t="s">
        <v>774</v>
      </c>
      <c r="E24" s="25" t="s">
        <v>117</v>
      </c>
      <c r="F24" s="25" t="s">
        <v>90</v>
      </c>
      <c r="G24" s="26">
        <v>25</v>
      </c>
      <c r="H24" s="26">
        <v>25</v>
      </c>
      <c r="I24" s="26">
        <f t="shared" si="0"/>
        <v>0</v>
      </c>
      <c r="J24" s="25" t="s">
        <v>34</v>
      </c>
      <c r="K24" s="25" t="s">
        <v>34</v>
      </c>
      <c r="L24" s="25" t="s">
        <v>725</v>
      </c>
      <c r="M24" s="25" t="s">
        <v>139</v>
      </c>
      <c r="N24" s="25"/>
      <c r="O24" s="25"/>
      <c r="P24" s="25"/>
      <c r="Q24" s="25">
        <v>1</v>
      </c>
    </row>
    <row r="25" spans="1:18" customFormat="1" x14ac:dyDescent="0.25">
      <c r="A25" s="22" t="s">
        <v>29</v>
      </c>
      <c r="B25" s="22" t="s">
        <v>30</v>
      </c>
      <c r="C25" s="22" t="s">
        <v>775</v>
      </c>
      <c r="D25" s="22"/>
      <c r="E25" s="22" t="s">
        <v>776</v>
      </c>
      <c r="F25" s="23">
        <v>3</v>
      </c>
      <c r="G25" s="23">
        <v>2070</v>
      </c>
      <c r="H25" s="23">
        <v>30</v>
      </c>
      <c r="I25" s="23">
        <f t="shared" si="0"/>
        <v>2040</v>
      </c>
      <c r="J25" s="22" t="s">
        <v>148</v>
      </c>
      <c r="K25" s="22" t="s">
        <v>34</v>
      </c>
      <c r="L25" s="22" t="s">
        <v>725</v>
      </c>
      <c r="M25" s="22"/>
      <c r="N25" s="22"/>
      <c r="O25" s="22"/>
      <c r="P25" s="22"/>
      <c r="Q25" s="22">
        <v>1</v>
      </c>
    </row>
    <row r="26" spans="1:18" customFormat="1" x14ac:dyDescent="0.25">
      <c r="A26" s="22" t="s">
        <v>29</v>
      </c>
      <c r="B26" s="22" t="s">
        <v>30</v>
      </c>
      <c r="C26" s="22" t="s">
        <v>777</v>
      </c>
      <c r="D26" s="22"/>
      <c r="E26" s="22" t="s">
        <v>778</v>
      </c>
      <c r="F26" s="22" t="s">
        <v>108</v>
      </c>
      <c r="G26" s="23">
        <v>0</v>
      </c>
      <c r="H26" s="23">
        <v>30</v>
      </c>
      <c r="I26" s="23">
        <f t="shared" si="0"/>
        <v>-30</v>
      </c>
      <c r="J26" s="22" t="s">
        <v>148</v>
      </c>
      <c r="K26" s="22" t="s">
        <v>34</v>
      </c>
      <c r="L26" s="22" t="s">
        <v>725</v>
      </c>
      <c r="M26" s="22"/>
      <c r="N26" s="22"/>
      <c r="O26" s="22"/>
      <c r="P26" s="22"/>
      <c r="Q26" s="22">
        <v>1</v>
      </c>
      <c r="R26" s="24">
        <f>H26</f>
        <v>30</v>
      </c>
    </row>
    <row r="27" spans="1:18" customFormat="1" x14ac:dyDescent="0.25">
      <c r="A27" s="22"/>
      <c r="B27" s="22" t="s">
        <v>30</v>
      </c>
      <c r="C27" s="22" t="s">
        <v>779</v>
      </c>
      <c r="D27" s="22" t="s">
        <v>780</v>
      </c>
      <c r="E27" s="22" t="s">
        <v>781</v>
      </c>
      <c r="F27" s="23">
        <v>1</v>
      </c>
      <c r="G27" s="23">
        <v>0</v>
      </c>
      <c r="H27" s="23">
        <v>25</v>
      </c>
      <c r="I27" s="23">
        <f t="shared" si="0"/>
        <v>-25</v>
      </c>
      <c r="J27" s="22" t="s">
        <v>148</v>
      </c>
      <c r="K27" s="22" t="s">
        <v>34</v>
      </c>
      <c r="L27" s="22" t="s">
        <v>725</v>
      </c>
      <c r="M27" s="28" t="s">
        <v>782</v>
      </c>
      <c r="N27" s="22"/>
      <c r="O27" s="22"/>
      <c r="P27" s="22"/>
      <c r="Q27" s="22">
        <v>1</v>
      </c>
    </row>
    <row r="28" spans="1:18" customFormat="1" x14ac:dyDescent="0.25">
      <c r="A28" s="22"/>
      <c r="B28" s="22" t="s">
        <v>30</v>
      </c>
      <c r="C28" s="22" t="s">
        <v>783</v>
      </c>
      <c r="D28" s="22" t="s">
        <v>784</v>
      </c>
      <c r="E28" s="22" t="s">
        <v>785</v>
      </c>
      <c r="F28" s="23">
        <v>1</v>
      </c>
      <c r="G28" s="23">
        <v>0</v>
      </c>
      <c r="H28" s="23">
        <v>25</v>
      </c>
      <c r="I28" s="23">
        <f t="shared" si="0"/>
        <v>-25</v>
      </c>
      <c r="J28" s="22" t="s">
        <v>148</v>
      </c>
      <c r="K28" s="22" t="s">
        <v>34</v>
      </c>
      <c r="L28" s="22" t="s">
        <v>725</v>
      </c>
      <c r="M28" s="22"/>
      <c r="N28" s="22"/>
      <c r="O28" s="22"/>
      <c r="P28" s="22"/>
      <c r="Q28" s="22">
        <v>1</v>
      </c>
      <c r="R28" s="24">
        <f>H28</f>
        <v>25</v>
      </c>
    </row>
    <row r="29" spans="1:18" s="27" customFormat="1" x14ac:dyDescent="0.25">
      <c r="A29" s="25"/>
      <c r="B29" s="25" t="s">
        <v>30</v>
      </c>
      <c r="C29" s="25" t="s">
        <v>702</v>
      </c>
      <c r="D29" s="25" t="s">
        <v>786</v>
      </c>
      <c r="E29" s="25" t="s">
        <v>787</v>
      </c>
      <c r="F29" s="26">
        <v>10</v>
      </c>
      <c r="G29" s="26">
        <v>25</v>
      </c>
      <c r="H29" s="26">
        <v>25</v>
      </c>
      <c r="I29" s="26">
        <f t="shared" si="0"/>
        <v>0</v>
      </c>
      <c r="J29" s="25" t="s">
        <v>148</v>
      </c>
      <c r="K29" s="25" t="s">
        <v>34</v>
      </c>
      <c r="L29" s="25" t="s">
        <v>725</v>
      </c>
      <c r="M29" s="25" t="s">
        <v>139</v>
      </c>
      <c r="N29" s="25"/>
      <c r="O29" s="25"/>
      <c r="P29" s="25"/>
      <c r="Q29" s="25">
        <v>1</v>
      </c>
    </row>
    <row r="30" spans="1:18" customFormat="1" x14ac:dyDescent="0.25">
      <c r="A30" s="22"/>
      <c r="B30" s="22" t="s">
        <v>30</v>
      </c>
      <c r="C30" s="22" t="s">
        <v>788</v>
      </c>
      <c r="D30" s="22" t="s">
        <v>789</v>
      </c>
      <c r="E30" s="22" t="s">
        <v>790</v>
      </c>
      <c r="F30" s="23">
        <v>1</v>
      </c>
      <c r="G30" s="23">
        <v>0</v>
      </c>
      <c r="H30" s="23">
        <v>25</v>
      </c>
      <c r="I30" s="23">
        <f t="shared" si="0"/>
        <v>-25</v>
      </c>
      <c r="J30" s="22" t="s">
        <v>148</v>
      </c>
      <c r="K30" s="22" t="s">
        <v>34</v>
      </c>
      <c r="L30" s="22" t="s">
        <v>725</v>
      </c>
      <c r="M30" s="22"/>
      <c r="N30" s="22"/>
      <c r="O30" s="22"/>
      <c r="P30" s="22"/>
      <c r="Q30" s="22">
        <v>1</v>
      </c>
      <c r="R30" s="24">
        <f>H30</f>
        <v>25</v>
      </c>
    </row>
    <row r="31" spans="1:18" customFormat="1" x14ac:dyDescent="0.25">
      <c r="A31" s="22"/>
      <c r="B31" s="22" t="s">
        <v>30</v>
      </c>
      <c r="C31" s="22" t="s">
        <v>791</v>
      </c>
      <c r="D31" s="22" t="s">
        <v>792</v>
      </c>
      <c r="E31" s="22" t="s">
        <v>793</v>
      </c>
      <c r="F31" s="23">
        <v>10</v>
      </c>
      <c r="G31" s="23">
        <v>815</v>
      </c>
      <c r="H31" s="23">
        <v>25</v>
      </c>
      <c r="I31" s="23">
        <f t="shared" si="0"/>
        <v>790</v>
      </c>
      <c r="J31" s="22" t="s">
        <v>148</v>
      </c>
      <c r="K31" s="22" t="s">
        <v>34</v>
      </c>
      <c r="L31" s="22" t="s">
        <v>725</v>
      </c>
      <c r="M31" s="22"/>
      <c r="N31" s="22"/>
      <c r="O31" s="22"/>
      <c r="P31" s="22"/>
      <c r="Q31" s="22">
        <v>1</v>
      </c>
    </row>
    <row r="32" spans="1:18" customFormat="1" x14ac:dyDescent="0.25">
      <c r="A32" s="22"/>
      <c r="B32" s="22" t="s">
        <v>30</v>
      </c>
      <c r="C32" s="22" t="s">
        <v>794</v>
      </c>
      <c r="D32" s="22" t="s">
        <v>795</v>
      </c>
      <c r="E32" s="22" t="s">
        <v>796</v>
      </c>
      <c r="F32" s="23">
        <v>5</v>
      </c>
      <c r="G32" s="23">
        <v>775</v>
      </c>
      <c r="H32" s="23">
        <v>25</v>
      </c>
      <c r="I32" s="23">
        <f t="shared" si="0"/>
        <v>750</v>
      </c>
      <c r="J32" s="22" t="s">
        <v>148</v>
      </c>
      <c r="K32" s="22" t="s">
        <v>34</v>
      </c>
      <c r="L32" s="22" t="s">
        <v>725</v>
      </c>
      <c r="M32" s="22"/>
      <c r="N32" s="22"/>
      <c r="O32" s="22"/>
      <c r="P32" s="22"/>
      <c r="Q32" s="22">
        <v>1</v>
      </c>
    </row>
    <row r="33" spans="1:18" customFormat="1" x14ac:dyDescent="0.25">
      <c r="A33" s="22"/>
      <c r="B33" s="22" t="s">
        <v>30</v>
      </c>
      <c r="C33" s="22" t="s">
        <v>797</v>
      </c>
      <c r="D33" s="22" t="s">
        <v>798</v>
      </c>
      <c r="E33" s="22" t="s">
        <v>799</v>
      </c>
      <c r="F33" s="23">
        <v>1</v>
      </c>
      <c r="G33" s="23">
        <v>0</v>
      </c>
      <c r="H33" s="23">
        <v>25</v>
      </c>
      <c r="I33" s="23">
        <f t="shared" si="0"/>
        <v>-25</v>
      </c>
      <c r="J33" s="22" t="s">
        <v>148</v>
      </c>
      <c r="K33" s="22" t="s">
        <v>34</v>
      </c>
      <c r="L33" s="22" t="s">
        <v>725</v>
      </c>
      <c r="M33" s="22"/>
      <c r="N33" s="22"/>
      <c r="O33" s="22"/>
      <c r="P33" s="22"/>
      <c r="Q33" s="22">
        <v>1</v>
      </c>
      <c r="R33" s="24">
        <f>H33</f>
        <v>25</v>
      </c>
    </row>
    <row r="35" spans="1:18" x14ac:dyDescent="0.25">
      <c r="G35" s="1">
        <f t="shared" ref="G35:R35" si="1">SUBTOTAL(9,G3:G34)</f>
        <v>28435</v>
      </c>
      <c r="H35" s="1">
        <f t="shared" si="1"/>
        <v>895</v>
      </c>
      <c r="I35" s="1">
        <f t="shared" si="1"/>
        <v>27540</v>
      </c>
      <c r="J35" s="1">
        <f t="shared" si="1"/>
        <v>0</v>
      </c>
      <c r="K35" s="1">
        <f t="shared" si="1"/>
        <v>0</v>
      </c>
      <c r="L35" s="1">
        <f t="shared" si="1"/>
        <v>0</v>
      </c>
      <c r="M35" s="1">
        <f t="shared" si="1"/>
        <v>0</v>
      </c>
      <c r="N35" s="1">
        <f t="shared" si="1"/>
        <v>0</v>
      </c>
      <c r="O35" s="1">
        <f t="shared" si="1"/>
        <v>0</v>
      </c>
      <c r="P35" s="1">
        <f t="shared" si="1"/>
        <v>0</v>
      </c>
      <c r="Q35" s="1">
        <f t="shared" si="1"/>
        <v>31</v>
      </c>
      <c r="R35" s="1">
        <f t="shared" si="1"/>
        <v>275</v>
      </c>
    </row>
    <row r="39" spans="1:18" ht="20.25" customHeight="1" x14ac:dyDescent="0.3">
      <c r="H39" s="4" t="s">
        <v>719</v>
      </c>
      <c r="I39" s="5" t="s">
        <v>15</v>
      </c>
      <c r="J39" s="6" t="s">
        <v>16</v>
      </c>
    </row>
    <row r="40" spans="1:18" ht="15.75" customHeight="1" x14ac:dyDescent="0.25">
      <c r="H40" s="7" t="s">
        <v>17</v>
      </c>
      <c r="I40" s="8">
        <f>SUM(I34:I38)</f>
        <v>27540</v>
      </c>
      <c r="J40" s="8">
        <f>Q35</f>
        <v>31</v>
      </c>
    </row>
    <row r="41" spans="1:18" x14ac:dyDescent="0.25">
      <c r="H41" s="9" t="s">
        <v>18</v>
      </c>
      <c r="I41" s="10">
        <f>R35</f>
        <v>275</v>
      </c>
      <c r="J41" s="11"/>
    </row>
    <row r="42" spans="1:18" x14ac:dyDescent="0.25">
      <c r="H42" s="9" t="s">
        <v>19</v>
      </c>
      <c r="I42" s="10">
        <f>S34</f>
        <v>0</v>
      </c>
      <c r="J42" s="11"/>
    </row>
    <row r="43" spans="1:18" x14ac:dyDescent="0.25">
      <c r="H43" s="9" t="s">
        <v>20</v>
      </c>
      <c r="I43" s="10">
        <f>T34</f>
        <v>0</v>
      </c>
      <c r="J43" s="11"/>
    </row>
    <row r="44" spans="1:18" x14ac:dyDescent="0.25">
      <c r="H44" s="9" t="s">
        <v>21</v>
      </c>
      <c r="I44" s="10">
        <f>U34</f>
        <v>0</v>
      </c>
      <c r="J44" s="11"/>
    </row>
    <row r="45" spans="1:18" ht="15.75" customHeight="1" x14ac:dyDescent="0.25">
      <c r="H45" s="12" t="s">
        <v>22</v>
      </c>
      <c r="I45" s="13"/>
      <c r="J45" s="13"/>
    </row>
    <row r="46" spans="1:18" ht="15.75" customHeight="1" x14ac:dyDescent="0.25">
      <c r="H46" s="14" t="s">
        <v>23</v>
      </c>
      <c r="I46" s="13"/>
      <c r="J46" s="13"/>
    </row>
    <row r="47" spans="1:18" ht="21" customHeight="1" x14ac:dyDescent="0.35">
      <c r="H47" s="15" t="s">
        <v>24</v>
      </c>
      <c r="I47" s="16">
        <f>SUM(I40:I46)</f>
        <v>27815</v>
      </c>
      <c r="J47" s="16">
        <f>SUM(J40:J44)</f>
        <v>31</v>
      </c>
    </row>
    <row r="49" spans="1:12" x14ac:dyDescent="0.25">
      <c r="A49" s="1" t="s">
        <v>800</v>
      </c>
    </row>
    <row r="50" spans="1:12" x14ac:dyDescent="0.25">
      <c r="A50" s="36" t="s">
        <v>30</v>
      </c>
      <c r="B50" s="36" t="s">
        <v>779</v>
      </c>
      <c r="C50" s="36" t="s">
        <v>780</v>
      </c>
      <c r="D50" s="36" t="s">
        <v>781</v>
      </c>
      <c r="E50" s="37">
        <v>1</v>
      </c>
      <c r="F50" s="37">
        <v>975</v>
      </c>
      <c r="G50" s="37">
        <v>0</v>
      </c>
      <c r="H50" s="37">
        <f t="shared" ref="H50" si="2">F50-G50</f>
        <v>975</v>
      </c>
      <c r="I50" s="36" t="s">
        <v>148</v>
      </c>
      <c r="J50" s="36" t="s">
        <v>34</v>
      </c>
      <c r="K50" s="36" t="s">
        <v>725</v>
      </c>
      <c r="L50" s="28" t="s">
        <v>782</v>
      </c>
    </row>
  </sheetData>
  <autoFilter ref="A2:P33" xr:uid="{00000000-0009-0000-0000-000006000000}">
    <sortState xmlns:xlrd2="http://schemas.microsoft.com/office/spreadsheetml/2017/richdata2" ref="A3:P33">
      <sortCondition ref="J2:J33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7D5-9933-4EE3-ACD1-20C1C25F3DB5}">
  <dimension ref="A1:R72"/>
  <sheetViews>
    <sheetView zoomScaleNormal="100" workbookViewId="0">
      <selection activeCell="A11" sqref="A11:XFD11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205</v>
      </c>
      <c r="C1" s="1" t="s">
        <v>720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22"/>
      <c r="B3" s="22" t="s">
        <v>30</v>
      </c>
      <c r="C3" s="22" t="s">
        <v>803</v>
      </c>
      <c r="D3" s="22" t="s">
        <v>804</v>
      </c>
      <c r="E3" s="22" t="s">
        <v>805</v>
      </c>
      <c r="F3" s="23">
        <v>12</v>
      </c>
      <c r="G3" s="23">
        <v>0</v>
      </c>
      <c r="H3" s="23">
        <v>30</v>
      </c>
      <c r="I3" s="23">
        <f t="shared" ref="I3:I58" si="0">G3-H3</f>
        <v>-30</v>
      </c>
      <c r="J3" s="22" t="s">
        <v>806</v>
      </c>
      <c r="K3" s="22" t="s">
        <v>34</v>
      </c>
      <c r="L3" s="22" t="s">
        <v>807</v>
      </c>
      <c r="M3" s="22"/>
      <c r="N3" s="22"/>
      <c r="O3" s="22"/>
      <c r="P3" s="22"/>
      <c r="Q3" s="22">
        <v>1</v>
      </c>
      <c r="R3" s="24">
        <f>H3</f>
        <v>30</v>
      </c>
    </row>
    <row r="4" spans="1:18" customFormat="1" x14ac:dyDescent="0.25">
      <c r="A4" s="22"/>
      <c r="B4" s="22" t="s">
        <v>30</v>
      </c>
      <c r="C4" s="22" t="s">
        <v>808</v>
      </c>
      <c r="D4" s="22" t="s">
        <v>809</v>
      </c>
      <c r="E4" s="22" t="s">
        <v>810</v>
      </c>
      <c r="F4" s="23">
        <v>7</v>
      </c>
      <c r="G4" s="23">
        <v>1800</v>
      </c>
      <c r="H4" s="23">
        <v>30</v>
      </c>
      <c r="I4" s="23">
        <f t="shared" si="0"/>
        <v>1770</v>
      </c>
      <c r="J4" s="22" t="s">
        <v>806</v>
      </c>
      <c r="K4" s="22" t="s">
        <v>34</v>
      </c>
      <c r="L4" s="22" t="s">
        <v>807</v>
      </c>
      <c r="M4" s="22"/>
      <c r="N4" s="22"/>
      <c r="O4" s="22"/>
      <c r="P4" s="22"/>
      <c r="Q4" s="22">
        <v>1</v>
      </c>
    </row>
    <row r="5" spans="1:18" s="27" customFormat="1" x14ac:dyDescent="0.25">
      <c r="A5" s="25"/>
      <c r="B5" s="25" t="s">
        <v>30</v>
      </c>
      <c r="C5" s="25" t="s">
        <v>449</v>
      </c>
      <c r="D5" s="25" t="s">
        <v>811</v>
      </c>
      <c r="E5" s="25" t="s">
        <v>812</v>
      </c>
      <c r="F5" s="25" t="s">
        <v>152</v>
      </c>
      <c r="G5" s="26">
        <v>35</v>
      </c>
      <c r="H5" s="26">
        <v>35</v>
      </c>
      <c r="I5" s="26">
        <f t="shared" si="0"/>
        <v>0</v>
      </c>
      <c r="J5" s="25" t="s">
        <v>806</v>
      </c>
      <c r="K5" s="25" t="s">
        <v>34</v>
      </c>
      <c r="L5" s="25" t="s">
        <v>807</v>
      </c>
      <c r="M5" s="25" t="s">
        <v>139</v>
      </c>
      <c r="N5" s="25"/>
      <c r="O5" s="25"/>
      <c r="P5" s="25"/>
      <c r="Q5" s="25">
        <v>1</v>
      </c>
    </row>
    <row r="6" spans="1:18" customFormat="1" x14ac:dyDescent="0.25">
      <c r="A6" s="22"/>
      <c r="B6" s="22" t="s">
        <v>30</v>
      </c>
      <c r="C6" s="22" t="s">
        <v>813</v>
      </c>
      <c r="D6" s="22" t="s">
        <v>814</v>
      </c>
      <c r="E6" s="22" t="s">
        <v>815</v>
      </c>
      <c r="F6" s="23">
        <v>8</v>
      </c>
      <c r="G6" s="23">
        <v>820</v>
      </c>
      <c r="H6" s="23">
        <v>30</v>
      </c>
      <c r="I6" s="23">
        <f t="shared" si="0"/>
        <v>790</v>
      </c>
      <c r="J6" s="22" t="s">
        <v>806</v>
      </c>
      <c r="K6" s="22" t="s">
        <v>34</v>
      </c>
      <c r="L6" s="22" t="s">
        <v>807</v>
      </c>
      <c r="M6" s="22"/>
      <c r="N6" s="22"/>
      <c r="O6" s="22"/>
      <c r="P6" s="22"/>
      <c r="Q6" s="22">
        <v>1</v>
      </c>
    </row>
    <row r="7" spans="1:18" customFormat="1" x14ac:dyDescent="0.25">
      <c r="A7" s="22"/>
      <c r="B7" s="22" t="s">
        <v>30</v>
      </c>
      <c r="C7" s="22" t="s">
        <v>816</v>
      </c>
      <c r="D7" s="22" t="s">
        <v>817</v>
      </c>
      <c r="E7" s="22" t="s">
        <v>818</v>
      </c>
      <c r="F7" s="22" t="s">
        <v>39</v>
      </c>
      <c r="G7" s="23">
        <v>790</v>
      </c>
      <c r="H7" s="23">
        <v>30</v>
      </c>
      <c r="I7" s="23">
        <f t="shared" si="0"/>
        <v>760</v>
      </c>
      <c r="J7" s="22" t="s">
        <v>806</v>
      </c>
      <c r="K7" s="22" t="s">
        <v>34</v>
      </c>
      <c r="L7" s="22" t="s">
        <v>807</v>
      </c>
      <c r="M7" s="22"/>
      <c r="N7" s="22"/>
      <c r="O7" s="22"/>
      <c r="P7" s="22"/>
      <c r="Q7" s="22">
        <v>1</v>
      </c>
    </row>
    <row r="8" spans="1:18" customFormat="1" x14ac:dyDescent="0.25">
      <c r="A8" s="22"/>
      <c r="B8" s="22" t="s">
        <v>30</v>
      </c>
      <c r="C8" s="22" t="s">
        <v>819</v>
      </c>
      <c r="D8" s="22" t="s">
        <v>820</v>
      </c>
      <c r="E8" s="22" t="s">
        <v>821</v>
      </c>
      <c r="F8" s="23">
        <v>7</v>
      </c>
      <c r="G8" s="23">
        <v>780</v>
      </c>
      <c r="H8" s="23">
        <v>30</v>
      </c>
      <c r="I8" s="23">
        <f t="shared" si="0"/>
        <v>750</v>
      </c>
      <c r="J8" s="22" t="s">
        <v>806</v>
      </c>
      <c r="K8" s="22" t="s">
        <v>34</v>
      </c>
      <c r="L8" s="22" t="s">
        <v>807</v>
      </c>
      <c r="M8" s="22"/>
      <c r="N8" s="22"/>
      <c r="O8" s="22"/>
      <c r="P8" s="22"/>
      <c r="Q8" s="22">
        <v>1</v>
      </c>
    </row>
    <row r="9" spans="1:18" customFormat="1" x14ac:dyDescent="0.25">
      <c r="A9" s="22"/>
      <c r="B9" s="22" t="s">
        <v>30</v>
      </c>
      <c r="C9" s="22" t="s">
        <v>822</v>
      </c>
      <c r="D9" s="22" t="s">
        <v>823</v>
      </c>
      <c r="E9" s="22" t="s">
        <v>824</v>
      </c>
      <c r="F9" s="22" t="s">
        <v>39</v>
      </c>
      <c r="G9" s="23">
        <v>1090</v>
      </c>
      <c r="H9" s="23">
        <v>30</v>
      </c>
      <c r="I9" s="23">
        <f t="shared" si="0"/>
        <v>1060</v>
      </c>
      <c r="J9" s="22" t="s">
        <v>806</v>
      </c>
      <c r="K9" s="22" t="s">
        <v>34</v>
      </c>
      <c r="L9" s="22" t="s">
        <v>807</v>
      </c>
      <c r="M9" s="22"/>
      <c r="N9" s="22"/>
      <c r="O9" s="22"/>
      <c r="P9" s="22"/>
      <c r="Q9" s="22">
        <v>1</v>
      </c>
    </row>
    <row r="10" spans="1:18" customFormat="1" x14ac:dyDescent="0.25">
      <c r="A10" s="22"/>
      <c r="B10" s="22" t="s">
        <v>30</v>
      </c>
      <c r="C10" s="22" t="s">
        <v>825</v>
      </c>
      <c r="D10" s="22" t="s">
        <v>826</v>
      </c>
      <c r="E10" s="22" t="s">
        <v>827</v>
      </c>
      <c r="F10" s="23">
        <v>7</v>
      </c>
      <c r="G10" s="23">
        <v>850</v>
      </c>
      <c r="H10" s="23">
        <v>30</v>
      </c>
      <c r="I10" s="23">
        <f t="shared" si="0"/>
        <v>820</v>
      </c>
      <c r="J10" s="22" t="s">
        <v>806</v>
      </c>
      <c r="K10" s="22" t="s">
        <v>34</v>
      </c>
      <c r="L10" s="22" t="s">
        <v>807</v>
      </c>
      <c r="M10" s="22"/>
      <c r="N10" s="22"/>
      <c r="O10" s="22"/>
      <c r="P10" s="22"/>
      <c r="Q10" s="22">
        <v>1</v>
      </c>
    </row>
    <row r="11" spans="1:18" customFormat="1" x14ac:dyDescent="0.25">
      <c r="A11" s="22"/>
      <c r="B11" s="22" t="s">
        <v>30</v>
      </c>
      <c r="C11" s="22" t="s">
        <v>828</v>
      </c>
      <c r="D11" s="22" t="s">
        <v>829</v>
      </c>
      <c r="E11" s="22" t="s">
        <v>830</v>
      </c>
      <c r="F11" s="22" t="s">
        <v>147</v>
      </c>
      <c r="G11" s="23">
        <v>1185</v>
      </c>
      <c r="H11" s="23">
        <v>35</v>
      </c>
      <c r="I11" s="23">
        <f t="shared" si="0"/>
        <v>1150</v>
      </c>
      <c r="J11" s="22" t="s">
        <v>806</v>
      </c>
      <c r="K11" s="22" t="s">
        <v>34</v>
      </c>
      <c r="L11" s="22" t="s">
        <v>807</v>
      </c>
      <c r="M11" s="22"/>
      <c r="N11" s="22"/>
      <c r="O11" s="22"/>
      <c r="P11" s="22"/>
      <c r="Q11" s="22">
        <v>1</v>
      </c>
    </row>
    <row r="12" spans="1:18" customFormat="1" x14ac:dyDescent="0.25">
      <c r="A12" s="22"/>
      <c r="B12" s="22" t="s">
        <v>30</v>
      </c>
      <c r="C12" s="22" t="s">
        <v>831</v>
      </c>
      <c r="D12" s="22" t="s">
        <v>832</v>
      </c>
      <c r="E12" s="22" t="s">
        <v>833</v>
      </c>
      <c r="F12" s="22" t="s">
        <v>59</v>
      </c>
      <c r="G12" s="23">
        <v>975</v>
      </c>
      <c r="H12" s="23">
        <v>25</v>
      </c>
      <c r="I12" s="23">
        <f t="shared" si="0"/>
        <v>950</v>
      </c>
      <c r="J12" s="22" t="s">
        <v>806</v>
      </c>
      <c r="K12" s="22" t="s">
        <v>34</v>
      </c>
      <c r="L12" s="22" t="s">
        <v>807</v>
      </c>
      <c r="M12" s="22"/>
      <c r="N12" s="22"/>
      <c r="O12" s="22"/>
      <c r="P12" s="22"/>
      <c r="Q12" s="22">
        <v>1</v>
      </c>
    </row>
    <row r="13" spans="1:18" customFormat="1" x14ac:dyDescent="0.25">
      <c r="A13" s="22"/>
      <c r="B13" s="22" t="s">
        <v>30</v>
      </c>
      <c r="C13" s="22" t="s">
        <v>834</v>
      </c>
      <c r="D13" s="22" t="s">
        <v>835</v>
      </c>
      <c r="E13" s="22" t="s">
        <v>836</v>
      </c>
      <c r="F13" s="22" t="s">
        <v>39</v>
      </c>
      <c r="G13" s="23">
        <v>0</v>
      </c>
      <c r="H13" s="23">
        <v>30</v>
      </c>
      <c r="I13" s="23">
        <f t="shared" si="0"/>
        <v>-30</v>
      </c>
      <c r="J13" s="22" t="s">
        <v>806</v>
      </c>
      <c r="K13" s="22" t="s">
        <v>34</v>
      </c>
      <c r="L13" s="22" t="s">
        <v>807</v>
      </c>
      <c r="M13" s="22"/>
      <c r="N13" s="22"/>
      <c r="O13" s="22"/>
      <c r="P13" s="22"/>
      <c r="Q13" s="22">
        <v>1</v>
      </c>
      <c r="R13" s="24">
        <f>H13</f>
        <v>30</v>
      </c>
    </row>
    <row r="14" spans="1:18" customFormat="1" x14ac:dyDescent="0.25">
      <c r="A14" s="22"/>
      <c r="B14" s="22" t="s">
        <v>30</v>
      </c>
      <c r="C14" s="22" t="s">
        <v>837</v>
      </c>
      <c r="D14" s="22" t="s">
        <v>838</v>
      </c>
      <c r="E14" s="22" t="s">
        <v>839</v>
      </c>
      <c r="F14" s="22" t="s">
        <v>152</v>
      </c>
      <c r="G14" s="23">
        <v>905</v>
      </c>
      <c r="H14" s="23">
        <v>35</v>
      </c>
      <c r="I14" s="23">
        <f t="shared" si="0"/>
        <v>870</v>
      </c>
      <c r="J14" s="22" t="s">
        <v>806</v>
      </c>
      <c r="K14" s="22" t="s">
        <v>34</v>
      </c>
      <c r="L14" s="22" t="s">
        <v>807</v>
      </c>
      <c r="M14" s="22"/>
      <c r="N14" s="22"/>
      <c r="O14" s="22"/>
      <c r="P14" s="22"/>
      <c r="Q14" s="22">
        <v>1</v>
      </c>
    </row>
    <row r="15" spans="1:18" customFormat="1" x14ac:dyDescent="0.25">
      <c r="A15" s="22"/>
      <c r="B15" s="22" t="s">
        <v>30</v>
      </c>
      <c r="C15" s="22" t="s">
        <v>840</v>
      </c>
      <c r="D15" s="22" t="s">
        <v>841</v>
      </c>
      <c r="E15" s="22" t="s">
        <v>842</v>
      </c>
      <c r="F15" s="22" t="s">
        <v>59</v>
      </c>
      <c r="G15" s="23">
        <v>0</v>
      </c>
      <c r="H15" s="23">
        <v>25</v>
      </c>
      <c r="I15" s="23">
        <f t="shared" si="0"/>
        <v>-25</v>
      </c>
      <c r="J15" s="22" t="s">
        <v>806</v>
      </c>
      <c r="K15" s="22" t="s">
        <v>34</v>
      </c>
      <c r="L15" s="22" t="s">
        <v>807</v>
      </c>
      <c r="M15" s="22"/>
      <c r="N15" s="22"/>
      <c r="O15" s="22"/>
      <c r="P15" s="22"/>
      <c r="Q15" s="22">
        <v>1</v>
      </c>
      <c r="R15" s="24">
        <f t="shared" ref="R15:R16" si="1">H15</f>
        <v>25</v>
      </c>
    </row>
    <row r="16" spans="1:18" customFormat="1" x14ac:dyDescent="0.25">
      <c r="A16" s="22" t="s">
        <v>29</v>
      </c>
      <c r="B16" s="22" t="s">
        <v>30</v>
      </c>
      <c r="C16" s="22" t="s">
        <v>843</v>
      </c>
      <c r="D16" s="22"/>
      <c r="E16" s="22" t="s">
        <v>844</v>
      </c>
      <c r="F16" s="23">
        <v>12</v>
      </c>
      <c r="G16" s="23">
        <v>0</v>
      </c>
      <c r="H16" s="23">
        <v>30</v>
      </c>
      <c r="I16" s="23">
        <f t="shared" si="0"/>
        <v>-30</v>
      </c>
      <c r="J16" s="22" t="s">
        <v>806</v>
      </c>
      <c r="K16" s="22" t="s">
        <v>34</v>
      </c>
      <c r="L16" s="22" t="s">
        <v>807</v>
      </c>
      <c r="M16" s="22"/>
      <c r="N16" s="22"/>
      <c r="O16" s="22"/>
      <c r="P16" s="22"/>
      <c r="Q16" s="22">
        <v>1</v>
      </c>
      <c r="R16" s="24">
        <f t="shared" si="1"/>
        <v>30</v>
      </c>
    </row>
    <row r="17" spans="1:18" customFormat="1" x14ac:dyDescent="0.25">
      <c r="A17" s="22"/>
      <c r="B17" s="22" t="s">
        <v>30</v>
      </c>
      <c r="C17" s="22" t="s">
        <v>845</v>
      </c>
      <c r="D17" s="22" t="s">
        <v>846</v>
      </c>
      <c r="E17" s="22" t="s">
        <v>847</v>
      </c>
      <c r="F17" s="23">
        <v>7</v>
      </c>
      <c r="G17" s="23">
        <v>820</v>
      </c>
      <c r="H17" s="23">
        <v>30</v>
      </c>
      <c r="I17" s="23">
        <f t="shared" si="0"/>
        <v>790</v>
      </c>
      <c r="J17" s="22" t="s">
        <v>806</v>
      </c>
      <c r="K17" s="22" t="s">
        <v>34</v>
      </c>
      <c r="L17" s="22" t="s">
        <v>807</v>
      </c>
      <c r="M17" s="22"/>
      <c r="N17" s="22"/>
      <c r="O17" s="22"/>
      <c r="P17" s="22"/>
      <c r="Q17" s="22">
        <v>1</v>
      </c>
    </row>
    <row r="18" spans="1:18" customFormat="1" x14ac:dyDescent="0.25">
      <c r="A18" s="22"/>
      <c r="B18" s="22" t="s">
        <v>30</v>
      </c>
      <c r="C18" s="22" t="s">
        <v>848</v>
      </c>
      <c r="D18" s="22" t="s">
        <v>849</v>
      </c>
      <c r="E18" s="22" t="s">
        <v>850</v>
      </c>
      <c r="F18" s="23">
        <v>7</v>
      </c>
      <c r="G18" s="23">
        <v>780</v>
      </c>
      <c r="H18" s="23">
        <v>30</v>
      </c>
      <c r="I18" s="23">
        <f t="shared" si="0"/>
        <v>750</v>
      </c>
      <c r="J18" s="22" t="s">
        <v>806</v>
      </c>
      <c r="K18" s="22" t="s">
        <v>34</v>
      </c>
      <c r="L18" s="22" t="s">
        <v>807</v>
      </c>
      <c r="M18" s="22"/>
      <c r="N18" s="22"/>
      <c r="O18" s="22"/>
      <c r="P18" s="22"/>
      <c r="Q18" s="22">
        <v>1</v>
      </c>
    </row>
    <row r="19" spans="1:18" customFormat="1" x14ac:dyDescent="0.25">
      <c r="A19" s="22"/>
      <c r="B19" s="22" t="s">
        <v>30</v>
      </c>
      <c r="C19" s="22" t="s">
        <v>851</v>
      </c>
      <c r="D19" s="22" t="s">
        <v>852</v>
      </c>
      <c r="E19" s="22" t="s">
        <v>853</v>
      </c>
      <c r="F19" s="23">
        <v>8</v>
      </c>
      <c r="G19" s="23">
        <v>890</v>
      </c>
      <c r="H19" s="23">
        <v>30</v>
      </c>
      <c r="I19" s="23">
        <f t="shared" si="0"/>
        <v>860</v>
      </c>
      <c r="J19" s="22" t="s">
        <v>806</v>
      </c>
      <c r="K19" s="22" t="s">
        <v>34</v>
      </c>
      <c r="L19" s="22" t="s">
        <v>807</v>
      </c>
      <c r="M19" s="22"/>
      <c r="N19" s="22"/>
      <c r="O19" s="22"/>
      <c r="P19" s="22"/>
      <c r="Q19" s="22">
        <v>1</v>
      </c>
    </row>
    <row r="20" spans="1:18" customFormat="1" x14ac:dyDescent="0.25">
      <c r="A20" s="22"/>
      <c r="B20" s="22" t="s">
        <v>30</v>
      </c>
      <c r="C20" s="22" t="s">
        <v>854</v>
      </c>
      <c r="D20" s="22" t="s">
        <v>855</v>
      </c>
      <c r="E20" s="22" t="s">
        <v>856</v>
      </c>
      <c r="F20" s="23">
        <v>8</v>
      </c>
      <c r="G20" s="23">
        <v>900</v>
      </c>
      <c r="H20" s="23">
        <v>30</v>
      </c>
      <c r="I20" s="23">
        <f t="shared" si="0"/>
        <v>870</v>
      </c>
      <c r="J20" s="22" t="s">
        <v>806</v>
      </c>
      <c r="K20" s="22" t="s">
        <v>34</v>
      </c>
      <c r="L20" s="22" t="s">
        <v>807</v>
      </c>
      <c r="M20" s="22"/>
      <c r="N20" s="22"/>
      <c r="O20" s="22"/>
      <c r="P20" s="22"/>
      <c r="Q20" s="22">
        <v>1</v>
      </c>
    </row>
    <row r="21" spans="1:18" customFormat="1" x14ac:dyDescent="0.25">
      <c r="A21" s="22"/>
      <c r="B21" s="22" t="s">
        <v>30</v>
      </c>
      <c r="C21" s="22" t="s">
        <v>857</v>
      </c>
      <c r="D21" s="22" t="s">
        <v>858</v>
      </c>
      <c r="E21" s="22" t="s">
        <v>859</v>
      </c>
      <c r="F21" s="22" t="s">
        <v>59</v>
      </c>
      <c r="G21" s="23">
        <v>845</v>
      </c>
      <c r="H21" s="23">
        <v>25</v>
      </c>
      <c r="I21" s="23">
        <f t="shared" si="0"/>
        <v>820</v>
      </c>
      <c r="J21" s="22" t="s">
        <v>806</v>
      </c>
      <c r="K21" s="22" t="s">
        <v>34</v>
      </c>
      <c r="L21" s="22" t="s">
        <v>807</v>
      </c>
      <c r="M21" s="22"/>
      <c r="N21" s="22"/>
      <c r="O21" s="22"/>
      <c r="P21" s="22"/>
      <c r="Q21" s="22">
        <v>1</v>
      </c>
    </row>
    <row r="22" spans="1:18" s="27" customFormat="1" x14ac:dyDescent="0.25">
      <c r="A22" s="25"/>
      <c r="B22" s="25" t="s">
        <v>30</v>
      </c>
      <c r="C22" s="25" t="s">
        <v>860</v>
      </c>
      <c r="D22" s="25" t="s">
        <v>861</v>
      </c>
      <c r="E22" s="25" t="s">
        <v>862</v>
      </c>
      <c r="F22" s="26">
        <v>7</v>
      </c>
      <c r="G22" s="26">
        <v>30</v>
      </c>
      <c r="H22" s="26">
        <v>30</v>
      </c>
      <c r="I22" s="26">
        <f t="shared" si="0"/>
        <v>0</v>
      </c>
      <c r="J22" s="25" t="s">
        <v>806</v>
      </c>
      <c r="K22" s="25" t="s">
        <v>34</v>
      </c>
      <c r="L22" s="25" t="s">
        <v>807</v>
      </c>
      <c r="M22" s="25" t="s">
        <v>139</v>
      </c>
      <c r="N22" s="25"/>
      <c r="O22" s="25"/>
      <c r="P22" s="25"/>
      <c r="Q22" s="25">
        <v>1</v>
      </c>
    </row>
    <row r="23" spans="1:18" customFormat="1" x14ac:dyDescent="0.25">
      <c r="A23" s="22" t="s">
        <v>29</v>
      </c>
      <c r="B23" s="22" t="s">
        <v>30</v>
      </c>
      <c r="C23" s="22" t="s">
        <v>202</v>
      </c>
      <c r="D23" s="22"/>
      <c r="E23" s="22" t="s">
        <v>863</v>
      </c>
      <c r="F23" s="23">
        <v>5</v>
      </c>
      <c r="G23" s="23">
        <v>30</v>
      </c>
      <c r="H23" s="23">
        <v>30</v>
      </c>
      <c r="I23" s="23">
        <f t="shared" si="0"/>
        <v>0</v>
      </c>
      <c r="J23" s="22" t="s">
        <v>806</v>
      </c>
      <c r="K23" s="22" t="s">
        <v>34</v>
      </c>
      <c r="L23" s="22" t="s">
        <v>807</v>
      </c>
      <c r="M23" s="22"/>
      <c r="N23" s="22"/>
      <c r="O23" s="22"/>
      <c r="P23" s="22"/>
      <c r="Q23" s="22">
        <v>1</v>
      </c>
    </row>
    <row r="24" spans="1:18" customFormat="1" x14ac:dyDescent="0.25">
      <c r="A24" s="22" t="s">
        <v>29</v>
      </c>
      <c r="B24" s="22" t="s">
        <v>30</v>
      </c>
      <c r="C24" s="22" t="s">
        <v>864</v>
      </c>
      <c r="D24" s="22"/>
      <c r="E24" s="22" t="s">
        <v>626</v>
      </c>
      <c r="F24" s="23">
        <v>6</v>
      </c>
      <c r="G24" s="23">
        <v>0</v>
      </c>
      <c r="H24" s="23">
        <v>30</v>
      </c>
      <c r="I24" s="23">
        <f t="shared" si="0"/>
        <v>-30</v>
      </c>
      <c r="J24" s="22" t="s">
        <v>806</v>
      </c>
      <c r="K24" s="22" t="s">
        <v>34</v>
      </c>
      <c r="L24" s="22" t="s">
        <v>807</v>
      </c>
      <c r="M24" s="22"/>
      <c r="N24" s="22"/>
      <c r="O24" s="22"/>
      <c r="P24" s="22"/>
      <c r="Q24" s="22">
        <v>1</v>
      </c>
      <c r="R24" s="24">
        <f>H24</f>
        <v>30</v>
      </c>
    </row>
    <row r="25" spans="1:18" customFormat="1" x14ac:dyDescent="0.25">
      <c r="A25" s="22"/>
      <c r="B25" s="22" t="s">
        <v>30</v>
      </c>
      <c r="C25" s="22" t="s">
        <v>865</v>
      </c>
      <c r="D25" s="22" t="s">
        <v>866</v>
      </c>
      <c r="E25" s="22" t="s">
        <v>867</v>
      </c>
      <c r="F25" s="22" t="s">
        <v>90</v>
      </c>
      <c r="G25" s="23">
        <v>975</v>
      </c>
      <c r="H25" s="23">
        <v>25</v>
      </c>
      <c r="I25" s="23">
        <f t="shared" si="0"/>
        <v>950</v>
      </c>
      <c r="J25" s="22" t="s">
        <v>34</v>
      </c>
      <c r="K25" s="22" t="s">
        <v>34</v>
      </c>
      <c r="L25" s="22" t="s">
        <v>807</v>
      </c>
      <c r="M25" s="22"/>
      <c r="N25" s="22"/>
      <c r="O25" s="22"/>
      <c r="P25" s="22"/>
      <c r="Q25" s="22">
        <v>1</v>
      </c>
    </row>
    <row r="26" spans="1:18" customFormat="1" x14ac:dyDescent="0.25">
      <c r="A26" s="22"/>
      <c r="B26" s="22" t="s">
        <v>30</v>
      </c>
      <c r="C26" s="22" t="s">
        <v>868</v>
      </c>
      <c r="D26" s="22" t="s">
        <v>869</v>
      </c>
      <c r="E26" s="22" t="s">
        <v>870</v>
      </c>
      <c r="F26" s="23">
        <v>2</v>
      </c>
      <c r="G26" s="23">
        <v>850</v>
      </c>
      <c r="H26" s="23">
        <v>30</v>
      </c>
      <c r="I26" s="23">
        <f t="shared" si="0"/>
        <v>820</v>
      </c>
      <c r="J26" s="22" t="s">
        <v>34</v>
      </c>
      <c r="K26" s="22" t="s">
        <v>34</v>
      </c>
      <c r="L26" s="22" t="s">
        <v>807</v>
      </c>
      <c r="M26" s="22"/>
      <c r="N26" s="22"/>
      <c r="O26" s="22"/>
      <c r="P26" s="22"/>
      <c r="Q26" s="22">
        <v>1</v>
      </c>
    </row>
    <row r="27" spans="1:18" customFormat="1" x14ac:dyDescent="0.25">
      <c r="A27" s="22"/>
      <c r="B27" s="22" t="s">
        <v>30</v>
      </c>
      <c r="C27" s="22" t="s">
        <v>871</v>
      </c>
      <c r="D27" s="22" t="s">
        <v>872</v>
      </c>
      <c r="E27" s="22" t="s">
        <v>873</v>
      </c>
      <c r="F27" s="23">
        <v>2</v>
      </c>
      <c r="G27" s="23">
        <v>400</v>
      </c>
      <c r="H27" s="23">
        <v>30</v>
      </c>
      <c r="I27" s="23">
        <f t="shared" si="0"/>
        <v>370</v>
      </c>
      <c r="J27" s="22" t="s">
        <v>34</v>
      </c>
      <c r="K27" s="22" t="s">
        <v>34</v>
      </c>
      <c r="L27" s="22" t="s">
        <v>807</v>
      </c>
      <c r="M27" s="22"/>
      <c r="N27" s="22"/>
      <c r="O27" s="22"/>
      <c r="P27" s="22"/>
      <c r="Q27" s="22">
        <v>1</v>
      </c>
    </row>
    <row r="28" spans="1:18" s="27" customFormat="1" x14ac:dyDescent="0.25">
      <c r="A28" s="25"/>
      <c r="B28" s="25" t="s">
        <v>30</v>
      </c>
      <c r="C28" s="25" t="s">
        <v>682</v>
      </c>
      <c r="D28" s="25" t="s">
        <v>874</v>
      </c>
      <c r="E28" s="25" t="s">
        <v>684</v>
      </c>
      <c r="F28" s="26">
        <v>2</v>
      </c>
      <c r="G28" s="26">
        <v>0</v>
      </c>
      <c r="H28" s="26">
        <v>30</v>
      </c>
      <c r="I28" s="26">
        <f t="shared" si="0"/>
        <v>-30</v>
      </c>
      <c r="J28" s="25" t="s">
        <v>34</v>
      </c>
      <c r="K28" s="25" t="s">
        <v>34</v>
      </c>
      <c r="L28" s="25" t="s">
        <v>807</v>
      </c>
      <c r="M28" s="25" t="s">
        <v>139</v>
      </c>
      <c r="N28" s="25"/>
      <c r="O28" s="25"/>
      <c r="P28" s="25"/>
      <c r="Q28" s="25">
        <v>1</v>
      </c>
      <c r="R28" s="31">
        <f>H28</f>
        <v>30</v>
      </c>
    </row>
    <row r="29" spans="1:18" customFormat="1" x14ac:dyDescent="0.25">
      <c r="A29" s="22"/>
      <c r="B29" s="22" t="s">
        <v>30</v>
      </c>
      <c r="C29" s="22" t="s">
        <v>875</v>
      </c>
      <c r="D29" s="22" t="s">
        <v>876</v>
      </c>
      <c r="E29" s="22" t="s">
        <v>877</v>
      </c>
      <c r="F29" s="22" t="s">
        <v>98</v>
      </c>
      <c r="G29" s="23">
        <v>840</v>
      </c>
      <c r="H29" s="23">
        <v>20</v>
      </c>
      <c r="I29" s="23">
        <f t="shared" si="0"/>
        <v>820</v>
      </c>
      <c r="J29" s="22" t="s">
        <v>34</v>
      </c>
      <c r="K29" s="22" t="s">
        <v>34</v>
      </c>
      <c r="L29" s="22" t="s">
        <v>807</v>
      </c>
      <c r="M29" s="22"/>
      <c r="N29" s="22"/>
      <c r="O29" s="22"/>
      <c r="P29" s="22"/>
      <c r="Q29" s="22">
        <v>1</v>
      </c>
    </row>
    <row r="30" spans="1:18" customFormat="1" x14ac:dyDescent="0.25">
      <c r="A30" s="22"/>
      <c r="B30" s="22" t="s">
        <v>30</v>
      </c>
      <c r="C30" s="22" t="s">
        <v>878</v>
      </c>
      <c r="D30" s="22" t="s">
        <v>879</v>
      </c>
      <c r="E30" s="22" t="s">
        <v>880</v>
      </c>
      <c r="F30" s="23">
        <v>2</v>
      </c>
      <c r="G30" s="23">
        <v>820</v>
      </c>
      <c r="H30" s="23">
        <v>30</v>
      </c>
      <c r="I30" s="23">
        <f t="shared" si="0"/>
        <v>790</v>
      </c>
      <c r="J30" s="22" t="s">
        <v>34</v>
      </c>
      <c r="K30" s="22" t="s">
        <v>34</v>
      </c>
      <c r="L30" s="22" t="s">
        <v>807</v>
      </c>
      <c r="M30" s="22"/>
      <c r="N30" s="22"/>
      <c r="O30" s="22"/>
      <c r="P30" s="22"/>
      <c r="Q30" s="22">
        <v>1</v>
      </c>
    </row>
    <row r="31" spans="1:18" customFormat="1" x14ac:dyDescent="0.25">
      <c r="A31" s="22"/>
      <c r="B31" s="22" t="s">
        <v>30</v>
      </c>
      <c r="C31" s="22" t="s">
        <v>881</v>
      </c>
      <c r="D31" s="22" t="s">
        <v>882</v>
      </c>
      <c r="E31" s="22" t="s">
        <v>883</v>
      </c>
      <c r="F31" s="22" t="s">
        <v>98</v>
      </c>
      <c r="G31" s="23">
        <v>970</v>
      </c>
      <c r="H31" s="23">
        <v>20</v>
      </c>
      <c r="I31" s="23">
        <f t="shared" si="0"/>
        <v>950</v>
      </c>
      <c r="J31" s="22" t="s">
        <v>34</v>
      </c>
      <c r="K31" s="22" t="s">
        <v>34</v>
      </c>
      <c r="L31" s="22" t="s">
        <v>807</v>
      </c>
      <c r="M31" s="22"/>
      <c r="N31" s="22"/>
      <c r="O31" s="22"/>
      <c r="P31" s="22"/>
      <c r="Q31" s="22">
        <v>1</v>
      </c>
    </row>
    <row r="32" spans="1:18" customFormat="1" x14ac:dyDescent="0.25">
      <c r="A32" s="22"/>
      <c r="B32" s="22" t="s">
        <v>30</v>
      </c>
      <c r="C32" s="22" t="s">
        <v>884</v>
      </c>
      <c r="D32" s="22" t="s">
        <v>885</v>
      </c>
      <c r="E32" s="22" t="s">
        <v>244</v>
      </c>
      <c r="F32" s="22" t="s">
        <v>90</v>
      </c>
      <c r="G32" s="23">
        <v>975</v>
      </c>
      <c r="H32" s="23">
        <v>25</v>
      </c>
      <c r="I32" s="23">
        <f t="shared" si="0"/>
        <v>950</v>
      </c>
      <c r="J32" s="22" t="s">
        <v>34</v>
      </c>
      <c r="K32" s="22" t="s">
        <v>34</v>
      </c>
      <c r="L32" s="22" t="s">
        <v>807</v>
      </c>
      <c r="M32" s="22"/>
      <c r="N32" s="22"/>
      <c r="O32" s="22"/>
      <c r="P32" s="22"/>
      <c r="Q32" s="22">
        <v>1</v>
      </c>
    </row>
    <row r="33" spans="1:18" customFormat="1" x14ac:dyDescent="0.25">
      <c r="A33" s="22"/>
      <c r="B33" s="22" t="s">
        <v>30</v>
      </c>
      <c r="C33" s="22" t="s">
        <v>886</v>
      </c>
      <c r="D33" s="22" t="s">
        <v>887</v>
      </c>
      <c r="E33" s="22" t="s">
        <v>888</v>
      </c>
      <c r="F33" s="22" t="s">
        <v>94</v>
      </c>
      <c r="G33" s="23">
        <v>890</v>
      </c>
      <c r="H33" s="23">
        <v>30</v>
      </c>
      <c r="I33" s="23">
        <f t="shared" si="0"/>
        <v>860</v>
      </c>
      <c r="J33" s="22" t="s">
        <v>34</v>
      </c>
      <c r="K33" s="22" t="s">
        <v>34</v>
      </c>
      <c r="L33" s="22" t="s">
        <v>807</v>
      </c>
      <c r="M33" s="22"/>
      <c r="N33" s="22"/>
      <c r="O33" s="22"/>
      <c r="P33" s="22"/>
      <c r="Q33" s="22">
        <v>1</v>
      </c>
    </row>
    <row r="34" spans="1:18" customFormat="1" x14ac:dyDescent="0.25">
      <c r="A34" s="22"/>
      <c r="B34" s="22" t="s">
        <v>30</v>
      </c>
      <c r="C34" s="22" t="s">
        <v>889</v>
      </c>
      <c r="D34" s="22" t="s">
        <v>890</v>
      </c>
      <c r="E34" s="22" t="s">
        <v>891</v>
      </c>
      <c r="F34" s="22" t="s">
        <v>98</v>
      </c>
      <c r="G34" s="23">
        <v>1300</v>
      </c>
      <c r="H34" s="23">
        <v>20</v>
      </c>
      <c r="I34" s="23">
        <f t="shared" si="0"/>
        <v>1280</v>
      </c>
      <c r="J34" s="22" t="s">
        <v>34</v>
      </c>
      <c r="K34" s="22" t="s">
        <v>34</v>
      </c>
      <c r="L34" s="22" t="s">
        <v>807</v>
      </c>
      <c r="M34" s="22"/>
      <c r="N34" s="22"/>
      <c r="O34" s="22"/>
      <c r="P34" s="22"/>
      <c r="Q34" s="22">
        <v>1</v>
      </c>
    </row>
    <row r="35" spans="1:18" customFormat="1" x14ac:dyDescent="0.25">
      <c r="A35" s="22"/>
      <c r="B35" s="22" t="s">
        <v>30</v>
      </c>
      <c r="C35" s="22" t="s">
        <v>892</v>
      </c>
      <c r="D35" s="22" t="s">
        <v>893</v>
      </c>
      <c r="E35" s="22" t="s">
        <v>894</v>
      </c>
      <c r="F35" s="22" t="s">
        <v>94</v>
      </c>
      <c r="G35" s="23">
        <v>750</v>
      </c>
      <c r="H35" s="23">
        <v>30</v>
      </c>
      <c r="I35" s="23">
        <f t="shared" si="0"/>
        <v>720</v>
      </c>
      <c r="J35" s="22" t="s">
        <v>34</v>
      </c>
      <c r="K35" s="22" t="s">
        <v>34</v>
      </c>
      <c r="L35" s="22" t="s">
        <v>807</v>
      </c>
      <c r="M35" s="22"/>
      <c r="N35" s="22"/>
      <c r="O35" s="22"/>
      <c r="P35" s="22"/>
      <c r="Q35" s="22">
        <v>1</v>
      </c>
    </row>
    <row r="36" spans="1:18" customFormat="1" x14ac:dyDescent="0.25">
      <c r="A36" s="22"/>
      <c r="B36" s="22" t="s">
        <v>30</v>
      </c>
      <c r="C36" s="22" t="s">
        <v>765</v>
      </c>
      <c r="D36" s="22" t="s">
        <v>895</v>
      </c>
      <c r="E36" s="22" t="s">
        <v>896</v>
      </c>
      <c r="F36" s="23">
        <v>2</v>
      </c>
      <c r="G36" s="23">
        <v>380</v>
      </c>
      <c r="H36" s="23">
        <v>30</v>
      </c>
      <c r="I36" s="23">
        <f t="shared" si="0"/>
        <v>350</v>
      </c>
      <c r="J36" s="22" t="s">
        <v>34</v>
      </c>
      <c r="K36" s="22" t="s">
        <v>34</v>
      </c>
      <c r="L36" s="22" t="s">
        <v>807</v>
      </c>
      <c r="M36" s="22"/>
      <c r="N36" s="22"/>
      <c r="O36" s="22"/>
      <c r="P36" s="22"/>
      <c r="Q36" s="22">
        <v>1</v>
      </c>
    </row>
    <row r="37" spans="1:18" customFormat="1" x14ac:dyDescent="0.25">
      <c r="A37" s="22"/>
      <c r="B37" s="22" t="s">
        <v>30</v>
      </c>
      <c r="C37" s="22" t="s">
        <v>897</v>
      </c>
      <c r="D37" s="22" t="s">
        <v>898</v>
      </c>
      <c r="E37" s="22" t="s">
        <v>899</v>
      </c>
      <c r="F37" s="22" t="s">
        <v>98</v>
      </c>
      <c r="G37" s="23">
        <v>0</v>
      </c>
      <c r="H37" s="23">
        <v>20</v>
      </c>
      <c r="I37" s="23">
        <f t="shared" si="0"/>
        <v>-20</v>
      </c>
      <c r="J37" s="22" t="s">
        <v>34</v>
      </c>
      <c r="K37" s="22" t="s">
        <v>34</v>
      </c>
      <c r="L37" s="22" t="s">
        <v>807</v>
      </c>
      <c r="M37" s="22"/>
      <c r="N37" s="22"/>
      <c r="O37" s="22"/>
      <c r="P37" s="22"/>
      <c r="Q37" s="22">
        <v>1</v>
      </c>
      <c r="R37" s="24">
        <f t="shared" ref="R37:R38" si="2">H37</f>
        <v>20</v>
      </c>
    </row>
    <row r="38" spans="1:18" customFormat="1" x14ac:dyDescent="0.25">
      <c r="A38" s="22"/>
      <c r="B38" s="22" t="s">
        <v>30</v>
      </c>
      <c r="C38" s="22" t="s">
        <v>900</v>
      </c>
      <c r="D38" s="22" t="s">
        <v>901</v>
      </c>
      <c r="E38" s="22" t="s">
        <v>902</v>
      </c>
      <c r="F38" s="23">
        <v>2</v>
      </c>
      <c r="G38" s="23">
        <v>0</v>
      </c>
      <c r="H38" s="23">
        <v>30</v>
      </c>
      <c r="I38" s="23">
        <f t="shared" si="0"/>
        <v>-30</v>
      </c>
      <c r="J38" s="22" t="s">
        <v>34</v>
      </c>
      <c r="K38" s="22" t="s">
        <v>34</v>
      </c>
      <c r="L38" s="22" t="s">
        <v>807</v>
      </c>
      <c r="M38" s="22"/>
      <c r="N38" s="22"/>
      <c r="O38" s="22"/>
      <c r="P38" s="22"/>
      <c r="Q38" s="22">
        <v>1</v>
      </c>
      <c r="R38" s="24">
        <f t="shared" si="2"/>
        <v>30</v>
      </c>
    </row>
    <row r="39" spans="1:18" customFormat="1" x14ac:dyDescent="0.25">
      <c r="A39" s="22" t="s">
        <v>29</v>
      </c>
      <c r="B39" s="22" t="s">
        <v>30</v>
      </c>
      <c r="C39" s="22" t="s">
        <v>903</v>
      </c>
      <c r="D39" s="22"/>
      <c r="E39" s="22" t="s">
        <v>904</v>
      </c>
      <c r="F39" s="22" t="s">
        <v>98</v>
      </c>
      <c r="G39" s="23">
        <v>455</v>
      </c>
      <c r="H39" s="23">
        <v>25</v>
      </c>
      <c r="I39" s="23">
        <f t="shared" si="0"/>
        <v>430</v>
      </c>
      <c r="J39" s="22" t="s">
        <v>34</v>
      </c>
      <c r="K39" s="22" t="s">
        <v>34</v>
      </c>
      <c r="L39" s="22" t="s">
        <v>807</v>
      </c>
      <c r="M39" s="22"/>
      <c r="N39" s="22"/>
      <c r="O39" s="22"/>
      <c r="P39" s="22"/>
      <c r="Q39" s="22">
        <v>1</v>
      </c>
    </row>
    <row r="40" spans="1:18" customFormat="1" x14ac:dyDescent="0.25">
      <c r="A40" s="22" t="s">
        <v>29</v>
      </c>
      <c r="B40" s="22" t="s">
        <v>30</v>
      </c>
      <c r="C40" s="22" t="s">
        <v>905</v>
      </c>
      <c r="D40" s="22"/>
      <c r="E40" s="22" t="s">
        <v>906</v>
      </c>
      <c r="F40" s="23">
        <v>2</v>
      </c>
      <c r="G40" s="23">
        <v>1405</v>
      </c>
      <c r="H40" s="23">
        <v>35</v>
      </c>
      <c r="I40" s="23">
        <f t="shared" si="0"/>
        <v>1370</v>
      </c>
      <c r="J40" s="22" t="s">
        <v>34</v>
      </c>
      <c r="K40" s="22" t="s">
        <v>34</v>
      </c>
      <c r="L40" s="22" t="s">
        <v>807</v>
      </c>
      <c r="M40" s="22"/>
      <c r="N40" s="22"/>
      <c r="O40" s="22"/>
      <c r="P40" s="22"/>
      <c r="Q40" s="22">
        <v>1</v>
      </c>
    </row>
    <row r="41" spans="1:18" customFormat="1" x14ac:dyDescent="0.25">
      <c r="A41" s="22"/>
      <c r="B41" s="22" t="s">
        <v>30</v>
      </c>
      <c r="C41" s="22" t="s">
        <v>907</v>
      </c>
      <c r="D41" s="22" t="s">
        <v>908</v>
      </c>
      <c r="E41" s="22" t="s">
        <v>909</v>
      </c>
      <c r="F41" s="23">
        <v>10</v>
      </c>
      <c r="G41" s="23">
        <v>685</v>
      </c>
      <c r="H41" s="23">
        <v>25</v>
      </c>
      <c r="I41" s="23">
        <f t="shared" si="0"/>
        <v>660</v>
      </c>
      <c r="J41" s="22" t="s">
        <v>148</v>
      </c>
      <c r="K41" s="22" t="s">
        <v>34</v>
      </c>
      <c r="L41" s="22" t="s">
        <v>807</v>
      </c>
      <c r="M41" s="22"/>
      <c r="N41" s="22"/>
      <c r="O41" s="22"/>
      <c r="P41" s="22"/>
      <c r="Q41" s="22">
        <v>1</v>
      </c>
    </row>
    <row r="42" spans="1:18" s="27" customFormat="1" x14ac:dyDescent="0.25">
      <c r="A42" s="25"/>
      <c r="B42" s="25" t="s">
        <v>30</v>
      </c>
      <c r="C42" s="25" t="s">
        <v>910</v>
      </c>
      <c r="D42" s="25" t="s">
        <v>911</v>
      </c>
      <c r="E42" s="25" t="s">
        <v>912</v>
      </c>
      <c r="F42" s="25" t="s">
        <v>389</v>
      </c>
      <c r="G42" s="26">
        <v>0</v>
      </c>
      <c r="H42" s="26">
        <v>20</v>
      </c>
      <c r="I42" s="26">
        <f t="shared" si="0"/>
        <v>-20</v>
      </c>
      <c r="J42" s="25" t="s">
        <v>148</v>
      </c>
      <c r="K42" s="25" t="s">
        <v>34</v>
      </c>
      <c r="L42" s="25" t="s">
        <v>807</v>
      </c>
      <c r="M42" s="25" t="s">
        <v>139</v>
      </c>
      <c r="N42" s="25"/>
      <c r="O42" s="25"/>
      <c r="P42" s="25"/>
      <c r="Q42" s="25">
        <v>1</v>
      </c>
      <c r="R42" s="31">
        <f>H42</f>
        <v>20</v>
      </c>
    </row>
    <row r="43" spans="1:18" customFormat="1" x14ac:dyDescent="0.25">
      <c r="A43" s="22"/>
      <c r="B43" s="22" t="s">
        <v>30</v>
      </c>
      <c r="C43" s="22" t="s">
        <v>913</v>
      </c>
      <c r="D43" s="22" t="s">
        <v>914</v>
      </c>
      <c r="E43" s="22" t="s">
        <v>915</v>
      </c>
      <c r="F43" s="22" t="s">
        <v>389</v>
      </c>
      <c r="G43" s="23">
        <v>1060</v>
      </c>
      <c r="H43" s="23">
        <v>20</v>
      </c>
      <c r="I43" s="23">
        <f t="shared" si="0"/>
        <v>1040</v>
      </c>
      <c r="J43" s="22" t="s">
        <v>148</v>
      </c>
      <c r="K43" s="22" t="s">
        <v>34</v>
      </c>
      <c r="L43" s="22" t="s">
        <v>807</v>
      </c>
      <c r="M43" s="22"/>
      <c r="N43" s="22"/>
      <c r="O43" s="22"/>
      <c r="P43" s="22"/>
      <c r="Q43" s="22">
        <v>1</v>
      </c>
    </row>
    <row r="44" spans="1:18" customFormat="1" x14ac:dyDescent="0.25">
      <c r="A44" s="22"/>
      <c r="B44" s="22" t="s">
        <v>30</v>
      </c>
      <c r="C44" s="22" t="s">
        <v>916</v>
      </c>
      <c r="D44" s="22" t="s">
        <v>917</v>
      </c>
      <c r="E44" s="22" t="s">
        <v>918</v>
      </c>
      <c r="F44" s="23">
        <v>5</v>
      </c>
      <c r="G44" s="23">
        <v>0</v>
      </c>
      <c r="H44" s="23">
        <v>25</v>
      </c>
      <c r="I44" s="23">
        <f t="shared" si="0"/>
        <v>-25</v>
      </c>
      <c r="J44" s="22" t="s">
        <v>148</v>
      </c>
      <c r="K44" s="22" t="s">
        <v>34</v>
      </c>
      <c r="L44" s="22" t="s">
        <v>807</v>
      </c>
      <c r="M44" s="22"/>
      <c r="N44" s="22"/>
      <c r="O44" s="22"/>
      <c r="P44" s="22"/>
      <c r="Q44" s="22">
        <v>1</v>
      </c>
      <c r="R44" s="24">
        <f>H44</f>
        <v>25</v>
      </c>
    </row>
    <row r="45" spans="1:18" customFormat="1" x14ac:dyDescent="0.25">
      <c r="A45" s="22"/>
      <c r="B45" s="22" t="s">
        <v>30</v>
      </c>
      <c r="C45" s="22" t="s">
        <v>919</v>
      </c>
      <c r="D45" s="22" t="s">
        <v>920</v>
      </c>
      <c r="E45" s="22" t="s">
        <v>921</v>
      </c>
      <c r="F45" s="23">
        <v>3</v>
      </c>
      <c r="G45" s="23">
        <v>845</v>
      </c>
      <c r="H45" s="23">
        <v>25</v>
      </c>
      <c r="I45" s="23">
        <f t="shared" si="0"/>
        <v>820</v>
      </c>
      <c r="J45" s="22" t="s">
        <v>148</v>
      </c>
      <c r="K45" s="22" t="s">
        <v>34</v>
      </c>
      <c r="L45" s="22" t="s">
        <v>807</v>
      </c>
      <c r="M45" s="22"/>
      <c r="N45" s="22"/>
      <c r="O45" s="22"/>
      <c r="P45" s="22"/>
      <c r="Q45" s="22">
        <v>1</v>
      </c>
    </row>
    <row r="46" spans="1:18" customFormat="1" x14ac:dyDescent="0.25">
      <c r="A46" s="22"/>
      <c r="B46" s="22" t="s">
        <v>30</v>
      </c>
      <c r="C46" s="22" t="s">
        <v>922</v>
      </c>
      <c r="D46" s="22" t="s">
        <v>923</v>
      </c>
      <c r="E46" s="22" t="s">
        <v>924</v>
      </c>
      <c r="F46" s="23">
        <v>1</v>
      </c>
      <c r="G46" s="23">
        <v>915</v>
      </c>
      <c r="H46" s="23">
        <v>25</v>
      </c>
      <c r="I46" s="23">
        <f t="shared" si="0"/>
        <v>890</v>
      </c>
      <c r="J46" s="22" t="s">
        <v>148</v>
      </c>
      <c r="K46" s="22" t="s">
        <v>34</v>
      </c>
      <c r="L46" s="22" t="s">
        <v>807</v>
      </c>
      <c r="M46" s="22"/>
      <c r="N46" s="22"/>
      <c r="O46" s="22"/>
      <c r="P46" s="22"/>
      <c r="Q46" s="22">
        <v>1</v>
      </c>
    </row>
    <row r="47" spans="1:18" customFormat="1" x14ac:dyDescent="0.25">
      <c r="A47" s="22"/>
      <c r="B47" s="22" t="s">
        <v>30</v>
      </c>
      <c r="C47" s="22" t="s">
        <v>925</v>
      </c>
      <c r="D47" s="22" t="s">
        <v>926</v>
      </c>
      <c r="E47" s="22" t="s">
        <v>927</v>
      </c>
      <c r="F47" s="23">
        <v>1</v>
      </c>
      <c r="G47" s="23">
        <v>1135</v>
      </c>
      <c r="H47" s="23">
        <v>25</v>
      </c>
      <c r="I47" s="23">
        <f t="shared" si="0"/>
        <v>1110</v>
      </c>
      <c r="J47" s="22" t="s">
        <v>148</v>
      </c>
      <c r="K47" s="22" t="s">
        <v>34</v>
      </c>
      <c r="L47" s="22" t="s">
        <v>807</v>
      </c>
      <c r="M47" s="22"/>
      <c r="N47" s="22"/>
      <c r="O47" s="22"/>
      <c r="P47" s="22"/>
      <c r="Q47" s="22">
        <v>1</v>
      </c>
    </row>
    <row r="48" spans="1:18" customFormat="1" x14ac:dyDescent="0.25">
      <c r="A48" s="22"/>
      <c r="B48" s="22" t="s">
        <v>30</v>
      </c>
      <c r="C48" s="22" t="s">
        <v>928</v>
      </c>
      <c r="D48" s="22" t="s">
        <v>929</v>
      </c>
      <c r="E48" s="22" t="s">
        <v>930</v>
      </c>
      <c r="F48" s="23">
        <v>4</v>
      </c>
      <c r="G48" s="23">
        <v>1065</v>
      </c>
      <c r="H48" s="23">
        <v>25</v>
      </c>
      <c r="I48" s="23">
        <f t="shared" si="0"/>
        <v>1040</v>
      </c>
      <c r="J48" s="22" t="s">
        <v>148</v>
      </c>
      <c r="K48" s="22" t="s">
        <v>34</v>
      </c>
      <c r="L48" s="22" t="s">
        <v>807</v>
      </c>
      <c r="M48" s="22"/>
      <c r="N48" s="22"/>
      <c r="O48" s="22"/>
      <c r="P48" s="22"/>
      <c r="Q48" s="22">
        <v>1</v>
      </c>
    </row>
    <row r="49" spans="1:18" customFormat="1" x14ac:dyDescent="0.25">
      <c r="A49" s="22"/>
      <c r="B49" s="22" t="s">
        <v>30</v>
      </c>
      <c r="C49" s="22" t="s">
        <v>931</v>
      </c>
      <c r="D49" s="22" t="s">
        <v>932</v>
      </c>
      <c r="E49" s="22" t="s">
        <v>933</v>
      </c>
      <c r="F49" s="23">
        <v>4</v>
      </c>
      <c r="G49" s="23">
        <v>465</v>
      </c>
      <c r="H49" s="23">
        <v>25</v>
      </c>
      <c r="I49" s="23">
        <f t="shared" si="0"/>
        <v>440</v>
      </c>
      <c r="J49" s="22" t="s">
        <v>148</v>
      </c>
      <c r="K49" s="22" t="s">
        <v>34</v>
      </c>
      <c r="L49" s="22" t="s">
        <v>807</v>
      </c>
      <c r="M49" s="22"/>
      <c r="N49" s="22"/>
      <c r="O49" s="22"/>
      <c r="P49" s="22"/>
      <c r="Q49" s="22">
        <v>1</v>
      </c>
    </row>
    <row r="50" spans="1:18" customFormat="1" x14ac:dyDescent="0.25">
      <c r="A50" s="22"/>
      <c r="B50" s="22" t="s">
        <v>30</v>
      </c>
      <c r="C50" s="22" t="s">
        <v>934</v>
      </c>
      <c r="D50" s="22" t="s">
        <v>935</v>
      </c>
      <c r="E50" s="22" t="s">
        <v>936</v>
      </c>
      <c r="F50" s="23">
        <v>3</v>
      </c>
      <c r="G50" s="23">
        <v>815</v>
      </c>
      <c r="H50" s="23">
        <v>25</v>
      </c>
      <c r="I50" s="23">
        <f t="shared" si="0"/>
        <v>790</v>
      </c>
      <c r="J50" s="22" t="s">
        <v>148</v>
      </c>
      <c r="K50" s="22" t="s">
        <v>34</v>
      </c>
      <c r="L50" s="22" t="s">
        <v>807</v>
      </c>
      <c r="M50" s="22"/>
      <c r="N50" s="22"/>
      <c r="O50" s="22"/>
      <c r="P50" s="22"/>
      <c r="Q50" s="22">
        <v>1</v>
      </c>
    </row>
    <row r="51" spans="1:18" customFormat="1" x14ac:dyDescent="0.25">
      <c r="A51" s="22"/>
      <c r="B51" s="22" t="s">
        <v>30</v>
      </c>
      <c r="C51" s="22" t="s">
        <v>937</v>
      </c>
      <c r="D51" s="22" t="s">
        <v>938</v>
      </c>
      <c r="E51" s="22" t="s">
        <v>939</v>
      </c>
      <c r="F51" s="22" t="s">
        <v>108</v>
      </c>
      <c r="G51" s="23">
        <v>845</v>
      </c>
      <c r="H51" s="23">
        <v>25</v>
      </c>
      <c r="I51" s="23">
        <f t="shared" si="0"/>
        <v>820</v>
      </c>
      <c r="J51" s="22" t="s">
        <v>148</v>
      </c>
      <c r="K51" s="22" t="s">
        <v>34</v>
      </c>
      <c r="L51" s="22" t="s">
        <v>807</v>
      </c>
      <c r="M51" s="22"/>
      <c r="N51" s="22"/>
      <c r="O51" s="22"/>
      <c r="P51" s="22"/>
      <c r="Q51" s="22">
        <v>1</v>
      </c>
    </row>
    <row r="52" spans="1:18" customFormat="1" x14ac:dyDescent="0.25">
      <c r="A52" s="22"/>
      <c r="B52" s="22" t="s">
        <v>30</v>
      </c>
      <c r="C52" s="22" t="s">
        <v>940</v>
      </c>
      <c r="D52" s="22" t="s">
        <v>941</v>
      </c>
      <c r="E52" s="22" t="s">
        <v>942</v>
      </c>
      <c r="F52" s="23">
        <v>10</v>
      </c>
      <c r="G52" s="23">
        <v>3360</v>
      </c>
      <c r="H52" s="23">
        <v>35</v>
      </c>
      <c r="I52" s="23">
        <f t="shared" si="0"/>
        <v>3325</v>
      </c>
      <c r="J52" s="22" t="s">
        <v>148</v>
      </c>
      <c r="K52" s="22" t="s">
        <v>34</v>
      </c>
      <c r="L52" s="22" t="s">
        <v>807</v>
      </c>
      <c r="M52" s="28" t="s">
        <v>180</v>
      </c>
      <c r="N52" s="22"/>
      <c r="O52" s="22"/>
      <c r="P52" s="22"/>
      <c r="Q52" s="22">
        <v>1</v>
      </c>
      <c r="R52" s="24">
        <f>H52</f>
        <v>35</v>
      </c>
    </row>
    <row r="53" spans="1:18" customFormat="1" x14ac:dyDescent="0.25">
      <c r="A53" s="22"/>
      <c r="B53" s="22" t="s">
        <v>30</v>
      </c>
      <c r="C53" s="22" t="s">
        <v>573</v>
      </c>
      <c r="D53" s="22" t="s">
        <v>943</v>
      </c>
      <c r="E53" s="22" t="s">
        <v>575</v>
      </c>
      <c r="F53" s="22" t="s">
        <v>108</v>
      </c>
      <c r="G53" s="23">
        <v>895</v>
      </c>
      <c r="H53" s="23">
        <v>25</v>
      </c>
      <c r="I53" s="23">
        <f t="shared" si="0"/>
        <v>870</v>
      </c>
      <c r="J53" s="22" t="s">
        <v>148</v>
      </c>
      <c r="K53" s="22" t="s">
        <v>34</v>
      </c>
      <c r="L53" s="22" t="s">
        <v>807</v>
      </c>
      <c r="M53" s="22"/>
      <c r="N53" s="22"/>
      <c r="O53" s="22"/>
      <c r="P53" s="22"/>
      <c r="Q53" s="22">
        <v>1</v>
      </c>
    </row>
    <row r="54" spans="1:18" customFormat="1" x14ac:dyDescent="0.25">
      <c r="A54" s="22"/>
      <c r="B54" s="22" t="s">
        <v>30</v>
      </c>
      <c r="C54" s="22" t="s">
        <v>944</v>
      </c>
      <c r="D54" s="22" t="s">
        <v>945</v>
      </c>
      <c r="E54" s="22" t="s">
        <v>946</v>
      </c>
      <c r="F54" s="22" t="s">
        <v>108</v>
      </c>
      <c r="G54" s="23">
        <v>795</v>
      </c>
      <c r="H54" s="23">
        <v>25</v>
      </c>
      <c r="I54" s="23">
        <f t="shared" si="0"/>
        <v>770</v>
      </c>
      <c r="J54" s="22" t="s">
        <v>148</v>
      </c>
      <c r="K54" s="22" t="s">
        <v>34</v>
      </c>
      <c r="L54" s="22" t="s">
        <v>807</v>
      </c>
      <c r="M54" s="22"/>
      <c r="N54" s="22"/>
      <c r="O54" s="22"/>
      <c r="P54" s="22"/>
      <c r="Q54" s="22">
        <v>1</v>
      </c>
    </row>
    <row r="55" spans="1:18" customFormat="1" x14ac:dyDescent="0.25">
      <c r="A55" s="22"/>
      <c r="B55" s="22" t="s">
        <v>30</v>
      </c>
      <c r="C55" s="22" t="s">
        <v>947</v>
      </c>
      <c r="D55" s="22" t="s">
        <v>948</v>
      </c>
      <c r="E55" s="22" t="s">
        <v>949</v>
      </c>
      <c r="F55" s="23">
        <v>5</v>
      </c>
      <c r="G55" s="23">
        <v>0</v>
      </c>
      <c r="H55" s="23">
        <v>25</v>
      </c>
      <c r="I55" s="23">
        <f t="shared" si="0"/>
        <v>-25</v>
      </c>
      <c r="J55" s="22" t="s">
        <v>148</v>
      </c>
      <c r="K55" s="22" t="s">
        <v>34</v>
      </c>
      <c r="L55" s="22" t="s">
        <v>807</v>
      </c>
      <c r="M55" s="22"/>
      <c r="N55" s="22"/>
      <c r="O55" s="22"/>
      <c r="P55" s="22"/>
      <c r="Q55" s="22">
        <v>1</v>
      </c>
      <c r="R55" s="24">
        <f>H55</f>
        <v>25</v>
      </c>
    </row>
    <row r="56" spans="1:18" customFormat="1" x14ac:dyDescent="0.25">
      <c r="A56" s="22"/>
      <c r="B56" s="22" t="s">
        <v>30</v>
      </c>
      <c r="C56" s="22" t="s">
        <v>950</v>
      </c>
      <c r="D56" s="22" t="s">
        <v>951</v>
      </c>
      <c r="E56" s="22" t="s">
        <v>952</v>
      </c>
      <c r="F56" s="23">
        <v>1</v>
      </c>
      <c r="G56" s="23">
        <v>865</v>
      </c>
      <c r="H56" s="23">
        <v>25</v>
      </c>
      <c r="I56" s="23">
        <f t="shared" si="0"/>
        <v>840</v>
      </c>
      <c r="J56" s="22" t="s">
        <v>148</v>
      </c>
      <c r="K56" s="22" t="s">
        <v>34</v>
      </c>
      <c r="L56" s="22" t="s">
        <v>807</v>
      </c>
      <c r="M56" s="22"/>
      <c r="N56" s="22"/>
      <c r="O56" s="22"/>
      <c r="P56" s="22"/>
      <c r="Q56" s="22">
        <v>1</v>
      </c>
    </row>
    <row r="57" spans="1:18" customFormat="1" x14ac:dyDescent="0.25">
      <c r="A57" s="22"/>
      <c r="B57" s="22" t="s">
        <v>30</v>
      </c>
      <c r="C57" s="22" t="s">
        <v>953</v>
      </c>
      <c r="D57" s="22" t="s">
        <v>954</v>
      </c>
      <c r="E57" s="22" t="s">
        <v>955</v>
      </c>
      <c r="F57" s="22" t="s">
        <v>108</v>
      </c>
      <c r="G57" s="23">
        <v>915</v>
      </c>
      <c r="H57" s="23">
        <v>25</v>
      </c>
      <c r="I57" s="23">
        <f t="shared" si="0"/>
        <v>890</v>
      </c>
      <c r="J57" s="22" t="s">
        <v>148</v>
      </c>
      <c r="K57" s="22" t="s">
        <v>34</v>
      </c>
      <c r="L57" s="22" t="s">
        <v>807</v>
      </c>
      <c r="M57" s="22"/>
      <c r="N57" s="22"/>
      <c r="O57" s="22"/>
      <c r="P57" s="22"/>
      <c r="Q57" s="22">
        <v>1</v>
      </c>
    </row>
    <row r="58" spans="1:18" customFormat="1" x14ac:dyDescent="0.25">
      <c r="A58" s="22"/>
      <c r="B58" s="22" t="s">
        <v>30</v>
      </c>
      <c r="C58" s="22" t="s">
        <v>956</v>
      </c>
      <c r="D58" s="22" t="s">
        <v>957</v>
      </c>
      <c r="E58" s="22" t="s">
        <v>958</v>
      </c>
      <c r="F58" s="23">
        <v>4</v>
      </c>
      <c r="G58" s="23">
        <v>715</v>
      </c>
      <c r="H58" s="23">
        <v>25</v>
      </c>
      <c r="I58" s="23">
        <f t="shared" si="0"/>
        <v>690</v>
      </c>
      <c r="J58" s="22" t="s">
        <v>148</v>
      </c>
      <c r="K58" s="22" t="s">
        <v>34</v>
      </c>
      <c r="L58" s="22" t="s">
        <v>807</v>
      </c>
      <c r="M58" s="22"/>
      <c r="N58" s="22"/>
      <c r="O58" s="22"/>
      <c r="P58" s="22"/>
      <c r="Q58" s="22">
        <v>1</v>
      </c>
    </row>
    <row r="60" spans="1:18" x14ac:dyDescent="0.25">
      <c r="G60" s="1">
        <f t="shared" ref="G60:R60" si="3">SUBTOTAL(9,G3:G59)</f>
        <v>39910</v>
      </c>
      <c r="H60" s="1">
        <f t="shared" si="3"/>
        <v>1540</v>
      </c>
      <c r="I60" s="1">
        <f t="shared" si="3"/>
        <v>38370</v>
      </c>
      <c r="J60" s="1">
        <f t="shared" si="3"/>
        <v>0</v>
      </c>
      <c r="K60" s="1">
        <f t="shared" si="3"/>
        <v>0</v>
      </c>
      <c r="L60" s="1">
        <f t="shared" si="3"/>
        <v>0</v>
      </c>
      <c r="M60" s="1">
        <f t="shared" si="3"/>
        <v>0</v>
      </c>
      <c r="N60" s="1">
        <f t="shared" si="3"/>
        <v>0</v>
      </c>
      <c r="O60" s="1">
        <f t="shared" si="3"/>
        <v>0</v>
      </c>
      <c r="P60" s="1">
        <f t="shared" si="3"/>
        <v>0</v>
      </c>
      <c r="Q60" s="1">
        <f t="shared" si="3"/>
        <v>56</v>
      </c>
      <c r="R60" s="1">
        <f t="shared" si="3"/>
        <v>330</v>
      </c>
    </row>
    <row r="61" spans="1:18" x14ac:dyDescent="0.25">
      <c r="I61" s="1">
        <v>-3360</v>
      </c>
      <c r="J61" s="1" t="s">
        <v>959</v>
      </c>
    </row>
    <row r="64" spans="1:18" ht="20.25" customHeight="1" x14ac:dyDescent="0.3">
      <c r="H64" s="4" t="s">
        <v>721</v>
      </c>
      <c r="I64" s="5" t="s">
        <v>15</v>
      </c>
      <c r="J64" s="6" t="s">
        <v>16</v>
      </c>
    </row>
    <row r="65" spans="8:10" ht="15.75" customHeight="1" x14ac:dyDescent="0.25">
      <c r="H65" s="7" t="s">
        <v>17</v>
      </c>
      <c r="I65" s="8">
        <f>SUM(I59:I63)</f>
        <v>35010</v>
      </c>
      <c r="J65" s="8">
        <f>Q60</f>
        <v>56</v>
      </c>
    </row>
    <row r="66" spans="8:10" x14ac:dyDescent="0.25">
      <c r="H66" s="9" t="s">
        <v>18</v>
      </c>
      <c r="I66" s="10">
        <f>R60</f>
        <v>330</v>
      </c>
      <c r="J66" s="11"/>
    </row>
    <row r="67" spans="8:10" x14ac:dyDescent="0.25">
      <c r="H67" s="9" t="s">
        <v>19</v>
      </c>
      <c r="I67" s="10">
        <f>S59</f>
        <v>0</v>
      </c>
      <c r="J67" s="11"/>
    </row>
    <row r="68" spans="8:10" x14ac:dyDescent="0.25">
      <c r="H68" s="9" t="s">
        <v>20</v>
      </c>
      <c r="I68" s="10">
        <f>T59</f>
        <v>0</v>
      </c>
      <c r="J68" s="11"/>
    </row>
    <row r="69" spans="8:10" x14ac:dyDescent="0.25">
      <c r="H69" s="9" t="s">
        <v>21</v>
      </c>
      <c r="I69" s="10">
        <f>U59</f>
        <v>0</v>
      </c>
      <c r="J69" s="11"/>
    </row>
    <row r="70" spans="8:10" ht="15.75" customHeight="1" x14ac:dyDescent="0.25">
      <c r="H70" s="12" t="s">
        <v>22</v>
      </c>
      <c r="I70" s="13"/>
      <c r="J70" s="13"/>
    </row>
    <row r="71" spans="8:10" ht="15.75" customHeight="1" x14ac:dyDescent="0.25">
      <c r="H71" s="14" t="s">
        <v>23</v>
      </c>
      <c r="I71" s="13"/>
      <c r="J71" s="13"/>
    </row>
    <row r="72" spans="8:10" ht="21" customHeight="1" x14ac:dyDescent="0.35">
      <c r="H72" s="15" t="s">
        <v>24</v>
      </c>
      <c r="I72" s="16">
        <f>SUM(I65:I71)</f>
        <v>35340</v>
      </c>
      <c r="J72" s="16">
        <f>SUM(J65:J69)</f>
        <v>56</v>
      </c>
    </row>
  </sheetData>
  <autoFilter ref="A2:P58" xr:uid="{00000000-0009-0000-0000-000006000000}">
    <sortState xmlns:xlrd2="http://schemas.microsoft.com/office/spreadsheetml/2017/richdata2" ref="A3:P58">
      <sortCondition ref="J2:J58"/>
    </sortState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346F-FE09-4B80-8463-3C38A222BEE2}">
  <dimension ref="A1:R41"/>
  <sheetViews>
    <sheetView zoomScaleNormal="100" workbookViewId="0">
      <selection activeCell="E26" sqref="E26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266</v>
      </c>
      <c r="C1" s="1" t="s">
        <v>801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22"/>
      <c r="B3" s="22" t="s">
        <v>30</v>
      </c>
      <c r="C3" s="22" t="s">
        <v>962</v>
      </c>
      <c r="D3" s="22" t="s">
        <v>963</v>
      </c>
      <c r="E3" s="22" t="s">
        <v>964</v>
      </c>
      <c r="F3" s="23">
        <v>9</v>
      </c>
      <c r="G3" s="23">
        <v>820</v>
      </c>
      <c r="H3" s="23">
        <v>30</v>
      </c>
      <c r="I3" s="23">
        <f t="shared" ref="I3:I27" si="0">G3-H3</f>
        <v>790</v>
      </c>
      <c r="J3" s="22" t="s">
        <v>33</v>
      </c>
      <c r="K3" s="22" t="s">
        <v>34</v>
      </c>
      <c r="L3" s="22" t="s">
        <v>965</v>
      </c>
      <c r="M3" s="22"/>
      <c r="N3" s="22"/>
      <c r="O3" s="22"/>
      <c r="P3" s="22"/>
      <c r="Q3" s="22">
        <v>1</v>
      </c>
    </row>
    <row r="4" spans="1:18" customFormat="1" x14ac:dyDescent="0.25">
      <c r="A4" s="22"/>
      <c r="B4" s="22" t="s">
        <v>30</v>
      </c>
      <c r="C4" s="22" t="s">
        <v>966</v>
      </c>
      <c r="D4" s="22" t="s">
        <v>967</v>
      </c>
      <c r="E4" s="22" t="s">
        <v>968</v>
      </c>
      <c r="F4" s="23">
        <v>8</v>
      </c>
      <c r="G4" s="23">
        <v>1020</v>
      </c>
      <c r="H4" s="23">
        <v>30</v>
      </c>
      <c r="I4" s="23">
        <f t="shared" si="0"/>
        <v>990</v>
      </c>
      <c r="J4" s="22" t="s">
        <v>969</v>
      </c>
      <c r="K4" s="22" t="s">
        <v>34</v>
      </c>
      <c r="L4" s="22" t="s">
        <v>965</v>
      </c>
      <c r="M4" s="22"/>
      <c r="N4" s="22"/>
      <c r="O4" s="22"/>
      <c r="P4" s="22"/>
      <c r="Q4" s="22">
        <v>1</v>
      </c>
    </row>
    <row r="5" spans="1:18" customFormat="1" x14ac:dyDescent="0.25">
      <c r="A5" s="22"/>
      <c r="B5" s="22" t="s">
        <v>30</v>
      </c>
      <c r="C5" s="22" t="s">
        <v>970</v>
      </c>
      <c r="D5" s="22" t="s">
        <v>971</v>
      </c>
      <c r="E5" s="22" t="s">
        <v>972</v>
      </c>
      <c r="F5" s="22" t="s">
        <v>59</v>
      </c>
      <c r="G5" s="23">
        <v>0</v>
      </c>
      <c r="H5" s="23">
        <v>25</v>
      </c>
      <c r="I5" s="23">
        <f t="shared" si="0"/>
        <v>-25</v>
      </c>
      <c r="J5" s="22" t="s">
        <v>969</v>
      </c>
      <c r="K5" s="22" t="s">
        <v>34</v>
      </c>
      <c r="L5" s="22" t="s">
        <v>965</v>
      </c>
      <c r="M5" s="22"/>
      <c r="N5" s="22"/>
      <c r="O5" s="22"/>
      <c r="P5" s="22"/>
      <c r="Q5" s="22">
        <v>1</v>
      </c>
      <c r="R5" s="24">
        <f>H5</f>
        <v>25</v>
      </c>
    </row>
    <row r="6" spans="1:18" customFormat="1" x14ac:dyDescent="0.25">
      <c r="A6" s="22"/>
      <c r="B6" s="22" t="s">
        <v>30</v>
      </c>
      <c r="C6" s="22" t="s">
        <v>973</v>
      </c>
      <c r="D6" s="22" t="s">
        <v>974</v>
      </c>
      <c r="E6" s="22" t="s">
        <v>975</v>
      </c>
      <c r="F6" s="23">
        <v>7</v>
      </c>
      <c r="G6" s="23">
        <v>400</v>
      </c>
      <c r="H6" s="23">
        <v>30</v>
      </c>
      <c r="I6" s="23">
        <f t="shared" si="0"/>
        <v>370</v>
      </c>
      <c r="J6" s="22" t="s">
        <v>969</v>
      </c>
      <c r="K6" s="22" t="s">
        <v>34</v>
      </c>
      <c r="L6" s="22" t="s">
        <v>965</v>
      </c>
      <c r="M6" s="22"/>
      <c r="N6" s="22"/>
      <c r="O6" s="22"/>
      <c r="P6" s="22"/>
      <c r="Q6" s="22">
        <v>1</v>
      </c>
    </row>
    <row r="7" spans="1:18" customFormat="1" x14ac:dyDescent="0.25">
      <c r="A7" s="22"/>
      <c r="B7" s="22" t="s">
        <v>30</v>
      </c>
      <c r="C7" s="22" t="s">
        <v>976</v>
      </c>
      <c r="D7" s="22" t="s">
        <v>977</v>
      </c>
      <c r="E7" s="22" t="s">
        <v>978</v>
      </c>
      <c r="F7" s="22" t="s">
        <v>39</v>
      </c>
      <c r="G7" s="23">
        <v>920</v>
      </c>
      <c r="H7" s="23">
        <v>30</v>
      </c>
      <c r="I7" s="23">
        <f t="shared" si="0"/>
        <v>890</v>
      </c>
      <c r="J7" s="22" t="s">
        <v>969</v>
      </c>
      <c r="K7" s="22" t="s">
        <v>34</v>
      </c>
      <c r="L7" s="22" t="s">
        <v>965</v>
      </c>
      <c r="M7" s="22"/>
      <c r="N7" s="22"/>
      <c r="O7" s="22"/>
      <c r="P7" s="22"/>
      <c r="Q7" s="22">
        <v>1</v>
      </c>
    </row>
    <row r="8" spans="1:18" customFormat="1" x14ac:dyDescent="0.25">
      <c r="A8" s="22"/>
      <c r="B8" s="22" t="s">
        <v>30</v>
      </c>
      <c r="C8" s="22" t="s">
        <v>979</v>
      </c>
      <c r="D8" s="22" t="s">
        <v>980</v>
      </c>
      <c r="E8" s="22" t="s">
        <v>981</v>
      </c>
      <c r="F8" s="23">
        <v>7</v>
      </c>
      <c r="G8" s="23">
        <v>920</v>
      </c>
      <c r="H8" s="23">
        <v>30</v>
      </c>
      <c r="I8" s="23">
        <f t="shared" si="0"/>
        <v>890</v>
      </c>
      <c r="J8" s="22" t="s">
        <v>969</v>
      </c>
      <c r="K8" s="22" t="s">
        <v>34</v>
      </c>
      <c r="L8" s="22" t="s">
        <v>965</v>
      </c>
      <c r="M8" s="22"/>
      <c r="N8" s="22"/>
      <c r="O8" s="22"/>
      <c r="P8" s="22"/>
      <c r="Q8" s="22">
        <v>1</v>
      </c>
    </row>
    <row r="9" spans="1:18" customFormat="1" x14ac:dyDescent="0.25">
      <c r="A9" s="22"/>
      <c r="B9" s="22" t="s">
        <v>30</v>
      </c>
      <c r="C9" s="22" t="s">
        <v>982</v>
      </c>
      <c r="D9" s="22" t="s">
        <v>983</v>
      </c>
      <c r="E9" s="22" t="s">
        <v>984</v>
      </c>
      <c r="F9" s="23">
        <v>8</v>
      </c>
      <c r="G9" s="23">
        <v>980</v>
      </c>
      <c r="H9" s="23">
        <v>30</v>
      </c>
      <c r="I9" s="23">
        <f t="shared" si="0"/>
        <v>950</v>
      </c>
      <c r="J9" s="22" t="s">
        <v>969</v>
      </c>
      <c r="K9" s="22" t="s">
        <v>34</v>
      </c>
      <c r="L9" s="22" t="s">
        <v>965</v>
      </c>
      <c r="M9" s="22"/>
      <c r="N9" s="22"/>
      <c r="O9" s="22"/>
      <c r="P9" s="22"/>
      <c r="Q9" s="22">
        <v>1</v>
      </c>
    </row>
    <row r="10" spans="1:18" customFormat="1" x14ac:dyDescent="0.25">
      <c r="A10" s="22"/>
      <c r="B10" s="22" t="s">
        <v>30</v>
      </c>
      <c r="C10" s="22" t="s">
        <v>537</v>
      </c>
      <c r="D10" s="22" t="s">
        <v>985</v>
      </c>
      <c r="E10" s="22" t="s">
        <v>986</v>
      </c>
      <c r="F10" s="23">
        <v>8</v>
      </c>
      <c r="G10" s="23">
        <v>900</v>
      </c>
      <c r="H10" s="23">
        <v>30</v>
      </c>
      <c r="I10" s="23">
        <f t="shared" si="0"/>
        <v>870</v>
      </c>
      <c r="J10" s="22" t="s">
        <v>969</v>
      </c>
      <c r="K10" s="22" t="s">
        <v>34</v>
      </c>
      <c r="L10" s="22" t="s">
        <v>965</v>
      </c>
      <c r="M10" s="22"/>
      <c r="N10" s="22"/>
      <c r="O10" s="22"/>
      <c r="P10" s="22"/>
      <c r="Q10" s="22">
        <v>1</v>
      </c>
    </row>
    <row r="11" spans="1:18" customFormat="1" x14ac:dyDescent="0.25">
      <c r="A11" s="22"/>
      <c r="B11" s="22" t="s">
        <v>30</v>
      </c>
      <c r="C11" s="22" t="s">
        <v>987</v>
      </c>
      <c r="D11" s="22" t="s">
        <v>988</v>
      </c>
      <c r="E11" s="22" t="s">
        <v>989</v>
      </c>
      <c r="F11" s="22" t="s">
        <v>39</v>
      </c>
      <c r="G11" s="23">
        <v>670</v>
      </c>
      <c r="H11" s="23">
        <v>30</v>
      </c>
      <c r="I11" s="23">
        <f t="shared" si="0"/>
        <v>640</v>
      </c>
      <c r="J11" s="22" t="s">
        <v>969</v>
      </c>
      <c r="K11" s="22" t="s">
        <v>34</v>
      </c>
      <c r="L11" s="22" t="s">
        <v>965</v>
      </c>
      <c r="M11" s="22"/>
      <c r="N11" s="22"/>
      <c r="O11" s="22"/>
      <c r="P11" s="22"/>
      <c r="Q11" s="22">
        <v>1</v>
      </c>
    </row>
    <row r="12" spans="1:18" customFormat="1" x14ac:dyDescent="0.25">
      <c r="A12" s="22"/>
      <c r="B12" s="22" t="s">
        <v>30</v>
      </c>
      <c r="C12" s="22" t="s">
        <v>990</v>
      </c>
      <c r="D12" s="22" t="s">
        <v>991</v>
      </c>
      <c r="E12" s="22" t="s">
        <v>992</v>
      </c>
      <c r="F12" s="22" t="s">
        <v>39</v>
      </c>
      <c r="G12" s="23">
        <v>920</v>
      </c>
      <c r="H12" s="23">
        <v>30</v>
      </c>
      <c r="I12" s="23">
        <f t="shared" si="0"/>
        <v>890</v>
      </c>
      <c r="J12" s="22" t="s">
        <v>969</v>
      </c>
      <c r="K12" s="22" t="s">
        <v>34</v>
      </c>
      <c r="L12" s="22" t="s">
        <v>965</v>
      </c>
      <c r="M12" s="22"/>
      <c r="N12" s="22"/>
      <c r="O12" s="22"/>
      <c r="P12" s="22"/>
      <c r="Q12" s="22">
        <v>1</v>
      </c>
    </row>
    <row r="13" spans="1:18" customFormat="1" x14ac:dyDescent="0.25">
      <c r="A13" s="22"/>
      <c r="B13" s="22" t="s">
        <v>30</v>
      </c>
      <c r="C13" s="22" t="s">
        <v>993</v>
      </c>
      <c r="D13" s="22" t="s">
        <v>994</v>
      </c>
      <c r="E13" s="22" t="s">
        <v>995</v>
      </c>
      <c r="F13" s="23">
        <v>2</v>
      </c>
      <c r="G13" s="23">
        <v>1760</v>
      </c>
      <c r="H13" s="23">
        <v>30</v>
      </c>
      <c r="I13" s="23">
        <f t="shared" si="0"/>
        <v>1730</v>
      </c>
      <c r="J13" s="22" t="s">
        <v>34</v>
      </c>
      <c r="K13" s="22" t="s">
        <v>34</v>
      </c>
      <c r="L13" s="22" t="s">
        <v>965</v>
      </c>
      <c r="M13" s="22"/>
      <c r="N13" s="22"/>
      <c r="O13" s="22"/>
      <c r="P13" s="22"/>
      <c r="Q13" s="22">
        <v>1</v>
      </c>
    </row>
    <row r="14" spans="1:18" customFormat="1" x14ac:dyDescent="0.25">
      <c r="A14" s="22"/>
      <c r="B14" s="22" t="s">
        <v>30</v>
      </c>
      <c r="C14" s="22" t="s">
        <v>996</v>
      </c>
      <c r="D14" s="22" t="s">
        <v>997</v>
      </c>
      <c r="E14" s="22" t="s">
        <v>998</v>
      </c>
      <c r="F14" s="22" t="s">
        <v>94</v>
      </c>
      <c r="G14" s="23">
        <v>920</v>
      </c>
      <c r="H14" s="23">
        <v>30</v>
      </c>
      <c r="I14" s="23">
        <f t="shared" si="0"/>
        <v>890</v>
      </c>
      <c r="J14" s="22" t="s">
        <v>34</v>
      </c>
      <c r="K14" s="22" t="s">
        <v>34</v>
      </c>
      <c r="L14" s="22" t="s">
        <v>965</v>
      </c>
      <c r="M14" s="22"/>
      <c r="N14" s="22"/>
      <c r="O14" s="22"/>
      <c r="P14" s="22"/>
      <c r="Q14" s="22">
        <v>1</v>
      </c>
    </row>
    <row r="15" spans="1:18" customFormat="1" x14ac:dyDescent="0.25">
      <c r="A15" s="22"/>
      <c r="B15" s="22" t="s">
        <v>30</v>
      </c>
      <c r="C15" s="22" t="s">
        <v>999</v>
      </c>
      <c r="D15" s="22" t="s">
        <v>1000</v>
      </c>
      <c r="E15" s="22" t="s">
        <v>1001</v>
      </c>
      <c r="F15" s="22" t="s">
        <v>90</v>
      </c>
      <c r="G15" s="23">
        <v>0</v>
      </c>
      <c r="H15" s="23">
        <v>25</v>
      </c>
      <c r="I15" s="23">
        <f t="shared" si="0"/>
        <v>-25</v>
      </c>
      <c r="J15" s="22" t="s">
        <v>34</v>
      </c>
      <c r="K15" s="22" t="s">
        <v>34</v>
      </c>
      <c r="L15" s="22" t="s">
        <v>965</v>
      </c>
      <c r="M15" s="22"/>
      <c r="N15" s="22"/>
      <c r="O15" s="22"/>
      <c r="P15" s="22"/>
      <c r="Q15" s="22">
        <v>1</v>
      </c>
      <c r="R15" s="24">
        <f>H15</f>
        <v>25</v>
      </c>
    </row>
    <row r="16" spans="1:18" customFormat="1" x14ac:dyDescent="0.25">
      <c r="A16" s="22"/>
      <c r="B16" s="22" t="s">
        <v>30</v>
      </c>
      <c r="C16" s="22" t="s">
        <v>1002</v>
      </c>
      <c r="D16" s="22" t="s">
        <v>1003</v>
      </c>
      <c r="E16" s="22" t="s">
        <v>1004</v>
      </c>
      <c r="F16" s="22" t="s">
        <v>98</v>
      </c>
      <c r="G16" s="23">
        <v>910</v>
      </c>
      <c r="H16" s="23">
        <v>20</v>
      </c>
      <c r="I16" s="23">
        <f t="shared" si="0"/>
        <v>890</v>
      </c>
      <c r="J16" s="22" t="s">
        <v>34</v>
      </c>
      <c r="K16" s="22" t="s">
        <v>34</v>
      </c>
      <c r="L16" s="22" t="s">
        <v>965</v>
      </c>
      <c r="M16" s="22"/>
      <c r="N16" s="22"/>
      <c r="O16" s="22"/>
      <c r="P16" s="22"/>
      <c r="Q16" s="22">
        <v>1</v>
      </c>
    </row>
    <row r="17" spans="1:18" customFormat="1" x14ac:dyDescent="0.25">
      <c r="A17" s="22"/>
      <c r="B17" s="22" t="s">
        <v>30</v>
      </c>
      <c r="C17" s="22" t="s">
        <v>1005</v>
      </c>
      <c r="D17" s="22" t="s">
        <v>1006</v>
      </c>
      <c r="E17" s="22" t="s">
        <v>1007</v>
      </c>
      <c r="F17" s="23">
        <v>2</v>
      </c>
      <c r="G17" s="23">
        <v>920</v>
      </c>
      <c r="H17" s="23">
        <v>30</v>
      </c>
      <c r="I17" s="23">
        <f t="shared" si="0"/>
        <v>890</v>
      </c>
      <c r="J17" s="22" t="s">
        <v>34</v>
      </c>
      <c r="K17" s="22" t="s">
        <v>34</v>
      </c>
      <c r="L17" s="22" t="s">
        <v>965</v>
      </c>
      <c r="M17" s="22"/>
      <c r="N17" s="22"/>
      <c r="O17" s="22"/>
      <c r="P17" s="22"/>
      <c r="Q17" s="22">
        <v>1</v>
      </c>
    </row>
    <row r="18" spans="1:18" customFormat="1" x14ac:dyDescent="0.25">
      <c r="A18" s="22"/>
      <c r="B18" s="22" t="s">
        <v>30</v>
      </c>
      <c r="C18" s="22" t="s">
        <v>1008</v>
      </c>
      <c r="D18" s="22" t="s">
        <v>1009</v>
      </c>
      <c r="E18" s="22" t="s">
        <v>1010</v>
      </c>
      <c r="F18" s="22" t="s">
        <v>108</v>
      </c>
      <c r="G18" s="23">
        <v>865</v>
      </c>
      <c r="H18" s="23">
        <v>25</v>
      </c>
      <c r="I18" s="23">
        <f t="shared" si="0"/>
        <v>840</v>
      </c>
      <c r="J18" s="22" t="s">
        <v>34</v>
      </c>
      <c r="K18" s="22" t="s">
        <v>34</v>
      </c>
      <c r="L18" s="22" t="s">
        <v>965</v>
      </c>
      <c r="M18" s="22"/>
      <c r="N18" s="22"/>
      <c r="O18" s="22"/>
      <c r="P18" s="22"/>
      <c r="Q18" s="22">
        <v>1</v>
      </c>
    </row>
    <row r="19" spans="1:18" customFormat="1" x14ac:dyDescent="0.25">
      <c r="A19" s="22" t="s">
        <v>29</v>
      </c>
      <c r="B19" s="22" t="s">
        <v>30</v>
      </c>
      <c r="C19" s="22" t="s">
        <v>1011</v>
      </c>
      <c r="D19" s="22"/>
      <c r="E19" s="22" t="s">
        <v>489</v>
      </c>
      <c r="F19" s="23">
        <v>12</v>
      </c>
      <c r="G19" s="23">
        <v>0</v>
      </c>
      <c r="H19" s="23">
        <v>40</v>
      </c>
      <c r="I19" s="23">
        <f t="shared" si="0"/>
        <v>-40</v>
      </c>
      <c r="J19" s="22" t="s">
        <v>34</v>
      </c>
      <c r="K19" s="22" t="s">
        <v>34</v>
      </c>
      <c r="L19" s="22" t="s">
        <v>965</v>
      </c>
      <c r="M19" s="22"/>
      <c r="N19" s="22"/>
      <c r="O19" s="22"/>
      <c r="P19" s="22"/>
      <c r="Q19" s="22">
        <v>1</v>
      </c>
      <c r="R19" s="24">
        <f>H19</f>
        <v>40</v>
      </c>
    </row>
    <row r="20" spans="1:18" customFormat="1" x14ac:dyDescent="0.25">
      <c r="A20" s="22"/>
      <c r="B20" s="22" t="s">
        <v>30</v>
      </c>
      <c r="C20" s="22" t="s">
        <v>1012</v>
      </c>
      <c r="D20" s="22" t="s">
        <v>1013</v>
      </c>
      <c r="E20" s="22" t="s">
        <v>1014</v>
      </c>
      <c r="F20" s="23">
        <v>1</v>
      </c>
      <c r="G20" s="23">
        <v>975</v>
      </c>
      <c r="H20" s="23">
        <v>25</v>
      </c>
      <c r="I20" s="23">
        <f t="shared" si="0"/>
        <v>950</v>
      </c>
      <c r="J20" s="22" t="s">
        <v>148</v>
      </c>
      <c r="K20" s="22" t="s">
        <v>34</v>
      </c>
      <c r="L20" s="22" t="s">
        <v>965</v>
      </c>
      <c r="M20" s="22"/>
      <c r="N20" s="22"/>
      <c r="O20" s="22"/>
      <c r="P20" s="22"/>
      <c r="Q20" s="22">
        <v>1</v>
      </c>
    </row>
    <row r="21" spans="1:18" customFormat="1" x14ac:dyDescent="0.25">
      <c r="A21" s="22"/>
      <c r="B21" s="22" t="s">
        <v>30</v>
      </c>
      <c r="C21" s="22" t="s">
        <v>1015</v>
      </c>
      <c r="D21" s="22" t="s">
        <v>1016</v>
      </c>
      <c r="E21" s="22" t="s">
        <v>1017</v>
      </c>
      <c r="F21" s="23">
        <v>5</v>
      </c>
      <c r="G21" s="23">
        <v>2070</v>
      </c>
      <c r="H21" s="23">
        <v>25</v>
      </c>
      <c r="I21" s="23">
        <f t="shared" si="0"/>
        <v>2045</v>
      </c>
      <c r="J21" s="22" t="s">
        <v>148</v>
      </c>
      <c r="K21" s="22" t="s">
        <v>34</v>
      </c>
      <c r="L21" s="22" t="s">
        <v>965</v>
      </c>
      <c r="M21" s="28" t="s">
        <v>180</v>
      </c>
      <c r="N21" s="22"/>
      <c r="O21" s="22"/>
      <c r="P21" s="22"/>
      <c r="Q21" s="22">
        <v>1</v>
      </c>
      <c r="R21" s="24">
        <f>H21</f>
        <v>25</v>
      </c>
    </row>
    <row r="22" spans="1:18" customFormat="1" x14ac:dyDescent="0.25">
      <c r="A22" s="22"/>
      <c r="B22" s="22" t="s">
        <v>30</v>
      </c>
      <c r="C22" s="22" t="s">
        <v>783</v>
      </c>
      <c r="D22" s="22" t="s">
        <v>1018</v>
      </c>
      <c r="E22" s="22" t="s">
        <v>1019</v>
      </c>
      <c r="F22" s="23">
        <v>1</v>
      </c>
      <c r="G22" s="23">
        <v>0</v>
      </c>
      <c r="H22" s="23">
        <v>25</v>
      </c>
      <c r="I22" s="23">
        <f t="shared" si="0"/>
        <v>-25</v>
      </c>
      <c r="J22" s="22" t="s">
        <v>148</v>
      </c>
      <c r="K22" s="22" t="s">
        <v>34</v>
      </c>
      <c r="L22" s="22" t="s">
        <v>965</v>
      </c>
      <c r="M22" s="22"/>
      <c r="N22" s="22"/>
      <c r="O22" s="22"/>
      <c r="P22" s="22"/>
      <c r="Q22" s="22">
        <v>1</v>
      </c>
      <c r="R22" s="24">
        <f t="shared" ref="R22:R23" si="1">H22</f>
        <v>25</v>
      </c>
    </row>
    <row r="23" spans="1:18" customFormat="1" x14ac:dyDescent="0.25">
      <c r="A23" s="22"/>
      <c r="B23" s="22" t="s">
        <v>30</v>
      </c>
      <c r="C23" s="22" t="s">
        <v>699</v>
      </c>
      <c r="D23" s="22" t="s">
        <v>1020</v>
      </c>
      <c r="E23" s="22" t="s">
        <v>1021</v>
      </c>
      <c r="F23" s="23">
        <v>10</v>
      </c>
      <c r="G23" s="23">
        <v>0</v>
      </c>
      <c r="H23" s="23">
        <v>25</v>
      </c>
      <c r="I23" s="23">
        <f t="shared" si="0"/>
        <v>-25</v>
      </c>
      <c r="J23" s="22" t="s">
        <v>148</v>
      </c>
      <c r="K23" s="22" t="s">
        <v>34</v>
      </c>
      <c r="L23" s="22" t="s">
        <v>965</v>
      </c>
      <c r="M23" s="22"/>
      <c r="N23" s="22"/>
      <c r="O23" s="22"/>
      <c r="P23" s="22"/>
      <c r="Q23" s="22">
        <v>1</v>
      </c>
      <c r="R23" s="24">
        <f t="shared" si="1"/>
        <v>25</v>
      </c>
    </row>
    <row r="24" spans="1:18" customFormat="1" x14ac:dyDescent="0.25">
      <c r="A24" s="22"/>
      <c r="B24" s="22" t="s">
        <v>30</v>
      </c>
      <c r="C24" s="22" t="s">
        <v>1022</v>
      </c>
      <c r="D24" s="22" t="s">
        <v>1023</v>
      </c>
      <c r="E24" s="22" t="s">
        <v>1024</v>
      </c>
      <c r="F24" s="23">
        <v>10</v>
      </c>
      <c r="G24" s="23">
        <v>1145</v>
      </c>
      <c r="H24" s="23">
        <v>25</v>
      </c>
      <c r="I24" s="23">
        <f t="shared" si="0"/>
        <v>1120</v>
      </c>
      <c r="J24" s="22" t="s">
        <v>148</v>
      </c>
      <c r="K24" s="22" t="s">
        <v>34</v>
      </c>
      <c r="L24" s="22" t="s">
        <v>965</v>
      </c>
      <c r="M24" s="22"/>
      <c r="N24" s="22"/>
      <c r="O24" s="22"/>
      <c r="P24" s="22"/>
      <c r="Q24" s="22">
        <v>1</v>
      </c>
    </row>
    <row r="25" spans="1:18" customFormat="1" x14ac:dyDescent="0.25">
      <c r="A25" s="22"/>
      <c r="B25" s="22" t="s">
        <v>30</v>
      </c>
      <c r="C25" s="22" t="s">
        <v>1025</v>
      </c>
      <c r="D25" s="22" t="s">
        <v>1026</v>
      </c>
      <c r="E25" s="22" t="s">
        <v>1027</v>
      </c>
      <c r="F25" s="23">
        <v>4</v>
      </c>
      <c r="G25" s="23">
        <v>845</v>
      </c>
      <c r="H25" s="23">
        <v>25</v>
      </c>
      <c r="I25" s="23">
        <f t="shared" si="0"/>
        <v>820</v>
      </c>
      <c r="J25" s="22" t="s">
        <v>148</v>
      </c>
      <c r="K25" s="22" t="s">
        <v>34</v>
      </c>
      <c r="L25" s="22" t="s">
        <v>965</v>
      </c>
      <c r="M25" s="22"/>
      <c r="N25" s="22"/>
      <c r="O25" s="22"/>
      <c r="P25" s="22"/>
      <c r="Q25" s="22">
        <v>1</v>
      </c>
    </row>
    <row r="26" spans="1:18" customFormat="1" x14ac:dyDescent="0.25">
      <c r="A26" s="22" t="s">
        <v>29</v>
      </c>
      <c r="B26" s="22" t="s">
        <v>30</v>
      </c>
      <c r="C26" s="22" t="s">
        <v>1028</v>
      </c>
      <c r="D26" s="22"/>
      <c r="E26" s="22" t="s">
        <v>1029</v>
      </c>
      <c r="F26" s="23">
        <v>5</v>
      </c>
      <c r="G26" s="23">
        <v>0</v>
      </c>
      <c r="H26" s="23">
        <v>35</v>
      </c>
      <c r="I26" s="23">
        <f t="shared" si="0"/>
        <v>-35</v>
      </c>
      <c r="J26" s="22" t="s">
        <v>148</v>
      </c>
      <c r="K26" s="22" t="s">
        <v>34</v>
      </c>
      <c r="L26" s="22" t="s">
        <v>965</v>
      </c>
      <c r="M26" s="22"/>
      <c r="N26" s="22"/>
      <c r="O26" s="22"/>
      <c r="P26" s="22"/>
      <c r="Q26" s="22">
        <v>1</v>
      </c>
      <c r="R26" s="24">
        <f>H26</f>
        <v>35</v>
      </c>
    </row>
    <row r="27" spans="1:18" customFormat="1" x14ac:dyDescent="0.25">
      <c r="A27" s="22" t="s">
        <v>29</v>
      </c>
      <c r="B27" s="22" t="s">
        <v>30</v>
      </c>
      <c r="C27" s="22" t="s">
        <v>420</v>
      </c>
      <c r="D27" s="22"/>
      <c r="E27" s="22" t="s">
        <v>421</v>
      </c>
      <c r="F27" s="23">
        <v>1</v>
      </c>
      <c r="G27" s="23">
        <v>0</v>
      </c>
      <c r="H27" s="23">
        <v>30</v>
      </c>
      <c r="I27" s="23">
        <f t="shared" si="0"/>
        <v>-30</v>
      </c>
      <c r="J27" s="22" t="s">
        <v>148</v>
      </c>
      <c r="K27" s="22" t="s">
        <v>34</v>
      </c>
      <c r="L27" s="22" t="s">
        <v>965</v>
      </c>
      <c r="M27" s="22"/>
      <c r="N27" s="22"/>
      <c r="O27" s="22"/>
      <c r="P27" s="22"/>
      <c r="Q27" s="22">
        <v>1</v>
      </c>
    </row>
    <row r="29" spans="1:18" x14ac:dyDescent="0.25">
      <c r="G29" s="1">
        <f t="shared" ref="G29:R29" si="2">SUBTOTAL(9,G3:G28)</f>
        <v>17960</v>
      </c>
      <c r="H29" s="1">
        <f t="shared" si="2"/>
        <v>710</v>
      </c>
      <c r="I29" s="1">
        <f t="shared" si="2"/>
        <v>17250</v>
      </c>
      <c r="J29" s="1">
        <f t="shared" si="2"/>
        <v>0</v>
      </c>
      <c r="K29" s="1">
        <f t="shared" si="2"/>
        <v>0</v>
      </c>
      <c r="L29" s="1">
        <f t="shared" si="2"/>
        <v>0</v>
      </c>
      <c r="M29" s="1">
        <f t="shared" si="2"/>
        <v>0</v>
      </c>
      <c r="N29" s="1">
        <f t="shared" si="2"/>
        <v>0</v>
      </c>
      <c r="O29" s="1">
        <f t="shared" si="2"/>
        <v>0</v>
      </c>
      <c r="P29" s="1">
        <f t="shared" si="2"/>
        <v>0</v>
      </c>
      <c r="Q29" s="1">
        <f t="shared" si="2"/>
        <v>25</v>
      </c>
      <c r="R29" s="1">
        <f t="shared" si="2"/>
        <v>200</v>
      </c>
    </row>
    <row r="33" spans="8:10" ht="20.25" customHeight="1" x14ac:dyDescent="0.3">
      <c r="H33" s="4" t="s">
        <v>802</v>
      </c>
      <c r="I33" s="5" t="s">
        <v>15</v>
      </c>
      <c r="J33" s="6" t="s">
        <v>16</v>
      </c>
    </row>
    <row r="34" spans="8:10" ht="15.75" customHeight="1" x14ac:dyDescent="0.25">
      <c r="H34" s="7" t="s">
        <v>17</v>
      </c>
      <c r="I34" s="8">
        <f>SUM(I28:I32)</f>
        <v>17250</v>
      </c>
      <c r="J34" s="8">
        <f>Q29</f>
        <v>25</v>
      </c>
    </row>
    <row r="35" spans="8:10" x14ac:dyDescent="0.25">
      <c r="H35" s="9" t="s">
        <v>18</v>
      </c>
      <c r="I35" s="10">
        <f>R29</f>
        <v>200</v>
      </c>
      <c r="J35" s="11"/>
    </row>
    <row r="36" spans="8:10" x14ac:dyDescent="0.25">
      <c r="H36" s="9" t="s">
        <v>19</v>
      </c>
      <c r="I36" s="10">
        <f>S28</f>
        <v>0</v>
      </c>
      <c r="J36" s="11"/>
    </row>
    <row r="37" spans="8:10" x14ac:dyDescent="0.25">
      <c r="H37" s="9" t="s">
        <v>20</v>
      </c>
      <c r="I37" s="10">
        <f>T28</f>
        <v>0</v>
      </c>
      <c r="J37" s="11"/>
    </row>
    <row r="38" spans="8:10" x14ac:dyDescent="0.25">
      <c r="H38" s="9" t="s">
        <v>21</v>
      </c>
      <c r="I38" s="10">
        <f>U28</f>
        <v>0</v>
      </c>
      <c r="J38" s="11"/>
    </row>
    <row r="39" spans="8:10" ht="15.75" customHeight="1" x14ac:dyDescent="0.25">
      <c r="H39" s="12" t="s">
        <v>22</v>
      </c>
      <c r="I39" s="13"/>
      <c r="J39" s="13"/>
    </row>
    <row r="40" spans="8:10" ht="15.75" customHeight="1" x14ac:dyDescent="0.25">
      <c r="H40" s="14" t="s">
        <v>23</v>
      </c>
      <c r="I40" s="13"/>
      <c r="J40" s="13"/>
    </row>
    <row r="41" spans="8:10" ht="21" customHeight="1" x14ac:dyDescent="0.35">
      <c r="H41" s="15" t="s">
        <v>24</v>
      </c>
      <c r="I41" s="16">
        <f>SUM(I34:I40)</f>
        <v>17450</v>
      </c>
      <c r="J41" s="16">
        <f>SUM(J34:J38)</f>
        <v>25</v>
      </c>
    </row>
  </sheetData>
  <autoFilter ref="A2:P27" xr:uid="{00000000-0009-0000-0000-000006000000}">
    <sortState xmlns:xlrd2="http://schemas.microsoft.com/office/spreadsheetml/2017/richdata2" ref="A3:P27">
      <sortCondition ref="J2:J27"/>
    </sortState>
  </autoFilter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9F5A-29E8-4E78-9648-A9394903C07E}">
  <dimension ref="A1:R49"/>
  <sheetViews>
    <sheetView topLeftCell="A18" zoomScale="82" zoomScaleNormal="80" workbookViewId="0">
      <selection activeCell="A36" sqref="A36:XFD56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270</v>
      </c>
      <c r="C1" s="1" t="s">
        <v>961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22"/>
      <c r="B3" s="22" t="s">
        <v>30</v>
      </c>
      <c r="C3" s="22" t="s">
        <v>1032</v>
      </c>
      <c r="D3" s="22" t="s">
        <v>1033</v>
      </c>
      <c r="E3" s="22" t="s">
        <v>1034</v>
      </c>
      <c r="F3" s="23">
        <v>7</v>
      </c>
      <c r="G3" s="23">
        <v>980</v>
      </c>
      <c r="H3" s="23">
        <v>30</v>
      </c>
      <c r="I3" s="23">
        <f t="shared" ref="I3:I35" si="0">G3-H3</f>
        <v>950</v>
      </c>
      <c r="J3" s="22" t="s">
        <v>1035</v>
      </c>
      <c r="K3" s="22" t="s">
        <v>34</v>
      </c>
      <c r="L3" s="22" t="s">
        <v>1036</v>
      </c>
      <c r="M3" s="22"/>
      <c r="N3" s="22"/>
      <c r="O3" s="22"/>
      <c r="P3" s="22"/>
      <c r="Q3" s="22">
        <v>1</v>
      </c>
    </row>
    <row r="4" spans="1:18" customFormat="1" x14ac:dyDescent="0.25">
      <c r="A4" s="22"/>
      <c r="B4" s="22" t="s">
        <v>30</v>
      </c>
      <c r="C4" s="22" t="s">
        <v>1037</v>
      </c>
      <c r="D4" s="22" t="s">
        <v>1038</v>
      </c>
      <c r="E4" s="22" t="s">
        <v>1039</v>
      </c>
      <c r="F4" s="22" t="s">
        <v>108</v>
      </c>
      <c r="G4" s="23">
        <v>845</v>
      </c>
      <c r="H4" s="23">
        <v>25</v>
      </c>
      <c r="I4" s="23">
        <f t="shared" si="0"/>
        <v>820</v>
      </c>
      <c r="J4" s="22" t="s">
        <v>1035</v>
      </c>
      <c r="K4" s="22" t="s">
        <v>34</v>
      </c>
      <c r="L4" s="22" t="s">
        <v>1036</v>
      </c>
      <c r="M4" s="22"/>
      <c r="N4" s="22"/>
      <c r="O4" s="22"/>
      <c r="P4" s="22"/>
      <c r="Q4" s="22">
        <v>1</v>
      </c>
    </row>
    <row r="5" spans="1:18" s="27" customFormat="1" x14ac:dyDescent="0.25">
      <c r="A5" s="25"/>
      <c r="B5" s="25" t="s">
        <v>30</v>
      </c>
      <c r="C5" s="25" t="s">
        <v>1040</v>
      </c>
      <c r="D5" s="25" t="s">
        <v>1041</v>
      </c>
      <c r="E5" s="25" t="s">
        <v>1042</v>
      </c>
      <c r="F5" s="25" t="s">
        <v>152</v>
      </c>
      <c r="G5" s="26">
        <v>35</v>
      </c>
      <c r="H5" s="26">
        <v>35</v>
      </c>
      <c r="I5" s="26">
        <f t="shared" si="0"/>
        <v>0</v>
      </c>
      <c r="J5" s="25" t="s">
        <v>1035</v>
      </c>
      <c r="K5" s="25" t="s">
        <v>34</v>
      </c>
      <c r="L5" s="25" t="s">
        <v>1036</v>
      </c>
      <c r="M5" s="25" t="s">
        <v>139</v>
      </c>
      <c r="N5" s="25"/>
      <c r="O5" s="25"/>
      <c r="P5" s="25"/>
      <c r="Q5" s="25">
        <v>1</v>
      </c>
    </row>
    <row r="6" spans="1:18" customFormat="1" x14ac:dyDescent="0.25">
      <c r="A6" s="22"/>
      <c r="B6" s="22" t="s">
        <v>30</v>
      </c>
      <c r="C6" s="22" t="s">
        <v>1043</v>
      </c>
      <c r="D6" s="22" t="s">
        <v>1044</v>
      </c>
      <c r="E6" s="22" t="s">
        <v>1045</v>
      </c>
      <c r="F6" s="23">
        <v>7</v>
      </c>
      <c r="G6" s="23">
        <v>900</v>
      </c>
      <c r="H6" s="23">
        <v>30</v>
      </c>
      <c r="I6" s="23">
        <f t="shared" si="0"/>
        <v>870</v>
      </c>
      <c r="J6" s="22" t="s">
        <v>1035</v>
      </c>
      <c r="K6" s="22" t="s">
        <v>34</v>
      </c>
      <c r="L6" s="22" t="s">
        <v>1036</v>
      </c>
      <c r="M6" s="22"/>
      <c r="N6" s="22"/>
      <c r="O6" s="22"/>
      <c r="P6" s="22"/>
      <c r="Q6" s="22">
        <v>1</v>
      </c>
    </row>
    <row r="7" spans="1:18" customFormat="1" x14ac:dyDescent="0.25">
      <c r="A7" s="22"/>
      <c r="B7" s="22" t="s">
        <v>30</v>
      </c>
      <c r="C7" s="22" t="s">
        <v>1046</v>
      </c>
      <c r="D7" s="22" t="s">
        <v>1047</v>
      </c>
      <c r="E7" s="22" t="s">
        <v>1048</v>
      </c>
      <c r="F7" s="22" t="s">
        <v>39</v>
      </c>
      <c r="G7" s="23">
        <v>1570</v>
      </c>
      <c r="H7" s="23">
        <v>35</v>
      </c>
      <c r="I7" s="23">
        <f t="shared" si="0"/>
        <v>1535</v>
      </c>
      <c r="J7" s="22" t="s">
        <v>1035</v>
      </c>
      <c r="K7" s="22" t="s">
        <v>34</v>
      </c>
      <c r="L7" s="22" t="s">
        <v>1036</v>
      </c>
      <c r="M7" s="28" t="s">
        <v>1049</v>
      </c>
      <c r="N7" s="22"/>
      <c r="O7" s="22"/>
      <c r="P7" s="22"/>
      <c r="Q7" s="22">
        <v>1</v>
      </c>
      <c r="R7" s="24">
        <f>H7</f>
        <v>35</v>
      </c>
    </row>
    <row r="8" spans="1:18" customFormat="1" x14ac:dyDescent="0.25">
      <c r="A8" s="22"/>
      <c r="B8" s="22" t="s">
        <v>30</v>
      </c>
      <c r="C8" s="22" t="s">
        <v>1050</v>
      </c>
      <c r="D8" s="22" t="s">
        <v>1051</v>
      </c>
      <c r="E8" s="22" t="s">
        <v>1052</v>
      </c>
      <c r="F8" s="22" t="s">
        <v>39</v>
      </c>
      <c r="G8" s="23">
        <v>3930</v>
      </c>
      <c r="H8" s="23">
        <v>40</v>
      </c>
      <c r="I8" s="23">
        <f t="shared" si="0"/>
        <v>3890</v>
      </c>
      <c r="J8" s="22" t="s">
        <v>1035</v>
      </c>
      <c r="K8" s="22" t="s">
        <v>34</v>
      </c>
      <c r="L8" s="22" t="s">
        <v>1036</v>
      </c>
      <c r="M8" s="22"/>
      <c r="N8" s="22"/>
      <c r="O8" s="22"/>
      <c r="P8" s="22"/>
      <c r="Q8" s="22">
        <v>1</v>
      </c>
    </row>
    <row r="9" spans="1:18" customFormat="1" x14ac:dyDescent="0.25">
      <c r="A9" s="22"/>
      <c r="B9" s="22" t="s">
        <v>30</v>
      </c>
      <c r="C9" s="22" t="s">
        <v>1053</v>
      </c>
      <c r="D9" s="22" t="s">
        <v>1054</v>
      </c>
      <c r="E9" s="22" t="s">
        <v>1055</v>
      </c>
      <c r="F9" s="22" t="s">
        <v>39</v>
      </c>
      <c r="G9" s="23">
        <v>0</v>
      </c>
      <c r="H9" s="23">
        <v>30</v>
      </c>
      <c r="I9" s="23">
        <f t="shared" si="0"/>
        <v>-30</v>
      </c>
      <c r="J9" s="22" t="s">
        <v>1035</v>
      </c>
      <c r="K9" s="22" t="s">
        <v>34</v>
      </c>
      <c r="L9" s="22" t="s">
        <v>1036</v>
      </c>
      <c r="M9" s="22"/>
      <c r="N9" s="22"/>
      <c r="O9" s="22"/>
      <c r="P9" s="22"/>
      <c r="Q9" s="22">
        <v>1</v>
      </c>
      <c r="R9" s="24">
        <f>H9</f>
        <v>30</v>
      </c>
    </row>
    <row r="10" spans="1:18" customFormat="1" x14ac:dyDescent="0.25">
      <c r="A10" s="22"/>
      <c r="B10" s="22" t="s">
        <v>30</v>
      </c>
      <c r="C10" s="22" t="s">
        <v>1056</v>
      </c>
      <c r="D10" s="22" t="s">
        <v>1057</v>
      </c>
      <c r="E10" s="22" t="s">
        <v>736</v>
      </c>
      <c r="F10" s="22" t="s">
        <v>39</v>
      </c>
      <c r="G10" s="23">
        <v>0</v>
      </c>
      <c r="H10" s="23">
        <v>30</v>
      </c>
      <c r="I10" s="23">
        <f t="shared" si="0"/>
        <v>-30</v>
      </c>
      <c r="J10" s="22" t="s">
        <v>1035</v>
      </c>
      <c r="K10" s="22" t="s">
        <v>34</v>
      </c>
      <c r="L10" s="22" t="s">
        <v>1036</v>
      </c>
      <c r="M10" s="22"/>
      <c r="N10" s="22"/>
      <c r="O10" s="22"/>
      <c r="P10" s="22"/>
      <c r="Q10" s="22">
        <v>1</v>
      </c>
      <c r="R10" s="24">
        <f>H10</f>
        <v>30</v>
      </c>
    </row>
    <row r="11" spans="1:18" customFormat="1" x14ac:dyDescent="0.25">
      <c r="A11" s="22"/>
      <c r="B11" s="22" t="s">
        <v>30</v>
      </c>
      <c r="C11" s="22" t="s">
        <v>630</v>
      </c>
      <c r="D11" s="22" t="s">
        <v>1058</v>
      </c>
      <c r="E11" s="22" t="s">
        <v>632</v>
      </c>
      <c r="F11" s="23">
        <v>9</v>
      </c>
      <c r="G11" s="23">
        <v>880</v>
      </c>
      <c r="H11" s="23">
        <v>30</v>
      </c>
      <c r="I11" s="23">
        <f t="shared" si="0"/>
        <v>850</v>
      </c>
      <c r="J11" s="22" t="s">
        <v>1035</v>
      </c>
      <c r="K11" s="22" t="s">
        <v>34</v>
      </c>
      <c r="L11" s="22" t="s">
        <v>1036</v>
      </c>
      <c r="M11" s="22"/>
      <c r="N11" s="22"/>
      <c r="O11" s="22"/>
      <c r="P11" s="22"/>
      <c r="Q11" s="22">
        <v>1</v>
      </c>
    </row>
    <row r="12" spans="1:18" customFormat="1" x14ac:dyDescent="0.25">
      <c r="A12" s="22"/>
      <c r="B12" s="22" t="s">
        <v>30</v>
      </c>
      <c r="C12" s="22" t="s">
        <v>1059</v>
      </c>
      <c r="D12" s="22" t="s">
        <v>1060</v>
      </c>
      <c r="E12" s="22" t="s">
        <v>1061</v>
      </c>
      <c r="F12" s="22" t="s">
        <v>59</v>
      </c>
      <c r="G12" s="23">
        <v>875</v>
      </c>
      <c r="H12" s="23">
        <v>25</v>
      </c>
      <c r="I12" s="23">
        <f t="shared" si="0"/>
        <v>850</v>
      </c>
      <c r="J12" s="22" t="s">
        <v>1035</v>
      </c>
      <c r="K12" s="22" t="s">
        <v>34</v>
      </c>
      <c r="L12" s="22" t="s">
        <v>1036</v>
      </c>
      <c r="M12" s="22"/>
      <c r="N12" s="22"/>
      <c r="O12" s="22"/>
      <c r="P12" s="22"/>
      <c r="Q12" s="22">
        <v>1</v>
      </c>
    </row>
    <row r="13" spans="1:18" customFormat="1" x14ac:dyDescent="0.25">
      <c r="A13" s="22"/>
      <c r="B13" s="22" t="s">
        <v>30</v>
      </c>
      <c r="C13" s="22" t="s">
        <v>1062</v>
      </c>
      <c r="D13" s="22" t="s">
        <v>1063</v>
      </c>
      <c r="E13" s="22" t="s">
        <v>1064</v>
      </c>
      <c r="F13" s="23">
        <v>7</v>
      </c>
      <c r="G13" s="23">
        <v>0</v>
      </c>
      <c r="H13" s="23">
        <v>30</v>
      </c>
      <c r="I13" s="23">
        <f t="shared" si="0"/>
        <v>-30</v>
      </c>
      <c r="J13" s="22" t="s">
        <v>1035</v>
      </c>
      <c r="K13" s="22" t="s">
        <v>34</v>
      </c>
      <c r="L13" s="22" t="s">
        <v>1036</v>
      </c>
      <c r="M13" s="22"/>
      <c r="N13" s="22"/>
      <c r="O13" s="22"/>
      <c r="P13" s="22"/>
      <c r="Q13" s="22">
        <v>1</v>
      </c>
      <c r="R13" s="24">
        <f>H13</f>
        <v>30</v>
      </c>
    </row>
    <row r="14" spans="1:18" customFormat="1" x14ac:dyDescent="0.25">
      <c r="A14" s="22"/>
      <c r="B14" s="22" t="s">
        <v>30</v>
      </c>
      <c r="C14" s="22" t="s">
        <v>1046</v>
      </c>
      <c r="D14" s="22" t="s">
        <v>1065</v>
      </c>
      <c r="E14" s="22" t="s">
        <v>1066</v>
      </c>
      <c r="F14" s="22" t="s">
        <v>39</v>
      </c>
      <c r="G14" s="23">
        <v>780</v>
      </c>
      <c r="H14" s="23">
        <v>0</v>
      </c>
      <c r="I14" s="23">
        <f t="shared" si="0"/>
        <v>780</v>
      </c>
      <c r="J14" s="22" t="s">
        <v>1035</v>
      </c>
      <c r="K14" s="22" t="s">
        <v>34</v>
      </c>
      <c r="L14" s="22" t="s">
        <v>1036</v>
      </c>
      <c r="M14" s="28" t="s">
        <v>360</v>
      </c>
      <c r="N14" s="22"/>
      <c r="O14" s="22"/>
      <c r="P14" s="22"/>
      <c r="Q14" s="22">
        <v>1</v>
      </c>
    </row>
    <row r="15" spans="1:18" customFormat="1" x14ac:dyDescent="0.25">
      <c r="A15" s="22" t="s">
        <v>29</v>
      </c>
      <c r="B15" s="22" t="s">
        <v>30</v>
      </c>
      <c r="C15" s="22" t="s">
        <v>1067</v>
      </c>
      <c r="D15" s="22"/>
      <c r="E15" s="22" t="s">
        <v>1068</v>
      </c>
      <c r="F15" s="22" t="s">
        <v>39</v>
      </c>
      <c r="G15" s="23">
        <v>50</v>
      </c>
      <c r="H15" s="23">
        <v>50</v>
      </c>
      <c r="I15" s="23">
        <f t="shared" si="0"/>
        <v>0</v>
      </c>
      <c r="J15" s="22" t="s">
        <v>1035</v>
      </c>
      <c r="K15" s="22" t="s">
        <v>34</v>
      </c>
      <c r="L15" s="22" t="s">
        <v>1036</v>
      </c>
      <c r="M15" s="22"/>
      <c r="N15" s="22"/>
      <c r="O15" s="22"/>
      <c r="P15" s="22"/>
      <c r="Q15" s="22">
        <v>1</v>
      </c>
    </row>
    <row r="16" spans="1:18" customFormat="1" x14ac:dyDescent="0.25">
      <c r="A16" s="22"/>
      <c r="B16" s="22" t="s">
        <v>30</v>
      </c>
      <c r="C16" s="22" t="s">
        <v>1069</v>
      </c>
      <c r="D16" s="22" t="s">
        <v>1070</v>
      </c>
      <c r="E16" s="22" t="s">
        <v>1071</v>
      </c>
      <c r="F16" s="22" t="s">
        <v>90</v>
      </c>
      <c r="G16" s="23">
        <v>875</v>
      </c>
      <c r="H16" s="23">
        <v>25</v>
      </c>
      <c r="I16" s="23">
        <f t="shared" si="0"/>
        <v>850</v>
      </c>
      <c r="J16" s="22" t="s">
        <v>34</v>
      </c>
      <c r="K16" s="22" t="s">
        <v>34</v>
      </c>
      <c r="L16" s="22" t="s">
        <v>1036</v>
      </c>
      <c r="M16" s="22"/>
      <c r="N16" s="22"/>
      <c r="O16" s="22"/>
      <c r="P16" s="22"/>
      <c r="Q16" s="22">
        <v>1</v>
      </c>
    </row>
    <row r="17" spans="1:18" customFormat="1" x14ac:dyDescent="0.25">
      <c r="A17" s="22"/>
      <c r="B17" s="22" t="s">
        <v>30</v>
      </c>
      <c r="C17" s="22" t="s">
        <v>1072</v>
      </c>
      <c r="D17" s="22" t="s">
        <v>1073</v>
      </c>
      <c r="E17" s="22" t="s">
        <v>1074</v>
      </c>
      <c r="F17" s="22" t="s">
        <v>94</v>
      </c>
      <c r="G17" s="23">
        <v>0</v>
      </c>
      <c r="H17" s="23">
        <v>30</v>
      </c>
      <c r="I17" s="23">
        <f t="shared" si="0"/>
        <v>-30</v>
      </c>
      <c r="J17" s="22" t="s">
        <v>34</v>
      </c>
      <c r="K17" s="22" t="s">
        <v>34</v>
      </c>
      <c r="L17" s="22" t="s">
        <v>1036</v>
      </c>
      <c r="M17" s="22"/>
      <c r="N17" s="22"/>
      <c r="O17" s="22"/>
      <c r="P17" s="22"/>
      <c r="Q17" s="22">
        <v>1</v>
      </c>
      <c r="R17" s="24">
        <f>H17</f>
        <v>30</v>
      </c>
    </row>
    <row r="18" spans="1:18" customFormat="1" x14ac:dyDescent="0.25">
      <c r="A18" s="22"/>
      <c r="B18" s="22" t="s">
        <v>30</v>
      </c>
      <c r="C18" s="22" t="s">
        <v>1075</v>
      </c>
      <c r="D18" s="22" t="s">
        <v>1076</v>
      </c>
      <c r="E18" s="22" t="s">
        <v>1077</v>
      </c>
      <c r="F18" s="23">
        <v>2</v>
      </c>
      <c r="G18" s="23">
        <v>920</v>
      </c>
      <c r="H18" s="23">
        <v>30</v>
      </c>
      <c r="I18" s="23">
        <f t="shared" si="0"/>
        <v>890</v>
      </c>
      <c r="J18" s="22" t="s">
        <v>34</v>
      </c>
      <c r="K18" s="22" t="s">
        <v>34</v>
      </c>
      <c r="L18" s="22" t="s">
        <v>1036</v>
      </c>
      <c r="M18" s="22"/>
      <c r="N18" s="22"/>
      <c r="O18" s="22"/>
      <c r="P18" s="22"/>
      <c r="Q18" s="22">
        <v>1</v>
      </c>
    </row>
    <row r="19" spans="1:18" customFormat="1" x14ac:dyDescent="0.25">
      <c r="A19" s="22"/>
      <c r="B19" s="22" t="s">
        <v>30</v>
      </c>
      <c r="C19" s="22" t="s">
        <v>133</v>
      </c>
      <c r="D19" s="22" t="s">
        <v>1078</v>
      </c>
      <c r="E19" s="22" t="s">
        <v>135</v>
      </c>
      <c r="F19" s="22" t="s">
        <v>98</v>
      </c>
      <c r="G19" s="23">
        <v>870</v>
      </c>
      <c r="H19" s="23">
        <v>20</v>
      </c>
      <c r="I19" s="23">
        <f t="shared" si="0"/>
        <v>850</v>
      </c>
      <c r="J19" s="22" t="s">
        <v>34</v>
      </c>
      <c r="K19" s="22" t="s">
        <v>34</v>
      </c>
      <c r="L19" s="22" t="s">
        <v>1036</v>
      </c>
      <c r="M19" s="22"/>
      <c r="N19" s="22"/>
      <c r="O19" s="22"/>
      <c r="P19" s="22"/>
      <c r="Q19" s="22">
        <v>1</v>
      </c>
    </row>
    <row r="20" spans="1:18" customFormat="1" x14ac:dyDescent="0.25">
      <c r="A20" s="22"/>
      <c r="B20" s="22" t="s">
        <v>30</v>
      </c>
      <c r="C20" s="22" t="s">
        <v>1079</v>
      </c>
      <c r="D20" s="22" t="s">
        <v>1080</v>
      </c>
      <c r="E20" s="22" t="s">
        <v>1081</v>
      </c>
      <c r="F20" s="22" t="s">
        <v>98</v>
      </c>
      <c r="G20" s="23">
        <v>20</v>
      </c>
      <c r="H20" s="23">
        <v>20</v>
      </c>
      <c r="I20" s="23">
        <f t="shared" si="0"/>
        <v>0</v>
      </c>
      <c r="J20" s="22" t="s">
        <v>34</v>
      </c>
      <c r="K20" s="22" t="s">
        <v>34</v>
      </c>
      <c r="L20" s="22" t="s">
        <v>1036</v>
      </c>
      <c r="M20" s="22"/>
      <c r="N20" s="22"/>
      <c r="O20" s="22"/>
      <c r="P20" s="22"/>
      <c r="Q20" s="22">
        <v>1</v>
      </c>
    </row>
    <row r="21" spans="1:18" customFormat="1" x14ac:dyDescent="0.25">
      <c r="A21" s="22"/>
      <c r="B21" s="22" t="s">
        <v>30</v>
      </c>
      <c r="C21" s="22" t="s">
        <v>1082</v>
      </c>
      <c r="D21" s="22" t="s">
        <v>1083</v>
      </c>
      <c r="E21" s="22" t="s">
        <v>1084</v>
      </c>
      <c r="F21" s="22" t="s">
        <v>90</v>
      </c>
      <c r="G21" s="23">
        <v>0</v>
      </c>
      <c r="H21" s="23">
        <v>25</v>
      </c>
      <c r="I21" s="23">
        <f t="shared" si="0"/>
        <v>-25</v>
      </c>
      <c r="J21" s="22" t="s">
        <v>34</v>
      </c>
      <c r="K21" s="22" t="s">
        <v>34</v>
      </c>
      <c r="L21" s="22" t="s">
        <v>1036</v>
      </c>
      <c r="M21" s="22"/>
      <c r="N21" s="22"/>
      <c r="O21" s="22"/>
      <c r="P21" s="22"/>
      <c r="Q21" s="22">
        <v>1</v>
      </c>
      <c r="R21" s="24">
        <f>H21</f>
        <v>25</v>
      </c>
    </row>
    <row r="22" spans="1:18" customFormat="1" x14ac:dyDescent="0.25">
      <c r="A22" s="22"/>
      <c r="B22" s="22" t="s">
        <v>30</v>
      </c>
      <c r="C22" s="22" t="s">
        <v>1085</v>
      </c>
      <c r="D22" s="22" t="s">
        <v>1086</v>
      </c>
      <c r="E22" s="22" t="s">
        <v>1087</v>
      </c>
      <c r="F22" s="22" t="s">
        <v>90</v>
      </c>
      <c r="G22" s="23">
        <v>875</v>
      </c>
      <c r="H22" s="23">
        <v>25</v>
      </c>
      <c r="I22" s="23">
        <f t="shared" si="0"/>
        <v>850</v>
      </c>
      <c r="J22" s="22" t="s">
        <v>34</v>
      </c>
      <c r="K22" s="22" t="s">
        <v>34</v>
      </c>
      <c r="L22" s="22" t="s">
        <v>1036</v>
      </c>
      <c r="M22" s="22"/>
      <c r="N22" s="22"/>
      <c r="O22" s="22"/>
      <c r="P22" s="22"/>
      <c r="Q22" s="22">
        <v>1</v>
      </c>
    </row>
    <row r="23" spans="1:18" customFormat="1" x14ac:dyDescent="0.25">
      <c r="A23" s="22"/>
      <c r="B23" s="22" t="s">
        <v>30</v>
      </c>
      <c r="C23" s="22" t="s">
        <v>1088</v>
      </c>
      <c r="D23" s="22" t="s">
        <v>1089</v>
      </c>
      <c r="E23" s="22" t="s">
        <v>1090</v>
      </c>
      <c r="F23" s="22" t="s">
        <v>98</v>
      </c>
      <c r="G23" s="23">
        <v>0</v>
      </c>
      <c r="H23" s="23">
        <v>20</v>
      </c>
      <c r="I23" s="23">
        <f t="shared" si="0"/>
        <v>-20</v>
      </c>
      <c r="J23" s="22" t="s">
        <v>34</v>
      </c>
      <c r="K23" s="22" t="s">
        <v>34</v>
      </c>
      <c r="L23" s="22" t="s">
        <v>1036</v>
      </c>
      <c r="M23" s="22"/>
      <c r="N23" s="22"/>
      <c r="O23" s="22"/>
      <c r="P23" s="22"/>
      <c r="Q23" s="22">
        <v>1</v>
      </c>
      <c r="R23" s="24">
        <f>H23</f>
        <v>20</v>
      </c>
    </row>
    <row r="24" spans="1:18" customFormat="1" x14ac:dyDescent="0.25">
      <c r="A24" s="22"/>
      <c r="B24" s="22" t="s">
        <v>30</v>
      </c>
      <c r="C24" s="22" t="s">
        <v>1091</v>
      </c>
      <c r="D24" s="22" t="s">
        <v>1092</v>
      </c>
      <c r="E24" s="22" t="s">
        <v>1093</v>
      </c>
      <c r="F24" s="22" t="s">
        <v>98</v>
      </c>
      <c r="G24" s="23">
        <v>840</v>
      </c>
      <c r="H24" s="23">
        <v>20</v>
      </c>
      <c r="I24" s="23">
        <f t="shared" si="0"/>
        <v>820</v>
      </c>
      <c r="J24" s="22" t="s">
        <v>34</v>
      </c>
      <c r="K24" s="22" t="s">
        <v>34</v>
      </c>
      <c r="L24" s="22" t="s">
        <v>1036</v>
      </c>
      <c r="M24" s="22"/>
      <c r="N24" s="22"/>
      <c r="O24" s="22"/>
      <c r="P24" s="22"/>
      <c r="Q24" s="22">
        <v>1</v>
      </c>
    </row>
    <row r="25" spans="1:18" customFormat="1" x14ac:dyDescent="0.25">
      <c r="A25" s="22" t="s">
        <v>29</v>
      </c>
      <c r="B25" s="22" t="s">
        <v>30</v>
      </c>
      <c r="C25" s="22" t="s">
        <v>353</v>
      </c>
      <c r="D25" s="22"/>
      <c r="E25" s="22" t="s">
        <v>354</v>
      </c>
      <c r="F25" s="22" t="s">
        <v>90</v>
      </c>
      <c r="G25" s="23">
        <v>30</v>
      </c>
      <c r="H25" s="23">
        <v>30</v>
      </c>
      <c r="I25" s="23">
        <f>G25-H25</f>
        <v>0</v>
      </c>
      <c r="J25" s="22" t="s">
        <v>34</v>
      </c>
      <c r="K25" s="22" t="s">
        <v>34</v>
      </c>
      <c r="L25" s="22" t="s">
        <v>1036</v>
      </c>
      <c r="M25" s="22"/>
      <c r="N25" s="22"/>
      <c r="O25" s="22"/>
      <c r="P25" s="22"/>
      <c r="Q25" s="22">
        <v>1</v>
      </c>
    </row>
    <row r="26" spans="1:18" customFormat="1" x14ac:dyDescent="0.25">
      <c r="A26" s="22" t="s">
        <v>29</v>
      </c>
      <c r="B26" s="22" t="s">
        <v>30</v>
      </c>
      <c r="C26" s="22" t="s">
        <v>142</v>
      </c>
      <c r="D26" s="22"/>
      <c r="E26" s="22" t="s">
        <v>1094</v>
      </c>
      <c r="F26" s="22" t="s">
        <v>90</v>
      </c>
      <c r="G26" s="23">
        <v>3955</v>
      </c>
      <c r="H26" s="23">
        <v>35</v>
      </c>
      <c r="I26" s="23">
        <f>G26-H26</f>
        <v>3920</v>
      </c>
      <c r="J26" s="22" t="s">
        <v>34</v>
      </c>
      <c r="K26" s="22" t="s">
        <v>34</v>
      </c>
      <c r="L26" s="22" t="s">
        <v>1036</v>
      </c>
      <c r="M26" s="22"/>
      <c r="N26" s="22"/>
      <c r="O26" s="22"/>
      <c r="P26" s="22"/>
      <c r="Q26" s="22">
        <v>1</v>
      </c>
    </row>
    <row r="27" spans="1:18" customFormat="1" x14ac:dyDescent="0.25">
      <c r="A27" s="22"/>
      <c r="B27" s="22" t="s">
        <v>30</v>
      </c>
      <c r="C27" s="22" t="s">
        <v>1095</v>
      </c>
      <c r="D27" s="22" t="s">
        <v>1096</v>
      </c>
      <c r="E27" s="22" t="s">
        <v>1097</v>
      </c>
      <c r="F27" s="22" t="s">
        <v>90</v>
      </c>
      <c r="G27" s="23">
        <v>815</v>
      </c>
      <c r="H27" s="23">
        <v>25</v>
      </c>
      <c r="I27" s="23">
        <f t="shared" si="0"/>
        <v>790</v>
      </c>
      <c r="J27" s="22" t="s">
        <v>148</v>
      </c>
      <c r="K27" s="22" t="s">
        <v>34</v>
      </c>
      <c r="L27" s="22" t="s">
        <v>1036</v>
      </c>
      <c r="M27" s="22"/>
      <c r="N27" s="22"/>
      <c r="O27" s="22"/>
      <c r="P27" s="22"/>
      <c r="Q27" s="22">
        <v>1</v>
      </c>
    </row>
    <row r="28" spans="1:18" customFormat="1" x14ac:dyDescent="0.25">
      <c r="A28" s="22"/>
      <c r="B28" s="22" t="s">
        <v>30</v>
      </c>
      <c r="C28" s="22" t="s">
        <v>1098</v>
      </c>
      <c r="D28" s="22" t="s">
        <v>1099</v>
      </c>
      <c r="E28" s="22" t="s">
        <v>1100</v>
      </c>
      <c r="F28" s="23">
        <v>4</v>
      </c>
      <c r="G28" s="23">
        <v>765</v>
      </c>
      <c r="H28" s="23">
        <v>25</v>
      </c>
      <c r="I28" s="23">
        <f t="shared" si="0"/>
        <v>740</v>
      </c>
      <c r="J28" s="22" t="s">
        <v>148</v>
      </c>
      <c r="K28" s="22" t="s">
        <v>34</v>
      </c>
      <c r="L28" s="22" t="s">
        <v>1036</v>
      </c>
      <c r="M28" s="22"/>
      <c r="N28" s="22"/>
      <c r="O28" s="22"/>
      <c r="P28" s="22"/>
      <c r="Q28" s="22">
        <v>1</v>
      </c>
    </row>
    <row r="29" spans="1:18" customFormat="1" x14ac:dyDescent="0.25">
      <c r="A29" s="22"/>
      <c r="B29" s="22" t="s">
        <v>30</v>
      </c>
      <c r="C29" s="22" t="s">
        <v>1101</v>
      </c>
      <c r="D29" s="22" t="s">
        <v>1102</v>
      </c>
      <c r="E29" s="22" t="s">
        <v>1103</v>
      </c>
      <c r="F29" s="22" t="s">
        <v>108</v>
      </c>
      <c r="G29" s="23">
        <v>25</v>
      </c>
      <c r="H29" s="23">
        <v>25</v>
      </c>
      <c r="I29" s="23">
        <f t="shared" si="0"/>
        <v>0</v>
      </c>
      <c r="J29" s="22" t="s">
        <v>148</v>
      </c>
      <c r="K29" s="22" t="s">
        <v>34</v>
      </c>
      <c r="L29" s="22" t="s">
        <v>1036</v>
      </c>
      <c r="M29" s="22"/>
      <c r="N29" s="22"/>
      <c r="O29" s="22"/>
      <c r="P29" s="22"/>
      <c r="Q29" s="22">
        <v>1</v>
      </c>
    </row>
    <row r="30" spans="1:18" customFormat="1" x14ac:dyDescent="0.25">
      <c r="A30" s="22"/>
      <c r="B30" s="22" t="s">
        <v>30</v>
      </c>
      <c r="C30" s="22" t="s">
        <v>1104</v>
      </c>
      <c r="D30" s="22" t="s">
        <v>1105</v>
      </c>
      <c r="E30" s="22" t="s">
        <v>1106</v>
      </c>
      <c r="F30" s="23">
        <v>10</v>
      </c>
      <c r="G30" s="23">
        <v>725</v>
      </c>
      <c r="H30" s="23">
        <v>25</v>
      </c>
      <c r="I30" s="23">
        <f t="shared" si="0"/>
        <v>700</v>
      </c>
      <c r="J30" s="22" t="s">
        <v>148</v>
      </c>
      <c r="K30" s="22" t="s">
        <v>34</v>
      </c>
      <c r="L30" s="22" t="s">
        <v>1036</v>
      </c>
      <c r="M30" s="22"/>
      <c r="N30" s="22"/>
      <c r="O30" s="22"/>
      <c r="P30" s="22"/>
      <c r="Q30" s="22">
        <v>1</v>
      </c>
    </row>
    <row r="31" spans="1:18" customFormat="1" x14ac:dyDescent="0.25">
      <c r="A31" s="22"/>
      <c r="B31" s="22" t="s">
        <v>30</v>
      </c>
      <c r="C31" s="22" t="s">
        <v>1107</v>
      </c>
      <c r="D31" s="22" t="s">
        <v>1108</v>
      </c>
      <c r="E31" s="22" t="s">
        <v>1109</v>
      </c>
      <c r="F31" s="23">
        <v>3</v>
      </c>
      <c r="G31" s="23">
        <v>765</v>
      </c>
      <c r="H31" s="23">
        <v>25</v>
      </c>
      <c r="I31" s="23">
        <f t="shared" si="0"/>
        <v>740</v>
      </c>
      <c r="J31" s="22" t="s">
        <v>148</v>
      </c>
      <c r="K31" s="22" t="s">
        <v>34</v>
      </c>
      <c r="L31" s="22" t="s">
        <v>1036</v>
      </c>
      <c r="M31" s="22"/>
      <c r="N31" s="22"/>
      <c r="O31" s="22"/>
      <c r="P31" s="22"/>
      <c r="Q31" s="22">
        <v>1</v>
      </c>
    </row>
    <row r="32" spans="1:18" customFormat="1" x14ac:dyDescent="0.25">
      <c r="A32" s="22"/>
      <c r="B32" s="22" t="s">
        <v>30</v>
      </c>
      <c r="C32" s="22" t="s">
        <v>1110</v>
      </c>
      <c r="D32" s="22" t="s">
        <v>1111</v>
      </c>
      <c r="E32" s="22" t="s">
        <v>1112</v>
      </c>
      <c r="F32" s="23">
        <v>5</v>
      </c>
      <c r="G32" s="23">
        <v>1115</v>
      </c>
      <c r="H32" s="23">
        <v>25</v>
      </c>
      <c r="I32" s="23">
        <f t="shared" si="0"/>
        <v>1090</v>
      </c>
      <c r="J32" s="22" t="s">
        <v>148</v>
      </c>
      <c r="K32" s="22" t="s">
        <v>34</v>
      </c>
      <c r="L32" s="22" t="s">
        <v>1036</v>
      </c>
      <c r="M32" s="22"/>
      <c r="N32" s="22"/>
      <c r="O32" s="22"/>
      <c r="P32" s="22"/>
      <c r="Q32" s="22">
        <v>1</v>
      </c>
    </row>
    <row r="33" spans="1:18" customFormat="1" x14ac:dyDescent="0.25">
      <c r="A33" s="22"/>
      <c r="B33" s="22" t="s">
        <v>30</v>
      </c>
      <c r="C33" s="22" t="s">
        <v>937</v>
      </c>
      <c r="D33" s="22" t="s">
        <v>1113</v>
      </c>
      <c r="E33" s="22" t="s">
        <v>1114</v>
      </c>
      <c r="F33" s="22" t="s">
        <v>108</v>
      </c>
      <c r="G33" s="23">
        <v>815</v>
      </c>
      <c r="H33" s="23">
        <v>25</v>
      </c>
      <c r="I33" s="23">
        <f t="shared" si="0"/>
        <v>790</v>
      </c>
      <c r="J33" s="22" t="s">
        <v>148</v>
      </c>
      <c r="K33" s="22" t="s">
        <v>34</v>
      </c>
      <c r="L33" s="22" t="s">
        <v>1036</v>
      </c>
      <c r="M33" s="22"/>
      <c r="N33" s="22"/>
      <c r="O33" s="22"/>
      <c r="P33" s="22"/>
      <c r="Q33" s="22">
        <v>1</v>
      </c>
    </row>
    <row r="34" spans="1:18" s="27" customFormat="1" x14ac:dyDescent="0.25">
      <c r="A34" s="25"/>
      <c r="B34" s="25" t="s">
        <v>30</v>
      </c>
      <c r="C34" s="25" t="s">
        <v>1025</v>
      </c>
      <c r="D34" s="25" t="s">
        <v>1115</v>
      </c>
      <c r="E34" s="25" t="s">
        <v>1027</v>
      </c>
      <c r="F34" s="26">
        <v>4</v>
      </c>
      <c r="G34" s="26">
        <v>45</v>
      </c>
      <c r="H34" s="26">
        <v>25</v>
      </c>
      <c r="I34" s="26">
        <f t="shared" si="0"/>
        <v>20</v>
      </c>
      <c r="J34" s="25" t="s">
        <v>148</v>
      </c>
      <c r="K34" s="25" t="s">
        <v>34</v>
      </c>
      <c r="L34" s="25" t="s">
        <v>1036</v>
      </c>
      <c r="M34" s="25" t="s">
        <v>139</v>
      </c>
      <c r="N34" s="25"/>
      <c r="O34" s="25"/>
      <c r="P34" s="25"/>
      <c r="Q34" s="25">
        <v>1</v>
      </c>
    </row>
    <row r="35" spans="1:18" customFormat="1" x14ac:dyDescent="0.25">
      <c r="A35" s="22"/>
      <c r="B35" s="22" t="s">
        <v>30</v>
      </c>
      <c r="C35" s="22" t="s">
        <v>1116</v>
      </c>
      <c r="D35" s="22" t="s">
        <v>1117</v>
      </c>
      <c r="E35" s="22" t="s">
        <v>1118</v>
      </c>
      <c r="F35" s="23">
        <v>1</v>
      </c>
      <c r="G35" s="23">
        <v>765</v>
      </c>
      <c r="H35" s="23">
        <v>25</v>
      </c>
      <c r="I35" s="23">
        <f t="shared" si="0"/>
        <v>740</v>
      </c>
      <c r="J35" s="22" t="s">
        <v>148</v>
      </c>
      <c r="K35" s="22" t="s">
        <v>34</v>
      </c>
      <c r="L35" s="22" t="s">
        <v>1036</v>
      </c>
      <c r="M35" s="22"/>
      <c r="N35" s="22"/>
      <c r="O35" s="22"/>
      <c r="P35" s="22"/>
      <c r="Q35" s="22">
        <v>1</v>
      </c>
    </row>
    <row r="37" spans="1:18" x14ac:dyDescent="0.25">
      <c r="G37" s="1">
        <f t="shared" ref="G37:R37" si="1">SUBTOTAL(9,G3:G36)</f>
        <v>25065</v>
      </c>
      <c r="H37" s="1">
        <f t="shared" si="1"/>
        <v>895</v>
      </c>
      <c r="I37" s="1">
        <f t="shared" si="1"/>
        <v>24170</v>
      </c>
      <c r="J37" s="1">
        <f t="shared" si="1"/>
        <v>0</v>
      </c>
      <c r="K37" s="1">
        <f t="shared" si="1"/>
        <v>0</v>
      </c>
      <c r="L37" s="1">
        <f t="shared" si="1"/>
        <v>0</v>
      </c>
      <c r="M37" s="1">
        <f t="shared" si="1"/>
        <v>0</v>
      </c>
      <c r="N37" s="1">
        <f t="shared" si="1"/>
        <v>0</v>
      </c>
      <c r="O37" s="1">
        <f t="shared" si="1"/>
        <v>0</v>
      </c>
      <c r="P37" s="1">
        <f t="shared" si="1"/>
        <v>0</v>
      </c>
      <c r="Q37" s="1">
        <f t="shared" si="1"/>
        <v>33</v>
      </c>
      <c r="R37" s="1">
        <f t="shared" si="1"/>
        <v>200</v>
      </c>
    </row>
    <row r="41" spans="1:18" ht="20.25" customHeight="1" x14ac:dyDescent="0.3">
      <c r="H41" s="4" t="s">
        <v>960</v>
      </c>
      <c r="I41" s="5" t="s">
        <v>15</v>
      </c>
      <c r="J41" s="6" t="s">
        <v>16</v>
      </c>
    </row>
    <row r="42" spans="1:18" ht="15.75" customHeight="1" x14ac:dyDescent="0.25">
      <c r="H42" s="7" t="s">
        <v>17</v>
      </c>
      <c r="I42" s="8">
        <f>SUM(I36:I40)</f>
        <v>24170</v>
      </c>
      <c r="J42" s="8">
        <f>Q37</f>
        <v>33</v>
      </c>
    </row>
    <row r="43" spans="1:18" x14ac:dyDescent="0.25">
      <c r="H43" s="9" t="s">
        <v>18</v>
      </c>
      <c r="I43" s="10">
        <f>R37</f>
        <v>200</v>
      </c>
      <c r="J43" s="11"/>
    </row>
    <row r="44" spans="1:18" x14ac:dyDescent="0.25">
      <c r="H44" s="9" t="s">
        <v>19</v>
      </c>
      <c r="I44" s="10">
        <f>S36</f>
        <v>0</v>
      </c>
      <c r="J44" s="11"/>
    </row>
    <row r="45" spans="1:18" x14ac:dyDescent="0.25">
      <c r="H45" s="9" t="s">
        <v>20</v>
      </c>
      <c r="I45" s="10">
        <f>T36</f>
        <v>0</v>
      </c>
      <c r="J45" s="11"/>
    </row>
    <row r="46" spans="1:18" x14ac:dyDescent="0.25">
      <c r="H46" s="9" t="s">
        <v>21</v>
      </c>
      <c r="I46" s="10">
        <f>U36</f>
        <v>0</v>
      </c>
      <c r="J46" s="11"/>
    </row>
    <row r="47" spans="1:18" ht="15.75" customHeight="1" x14ac:dyDescent="0.25">
      <c r="H47" s="12" t="s">
        <v>22</v>
      </c>
      <c r="I47" s="13"/>
      <c r="J47" s="13"/>
    </row>
    <row r="48" spans="1:18" ht="15.75" customHeight="1" x14ac:dyDescent="0.25">
      <c r="H48" s="14" t="s">
        <v>23</v>
      </c>
      <c r="I48" s="13"/>
      <c r="J48" s="13"/>
    </row>
    <row r="49" spans="8:10" ht="21" customHeight="1" x14ac:dyDescent="0.35">
      <c r="H49" s="15" t="s">
        <v>24</v>
      </c>
      <c r="I49" s="16">
        <f>SUM(I42:I48)</f>
        <v>24370</v>
      </c>
      <c r="J49" s="16">
        <f>SUM(J42:J46)</f>
        <v>33</v>
      </c>
    </row>
  </sheetData>
  <autoFilter ref="A2:P35" xr:uid="{00000000-0009-0000-0000-000006000000}">
    <sortState xmlns:xlrd2="http://schemas.microsoft.com/office/spreadsheetml/2017/richdata2" ref="A3:P35">
      <sortCondition ref="J2:J35"/>
    </sortState>
  </autoFilter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39B8-44B5-456F-904E-6135F949606D}">
  <dimension ref="A1:R56"/>
  <sheetViews>
    <sheetView tabSelected="1" zoomScale="82" zoomScaleNormal="80" workbookViewId="0">
      <selection activeCell="A5" sqref="A5:XFD5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424</v>
      </c>
      <c r="C1" s="1" t="s">
        <v>1030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22"/>
      <c r="B3" s="22" t="s">
        <v>30</v>
      </c>
      <c r="C3" s="22" t="s">
        <v>1121</v>
      </c>
      <c r="D3" s="22" t="s">
        <v>1122</v>
      </c>
      <c r="E3" s="22" t="s">
        <v>1123</v>
      </c>
      <c r="F3" s="23">
        <v>9</v>
      </c>
      <c r="G3" s="23">
        <v>980</v>
      </c>
      <c r="H3" s="23">
        <v>30</v>
      </c>
      <c r="I3" s="23">
        <f>G3-H3</f>
        <v>950</v>
      </c>
      <c r="J3" s="22" t="s">
        <v>33</v>
      </c>
      <c r="K3" s="22" t="s">
        <v>34</v>
      </c>
      <c r="L3" s="22" t="s">
        <v>1124</v>
      </c>
      <c r="M3" s="22"/>
      <c r="N3" s="22"/>
      <c r="O3" s="22"/>
      <c r="Q3">
        <v>1</v>
      </c>
    </row>
    <row r="4" spans="1:18" customFormat="1" x14ac:dyDescent="0.25">
      <c r="A4" s="22"/>
      <c r="B4" s="22" t="s">
        <v>30</v>
      </c>
      <c r="C4" s="22" t="s">
        <v>1125</v>
      </c>
      <c r="D4" s="22" t="s">
        <v>1126</v>
      </c>
      <c r="E4" s="22" t="s">
        <v>1127</v>
      </c>
      <c r="F4" s="22" t="s">
        <v>39</v>
      </c>
      <c r="G4" s="23">
        <v>0</v>
      </c>
      <c r="H4" s="23">
        <v>30</v>
      </c>
      <c r="I4" s="23">
        <f>G4-H4</f>
        <v>-30</v>
      </c>
      <c r="J4" s="22" t="s">
        <v>1128</v>
      </c>
      <c r="K4" s="22" t="s">
        <v>34</v>
      </c>
      <c r="L4" s="22" t="s">
        <v>1124</v>
      </c>
      <c r="M4" s="22"/>
      <c r="N4" s="22"/>
      <c r="O4" s="22"/>
      <c r="Q4">
        <v>1</v>
      </c>
      <c r="R4" s="24">
        <f>H4</f>
        <v>30</v>
      </c>
    </row>
    <row r="5" spans="1:18" customFormat="1" x14ac:dyDescent="0.25">
      <c r="A5" s="22"/>
      <c r="B5" s="22" t="s">
        <v>30</v>
      </c>
      <c r="C5" s="22" t="s">
        <v>1129</v>
      </c>
      <c r="D5" s="22" t="s">
        <v>1652</v>
      </c>
      <c r="E5" s="22" t="s">
        <v>1130</v>
      </c>
      <c r="F5" s="23">
        <v>7</v>
      </c>
      <c r="G5" s="23">
        <v>810</v>
      </c>
      <c r="H5" s="23">
        <v>30</v>
      </c>
      <c r="I5" s="23">
        <f>G5-H5</f>
        <v>780</v>
      </c>
      <c r="J5" s="22" t="s">
        <v>1128</v>
      </c>
      <c r="K5" s="22" t="s">
        <v>34</v>
      </c>
      <c r="L5" s="22" t="s">
        <v>1124</v>
      </c>
      <c r="M5" s="22"/>
      <c r="N5" s="22"/>
      <c r="O5" s="22"/>
      <c r="Q5">
        <v>1</v>
      </c>
    </row>
    <row r="6" spans="1:18" customFormat="1" x14ac:dyDescent="0.25">
      <c r="A6" s="22"/>
      <c r="B6" s="22" t="s">
        <v>30</v>
      </c>
      <c r="C6" s="22" t="s">
        <v>1131</v>
      </c>
      <c r="D6" s="22" t="s">
        <v>1132</v>
      </c>
      <c r="E6" s="22" t="s">
        <v>1133</v>
      </c>
      <c r="F6" s="23">
        <v>8</v>
      </c>
      <c r="G6" s="23">
        <v>1550</v>
      </c>
      <c r="H6" s="23">
        <v>30</v>
      </c>
      <c r="I6" s="23">
        <f>G6-H6</f>
        <v>1520</v>
      </c>
      <c r="J6" s="22" t="s">
        <v>1128</v>
      </c>
      <c r="K6" s="22" t="s">
        <v>34</v>
      </c>
      <c r="L6" s="22" t="s">
        <v>1124</v>
      </c>
      <c r="M6" s="22"/>
      <c r="N6" s="22"/>
      <c r="O6" s="22"/>
      <c r="Q6">
        <v>1</v>
      </c>
    </row>
    <row r="7" spans="1:18" customFormat="1" x14ac:dyDescent="0.25">
      <c r="A7" s="22"/>
      <c r="B7" s="22" t="s">
        <v>30</v>
      </c>
      <c r="C7" s="22" t="s">
        <v>1134</v>
      </c>
      <c r="D7" s="22" t="s">
        <v>1135</v>
      </c>
      <c r="E7" s="22" t="s">
        <v>1136</v>
      </c>
      <c r="F7" s="22" t="s">
        <v>59</v>
      </c>
      <c r="G7" s="23">
        <v>835</v>
      </c>
      <c r="H7" s="23">
        <v>25</v>
      </c>
      <c r="I7" s="23">
        <f>G7-H7</f>
        <v>810</v>
      </c>
      <c r="J7" s="22" t="s">
        <v>1128</v>
      </c>
      <c r="K7" s="22" t="s">
        <v>34</v>
      </c>
      <c r="L7" s="22" t="s">
        <v>1124</v>
      </c>
      <c r="M7" s="22"/>
      <c r="N7" s="22"/>
      <c r="O7" s="22"/>
      <c r="Q7">
        <v>1</v>
      </c>
    </row>
    <row r="8" spans="1:18" customFormat="1" x14ac:dyDescent="0.25">
      <c r="A8" s="22"/>
      <c r="B8" s="22" t="s">
        <v>30</v>
      </c>
      <c r="C8" s="22" t="s">
        <v>1137</v>
      </c>
      <c r="D8" s="22" t="s">
        <v>1138</v>
      </c>
      <c r="E8" s="22" t="s">
        <v>1139</v>
      </c>
      <c r="F8" s="22" t="s">
        <v>39</v>
      </c>
      <c r="G8" s="23">
        <v>0</v>
      </c>
      <c r="H8" s="23">
        <v>30</v>
      </c>
      <c r="I8" s="23">
        <f>G8-H8</f>
        <v>-30</v>
      </c>
      <c r="J8" s="22" t="s">
        <v>1128</v>
      </c>
      <c r="K8" s="22" t="s">
        <v>34</v>
      </c>
      <c r="L8" s="22" t="s">
        <v>1124</v>
      </c>
      <c r="M8" s="22"/>
      <c r="N8" s="22"/>
      <c r="O8" s="22"/>
      <c r="Q8">
        <v>1</v>
      </c>
      <c r="R8" s="24">
        <f>H8</f>
        <v>30</v>
      </c>
    </row>
    <row r="9" spans="1:18" customFormat="1" x14ac:dyDescent="0.25">
      <c r="A9" s="22"/>
      <c r="B9" s="22" t="s">
        <v>30</v>
      </c>
      <c r="C9" s="22" t="s">
        <v>1140</v>
      </c>
      <c r="D9" s="22" t="s">
        <v>1141</v>
      </c>
      <c r="E9" s="22" t="s">
        <v>1142</v>
      </c>
      <c r="F9" s="22" t="s">
        <v>59</v>
      </c>
      <c r="G9" s="23">
        <v>805</v>
      </c>
      <c r="H9" s="23">
        <v>25</v>
      </c>
      <c r="I9" s="23">
        <f>G9-H9</f>
        <v>780</v>
      </c>
      <c r="J9" s="22" t="s">
        <v>1128</v>
      </c>
      <c r="K9" s="22" t="s">
        <v>34</v>
      </c>
      <c r="L9" s="22" t="s">
        <v>1124</v>
      </c>
      <c r="M9" s="22"/>
      <c r="N9" s="22"/>
      <c r="O9" s="22"/>
      <c r="Q9">
        <v>1</v>
      </c>
    </row>
    <row r="10" spans="1:18" customFormat="1" x14ac:dyDescent="0.25">
      <c r="A10" s="22"/>
      <c r="B10" s="22" t="s">
        <v>30</v>
      </c>
      <c r="C10" s="22" t="s">
        <v>1143</v>
      </c>
      <c r="D10" s="22" t="s">
        <v>1144</v>
      </c>
      <c r="E10" s="22" t="s">
        <v>1145</v>
      </c>
      <c r="F10" s="22" t="s">
        <v>39</v>
      </c>
      <c r="G10" s="23">
        <v>0</v>
      </c>
      <c r="H10" s="23">
        <v>30</v>
      </c>
      <c r="I10" s="23">
        <f>G10-H10</f>
        <v>-30</v>
      </c>
      <c r="J10" s="22" t="s">
        <v>1128</v>
      </c>
      <c r="K10" s="22" t="s">
        <v>34</v>
      </c>
      <c r="L10" s="22" t="s">
        <v>1124</v>
      </c>
      <c r="M10" s="22"/>
      <c r="N10" s="22"/>
      <c r="O10" s="22"/>
      <c r="Q10">
        <v>1</v>
      </c>
      <c r="R10" s="24">
        <f>H10</f>
        <v>30</v>
      </c>
    </row>
    <row r="11" spans="1:18" customFormat="1" x14ac:dyDescent="0.25">
      <c r="A11" s="22"/>
      <c r="B11" s="22" t="s">
        <v>30</v>
      </c>
      <c r="C11" s="22" t="s">
        <v>1146</v>
      </c>
      <c r="D11" s="22" t="s">
        <v>1147</v>
      </c>
      <c r="E11" s="22" t="s">
        <v>1148</v>
      </c>
      <c r="F11" s="22" t="s">
        <v>39</v>
      </c>
      <c r="G11" s="23">
        <v>810</v>
      </c>
      <c r="H11" s="23">
        <v>30</v>
      </c>
      <c r="I11" s="23">
        <f>G11-H11</f>
        <v>780</v>
      </c>
      <c r="J11" s="22" t="s">
        <v>1128</v>
      </c>
      <c r="K11" s="22" t="s">
        <v>34</v>
      </c>
      <c r="L11" s="22" t="s">
        <v>1124</v>
      </c>
      <c r="M11" s="22"/>
      <c r="N11" s="22"/>
      <c r="O11" s="22"/>
      <c r="Q11">
        <v>1</v>
      </c>
    </row>
    <row r="12" spans="1:18" customFormat="1" x14ac:dyDescent="0.25">
      <c r="A12" s="22"/>
      <c r="B12" s="22" t="s">
        <v>30</v>
      </c>
      <c r="C12" s="22" t="s">
        <v>1149</v>
      </c>
      <c r="D12" s="22" t="s">
        <v>1150</v>
      </c>
      <c r="E12" s="22" t="s">
        <v>1151</v>
      </c>
      <c r="F12" s="23">
        <v>7</v>
      </c>
      <c r="G12" s="23">
        <v>720</v>
      </c>
      <c r="H12" s="23">
        <v>30</v>
      </c>
      <c r="I12" s="23">
        <f>G12-H12</f>
        <v>690</v>
      </c>
      <c r="J12" s="22" t="s">
        <v>1128</v>
      </c>
      <c r="K12" s="22" t="s">
        <v>34</v>
      </c>
      <c r="L12" s="22" t="s">
        <v>1124</v>
      </c>
      <c r="M12" s="22"/>
      <c r="N12" s="22"/>
      <c r="O12" s="22"/>
      <c r="Q12">
        <v>1</v>
      </c>
    </row>
    <row r="13" spans="1:18" customFormat="1" x14ac:dyDescent="0.25">
      <c r="A13" s="22"/>
      <c r="B13" s="22" t="s">
        <v>30</v>
      </c>
      <c r="C13" s="22" t="s">
        <v>1152</v>
      </c>
      <c r="D13" s="22" t="s">
        <v>1153</v>
      </c>
      <c r="E13" s="22" t="s">
        <v>1154</v>
      </c>
      <c r="F13" s="22" t="s">
        <v>59</v>
      </c>
      <c r="G13" s="23">
        <v>0</v>
      </c>
      <c r="H13" s="23">
        <v>25</v>
      </c>
      <c r="I13" s="23">
        <f>G13-H13</f>
        <v>-25</v>
      </c>
      <c r="J13" s="22" t="s">
        <v>1128</v>
      </c>
      <c r="K13" s="22" t="s">
        <v>34</v>
      </c>
      <c r="L13" s="22" t="s">
        <v>1124</v>
      </c>
      <c r="M13" s="22"/>
      <c r="N13" s="22"/>
      <c r="O13" s="22"/>
      <c r="Q13">
        <v>1</v>
      </c>
      <c r="R13" s="24">
        <f>H13</f>
        <v>25</v>
      </c>
    </row>
    <row r="14" spans="1:18" customFormat="1" x14ac:dyDescent="0.25">
      <c r="A14" s="22"/>
      <c r="B14" s="22" t="s">
        <v>30</v>
      </c>
      <c r="C14" s="22" t="s">
        <v>1155</v>
      </c>
      <c r="D14" s="22" t="s">
        <v>1156</v>
      </c>
      <c r="E14" s="22" t="s">
        <v>1157</v>
      </c>
      <c r="F14" s="23">
        <v>8</v>
      </c>
      <c r="G14" s="23">
        <v>810</v>
      </c>
      <c r="H14" s="23">
        <v>30</v>
      </c>
      <c r="I14" s="23">
        <f>G14-H14</f>
        <v>780</v>
      </c>
      <c r="J14" s="22" t="s">
        <v>1128</v>
      </c>
      <c r="K14" s="22" t="s">
        <v>34</v>
      </c>
      <c r="L14" s="22" t="s">
        <v>1124</v>
      </c>
      <c r="M14" s="22"/>
      <c r="N14" s="22"/>
      <c r="O14" s="22"/>
      <c r="Q14">
        <v>1</v>
      </c>
    </row>
    <row r="15" spans="1:18" customFormat="1" x14ac:dyDescent="0.25">
      <c r="A15" s="22"/>
      <c r="B15" s="22" t="s">
        <v>30</v>
      </c>
      <c r="C15" s="22" t="s">
        <v>1158</v>
      </c>
      <c r="D15" s="22" t="s">
        <v>1159</v>
      </c>
      <c r="E15" s="22" t="s">
        <v>1160</v>
      </c>
      <c r="F15" s="22" t="s">
        <v>39</v>
      </c>
      <c r="G15" s="23">
        <v>750</v>
      </c>
      <c r="H15" s="23">
        <v>30</v>
      </c>
      <c r="I15" s="23">
        <f>G15-H15</f>
        <v>720</v>
      </c>
      <c r="J15" s="22" t="s">
        <v>1128</v>
      </c>
      <c r="K15" s="22" t="s">
        <v>34</v>
      </c>
      <c r="L15" s="22" t="s">
        <v>1124</v>
      </c>
      <c r="M15" s="22"/>
      <c r="N15" s="22"/>
      <c r="O15" s="22"/>
      <c r="Q15">
        <v>1</v>
      </c>
    </row>
    <row r="16" spans="1:18" customFormat="1" x14ac:dyDescent="0.25">
      <c r="A16" s="22" t="s">
        <v>29</v>
      </c>
      <c r="B16" s="22" t="s">
        <v>30</v>
      </c>
      <c r="C16" s="22" t="s">
        <v>1161</v>
      </c>
      <c r="D16" s="22"/>
      <c r="E16" s="22" t="s">
        <v>1162</v>
      </c>
      <c r="F16" s="22" t="s">
        <v>108</v>
      </c>
      <c r="G16" s="23">
        <v>0</v>
      </c>
      <c r="H16" s="23">
        <v>40</v>
      </c>
      <c r="I16" s="23">
        <f>G16-H16</f>
        <v>-40</v>
      </c>
      <c r="J16" s="22" t="s">
        <v>34</v>
      </c>
      <c r="K16" s="22" t="s">
        <v>34</v>
      </c>
      <c r="L16" s="22" t="s">
        <v>1124</v>
      </c>
      <c r="M16" s="22"/>
      <c r="N16" s="22"/>
      <c r="O16" s="22"/>
      <c r="Q16">
        <v>1</v>
      </c>
      <c r="R16" s="24">
        <f>H16</f>
        <v>40</v>
      </c>
    </row>
    <row r="17" spans="1:18" customFormat="1" x14ac:dyDescent="0.25">
      <c r="A17" s="22" t="s">
        <v>29</v>
      </c>
      <c r="B17" s="22" t="s">
        <v>30</v>
      </c>
      <c r="C17" s="22" t="s">
        <v>353</v>
      </c>
      <c r="D17" s="22"/>
      <c r="E17" s="22" t="s">
        <v>1163</v>
      </c>
      <c r="F17" s="22" t="s">
        <v>90</v>
      </c>
      <c r="G17" s="23">
        <v>30</v>
      </c>
      <c r="H17" s="23">
        <v>30</v>
      </c>
      <c r="I17" s="23">
        <f>G17-H17</f>
        <v>0</v>
      </c>
      <c r="J17" s="22" t="s">
        <v>34</v>
      </c>
      <c r="K17" s="22" t="s">
        <v>34</v>
      </c>
      <c r="L17" s="22" t="s">
        <v>1124</v>
      </c>
      <c r="M17" s="22"/>
      <c r="N17" s="22"/>
      <c r="O17" s="22"/>
      <c r="Q17">
        <v>1</v>
      </c>
    </row>
    <row r="18" spans="1:18" customFormat="1" x14ac:dyDescent="0.25">
      <c r="A18" s="22"/>
      <c r="B18" s="22" t="s">
        <v>30</v>
      </c>
      <c r="C18" s="22" t="s">
        <v>1164</v>
      </c>
      <c r="D18" s="22" t="s">
        <v>1165</v>
      </c>
      <c r="E18" s="22" t="s">
        <v>1166</v>
      </c>
      <c r="F18" s="22" t="s">
        <v>90</v>
      </c>
      <c r="G18" s="23">
        <v>25</v>
      </c>
      <c r="H18" s="23">
        <v>25</v>
      </c>
      <c r="I18" s="23">
        <f>G18-H18</f>
        <v>0</v>
      </c>
      <c r="J18" s="22" t="s">
        <v>34</v>
      </c>
      <c r="K18" s="22" t="s">
        <v>34</v>
      </c>
      <c r="L18" s="22" t="s">
        <v>1124</v>
      </c>
      <c r="M18" s="22"/>
      <c r="N18" s="22"/>
      <c r="O18" s="22"/>
      <c r="Q18">
        <v>1</v>
      </c>
    </row>
    <row r="19" spans="1:18" customFormat="1" x14ac:dyDescent="0.25">
      <c r="A19" s="22"/>
      <c r="B19" s="22" t="s">
        <v>30</v>
      </c>
      <c r="C19" s="22" t="s">
        <v>803</v>
      </c>
      <c r="D19" s="22" t="s">
        <v>1167</v>
      </c>
      <c r="E19" s="22" t="s">
        <v>805</v>
      </c>
      <c r="F19" s="23">
        <v>12</v>
      </c>
      <c r="G19" s="23">
        <v>0</v>
      </c>
      <c r="H19" s="23">
        <v>30</v>
      </c>
      <c r="I19" s="23">
        <f>G19-H19</f>
        <v>-30</v>
      </c>
      <c r="J19" s="22" t="s">
        <v>34</v>
      </c>
      <c r="K19" s="22" t="s">
        <v>34</v>
      </c>
      <c r="L19" s="22" t="s">
        <v>1124</v>
      </c>
      <c r="M19" s="22"/>
      <c r="N19" s="22"/>
      <c r="O19" s="22"/>
      <c r="Q19">
        <v>1</v>
      </c>
      <c r="R19" s="24">
        <f>H19</f>
        <v>30</v>
      </c>
    </row>
    <row r="20" spans="1:18" customFormat="1" x14ac:dyDescent="0.25">
      <c r="A20" s="22"/>
      <c r="B20" s="22" t="s">
        <v>30</v>
      </c>
      <c r="C20" s="22" t="s">
        <v>1168</v>
      </c>
      <c r="D20" s="22" t="s">
        <v>1169</v>
      </c>
      <c r="E20" s="22" t="s">
        <v>1170</v>
      </c>
      <c r="F20" s="22" t="s">
        <v>108</v>
      </c>
      <c r="G20" s="23">
        <v>1145</v>
      </c>
      <c r="H20" s="23">
        <v>25</v>
      </c>
      <c r="I20" s="23">
        <f>G20-H20</f>
        <v>1120</v>
      </c>
      <c r="J20" s="22" t="s">
        <v>34</v>
      </c>
      <c r="K20" s="22" t="s">
        <v>34</v>
      </c>
      <c r="L20" s="22" t="s">
        <v>1124</v>
      </c>
      <c r="M20" s="22"/>
      <c r="N20" s="22"/>
      <c r="O20" s="22"/>
      <c r="Q20">
        <v>1</v>
      </c>
    </row>
    <row r="21" spans="1:18" customFormat="1" x14ac:dyDescent="0.25">
      <c r="A21" s="22"/>
      <c r="B21" s="22" t="s">
        <v>30</v>
      </c>
      <c r="C21" s="22" t="s">
        <v>1171</v>
      </c>
      <c r="D21" s="22" t="s">
        <v>1172</v>
      </c>
      <c r="E21" s="22" t="s">
        <v>1173</v>
      </c>
      <c r="F21" s="22" t="s">
        <v>94</v>
      </c>
      <c r="G21" s="23">
        <v>0</v>
      </c>
      <c r="H21" s="23">
        <v>30</v>
      </c>
      <c r="I21" s="23">
        <f>G21-H21</f>
        <v>-30</v>
      </c>
      <c r="J21" s="22" t="s">
        <v>34</v>
      </c>
      <c r="K21" s="22" t="s">
        <v>34</v>
      </c>
      <c r="L21" s="22" t="s">
        <v>1124</v>
      </c>
      <c r="M21" s="22"/>
      <c r="N21" s="22"/>
      <c r="O21" s="22"/>
      <c r="Q21">
        <v>1</v>
      </c>
      <c r="R21" s="24">
        <f>H21</f>
        <v>30</v>
      </c>
    </row>
    <row r="22" spans="1:18" customFormat="1" x14ac:dyDescent="0.25">
      <c r="A22" s="22"/>
      <c r="B22" s="22" t="s">
        <v>30</v>
      </c>
      <c r="C22" s="22" t="s">
        <v>1174</v>
      </c>
      <c r="D22" s="22" t="s">
        <v>1175</v>
      </c>
      <c r="E22" s="22" t="s">
        <v>1176</v>
      </c>
      <c r="F22" s="22" t="s">
        <v>98</v>
      </c>
      <c r="G22" s="23">
        <v>660</v>
      </c>
      <c r="H22" s="23">
        <v>20</v>
      </c>
      <c r="I22" s="23">
        <f>G22-H22</f>
        <v>640</v>
      </c>
      <c r="J22" s="22" t="s">
        <v>34</v>
      </c>
      <c r="K22" s="22" t="s">
        <v>34</v>
      </c>
      <c r="L22" s="22" t="s">
        <v>1124</v>
      </c>
      <c r="M22" s="22"/>
      <c r="N22" s="22"/>
      <c r="O22" s="22"/>
      <c r="Q22">
        <v>1</v>
      </c>
    </row>
    <row r="23" spans="1:18" customFormat="1" x14ac:dyDescent="0.25">
      <c r="A23" s="22"/>
      <c r="B23" s="22" t="s">
        <v>30</v>
      </c>
      <c r="C23" s="22" t="s">
        <v>133</v>
      </c>
      <c r="D23" s="22" t="s">
        <v>1177</v>
      </c>
      <c r="E23" s="22" t="s">
        <v>1178</v>
      </c>
      <c r="F23" s="22" t="s">
        <v>98</v>
      </c>
      <c r="G23" s="23">
        <v>800</v>
      </c>
      <c r="H23" s="23">
        <v>20</v>
      </c>
      <c r="I23" s="23">
        <f>G23-H23</f>
        <v>780</v>
      </c>
      <c r="J23" s="22" t="s">
        <v>34</v>
      </c>
      <c r="K23" s="22" t="s">
        <v>34</v>
      </c>
      <c r="L23" s="22" t="s">
        <v>1124</v>
      </c>
      <c r="M23" s="22"/>
      <c r="N23" s="22"/>
      <c r="O23" s="22"/>
      <c r="Q23">
        <v>1</v>
      </c>
    </row>
    <row r="24" spans="1:18" customFormat="1" x14ac:dyDescent="0.25">
      <c r="A24" s="22"/>
      <c r="B24" s="22" t="s">
        <v>30</v>
      </c>
      <c r="C24" s="22" t="s">
        <v>1179</v>
      </c>
      <c r="D24" s="22" t="s">
        <v>1180</v>
      </c>
      <c r="E24" s="22" t="s">
        <v>1181</v>
      </c>
      <c r="F24" s="22" t="s">
        <v>90</v>
      </c>
      <c r="G24" s="23">
        <v>825</v>
      </c>
      <c r="H24" s="23">
        <v>25</v>
      </c>
      <c r="I24" s="23">
        <f>G24-H24</f>
        <v>800</v>
      </c>
      <c r="J24" s="22" t="s">
        <v>34</v>
      </c>
      <c r="K24" s="22" t="s">
        <v>34</v>
      </c>
      <c r="L24" s="22" t="s">
        <v>1124</v>
      </c>
      <c r="M24" s="22"/>
      <c r="N24" s="22"/>
      <c r="O24" s="22"/>
      <c r="Q24">
        <v>1</v>
      </c>
    </row>
    <row r="25" spans="1:18" customFormat="1" x14ac:dyDescent="0.25">
      <c r="A25" s="22" t="s">
        <v>29</v>
      </c>
      <c r="B25" s="22" t="s">
        <v>30</v>
      </c>
      <c r="C25" s="22" t="s">
        <v>1182</v>
      </c>
      <c r="D25" s="22"/>
      <c r="E25" s="22" t="s">
        <v>1183</v>
      </c>
      <c r="F25" s="22" t="s">
        <v>108</v>
      </c>
      <c r="G25" s="23">
        <v>0</v>
      </c>
      <c r="H25" s="23">
        <v>40</v>
      </c>
      <c r="I25" s="23">
        <f>G25-H25</f>
        <v>-40</v>
      </c>
      <c r="J25" s="22" t="s">
        <v>34</v>
      </c>
      <c r="K25" s="22" t="s">
        <v>34</v>
      </c>
      <c r="L25" s="22" t="s">
        <v>1124</v>
      </c>
      <c r="M25" s="22"/>
      <c r="N25" s="22"/>
      <c r="O25" s="22"/>
      <c r="Q25">
        <v>1</v>
      </c>
      <c r="R25" s="24">
        <f>H25</f>
        <v>40</v>
      </c>
    </row>
    <row r="26" spans="1:18" customFormat="1" x14ac:dyDescent="0.25">
      <c r="A26" s="22" t="s">
        <v>29</v>
      </c>
      <c r="B26" s="22" t="s">
        <v>30</v>
      </c>
      <c r="C26" s="22" t="s">
        <v>1184</v>
      </c>
      <c r="D26" s="22"/>
      <c r="E26" s="22" t="s">
        <v>1185</v>
      </c>
      <c r="F26" s="23">
        <v>5</v>
      </c>
      <c r="G26" s="23">
        <v>0</v>
      </c>
      <c r="H26" s="23">
        <v>30</v>
      </c>
      <c r="I26" s="23">
        <f>G26-H26</f>
        <v>-30</v>
      </c>
      <c r="J26" s="22" t="s">
        <v>148</v>
      </c>
      <c r="K26" s="22" t="s">
        <v>34</v>
      </c>
      <c r="L26" s="22" t="s">
        <v>1124</v>
      </c>
      <c r="M26" s="22"/>
      <c r="N26" s="22"/>
      <c r="O26" s="22"/>
      <c r="Q26">
        <v>1</v>
      </c>
      <c r="R26" s="24">
        <f>H26</f>
        <v>30</v>
      </c>
    </row>
    <row r="27" spans="1:18" customFormat="1" x14ac:dyDescent="0.25">
      <c r="A27" s="22" t="s">
        <v>29</v>
      </c>
      <c r="B27" s="22" t="s">
        <v>30</v>
      </c>
      <c r="C27" s="22" t="s">
        <v>490</v>
      </c>
      <c r="D27" s="22"/>
      <c r="E27" s="22" t="s">
        <v>491</v>
      </c>
      <c r="F27" s="22" t="s">
        <v>108</v>
      </c>
      <c r="G27" s="23">
        <v>0</v>
      </c>
      <c r="H27" s="23">
        <v>30</v>
      </c>
      <c r="I27" s="23">
        <f>G27-H27</f>
        <v>-30</v>
      </c>
      <c r="J27" s="22" t="s">
        <v>148</v>
      </c>
      <c r="K27" s="22" t="s">
        <v>34</v>
      </c>
      <c r="L27" s="22" t="s">
        <v>1124</v>
      </c>
      <c r="M27" s="22"/>
      <c r="N27" s="22"/>
      <c r="O27" s="22"/>
      <c r="Q27">
        <v>1</v>
      </c>
      <c r="R27" s="24">
        <f>H27</f>
        <v>30</v>
      </c>
    </row>
    <row r="28" spans="1:18" customFormat="1" x14ac:dyDescent="0.25">
      <c r="A28" s="22"/>
      <c r="B28" s="22" t="s">
        <v>30</v>
      </c>
      <c r="C28" s="22" t="s">
        <v>1186</v>
      </c>
      <c r="D28" s="22" t="s">
        <v>1187</v>
      </c>
      <c r="E28" s="22" t="s">
        <v>1188</v>
      </c>
      <c r="F28" s="23">
        <v>10</v>
      </c>
      <c r="G28" s="23">
        <v>805</v>
      </c>
      <c r="H28" s="23">
        <v>25</v>
      </c>
      <c r="I28" s="23">
        <f>G28-H28</f>
        <v>780</v>
      </c>
      <c r="J28" s="22" t="s">
        <v>148</v>
      </c>
      <c r="K28" s="22" t="s">
        <v>34</v>
      </c>
      <c r="L28" s="22" t="s">
        <v>1124</v>
      </c>
      <c r="M28" s="22"/>
      <c r="N28" s="22"/>
      <c r="O28" s="22"/>
      <c r="Q28">
        <v>1</v>
      </c>
    </row>
    <row r="29" spans="1:18" customFormat="1" x14ac:dyDescent="0.25">
      <c r="A29" s="22"/>
      <c r="B29" s="22" t="s">
        <v>30</v>
      </c>
      <c r="C29" s="22" t="s">
        <v>1189</v>
      </c>
      <c r="D29" s="22" t="s">
        <v>1190</v>
      </c>
      <c r="E29" s="22" t="s">
        <v>1191</v>
      </c>
      <c r="F29" s="23">
        <v>4</v>
      </c>
      <c r="G29" s="23">
        <v>0</v>
      </c>
      <c r="H29" s="23">
        <v>25</v>
      </c>
      <c r="I29" s="23">
        <f>G29-H29</f>
        <v>-25</v>
      </c>
      <c r="J29" s="22" t="s">
        <v>148</v>
      </c>
      <c r="K29" s="22" t="s">
        <v>34</v>
      </c>
      <c r="L29" s="22" t="s">
        <v>1124</v>
      </c>
      <c r="M29" s="22"/>
      <c r="N29" s="22"/>
      <c r="O29" s="22"/>
      <c r="Q29">
        <v>1</v>
      </c>
      <c r="R29" s="24">
        <f>H29</f>
        <v>25</v>
      </c>
    </row>
    <row r="30" spans="1:18" customFormat="1" x14ac:dyDescent="0.25">
      <c r="A30" s="22"/>
      <c r="B30" s="22" t="s">
        <v>30</v>
      </c>
      <c r="C30" s="22" t="s">
        <v>1192</v>
      </c>
      <c r="D30" s="22" t="s">
        <v>1193</v>
      </c>
      <c r="E30" s="22" t="s">
        <v>1194</v>
      </c>
      <c r="F30" s="22" t="s">
        <v>108</v>
      </c>
      <c r="G30" s="23">
        <v>1655</v>
      </c>
      <c r="H30" s="23">
        <v>25</v>
      </c>
      <c r="I30" s="23">
        <f>G30-H30</f>
        <v>1630</v>
      </c>
      <c r="J30" s="22" t="s">
        <v>148</v>
      </c>
      <c r="K30" s="22" t="s">
        <v>34</v>
      </c>
      <c r="L30" s="22" t="s">
        <v>1124</v>
      </c>
      <c r="M30" s="22"/>
      <c r="N30" s="22"/>
      <c r="O30" s="22"/>
      <c r="Q30">
        <v>1</v>
      </c>
    </row>
    <row r="31" spans="1:18" customFormat="1" x14ac:dyDescent="0.25">
      <c r="A31" s="22"/>
      <c r="B31" s="22" t="s">
        <v>30</v>
      </c>
      <c r="C31" s="22" t="s">
        <v>1195</v>
      </c>
      <c r="D31" s="22" t="s">
        <v>1196</v>
      </c>
      <c r="E31" s="22" t="s">
        <v>1197</v>
      </c>
      <c r="F31" s="23">
        <v>10</v>
      </c>
      <c r="G31" s="23">
        <v>375</v>
      </c>
      <c r="H31" s="23">
        <v>25</v>
      </c>
      <c r="I31" s="23">
        <f>G31-H31</f>
        <v>350</v>
      </c>
      <c r="J31" s="22" t="s">
        <v>148</v>
      </c>
      <c r="K31" s="22" t="s">
        <v>34</v>
      </c>
      <c r="L31" s="22" t="s">
        <v>1124</v>
      </c>
      <c r="M31" s="22"/>
      <c r="N31" s="22"/>
      <c r="O31" s="22"/>
      <c r="Q31">
        <v>1</v>
      </c>
    </row>
    <row r="32" spans="1:18" customFormat="1" x14ac:dyDescent="0.25">
      <c r="A32" s="22"/>
      <c r="B32" s="22" t="s">
        <v>30</v>
      </c>
      <c r="C32" s="22" t="s">
        <v>1198</v>
      </c>
      <c r="D32" s="22" t="s">
        <v>1199</v>
      </c>
      <c r="E32" s="22" t="s">
        <v>1200</v>
      </c>
      <c r="F32" s="23">
        <v>4</v>
      </c>
      <c r="G32" s="23">
        <v>1455</v>
      </c>
      <c r="H32" s="23">
        <v>25</v>
      </c>
      <c r="I32" s="23">
        <f>G32-H32</f>
        <v>1430</v>
      </c>
      <c r="J32" s="22" t="s">
        <v>148</v>
      </c>
      <c r="K32" s="22" t="s">
        <v>34</v>
      </c>
      <c r="L32" s="22" t="s">
        <v>1124</v>
      </c>
      <c r="M32" s="22"/>
      <c r="N32" s="22"/>
      <c r="O32" s="22"/>
      <c r="Q32">
        <v>1</v>
      </c>
    </row>
    <row r="33" spans="1:18" customFormat="1" x14ac:dyDescent="0.25">
      <c r="A33" s="22"/>
      <c r="B33" s="22" t="s">
        <v>30</v>
      </c>
      <c r="C33" s="22" t="s">
        <v>1201</v>
      </c>
      <c r="D33" s="22" t="s">
        <v>1202</v>
      </c>
      <c r="E33" s="22" t="s">
        <v>1203</v>
      </c>
      <c r="F33" s="23">
        <v>5</v>
      </c>
      <c r="G33" s="23">
        <v>0</v>
      </c>
      <c r="H33" s="23">
        <v>25</v>
      </c>
      <c r="I33" s="23">
        <f>G33-H33</f>
        <v>-25</v>
      </c>
      <c r="J33" s="22" t="s">
        <v>148</v>
      </c>
      <c r="K33" s="22" t="s">
        <v>34</v>
      </c>
      <c r="L33" s="22" t="s">
        <v>1124</v>
      </c>
      <c r="M33" s="22"/>
      <c r="N33" s="22"/>
      <c r="O33" s="22"/>
      <c r="Q33">
        <v>1</v>
      </c>
      <c r="R33" s="24">
        <f>H33</f>
        <v>25</v>
      </c>
    </row>
    <row r="34" spans="1:18" customFormat="1" x14ac:dyDescent="0.25">
      <c r="A34" s="22"/>
      <c r="B34" s="22" t="s">
        <v>30</v>
      </c>
      <c r="C34" s="22" t="s">
        <v>1107</v>
      </c>
      <c r="D34" s="22" t="s">
        <v>1204</v>
      </c>
      <c r="E34" s="22" t="s">
        <v>1109</v>
      </c>
      <c r="F34" s="23">
        <v>3</v>
      </c>
      <c r="G34" s="23">
        <v>715</v>
      </c>
      <c r="H34" s="23">
        <v>25</v>
      </c>
      <c r="I34" s="23">
        <f>G34-H34</f>
        <v>690</v>
      </c>
      <c r="J34" s="22" t="s">
        <v>148</v>
      </c>
      <c r="K34" s="22" t="s">
        <v>34</v>
      </c>
      <c r="L34" s="22" t="s">
        <v>1124</v>
      </c>
      <c r="M34" s="22"/>
      <c r="N34" s="22"/>
      <c r="O34" s="22"/>
      <c r="Q34">
        <v>1</v>
      </c>
    </row>
    <row r="35" spans="1:18" customFormat="1" x14ac:dyDescent="0.25">
      <c r="A35" s="22"/>
      <c r="B35" s="22" t="s">
        <v>30</v>
      </c>
      <c r="C35" s="22" t="s">
        <v>127</v>
      </c>
      <c r="D35" s="22" t="s">
        <v>1205</v>
      </c>
      <c r="E35" s="22" t="s">
        <v>1206</v>
      </c>
      <c r="F35" s="23">
        <v>10</v>
      </c>
      <c r="G35" s="23">
        <v>895</v>
      </c>
      <c r="H35" s="23">
        <v>25</v>
      </c>
      <c r="I35" s="23">
        <f>G35-H35</f>
        <v>870</v>
      </c>
      <c r="J35" s="22" t="s">
        <v>148</v>
      </c>
      <c r="K35" s="22" t="s">
        <v>34</v>
      </c>
      <c r="L35" s="22" t="s">
        <v>1124</v>
      </c>
      <c r="M35" s="22"/>
      <c r="N35" s="22"/>
      <c r="O35" s="22"/>
      <c r="Q35">
        <v>1</v>
      </c>
    </row>
    <row r="36" spans="1:18" customFormat="1" x14ac:dyDescent="0.25">
      <c r="A36" s="22"/>
      <c r="B36" s="22" t="s">
        <v>30</v>
      </c>
      <c r="C36" s="22" t="s">
        <v>193</v>
      </c>
      <c r="D36" s="22" t="s">
        <v>1207</v>
      </c>
      <c r="E36" s="22" t="s">
        <v>195</v>
      </c>
      <c r="F36" s="23">
        <v>3</v>
      </c>
      <c r="G36" s="23">
        <v>0</v>
      </c>
      <c r="H36" s="23">
        <v>25</v>
      </c>
      <c r="I36" s="23">
        <f>G36-H36</f>
        <v>-25</v>
      </c>
      <c r="J36" s="22" t="s">
        <v>148</v>
      </c>
      <c r="K36" s="22" t="s">
        <v>34</v>
      </c>
      <c r="L36" s="22" t="s">
        <v>1124</v>
      </c>
      <c r="M36" s="22"/>
      <c r="N36" s="22"/>
      <c r="O36" s="22"/>
      <c r="Q36">
        <v>1</v>
      </c>
      <c r="R36" s="24">
        <f>H36</f>
        <v>25</v>
      </c>
    </row>
    <row r="37" spans="1:18" customFormat="1" x14ac:dyDescent="0.25">
      <c r="A37" s="22"/>
      <c r="B37" s="22" t="s">
        <v>30</v>
      </c>
      <c r="C37" s="22" t="s">
        <v>1208</v>
      </c>
      <c r="D37" s="22" t="s">
        <v>1209</v>
      </c>
      <c r="E37" s="22" t="s">
        <v>1210</v>
      </c>
      <c r="F37" s="23">
        <v>4</v>
      </c>
      <c r="G37" s="23">
        <v>815</v>
      </c>
      <c r="H37" s="23">
        <v>25</v>
      </c>
      <c r="I37" s="23">
        <f>G37-H37</f>
        <v>790</v>
      </c>
      <c r="J37" s="22" t="s">
        <v>148</v>
      </c>
      <c r="K37" s="22" t="s">
        <v>34</v>
      </c>
      <c r="L37" s="22" t="s">
        <v>1124</v>
      </c>
      <c r="M37" s="22"/>
      <c r="N37" s="22"/>
      <c r="O37" s="22"/>
      <c r="Q37">
        <v>1</v>
      </c>
    </row>
    <row r="38" spans="1:18" customFormat="1" x14ac:dyDescent="0.25">
      <c r="A38" s="22"/>
      <c r="B38" s="22" t="s">
        <v>30</v>
      </c>
      <c r="C38" s="22" t="s">
        <v>1211</v>
      </c>
      <c r="D38" s="22" t="s">
        <v>1212</v>
      </c>
      <c r="E38" s="22" t="s">
        <v>1213</v>
      </c>
      <c r="F38" s="23">
        <v>4</v>
      </c>
      <c r="G38" s="23">
        <v>3100</v>
      </c>
      <c r="H38" s="23">
        <v>35</v>
      </c>
      <c r="I38" s="23">
        <f>G38-H38</f>
        <v>3065</v>
      </c>
      <c r="J38" s="22" t="s">
        <v>148</v>
      </c>
      <c r="K38" s="22" t="s">
        <v>34</v>
      </c>
      <c r="L38" s="22" t="s">
        <v>1124</v>
      </c>
      <c r="M38" s="28" t="s">
        <v>180</v>
      </c>
      <c r="N38" s="22"/>
      <c r="O38" s="22"/>
      <c r="Q38">
        <v>1</v>
      </c>
      <c r="R38" s="24">
        <f>H38</f>
        <v>35</v>
      </c>
    </row>
    <row r="39" spans="1:18" customFormat="1" x14ac:dyDescent="0.25">
      <c r="A39" s="22"/>
      <c r="B39" s="22" t="s">
        <v>30</v>
      </c>
      <c r="C39" s="22" t="s">
        <v>1214</v>
      </c>
      <c r="D39" s="22" t="s">
        <v>1215</v>
      </c>
      <c r="E39" s="22" t="s">
        <v>1216</v>
      </c>
      <c r="F39" s="23">
        <v>5</v>
      </c>
      <c r="G39" s="23">
        <v>0</v>
      </c>
      <c r="H39" s="23">
        <v>25</v>
      </c>
      <c r="I39" s="23">
        <f>G39-H39</f>
        <v>-25</v>
      </c>
      <c r="J39" s="22" t="s">
        <v>148</v>
      </c>
      <c r="K39" s="22" t="s">
        <v>34</v>
      </c>
      <c r="L39" s="22" t="s">
        <v>1124</v>
      </c>
      <c r="M39" s="28" t="s">
        <v>1217</v>
      </c>
      <c r="N39" s="22"/>
      <c r="O39" s="22"/>
      <c r="Q39">
        <v>1</v>
      </c>
      <c r="R39" s="24">
        <f>H39</f>
        <v>25</v>
      </c>
    </row>
    <row r="41" spans="1:18" x14ac:dyDescent="0.25">
      <c r="G41" s="1">
        <f>SUBTOTAL(9,G3:G40)</f>
        <v>21370</v>
      </c>
      <c r="H41" s="1">
        <f>SUBTOTAL(9,H3:H40)</f>
        <v>1030</v>
      </c>
      <c r="I41" s="1">
        <f>SUBTOTAL(9,I3:I40)</f>
        <v>20340</v>
      </c>
      <c r="J41" s="1">
        <f>SUBTOTAL(9,J3:J40)</f>
        <v>0</v>
      </c>
      <c r="K41" s="1">
        <f>SUBTOTAL(9,K3:K40)</f>
        <v>0</v>
      </c>
      <c r="L41" s="1">
        <f>SUBTOTAL(9,L3:L40)</f>
        <v>0</v>
      </c>
      <c r="M41" s="1">
        <f>SUBTOTAL(9,M3:M40)</f>
        <v>0</v>
      </c>
      <c r="N41" s="1">
        <f>SUBTOTAL(9,N3:N40)</f>
        <v>0</v>
      </c>
      <c r="O41" s="1">
        <f>SUBTOTAL(9,O3:O40)</f>
        <v>0</v>
      </c>
      <c r="P41" s="1">
        <f>SUBTOTAL(9,P3:P40)</f>
        <v>0</v>
      </c>
      <c r="Q41" s="1">
        <f>SUBTOTAL(9,Q3:Q40)</f>
        <v>37</v>
      </c>
      <c r="R41" s="1">
        <f>SUBTOTAL(9,R3:R40)</f>
        <v>450</v>
      </c>
    </row>
    <row r="45" spans="1:18" ht="20.25" customHeight="1" x14ac:dyDescent="0.3">
      <c r="H45" s="4" t="s">
        <v>1031</v>
      </c>
      <c r="I45" s="5" t="s">
        <v>15</v>
      </c>
      <c r="J45" s="6" t="s">
        <v>16</v>
      </c>
    </row>
    <row r="46" spans="1:18" ht="15.75" customHeight="1" x14ac:dyDescent="0.25">
      <c r="H46" s="7" t="s">
        <v>17</v>
      </c>
      <c r="I46" s="8">
        <f>SUM(I40:I44)</f>
        <v>20340</v>
      </c>
      <c r="J46" s="8">
        <f>Q41</f>
        <v>37</v>
      </c>
    </row>
    <row r="47" spans="1:18" x14ac:dyDescent="0.25">
      <c r="H47" s="9" t="s">
        <v>18</v>
      </c>
      <c r="I47" s="10">
        <f>R41</f>
        <v>450</v>
      </c>
      <c r="J47" s="11"/>
    </row>
    <row r="48" spans="1:18" x14ac:dyDescent="0.25">
      <c r="H48" s="9" t="s">
        <v>19</v>
      </c>
      <c r="I48" s="10">
        <f>S40</f>
        <v>0</v>
      </c>
      <c r="J48" s="11"/>
    </row>
    <row r="49" spans="1:12" x14ac:dyDescent="0.25">
      <c r="H49" s="9" t="s">
        <v>20</v>
      </c>
      <c r="I49" s="10">
        <f>T40</f>
        <v>0</v>
      </c>
      <c r="J49" s="11"/>
    </row>
    <row r="50" spans="1:12" x14ac:dyDescent="0.25">
      <c r="H50" s="9" t="s">
        <v>21</v>
      </c>
      <c r="I50" s="10">
        <f>U40</f>
        <v>0</v>
      </c>
      <c r="J50" s="11"/>
    </row>
    <row r="51" spans="1:12" ht="15.75" customHeight="1" x14ac:dyDescent="0.25">
      <c r="H51" s="12" t="s">
        <v>22</v>
      </c>
      <c r="I51" s="13"/>
      <c r="J51" s="13"/>
    </row>
    <row r="52" spans="1:12" ht="15.75" customHeight="1" x14ac:dyDescent="0.25">
      <c r="H52" s="14" t="s">
        <v>23</v>
      </c>
      <c r="I52" s="13"/>
      <c r="J52" s="13"/>
    </row>
    <row r="53" spans="1:12" ht="21" customHeight="1" x14ac:dyDescent="0.35">
      <c r="H53" s="15" t="s">
        <v>24</v>
      </c>
      <c r="I53" s="16">
        <f>SUM(I46:I52)</f>
        <v>20790</v>
      </c>
      <c r="J53" s="16">
        <f>SUM(J46:J50)</f>
        <v>37</v>
      </c>
    </row>
    <row r="55" spans="1:12" x14ac:dyDescent="0.25">
      <c r="A55" s="1" t="s">
        <v>800</v>
      </c>
    </row>
    <row r="56" spans="1:12" x14ac:dyDescent="0.25">
      <c r="A56" s="36" t="s">
        <v>30</v>
      </c>
      <c r="B56" s="36" t="s">
        <v>1214</v>
      </c>
      <c r="C56" s="36" t="s">
        <v>1215</v>
      </c>
      <c r="D56" s="36" t="s">
        <v>1216</v>
      </c>
      <c r="E56" s="37">
        <v>5</v>
      </c>
      <c r="F56" s="37">
        <v>775</v>
      </c>
      <c r="G56" s="37">
        <v>0</v>
      </c>
      <c r="H56" s="37">
        <f t="shared" ref="H56" si="0">F56-G56</f>
        <v>775</v>
      </c>
      <c r="I56" s="36" t="s">
        <v>148</v>
      </c>
      <c r="J56" s="36" t="s">
        <v>34</v>
      </c>
      <c r="K56" s="36" t="s">
        <v>1124</v>
      </c>
      <c r="L56" s="28" t="s">
        <v>1217</v>
      </c>
    </row>
  </sheetData>
  <autoFilter ref="A2:P39" xr:uid="{00000000-0009-0000-0000-000006000000}">
    <sortState xmlns:xlrd2="http://schemas.microsoft.com/office/spreadsheetml/2017/richdata2" ref="A3:P39">
      <sortCondition ref="J2:J39"/>
    </sortState>
  </autoFilter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C39C-4E26-4B64-9E99-33EB9C7E67B7}">
  <dimension ref="A1:R48"/>
  <sheetViews>
    <sheetView topLeftCell="A22" zoomScale="82" zoomScaleNormal="80" workbookViewId="0">
      <selection activeCell="E31" sqref="E31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</v>
      </c>
      <c r="C1" s="1" t="s">
        <v>1120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22" t="s">
        <v>29</v>
      </c>
      <c r="B3" s="22" t="s">
        <v>30</v>
      </c>
      <c r="C3" s="22" t="s">
        <v>1220</v>
      </c>
      <c r="D3" s="22"/>
      <c r="E3" s="22" t="s">
        <v>1221</v>
      </c>
      <c r="F3" s="23">
        <v>9</v>
      </c>
      <c r="G3" s="23">
        <v>35</v>
      </c>
      <c r="H3" s="23">
        <v>35</v>
      </c>
      <c r="I3" s="23">
        <f t="shared" ref="I3:I34" si="0">G3-H3</f>
        <v>0</v>
      </c>
      <c r="J3" s="22" t="s">
        <v>33</v>
      </c>
      <c r="K3" s="22" t="s">
        <v>34</v>
      </c>
      <c r="L3" s="22" t="s">
        <v>1222</v>
      </c>
      <c r="M3" s="22"/>
      <c r="N3" s="22"/>
      <c r="O3" s="22"/>
      <c r="P3" s="22"/>
      <c r="Q3" s="22">
        <v>1</v>
      </c>
    </row>
    <row r="4" spans="1:18" customFormat="1" x14ac:dyDescent="0.25">
      <c r="A4" s="22"/>
      <c r="B4" s="22" t="s">
        <v>30</v>
      </c>
      <c r="C4" s="22" t="s">
        <v>1223</v>
      </c>
      <c r="D4" s="22" t="s">
        <v>1224</v>
      </c>
      <c r="E4" s="22" t="s">
        <v>1225</v>
      </c>
      <c r="F4" s="22" t="s">
        <v>389</v>
      </c>
      <c r="G4" s="23">
        <v>0</v>
      </c>
      <c r="H4" s="23">
        <v>20</v>
      </c>
      <c r="I4" s="23">
        <f t="shared" si="0"/>
        <v>-20</v>
      </c>
      <c r="J4" s="22" t="s">
        <v>34</v>
      </c>
      <c r="K4" s="22" t="s">
        <v>34</v>
      </c>
      <c r="L4" s="22" t="s">
        <v>1222</v>
      </c>
      <c r="M4" s="22"/>
      <c r="N4" s="22"/>
      <c r="O4" s="22"/>
      <c r="P4" s="22"/>
      <c r="Q4" s="22">
        <v>1</v>
      </c>
      <c r="R4" s="24">
        <f>H4</f>
        <v>20</v>
      </c>
    </row>
    <row r="5" spans="1:18" customFormat="1" x14ac:dyDescent="0.25">
      <c r="A5" s="22"/>
      <c r="B5" s="22" t="s">
        <v>30</v>
      </c>
      <c r="C5" s="22" t="s">
        <v>1226</v>
      </c>
      <c r="D5" s="22" t="s">
        <v>1227</v>
      </c>
      <c r="E5" s="22" t="s">
        <v>1228</v>
      </c>
      <c r="F5" s="23">
        <v>1</v>
      </c>
      <c r="G5" s="23">
        <v>845</v>
      </c>
      <c r="H5" s="23">
        <v>25</v>
      </c>
      <c r="I5" s="23">
        <f t="shared" si="0"/>
        <v>820</v>
      </c>
      <c r="J5" s="22" t="s">
        <v>34</v>
      </c>
      <c r="K5" s="22" t="s">
        <v>34</v>
      </c>
      <c r="L5" s="22" t="s">
        <v>1222</v>
      </c>
      <c r="M5" s="22"/>
      <c r="N5" s="22"/>
      <c r="O5" s="22"/>
      <c r="P5" s="22"/>
      <c r="Q5" s="22">
        <v>1</v>
      </c>
    </row>
    <row r="6" spans="1:18" customFormat="1" x14ac:dyDescent="0.25">
      <c r="A6" s="22"/>
      <c r="B6" s="22" t="s">
        <v>30</v>
      </c>
      <c r="C6" s="22" t="s">
        <v>1229</v>
      </c>
      <c r="D6" s="22" t="s">
        <v>1230</v>
      </c>
      <c r="E6" s="22" t="s">
        <v>1231</v>
      </c>
      <c r="F6" s="23">
        <v>12</v>
      </c>
      <c r="G6" s="23">
        <v>0</v>
      </c>
      <c r="H6" s="23">
        <v>40</v>
      </c>
      <c r="I6" s="23">
        <f t="shared" si="0"/>
        <v>-40</v>
      </c>
      <c r="J6" s="22" t="s">
        <v>34</v>
      </c>
      <c r="K6" s="22" t="s">
        <v>34</v>
      </c>
      <c r="L6" s="22" t="s">
        <v>1222</v>
      </c>
      <c r="M6" s="22"/>
      <c r="N6" s="22"/>
      <c r="O6" s="22"/>
      <c r="P6" s="22"/>
      <c r="Q6" s="22">
        <v>1</v>
      </c>
      <c r="R6" s="24">
        <f>H6</f>
        <v>40</v>
      </c>
    </row>
    <row r="7" spans="1:18" customFormat="1" x14ac:dyDescent="0.25">
      <c r="A7" s="22"/>
      <c r="B7" s="22" t="s">
        <v>30</v>
      </c>
      <c r="C7" s="22" t="s">
        <v>1232</v>
      </c>
      <c r="D7" s="22" t="s">
        <v>1233</v>
      </c>
      <c r="E7" s="22" t="s">
        <v>1234</v>
      </c>
      <c r="F7" s="22" t="s">
        <v>108</v>
      </c>
      <c r="G7" s="23">
        <v>805</v>
      </c>
      <c r="H7" s="23">
        <v>25</v>
      </c>
      <c r="I7" s="23">
        <f t="shared" si="0"/>
        <v>780</v>
      </c>
      <c r="J7" s="22" t="s">
        <v>34</v>
      </c>
      <c r="K7" s="22" t="s">
        <v>34</v>
      </c>
      <c r="L7" s="22" t="s">
        <v>1222</v>
      </c>
      <c r="M7" s="22"/>
      <c r="N7" s="22"/>
      <c r="O7" s="22"/>
      <c r="P7" s="22"/>
      <c r="Q7" s="22">
        <v>1</v>
      </c>
    </row>
    <row r="8" spans="1:18" customFormat="1" x14ac:dyDescent="0.25">
      <c r="A8" s="22"/>
      <c r="B8" s="22" t="s">
        <v>30</v>
      </c>
      <c r="C8" s="22" t="s">
        <v>1235</v>
      </c>
      <c r="D8" s="22" t="s">
        <v>1236</v>
      </c>
      <c r="E8" s="22" t="s">
        <v>1237</v>
      </c>
      <c r="F8" s="22" t="s">
        <v>90</v>
      </c>
      <c r="G8" s="23">
        <v>695</v>
      </c>
      <c r="H8" s="23">
        <v>25</v>
      </c>
      <c r="I8" s="23">
        <f t="shared" si="0"/>
        <v>670</v>
      </c>
      <c r="J8" s="22" t="s">
        <v>34</v>
      </c>
      <c r="K8" s="22" t="s">
        <v>34</v>
      </c>
      <c r="L8" s="22" t="s">
        <v>1222</v>
      </c>
      <c r="M8" s="22"/>
      <c r="N8" s="22"/>
      <c r="O8" s="22"/>
      <c r="P8" s="22"/>
      <c r="Q8" s="22">
        <v>1</v>
      </c>
    </row>
    <row r="9" spans="1:18" customFormat="1" x14ac:dyDescent="0.25">
      <c r="A9" s="22"/>
      <c r="B9" s="22" t="s">
        <v>30</v>
      </c>
      <c r="C9" s="22" t="s">
        <v>1238</v>
      </c>
      <c r="D9" s="22" t="s">
        <v>1239</v>
      </c>
      <c r="E9" s="22" t="s">
        <v>486</v>
      </c>
      <c r="F9" s="23">
        <v>12</v>
      </c>
      <c r="G9" s="23">
        <v>0</v>
      </c>
      <c r="H9" s="23">
        <v>30</v>
      </c>
      <c r="I9" s="23">
        <f t="shared" si="0"/>
        <v>-30</v>
      </c>
      <c r="J9" s="22" t="s">
        <v>34</v>
      </c>
      <c r="K9" s="22" t="s">
        <v>34</v>
      </c>
      <c r="L9" s="22" t="s">
        <v>1222</v>
      </c>
      <c r="M9" s="22"/>
      <c r="N9" s="22"/>
      <c r="O9" s="22"/>
      <c r="P9" s="22"/>
      <c r="Q9" s="22">
        <v>1</v>
      </c>
      <c r="R9" s="24">
        <f>H9</f>
        <v>30</v>
      </c>
    </row>
    <row r="10" spans="1:18" customFormat="1" x14ac:dyDescent="0.25">
      <c r="A10" s="22"/>
      <c r="B10" s="22" t="s">
        <v>30</v>
      </c>
      <c r="C10" s="22" t="s">
        <v>1240</v>
      </c>
      <c r="D10" s="22" t="s">
        <v>1241</v>
      </c>
      <c r="E10" s="22" t="s">
        <v>1242</v>
      </c>
      <c r="F10" s="22" t="s">
        <v>90</v>
      </c>
      <c r="G10" s="23">
        <v>3600</v>
      </c>
      <c r="H10" s="23">
        <v>35</v>
      </c>
      <c r="I10" s="23">
        <f t="shared" si="0"/>
        <v>3565</v>
      </c>
      <c r="J10" s="22" t="s">
        <v>34</v>
      </c>
      <c r="K10" s="22" t="s">
        <v>34</v>
      </c>
      <c r="L10" s="22" t="s">
        <v>1222</v>
      </c>
      <c r="M10" s="28" t="s">
        <v>180</v>
      </c>
      <c r="N10" s="22"/>
      <c r="O10" s="22"/>
      <c r="P10" s="22"/>
      <c r="Q10" s="22">
        <v>1</v>
      </c>
      <c r="R10" s="24">
        <f>H10</f>
        <v>35</v>
      </c>
    </row>
    <row r="11" spans="1:18" customFormat="1" x14ac:dyDescent="0.25">
      <c r="A11" s="22"/>
      <c r="B11" s="22" t="s">
        <v>30</v>
      </c>
      <c r="C11" s="22" t="s">
        <v>1101</v>
      </c>
      <c r="D11" s="22" t="s">
        <v>1243</v>
      </c>
      <c r="E11" s="22" t="s">
        <v>1244</v>
      </c>
      <c r="F11" s="22" t="s">
        <v>108</v>
      </c>
      <c r="G11" s="23">
        <v>25</v>
      </c>
      <c r="H11" s="23">
        <v>25</v>
      </c>
      <c r="I11" s="23">
        <f t="shared" si="0"/>
        <v>0</v>
      </c>
      <c r="J11" s="22" t="s">
        <v>34</v>
      </c>
      <c r="K11" s="22" t="s">
        <v>34</v>
      </c>
      <c r="L11" s="22" t="s">
        <v>1222</v>
      </c>
      <c r="M11" s="22"/>
      <c r="N11" s="22"/>
      <c r="O11" s="22"/>
      <c r="P11" s="22"/>
      <c r="Q11" s="22">
        <v>1</v>
      </c>
    </row>
    <row r="12" spans="1:18" customFormat="1" x14ac:dyDescent="0.25">
      <c r="A12" s="22"/>
      <c r="B12" s="22" t="s">
        <v>30</v>
      </c>
      <c r="C12" s="22" t="s">
        <v>1245</v>
      </c>
      <c r="D12" s="22" t="s">
        <v>1246</v>
      </c>
      <c r="E12" s="22" t="s">
        <v>1247</v>
      </c>
      <c r="F12" s="22" t="s">
        <v>389</v>
      </c>
      <c r="G12" s="23">
        <v>660</v>
      </c>
      <c r="H12" s="23">
        <v>20</v>
      </c>
      <c r="I12" s="23">
        <f t="shared" si="0"/>
        <v>640</v>
      </c>
      <c r="J12" s="22" t="s">
        <v>34</v>
      </c>
      <c r="K12" s="22" t="s">
        <v>34</v>
      </c>
      <c r="L12" s="22" t="s">
        <v>1222</v>
      </c>
      <c r="M12" s="22"/>
      <c r="N12" s="22"/>
      <c r="O12" s="22"/>
      <c r="P12" s="22"/>
      <c r="Q12" s="22">
        <v>1</v>
      </c>
    </row>
    <row r="13" spans="1:18" customFormat="1" x14ac:dyDescent="0.25">
      <c r="A13" s="22"/>
      <c r="B13" s="22" t="s">
        <v>30</v>
      </c>
      <c r="C13" s="22" t="s">
        <v>1248</v>
      </c>
      <c r="D13" s="22" t="s">
        <v>1249</v>
      </c>
      <c r="E13" s="22" t="s">
        <v>1250</v>
      </c>
      <c r="F13" s="22" t="s">
        <v>108</v>
      </c>
      <c r="G13" s="23">
        <v>985</v>
      </c>
      <c r="H13" s="23">
        <v>25</v>
      </c>
      <c r="I13" s="23">
        <f t="shared" si="0"/>
        <v>960</v>
      </c>
      <c r="J13" s="22" t="s">
        <v>34</v>
      </c>
      <c r="K13" s="22" t="s">
        <v>34</v>
      </c>
      <c r="L13" s="22" t="s">
        <v>1222</v>
      </c>
      <c r="M13" s="22"/>
      <c r="N13" s="22"/>
      <c r="O13" s="22"/>
      <c r="P13" s="22"/>
      <c r="Q13" s="22">
        <v>1</v>
      </c>
    </row>
    <row r="14" spans="1:18" customFormat="1" x14ac:dyDescent="0.25">
      <c r="A14" s="22"/>
      <c r="B14" s="22" t="s">
        <v>30</v>
      </c>
      <c r="C14" s="22" t="s">
        <v>1251</v>
      </c>
      <c r="D14" s="22" t="s">
        <v>1252</v>
      </c>
      <c r="E14" s="22" t="s">
        <v>1253</v>
      </c>
      <c r="F14" s="22" t="s">
        <v>90</v>
      </c>
      <c r="G14" s="23">
        <v>1695</v>
      </c>
      <c r="H14" s="23">
        <v>25</v>
      </c>
      <c r="I14" s="23">
        <f t="shared" si="0"/>
        <v>1670</v>
      </c>
      <c r="J14" s="22" t="s">
        <v>34</v>
      </c>
      <c r="K14" s="22" t="s">
        <v>34</v>
      </c>
      <c r="L14" s="22" t="s">
        <v>1222</v>
      </c>
      <c r="M14" s="22"/>
      <c r="N14" s="22"/>
      <c r="O14" s="22"/>
      <c r="P14" s="22"/>
      <c r="Q14" s="22">
        <v>1</v>
      </c>
    </row>
    <row r="15" spans="1:18" customFormat="1" x14ac:dyDescent="0.25">
      <c r="A15" s="22"/>
      <c r="B15" s="22" t="s">
        <v>30</v>
      </c>
      <c r="C15" s="22" t="s">
        <v>1254</v>
      </c>
      <c r="D15" s="22" t="s">
        <v>1255</v>
      </c>
      <c r="E15" s="22" t="s">
        <v>1256</v>
      </c>
      <c r="F15" s="22" t="s">
        <v>98</v>
      </c>
      <c r="G15" s="23">
        <v>990</v>
      </c>
      <c r="H15" s="23">
        <v>20</v>
      </c>
      <c r="I15" s="23">
        <f t="shared" si="0"/>
        <v>970</v>
      </c>
      <c r="J15" s="22" t="s">
        <v>34</v>
      </c>
      <c r="K15" s="22" t="s">
        <v>34</v>
      </c>
      <c r="L15" s="22" t="s">
        <v>1222</v>
      </c>
      <c r="M15" s="22"/>
      <c r="N15" s="22"/>
      <c r="O15" s="22"/>
      <c r="P15" s="22"/>
      <c r="Q15" s="22">
        <v>1</v>
      </c>
    </row>
    <row r="16" spans="1:18" customFormat="1" x14ac:dyDescent="0.25">
      <c r="A16" s="22"/>
      <c r="B16" s="22" t="s">
        <v>30</v>
      </c>
      <c r="C16" s="22" t="s">
        <v>1257</v>
      </c>
      <c r="D16" s="22" t="s">
        <v>1258</v>
      </c>
      <c r="E16" s="22" t="s">
        <v>1259</v>
      </c>
      <c r="F16" s="22" t="s">
        <v>94</v>
      </c>
      <c r="G16" s="23">
        <v>540</v>
      </c>
      <c r="H16" s="23">
        <v>30</v>
      </c>
      <c r="I16" s="23">
        <f t="shared" si="0"/>
        <v>510</v>
      </c>
      <c r="J16" s="22" t="s">
        <v>34</v>
      </c>
      <c r="K16" s="22" t="s">
        <v>34</v>
      </c>
      <c r="L16" s="22" t="s">
        <v>1222</v>
      </c>
      <c r="M16" s="22"/>
      <c r="N16" s="22"/>
      <c r="O16" s="22"/>
      <c r="P16" s="22"/>
      <c r="Q16" s="22">
        <v>1</v>
      </c>
    </row>
    <row r="17" spans="1:18" customFormat="1" x14ac:dyDescent="0.25">
      <c r="A17" s="22"/>
      <c r="B17" s="22" t="s">
        <v>30</v>
      </c>
      <c r="C17" s="22" t="s">
        <v>1260</v>
      </c>
      <c r="D17" s="22" t="s">
        <v>1261</v>
      </c>
      <c r="E17" s="22" t="s">
        <v>1262</v>
      </c>
      <c r="F17" s="23">
        <v>12</v>
      </c>
      <c r="G17" s="23">
        <v>1530</v>
      </c>
      <c r="H17" s="23">
        <v>30</v>
      </c>
      <c r="I17" s="23">
        <f t="shared" si="0"/>
        <v>1500</v>
      </c>
      <c r="J17" s="22" t="s">
        <v>34</v>
      </c>
      <c r="K17" s="22" t="s">
        <v>34</v>
      </c>
      <c r="L17" s="22" t="s">
        <v>1222</v>
      </c>
      <c r="M17" s="22"/>
      <c r="N17" s="22"/>
      <c r="O17" s="22"/>
      <c r="P17" s="22"/>
      <c r="Q17" s="22">
        <v>1</v>
      </c>
    </row>
    <row r="18" spans="1:18" customFormat="1" x14ac:dyDescent="0.25">
      <c r="A18" s="22"/>
      <c r="B18" s="22" t="s">
        <v>30</v>
      </c>
      <c r="C18" s="22" t="s">
        <v>1263</v>
      </c>
      <c r="D18" s="22" t="s">
        <v>1264</v>
      </c>
      <c r="E18" s="22" t="s">
        <v>1265</v>
      </c>
      <c r="F18" s="22" t="s">
        <v>108</v>
      </c>
      <c r="G18" s="23">
        <v>765</v>
      </c>
      <c r="H18" s="23">
        <v>25</v>
      </c>
      <c r="I18" s="23">
        <f t="shared" si="0"/>
        <v>740</v>
      </c>
      <c r="J18" s="22" t="s">
        <v>34</v>
      </c>
      <c r="K18" s="22" t="s">
        <v>34</v>
      </c>
      <c r="L18" s="22" t="s">
        <v>1222</v>
      </c>
      <c r="M18" s="22"/>
      <c r="N18" s="22"/>
      <c r="O18" s="22"/>
      <c r="P18" s="22"/>
      <c r="Q18" s="22">
        <v>1</v>
      </c>
    </row>
    <row r="19" spans="1:18" customFormat="1" x14ac:dyDescent="0.25">
      <c r="A19" s="22" t="s">
        <v>29</v>
      </c>
      <c r="B19" s="22" t="s">
        <v>30</v>
      </c>
      <c r="C19" s="22" t="s">
        <v>1266</v>
      </c>
      <c r="D19" s="22"/>
      <c r="E19" s="22" t="s">
        <v>1267</v>
      </c>
      <c r="F19" s="22" t="s">
        <v>108</v>
      </c>
      <c r="G19" s="23">
        <v>30</v>
      </c>
      <c r="H19" s="23">
        <v>30</v>
      </c>
      <c r="I19" s="23">
        <f t="shared" si="0"/>
        <v>0</v>
      </c>
      <c r="J19" s="22" t="s">
        <v>34</v>
      </c>
      <c r="K19" s="22" t="s">
        <v>34</v>
      </c>
      <c r="L19" s="22" t="s">
        <v>1222</v>
      </c>
      <c r="M19" s="22"/>
      <c r="N19" s="22"/>
      <c r="O19" s="22"/>
      <c r="P19" s="22"/>
      <c r="Q19" s="22">
        <v>1</v>
      </c>
    </row>
    <row r="20" spans="1:18" customFormat="1" x14ac:dyDescent="0.25">
      <c r="A20" s="22"/>
      <c r="B20" s="22" t="s">
        <v>30</v>
      </c>
      <c r="C20" s="22" t="s">
        <v>1268</v>
      </c>
      <c r="D20" s="22" t="s">
        <v>1269</v>
      </c>
      <c r="E20" s="22" t="s">
        <v>1270</v>
      </c>
      <c r="F20" s="23">
        <v>3</v>
      </c>
      <c r="G20" s="23">
        <v>865</v>
      </c>
      <c r="H20" s="23">
        <v>25</v>
      </c>
      <c r="I20" s="23">
        <f t="shared" si="0"/>
        <v>840</v>
      </c>
      <c r="J20" s="22" t="s">
        <v>1271</v>
      </c>
      <c r="K20" s="22" t="s">
        <v>34</v>
      </c>
      <c r="L20" s="22" t="s">
        <v>1222</v>
      </c>
      <c r="M20" s="22"/>
      <c r="N20" s="22"/>
      <c r="O20" s="22"/>
      <c r="P20" s="22"/>
      <c r="Q20" s="22">
        <v>1</v>
      </c>
    </row>
    <row r="21" spans="1:18" customFormat="1" x14ac:dyDescent="0.25">
      <c r="A21" s="22"/>
      <c r="B21" s="22" t="s">
        <v>30</v>
      </c>
      <c r="C21" s="22" t="s">
        <v>1272</v>
      </c>
      <c r="D21" s="22" t="s">
        <v>1273</v>
      </c>
      <c r="E21" s="22" t="s">
        <v>1274</v>
      </c>
      <c r="F21" s="23">
        <v>8</v>
      </c>
      <c r="G21" s="23">
        <v>1890</v>
      </c>
      <c r="H21" s="23">
        <v>30</v>
      </c>
      <c r="I21" s="23">
        <f t="shared" si="0"/>
        <v>1860</v>
      </c>
      <c r="J21" s="22" t="s">
        <v>1271</v>
      </c>
      <c r="K21" s="22" t="s">
        <v>34</v>
      </c>
      <c r="L21" s="22" t="s">
        <v>1222</v>
      </c>
      <c r="M21" s="22"/>
      <c r="N21" s="22"/>
      <c r="O21" s="22"/>
      <c r="P21" s="22"/>
      <c r="Q21" s="22">
        <v>1</v>
      </c>
    </row>
    <row r="22" spans="1:18" customFormat="1" x14ac:dyDescent="0.25">
      <c r="A22" s="22"/>
      <c r="B22" s="22" t="s">
        <v>30</v>
      </c>
      <c r="C22" s="22" t="s">
        <v>1275</v>
      </c>
      <c r="D22" s="22" t="s">
        <v>1276</v>
      </c>
      <c r="E22" s="22" t="s">
        <v>1277</v>
      </c>
      <c r="F22" s="22" t="s">
        <v>59</v>
      </c>
      <c r="G22" s="23">
        <v>815</v>
      </c>
      <c r="H22" s="23">
        <v>25</v>
      </c>
      <c r="I22" s="23">
        <f t="shared" si="0"/>
        <v>790</v>
      </c>
      <c r="J22" s="22" t="s">
        <v>1271</v>
      </c>
      <c r="K22" s="22" t="s">
        <v>34</v>
      </c>
      <c r="L22" s="22" t="s">
        <v>1222</v>
      </c>
      <c r="M22" s="22"/>
      <c r="N22" s="22"/>
      <c r="O22" s="22"/>
      <c r="P22" s="22"/>
      <c r="Q22" s="22">
        <v>1</v>
      </c>
    </row>
    <row r="23" spans="1:18" customFormat="1" x14ac:dyDescent="0.25">
      <c r="A23" s="22"/>
      <c r="B23" s="22" t="s">
        <v>30</v>
      </c>
      <c r="C23" s="22" t="s">
        <v>1278</v>
      </c>
      <c r="D23" s="22" t="s">
        <v>1279</v>
      </c>
      <c r="E23" s="22" t="s">
        <v>1280</v>
      </c>
      <c r="F23" s="23">
        <v>4</v>
      </c>
      <c r="G23" s="23">
        <v>895</v>
      </c>
      <c r="H23" s="23">
        <v>25</v>
      </c>
      <c r="I23" s="23">
        <f t="shared" si="0"/>
        <v>870</v>
      </c>
      <c r="J23" s="22" t="s">
        <v>1271</v>
      </c>
      <c r="K23" s="22" t="s">
        <v>34</v>
      </c>
      <c r="L23" s="22" t="s">
        <v>1222</v>
      </c>
      <c r="M23" s="22"/>
      <c r="N23" s="22"/>
      <c r="O23" s="22"/>
      <c r="P23" s="22"/>
      <c r="Q23" s="22">
        <v>1</v>
      </c>
    </row>
    <row r="24" spans="1:18" customFormat="1" x14ac:dyDescent="0.25">
      <c r="A24" s="22"/>
      <c r="B24" s="22" t="s">
        <v>30</v>
      </c>
      <c r="C24" s="22" t="s">
        <v>1281</v>
      </c>
      <c r="D24" s="22" t="s">
        <v>1282</v>
      </c>
      <c r="E24" s="22" t="s">
        <v>1283</v>
      </c>
      <c r="F24" s="23">
        <v>8</v>
      </c>
      <c r="G24" s="23">
        <v>0</v>
      </c>
      <c r="H24" s="23">
        <v>30</v>
      </c>
      <c r="I24" s="23">
        <f t="shared" si="0"/>
        <v>-30</v>
      </c>
      <c r="J24" s="22" t="s">
        <v>1271</v>
      </c>
      <c r="K24" s="22" t="s">
        <v>34</v>
      </c>
      <c r="L24" s="22" t="s">
        <v>1222</v>
      </c>
      <c r="M24" s="22"/>
      <c r="N24" s="22"/>
      <c r="O24" s="22"/>
      <c r="P24" s="22"/>
      <c r="Q24" s="22">
        <v>1</v>
      </c>
      <c r="R24" s="24">
        <f>H24</f>
        <v>30</v>
      </c>
    </row>
    <row r="25" spans="1:18" customFormat="1" x14ac:dyDescent="0.25">
      <c r="A25" s="22"/>
      <c r="B25" s="22" t="s">
        <v>30</v>
      </c>
      <c r="C25" s="22" t="s">
        <v>227</v>
      </c>
      <c r="D25" s="22" t="s">
        <v>1284</v>
      </c>
      <c r="E25" s="22" t="s">
        <v>229</v>
      </c>
      <c r="F25" s="22" t="s">
        <v>59</v>
      </c>
      <c r="G25" s="23">
        <v>1765</v>
      </c>
      <c r="H25" s="23">
        <v>25</v>
      </c>
      <c r="I25" s="23">
        <f t="shared" si="0"/>
        <v>1740</v>
      </c>
      <c r="J25" s="22" t="s">
        <v>1271</v>
      </c>
      <c r="K25" s="22" t="s">
        <v>34</v>
      </c>
      <c r="L25" s="22" t="s">
        <v>1222</v>
      </c>
      <c r="M25" s="22"/>
      <c r="N25" s="22"/>
      <c r="O25" s="22"/>
      <c r="P25" s="22"/>
      <c r="Q25" s="22">
        <v>1</v>
      </c>
    </row>
    <row r="26" spans="1:18" customFormat="1" x14ac:dyDescent="0.25">
      <c r="A26" s="22"/>
      <c r="B26" s="22" t="s">
        <v>30</v>
      </c>
      <c r="C26" s="22" t="s">
        <v>1285</v>
      </c>
      <c r="D26" s="22" t="s">
        <v>1286</v>
      </c>
      <c r="E26" s="22" t="s">
        <v>1287</v>
      </c>
      <c r="F26" s="22" t="s">
        <v>147</v>
      </c>
      <c r="G26" s="23">
        <v>815</v>
      </c>
      <c r="H26" s="23">
        <v>35</v>
      </c>
      <c r="I26" s="23">
        <f t="shared" si="0"/>
        <v>780</v>
      </c>
      <c r="J26" s="22" t="s">
        <v>1271</v>
      </c>
      <c r="K26" s="22" t="s">
        <v>34</v>
      </c>
      <c r="L26" s="22" t="s">
        <v>1222</v>
      </c>
      <c r="M26" s="22"/>
      <c r="N26" s="22"/>
      <c r="O26" s="22"/>
      <c r="P26" s="22"/>
      <c r="Q26" s="22">
        <v>1</v>
      </c>
    </row>
    <row r="27" spans="1:18" customFormat="1" x14ac:dyDescent="0.25">
      <c r="A27" s="22"/>
      <c r="B27" s="22" t="s">
        <v>30</v>
      </c>
      <c r="C27" s="22" t="s">
        <v>277</v>
      </c>
      <c r="D27" s="22" t="s">
        <v>1288</v>
      </c>
      <c r="E27" s="22" t="s">
        <v>279</v>
      </c>
      <c r="F27" s="23">
        <v>6</v>
      </c>
      <c r="G27" s="23">
        <v>805</v>
      </c>
      <c r="H27" s="23">
        <v>25</v>
      </c>
      <c r="I27" s="23">
        <f t="shared" si="0"/>
        <v>780</v>
      </c>
      <c r="J27" s="22" t="s">
        <v>1271</v>
      </c>
      <c r="K27" s="22" t="s">
        <v>34</v>
      </c>
      <c r="L27" s="22" t="s">
        <v>1222</v>
      </c>
      <c r="M27" s="22"/>
      <c r="N27" s="22"/>
      <c r="O27" s="22"/>
      <c r="P27" s="22"/>
      <c r="Q27" s="22">
        <v>1</v>
      </c>
    </row>
    <row r="28" spans="1:18" customFormat="1" x14ac:dyDescent="0.25">
      <c r="A28" s="22"/>
      <c r="B28" s="22" t="s">
        <v>30</v>
      </c>
      <c r="C28" s="22" t="s">
        <v>1289</v>
      </c>
      <c r="D28" s="22" t="s">
        <v>1290</v>
      </c>
      <c r="E28" s="22" t="s">
        <v>1291</v>
      </c>
      <c r="F28" s="22" t="s">
        <v>39</v>
      </c>
      <c r="G28" s="23">
        <v>690</v>
      </c>
      <c r="H28" s="23">
        <v>30</v>
      </c>
      <c r="I28" s="23">
        <f t="shared" si="0"/>
        <v>660</v>
      </c>
      <c r="J28" s="22" t="s">
        <v>1271</v>
      </c>
      <c r="K28" s="22" t="s">
        <v>34</v>
      </c>
      <c r="L28" s="22" t="s">
        <v>1222</v>
      </c>
      <c r="M28" s="22"/>
      <c r="N28" s="22"/>
      <c r="O28" s="22"/>
      <c r="P28" s="22"/>
      <c r="Q28" s="22">
        <v>1</v>
      </c>
    </row>
    <row r="29" spans="1:18" customFormat="1" x14ac:dyDescent="0.25">
      <c r="A29" s="22"/>
      <c r="B29" s="22" t="s">
        <v>30</v>
      </c>
      <c r="C29" s="22" t="s">
        <v>1292</v>
      </c>
      <c r="D29" s="22" t="s">
        <v>1293</v>
      </c>
      <c r="E29" s="22" t="s">
        <v>1294</v>
      </c>
      <c r="F29" s="23">
        <v>7</v>
      </c>
      <c r="G29" s="23">
        <v>1420</v>
      </c>
      <c r="H29" s="23">
        <v>30</v>
      </c>
      <c r="I29" s="23">
        <f t="shared" si="0"/>
        <v>1390</v>
      </c>
      <c r="J29" s="22" t="s">
        <v>1271</v>
      </c>
      <c r="K29" s="22" t="s">
        <v>34</v>
      </c>
      <c r="L29" s="22" t="s">
        <v>1222</v>
      </c>
      <c r="M29" s="22"/>
      <c r="N29" s="22"/>
      <c r="O29" s="22"/>
      <c r="P29" s="22"/>
      <c r="Q29" s="22">
        <v>1</v>
      </c>
    </row>
    <row r="30" spans="1:18" customFormat="1" x14ac:dyDescent="0.25">
      <c r="A30" s="22"/>
      <c r="B30" s="22" t="s">
        <v>30</v>
      </c>
      <c r="C30" s="22" t="s">
        <v>1295</v>
      </c>
      <c r="D30" s="22" t="s">
        <v>1296</v>
      </c>
      <c r="E30" s="22" t="s">
        <v>1297</v>
      </c>
      <c r="F30" s="23">
        <v>6</v>
      </c>
      <c r="G30" s="23">
        <v>0</v>
      </c>
      <c r="H30" s="23">
        <v>25</v>
      </c>
      <c r="I30" s="23">
        <f t="shared" si="0"/>
        <v>-25</v>
      </c>
      <c r="J30" s="22" t="s">
        <v>1271</v>
      </c>
      <c r="K30" s="22" t="s">
        <v>34</v>
      </c>
      <c r="L30" s="22" t="s">
        <v>1222</v>
      </c>
      <c r="M30" s="22"/>
      <c r="N30" s="22"/>
      <c r="O30" s="22"/>
      <c r="P30" s="22"/>
      <c r="Q30" s="22">
        <v>1</v>
      </c>
      <c r="R30" s="24">
        <f t="shared" ref="R30:R31" si="1">H30</f>
        <v>25</v>
      </c>
    </row>
    <row r="31" spans="1:18" customFormat="1" x14ac:dyDescent="0.25">
      <c r="A31" s="22"/>
      <c r="B31" s="22" t="s">
        <v>30</v>
      </c>
      <c r="C31" s="22" t="s">
        <v>1298</v>
      </c>
      <c r="D31" s="22" t="s">
        <v>1299</v>
      </c>
      <c r="E31" s="22" t="s">
        <v>1300</v>
      </c>
      <c r="F31" s="22" t="s">
        <v>39</v>
      </c>
      <c r="G31" s="23">
        <v>0</v>
      </c>
      <c r="H31" s="23">
        <v>30</v>
      </c>
      <c r="I31" s="23">
        <f t="shared" si="0"/>
        <v>-30</v>
      </c>
      <c r="J31" s="22" t="s">
        <v>1271</v>
      </c>
      <c r="K31" s="22" t="s">
        <v>34</v>
      </c>
      <c r="L31" s="22" t="s">
        <v>1222</v>
      </c>
      <c r="M31" s="22"/>
      <c r="N31" s="22"/>
      <c r="O31" s="22"/>
      <c r="P31" s="22"/>
      <c r="Q31" s="22">
        <v>1</v>
      </c>
      <c r="R31" s="24">
        <f t="shared" si="1"/>
        <v>30</v>
      </c>
    </row>
    <row r="32" spans="1:18" customFormat="1" x14ac:dyDescent="0.25">
      <c r="A32" s="22"/>
      <c r="B32" s="22" t="s">
        <v>30</v>
      </c>
      <c r="C32" s="22" t="s">
        <v>1301</v>
      </c>
      <c r="D32" s="22" t="s">
        <v>1302</v>
      </c>
      <c r="E32" s="22" t="s">
        <v>1303</v>
      </c>
      <c r="F32" s="22" t="s">
        <v>39</v>
      </c>
      <c r="G32" s="23">
        <v>1390</v>
      </c>
      <c r="H32" s="23">
        <v>30</v>
      </c>
      <c r="I32" s="23">
        <f t="shared" si="0"/>
        <v>1360</v>
      </c>
      <c r="J32" s="22" t="s">
        <v>1271</v>
      </c>
      <c r="K32" s="22" t="s">
        <v>34</v>
      </c>
      <c r="L32" s="22" t="s">
        <v>1222</v>
      </c>
      <c r="M32" s="22"/>
      <c r="N32" s="22"/>
      <c r="O32" s="22"/>
      <c r="P32" s="22"/>
      <c r="Q32" s="22">
        <v>1</v>
      </c>
    </row>
    <row r="33" spans="1:18" customFormat="1" x14ac:dyDescent="0.25">
      <c r="A33" s="22"/>
      <c r="B33" s="22" t="s">
        <v>30</v>
      </c>
      <c r="C33" s="22" t="s">
        <v>1304</v>
      </c>
      <c r="D33" s="22" t="s">
        <v>1305</v>
      </c>
      <c r="E33" s="22" t="s">
        <v>1306</v>
      </c>
      <c r="F33" s="23">
        <v>7</v>
      </c>
      <c r="G33" s="23">
        <v>1630</v>
      </c>
      <c r="H33" s="23">
        <v>30</v>
      </c>
      <c r="I33" s="23">
        <f t="shared" si="0"/>
        <v>1600</v>
      </c>
      <c r="J33" s="22" t="s">
        <v>1271</v>
      </c>
      <c r="K33" s="22" t="s">
        <v>34</v>
      </c>
      <c r="L33" s="22" t="s">
        <v>1222</v>
      </c>
      <c r="M33" s="22"/>
      <c r="N33" s="22"/>
      <c r="O33" s="22"/>
      <c r="P33" s="22"/>
      <c r="Q33" s="22">
        <v>1</v>
      </c>
    </row>
    <row r="34" spans="1:18" customFormat="1" x14ac:dyDescent="0.25">
      <c r="A34" s="22"/>
      <c r="B34" s="22" t="s">
        <v>30</v>
      </c>
      <c r="C34" s="22" t="s">
        <v>1307</v>
      </c>
      <c r="D34" s="22" t="s">
        <v>1308</v>
      </c>
      <c r="E34" s="22" t="s">
        <v>1309</v>
      </c>
      <c r="F34" s="23">
        <v>10</v>
      </c>
      <c r="G34" s="23">
        <v>815</v>
      </c>
      <c r="H34" s="23">
        <v>25</v>
      </c>
      <c r="I34" s="23">
        <f t="shared" si="0"/>
        <v>790</v>
      </c>
      <c r="J34" s="22" t="s">
        <v>1271</v>
      </c>
      <c r="K34" s="22" t="s">
        <v>34</v>
      </c>
      <c r="L34" s="22" t="s">
        <v>1222</v>
      </c>
      <c r="M34" s="22"/>
      <c r="N34" s="22"/>
      <c r="O34" s="22"/>
      <c r="P34" s="22"/>
      <c r="Q34" s="22">
        <v>1</v>
      </c>
    </row>
    <row r="36" spans="1:18" x14ac:dyDescent="0.25">
      <c r="G36" s="1">
        <f t="shared" ref="G36:R36" si="2">SUBTOTAL(9,G3:G35)</f>
        <v>26995</v>
      </c>
      <c r="H36" s="1">
        <f t="shared" si="2"/>
        <v>885</v>
      </c>
      <c r="I36" s="1">
        <f t="shared" si="2"/>
        <v>26110</v>
      </c>
      <c r="J36" s="1">
        <f t="shared" si="2"/>
        <v>0</v>
      </c>
      <c r="K36" s="1">
        <f t="shared" si="2"/>
        <v>0</v>
      </c>
      <c r="L36" s="1">
        <f t="shared" si="2"/>
        <v>0</v>
      </c>
      <c r="M36" s="1">
        <f t="shared" si="2"/>
        <v>0</v>
      </c>
      <c r="N36" s="1">
        <f t="shared" si="2"/>
        <v>0</v>
      </c>
      <c r="O36" s="1">
        <f t="shared" si="2"/>
        <v>0</v>
      </c>
      <c r="P36" s="1">
        <f t="shared" si="2"/>
        <v>0</v>
      </c>
      <c r="Q36" s="1">
        <f t="shared" si="2"/>
        <v>32</v>
      </c>
      <c r="R36" s="1">
        <f t="shared" si="2"/>
        <v>210</v>
      </c>
    </row>
    <row r="40" spans="1:18" ht="20.25" customHeight="1" x14ac:dyDescent="0.3">
      <c r="H40" s="4" t="s">
        <v>1119</v>
      </c>
      <c r="I40" s="5" t="s">
        <v>15</v>
      </c>
      <c r="J40" s="6" t="s">
        <v>16</v>
      </c>
    </row>
    <row r="41" spans="1:18" ht="15.75" customHeight="1" x14ac:dyDescent="0.25">
      <c r="H41" s="7" t="s">
        <v>17</v>
      </c>
      <c r="I41" s="8">
        <f>SUM(I35:I39)</f>
        <v>26110</v>
      </c>
      <c r="J41" s="8">
        <f>Q36</f>
        <v>32</v>
      </c>
    </row>
    <row r="42" spans="1:18" x14ac:dyDescent="0.25">
      <c r="H42" s="9" t="s">
        <v>18</v>
      </c>
      <c r="I42" s="10">
        <f>R36</f>
        <v>210</v>
      </c>
      <c r="J42" s="11"/>
    </row>
    <row r="43" spans="1:18" x14ac:dyDescent="0.25">
      <c r="H43" s="9" t="s">
        <v>19</v>
      </c>
      <c r="I43" s="10">
        <f>S35</f>
        <v>0</v>
      </c>
      <c r="J43" s="11"/>
    </row>
    <row r="44" spans="1:18" x14ac:dyDescent="0.25">
      <c r="H44" s="9" t="s">
        <v>20</v>
      </c>
      <c r="I44" s="10">
        <f>T35</f>
        <v>0</v>
      </c>
      <c r="J44" s="11"/>
    </row>
    <row r="45" spans="1:18" x14ac:dyDescent="0.25">
      <c r="H45" s="9" t="s">
        <v>21</v>
      </c>
      <c r="I45" s="10">
        <f>U35</f>
        <v>0</v>
      </c>
      <c r="J45" s="11"/>
    </row>
    <row r="46" spans="1:18" ht="15.75" customHeight="1" x14ac:dyDescent="0.25">
      <c r="H46" s="12" t="s">
        <v>22</v>
      </c>
      <c r="I46" s="13"/>
      <c r="J46" s="13"/>
    </row>
    <row r="47" spans="1:18" ht="15.75" customHeight="1" x14ac:dyDescent="0.25">
      <c r="H47" s="14" t="s">
        <v>23</v>
      </c>
      <c r="I47" s="13"/>
      <c r="J47" s="13"/>
    </row>
    <row r="48" spans="1:18" ht="21" customHeight="1" x14ac:dyDescent="0.35">
      <c r="H48" s="15" t="s">
        <v>24</v>
      </c>
      <c r="I48" s="16">
        <f>SUM(I41:I47)</f>
        <v>26320</v>
      </c>
      <c r="J48" s="16">
        <f>SUM(J41:J45)</f>
        <v>32</v>
      </c>
    </row>
  </sheetData>
  <autoFilter ref="A2:P34" xr:uid="{00000000-0009-0000-0000-000006000000}">
    <sortState xmlns:xlrd2="http://schemas.microsoft.com/office/spreadsheetml/2017/richdata2" ref="A3:P34">
      <sortCondition ref="J2:J34"/>
    </sortState>
  </autoFilter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8E49-7BF0-44F1-B145-908507FDEC5B}">
  <dimension ref="A1:R59"/>
  <sheetViews>
    <sheetView topLeftCell="A35" zoomScale="82" zoomScaleNormal="80" workbookViewId="0">
      <selection activeCell="J43" sqref="J43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9" width="9.140625" style="1"/>
    <col min="10" max="10" width="12.7109375" style="1" bestFit="1" customWidth="1"/>
    <col min="11" max="11" width="9.140625" style="1"/>
    <col min="12" max="12" width="12.28515625" style="1" bestFit="1" customWidth="1"/>
    <col min="13" max="13" width="20" style="1" bestFit="1" customWidth="1"/>
    <col min="14" max="16384" width="9.140625" style="1"/>
  </cols>
  <sheetData>
    <row r="1" spans="1:18" x14ac:dyDescent="0.25">
      <c r="B1" s="1" t="s">
        <v>717</v>
      </c>
      <c r="C1" s="1" t="s">
        <v>1219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22"/>
      <c r="B3" s="22" t="s">
        <v>30</v>
      </c>
      <c r="C3" s="22" t="s">
        <v>1312</v>
      </c>
      <c r="D3" s="22" t="s">
        <v>1313</v>
      </c>
      <c r="E3" s="22" t="s">
        <v>1314</v>
      </c>
      <c r="F3" s="22" t="s">
        <v>39</v>
      </c>
      <c r="G3" s="23">
        <v>0</v>
      </c>
      <c r="H3" s="23">
        <v>30</v>
      </c>
      <c r="I3" s="23">
        <f t="shared" ref="I3:I39" si="0">G3-H3</f>
        <v>-30</v>
      </c>
      <c r="J3" s="22" t="s">
        <v>1315</v>
      </c>
      <c r="K3" s="22" t="s">
        <v>34</v>
      </c>
      <c r="L3" s="22" t="s">
        <v>1316</v>
      </c>
      <c r="M3" s="28" t="s">
        <v>1317</v>
      </c>
      <c r="N3" s="22"/>
      <c r="O3" s="22"/>
      <c r="P3" s="22"/>
      <c r="Q3" s="22">
        <v>1</v>
      </c>
      <c r="R3" s="24">
        <f>H3</f>
        <v>30</v>
      </c>
    </row>
    <row r="4" spans="1:18" customFormat="1" x14ac:dyDescent="0.25">
      <c r="A4" s="22"/>
      <c r="B4" s="22" t="s">
        <v>30</v>
      </c>
      <c r="C4" s="22" t="s">
        <v>1318</v>
      </c>
      <c r="D4" s="22" t="s">
        <v>1319</v>
      </c>
      <c r="E4" s="22" t="s">
        <v>1320</v>
      </c>
      <c r="F4" s="23">
        <v>8</v>
      </c>
      <c r="G4" s="23">
        <v>0</v>
      </c>
      <c r="H4" s="23">
        <v>25</v>
      </c>
      <c r="I4" s="23">
        <f t="shared" si="0"/>
        <v>-25</v>
      </c>
      <c r="J4" s="22" t="s">
        <v>1315</v>
      </c>
      <c r="K4" s="22" t="s">
        <v>34</v>
      </c>
      <c r="L4" s="22" t="s">
        <v>1316</v>
      </c>
      <c r="M4" s="22"/>
      <c r="N4" s="22"/>
      <c r="O4" s="22"/>
      <c r="P4" s="22"/>
      <c r="Q4" s="22">
        <v>1</v>
      </c>
      <c r="R4" s="24">
        <f>H4</f>
        <v>25</v>
      </c>
    </row>
    <row r="5" spans="1:18" customFormat="1" x14ac:dyDescent="0.25">
      <c r="A5" s="22"/>
      <c r="B5" s="22" t="s">
        <v>30</v>
      </c>
      <c r="C5" s="22" t="s">
        <v>1321</v>
      </c>
      <c r="D5" s="22" t="s">
        <v>1322</v>
      </c>
      <c r="E5" s="22" t="s">
        <v>1323</v>
      </c>
      <c r="F5" s="22" t="s">
        <v>1324</v>
      </c>
      <c r="G5" s="23">
        <v>865</v>
      </c>
      <c r="H5" s="23">
        <v>35</v>
      </c>
      <c r="I5" s="23">
        <f t="shared" si="0"/>
        <v>830</v>
      </c>
      <c r="J5" s="22" t="s">
        <v>1315</v>
      </c>
      <c r="K5" s="22" t="s">
        <v>34</v>
      </c>
      <c r="L5" s="22" t="s">
        <v>1316</v>
      </c>
      <c r="M5" s="22"/>
      <c r="N5" s="22"/>
      <c r="O5" s="22"/>
      <c r="P5" s="22"/>
      <c r="Q5" s="22">
        <v>1</v>
      </c>
    </row>
    <row r="6" spans="1:18" customFormat="1" x14ac:dyDescent="0.25">
      <c r="A6" s="22"/>
      <c r="B6" s="22" t="s">
        <v>30</v>
      </c>
      <c r="C6" s="22" t="s">
        <v>1325</v>
      </c>
      <c r="D6" s="22" t="s">
        <v>1326</v>
      </c>
      <c r="E6" s="22" t="s">
        <v>1327</v>
      </c>
      <c r="F6" s="22" t="s">
        <v>152</v>
      </c>
      <c r="G6" s="23">
        <v>1135</v>
      </c>
      <c r="H6" s="23">
        <v>35</v>
      </c>
      <c r="I6" s="23">
        <f t="shared" si="0"/>
        <v>1100</v>
      </c>
      <c r="J6" s="22" t="s">
        <v>1315</v>
      </c>
      <c r="K6" s="22" t="s">
        <v>34</v>
      </c>
      <c r="L6" s="22" t="s">
        <v>1316</v>
      </c>
      <c r="M6" s="28" t="s">
        <v>1049</v>
      </c>
      <c r="N6" s="22"/>
      <c r="O6" s="22"/>
      <c r="P6" s="22"/>
      <c r="Q6" s="22">
        <v>1</v>
      </c>
      <c r="R6" s="24">
        <f>H6</f>
        <v>35</v>
      </c>
    </row>
    <row r="7" spans="1:18" customFormat="1" x14ac:dyDescent="0.25">
      <c r="A7" s="22"/>
      <c r="B7" s="22" t="s">
        <v>30</v>
      </c>
      <c r="C7" s="22" t="s">
        <v>1328</v>
      </c>
      <c r="D7" s="22" t="s">
        <v>1329</v>
      </c>
      <c r="E7" s="22" t="s">
        <v>1327</v>
      </c>
      <c r="F7" s="22" t="s">
        <v>152</v>
      </c>
      <c r="G7" s="23">
        <v>0</v>
      </c>
      <c r="H7" s="23">
        <v>0</v>
      </c>
      <c r="I7" s="23">
        <f t="shared" si="0"/>
        <v>0</v>
      </c>
      <c r="J7" s="22" t="s">
        <v>1315</v>
      </c>
      <c r="K7" s="22" t="s">
        <v>34</v>
      </c>
      <c r="L7" s="22" t="s">
        <v>1316</v>
      </c>
      <c r="M7" s="28" t="s">
        <v>360</v>
      </c>
      <c r="N7" s="22"/>
      <c r="O7" s="22"/>
      <c r="P7" s="22"/>
      <c r="Q7" s="22">
        <v>1</v>
      </c>
      <c r="R7" s="24">
        <f>H7</f>
        <v>0</v>
      </c>
    </row>
    <row r="8" spans="1:18" customFormat="1" x14ac:dyDescent="0.25">
      <c r="A8" s="22"/>
      <c r="B8" s="22" t="s">
        <v>30</v>
      </c>
      <c r="C8" s="22" t="s">
        <v>1330</v>
      </c>
      <c r="D8" s="22" t="s">
        <v>1331</v>
      </c>
      <c r="E8" s="22" t="s">
        <v>1332</v>
      </c>
      <c r="F8" s="23">
        <v>11</v>
      </c>
      <c r="G8" s="23">
        <v>1135</v>
      </c>
      <c r="H8" s="23">
        <v>25</v>
      </c>
      <c r="I8" s="23">
        <f t="shared" si="0"/>
        <v>1110</v>
      </c>
      <c r="J8" s="22" t="s">
        <v>1315</v>
      </c>
      <c r="K8" s="22" t="s">
        <v>34</v>
      </c>
      <c r="L8" s="22" t="s">
        <v>1316</v>
      </c>
      <c r="M8" s="22"/>
      <c r="N8" s="22"/>
      <c r="O8" s="22"/>
      <c r="P8" s="22"/>
      <c r="Q8" s="22">
        <v>1</v>
      </c>
    </row>
    <row r="9" spans="1:18" customFormat="1" x14ac:dyDescent="0.25">
      <c r="A9" s="22"/>
      <c r="B9" s="22" t="s">
        <v>30</v>
      </c>
      <c r="C9" s="22" t="s">
        <v>1333</v>
      </c>
      <c r="D9" s="22" t="s">
        <v>1334</v>
      </c>
      <c r="E9" s="22" t="s">
        <v>1335</v>
      </c>
      <c r="F9" s="23">
        <v>7</v>
      </c>
      <c r="G9" s="23">
        <v>470</v>
      </c>
      <c r="H9" s="23">
        <v>30</v>
      </c>
      <c r="I9" s="23">
        <f t="shared" si="0"/>
        <v>440</v>
      </c>
      <c r="J9" s="22" t="s">
        <v>1315</v>
      </c>
      <c r="K9" s="22" t="s">
        <v>34</v>
      </c>
      <c r="L9" s="22" t="s">
        <v>1316</v>
      </c>
      <c r="M9" s="22"/>
      <c r="N9" s="22"/>
      <c r="O9" s="22"/>
      <c r="P9" s="22"/>
      <c r="Q9" s="22">
        <v>1</v>
      </c>
    </row>
    <row r="10" spans="1:18" customFormat="1" x14ac:dyDescent="0.25">
      <c r="A10" s="22"/>
      <c r="B10" s="22" t="s">
        <v>30</v>
      </c>
      <c r="C10" s="22" t="s">
        <v>1336</v>
      </c>
      <c r="D10" s="22" t="s">
        <v>1337</v>
      </c>
      <c r="E10" s="22" t="s">
        <v>1338</v>
      </c>
      <c r="F10" s="22" t="s">
        <v>59</v>
      </c>
      <c r="G10" s="23">
        <v>985</v>
      </c>
      <c r="H10" s="23">
        <v>25</v>
      </c>
      <c r="I10" s="23">
        <f t="shared" si="0"/>
        <v>960</v>
      </c>
      <c r="J10" s="22" t="s">
        <v>1315</v>
      </c>
      <c r="K10" s="22" t="s">
        <v>34</v>
      </c>
      <c r="L10" s="22" t="s">
        <v>1316</v>
      </c>
      <c r="M10" s="28" t="s">
        <v>360</v>
      </c>
      <c r="N10" s="22"/>
      <c r="O10" s="22"/>
      <c r="P10" s="22"/>
      <c r="Q10" s="22">
        <v>1</v>
      </c>
    </row>
    <row r="11" spans="1:18" customFormat="1" x14ac:dyDescent="0.25">
      <c r="A11" s="22"/>
      <c r="B11" s="22" t="s">
        <v>30</v>
      </c>
      <c r="C11" s="22" t="s">
        <v>1336</v>
      </c>
      <c r="D11" s="22" t="s">
        <v>1339</v>
      </c>
      <c r="E11" s="22" t="s">
        <v>1340</v>
      </c>
      <c r="F11" s="22" t="s">
        <v>59</v>
      </c>
      <c r="G11" s="23">
        <v>850</v>
      </c>
      <c r="H11" s="23">
        <v>0</v>
      </c>
      <c r="I11" s="23">
        <f t="shared" si="0"/>
        <v>850</v>
      </c>
      <c r="J11" s="22" t="s">
        <v>1315</v>
      </c>
      <c r="K11" s="22" t="s">
        <v>34</v>
      </c>
      <c r="L11" s="22" t="s">
        <v>1316</v>
      </c>
      <c r="M11" s="28" t="s">
        <v>360</v>
      </c>
      <c r="N11" s="22"/>
      <c r="O11" s="22"/>
      <c r="P11" s="22"/>
      <c r="Q11" s="22">
        <v>1</v>
      </c>
    </row>
    <row r="12" spans="1:18" customFormat="1" x14ac:dyDescent="0.25">
      <c r="A12" s="22"/>
      <c r="B12" s="22" t="s">
        <v>30</v>
      </c>
      <c r="C12" s="22" t="s">
        <v>1341</v>
      </c>
      <c r="D12" s="22" t="s">
        <v>1342</v>
      </c>
      <c r="E12" s="22" t="s">
        <v>1343</v>
      </c>
      <c r="F12" s="23">
        <v>8</v>
      </c>
      <c r="G12" s="23">
        <v>0</v>
      </c>
      <c r="H12" s="23">
        <v>30</v>
      </c>
      <c r="I12" s="23">
        <f t="shared" si="0"/>
        <v>-30</v>
      </c>
      <c r="J12" s="22" t="s">
        <v>1315</v>
      </c>
      <c r="K12" s="22" t="s">
        <v>34</v>
      </c>
      <c r="L12" s="22" t="s">
        <v>1316</v>
      </c>
      <c r="M12" s="28" t="s">
        <v>1344</v>
      </c>
      <c r="N12" s="22"/>
      <c r="O12" s="22"/>
      <c r="P12" s="22"/>
      <c r="Q12" s="22">
        <v>1</v>
      </c>
      <c r="R12" s="24">
        <f>H12</f>
        <v>30</v>
      </c>
    </row>
    <row r="13" spans="1:18" customFormat="1" x14ac:dyDescent="0.25">
      <c r="A13" s="22"/>
      <c r="B13" s="22" t="s">
        <v>30</v>
      </c>
      <c r="C13" s="22" t="s">
        <v>1345</v>
      </c>
      <c r="D13" s="22" t="s">
        <v>1346</v>
      </c>
      <c r="E13" s="22" t="s">
        <v>1347</v>
      </c>
      <c r="F13" s="23">
        <v>7</v>
      </c>
      <c r="G13" s="23">
        <v>850</v>
      </c>
      <c r="H13" s="23">
        <v>30</v>
      </c>
      <c r="I13" s="23">
        <f t="shared" si="0"/>
        <v>820</v>
      </c>
      <c r="J13" s="22" t="s">
        <v>1315</v>
      </c>
      <c r="K13" s="22" t="s">
        <v>34</v>
      </c>
      <c r="L13" s="22" t="s">
        <v>1316</v>
      </c>
      <c r="M13" s="22"/>
      <c r="N13" s="22"/>
      <c r="O13" s="22"/>
      <c r="P13" s="22"/>
      <c r="Q13" s="22">
        <v>1</v>
      </c>
    </row>
    <row r="14" spans="1:18" customFormat="1" x14ac:dyDescent="0.25">
      <c r="A14" s="22"/>
      <c r="B14" s="22" t="s">
        <v>30</v>
      </c>
      <c r="C14" s="22" t="s">
        <v>1348</v>
      </c>
      <c r="D14" s="22" t="s">
        <v>1349</v>
      </c>
      <c r="E14" s="22" t="s">
        <v>1350</v>
      </c>
      <c r="F14" s="23">
        <v>7</v>
      </c>
      <c r="G14" s="23">
        <v>820</v>
      </c>
      <c r="H14" s="23">
        <v>30</v>
      </c>
      <c r="I14" s="23">
        <f t="shared" si="0"/>
        <v>790</v>
      </c>
      <c r="J14" s="22" t="s">
        <v>1315</v>
      </c>
      <c r="K14" s="22" t="s">
        <v>34</v>
      </c>
      <c r="L14" s="22" t="s">
        <v>1316</v>
      </c>
      <c r="M14" s="22"/>
      <c r="N14" s="22"/>
      <c r="O14" s="22"/>
      <c r="P14" s="22"/>
      <c r="Q14" s="22">
        <v>1</v>
      </c>
    </row>
    <row r="15" spans="1:18" customFormat="1" x14ac:dyDescent="0.25">
      <c r="A15" s="22"/>
      <c r="B15" s="22" t="s">
        <v>30</v>
      </c>
      <c r="C15" s="22" t="s">
        <v>1351</v>
      </c>
      <c r="D15" s="22" t="s">
        <v>1352</v>
      </c>
      <c r="E15" s="22" t="s">
        <v>1353</v>
      </c>
      <c r="F15" s="23">
        <v>11</v>
      </c>
      <c r="G15" s="23">
        <v>1505</v>
      </c>
      <c r="H15" s="23">
        <v>25</v>
      </c>
      <c r="I15" s="23">
        <f t="shared" si="0"/>
        <v>1480</v>
      </c>
      <c r="J15" s="22" t="s">
        <v>1315</v>
      </c>
      <c r="K15" s="22" t="s">
        <v>34</v>
      </c>
      <c r="L15" s="22" t="s">
        <v>1316</v>
      </c>
      <c r="M15" s="22"/>
      <c r="N15" s="22"/>
      <c r="O15" s="22"/>
      <c r="P15" s="22"/>
      <c r="Q15" s="22">
        <v>1</v>
      </c>
    </row>
    <row r="16" spans="1:18" customFormat="1" x14ac:dyDescent="0.25">
      <c r="A16" s="22"/>
      <c r="B16" s="22" t="s">
        <v>30</v>
      </c>
      <c r="C16" s="22" t="s">
        <v>730</v>
      </c>
      <c r="D16" s="22" t="s">
        <v>1354</v>
      </c>
      <c r="E16" s="22" t="s">
        <v>1355</v>
      </c>
      <c r="F16" s="22" t="s">
        <v>59</v>
      </c>
      <c r="G16" s="23">
        <v>725</v>
      </c>
      <c r="H16" s="23">
        <v>25</v>
      </c>
      <c r="I16" s="23">
        <f t="shared" si="0"/>
        <v>700</v>
      </c>
      <c r="J16" s="22" t="s">
        <v>1315</v>
      </c>
      <c r="K16" s="22" t="s">
        <v>34</v>
      </c>
      <c r="L16" s="22" t="s">
        <v>1316</v>
      </c>
      <c r="M16" s="22"/>
      <c r="N16" s="22"/>
      <c r="O16" s="22"/>
      <c r="P16" s="22"/>
      <c r="Q16" s="22">
        <v>1</v>
      </c>
    </row>
    <row r="17" spans="1:18" customFormat="1" x14ac:dyDescent="0.25">
      <c r="A17" s="22"/>
      <c r="B17" s="22" t="s">
        <v>30</v>
      </c>
      <c r="C17" s="22" t="s">
        <v>1356</v>
      </c>
      <c r="D17" s="22" t="s">
        <v>1357</v>
      </c>
      <c r="E17" s="22" t="s">
        <v>1358</v>
      </c>
      <c r="F17" s="22" t="s">
        <v>90</v>
      </c>
      <c r="G17" s="23">
        <v>715</v>
      </c>
      <c r="H17" s="23">
        <v>25</v>
      </c>
      <c r="I17" s="23">
        <f t="shared" si="0"/>
        <v>690</v>
      </c>
      <c r="J17" s="22" t="s">
        <v>34</v>
      </c>
      <c r="K17" s="22" t="s">
        <v>34</v>
      </c>
      <c r="L17" s="22" t="s">
        <v>1316</v>
      </c>
      <c r="M17" s="22"/>
      <c r="N17" s="22"/>
      <c r="O17" s="22"/>
      <c r="P17" s="22"/>
      <c r="Q17" s="22">
        <v>1</v>
      </c>
    </row>
    <row r="18" spans="1:18" customFormat="1" x14ac:dyDescent="0.25">
      <c r="A18" s="22"/>
      <c r="B18" s="22" t="s">
        <v>30</v>
      </c>
      <c r="C18" s="22" t="s">
        <v>884</v>
      </c>
      <c r="D18" s="22" t="s">
        <v>1359</v>
      </c>
      <c r="E18" s="22" t="s">
        <v>244</v>
      </c>
      <c r="F18" s="22" t="s">
        <v>90</v>
      </c>
      <c r="G18" s="23">
        <v>0</v>
      </c>
      <c r="H18" s="23">
        <v>25</v>
      </c>
      <c r="I18" s="23">
        <f t="shared" si="0"/>
        <v>-25</v>
      </c>
      <c r="J18" s="22" t="s">
        <v>34</v>
      </c>
      <c r="K18" s="22" t="s">
        <v>34</v>
      </c>
      <c r="L18" s="22" t="s">
        <v>1316</v>
      </c>
      <c r="M18" s="22"/>
      <c r="N18" s="22"/>
      <c r="O18" s="22"/>
      <c r="P18" s="22"/>
      <c r="Q18" s="22">
        <v>1</v>
      </c>
      <c r="R18" s="24">
        <f>H18</f>
        <v>25</v>
      </c>
    </row>
    <row r="19" spans="1:18" customFormat="1" x14ac:dyDescent="0.25">
      <c r="A19" s="22"/>
      <c r="B19" s="22" t="s">
        <v>30</v>
      </c>
      <c r="C19" s="22" t="s">
        <v>886</v>
      </c>
      <c r="D19" s="22" t="s">
        <v>1360</v>
      </c>
      <c r="E19" s="22" t="s">
        <v>1361</v>
      </c>
      <c r="F19" s="22" t="s">
        <v>94</v>
      </c>
      <c r="G19" s="23">
        <v>380</v>
      </c>
      <c r="H19" s="23">
        <v>30</v>
      </c>
      <c r="I19" s="23">
        <f t="shared" si="0"/>
        <v>350</v>
      </c>
      <c r="J19" s="22" t="s">
        <v>34</v>
      </c>
      <c r="K19" s="22" t="s">
        <v>34</v>
      </c>
      <c r="L19" s="22" t="s">
        <v>1316</v>
      </c>
      <c r="M19" s="22"/>
      <c r="N19" s="22"/>
      <c r="O19" s="22"/>
      <c r="P19" s="22"/>
      <c r="Q19" s="22">
        <v>1</v>
      </c>
    </row>
    <row r="20" spans="1:18" customFormat="1" x14ac:dyDescent="0.25">
      <c r="A20" s="22"/>
      <c r="B20" s="22" t="s">
        <v>30</v>
      </c>
      <c r="C20" s="22" t="s">
        <v>1362</v>
      </c>
      <c r="D20" s="22" t="s">
        <v>1363</v>
      </c>
      <c r="E20" s="22" t="s">
        <v>1364</v>
      </c>
      <c r="F20" s="22" t="s">
        <v>98</v>
      </c>
      <c r="G20" s="23">
        <v>810</v>
      </c>
      <c r="H20" s="23">
        <v>20</v>
      </c>
      <c r="I20" s="23">
        <f t="shared" si="0"/>
        <v>790</v>
      </c>
      <c r="J20" s="22" t="s">
        <v>34</v>
      </c>
      <c r="K20" s="22" t="s">
        <v>34</v>
      </c>
      <c r="L20" s="22" t="s">
        <v>1316</v>
      </c>
      <c r="M20" s="22"/>
      <c r="N20" s="22"/>
      <c r="O20" s="22"/>
      <c r="P20" s="22"/>
      <c r="Q20" s="22">
        <v>1</v>
      </c>
    </row>
    <row r="21" spans="1:18" customFormat="1" x14ac:dyDescent="0.25">
      <c r="A21" s="22"/>
      <c r="B21" s="22" t="s">
        <v>30</v>
      </c>
      <c r="C21" s="22" t="s">
        <v>1365</v>
      </c>
      <c r="D21" s="22" t="s">
        <v>1366</v>
      </c>
      <c r="E21" s="22" t="s">
        <v>1367</v>
      </c>
      <c r="F21" s="22" t="s">
        <v>94</v>
      </c>
      <c r="G21" s="23">
        <v>820</v>
      </c>
      <c r="H21" s="23">
        <v>30</v>
      </c>
      <c r="I21" s="23">
        <f t="shared" si="0"/>
        <v>790</v>
      </c>
      <c r="J21" s="22" t="s">
        <v>34</v>
      </c>
      <c r="K21" s="22" t="s">
        <v>34</v>
      </c>
      <c r="L21" s="22" t="s">
        <v>1316</v>
      </c>
      <c r="M21" s="22"/>
      <c r="N21" s="22"/>
      <c r="O21" s="22"/>
      <c r="P21" s="22"/>
      <c r="Q21" s="22">
        <v>1</v>
      </c>
    </row>
    <row r="22" spans="1:18" customFormat="1" x14ac:dyDescent="0.25">
      <c r="A22" s="22"/>
      <c r="B22" s="22" t="s">
        <v>30</v>
      </c>
      <c r="C22" s="22" t="s">
        <v>1368</v>
      </c>
      <c r="D22" s="22" t="s">
        <v>1369</v>
      </c>
      <c r="E22" s="22" t="s">
        <v>1370</v>
      </c>
      <c r="F22" s="23">
        <v>2</v>
      </c>
      <c r="G22" s="23">
        <v>990</v>
      </c>
      <c r="H22" s="23">
        <v>30</v>
      </c>
      <c r="I22" s="23">
        <f t="shared" si="0"/>
        <v>960</v>
      </c>
      <c r="J22" s="22" t="s">
        <v>34</v>
      </c>
      <c r="K22" s="22" t="s">
        <v>34</v>
      </c>
      <c r="L22" s="22" t="s">
        <v>1316</v>
      </c>
      <c r="M22" s="22"/>
      <c r="N22" s="22"/>
      <c r="O22" s="22"/>
      <c r="P22" s="22"/>
      <c r="Q22" s="22">
        <v>1</v>
      </c>
    </row>
    <row r="23" spans="1:18" customFormat="1" x14ac:dyDescent="0.25">
      <c r="A23" s="22"/>
      <c r="B23" s="22" t="s">
        <v>30</v>
      </c>
      <c r="C23" s="22" t="s">
        <v>133</v>
      </c>
      <c r="D23" s="22" t="s">
        <v>1371</v>
      </c>
      <c r="E23" s="22" t="s">
        <v>135</v>
      </c>
      <c r="F23" s="22" t="s">
        <v>98</v>
      </c>
      <c r="G23" s="23">
        <v>1770</v>
      </c>
      <c r="H23" s="23">
        <v>20</v>
      </c>
      <c r="I23" s="23">
        <f t="shared" si="0"/>
        <v>1750</v>
      </c>
      <c r="J23" s="22" t="s">
        <v>34</v>
      </c>
      <c r="K23" s="22" t="s">
        <v>34</v>
      </c>
      <c r="L23" s="22" t="s">
        <v>1316</v>
      </c>
      <c r="M23" s="22"/>
      <c r="N23" s="22"/>
      <c r="O23" s="22"/>
      <c r="P23" s="22"/>
      <c r="Q23" s="22">
        <v>1</v>
      </c>
    </row>
    <row r="24" spans="1:18" customFormat="1" x14ac:dyDescent="0.25">
      <c r="A24" s="22"/>
      <c r="B24" s="22" t="s">
        <v>30</v>
      </c>
      <c r="C24" s="22" t="s">
        <v>1372</v>
      </c>
      <c r="D24" s="22" t="s">
        <v>1373</v>
      </c>
      <c r="E24" s="22" t="s">
        <v>489</v>
      </c>
      <c r="F24" s="23">
        <v>12</v>
      </c>
      <c r="G24" s="23">
        <v>0</v>
      </c>
      <c r="H24" s="23">
        <v>30</v>
      </c>
      <c r="I24" s="23">
        <f t="shared" si="0"/>
        <v>-30</v>
      </c>
      <c r="J24" s="22" t="s">
        <v>34</v>
      </c>
      <c r="K24" s="22" t="s">
        <v>34</v>
      </c>
      <c r="L24" s="22" t="s">
        <v>1316</v>
      </c>
      <c r="M24" s="22"/>
      <c r="N24" s="22"/>
      <c r="O24" s="22"/>
      <c r="P24" s="22"/>
      <c r="Q24" s="22">
        <v>1</v>
      </c>
      <c r="R24" s="24">
        <f>H24</f>
        <v>30</v>
      </c>
    </row>
    <row r="25" spans="1:18" customFormat="1" x14ac:dyDescent="0.25">
      <c r="A25" s="22"/>
      <c r="B25" s="22" t="s">
        <v>30</v>
      </c>
      <c r="C25" s="22" t="s">
        <v>1374</v>
      </c>
      <c r="D25" s="22" t="s">
        <v>1375</v>
      </c>
      <c r="E25" s="22" t="s">
        <v>1376</v>
      </c>
      <c r="F25" s="22" t="s">
        <v>94</v>
      </c>
      <c r="G25" s="23">
        <v>880</v>
      </c>
      <c r="H25" s="23">
        <v>30</v>
      </c>
      <c r="I25" s="23">
        <f t="shared" si="0"/>
        <v>850</v>
      </c>
      <c r="J25" s="22" t="s">
        <v>34</v>
      </c>
      <c r="K25" s="22" t="s">
        <v>34</v>
      </c>
      <c r="L25" s="22" t="s">
        <v>1316</v>
      </c>
      <c r="M25" s="22"/>
      <c r="N25" s="22"/>
      <c r="O25" s="22"/>
      <c r="P25" s="22"/>
      <c r="Q25" s="22">
        <v>1</v>
      </c>
    </row>
    <row r="26" spans="1:18" customFormat="1" x14ac:dyDescent="0.25">
      <c r="A26" s="22"/>
      <c r="B26" s="22" t="s">
        <v>30</v>
      </c>
      <c r="C26" s="22" t="s">
        <v>1377</v>
      </c>
      <c r="D26" s="22" t="s">
        <v>1378</v>
      </c>
      <c r="E26" s="22" t="s">
        <v>1379</v>
      </c>
      <c r="F26" s="23">
        <v>12</v>
      </c>
      <c r="G26" s="23">
        <v>880</v>
      </c>
      <c r="H26" s="23">
        <v>30</v>
      </c>
      <c r="I26" s="23">
        <f t="shared" si="0"/>
        <v>850</v>
      </c>
      <c r="J26" s="22" t="s">
        <v>34</v>
      </c>
      <c r="K26" s="22" t="s">
        <v>34</v>
      </c>
      <c r="L26" s="22" t="s">
        <v>1316</v>
      </c>
      <c r="M26" s="22"/>
      <c r="N26" s="22"/>
      <c r="O26" s="22"/>
      <c r="P26" s="22"/>
      <c r="Q26" s="22">
        <v>1</v>
      </c>
    </row>
    <row r="27" spans="1:18" customFormat="1" x14ac:dyDescent="0.25">
      <c r="A27" s="22"/>
      <c r="B27" s="22" t="s">
        <v>30</v>
      </c>
      <c r="C27" s="22" t="s">
        <v>1380</v>
      </c>
      <c r="D27" s="22" t="s">
        <v>1381</v>
      </c>
      <c r="E27" s="22" t="s">
        <v>1382</v>
      </c>
      <c r="F27" s="23">
        <v>2</v>
      </c>
      <c r="G27" s="23">
        <v>820</v>
      </c>
      <c r="H27" s="23">
        <v>30</v>
      </c>
      <c r="I27" s="23">
        <f t="shared" si="0"/>
        <v>790</v>
      </c>
      <c r="J27" s="22" t="s">
        <v>34</v>
      </c>
      <c r="K27" s="22" t="s">
        <v>34</v>
      </c>
      <c r="L27" s="22" t="s">
        <v>1316</v>
      </c>
      <c r="M27" s="22"/>
      <c r="N27" s="22"/>
      <c r="O27" s="22"/>
      <c r="P27" s="22"/>
      <c r="Q27" s="22">
        <v>1</v>
      </c>
    </row>
    <row r="28" spans="1:18" customFormat="1" x14ac:dyDescent="0.25">
      <c r="A28" s="22" t="s">
        <v>29</v>
      </c>
      <c r="B28" s="22" t="s">
        <v>30</v>
      </c>
      <c r="C28" s="22" t="s">
        <v>1383</v>
      </c>
      <c r="D28" s="22"/>
      <c r="E28" s="22" t="s">
        <v>1384</v>
      </c>
      <c r="F28" s="23">
        <v>12</v>
      </c>
      <c r="G28" s="23">
        <v>0</v>
      </c>
      <c r="H28" s="23">
        <v>35</v>
      </c>
      <c r="I28" s="23">
        <f t="shared" si="0"/>
        <v>-35</v>
      </c>
      <c r="J28" s="22" t="s">
        <v>34</v>
      </c>
      <c r="K28" s="22" t="s">
        <v>34</v>
      </c>
      <c r="L28" s="22" t="s">
        <v>1316</v>
      </c>
      <c r="M28" s="22"/>
      <c r="N28" s="22"/>
      <c r="O28" s="22"/>
      <c r="P28" s="22"/>
      <c r="Q28" s="22">
        <v>1</v>
      </c>
      <c r="R28" s="24">
        <f>H28</f>
        <v>35</v>
      </c>
    </row>
    <row r="29" spans="1:18" customFormat="1" x14ac:dyDescent="0.25">
      <c r="A29" s="22" t="s">
        <v>29</v>
      </c>
      <c r="B29" s="22" t="s">
        <v>30</v>
      </c>
      <c r="C29" s="22" t="s">
        <v>140</v>
      </c>
      <c r="D29" s="22"/>
      <c r="E29" s="22" t="s">
        <v>141</v>
      </c>
      <c r="F29" s="22" t="s">
        <v>94</v>
      </c>
      <c r="G29" s="23">
        <v>865</v>
      </c>
      <c r="H29" s="23">
        <v>35</v>
      </c>
      <c r="I29" s="23">
        <f t="shared" si="0"/>
        <v>830</v>
      </c>
      <c r="J29" s="22" t="s">
        <v>34</v>
      </c>
      <c r="K29" s="22" t="s">
        <v>34</v>
      </c>
      <c r="L29" s="22" t="s">
        <v>1316</v>
      </c>
      <c r="M29" s="22"/>
      <c r="N29" s="22"/>
      <c r="O29" s="22"/>
      <c r="P29" s="22"/>
      <c r="Q29" s="22">
        <v>1</v>
      </c>
    </row>
    <row r="30" spans="1:18" customFormat="1" x14ac:dyDescent="0.25">
      <c r="A30" s="22" t="s">
        <v>29</v>
      </c>
      <c r="B30" s="22" t="s">
        <v>30</v>
      </c>
      <c r="C30" s="22" t="s">
        <v>351</v>
      </c>
      <c r="D30" s="22"/>
      <c r="E30" s="22" t="s">
        <v>1385</v>
      </c>
      <c r="F30" s="22" t="s">
        <v>90</v>
      </c>
      <c r="G30" s="23">
        <v>30</v>
      </c>
      <c r="H30" s="23">
        <v>30</v>
      </c>
      <c r="I30" s="23">
        <f t="shared" si="0"/>
        <v>0</v>
      </c>
      <c r="J30" s="22" t="s">
        <v>34</v>
      </c>
      <c r="K30" s="22" t="s">
        <v>34</v>
      </c>
      <c r="L30" s="22" t="s">
        <v>1316</v>
      </c>
      <c r="M30" s="22"/>
      <c r="N30" s="22"/>
      <c r="O30" s="22"/>
      <c r="P30" s="22"/>
      <c r="Q30" s="22">
        <v>1</v>
      </c>
    </row>
    <row r="31" spans="1:18" customFormat="1" x14ac:dyDescent="0.25">
      <c r="A31" s="22" t="s">
        <v>29</v>
      </c>
      <c r="B31" s="22" t="s">
        <v>30</v>
      </c>
      <c r="C31" s="22" t="s">
        <v>353</v>
      </c>
      <c r="D31" s="22"/>
      <c r="E31" s="22" t="s">
        <v>354</v>
      </c>
      <c r="F31" s="22" t="s">
        <v>90</v>
      </c>
      <c r="G31" s="23">
        <v>860</v>
      </c>
      <c r="H31" s="23">
        <v>30</v>
      </c>
      <c r="I31" s="23">
        <f t="shared" si="0"/>
        <v>830</v>
      </c>
      <c r="J31" s="22" t="s">
        <v>34</v>
      </c>
      <c r="K31" s="22" t="s">
        <v>34</v>
      </c>
      <c r="L31" s="22" t="s">
        <v>1316</v>
      </c>
      <c r="M31" s="22"/>
      <c r="N31" s="22"/>
      <c r="O31" s="22"/>
      <c r="P31" s="22"/>
      <c r="Q31" s="22">
        <v>1</v>
      </c>
    </row>
    <row r="32" spans="1:18" customFormat="1" x14ac:dyDescent="0.25">
      <c r="A32" s="22"/>
      <c r="B32" s="22" t="s">
        <v>30</v>
      </c>
      <c r="C32" s="22" t="s">
        <v>1386</v>
      </c>
      <c r="D32" s="22" t="s">
        <v>1387</v>
      </c>
      <c r="E32" s="22" t="s">
        <v>1388</v>
      </c>
      <c r="F32" s="23">
        <v>1</v>
      </c>
      <c r="G32" s="23">
        <v>0</v>
      </c>
      <c r="H32" s="23">
        <v>25</v>
      </c>
      <c r="I32" s="23">
        <f t="shared" si="0"/>
        <v>-25</v>
      </c>
      <c r="J32" s="22" t="s">
        <v>148</v>
      </c>
      <c r="K32" s="22" t="s">
        <v>34</v>
      </c>
      <c r="L32" s="22" t="s">
        <v>1316</v>
      </c>
      <c r="M32" s="28" t="s">
        <v>360</v>
      </c>
      <c r="N32" s="22"/>
      <c r="O32" s="22"/>
      <c r="P32" s="22"/>
      <c r="Q32" s="22">
        <v>1</v>
      </c>
      <c r="R32" s="24">
        <f t="shared" ref="R32:R33" si="1">H32</f>
        <v>25</v>
      </c>
    </row>
    <row r="33" spans="1:18" customFormat="1" x14ac:dyDescent="0.25">
      <c r="A33" s="22"/>
      <c r="B33" s="22" t="s">
        <v>30</v>
      </c>
      <c r="C33" s="22" t="s">
        <v>1386</v>
      </c>
      <c r="D33" s="22" t="s">
        <v>1389</v>
      </c>
      <c r="E33" s="22" t="s">
        <v>1390</v>
      </c>
      <c r="F33" s="23">
        <v>1</v>
      </c>
      <c r="G33" s="23">
        <v>0</v>
      </c>
      <c r="H33" s="23">
        <v>0</v>
      </c>
      <c r="I33" s="23">
        <f t="shared" si="0"/>
        <v>0</v>
      </c>
      <c r="J33" s="22" t="s">
        <v>148</v>
      </c>
      <c r="K33" s="22" t="s">
        <v>34</v>
      </c>
      <c r="L33" s="22" t="s">
        <v>1316</v>
      </c>
      <c r="M33" s="28" t="s">
        <v>360</v>
      </c>
      <c r="N33" s="22"/>
      <c r="O33" s="22"/>
      <c r="P33" s="22"/>
      <c r="Q33" s="22">
        <v>1</v>
      </c>
      <c r="R33" s="24">
        <f t="shared" si="1"/>
        <v>0</v>
      </c>
    </row>
    <row r="34" spans="1:18" customFormat="1" x14ac:dyDescent="0.25">
      <c r="A34" s="22"/>
      <c r="B34" s="22" t="s">
        <v>30</v>
      </c>
      <c r="C34" s="22" t="s">
        <v>1391</v>
      </c>
      <c r="D34" s="22" t="s">
        <v>1392</v>
      </c>
      <c r="E34" s="22" t="s">
        <v>1393</v>
      </c>
      <c r="F34" s="22" t="s">
        <v>389</v>
      </c>
      <c r="G34" s="23">
        <v>780</v>
      </c>
      <c r="H34" s="23">
        <v>20</v>
      </c>
      <c r="I34" s="23">
        <f t="shared" si="0"/>
        <v>760</v>
      </c>
      <c r="J34" s="22" t="s">
        <v>148</v>
      </c>
      <c r="K34" s="22" t="s">
        <v>34</v>
      </c>
      <c r="L34" s="22" t="s">
        <v>1316</v>
      </c>
      <c r="M34" s="22"/>
      <c r="N34" s="22"/>
      <c r="O34" s="22"/>
      <c r="P34" s="22"/>
      <c r="Q34" s="22">
        <v>1</v>
      </c>
    </row>
    <row r="35" spans="1:18" customFormat="1" x14ac:dyDescent="0.25">
      <c r="A35" s="22"/>
      <c r="B35" s="22" t="s">
        <v>30</v>
      </c>
      <c r="C35" s="22" t="s">
        <v>1394</v>
      </c>
      <c r="D35" s="22" t="s">
        <v>1395</v>
      </c>
      <c r="E35" s="22" t="s">
        <v>1396</v>
      </c>
      <c r="F35" s="23">
        <v>1</v>
      </c>
      <c r="G35" s="23">
        <v>755</v>
      </c>
      <c r="H35" s="23">
        <v>25</v>
      </c>
      <c r="I35" s="23">
        <f t="shared" si="0"/>
        <v>730</v>
      </c>
      <c r="J35" s="22" t="s">
        <v>148</v>
      </c>
      <c r="K35" s="22" t="s">
        <v>34</v>
      </c>
      <c r="L35" s="22" t="s">
        <v>1316</v>
      </c>
      <c r="M35" s="22"/>
      <c r="N35" s="22"/>
      <c r="O35" s="22"/>
      <c r="P35" s="22"/>
      <c r="Q35" s="22">
        <v>1</v>
      </c>
    </row>
    <row r="36" spans="1:18" customFormat="1" x14ac:dyDescent="0.25">
      <c r="A36" s="22"/>
      <c r="B36" s="22" t="s">
        <v>30</v>
      </c>
      <c r="C36" s="22" t="s">
        <v>1397</v>
      </c>
      <c r="D36" s="22" t="s">
        <v>1398</v>
      </c>
      <c r="E36" s="22" t="s">
        <v>1399</v>
      </c>
      <c r="F36" s="23">
        <v>4</v>
      </c>
      <c r="G36" s="23">
        <v>985</v>
      </c>
      <c r="H36" s="23">
        <v>25</v>
      </c>
      <c r="I36" s="23">
        <f t="shared" si="0"/>
        <v>960</v>
      </c>
      <c r="J36" s="22" t="s">
        <v>148</v>
      </c>
      <c r="K36" s="22" t="s">
        <v>34</v>
      </c>
      <c r="L36" s="22" t="s">
        <v>1316</v>
      </c>
      <c r="M36" s="22"/>
      <c r="N36" s="22"/>
      <c r="O36" s="22"/>
      <c r="P36" s="22"/>
      <c r="Q36" s="22">
        <v>1</v>
      </c>
    </row>
    <row r="37" spans="1:18" customFormat="1" x14ac:dyDescent="0.25">
      <c r="A37" s="22"/>
      <c r="B37" s="22" t="s">
        <v>30</v>
      </c>
      <c r="C37" s="22" t="s">
        <v>1400</v>
      </c>
      <c r="D37" s="22" t="s">
        <v>1401</v>
      </c>
      <c r="E37" s="22" t="s">
        <v>1402</v>
      </c>
      <c r="F37" s="23">
        <v>1</v>
      </c>
      <c r="G37" s="23">
        <v>925</v>
      </c>
      <c r="H37" s="23">
        <v>25</v>
      </c>
      <c r="I37" s="23">
        <f t="shared" si="0"/>
        <v>900</v>
      </c>
      <c r="J37" s="22" t="s">
        <v>148</v>
      </c>
      <c r="K37" s="22" t="s">
        <v>34</v>
      </c>
      <c r="L37" s="22" t="s">
        <v>1316</v>
      </c>
      <c r="M37" s="22"/>
      <c r="N37" s="22"/>
      <c r="O37" s="22"/>
      <c r="P37" s="22"/>
      <c r="Q37" s="22">
        <v>1</v>
      </c>
    </row>
    <row r="38" spans="1:18" customFormat="1" x14ac:dyDescent="0.25">
      <c r="A38" s="22" t="s">
        <v>29</v>
      </c>
      <c r="B38" s="22" t="s">
        <v>30</v>
      </c>
      <c r="C38" s="22" t="s">
        <v>494</v>
      </c>
      <c r="D38" s="22"/>
      <c r="E38" s="22" t="s">
        <v>495</v>
      </c>
      <c r="F38" s="22" t="s">
        <v>389</v>
      </c>
      <c r="G38" s="23">
        <v>25</v>
      </c>
      <c r="H38" s="23">
        <v>25</v>
      </c>
      <c r="I38" s="23">
        <f t="shared" si="0"/>
        <v>0</v>
      </c>
      <c r="J38" s="22" t="s">
        <v>148</v>
      </c>
      <c r="K38" s="22" t="s">
        <v>34</v>
      </c>
      <c r="L38" s="22" t="s">
        <v>1316</v>
      </c>
      <c r="M38" s="22"/>
      <c r="N38" s="22"/>
      <c r="O38" s="22"/>
      <c r="P38" s="22"/>
      <c r="Q38" s="22">
        <v>1</v>
      </c>
    </row>
    <row r="39" spans="1:18" customFormat="1" x14ac:dyDescent="0.25">
      <c r="A39" s="22" t="s">
        <v>29</v>
      </c>
      <c r="B39" s="22" t="s">
        <v>30</v>
      </c>
      <c r="C39" s="22" t="s">
        <v>1403</v>
      </c>
      <c r="D39" s="22"/>
      <c r="E39" s="22" t="s">
        <v>1029</v>
      </c>
      <c r="F39" s="23">
        <v>5</v>
      </c>
      <c r="G39" s="23">
        <v>0</v>
      </c>
      <c r="H39" s="23">
        <v>30</v>
      </c>
      <c r="I39" s="23">
        <f t="shared" si="0"/>
        <v>-30</v>
      </c>
      <c r="J39" s="22" t="s">
        <v>148</v>
      </c>
      <c r="K39" s="22" t="s">
        <v>34</v>
      </c>
      <c r="L39" s="22" t="s">
        <v>1316</v>
      </c>
      <c r="M39" s="22"/>
      <c r="N39" s="22"/>
      <c r="O39" s="22"/>
      <c r="P39" s="22"/>
      <c r="Q39" s="22">
        <v>1</v>
      </c>
      <c r="R39" s="24">
        <f>H39</f>
        <v>30</v>
      </c>
    </row>
    <row r="41" spans="1:18" x14ac:dyDescent="0.25">
      <c r="G41" s="1">
        <f t="shared" ref="G41:R41" si="2">SUBTOTAL(9,G3:G40)</f>
        <v>22630</v>
      </c>
      <c r="H41" s="1">
        <f t="shared" si="2"/>
        <v>950</v>
      </c>
      <c r="I41" s="1">
        <f t="shared" si="2"/>
        <v>21680</v>
      </c>
      <c r="J41" s="1">
        <f t="shared" si="2"/>
        <v>0</v>
      </c>
      <c r="K41" s="1">
        <f t="shared" si="2"/>
        <v>0</v>
      </c>
      <c r="L41" s="1">
        <f t="shared" si="2"/>
        <v>0</v>
      </c>
      <c r="M41" s="1">
        <f t="shared" si="2"/>
        <v>0</v>
      </c>
      <c r="N41" s="1">
        <f t="shared" si="2"/>
        <v>0</v>
      </c>
      <c r="O41" s="1">
        <f t="shared" si="2"/>
        <v>0</v>
      </c>
      <c r="P41" s="1">
        <f t="shared" si="2"/>
        <v>0</v>
      </c>
      <c r="Q41" s="1">
        <f t="shared" si="2"/>
        <v>37</v>
      </c>
      <c r="R41" s="1">
        <f t="shared" si="2"/>
        <v>265</v>
      </c>
    </row>
    <row r="42" spans="1:18" x14ac:dyDescent="0.25">
      <c r="I42" s="1">
        <v>-870</v>
      </c>
      <c r="J42" s="1" t="s">
        <v>622</v>
      </c>
    </row>
    <row r="43" spans="1:18" x14ac:dyDescent="0.25">
      <c r="I43" s="1">
        <v>-2010</v>
      </c>
      <c r="J43" s="1" t="s">
        <v>1409</v>
      </c>
    </row>
    <row r="45" spans="1:18" ht="20.25" customHeight="1" x14ac:dyDescent="0.3">
      <c r="H45" s="4" t="s">
        <v>1218</v>
      </c>
      <c r="I45" s="5" t="s">
        <v>15</v>
      </c>
      <c r="J45" s="6" t="s">
        <v>16</v>
      </c>
    </row>
    <row r="46" spans="1:18" ht="15.75" customHeight="1" x14ac:dyDescent="0.25">
      <c r="H46" s="7" t="s">
        <v>17</v>
      </c>
      <c r="I46" s="8">
        <f>SUM(I40:I44)</f>
        <v>18800</v>
      </c>
      <c r="J46" s="8">
        <f>Q41</f>
        <v>37</v>
      </c>
    </row>
    <row r="47" spans="1:18" x14ac:dyDescent="0.25">
      <c r="H47" s="9" t="s">
        <v>18</v>
      </c>
      <c r="I47" s="10">
        <f>R41</f>
        <v>265</v>
      </c>
      <c r="J47" s="11"/>
    </row>
    <row r="48" spans="1:18" x14ac:dyDescent="0.25">
      <c r="H48" s="9" t="s">
        <v>19</v>
      </c>
      <c r="I48" s="10">
        <f>S40</f>
        <v>0</v>
      </c>
      <c r="J48" s="11"/>
    </row>
    <row r="49" spans="1:12" x14ac:dyDescent="0.25">
      <c r="H49" s="9" t="s">
        <v>20</v>
      </c>
      <c r="I49" s="10">
        <f>T40</f>
        <v>0</v>
      </c>
      <c r="J49" s="11"/>
    </row>
    <row r="50" spans="1:12" x14ac:dyDescent="0.25">
      <c r="H50" s="9" t="s">
        <v>21</v>
      </c>
      <c r="I50" s="10">
        <f>U40</f>
        <v>0</v>
      </c>
      <c r="J50" s="11"/>
    </row>
    <row r="51" spans="1:12" ht="15.75" customHeight="1" x14ac:dyDescent="0.25">
      <c r="H51" s="12" t="s">
        <v>22</v>
      </c>
      <c r="I51" s="13"/>
      <c r="J51" s="13"/>
    </row>
    <row r="52" spans="1:12" ht="15.75" customHeight="1" x14ac:dyDescent="0.25">
      <c r="H52" s="14" t="s">
        <v>23</v>
      </c>
      <c r="I52" s="13"/>
      <c r="J52" s="13"/>
    </row>
    <row r="53" spans="1:12" ht="21" customHeight="1" x14ac:dyDescent="0.35">
      <c r="H53" s="15" t="s">
        <v>24</v>
      </c>
      <c r="I53" s="16">
        <f>SUM(I46:I52)</f>
        <v>19065</v>
      </c>
      <c r="J53" s="16">
        <f>SUM(J46:J50)</f>
        <v>37</v>
      </c>
    </row>
    <row r="55" spans="1:12" x14ac:dyDescent="0.25">
      <c r="A55" s="1" t="s">
        <v>800</v>
      </c>
    </row>
    <row r="56" spans="1:12" x14ac:dyDescent="0.25">
      <c r="A56" s="36" t="s">
        <v>30</v>
      </c>
      <c r="B56" s="36" t="s">
        <v>1312</v>
      </c>
      <c r="C56" s="36" t="s">
        <v>1313</v>
      </c>
      <c r="D56" s="36" t="s">
        <v>1314</v>
      </c>
      <c r="E56" s="37" t="s">
        <v>39</v>
      </c>
      <c r="F56" s="37">
        <v>4210</v>
      </c>
      <c r="G56" s="37">
        <v>0</v>
      </c>
      <c r="H56" s="37">
        <f>F56-G56</f>
        <v>4210</v>
      </c>
      <c r="I56" s="36" t="s">
        <v>1315</v>
      </c>
      <c r="J56" s="36" t="s">
        <v>34</v>
      </c>
      <c r="K56" s="36" t="s">
        <v>1316</v>
      </c>
      <c r="L56" s="28" t="s">
        <v>1317</v>
      </c>
    </row>
    <row r="57" spans="1:12" x14ac:dyDescent="0.25">
      <c r="A57" s="36" t="s">
        <v>30</v>
      </c>
      <c r="B57" s="36" t="s">
        <v>1341</v>
      </c>
      <c r="C57" s="36" t="s">
        <v>1342</v>
      </c>
      <c r="D57" s="36" t="s">
        <v>1343</v>
      </c>
      <c r="E57" s="37">
        <v>8</v>
      </c>
      <c r="F57" s="37">
        <v>1820</v>
      </c>
      <c r="G57" s="37">
        <v>0</v>
      </c>
      <c r="H57" s="37">
        <f>F57-G57</f>
        <v>1820</v>
      </c>
      <c r="I57" s="36" t="s">
        <v>1315</v>
      </c>
      <c r="J57" s="36" t="s">
        <v>34</v>
      </c>
      <c r="K57" s="36" t="s">
        <v>1316</v>
      </c>
      <c r="L57" s="28" t="s">
        <v>1344</v>
      </c>
    </row>
    <row r="58" spans="1:12" x14ac:dyDescent="0.25">
      <c r="A58" s="1" t="s">
        <v>622</v>
      </c>
    </row>
    <row r="59" spans="1:12" x14ac:dyDescent="0.25">
      <c r="A59" s="36" t="s">
        <v>30</v>
      </c>
      <c r="B59" s="36" t="s">
        <v>1404</v>
      </c>
      <c r="C59" s="36" t="s">
        <v>1405</v>
      </c>
      <c r="D59" s="36" t="s">
        <v>1406</v>
      </c>
      <c r="E59" s="37">
        <v>7</v>
      </c>
      <c r="F59" s="37">
        <v>870</v>
      </c>
      <c r="G59" s="37">
        <v>0</v>
      </c>
      <c r="H59" s="37">
        <f>F59-G59</f>
        <v>870</v>
      </c>
      <c r="I59" s="36" t="s">
        <v>623</v>
      </c>
      <c r="J59" s="36" t="s">
        <v>34</v>
      </c>
      <c r="K59" s="36" t="s">
        <v>1407</v>
      </c>
      <c r="L59" s="28" t="s">
        <v>1408</v>
      </c>
    </row>
  </sheetData>
  <autoFilter ref="A2:P39" xr:uid="{00000000-0009-0000-0000-000006000000}">
    <sortState xmlns:xlrd2="http://schemas.microsoft.com/office/spreadsheetml/2017/richdata2" ref="A3:P39">
      <sortCondition ref="J2:J39"/>
    </sortState>
  </autoFilter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5709-E28D-4489-882A-82DB7E97D411}">
  <dimension ref="A1:R55"/>
  <sheetViews>
    <sheetView topLeftCell="A28" zoomScale="82" zoomScaleNormal="80" workbookViewId="0">
      <selection activeCell="E37" sqref="E37"/>
    </sheetView>
  </sheetViews>
  <sheetFormatPr defaultRowHeight="15" x14ac:dyDescent="0.25"/>
  <cols>
    <col min="1" max="2" width="9.140625" style="1"/>
    <col min="3" max="3" width="43.2851562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205</v>
      </c>
      <c r="C1" s="1" t="s">
        <v>1310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22"/>
      <c r="B3" s="22" t="s">
        <v>30</v>
      </c>
      <c r="C3" s="22" t="s">
        <v>1412</v>
      </c>
      <c r="D3" s="22" t="s">
        <v>1413</v>
      </c>
      <c r="E3" s="22" t="s">
        <v>1414</v>
      </c>
      <c r="F3" s="23">
        <v>9</v>
      </c>
      <c r="G3" s="23">
        <v>850</v>
      </c>
      <c r="H3" s="23">
        <v>30</v>
      </c>
      <c r="I3" s="23">
        <f t="shared" ref="I3:I41" si="0">G3-H3</f>
        <v>820</v>
      </c>
      <c r="J3" s="22" t="s">
        <v>33</v>
      </c>
      <c r="K3" s="22" t="s">
        <v>34</v>
      </c>
      <c r="L3" s="22" t="s">
        <v>1415</v>
      </c>
      <c r="M3" s="22"/>
      <c r="N3" s="22"/>
      <c r="O3" s="22"/>
      <c r="P3" s="22"/>
      <c r="Q3" s="22">
        <v>1</v>
      </c>
    </row>
    <row r="4" spans="1:18" customFormat="1" x14ac:dyDescent="0.25">
      <c r="A4" s="22"/>
      <c r="B4" s="22" t="s">
        <v>30</v>
      </c>
      <c r="C4" s="22" t="s">
        <v>1416</v>
      </c>
      <c r="D4" s="22" t="s">
        <v>1417</v>
      </c>
      <c r="E4" s="22" t="s">
        <v>1418</v>
      </c>
      <c r="F4" s="23">
        <v>9</v>
      </c>
      <c r="G4" s="23">
        <v>600</v>
      </c>
      <c r="H4" s="23">
        <v>30</v>
      </c>
      <c r="I4" s="23">
        <f t="shared" si="0"/>
        <v>570</v>
      </c>
      <c r="J4" s="22" t="s">
        <v>33</v>
      </c>
      <c r="K4" s="22" t="s">
        <v>34</v>
      </c>
      <c r="L4" s="22" t="s">
        <v>1415</v>
      </c>
      <c r="M4" s="22"/>
      <c r="N4" s="22"/>
      <c r="O4" s="22"/>
      <c r="P4" s="22"/>
      <c r="Q4" s="22">
        <v>1</v>
      </c>
    </row>
    <row r="5" spans="1:18" customFormat="1" x14ac:dyDescent="0.25">
      <c r="A5" s="22" t="s">
        <v>29</v>
      </c>
      <c r="B5" s="22" t="s">
        <v>30</v>
      </c>
      <c r="C5" s="22" t="s">
        <v>864</v>
      </c>
      <c r="D5" s="22"/>
      <c r="E5" s="22" t="s">
        <v>626</v>
      </c>
      <c r="F5" s="23">
        <v>6</v>
      </c>
      <c r="G5" s="23">
        <v>0</v>
      </c>
      <c r="H5" s="23">
        <v>30</v>
      </c>
      <c r="I5" s="23">
        <f t="shared" si="0"/>
        <v>-30</v>
      </c>
      <c r="J5" s="22" t="s">
        <v>1419</v>
      </c>
      <c r="K5" s="22" t="s">
        <v>34</v>
      </c>
      <c r="L5" s="22" t="s">
        <v>1415</v>
      </c>
      <c r="M5" s="22"/>
      <c r="N5" s="22"/>
      <c r="O5" s="22"/>
      <c r="P5" s="22"/>
      <c r="Q5" s="22">
        <v>1</v>
      </c>
      <c r="R5" s="24">
        <f>H5</f>
        <v>30</v>
      </c>
    </row>
    <row r="6" spans="1:18" s="27" customFormat="1" x14ac:dyDescent="0.25">
      <c r="A6" s="25"/>
      <c r="B6" s="25" t="s">
        <v>30</v>
      </c>
      <c r="C6" s="25" t="s">
        <v>1341</v>
      </c>
      <c r="D6" s="25" t="s">
        <v>1420</v>
      </c>
      <c r="E6" s="25" t="s">
        <v>1343</v>
      </c>
      <c r="F6" s="26">
        <v>8</v>
      </c>
      <c r="G6" s="26">
        <v>380</v>
      </c>
      <c r="H6" s="26">
        <v>30</v>
      </c>
      <c r="I6" s="26">
        <f t="shared" si="0"/>
        <v>350</v>
      </c>
      <c r="J6" s="25" t="s">
        <v>1419</v>
      </c>
      <c r="K6" s="25" t="s">
        <v>34</v>
      </c>
      <c r="L6" s="25" t="s">
        <v>1415</v>
      </c>
      <c r="M6" s="25" t="s">
        <v>139</v>
      </c>
      <c r="N6" s="25"/>
      <c r="O6" s="25"/>
      <c r="P6" s="25"/>
      <c r="Q6" s="25">
        <v>1</v>
      </c>
    </row>
    <row r="7" spans="1:18" customFormat="1" x14ac:dyDescent="0.25">
      <c r="A7" s="22"/>
      <c r="B7" s="22" t="s">
        <v>30</v>
      </c>
      <c r="C7" s="22" t="s">
        <v>1421</v>
      </c>
      <c r="D7" s="22" t="s">
        <v>1422</v>
      </c>
      <c r="E7" s="22" t="s">
        <v>736</v>
      </c>
      <c r="F7" s="22" t="s">
        <v>39</v>
      </c>
      <c r="G7" s="23">
        <v>0</v>
      </c>
      <c r="H7" s="23">
        <v>30</v>
      </c>
      <c r="I7" s="23">
        <f t="shared" si="0"/>
        <v>-30</v>
      </c>
      <c r="J7" s="22" t="s">
        <v>1419</v>
      </c>
      <c r="K7" s="22" t="s">
        <v>34</v>
      </c>
      <c r="L7" s="22" t="s">
        <v>1415</v>
      </c>
      <c r="M7" s="22"/>
      <c r="N7" s="22"/>
      <c r="O7" s="22"/>
      <c r="P7" s="22"/>
      <c r="Q7" s="22">
        <v>1</v>
      </c>
      <c r="R7" s="24">
        <f t="shared" ref="R7:R12" si="1">H7</f>
        <v>30</v>
      </c>
    </row>
    <row r="8" spans="1:18" customFormat="1" x14ac:dyDescent="0.25">
      <c r="A8" s="22"/>
      <c r="B8" s="22" t="s">
        <v>30</v>
      </c>
      <c r="C8" s="22" t="s">
        <v>1053</v>
      </c>
      <c r="D8" s="22" t="s">
        <v>1423</v>
      </c>
      <c r="E8" s="22" t="s">
        <v>1055</v>
      </c>
      <c r="F8" s="22" t="s">
        <v>39</v>
      </c>
      <c r="G8" s="23">
        <v>0</v>
      </c>
      <c r="H8" s="23">
        <v>30</v>
      </c>
      <c r="I8" s="23">
        <f t="shared" si="0"/>
        <v>-30</v>
      </c>
      <c r="J8" s="22" t="s">
        <v>1419</v>
      </c>
      <c r="K8" s="22" t="s">
        <v>34</v>
      </c>
      <c r="L8" s="22" t="s">
        <v>1415</v>
      </c>
      <c r="M8" s="22"/>
      <c r="N8" s="22"/>
      <c r="O8" s="22"/>
      <c r="P8" s="22"/>
      <c r="Q8" s="22">
        <v>1</v>
      </c>
      <c r="R8" s="24">
        <f t="shared" si="1"/>
        <v>30</v>
      </c>
    </row>
    <row r="9" spans="1:18" customFormat="1" x14ac:dyDescent="0.25">
      <c r="A9" s="22"/>
      <c r="B9" s="22" t="s">
        <v>30</v>
      </c>
      <c r="C9" s="22" t="s">
        <v>1424</v>
      </c>
      <c r="D9" s="22" t="s">
        <v>1425</v>
      </c>
      <c r="E9" s="22" t="s">
        <v>1426</v>
      </c>
      <c r="F9" s="23">
        <v>7</v>
      </c>
      <c r="G9" s="23">
        <v>0</v>
      </c>
      <c r="H9" s="23">
        <v>30</v>
      </c>
      <c r="I9" s="23">
        <f t="shared" si="0"/>
        <v>-30</v>
      </c>
      <c r="J9" s="22" t="s">
        <v>1419</v>
      </c>
      <c r="K9" s="22" t="s">
        <v>34</v>
      </c>
      <c r="L9" s="22" t="s">
        <v>1415</v>
      </c>
      <c r="M9" s="22"/>
      <c r="N9" s="22"/>
      <c r="O9" s="22"/>
      <c r="P9" s="22"/>
      <c r="Q9" s="22">
        <v>1</v>
      </c>
      <c r="R9" s="24">
        <f t="shared" si="1"/>
        <v>30</v>
      </c>
    </row>
    <row r="10" spans="1:18" customFormat="1" x14ac:dyDescent="0.25">
      <c r="A10" s="22"/>
      <c r="B10" s="22" t="s">
        <v>30</v>
      </c>
      <c r="C10" s="22" t="s">
        <v>1427</v>
      </c>
      <c r="D10" s="22" t="s">
        <v>1428</v>
      </c>
      <c r="E10" s="22" t="s">
        <v>626</v>
      </c>
      <c r="F10" s="23">
        <v>6</v>
      </c>
      <c r="G10" s="23">
        <v>0</v>
      </c>
      <c r="H10" s="23">
        <v>25</v>
      </c>
      <c r="I10" s="23">
        <f t="shared" si="0"/>
        <v>-25</v>
      </c>
      <c r="J10" s="22" t="s">
        <v>1419</v>
      </c>
      <c r="K10" s="22" t="s">
        <v>34</v>
      </c>
      <c r="L10" s="22" t="s">
        <v>1415</v>
      </c>
      <c r="M10" s="22"/>
      <c r="N10" s="22"/>
      <c r="O10" s="22"/>
      <c r="P10" s="22"/>
      <c r="Q10" s="22">
        <v>1</v>
      </c>
      <c r="R10" s="24">
        <f t="shared" si="1"/>
        <v>25</v>
      </c>
    </row>
    <row r="11" spans="1:18" customFormat="1" x14ac:dyDescent="0.25">
      <c r="A11" s="22"/>
      <c r="B11" s="22" t="s">
        <v>30</v>
      </c>
      <c r="C11" s="22" t="s">
        <v>1429</v>
      </c>
      <c r="D11" s="22" t="s">
        <v>1430</v>
      </c>
      <c r="E11" s="22" t="s">
        <v>1431</v>
      </c>
      <c r="F11" s="22" t="s">
        <v>39</v>
      </c>
      <c r="G11" s="23">
        <v>0</v>
      </c>
      <c r="H11" s="23">
        <v>30</v>
      </c>
      <c r="I11" s="23">
        <f t="shared" si="0"/>
        <v>-30</v>
      </c>
      <c r="J11" s="22" t="s">
        <v>1419</v>
      </c>
      <c r="K11" s="22" t="s">
        <v>34</v>
      </c>
      <c r="L11" s="22" t="s">
        <v>1415</v>
      </c>
      <c r="M11" s="22"/>
      <c r="N11" s="22"/>
      <c r="O11" s="22"/>
      <c r="P11" s="22"/>
      <c r="Q11" s="22">
        <v>1</v>
      </c>
      <c r="R11" s="24">
        <f t="shared" si="1"/>
        <v>30</v>
      </c>
    </row>
    <row r="12" spans="1:18" customFormat="1" x14ac:dyDescent="0.25">
      <c r="A12" s="22"/>
      <c r="B12" s="22" t="s">
        <v>30</v>
      </c>
      <c r="C12" s="22" t="s">
        <v>1432</v>
      </c>
      <c r="D12" s="22" t="s">
        <v>1433</v>
      </c>
      <c r="E12" s="22" t="s">
        <v>1434</v>
      </c>
      <c r="F12" s="22" t="s">
        <v>39</v>
      </c>
      <c r="G12" s="23">
        <v>0</v>
      </c>
      <c r="H12" s="23">
        <v>30</v>
      </c>
      <c r="I12" s="23">
        <f t="shared" si="0"/>
        <v>-30</v>
      </c>
      <c r="J12" s="22" t="s">
        <v>1419</v>
      </c>
      <c r="K12" s="22" t="s">
        <v>34</v>
      </c>
      <c r="L12" s="22" t="s">
        <v>1415</v>
      </c>
      <c r="M12" s="22"/>
      <c r="N12" s="22"/>
      <c r="O12" s="22"/>
      <c r="P12" s="22"/>
      <c r="Q12" s="22">
        <v>1</v>
      </c>
      <c r="R12" s="24">
        <f t="shared" si="1"/>
        <v>30</v>
      </c>
    </row>
    <row r="13" spans="1:18" s="27" customFormat="1" x14ac:dyDescent="0.25">
      <c r="A13" s="25"/>
      <c r="B13" s="25" t="s">
        <v>30</v>
      </c>
      <c r="C13" s="25" t="s">
        <v>1435</v>
      </c>
      <c r="D13" s="25"/>
      <c r="E13" s="25" t="s">
        <v>1436</v>
      </c>
      <c r="F13" s="25" t="s">
        <v>152</v>
      </c>
      <c r="G13" s="26">
        <v>0</v>
      </c>
      <c r="H13" s="26">
        <v>35</v>
      </c>
      <c r="I13" s="26">
        <f t="shared" si="0"/>
        <v>-35</v>
      </c>
      <c r="J13" s="25" t="s">
        <v>1419</v>
      </c>
      <c r="K13" s="25" t="s">
        <v>34</v>
      </c>
      <c r="L13" s="25" t="s">
        <v>1415</v>
      </c>
      <c r="M13" s="25" t="s">
        <v>139</v>
      </c>
      <c r="N13" s="25"/>
      <c r="O13" s="25"/>
      <c r="P13" s="25"/>
      <c r="Q13" s="25">
        <v>1</v>
      </c>
      <c r="R13" s="31">
        <f>H13</f>
        <v>35</v>
      </c>
    </row>
    <row r="14" spans="1:18" customFormat="1" x14ac:dyDescent="0.25">
      <c r="A14" s="22"/>
      <c r="B14" s="22" t="s">
        <v>30</v>
      </c>
      <c r="C14" s="22" t="s">
        <v>1272</v>
      </c>
      <c r="D14" s="22" t="s">
        <v>1437</v>
      </c>
      <c r="E14" s="22" t="s">
        <v>1438</v>
      </c>
      <c r="F14" s="23">
        <v>8</v>
      </c>
      <c r="G14" s="23">
        <v>980</v>
      </c>
      <c r="H14" s="23">
        <v>30</v>
      </c>
      <c r="I14" s="23">
        <f t="shared" si="0"/>
        <v>950</v>
      </c>
      <c r="J14" s="22" t="s">
        <v>1419</v>
      </c>
      <c r="K14" s="22" t="s">
        <v>34</v>
      </c>
      <c r="L14" s="22" t="s">
        <v>1415</v>
      </c>
      <c r="M14" s="22"/>
      <c r="N14" s="22"/>
      <c r="O14" s="22"/>
      <c r="P14" s="22"/>
      <c r="Q14" s="22">
        <v>1</v>
      </c>
    </row>
    <row r="15" spans="1:18" customFormat="1" x14ac:dyDescent="0.25">
      <c r="A15" s="22"/>
      <c r="B15" s="22" t="s">
        <v>30</v>
      </c>
      <c r="C15" s="22" t="s">
        <v>1439</v>
      </c>
      <c r="D15" s="22" t="s">
        <v>1440</v>
      </c>
      <c r="E15" s="22" t="s">
        <v>1441</v>
      </c>
      <c r="F15" s="23">
        <v>8</v>
      </c>
      <c r="G15" s="23">
        <v>380</v>
      </c>
      <c r="H15" s="23">
        <v>30</v>
      </c>
      <c r="I15" s="23">
        <f t="shared" si="0"/>
        <v>350</v>
      </c>
      <c r="J15" s="22" t="s">
        <v>1419</v>
      </c>
      <c r="K15" s="22" t="s">
        <v>34</v>
      </c>
      <c r="L15" s="22" t="s">
        <v>1415</v>
      </c>
      <c r="M15" s="22"/>
      <c r="N15" s="22"/>
      <c r="O15" s="22"/>
      <c r="P15" s="22"/>
      <c r="Q15" s="22">
        <v>1</v>
      </c>
    </row>
    <row r="16" spans="1:18" customFormat="1" x14ac:dyDescent="0.25">
      <c r="A16" s="22"/>
      <c r="B16" s="22" t="s">
        <v>30</v>
      </c>
      <c r="C16" s="22" t="s">
        <v>1442</v>
      </c>
      <c r="D16" s="22" t="s">
        <v>1443</v>
      </c>
      <c r="E16" s="22" t="s">
        <v>1444</v>
      </c>
      <c r="F16" s="22" t="s">
        <v>152</v>
      </c>
      <c r="G16" s="23">
        <v>695</v>
      </c>
      <c r="H16" s="23">
        <v>35</v>
      </c>
      <c r="I16" s="23">
        <f t="shared" si="0"/>
        <v>660</v>
      </c>
      <c r="J16" s="22" t="s">
        <v>1419</v>
      </c>
      <c r="K16" s="22" t="s">
        <v>34</v>
      </c>
      <c r="L16" s="22" t="s">
        <v>1415</v>
      </c>
      <c r="M16" s="28" t="s">
        <v>360</v>
      </c>
      <c r="N16" s="22"/>
      <c r="O16" s="22"/>
      <c r="P16" s="22"/>
      <c r="Q16" s="22">
        <v>1</v>
      </c>
    </row>
    <row r="17" spans="1:18" customFormat="1" x14ac:dyDescent="0.25">
      <c r="A17" s="22"/>
      <c r="B17" s="22" t="s">
        <v>30</v>
      </c>
      <c r="C17" s="22" t="s">
        <v>1445</v>
      </c>
      <c r="D17" s="22" t="s">
        <v>1446</v>
      </c>
      <c r="E17" s="22" t="s">
        <v>1447</v>
      </c>
      <c r="F17" s="22" t="s">
        <v>152</v>
      </c>
      <c r="G17" s="23">
        <v>820</v>
      </c>
      <c r="H17" s="23">
        <v>0</v>
      </c>
      <c r="I17" s="23">
        <f t="shared" si="0"/>
        <v>820</v>
      </c>
      <c r="J17" s="22" t="s">
        <v>1419</v>
      </c>
      <c r="K17" s="22" t="s">
        <v>34</v>
      </c>
      <c r="L17" s="22" t="s">
        <v>1415</v>
      </c>
      <c r="M17" s="28" t="s">
        <v>360</v>
      </c>
      <c r="N17" s="22"/>
      <c r="O17" s="22"/>
      <c r="P17" s="22"/>
      <c r="Q17" s="22">
        <v>1</v>
      </c>
    </row>
    <row r="18" spans="1:18" customFormat="1" x14ac:dyDescent="0.25">
      <c r="A18" s="22"/>
      <c r="B18" s="22" t="s">
        <v>30</v>
      </c>
      <c r="C18" s="22" t="s">
        <v>1448</v>
      </c>
      <c r="D18" s="22" t="s">
        <v>1449</v>
      </c>
      <c r="E18" s="22" t="s">
        <v>1450</v>
      </c>
      <c r="F18" s="23">
        <v>7</v>
      </c>
      <c r="G18" s="23">
        <v>980</v>
      </c>
      <c r="H18" s="23">
        <v>30</v>
      </c>
      <c r="I18" s="23">
        <f t="shared" si="0"/>
        <v>950</v>
      </c>
      <c r="J18" s="22" t="s">
        <v>1419</v>
      </c>
      <c r="K18" s="22" t="s">
        <v>34</v>
      </c>
      <c r="L18" s="22" t="s">
        <v>1415</v>
      </c>
      <c r="M18" s="22"/>
      <c r="N18" s="22"/>
      <c r="O18" s="22"/>
      <c r="P18" s="22"/>
      <c r="Q18" s="22">
        <v>1</v>
      </c>
    </row>
    <row r="19" spans="1:18" customFormat="1" x14ac:dyDescent="0.25">
      <c r="A19" s="22"/>
      <c r="B19" s="22" t="s">
        <v>30</v>
      </c>
      <c r="C19" s="22" t="s">
        <v>1451</v>
      </c>
      <c r="D19" s="22" t="s">
        <v>1452</v>
      </c>
      <c r="E19" s="22" t="s">
        <v>1453</v>
      </c>
      <c r="F19" s="23">
        <v>11</v>
      </c>
      <c r="G19" s="23">
        <v>985</v>
      </c>
      <c r="H19" s="23">
        <v>25</v>
      </c>
      <c r="I19" s="23">
        <f t="shared" si="0"/>
        <v>960</v>
      </c>
      <c r="J19" s="22" t="s">
        <v>1419</v>
      </c>
      <c r="K19" s="22" t="s">
        <v>34</v>
      </c>
      <c r="L19" s="22" t="s">
        <v>1415</v>
      </c>
      <c r="M19" s="22"/>
      <c r="N19" s="22"/>
      <c r="O19" s="22"/>
      <c r="P19" s="22"/>
      <c r="Q19" s="22">
        <v>1</v>
      </c>
    </row>
    <row r="20" spans="1:18" customFormat="1" x14ac:dyDescent="0.25">
      <c r="A20" s="22" t="s">
        <v>29</v>
      </c>
      <c r="B20" s="22" t="s">
        <v>30</v>
      </c>
      <c r="C20" s="22" t="s">
        <v>1454</v>
      </c>
      <c r="D20" s="22"/>
      <c r="E20" s="22" t="s">
        <v>253</v>
      </c>
      <c r="F20" s="23">
        <v>12</v>
      </c>
      <c r="G20" s="23">
        <v>0</v>
      </c>
      <c r="H20" s="23">
        <v>60</v>
      </c>
      <c r="I20" s="23">
        <f t="shared" si="0"/>
        <v>-60</v>
      </c>
      <c r="J20" s="22" t="s">
        <v>34</v>
      </c>
      <c r="K20" s="22" t="s">
        <v>34</v>
      </c>
      <c r="L20" s="22" t="s">
        <v>1415</v>
      </c>
      <c r="M20" s="22"/>
      <c r="N20" s="22"/>
      <c r="O20" s="22"/>
      <c r="P20" s="22"/>
      <c r="Q20" s="22">
        <v>1</v>
      </c>
      <c r="R20" s="24">
        <f>H20</f>
        <v>60</v>
      </c>
    </row>
    <row r="21" spans="1:18" customFormat="1" x14ac:dyDescent="0.25">
      <c r="A21" s="22" t="s">
        <v>29</v>
      </c>
      <c r="B21" s="22" t="s">
        <v>30</v>
      </c>
      <c r="C21" s="22" t="s">
        <v>351</v>
      </c>
      <c r="D21" s="22"/>
      <c r="E21" s="22" t="s">
        <v>352</v>
      </c>
      <c r="F21" s="22" t="s">
        <v>90</v>
      </c>
      <c r="G21" s="23">
        <v>30</v>
      </c>
      <c r="H21" s="23">
        <v>30</v>
      </c>
      <c r="I21" s="23">
        <f t="shared" si="0"/>
        <v>0</v>
      </c>
      <c r="J21" s="22" t="s">
        <v>34</v>
      </c>
      <c r="K21" s="22" t="s">
        <v>34</v>
      </c>
      <c r="L21" s="22" t="s">
        <v>1415</v>
      </c>
      <c r="M21" s="22"/>
      <c r="N21" s="22"/>
      <c r="O21" s="22"/>
      <c r="P21" s="22"/>
      <c r="Q21" s="22">
        <v>1</v>
      </c>
    </row>
    <row r="22" spans="1:18" customFormat="1" x14ac:dyDescent="0.25">
      <c r="A22" s="22" t="s">
        <v>29</v>
      </c>
      <c r="B22" s="22" t="s">
        <v>30</v>
      </c>
      <c r="C22" s="22" t="s">
        <v>1383</v>
      </c>
      <c r="D22" s="22"/>
      <c r="E22" s="22" t="s">
        <v>1384</v>
      </c>
      <c r="F22" s="23">
        <v>12</v>
      </c>
      <c r="G22" s="23">
        <v>595</v>
      </c>
      <c r="H22" s="23">
        <v>35</v>
      </c>
      <c r="I22" s="23">
        <f t="shared" si="0"/>
        <v>560</v>
      </c>
      <c r="J22" s="22" t="s">
        <v>34</v>
      </c>
      <c r="K22" s="22" t="s">
        <v>34</v>
      </c>
      <c r="L22" s="22" t="s">
        <v>1415</v>
      </c>
      <c r="M22" s="22"/>
      <c r="N22" s="22"/>
      <c r="O22" s="22"/>
      <c r="P22" s="22"/>
      <c r="Q22" s="22">
        <v>1</v>
      </c>
    </row>
    <row r="23" spans="1:18" customFormat="1" x14ac:dyDescent="0.25">
      <c r="A23" s="22"/>
      <c r="B23" s="22" t="s">
        <v>30</v>
      </c>
      <c r="C23" s="22" t="s">
        <v>1455</v>
      </c>
      <c r="D23" s="22" t="s">
        <v>1456</v>
      </c>
      <c r="E23" s="22" t="s">
        <v>1457</v>
      </c>
      <c r="F23" s="23">
        <v>2</v>
      </c>
      <c r="G23" s="23">
        <v>890</v>
      </c>
      <c r="H23" s="23">
        <v>30</v>
      </c>
      <c r="I23" s="23">
        <f t="shared" si="0"/>
        <v>860</v>
      </c>
      <c r="J23" s="22" t="s">
        <v>34</v>
      </c>
      <c r="K23" s="22" t="s">
        <v>34</v>
      </c>
      <c r="L23" s="22" t="s">
        <v>1415</v>
      </c>
      <c r="M23" s="22"/>
      <c r="N23" s="22"/>
      <c r="O23" s="22"/>
      <c r="P23" s="22"/>
      <c r="Q23" s="22">
        <v>1</v>
      </c>
    </row>
    <row r="24" spans="1:18" customFormat="1" x14ac:dyDescent="0.25">
      <c r="A24" s="22"/>
      <c r="B24" s="22" t="s">
        <v>30</v>
      </c>
      <c r="C24" s="22" t="s">
        <v>993</v>
      </c>
      <c r="D24" s="22" t="s">
        <v>1458</v>
      </c>
      <c r="E24" s="22" t="s">
        <v>995</v>
      </c>
      <c r="F24" s="23">
        <v>2</v>
      </c>
      <c r="G24" s="23">
        <v>380</v>
      </c>
      <c r="H24" s="23">
        <v>30</v>
      </c>
      <c r="I24" s="23">
        <f t="shared" si="0"/>
        <v>350</v>
      </c>
      <c r="J24" s="22" t="s">
        <v>34</v>
      </c>
      <c r="K24" s="22" t="s">
        <v>34</v>
      </c>
      <c r="L24" s="22" t="s">
        <v>1415</v>
      </c>
      <c r="M24" s="22"/>
      <c r="N24" s="22"/>
      <c r="O24" s="22"/>
      <c r="P24" s="22"/>
      <c r="Q24" s="22">
        <v>1</v>
      </c>
    </row>
    <row r="25" spans="1:18" customFormat="1" x14ac:dyDescent="0.25">
      <c r="A25" s="22"/>
      <c r="B25" s="22" t="s">
        <v>30</v>
      </c>
      <c r="C25" s="22" t="s">
        <v>1459</v>
      </c>
      <c r="D25" s="22" t="s">
        <v>1460</v>
      </c>
      <c r="E25" s="22" t="s">
        <v>1461</v>
      </c>
      <c r="F25" s="23">
        <v>2</v>
      </c>
      <c r="G25" s="23">
        <v>1020</v>
      </c>
      <c r="H25" s="23">
        <v>30</v>
      </c>
      <c r="I25" s="23">
        <f t="shared" si="0"/>
        <v>990</v>
      </c>
      <c r="J25" s="22" t="s">
        <v>34</v>
      </c>
      <c r="K25" s="22" t="s">
        <v>34</v>
      </c>
      <c r="L25" s="22" t="s">
        <v>1415</v>
      </c>
      <c r="M25" s="22"/>
      <c r="N25" s="22"/>
      <c r="O25" s="22"/>
      <c r="P25" s="22"/>
      <c r="Q25" s="22">
        <v>1</v>
      </c>
    </row>
    <row r="26" spans="1:18" customFormat="1" x14ac:dyDescent="0.25">
      <c r="A26" s="22"/>
      <c r="B26" s="22" t="s">
        <v>30</v>
      </c>
      <c r="C26" s="22" t="s">
        <v>1462</v>
      </c>
      <c r="D26" s="22" t="s">
        <v>1463</v>
      </c>
      <c r="E26" s="22" t="s">
        <v>1464</v>
      </c>
      <c r="F26" s="22" t="s">
        <v>94</v>
      </c>
      <c r="G26" s="23">
        <v>0</v>
      </c>
      <c r="H26" s="23">
        <v>30</v>
      </c>
      <c r="I26" s="23">
        <f t="shared" si="0"/>
        <v>-30</v>
      </c>
      <c r="J26" s="22" t="s">
        <v>34</v>
      </c>
      <c r="K26" s="22" t="s">
        <v>34</v>
      </c>
      <c r="L26" s="22" t="s">
        <v>1415</v>
      </c>
      <c r="M26" s="22"/>
      <c r="N26" s="22"/>
      <c r="O26" s="22"/>
      <c r="P26" s="22"/>
      <c r="Q26" s="22">
        <v>1</v>
      </c>
      <c r="R26" s="24">
        <f>H26</f>
        <v>30</v>
      </c>
    </row>
    <row r="27" spans="1:18" s="27" customFormat="1" x14ac:dyDescent="0.25">
      <c r="A27" s="25"/>
      <c r="B27" s="25" t="s">
        <v>30</v>
      </c>
      <c r="C27" s="25" t="s">
        <v>1465</v>
      </c>
      <c r="D27" s="25" t="s">
        <v>1466</v>
      </c>
      <c r="E27" s="25" t="s">
        <v>1467</v>
      </c>
      <c r="F27" s="25" t="s">
        <v>90</v>
      </c>
      <c r="G27" s="26">
        <v>295</v>
      </c>
      <c r="H27" s="26">
        <v>25</v>
      </c>
      <c r="I27" s="26">
        <f t="shared" si="0"/>
        <v>270</v>
      </c>
      <c r="J27" s="25" t="s">
        <v>34</v>
      </c>
      <c r="K27" s="25" t="s">
        <v>34</v>
      </c>
      <c r="L27" s="25" t="s">
        <v>1415</v>
      </c>
      <c r="M27" s="25" t="s">
        <v>139</v>
      </c>
      <c r="N27" s="25"/>
      <c r="O27" s="25"/>
      <c r="P27" s="25"/>
      <c r="Q27" s="25">
        <v>1</v>
      </c>
    </row>
    <row r="28" spans="1:18" customFormat="1" x14ac:dyDescent="0.25">
      <c r="A28" s="22"/>
      <c r="B28" s="22" t="s">
        <v>30</v>
      </c>
      <c r="C28" s="22" t="s">
        <v>1468</v>
      </c>
      <c r="D28" s="22" t="s">
        <v>1469</v>
      </c>
      <c r="E28" s="22" t="s">
        <v>1470</v>
      </c>
      <c r="F28" s="22" t="s">
        <v>98</v>
      </c>
      <c r="G28" s="23">
        <v>1190</v>
      </c>
      <c r="H28" s="23">
        <v>20</v>
      </c>
      <c r="I28" s="23">
        <f t="shared" si="0"/>
        <v>1170</v>
      </c>
      <c r="J28" s="22" t="s">
        <v>34</v>
      </c>
      <c r="K28" s="22" t="s">
        <v>34</v>
      </c>
      <c r="L28" s="22" t="s">
        <v>1415</v>
      </c>
      <c r="M28" s="22"/>
      <c r="N28" s="22"/>
      <c r="O28" s="22"/>
      <c r="P28" s="22"/>
      <c r="Q28" s="22">
        <v>1</v>
      </c>
    </row>
    <row r="29" spans="1:18" customFormat="1" x14ac:dyDescent="0.25">
      <c r="A29" s="22"/>
      <c r="B29" s="22" t="s">
        <v>30</v>
      </c>
      <c r="C29" s="22" t="s">
        <v>469</v>
      </c>
      <c r="D29" s="22" t="s">
        <v>1471</v>
      </c>
      <c r="E29" s="22" t="s">
        <v>1472</v>
      </c>
      <c r="F29" s="22" t="s">
        <v>90</v>
      </c>
      <c r="G29" s="23">
        <v>0</v>
      </c>
      <c r="H29" s="23">
        <v>25</v>
      </c>
      <c r="I29" s="23">
        <f t="shared" si="0"/>
        <v>-25</v>
      </c>
      <c r="J29" s="22" t="s">
        <v>34</v>
      </c>
      <c r="K29" s="22" t="s">
        <v>34</v>
      </c>
      <c r="L29" s="22" t="s">
        <v>1415</v>
      </c>
      <c r="M29" s="22"/>
      <c r="N29" s="22"/>
      <c r="O29" s="22"/>
      <c r="P29" s="22"/>
      <c r="Q29" s="22">
        <v>1</v>
      </c>
      <c r="R29" s="24">
        <f>H29</f>
        <v>25</v>
      </c>
    </row>
    <row r="30" spans="1:18" customFormat="1" x14ac:dyDescent="0.25">
      <c r="A30" s="22"/>
      <c r="B30" s="22" t="s">
        <v>30</v>
      </c>
      <c r="C30" s="22" t="s">
        <v>1473</v>
      </c>
      <c r="D30" s="22" t="s">
        <v>1474</v>
      </c>
      <c r="E30" s="22" t="s">
        <v>1475</v>
      </c>
      <c r="F30" s="22" t="s">
        <v>90</v>
      </c>
      <c r="G30" s="23">
        <v>885</v>
      </c>
      <c r="H30" s="23">
        <v>25</v>
      </c>
      <c r="I30" s="23">
        <f t="shared" si="0"/>
        <v>860</v>
      </c>
      <c r="J30" s="22" t="s">
        <v>34</v>
      </c>
      <c r="K30" s="22" t="s">
        <v>34</v>
      </c>
      <c r="L30" s="22" t="s">
        <v>1415</v>
      </c>
      <c r="M30" s="22"/>
      <c r="N30" s="22"/>
      <c r="O30" s="22"/>
      <c r="P30" s="22"/>
      <c r="Q30" s="22">
        <v>1</v>
      </c>
    </row>
    <row r="31" spans="1:18" customFormat="1" x14ac:dyDescent="0.25">
      <c r="A31" s="22"/>
      <c r="B31" s="22" t="s">
        <v>30</v>
      </c>
      <c r="C31" s="22" t="s">
        <v>1476</v>
      </c>
      <c r="D31" s="22" t="s">
        <v>1477</v>
      </c>
      <c r="E31" s="22" t="s">
        <v>1478</v>
      </c>
      <c r="F31" s="22" t="s">
        <v>90</v>
      </c>
      <c r="G31" s="23">
        <v>915</v>
      </c>
      <c r="H31" s="23">
        <v>25</v>
      </c>
      <c r="I31" s="23">
        <f t="shared" si="0"/>
        <v>890</v>
      </c>
      <c r="J31" s="22" t="s">
        <v>34</v>
      </c>
      <c r="K31" s="22" t="s">
        <v>34</v>
      </c>
      <c r="L31" s="22" t="s">
        <v>1415</v>
      </c>
      <c r="M31" s="22"/>
      <c r="N31" s="22"/>
      <c r="O31" s="22"/>
      <c r="P31" s="22"/>
      <c r="Q31" s="22">
        <v>1</v>
      </c>
    </row>
    <row r="32" spans="1:18" customFormat="1" x14ac:dyDescent="0.25">
      <c r="A32" s="22"/>
      <c r="B32" s="22" t="s">
        <v>30</v>
      </c>
      <c r="C32" s="22" t="s">
        <v>1479</v>
      </c>
      <c r="D32" s="22" t="s">
        <v>1480</v>
      </c>
      <c r="E32" s="22" t="s">
        <v>1481</v>
      </c>
      <c r="F32" s="22" t="s">
        <v>90</v>
      </c>
      <c r="G32" s="23">
        <v>815</v>
      </c>
      <c r="H32" s="23">
        <v>25</v>
      </c>
      <c r="I32" s="23">
        <f t="shared" si="0"/>
        <v>790</v>
      </c>
      <c r="J32" s="22" t="s">
        <v>34</v>
      </c>
      <c r="K32" s="22" t="s">
        <v>34</v>
      </c>
      <c r="L32" s="22" t="s">
        <v>1415</v>
      </c>
      <c r="M32" s="22"/>
      <c r="N32" s="22"/>
      <c r="O32" s="22"/>
      <c r="P32" s="22"/>
      <c r="Q32" s="22">
        <v>1</v>
      </c>
    </row>
    <row r="33" spans="1:18" customFormat="1" x14ac:dyDescent="0.25">
      <c r="A33" s="22" t="s">
        <v>29</v>
      </c>
      <c r="B33" s="22" t="s">
        <v>30</v>
      </c>
      <c r="C33" s="22" t="s">
        <v>1482</v>
      </c>
      <c r="D33" s="22"/>
      <c r="E33" s="22" t="s">
        <v>493</v>
      </c>
      <c r="F33" s="22" t="s">
        <v>108</v>
      </c>
      <c r="G33" s="23">
        <v>0</v>
      </c>
      <c r="H33" s="23">
        <v>30</v>
      </c>
      <c r="I33" s="23">
        <f t="shared" si="0"/>
        <v>-30</v>
      </c>
      <c r="J33" s="22" t="s">
        <v>148</v>
      </c>
      <c r="K33" s="22" t="s">
        <v>34</v>
      </c>
      <c r="L33" s="22" t="s">
        <v>1415</v>
      </c>
      <c r="M33" s="22"/>
      <c r="N33" s="22"/>
      <c r="O33" s="22"/>
      <c r="P33" s="22"/>
      <c r="Q33" s="22">
        <v>1</v>
      </c>
      <c r="R33" s="24">
        <f>H33</f>
        <v>30</v>
      </c>
    </row>
    <row r="34" spans="1:18" customFormat="1" x14ac:dyDescent="0.25">
      <c r="A34" s="22" t="s">
        <v>29</v>
      </c>
      <c r="B34" s="22" t="s">
        <v>30</v>
      </c>
      <c r="C34" s="22" t="s">
        <v>1483</v>
      </c>
      <c r="D34" s="22"/>
      <c r="E34" s="22" t="s">
        <v>1484</v>
      </c>
      <c r="F34" s="22" t="s">
        <v>108</v>
      </c>
      <c r="G34" s="23">
        <v>30</v>
      </c>
      <c r="H34" s="23">
        <v>30</v>
      </c>
      <c r="I34" s="23">
        <f t="shared" si="0"/>
        <v>0</v>
      </c>
      <c r="J34" s="22" t="s">
        <v>148</v>
      </c>
      <c r="K34" s="22" t="s">
        <v>34</v>
      </c>
      <c r="L34" s="22" t="s">
        <v>1415</v>
      </c>
      <c r="M34" s="22"/>
      <c r="N34" s="22"/>
      <c r="O34" s="22"/>
      <c r="P34" s="22"/>
      <c r="Q34" s="22">
        <v>1</v>
      </c>
    </row>
    <row r="35" spans="1:18" customFormat="1" x14ac:dyDescent="0.25">
      <c r="A35" s="22"/>
      <c r="B35" s="22" t="s">
        <v>30</v>
      </c>
      <c r="C35" s="22" t="s">
        <v>1485</v>
      </c>
      <c r="D35" s="22" t="s">
        <v>1486</v>
      </c>
      <c r="E35" s="22" t="s">
        <v>1487</v>
      </c>
      <c r="F35" s="22" t="s">
        <v>108</v>
      </c>
      <c r="G35" s="23">
        <v>0</v>
      </c>
      <c r="H35" s="23">
        <v>25</v>
      </c>
      <c r="I35" s="23">
        <f t="shared" si="0"/>
        <v>-25</v>
      </c>
      <c r="J35" s="22" t="s">
        <v>148</v>
      </c>
      <c r="K35" s="22" t="s">
        <v>34</v>
      </c>
      <c r="L35" s="22" t="s">
        <v>1415</v>
      </c>
      <c r="M35" s="22"/>
      <c r="N35" s="22"/>
      <c r="O35" s="22"/>
      <c r="P35" s="22"/>
      <c r="Q35" s="22">
        <v>1</v>
      </c>
      <c r="R35" s="24">
        <f>H35</f>
        <v>25</v>
      </c>
    </row>
    <row r="36" spans="1:18" customFormat="1" x14ac:dyDescent="0.25">
      <c r="A36" s="22"/>
      <c r="B36" s="22" t="s">
        <v>30</v>
      </c>
      <c r="C36" s="22" t="s">
        <v>1488</v>
      </c>
      <c r="D36" s="22" t="s">
        <v>1489</v>
      </c>
      <c r="E36" s="22" t="s">
        <v>1490</v>
      </c>
      <c r="F36" s="23">
        <v>4</v>
      </c>
      <c r="G36" s="23">
        <v>1075</v>
      </c>
      <c r="H36" s="23">
        <v>25</v>
      </c>
      <c r="I36" s="23">
        <f t="shared" si="0"/>
        <v>1050</v>
      </c>
      <c r="J36" s="22" t="s">
        <v>148</v>
      </c>
      <c r="K36" s="22" t="s">
        <v>34</v>
      </c>
      <c r="L36" s="22" t="s">
        <v>1415</v>
      </c>
      <c r="M36" s="22"/>
      <c r="N36" s="22"/>
      <c r="O36" s="22"/>
      <c r="P36" s="22"/>
      <c r="Q36" s="22">
        <v>1</v>
      </c>
    </row>
    <row r="37" spans="1:18" customFormat="1" x14ac:dyDescent="0.25">
      <c r="A37" s="22"/>
      <c r="B37" s="22" t="s">
        <v>30</v>
      </c>
      <c r="C37" s="22" t="s">
        <v>595</v>
      </c>
      <c r="D37" s="22" t="s">
        <v>1491</v>
      </c>
      <c r="E37" s="22" t="s">
        <v>597</v>
      </c>
      <c r="F37" s="23">
        <v>5</v>
      </c>
      <c r="G37" s="23">
        <v>1065</v>
      </c>
      <c r="H37" s="23">
        <v>25</v>
      </c>
      <c r="I37" s="23">
        <f t="shared" si="0"/>
        <v>1040</v>
      </c>
      <c r="J37" s="22" t="s">
        <v>148</v>
      </c>
      <c r="K37" s="22" t="s">
        <v>34</v>
      </c>
      <c r="L37" s="22" t="s">
        <v>1415</v>
      </c>
      <c r="M37" s="22"/>
      <c r="N37" s="22"/>
      <c r="O37" s="22"/>
      <c r="P37" s="22"/>
      <c r="Q37" s="22">
        <v>1</v>
      </c>
    </row>
    <row r="38" spans="1:18" s="27" customFormat="1" x14ac:dyDescent="0.25">
      <c r="A38" s="25"/>
      <c r="B38" s="25" t="s">
        <v>30</v>
      </c>
      <c r="C38" s="25" t="s">
        <v>1492</v>
      </c>
      <c r="D38" s="25" t="s">
        <v>1493</v>
      </c>
      <c r="E38" s="25" t="s">
        <v>1494</v>
      </c>
      <c r="F38" s="26">
        <v>3</v>
      </c>
      <c r="G38" s="26">
        <v>25</v>
      </c>
      <c r="H38" s="26">
        <v>25</v>
      </c>
      <c r="I38" s="26">
        <f t="shared" si="0"/>
        <v>0</v>
      </c>
      <c r="J38" s="25" t="s">
        <v>148</v>
      </c>
      <c r="K38" s="25" t="s">
        <v>34</v>
      </c>
      <c r="L38" s="25" t="s">
        <v>1415</v>
      </c>
      <c r="M38" s="25" t="s">
        <v>139</v>
      </c>
      <c r="N38" s="25"/>
      <c r="O38" s="25"/>
      <c r="P38" s="25"/>
      <c r="Q38" s="25">
        <v>1</v>
      </c>
    </row>
    <row r="39" spans="1:18" customFormat="1" x14ac:dyDescent="0.25">
      <c r="A39" s="22"/>
      <c r="B39" s="22" t="s">
        <v>30</v>
      </c>
      <c r="C39" s="22" t="s">
        <v>1495</v>
      </c>
      <c r="D39" s="22" t="s">
        <v>1496</v>
      </c>
      <c r="E39" s="22" t="s">
        <v>1497</v>
      </c>
      <c r="F39" s="23">
        <v>1</v>
      </c>
      <c r="G39" s="23">
        <v>915</v>
      </c>
      <c r="H39" s="23">
        <v>25</v>
      </c>
      <c r="I39" s="23">
        <f t="shared" si="0"/>
        <v>890</v>
      </c>
      <c r="J39" s="22" t="s">
        <v>148</v>
      </c>
      <c r="K39" s="22" t="s">
        <v>34</v>
      </c>
      <c r="L39" s="22" t="s">
        <v>1415</v>
      </c>
      <c r="M39" s="22"/>
      <c r="N39" s="22"/>
      <c r="O39" s="22"/>
      <c r="P39" s="22"/>
      <c r="Q39" s="22">
        <v>1</v>
      </c>
    </row>
    <row r="40" spans="1:18" customFormat="1" x14ac:dyDescent="0.25">
      <c r="A40" s="22"/>
      <c r="B40" s="22" t="s">
        <v>30</v>
      </c>
      <c r="C40" s="22" t="s">
        <v>1498</v>
      </c>
      <c r="D40" s="22" t="s">
        <v>1499</v>
      </c>
      <c r="E40" s="22" t="s">
        <v>1500</v>
      </c>
      <c r="F40" s="23">
        <v>3</v>
      </c>
      <c r="G40" s="23">
        <v>765</v>
      </c>
      <c r="H40" s="23">
        <v>25</v>
      </c>
      <c r="I40" s="23">
        <f t="shared" si="0"/>
        <v>740</v>
      </c>
      <c r="J40" s="22" t="s">
        <v>148</v>
      </c>
      <c r="K40" s="22" t="s">
        <v>34</v>
      </c>
      <c r="L40" s="22" t="s">
        <v>1415</v>
      </c>
      <c r="M40" s="22"/>
      <c r="N40" s="22"/>
      <c r="O40" s="22"/>
      <c r="P40" s="22"/>
      <c r="Q40" s="22">
        <v>1</v>
      </c>
    </row>
    <row r="41" spans="1:18" customFormat="1" x14ac:dyDescent="0.25">
      <c r="A41" s="22"/>
      <c r="B41" s="22" t="s">
        <v>30</v>
      </c>
      <c r="C41" s="22" t="s">
        <v>1501</v>
      </c>
      <c r="D41" s="22" t="s">
        <v>1502</v>
      </c>
      <c r="E41" s="22" t="s">
        <v>1503</v>
      </c>
      <c r="F41" s="23">
        <v>1</v>
      </c>
      <c r="G41" s="23">
        <v>855</v>
      </c>
      <c r="H41" s="23">
        <v>25</v>
      </c>
      <c r="I41" s="23">
        <f t="shared" si="0"/>
        <v>830</v>
      </c>
      <c r="J41" s="22" t="s">
        <v>148</v>
      </c>
      <c r="K41" s="22" t="s">
        <v>34</v>
      </c>
      <c r="L41" s="22" t="s">
        <v>1415</v>
      </c>
      <c r="M41" s="22"/>
      <c r="N41" s="22"/>
      <c r="O41" s="22"/>
      <c r="P41" s="22"/>
      <c r="Q41" s="22">
        <v>1</v>
      </c>
    </row>
    <row r="43" spans="1:18" x14ac:dyDescent="0.25">
      <c r="G43" s="1">
        <f t="shared" ref="G43:R43" si="2">SUBTOTAL(9,G3:G42)</f>
        <v>18415</v>
      </c>
      <c r="H43" s="1">
        <f t="shared" si="2"/>
        <v>1105</v>
      </c>
      <c r="I43" s="1">
        <f t="shared" si="2"/>
        <v>17310</v>
      </c>
      <c r="J43" s="1">
        <f t="shared" si="2"/>
        <v>0</v>
      </c>
      <c r="K43" s="1">
        <f t="shared" si="2"/>
        <v>0</v>
      </c>
      <c r="L43" s="1">
        <f t="shared" si="2"/>
        <v>0</v>
      </c>
      <c r="M43" s="1">
        <f t="shared" si="2"/>
        <v>0</v>
      </c>
      <c r="N43" s="1">
        <f t="shared" si="2"/>
        <v>0</v>
      </c>
      <c r="O43" s="1">
        <f t="shared" si="2"/>
        <v>0</v>
      </c>
      <c r="P43" s="1">
        <f t="shared" si="2"/>
        <v>0</v>
      </c>
      <c r="Q43" s="1">
        <f t="shared" si="2"/>
        <v>39</v>
      </c>
      <c r="R43" s="1">
        <f t="shared" si="2"/>
        <v>410</v>
      </c>
    </row>
    <row r="47" spans="1:18" ht="20.25" customHeight="1" x14ac:dyDescent="0.3">
      <c r="H47" s="4" t="s">
        <v>1311</v>
      </c>
      <c r="I47" s="5" t="s">
        <v>15</v>
      </c>
      <c r="J47" s="6" t="s">
        <v>16</v>
      </c>
    </row>
    <row r="48" spans="1:18" ht="15.75" customHeight="1" x14ac:dyDescent="0.25">
      <c r="H48" s="7" t="s">
        <v>17</v>
      </c>
      <c r="I48" s="8">
        <f>SUM(I42:I46)</f>
        <v>17310</v>
      </c>
      <c r="J48" s="8">
        <f>Q43</f>
        <v>39</v>
      </c>
    </row>
    <row r="49" spans="8:10" x14ac:dyDescent="0.25">
      <c r="H49" s="9" t="s">
        <v>18</v>
      </c>
      <c r="I49" s="10">
        <f>R43</f>
        <v>410</v>
      </c>
      <c r="J49" s="11"/>
    </row>
    <row r="50" spans="8:10" x14ac:dyDescent="0.25">
      <c r="H50" s="9" t="s">
        <v>19</v>
      </c>
      <c r="I50" s="10">
        <f>S42</f>
        <v>0</v>
      </c>
      <c r="J50" s="11"/>
    </row>
    <row r="51" spans="8:10" x14ac:dyDescent="0.25">
      <c r="H51" s="9" t="s">
        <v>20</v>
      </c>
      <c r="I51" s="10">
        <f>T42</f>
        <v>0</v>
      </c>
      <c r="J51" s="11"/>
    </row>
    <row r="52" spans="8:10" x14ac:dyDescent="0.25">
      <c r="H52" s="9" t="s">
        <v>21</v>
      </c>
      <c r="I52" s="10">
        <f>U42</f>
        <v>0</v>
      </c>
      <c r="J52" s="11"/>
    </row>
    <row r="53" spans="8:10" ht="15.75" customHeight="1" x14ac:dyDescent="0.25">
      <c r="H53" s="12" t="s">
        <v>22</v>
      </c>
      <c r="I53" s="13"/>
      <c r="J53" s="13"/>
    </row>
    <row r="54" spans="8:10" ht="15.75" customHeight="1" x14ac:dyDescent="0.25">
      <c r="H54" s="14" t="s">
        <v>23</v>
      </c>
      <c r="I54" s="13"/>
      <c r="J54" s="13"/>
    </row>
    <row r="55" spans="8:10" ht="21" customHeight="1" x14ac:dyDescent="0.35">
      <c r="H55" s="15" t="s">
        <v>24</v>
      </c>
      <c r="I55" s="16">
        <f>SUM(I48:I54)</f>
        <v>17720</v>
      </c>
      <c r="J55" s="16">
        <f>SUM(J48:J52)</f>
        <v>39</v>
      </c>
    </row>
  </sheetData>
  <autoFilter ref="A2:P41" xr:uid="{00000000-0009-0000-0000-000006000000}">
    <sortState xmlns:xlrd2="http://schemas.microsoft.com/office/spreadsheetml/2017/richdata2" ref="A3:P41">
      <sortCondition ref="J2:J41"/>
    </sortState>
  </autoFilter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52C0-C941-442A-A413-82BE1FD6C446}">
  <dimension ref="A1:R43"/>
  <sheetViews>
    <sheetView zoomScale="82" zoomScaleNormal="80" workbookViewId="0">
      <selection activeCell="A16" sqref="A16:XFD16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266</v>
      </c>
      <c r="C1" s="1" t="s">
        <v>1410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22"/>
      <c r="B3" s="22" t="s">
        <v>30</v>
      </c>
      <c r="C3" s="22" t="s">
        <v>1506</v>
      </c>
      <c r="D3" s="22" t="s">
        <v>1507</v>
      </c>
      <c r="E3" s="22" t="s">
        <v>1508</v>
      </c>
      <c r="F3" s="23">
        <v>9</v>
      </c>
      <c r="G3" s="23">
        <v>830</v>
      </c>
      <c r="H3" s="23">
        <v>30</v>
      </c>
      <c r="I3" s="23">
        <f t="shared" ref="I3:I29" si="0">G3-H3</f>
        <v>800</v>
      </c>
      <c r="J3" s="22" t="s">
        <v>33</v>
      </c>
      <c r="K3" s="22" t="s">
        <v>34</v>
      </c>
      <c r="L3" s="22" t="s">
        <v>1509</v>
      </c>
      <c r="M3" s="22"/>
      <c r="N3" s="22"/>
      <c r="O3" s="22"/>
      <c r="P3" s="22"/>
      <c r="Q3" s="22">
        <v>1</v>
      </c>
    </row>
    <row r="4" spans="1:18" customFormat="1" x14ac:dyDescent="0.25">
      <c r="A4" s="22"/>
      <c r="B4" s="22" t="s">
        <v>30</v>
      </c>
      <c r="C4" s="22" t="s">
        <v>314</v>
      </c>
      <c r="D4" s="22" t="s">
        <v>1510</v>
      </c>
      <c r="E4" s="22" t="s">
        <v>316</v>
      </c>
      <c r="F4" s="22" t="s">
        <v>152</v>
      </c>
      <c r="G4" s="23">
        <v>735</v>
      </c>
      <c r="H4" s="23">
        <v>35</v>
      </c>
      <c r="I4" s="23">
        <f t="shared" si="0"/>
        <v>700</v>
      </c>
      <c r="J4" s="22" t="s">
        <v>1511</v>
      </c>
      <c r="K4" s="22" t="s">
        <v>34</v>
      </c>
      <c r="L4" s="22" t="s">
        <v>1509</v>
      </c>
      <c r="M4" s="22"/>
      <c r="N4" s="22"/>
      <c r="O4" s="22"/>
      <c r="P4" s="22"/>
      <c r="Q4" s="22">
        <v>1</v>
      </c>
    </row>
    <row r="5" spans="1:18" customFormat="1" x14ac:dyDescent="0.25">
      <c r="A5" s="22"/>
      <c r="B5" s="22" t="s">
        <v>30</v>
      </c>
      <c r="C5" s="22" t="s">
        <v>831</v>
      </c>
      <c r="D5" s="22" t="s">
        <v>1512</v>
      </c>
      <c r="E5" s="22" t="s">
        <v>1513</v>
      </c>
      <c r="F5" s="22" t="s">
        <v>59</v>
      </c>
      <c r="G5" s="23">
        <v>985</v>
      </c>
      <c r="H5" s="23">
        <v>25</v>
      </c>
      <c r="I5" s="23">
        <f t="shared" si="0"/>
        <v>960</v>
      </c>
      <c r="J5" s="22" t="s">
        <v>1511</v>
      </c>
      <c r="K5" s="22" t="s">
        <v>34</v>
      </c>
      <c r="L5" s="22" t="s">
        <v>1509</v>
      </c>
      <c r="M5" s="22"/>
      <c r="N5" s="22"/>
      <c r="O5" s="22"/>
      <c r="P5" s="22"/>
      <c r="Q5" s="22">
        <v>1</v>
      </c>
    </row>
    <row r="6" spans="1:18" customFormat="1" x14ac:dyDescent="0.25">
      <c r="A6" s="22"/>
      <c r="B6" s="22" t="s">
        <v>30</v>
      </c>
      <c r="C6" s="22" t="s">
        <v>737</v>
      </c>
      <c r="D6" s="22" t="s">
        <v>1514</v>
      </c>
      <c r="E6" s="22" t="s">
        <v>1515</v>
      </c>
      <c r="F6" s="22" t="s">
        <v>108</v>
      </c>
      <c r="G6" s="23">
        <v>860</v>
      </c>
      <c r="H6" s="23">
        <v>30</v>
      </c>
      <c r="I6" s="23">
        <f t="shared" si="0"/>
        <v>830</v>
      </c>
      <c r="J6" s="22" t="s">
        <v>1511</v>
      </c>
      <c r="K6" s="22" t="s">
        <v>34</v>
      </c>
      <c r="L6" s="22" t="s">
        <v>1509</v>
      </c>
      <c r="M6" s="22"/>
      <c r="N6" s="22"/>
      <c r="O6" s="22"/>
      <c r="P6" s="22"/>
      <c r="Q6" s="22">
        <v>1</v>
      </c>
    </row>
    <row r="7" spans="1:18" customFormat="1" x14ac:dyDescent="0.25">
      <c r="A7" s="22"/>
      <c r="B7" s="22" t="s">
        <v>30</v>
      </c>
      <c r="C7" s="22" t="s">
        <v>1516</v>
      </c>
      <c r="D7" s="22" t="s">
        <v>1517</v>
      </c>
      <c r="E7" s="22" t="s">
        <v>1518</v>
      </c>
      <c r="F7" s="23">
        <v>7</v>
      </c>
      <c r="G7" s="23">
        <v>850</v>
      </c>
      <c r="H7" s="23">
        <v>30</v>
      </c>
      <c r="I7" s="23">
        <f t="shared" si="0"/>
        <v>820</v>
      </c>
      <c r="J7" s="22" t="s">
        <v>1511</v>
      </c>
      <c r="K7" s="22" t="s">
        <v>34</v>
      </c>
      <c r="L7" s="22" t="s">
        <v>1509</v>
      </c>
      <c r="M7" s="22"/>
      <c r="N7" s="22"/>
      <c r="O7" s="22"/>
      <c r="P7" s="22"/>
      <c r="Q7" s="22">
        <v>1</v>
      </c>
    </row>
    <row r="8" spans="1:18" customFormat="1" x14ac:dyDescent="0.25">
      <c r="A8" s="22"/>
      <c r="B8" s="22" t="s">
        <v>30</v>
      </c>
      <c r="C8" s="22" t="s">
        <v>1519</v>
      </c>
      <c r="D8" s="22" t="s">
        <v>1520</v>
      </c>
      <c r="E8" s="22" t="s">
        <v>1521</v>
      </c>
      <c r="F8" s="22" t="s">
        <v>59</v>
      </c>
      <c r="G8" s="23">
        <v>1115</v>
      </c>
      <c r="H8" s="23">
        <v>25</v>
      </c>
      <c r="I8" s="23">
        <f t="shared" si="0"/>
        <v>1090</v>
      </c>
      <c r="J8" s="22" t="s">
        <v>1511</v>
      </c>
      <c r="K8" s="22" t="s">
        <v>34</v>
      </c>
      <c r="L8" s="22" t="s">
        <v>1509</v>
      </c>
      <c r="M8" s="22"/>
      <c r="N8" s="22"/>
      <c r="O8" s="22"/>
      <c r="P8" s="22"/>
      <c r="Q8" s="22">
        <v>1</v>
      </c>
    </row>
    <row r="9" spans="1:18" customFormat="1" x14ac:dyDescent="0.25">
      <c r="A9" s="22"/>
      <c r="B9" s="22" t="s">
        <v>30</v>
      </c>
      <c r="C9" s="22" t="s">
        <v>1522</v>
      </c>
      <c r="D9" s="22" t="s">
        <v>1523</v>
      </c>
      <c r="E9" s="22" t="s">
        <v>213</v>
      </c>
      <c r="F9" s="23">
        <v>6</v>
      </c>
      <c r="G9" s="23">
        <v>0</v>
      </c>
      <c r="H9" s="23">
        <v>25</v>
      </c>
      <c r="I9" s="23">
        <f t="shared" si="0"/>
        <v>-25</v>
      </c>
      <c r="J9" s="22" t="s">
        <v>1511</v>
      </c>
      <c r="K9" s="22" t="s">
        <v>34</v>
      </c>
      <c r="L9" s="22" t="s">
        <v>1509</v>
      </c>
      <c r="M9" s="22"/>
      <c r="N9" s="22"/>
      <c r="O9" s="22"/>
      <c r="P9" s="22"/>
      <c r="Q9" s="22">
        <v>1</v>
      </c>
      <c r="R9" s="24">
        <f>H9</f>
        <v>25</v>
      </c>
    </row>
    <row r="10" spans="1:18" customFormat="1" x14ac:dyDescent="0.25">
      <c r="A10" s="22"/>
      <c r="B10" s="22" t="s">
        <v>30</v>
      </c>
      <c r="C10" s="22" t="s">
        <v>1524</v>
      </c>
      <c r="D10" s="22" t="s">
        <v>1525</v>
      </c>
      <c r="E10" s="22" t="s">
        <v>1526</v>
      </c>
      <c r="F10" s="23">
        <v>7</v>
      </c>
      <c r="G10" s="23">
        <v>850</v>
      </c>
      <c r="H10" s="23">
        <v>30</v>
      </c>
      <c r="I10" s="23">
        <f t="shared" si="0"/>
        <v>820</v>
      </c>
      <c r="J10" s="22" t="s">
        <v>1511</v>
      </c>
      <c r="K10" s="22" t="s">
        <v>34</v>
      </c>
      <c r="L10" s="22" t="s">
        <v>1509</v>
      </c>
      <c r="M10" s="22"/>
      <c r="N10" s="22"/>
      <c r="O10" s="22"/>
      <c r="P10" s="22"/>
      <c r="Q10" s="22">
        <v>1</v>
      </c>
    </row>
    <row r="11" spans="1:18" customFormat="1" x14ac:dyDescent="0.25">
      <c r="A11" s="22"/>
      <c r="B11" s="22" t="s">
        <v>30</v>
      </c>
      <c r="C11" s="22" t="s">
        <v>1527</v>
      </c>
      <c r="D11" s="22" t="s">
        <v>1528</v>
      </c>
      <c r="E11" s="22" t="s">
        <v>1529</v>
      </c>
      <c r="F11" s="23">
        <v>7</v>
      </c>
      <c r="G11" s="23">
        <v>380</v>
      </c>
      <c r="H11" s="23">
        <v>30</v>
      </c>
      <c r="I11" s="23">
        <f t="shared" si="0"/>
        <v>350</v>
      </c>
      <c r="J11" s="22" t="s">
        <v>1511</v>
      </c>
      <c r="K11" s="22" t="s">
        <v>34</v>
      </c>
      <c r="L11" s="22" t="s">
        <v>1509</v>
      </c>
      <c r="M11" s="22"/>
      <c r="N11" s="22"/>
      <c r="O11" s="22"/>
      <c r="P11" s="22"/>
      <c r="Q11" s="22">
        <v>1</v>
      </c>
    </row>
    <row r="12" spans="1:18" customFormat="1" x14ac:dyDescent="0.25">
      <c r="A12" s="22"/>
      <c r="B12" s="22" t="s">
        <v>30</v>
      </c>
      <c r="C12" s="22" t="s">
        <v>1530</v>
      </c>
      <c r="D12" s="22" t="s">
        <v>1531</v>
      </c>
      <c r="E12" s="22" t="s">
        <v>1532</v>
      </c>
      <c r="F12" s="22" t="s">
        <v>59</v>
      </c>
      <c r="G12" s="23">
        <v>0</v>
      </c>
      <c r="H12" s="23">
        <v>25</v>
      </c>
      <c r="I12" s="23">
        <f t="shared" si="0"/>
        <v>-25</v>
      </c>
      <c r="J12" s="22" t="s">
        <v>1511</v>
      </c>
      <c r="K12" s="22" t="s">
        <v>34</v>
      </c>
      <c r="L12" s="22" t="s">
        <v>1509</v>
      </c>
      <c r="M12" s="22"/>
      <c r="N12" s="22"/>
      <c r="O12" s="22"/>
      <c r="P12" s="22"/>
      <c r="Q12" s="22">
        <v>1</v>
      </c>
      <c r="R12" s="24">
        <f>H12</f>
        <v>25</v>
      </c>
    </row>
    <row r="13" spans="1:18" customFormat="1" x14ac:dyDescent="0.25">
      <c r="A13" s="22"/>
      <c r="B13" s="22" t="s">
        <v>30</v>
      </c>
      <c r="C13" s="22" t="s">
        <v>1533</v>
      </c>
      <c r="D13" s="22" t="s">
        <v>1534</v>
      </c>
      <c r="E13" s="22" t="s">
        <v>1535</v>
      </c>
      <c r="F13" s="23">
        <v>6</v>
      </c>
      <c r="G13" s="23">
        <v>765</v>
      </c>
      <c r="H13" s="23">
        <v>25</v>
      </c>
      <c r="I13" s="23">
        <f t="shared" si="0"/>
        <v>740</v>
      </c>
      <c r="J13" s="22" t="s">
        <v>1511</v>
      </c>
      <c r="K13" s="22" t="s">
        <v>34</v>
      </c>
      <c r="L13" s="22" t="s">
        <v>1509</v>
      </c>
      <c r="M13" s="22"/>
      <c r="N13" s="22"/>
      <c r="O13" s="22"/>
      <c r="P13" s="22"/>
      <c r="Q13" s="22">
        <v>1</v>
      </c>
    </row>
    <row r="14" spans="1:18" customFormat="1" x14ac:dyDescent="0.25">
      <c r="A14" s="22" t="s">
        <v>29</v>
      </c>
      <c r="B14" s="22" t="s">
        <v>30</v>
      </c>
      <c r="C14" s="22" t="s">
        <v>1536</v>
      </c>
      <c r="D14" s="22"/>
      <c r="E14" s="22" t="s">
        <v>1537</v>
      </c>
      <c r="F14" s="23">
        <v>6</v>
      </c>
      <c r="G14" s="23">
        <v>40</v>
      </c>
      <c r="H14" s="23">
        <v>40</v>
      </c>
      <c r="I14" s="23">
        <f t="shared" si="0"/>
        <v>0</v>
      </c>
      <c r="J14" s="22" t="s">
        <v>1511</v>
      </c>
      <c r="K14" s="22" t="s">
        <v>34</v>
      </c>
      <c r="L14" s="22" t="s">
        <v>1509</v>
      </c>
      <c r="M14" s="22"/>
      <c r="N14" s="22"/>
      <c r="O14" s="22"/>
      <c r="P14" s="22"/>
      <c r="Q14" s="22">
        <v>1</v>
      </c>
    </row>
    <row r="15" spans="1:18" customFormat="1" ht="14.25" customHeight="1" x14ac:dyDescent="0.25">
      <c r="A15" s="22"/>
      <c r="B15" s="22" t="s">
        <v>30</v>
      </c>
      <c r="C15" s="22" t="s">
        <v>1538</v>
      </c>
      <c r="D15" s="22" t="s">
        <v>1539</v>
      </c>
      <c r="E15" s="22" t="s">
        <v>1540</v>
      </c>
      <c r="F15" s="22" t="s">
        <v>98</v>
      </c>
      <c r="G15" s="23">
        <v>0</v>
      </c>
      <c r="H15" s="23">
        <v>20</v>
      </c>
      <c r="I15" s="23">
        <f t="shared" si="0"/>
        <v>-20</v>
      </c>
      <c r="J15" s="22" t="s">
        <v>34</v>
      </c>
      <c r="K15" s="22" t="s">
        <v>34</v>
      </c>
      <c r="L15" s="22" t="s">
        <v>1509</v>
      </c>
      <c r="M15" s="22"/>
      <c r="N15" s="22"/>
      <c r="O15" s="22"/>
      <c r="P15" s="22"/>
      <c r="Q15" s="22">
        <v>1</v>
      </c>
      <c r="R15" s="24">
        <f>H15</f>
        <v>20</v>
      </c>
    </row>
    <row r="16" spans="1:18" customFormat="1" x14ac:dyDescent="0.25">
      <c r="A16" s="22"/>
      <c r="B16" s="22" t="s">
        <v>30</v>
      </c>
      <c r="C16" s="22" t="s">
        <v>1541</v>
      </c>
      <c r="D16" s="22" t="s">
        <v>1542</v>
      </c>
      <c r="E16" s="22" t="s">
        <v>1543</v>
      </c>
      <c r="F16" s="22" t="s">
        <v>94</v>
      </c>
      <c r="G16" s="23">
        <v>1020</v>
      </c>
      <c r="H16" s="23">
        <v>30</v>
      </c>
      <c r="I16" s="23">
        <f t="shared" si="0"/>
        <v>990</v>
      </c>
      <c r="J16" s="22" t="s">
        <v>34</v>
      </c>
      <c r="K16" s="22" t="s">
        <v>34</v>
      </c>
      <c r="L16" s="22" t="s">
        <v>1509</v>
      </c>
      <c r="M16" s="22"/>
      <c r="N16" s="22"/>
      <c r="O16" s="22"/>
      <c r="P16" s="22"/>
      <c r="Q16" s="22">
        <v>1</v>
      </c>
    </row>
    <row r="17" spans="1:18" customFormat="1" x14ac:dyDescent="0.25">
      <c r="A17" s="22"/>
      <c r="B17" s="22" t="s">
        <v>30</v>
      </c>
      <c r="C17" s="22" t="s">
        <v>1544</v>
      </c>
      <c r="D17" s="22" t="s">
        <v>1545</v>
      </c>
      <c r="E17" s="22" t="s">
        <v>1546</v>
      </c>
      <c r="F17" s="22" t="s">
        <v>90</v>
      </c>
      <c r="G17" s="23">
        <v>0</v>
      </c>
      <c r="H17" s="23">
        <v>25</v>
      </c>
      <c r="I17" s="23">
        <f t="shared" si="0"/>
        <v>-25</v>
      </c>
      <c r="J17" s="22" t="s">
        <v>34</v>
      </c>
      <c r="K17" s="22" t="s">
        <v>34</v>
      </c>
      <c r="L17" s="22" t="s">
        <v>1509</v>
      </c>
      <c r="M17" s="22"/>
      <c r="N17" s="22"/>
      <c r="O17" s="22"/>
      <c r="P17" s="22"/>
      <c r="Q17" s="22">
        <v>1</v>
      </c>
      <c r="R17" s="24">
        <f>H17</f>
        <v>25</v>
      </c>
    </row>
    <row r="18" spans="1:18" customFormat="1" x14ac:dyDescent="0.25">
      <c r="A18" s="22"/>
      <c r="B18" s="22" t="s">
        <v>30</v>
      </c>
      <c r="C18" s="22" t="s">
        <v>1547</v>
      </c>
      <c r="D18" s="22" t="s">
        <v>1548</v>
      </c>
      <c r="E18" s="22" t="s">
        <v>1549</v>
      </c>
      <c r="F18" s="23">
        <v>2</v>
      </c>
      <c r="G18" s="23">
        <v>1020</v>
      </c>
      <c r="H18" s="23">
        <v>30</v>
      </c>
      <c r="I18" s="23">
        <f t="shared" si="0"/>
        <v>990</v>
      </c>
      <c r="J18" s="22" t="s">
        <v>34</v>
      </c>
      <c r="K18" s="22" t="s">
        <v>34</v>
      </c>
      <c r="L18" s="22" t="s">
        <v>1509</v>
      </c>
      <c r="M18" s="22"/>
      <c r="N18" s="22"/>
      <c r="O18" s="22"/>
      <c r="P18" s="22"/>
      <c r="Q18" s="22">
        <v>1</v>
      </c>
    </row>
    <row r="19" spans="1:18" customFormat="1" x14ac:dyDescent="0.25">
      <c r="A19" s="22"/>
      <c r="B19" s="22" t="s">
        <v>30</v>
      </c>
      <c r="C19" s="22" t="s">
        <v>1550</v>
      </c>
      <c r="D19" s="22" t="s">
        <v>1551</v>
      </c>
      <c r="E19" s="22" t="s">
        <v>1552</v>
      </c>
      <c r="F19" s="23">
        <v>2</v>
      </c>
      <c r="G19" s="23">
        <v>0</v>
      </c>
      <c r="H19" s="23">
        <v>30</v>
      </c>
      <c r="I19" s="23">
        <f t="shared" si="0"/>
        <v>-30</v>
      </c>
      <c r="J19" s="22" t="s">
        <v>34</v>
      </c>
      <c r="K19" s="22" t="s">
        <v>34</v>
      </c>
      <c r="L19" s="22" t="s">
        <v>1509</v>
      </c>
      <c r="M19" s="22"/>
      <c r="N19" s="22"/>
      <c r="O19" s="22"/>
      <c r="P19" s="22"/>
      <c r="Q19" s="22">
        <v>1</v>
      </c>
      <c r="R19" s="24">
        <f t="shared" ref="R19:R21" si="1">H19</f>
        <v>30</v>
      </c>
    </row>
    <row r="20" spans="1:18" customFormat="1" x14ac:dyDescent="0.25">
      <c r="A20" s="22"/>
      <c r="B20" s="22" t="s">
        <v>30</v>
      </c>
      <c r="C20" s="22" t="s">
        <v>1553</v>
      </c>
      <c r="D20" s="22" t="s">
        <v>1554</v>
      </c>
      <c r="E20" s="22" t="s">
        <v>1555</v>
      </c>
      <c r="F20" s="22" t="s">
        <v>98</v>
      </c>
      <c r="G20" s="23">
        <v>0</v>
      </c>
      <c r="H20" s="23">
        <v>20</v>
      </c>
      <c r="I20" s="23">
        <f t="shared" si="0"/>
        <v>-20</v>
      </c>
      <c r="J20" s="22" t="s">
        <v>34</v>
      </c>
      <c r="K20" s="22" t="s">
        <v>34</v>
      </c>
      <c r="L20" s="22" t="s">
        <v>1509</v>
      </c>
      <c r="M20" s="22"/>
      <c r="N20" s="22"/>
      <c r="O20" s="22"/>
      <c r="P20" s="22"/>
      <c r="Q20" s="22">
        <v>1</v>
      </c>
      <c r="R20" s="24">
        <f t="shared" si="1"/>
        <v>20</v>
      </c>
    </row>
    <row r="21" spans="1:18" customFormat="1" x14ac:dyDescent="0.25">
      <c r="A21" s="22"/>
      <c r="B21" s="22" t="s">
        <v>30</v>
      </c>
      <c r="C21" s="22" t="s">
        <v>1556</v>
      </c>
      <c r="D21" s="22" t="s">
        <v>1557</v>
      </c>
      <c r="E21" s="22" t="s">
        <v>1558</v>
      </c>
      <c r="F21" s="22" t="s">
        <v>98</v>
      </c>
      <c r="G21" s="23">
        <v>0</v>
      </c>
      <c r="H21" s="23">
        <v>20</v>
      </c>
      <c r="I21" s="23">
        <f t="shared" si="0"/>
        <v>-20</v>
      </c>
      <c r="J21" s="22" t="s">
        <v>34</v>
      </c>
      <c r="K21" s="22" t="s">
        <v>34</v>
      </c>
      <c r="L21" s="22" t="s">
        <v>1509</v>
      </c>
      <c r="M21" s="22"/>
      <c r="N21" s="22"/>
      <c r="O21" s="22"/>
      <c r="P21" s="22"/>
      <c r="Q21" s="22">
        <v>1</v>
      </c>
      <c r="R21" s="24">
        <f t="shared" si="1"/>
        <v>20</v>
      </c>
    </row>
    <row r="22" spans="1:18" customFormat="1" x14ac:dyDescent="0.25">
      <c r="A22" s="22"/>
      <c r="B22" s="22" t="s">
        <v>30</v>
      </c>
      <c r="C22" s="22" t="s">
        <v>762</v>
      </c>
      <c r="D22" s="22" t="s">
        <v>1559</v>
      </c>
      <c r="E22" s="22" t="s">
        <v>764</v>
      </c>
      <c r="F22" s="22" t="s">
        <v>98</v>
      </c>
      <c r="G22" s="23">
        <v>1420</v>
      </c>
      <c r="H22" s="23">
        <v>20</v>
      </c>
      <c r="I22" s="23">
        <f t="shared" si="0"/>
        <v>1400</v>
      </c>
      <c r="J22" s="22" t="s">
        <v>34</v>
      </c>
      <c r="K22" s="22" t="s">
        <v>34</v>
      </c>
      <c r="L22" s="22" t="s">
        <v>1509</v>
      </c>
      <c r="M22" s="22"/>
      <c r="N22" s="22"/>
      <c r="O22" s="22"/>
      <c r="P22" s="22"/>
      <c r="Q22" s="22">
        <v>1</v>
      </c>
    </row>
    <row r="23" spans="1:18" customFormat="1" x14ac:dyDescent="0.25">
      <c r="A23" s="22" t="s">
        <v>29</v>
      </c>
      <c r="B23" s="22" t="s">
        <v>30</v>
      </c>
      <c r="C23" s="22" t="s">
        <v>1560</v>
      </c>
      <c r="D23" s="22"/>
      <c r="E23" s="22" t="s">
        <v>1561</v>
      </c>
      <c r="F23" s="23">
        <v>12</v>
      </c>
      <c r="G23" s="23">
        <v>0</v>
      </c>
      <c r="H23" s="23">
        <v>60</v>
      </c>
      <c r="I23" s="23">
        <f t="shared" si="0"/>
        <v>-60</v>
      </c>
      <c r="J23" s="22" t="s">
        <v>34</v>
      </c>
      <c r="K23" s="22" t="s">
        <v>34</v>
      </c>
      <c r="L23" s="22" t="s">
        <v>1509</v>
      </c>
      <c r="M23" s="22"/>
      <c r="N23" s="22"/>
      <c r="O23" s="22"/>
      <c r="P23" s="22"/>
      <c r="Q23" s="22">
        <v>1</v>
      </c>
      <c r="R23" s="24">
        <f t="shared" ref="R23:R24" si="2">H23</f>
        <v>60</v>
      </c>
    </row>
    <row r="24" spans="1:18" customFormat="1" x14ac:dyDescent="0.25">
      <c r="A24" s="22" t="s">
        <v>29</v>
      </c>
      <c r="B24" s="22" t="s">
        <v>30</v>
      </c>
      <c r="C24" s="22" t="s">
        <v>1562</v>
      </c>
      <c r="D24" s="22"/>
      <c r="E24" s="22" t="s">
        <v>489</v>
      </c>
      <c r="F24" s="23">
        <v>12</v>
      </c>
      <c r="G24" s="23">
        <v>0</v>
      </c>
      <c r="H24" s="23">
        <v>60</v>
      </c>
      <c r="I24" s="23">
        <f t="shared" si="0"/>
        <v>-60</v>
      </c>
      <c r="J24" s="22" t="s">
        <v>34</v>
      </c>
      <c r="K24" s="22" t="s">
        <v>34</v>
      </c>
      <c r="L24" s="22" t="s">
        <v>1509</v>
      </c>
      <c r="M24" s="22"/>
      <c r="N24" s="22"/>
      <c r="O24" s="22"/>
      <c r="P24" s="22"/>
      <c r="Q24" s="22">
        <v>1</v>
      </c>
      <c r="R24" s="24">
        <f t="shared" si="2"/>
        <v>60</v>
      </c>
    </row>
    <row r="25" spans="1:18" customFormat="1" x14ac:dyDescent="0.25">
      <c r="A25" s="22"/>
      <c r="B25" s="22" t="s">
        <v>30</v>
      </c>
      <c r="C25" s="22" t="s">
        <v>496</v>
      </c>
      <c r="D25" s="22" t="s">
        <v>1563</v>
      </c>
      <c r="E25" s="22" t="s">
        <v>1564</v>
      </c>
      <c r="F25" s="22" t="s">
        <v>108</v>
      </c>
      <c r="G25" s="23">
        <v>1015</v>
      </c>
      <c r="H25" s="23">
        <v>25</v>
      </c>
      <c r="I25" s="23">
        <f t="shared" si="0"/>
        <v>990</v>
      </c>
      <c r="J25" s="22" t="s">
        <v>148</v>
      </c>
      <c r="K25" s="22" t="s">
        <v>34</v>
      </c>
      <c r="L25" s="22" t="s">
        <v>1509</v>
      </c>
      <c r="M25" s="22"/>
      <c r="N25" s="22"/>
      <c r="O25" s="22"/>
      <c r="P25" s="22"/>
      <c r="Q25" s="22">
        <v>1</v>
      </c>
    </row>
    <row r="26" spans="1:18" customFormat="1" x14ac:dyDescent="0.25">
      <c r="A26" s="22"/>
      <c r="B26" s="22" t="s">
        <v>30</v>
      </c>
      <c r="C26" s="22" t="s">
        <v>1565</v>
      </c>
      <c r="D26" s="22" t="s">
        <v>1566</v>
      </c>
      <c r="E26" s="22" t="s">
        <v>1567</v>
      </c>
      <c r="F26" s="23">
        <v>10</v>
      </c>
      <c r="G26" s="23">
        <v>1665</v>
      </c>
      <c r="H26" s="23">
        <v>25</v>
      </c>
      <c r="I26" s="23">
        <f t="shared" si="0"/>
        <v>1640</v>
      </c>
      <c r="J26" s="22" t="s">
        <v>148</v>
      </c>
      <c r="K26" s="22" t="s">
        <v>34</v>
      </c>
      <c r="L26" s="22" t="s">
        <v>1509</v>
      </c>
      <c r="M26" s="22"/>
      <c r="N26" s="22"/>
      <c r="O26" s="22"/>
      <c r="P26" s="22"/>
      <c r="Q26" s="22">
        <v>1</v>
      </c>
    </row>
    <row r="27" spans="1:18" s="27" customFormat="1" x14ac:dyDescent="0.25">
      <c r="A27" s="25"/>
      <c r="B27" s="25" t="s">
        <v>30</v>
      </c>
      <c r="C27" s="25" t="s">
        <v>615</v>
      </c>
      <c r="D27" s="25" t="s">
        <v>1568</v>
      </c>
      <c r="E27" s="25" t="s">
        <v>617</v>
      </c>
      <c r="F27" s="26">
        <v>1</v>
      </c>
      <c r="G27" s="26">
        <v>25</v>
      </c>
      <c r="H27" s="26">
        <v>25</v>
      </c>
      <c r="I27" s="26">
        <f t="shared" si="0"/>
        <v>0</v>
      </c>
      <c r="J27" s="25" t="s">
        <v>148</v>
      </c>
      <c r="K27" s="25" t="s">
        <v>34</v>
      </c>
      <c r="L27" s="25" t="s">
        <v>1509</v>
      </c>
      <c r="M27" s="25" t="s">
        <v>139</v>
      </c>
      <c r="N27" s="25"/>
      <c r="O27" s="25"/>
      <c r="P27" s="25"/>
      <c r="Q27" s="25">
        <v>1</v>
      </c>
    </row>
    <row r="28" spans="1:18" customFormat="1" x14ac:dyDescent="0.25">
      <c r="A28" s="22"/>
      <c r="B28" s="22" t="s">
        <v>30</v>
      </c>
      <c r="C28" s="22" t="s">
        <v>1569</v>
      </c>
      <c r="D28" s="22" t="s">
        <v>1570</v>
      </c>
      <c r="E28" s="22" t="s">
        <v>1571</v>
      </c>
      <c r="F28" s="23">
        <v>5</v>
      </c>
      <c r="G28" s="23">
        <v>0</v>
      </c>
      <c r="H28" s="23">
        <v>25</v>
      </c>
      <c r="I28" s="23">
        <f t="shared" si="0"/>
        <v>-25</v>
      </c>
      <c r="J28" s="22" t="s">
        <v>148</v>
      </c>
      <c r="K28" s="22" t="s">
        <v>34</v>
      </c>
      <c r="L28" s="22" t="s">
        <v>1509</v>
      </c>
      <c r="M28" s="22"/>
      <c r="N28" s="22"/>
      <c r="O28" s="22"/>
      <c r="P28" s="22"/>
      <c r="Q28" s="22">
        <v>1</v>
      </c>
      <c r="R28" s="24">
        <f t="shared" ref="R28:R29" si="3">H28</f>
        <v>25</v>
      </c>
    </row>
    <row r="29" spans="1:18" customFormat="1" x14ac:dyDescent="0.25">
      <c r="A29" s="22" t="s">
        <v>29</v>
      </c>
      <c r="B29" s="22" t="s">
        <v>30</v>
      </c>
      <c r="C29" s="22" t="s">
        <v>1572</v>
      </c>
      <c r="D29" s="22"/>
      <c r="E29" s="22" t="s">
        <v>1573</v>
      </c>
      <c r="F29" s="22" t="s">
        <v>108</v>
      </c>
      <c r="G29" s="23">
        <v>0</v>
      </c>
      <c r="H29" s="23">
        <v>50</v>
      </c>
      <c r="I29" s="23">
        <f t="shared" si="0"/>
        <v>-50</v>
      </c>
      <c r="J29" s="22" t="s">
        <v>148</v>
      </c>
      <c r="K29" s="22" t="s">
        <v>34</v>
      </c>
      <c r="L29" s="22" t="s">
        <v>1509</v>
      </c>
      <c r="M29" s="22"/>
      <c r="N29" s="22"/>
      <c r="O29" s="22"/>
      <c r="P29" s="22"/>
      <c r="Q29" s="22">
        <v>1</v>
      </c>
      <c r="R29" s="24">
        <f t="shared" si="3"/>
        <v>50</v>
      </c>
    </row>
    <row r="31" spans="1:18" x14ac:dyDescent="0.25">
      <c r="G31" s="1">
        <f t="shared" ref="G31:R31" si="4">SUBTOTAL(9,G3:G30)</f>
        <v>13575</v>
      </c>
      <c r="H31" s="1">
        <f t="shared" si="4"/>
        <v>815</v>
      </c>
      <c r="I31" s="1">
        <f t="shared" si="4"/>
        <v>12760</v>
      </c>
      <c r="J31" s="1">
        <f t="shared" si="4"/>
        <v>0</v>
      </c>
      <c r="K31" s="1">
        <f t="shared" si="4"/>
        <v>0</v>
      </c>
      <c r="L31" s="1">
        <f t="shared" si="4"/>
        <v>0</v>
      </c>
      <c r="M31" s="1">
        <f t="shared" si="4"/>
        <v>0</v>
      </c>
      <c r="N31" s="1">
        <f t="shared" si="4"/>
        <v>0</v>
      </c>
      <c r="O31" s="1">
        <f t="shared" si="4"/>
        <v>0</v>
      </c>
      <c r="P31" s="1">
        <f t="shared" si="4"/>
        <v>0</v>
      </c>
      <c r="Q31" s="1">
        <f t="shared" si="4"/>
        <v>27</v>
      </c>
      <c r="R31" s="1">
        <f t="shared" si="4"/>
        <v>360</v>
      </c>
    </row>
    <row r="35" spans="8:10" ht="20.25" customHeight="1" x14ac:dyDescent="0.3">
      <c r="H35" s="4" t="s">
        <v>1411</v>
      </c>
      <c r="I35" s="5" t="s">
        <v>15</v>
      </c>
      <c r="J35" s="6" t="s">
        <v>16</v>
      </c>
    </row>
    <row r="36" spans="8:10" ht="15.75" customHeight="1" x14ac:dyDescent="0.25">
      <c r="H36" s="7" t="s">
        <v>17</v>
      </c>
      <c r="I36" s="8">
        <f>SUM(I30:I34)</f>
        <v>12760</v>
      </c>
      <c r="J36" s="8">
        <f>Q31</f>
        <v>27</v>
      </c>
    </row>
    <row r="37" spans="8:10" x14ac:dyDescent="0.25">
      <c r="H37" s="9" t="s">
        <v>18</v>
      </c>
      <c r="I37" s="10">
        <f>R31</f>
        <v>360</v>
      </c>
      <c r="J37" s="11"/>
    </row>
    <row r="38" spans="8:10" x14ac:dyDescent="0.25">
      <c r="H38" s="9" t="s">
        <v>19</v>
      </c>
      <c r="I38" s="10">
        <f>S30</f>
        <v>0</v>
      </c>
      <c r="J38" s="11"/>
    </row>
    <row r="39" spans="8:10" x14ac:dyDescent="0.25">
      <c r="H39" s="9" t="s">
        <v>20</v>
      </c>
      <c r="I39" s="10">
        <f>T30</f>
        <v>0</v>
      </c>
      <c r="J39" s="11"/>
    </row>
    <row r="40" spans="8:10" x14ac:dyDescent="0.25">
      <c r="H40" s="9" t="s">
        <v>21</v>
      </c>
      <c r="I40" s="10">
        <f>U30</f>
        <v>0</v>
      </c>
      <c r="J40" s="11"/>
    </row>
    <row r="41" spans="8:10" ht="15.75" customHeight="1" x14ac:dyDescent="0.25">
      <c r="H41" s="12" t="s">
        <v>22</v>
      </c>
      <c r="I41" s="13"/>
      <c r="J41" s="13"/>
    </row>
    <row r="42" spans="8:10" ht="15.75" customHeight="1" x14ac:dyDescent="0.25">
      <c r="H42" s="14" t="s">
        <v>23</v>
      </c>
      <c r="I42" s="13"/>
      <c r="J42" s="13"/>
    </row>
    <row r="43" spans="8:10" ht="21" customHeight="1" x14ac:dyDescent="0.35">
      <c r="H43" s="15" t="s">
        <v>24</v>
      </c>
      <c r="I43" s="16">
        <f>SUM(I36:I42)</f>
        <v>13120</v>
      </c>
      <c r="J43" s="16">
        <f>SUM(J36:J40)</f>
        <v>27</v>
      </c>
    </row>
  </sheetData>
  <autoFilter ref="A2:P29" xr:uid="{00000000-0009-0000-0000-000006000000}">
    <sortState xmlns:xlrd2="http://schemas.microsoft.com/office/spreadsheetml/2017/richdata2" ref="A3:P29">
      <sortCondition ref="J2:J29"/>
    </sortState>
  </autoFilter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EC2F-69A3-42F1-A9B2-FD77CE177594}">
  <dimension ref="A1:R47"/>
  <sheetViews>
    <sheetView zoomScale="82" zoomScaleNormal="80" workbookViewId="0">
      <selection activeCell="E38" sqref="E38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270</v>
      </c>
      <c r="C1" s="1" t="s">
        <v>1505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22"/>
      <c r="B3" s="22" t="s">
        <v>30</v>
      </c>
      <c r="C3" s="22" t="s">
        <v>1121</v>
      </c>
      <c r="D3" s="22" t="s">
        <v>1576</v>
      </c>
      <c r="E3" s="22" t="s">
        <v>1123</v>
      </c>
      <c r="F3" s="23">
        <v>9</v>
      </c>
      <c r="G3" s="23">
        <v>900</v>
      </c>
      <c r="H3" s="23">
        <v>30</v>
      </c>
      <c r="I3" s="23">
        <f t="shared" ref="I3:I33" si="0">G3-H3</f>
        <v>870</v>
      </c>
      <c r="J3" s="22" t="s">
        <v>33</v>
      </c>
      <c r="K3" s="22" t="s">
        <v>34</v>
      </c>
      <c r="L3" s="22" t="s">
        <v>1577</v>
      </c>
      <c r="M3" s="22"/>
      <c r="N3" s="22"/>
      <c r="O3" s="22"/>
      <c r="P3" s="22"/>
      <c r="Q3" s="22">
        <v>1</v>
      </c>
    </row>
    <row r="4" spans="1:18" customFormat="1" x14ac:dyDescent="0.25">
      <c r="A4" s="22" t="s">
        <v>29</v>
      </c>
      <c r="B4" s="22" t="s">
        <v>30</v>
      </c>
      <c r="C4" s="22" t="s">
        <v>1578</v>
      </c>
      <c r="D4" s="22"/>
      <c r="E4" s="22" t="s">
        <v>1579</v>
      </c>
      <c r="F4" s="23">
        <v>6</v>
      </c>
      <c r="G4" s="23">
        <v>0</v>
      </c>
      <c r="H4" s="23">
        <v>30</v>
      </c>
      <c r="I4" s="23">
        <f t="shared" si="0"/>
        <v>-30</v>
      </c>
      <c r="J4" s="22" t="s">
        <v>1580</v>
      </c>
      <c r="K4" s="22" t="s">
        <v>34</v>
      </c>
      <c r="L4" s="22" t="s">
        <v>1577</v>
      </c>
      <c r="M4" s="22"/>
      <c r="N4" s="22"/>
      <c r="O4" s="22"/>
      <c r="P4" s="22"/>
      <c r="Q4" s="22">
        <v>1</v>
      </c>
      <c r="R4" s="24">
        <f>H4</f>
        <v>30</v>
      </c>
    </row>
    <row r="5" spans="1:18" customFormat="1" x14ac:dyDescent="0.25">
      <c r="A5" s="22"/>
      <c r="B5" s="22" t="s">
        <v>30</v>
      </c>
      <c r="C5" s="22" t="s">
        <v>1581</v>
      </c>
      <c r="D5" s="22" t="s">
        <v>1582</v>
      </c>
      <c r="E5" s="22" t="s">
        <v>1583</v>
      </c>
      <c r="F5" s="23">
        <v>6</v>
      </c>
      <c r="G5" s="23">
        <v>1875</v>
      </c>
      <c r="H5" s="23">
        <v>25</v>
      </c>
      <c r="I5" s="23">
        <f t="shared" si="0"/>
        <v>1850</v>
      </c>
      <c r="J5" s="22" t="s">
        <v>1580</v>
      </c>
      <c r="K5" s="22" t="s">
        <v>34</v>
      </c>
      <c r="L5" s="22" t="s">
        <v>1577</v>
      </c>
      <c r="M5" s="22"/>
      <c r="N5" s="22"/>
      <c r="O5" s="22"/>
      <c r="P5" s="22"/>
      <c r="Q5" s="22">
        <v>1</v>
      </c>
    </row>
    <row r="6" spans="1:18" customFormat="1" x14ac:dyDescent="0.25">
      <c r="A6" s="22"/>
      <c r="B6" s="22" t="s">
        <v>30</v>
      </c>
      <c r="C6" s="22" t="s">
        <v>1584</v>
      </c>
      <c r="D6" s="22" t="s">
        <v>1585</v>
      </c>
      <c r="E6" s="22" t="s">
        <v>1586</v>
      </c>
      <c r="F6" s="22" t="s">
        <v>59</v>
      </c>
      <c r="G6" s="23">
        <v>895</v>
      </c>
      <c r="H6" s="23">
        <v>25</v>
      </c>
      <c r="I6" s="23">
        <f t="shared" si="0"/>
        <v>870</v>
      </c>
      <c r="J6" s="22" t="s">
        <v>1580</v>
      </c>
      <c r="K6" s="22" t="s">
        <v>34</v>
      </c>
      <c r="L6" s="22" t="s">
        <v>1577</v>
      </c>
      <c r="M6" s="28" t="s">
        <v>360</v>
      </c>
      <c r="N6" s="22"/>
      <c r="O6" s="22"/>
      <c r="P6" s="22"/>
      <c r="Q6" s="22">
        <v>1</v>
      </c>
    </row>
    <row r="7" spans="1:18" customFormat="1" x14ac:dyDescent="0.25">
      <c r="A7" s="22"/>
      <c r="B7" s="22" t="s">
        <v>30</v>
      </c>
      <c r="C7" s="22" t="s">
        <v>1584</v>
      </c>
      <c r="D7" s="22" t="s">
        <v>1587</v>
      </c>
      <c r="E7" s="22" t="s">
        <v>1586</v>
      </c>
      <c r="F7" s="22" t="s">
        <v>59</v>
      </c>
      <c r="G7" s="23">
        <v>770</v>
      </c>
      <c r="H7" s="23">
        <v>0</v>
      </c>
      <c r="I7" s="23">
        <f t="shared" si="0"/>
        <v>770</v>
      </c>
      <c r="J7" s="22" t="s">
        <v>1580</v>
      </c>
      <c r="K7" s="22" t="s">
        <v>34</v>
      </c>
      <c r="L7" s="22" t="s">
        <v>1577</v>
      </c>
      <c r="M7" s="28" t="s">
        <v>360</v>
      </c>
      <c r="N7" s="22"/>
      <c r="O7" s="22"/>
      <c r="P7" s="22"/>
      <c r="Q7" s="22">
        <v>1</v>
      </c>
    </row>
    <row r="8" spans="1:18" customFormat="1" x14ac:dyDescent="0.25">
      <c r="A8" s="22"/>
      <c r="B8" s="22" t="s">
        <v>30</v>
      </c>
      <c r="C8" s="22" t="s">
        <v>1588</v>
      </c>
      <c r="D8" s="22" t="s">
        <v>1589</v>
      </c>
      <c r="E8" s="22" t="s">
        <v>1300</v>
      </c>
      <c r="F8" s="22" t="s">
        <v>39</v>
      </c>
      <c r="G8" s="23">
        <v>810</v>
      </c>
      <c r="H8" s="23">
        <v>30</v>
      </c>
      <c r="I8" s="23">
        <f t="shared" si="0"/>
        <v>780</v>
      </c>
      <c r="J8" s="22" t="s">
        <v>1580</v>
      </c>
      <c r="K8" s="22" t="s">
        <v>34</v>
      </c>
      <c r="L8" s="22" t="s">
        <v>1577</v>
      </c>
      <c r="M8" s="22"/>
      <c r="N8" s="22"/>
      <c r="O8" s="22"/>
      <c r="P8" s="22"/>
      <c r="Q8" s="22">
        <v>1</v>
      </c>
    </row>
    <row r="9" spans="1:18" customFormat="1" x14ac:dyDescent="0.25">
      <c r="A9" s="22"/>
      <c r="B9" s="22" t="s">
        <v>30</v>
      </c>
      <c r="C9" s="22" t="s">
        <v>1590</v>
      </c>
      <c r="D9" s="22" t="s">
        <v>1591</v>
      </c>
      <c r="E9" s="22" t="s">
        <v>1592</v>
      </c>
      <c r="F9" s="23">
        <v>12</v>
      </c>
      <c r="G9" s="23">
        <v>850</v>
      </c>
      <c r="H9" s="23">
        <v>30</v>
      </c>
      <c r="I9" s="23">
        <f t="shared" si="0"/>
        <v>820</v>
      </c>
      <c r="J9" s="22" t="s">
        <v>1580</v>
      </c>
      <c r="K9" s="22" t="s">
        <v>34</v>
      </c>
      <c r="L9" s="22" t="s">
        <v>1577</v>
      </c>
      <c r="M9" s="22"/>
      <c r="N9" s="22"/>
      <c r="O9" s="22"/>
      <c r="P9" s="22"/>
      <c r="Q9" s="22">
        <v>1</v>
      </c>
    </row>
    <row r="10" spans="1:18" customFormat="1" x14ac:dyDescent="0.25">
      <c r="A10" s="22"/>
      <c r="B10" s="22" t="s">
        <v>30</v>
      </c>
      <c r="C10" s="22" t="s">
        <v>1593</v>
      </c>
      <c r="D10" s="22" t="s">
        <v>1594</v>
      </c>
      <c r="E10" s="22" t="s">
        <v>1595</v>
      </c>
      <c r="F10" s="23">
        <v>7</v>
      </c>
      <c r="G10" s="23">
        <v>0</v>
      </c>
      <c r="H10" s="23">
        <v>30</v>
      </c>
      <c r="I10" s="23">
        <f t="shared" si="0"/>
        <v>-30</v>
      </c>
      <c r="J10" s="22" t="s">
        <v>1580</v>
      </c>
      <c r="K10" s="22" t="s">
        <v>34</v>
      </c>
      <c r="L10" s="22" t="s">
        <v>1577</v>
      </c>
      <c r="M10" s="22"/>
      <c r="N10" s="22"/>
      <c r="O10" s="22"/>
      <c r="P10" s="22"/>
      <c r="Q10" s="22">
        <v>1</v>
      </c>
      <c r="R10" s="24">
        <f>H10</f>
        <v>30</v>
      </c>
    </row>
    <row r="11" spans="1:18" customFormat="1" x14ac:dyDescent="0.25">
      <c r="A11" s="22"/>
      <c r="B11" s="22" t="s">
        <v>30</v>
      </c>
      <c r="C11" s="22" t="s">
        <v>1596</v>
      </c>
      <c r="D11" s="22" t="s">
        <v>1597</v>
      </c>
      <c r="E11" s="22" t="s">
        <v>1598</v>
      </c>
      <c r="F11" s="22" t="s">
        <v>59</v>
      </c>
      <c r="G11" s="23">
        <v>375</v>
      </c>
      <c r="H11" s="23">
        <v>25</v>
      </c>
      <c r="I11" s="23">
        <f t="shared" si="0"/>
        <v>350</v>
      </c>
      <c r="J11" s="22" t="s">
        <v>1580</v>
      </c>
      <c r="K11" s="22" t="s">
        <v>34</v>
      </c>
      <c r="L11" s="22" t="s">
        <v>1577</v>
      </c>
      <c r="M11" s="22"/>
      <c r="N11" s="22"/>
      <c r="O11" s="22"/>
      <c r="P11" s="22"/>
      <c r="Q11" s="22">
        <v>1</v>
      </c>
    </row>
    <row r="12" spans="1:18" customFormat="1" x14ac:dyDescent="0.25">
      <c r="A12" s="22"/>
      <c r="B12" s="22" t="s">
        <v>30</v>
      </c>
      <c r="C12" s="22" t="s">
        <v>1599</v>
      </c>
      <c r="D12" s="22" t="s">
        <v>1600</v>
      </c>
      <c r="E12" s="22" t="s">
        <v>1601</v>
      </c>
      <c r="F12" s="22" t="s">
        <v>1324</v>
      </c>
      <c r="G12" s="23">
        <v>825</v>
      </c>
      <c r="H12" s="23">
        <v>35</v>
      </c>
      <c r="I12" s="23">
        <f t="shared" si="0"/>
        <v>790</v>
      </c>
      <c r="J12" s="22" t="s">
        <v>1580</v>
      </c>
      <c r="K12" s="22" t="s">
        <v>34</v>
      </c>
      <c r="L12" s="22" t="s">
        <v>1577</v>
      </c>
      <c r="M12" s="22"/>
      <c r="N12" s="22"/>
      <c r="O12" s="22"/>
      <c r="P12" s="22"/>
      <c r="Q12" s="22">
        <v>1</v>
      </c>
    </row>
    <row r="13" spans="1:18" customFormat="1" x14ac:dyDescent="0.25">
      <c r="A13" s="22"/>
      <c r="B13" s="22" t="s">
        <v>30</v>
      </c>
      <c r="C13" s="22" t="s">
        <v>1602</v>
      </c>
      <c r="D13" s="22" t="s">
        <v>1603</v>
      </c>
      <c r="E13" s="22" t="s">
        <v>1303</v>
      </c>
      <c r="F13" s="22" t="s">
        <v>39</v>
      </c>
      <c r="G13" s="23">
        <v>0</v>
      </c>
      <c r="H13" s="23">
        <v>30</v>
      </c>
      <c r="I13" s="23">
        <f t="shared" si="0"/>
        <v>-30</v>
      </c>
      <c r="J13" s="22" t="s">
        <v>1580</v>
      </c>
      <c r="K13" s="22" t="s">
        <v>34</v>
      </c>
      <c r="L13" s="22" t="s">
        <v>1577</v>
      </c>
      <c r="M13" s="22"/>
      <c r="N13" s="22"/>
      <c r="O13" s="22"/>
      <c r="P13" s="22"/>
      <c r="Q13" s="22">
        <v>1</v>
      </c>
      <c r="R13" s="24">
        <f>H13</f>
        <v>30</v>
      </c>
    </row>
    <row r="14" spans="1:18" customFormat="1" x14ac:dyDescent="0.25">
      <c r="A14" s="22"/>
      <c r="B14" s="22" t="s">
        <v>30</v>
      </c>
      <c r="C14" s="22" t="s">
        <v>1604</v>
      </c>
      <c r="D14" s="22" t="s">
        <v>1605</v>
      </c>
      <c r="E14" s="22" t="s">
        <v>1606</v>
      </c>
      <c r="F14" s="23">
        <v>12</v>
      </c>
      <c r="G14" s="23">
        <v>1530</v>
      </c>
      <c r="H14" s="23">
        <v>30</v>
      </c>
      <c r="I14" s="23">
        <f t="shared" si="0"/>
        <v>1500</v>
      </c>
      <c r="J14" s="22" t="s">
        <v>1580</v>
      </c>
      <c r="K14" s="22" t="s">
        <v>34</v>
      </c>
      <c r="L14" s="22" t="s">
        <v>1577</v>
      </c>
      <c r="M14" s="22"/>
      <c r="N14" s="22"/>
      <c r="O14" s="22"/>
      <c r="P14" s="22"/>
      <c r="Q14" s="22">
        <v>1</v>
      </c>
    </row>
    <row r="15" spans="1:18" customFormat="1" x14ac:dyDescent="0.25">
      <c r="A15" s="22"/>
      <c r="B15" s="22" t="s">
        <v>30</v>
      </c>
      <c r="C15" s="22" t="s">
        <v>1607</v>
      </c>
      <c r="D15" s="22" t="s">
        <v>1608</v>
      </c>
      <c r="E15" s="22" t="s">
        <v>1609</v>
      </c>
      <c r="F15" s="23">
        <v>7</v>
      </c>
      <c r="G15" s="23">
        <v>1020</v>
      </c>
      <c r="H15" s="23">
        <v>30</v>
      </c>
      <c r="I15" s="23">
        <f t="shared" si="0"/>
        <v>990</v>
      </c>
      <c r="J15" s="22" t="s">
        <v>1580</v>
      </c>
      <c r="K15" s="22" t="s">
        <v>34</v>
      </c>
      <c r="L15" s="22" t="s">
        <v>1577</v>
      </c>
      <c r="M15" s="22"/>
      <c r="N15" s="22"/>
      <c r="O15" s="22"/>
      <c r="P15" s="22"/>
      <c r="Q15" s="22">
        <v>1</v>
      </c>
    </row>
    <row r="16" spans="1:18" customFormat="1" x14ac:dyDescent="0.25">
      <c r="A16" s="22"/>
      <c r="B16" s="22" t="s">
        <v>30</v>
      </c>
      <c r="C16" s="22" t="s">
        <v>1610</v>
      </c>
      <c r="D16" s="22" t="s">
        <v>1611</v>
      </c>
      <c r="E16" s="22" t="s">
        <v>1612</v>
      </c>
      <c r="F16" s="23">
        <v>12</v>
      </c>
      <c r="G16" s="23">
        <v>0</v>
      </c>
      <c r="H16" s="23">
        <v>30</v>
      </c>
      <c r="I16" s="23">
        <f t="shared" si="0"/>
        <v>-30</v>
      </c>
      <c r="J16" s="22" t="s">
        <v>1580</v>
      </c>
      <c r="K16" s="22" t="s">
        <v>34</v>
      </c>
      <c r="L16" s="22" t="s">
        <v>1577</v>
      </c>
      <c r="M16" s="22"/>
      <c r="N16" s="22"/>
      <c r="O16" s="22"/>
      <c r="P16" s="22"/>
      <c r="Q16" s="22">
        <v>1</v>
      </c>
      <c r="R16" s="24">
        <f>H16</f>
        <v>30</v>
      </c>
    </row>
    <row r="17" spans="1:18" customFormat="1" x14ac:dyDescent="0.25">
      <c r="A17" s="22"/>
      <c r="B17" s="22" t="s">
        <v>30</v>
      </c>
      <c r="C17" s="22" t="s">
        <v>1442</v>
      </c>
      <c r="D17" s="22" t="s">
        <v>1613</v>
      </c>
      <c r="E17" s="22" t="s">
        <v>1444</v>
      </c>
      <c r="F17" s="22" t="s">
        <v>152</v>
      </c>
      <c r="G17" s="23">
        <v>695</v>
      </c>
      <c r="H17" s="23">
        <v>35</v>
      </c>
      <c r="I17" s="23">
        <f t="shared" si="0"/>
        <v>660</v>
      </c>
      <c r="J17" s="22" t="s">
        <v>1580</v>
      </c>
      <c r="K17" s="22" t="s">
        <v>34</v>
      </c>
      <c r="L17" s="22" t="s">
        <v>1577</v>
      </c>
      <c r="M17" s="22"/>
      <c r="N17" s="22"/>
      <c r="O17" s="22"/>
      <c r="P17" s="22"/>
      <c r="Q17" s="22">
        <v>1</v>
      </c>
    </row>
    <row r="18" spans="1:18" customFormat="1" x14ac:dyDescent="0.25">
      <c r="A18" s="22"/>
      <c r="B18" s="22" t="s">
        <v>30</v>
      </c>
      <c r="C18" s="22" t="s">
        <v>1614</v>
      </c>
      <c r="D18" s="22" t="s">
        <v>1615</v>
      </c>
      <c r="E18" s="22" t="s">
        <v>1616</v>
      </c>
      <c r="F18" s="23">
        <v>7</v>
      </c>
      <c r="G18" s="23">
        <v>2710</v>
      </c>
      <c r="H18" s="23">
        <v>35</v>
      </c>
      <c r="I18" s="23">
        <f t="shared" si="0"/>
        <v>2675</v>
      </c>
      <c r="J18" s="22" t="s">
        <v>1580</v>
      </c>
      <c r="K18" s="22" t="s">
        <v>34</v>
      </c>
      <c r="L18" s="22" t="s">
        <v>1577</v>
      </c>
      <c r="M18" s="28" t="s">
        <v>180</v>
      </c>
      <c r="N18" s="22"/>
      <c r="O18" s="22"/>
      <c r="P18" s="22"/>
      <c r="Q18" s="22">
        <v>1</v>
      </c>
      <c r="R18" s="24">
        <f>H18</f>
        <v>35</v>
      </c>
    </row>
    <row r="19" spans="1:18" customFormat="1" x14ac:dyDescent="0.25">
      <c r="A19" s="22"/>
      <c r="B19" s="22" t="s">
        <v>30</v>
      </c>
      <c r="C19" s="22" t="s">
        <v>1617</v>
      </c>
      <c r="D19" s="22" t="s">
        <v>1618</v>
      </c>
      <c r="E19" s="22" t="s">
        <v>1619</v>
      </c>
      <c r="F19" s="22" t="s">
        <v>152</v>
      </c>
      <c r="G19" s="23">
        <v>1685</v>
      </c>
      <c r="H19" s="23">
        <v>35</v>
      </c>
      <c r="I19" s="23">
        <f t="shared" si="0"/>
        <v>1650</v>
      </c>
      <c r="J19" s="22" t="s">
        <v>1580</v>
      </c>
      <c r="K19" s="22" t="s">
        <v>34</v>
      </c>
      <c r="L19" s="22" t="s">
        <v>1577</v>
      </c>
      <c r="M19" s="22"/>
      <c r="N19" s="22"/>
      <c r="O19" s="22"/>
      <c r="P19" s="22"/>
      <c r="Q19" s="22">
        <v>1</v>
      </c>
    </row>
    <row r="20" spans="1:18" customFormat="1" x14ac:dyDescent="0.25">
      <c r="A20" s="22"/>
      <c r="B20" s="22" t="s">
        <v>30</v>
      </c>
      <c r="C20" s="22" t="s">
        <v>1620</v>
      </c>
      <c r="D20" s="22" t="s">
        <v>1621</v>
      </c>
      <c r="E20" s="22" t="s">
        <v>1622</v>
      </c>
      <c r="F20" s="22" t="s">
        <v>59</v>
      </c>
      <c r="G20" s="23">
        <v>855</v>
      </c>
      <c r="H20" s="23">
        <v>25</v>
      </c>
      <c r="I20" s="23">
        <f t="shared" si="0"/>
        <v>830</v>
      </c>
      <c r="J20" s="22" t="s">
        <v>1580</v>
      </c>
      <c r="K20" s="22" t="s">
        <v>34</v>
      </c>
      <c r="L20" s="22" t="s">
        <v>1577</v>
      </c>
      <c r="M20" s="22"/>
      <c r="N20" s="22"/>
      <c r="O20" s="22"/>
      <c r="P20" s="22"/>
      <c r="Q20" s="22">
        <v>1</v>
      </c>
    </row>
    <row r="21" spans="1:18" customFormat="1" x14ac:dyDescent="0.25">
      <c r="A21" s="22" t="s">
        <v>29</v>
      </c>
      <c r="B21" s="22" t="s">
        <v>30</v>
      </c>
      <c r="C21" s="22" t="s">
        <v>353</v>
      </c>
      <c r="D21" s="22"/>
      <c r="E21" s="22" t="s">
        <v>354</v>
      </c>
      <c r="F21" s="22" t="s">
        <v>90</v>
      </c>
      <c r="G21" s="23">
        <v>30</v>
      </c>
      <c r="H21" s="23">
        <v>30</v>
      </c>
      <c r="I21" s="23">
        <f t="shared" si="0"/>
        <v>0</v>
      </c>
      <c r="J21" s="22" t="s">
        <v>34</v>
      </c>
      <c r="K21" s="22" t="s">
        <v>34</v>
      </c>
      <c r="L21" s="22" t="s">
        <v>1577</v>
      </c>
      <c r="M21" s="22"/>
      <c r="N21" s="22"/>
      <c r="O21" s="22"/>
      <c r="P21" s="22"/>
      <c r="Q21" s="22">
        <v>1</v>
      </c>
    </row>
    <row r="22" spans="1:18" customFormat="1" x14ac:dyDescent="0.25">
      <c r="A22" s="22" t="s">
        <v>29</v>
      </c>
      <c r="B22" s="22" t="s">
        <v>30</v>
      </c>
      <c r="C22" s="22" t="s">
        <v>351</v>
      </c>
      <c r="D22" s="22"/>
      <c r="E22" s="22" t="s">
        <v>352</v>
      </c>
      <c r="F22" s="22" t="s">
        <v>90</v>
      </c>
      <c r="G22" s="23">
        <v>0</v>
      </c>
      <c r="H22" s="23">
        <v>30</v>
      </c>
      <c r="I22" s="23">
        <f t="shared" si="0"/>
        <v>-30</v>
      </c>
      <c r="J22" s="22" t="s">
        <v>34</v>
      </c>
      <c r="K22" s="22" t="s">
        <v>34</v>
      </c>
      <c r="L22" s="22" t="s">
        <v>1577</v>
      </c>
      <c r="M22" s="22"/>
      <c r="N22" s="22"/>
      <c r="O22" s="22"/>
      <c r="P22" s="22"/>
      <c r="Q22" s="22">
        <v>1</v>
      </c>
      <c r="R22" s="24">
        <f t="shared" ref="R22:R23" si="1">H22</f>
        <v>30</v>
      </c>
    </row>
    <row r="23" spans="1:18" customFormat="1" x14ac:dyDescent="0.25">
      <c r="A23" s="22" t="s">
        <v>29</v>
      </c>
      <c r="B23" s="22" t="s">
        <v>30</v>
      </c>
      <c r="C23" s="22" t="s">
        <v>1623</v>
      </c>
      <c r="D23" s="22"/>
      <c r="E23" s="22" t="s">
        <v>1624</v>
      </c>
      <c r="F23" s="22" t="s">
        <v>98</v>
      </c>
      <c r="G23" s="23">
        <v>0</v>
      </c>
      <c r="H23" s="23">
        <v>35</v>
      </c>
      <c r="I23" s="23">
        <f t="shared" si="0"/>
        <v>-35</v>
      </c>
      <c r="J23" s="22" t="s">
        <v>34</v>
      </c>
      <c r="K23" s="22" t="s">
        <v>34</v>
      </c>
      <c r="L23" s="22" t="s">
        <v>1577</v>
      </c>
      <c r="M23" s="22"/>
      <c r="N23" s="22"/>
      <c r="O23" s="22"/>
      <c r="P23" s="22"/>
      <c r="Q23" s="22">
        <v>1</v>
      </c>
      <c r="R23" s="24">
        <f t="shared" si="1"/>
        <v>35</v>
      </c>
    </row>
    <row r="24" spans="1:18" customFormat="1" x14ac:dyDescent="0.25">
      <c r="A24" s="22"/>
      <c r="B24" s="22" t="s">
        <v>30</v>
      </c>
      <c r="C24" s="22" t="s">
        <v>1625</v>
      </c>
      <c r="D24" s="22" t="s">
        <v>1626</v>
      </c>
      <c r="E24" s="22" t="s">
        <v>1627</v>
      </c>
      <c r="F24" s="22" t="s">
        <v>90</v>
      </c>
      <c r="G24" s="23">
        <v>595</v>
      </c>
      <c r="H24" s="23">
        <v>25</v>
      </c>
      <c r="I24" s="23">
        <f t="shared" si="0"/>
        <v>570</v>
      </c>
      <c r="J24" s="22" t="s">
        <v>34</v>
      </c>
      <c r="K24" s="22" t="s">
        <v>34</v>
      </c>
      <c r="L24" s="22" t="s">
        <v>1577</v>
      </c>
      <c r="M24" s="28" t="s">
        <v>180</v>
      </c>
      <c r="N24" s="22"/>
      <c r="O24" s="22"/>
      <c r="P24" s="22"/>
      <c r="Q24" s="22">
        <v>1</v>
      </c>
      <c r="R24" s="24">
        <f>H24</f>
        <v>25</v>
      </c>
    </row>
    <row r="25" spans="1:18" customFormat="1" x14ac:dyDescent="0.25">
      <c r="A25" s="22"/>
      <c r="B25" s="22" t="s">
        <v>30</v>
      </c>
      <c r="C25" s="22" t="s">
        <v>1628</v>
      </c>
      <c r="D25" s="22" t="s">
        <v>1629</v>
      </c>
      <c r="E25" s="22" t="s">
        <v>1630</v>
      </c>
      <c r="F25" s="23">
        <v>1</v>
      </c>
      <c r="G25" s="23">
        <v>0</v>
      </c>
      <c r="H25" s="23">
        <v>25</v>
      </c>
      <c r="I25" s="23">
        <f t="shared" si="0"/>
        <v>-25</v>
      </c>
      <c r="J25" s="22" t="s">
        <v>148</v>
      </c>
      <c r="K25" s="22" t="s">
        <v>34</v>
      </c>
      <c r="L25" s="22" t="s">
        <v>1577</v>
      </c>
      <c r="M25" s="22"/>
      <c r="N25" s="22"/>
      <c r="O25" s="22"/>
      <c r="P25" s="22"/>
      <c r="Q25" s="22">
        <v>1</v>
      </c>
      <c r="R25" s="24">
        <f t="shared" ref="R25:R26" si="2">H25</f>
        <v>25</v>
      </c>
    </row>
    <row r="26" spans="1:18" customFormat="1" x14ac:dyDescent="0.25">
      <c r="A26" s="22"/>
      <c r="B26" s="22" t="s">
        <v>30</v>
      </c>
      <c r="C26" s="22" t="s">
        <v>788</v>
      </c>
      <c r="D26" s="22" t="s">
        <v>1631</v>
      </c>
      <c r="E26" s="22" t="s">
        <v>1632</v>
      </c>
      <c r="F26" s="23">
        <v>1</v>
      </c>
      <c r="G26" s="23">
        <v>0</v>
      </c>
      <c r="H26" s="23">
        <v>25</v>
      </c>
      <c r="I26" s="23">
        <f t="shared" si="0"/>
        <v>-25</v>
      </c>
      <c r="J26" s="22" t="s">
        <v>148</v>
      </c>
      <c r="K26" s="22" t="s">
        <v>34</v>
      </c>
      <c r="L26" s="22" t="s">
        <v>1577</v>
      </c>
      <c r="M26" s="22"/>
      <c r="N26" s="22"/>
      <c r="O26" s="22"/>
      <c r="P26" s="22"/>
      <c r="Q26" s="22">
        <v>1</v>
      </c>
      <c r="R26" s="24">
        <f t="shared" si="2"/>
        <v>25</v>
      </c>
    </row>
    <row r="27" spans="1:18" customFormat="1" x14ac:dyDescent="0.25">
      <c r="A27" s="22"/>
      <c r="B27" s="22" t="s">
        <v>30</v>
      </c>
      <c r="C27" s="22" t="s">
        <v>1101</v>
      </c>
      <c r="D27" s="22" t="s">
        <v>1633</v>
      </c>
      <c r="E27" s="22" t="s">
        <v>1634</v>
      </c>
      <c r="F27" s="22" t="s">
        <v>108</v>
      </c>
      <c r="G27" s="23">
        <v>25</v>
      </c>
      <c r="H27" s="23">
        <v>25</v>
      </c>
      <c r="I27" s="23">
        <f t="shared" si="0"/>
        <v>0</v>
      </c>
      <c r="J27" s="22" t="s">
        <v>148</v>
      </c>
      <c r="K27" s="22" t="s">
        <v>34</v>
      </c>
      <c r="L27" s="22" t="s">
        <v>1577</v>
      </c>
      <c r="M27" s="22"/>
      <c r="N27" s="22"/>
      <c r="O27" s="22"/>
      <c r="P27" s="22"/>
      <c r="Q27" s="22">
        <v>1</v>
      </c>
    </row>
    <row r="28" spans="1:18" customFormat="1" x14ac:dyDescent="0.25">
      <c r="A28" s="22"/>
      <c r="B28" s="22" t="s">
        <v>30</v>
      </c>
      <c r="C28" s="22" t="s">
        <v>1635</v>
      </c>
      <c r="D28" s="22" t="s">
        <v>1636</v>
      </c>
      <c r="E28" s="22" t="s">
        <v>1637</v>
      </c>
      <c r="F28" s="23">
        <v>3</v>
      </c>
      <c r="G28" s="23">
        <v>0</v>
      </c>
      <c r="H28" s="23">
        <v>25</v>
      </c>
      <c r="I28" s="23">
        <f t="shared" si="0"/>
        <v>-25</v>
      </c>
      <c r="J28" s="22" t="s">
        <v>148</v>
      </c>
      <c r="K28" s="22" t="s">
        <v>34</v>
      </c>
      <c r="L28" s="22" t="s">
        <v>1577</v>
      </c>
      <c r="M28" s="22"/>
      <c r="N28" s="22"/>
      <c r="O28" s="22"/>
      <c r="P28" s="22"/>
      <c r="Q28" s="22">
        <v>1</v>
      </c>
      <c r="R28" s="24">
        <f t="shared" ref="R28:R30" si="3">H28</f>
        <v>25</v>
      </c>
    </row>
    <row r="29" spans="1:18" customFormat="1" x14ac:dyDescent="0.25">
      <c r="A29" s="22"/>
      <c r="B29" s="22" t="s">
        <v>30</v>
      </c>
      <c r="C29" s="22" t="s">
        <v>1638</v>
      </c>
      <c r="D29" s="22" t="s">
        <v>1639</v>
      </c>
      <c r="E29" s="22" t="s">
        <v>1640</v>
      </c>
      <c r="F29" s="22" t="s">
        <v>108</v>
      </c>
      <c r="G29" s="23">
        <v>0</v>
      </c>
      <c r="H29" s="23">
        <v>25</v>
      </c>
      <c r="I29" s="23">
        <f t="shared" si="0"/>
        <v>-25</v>
      </c>
      <c r="J29" s="22" t="s">
        <v>148</v>
      </c>
      <c r="K29" s="22" t="s">
        <v>34</v>
      </c>
      <c r="L29" s="22" t="s">
        <v>1577</v>
      </c>
      <c r="M29" s="22"/>
      <c r="N29" s="22"/>
      <c r="O29" s="22"/>
      <c r="P29" s="22"/>
      <c r="Q29" s="22">
        <v>1</v>
      </c>
      <c r="R29" s="24">
        <f t="shared" si="3"/>
        <v>25</v>
      </c>
    </row>
    <row r="30" spans="1:18" customFormat="1" x14ac:dyDescent="0.25">
      <c r="A30" s="22"/>
      <c r="B30" s="22" t="s">
        <v>30</v>
      </c>
      <c r="C30" s="22" t="s">
        <v>1641</v>
      </c>
      <c r="D30" s="22" t="s">
        <v>1642</v>
      </c>
      <c r="E30" s="22" t="s">
        <v>1643</v>
      </c>
      <c r="F30" s="22" t="s">
        <v>389</v>
      </c>
      <c r="G30" s="23">
        <v>0</v>
      </c>
      <c r="H30" s="23">
        <v>20</v>
      </c>
      <c r="I30" s="23">
        <f t="shared" si="0"/>
        <v>-20</v>
      </c>
      <c r="J30" s="22" t="s">
        <v>148</v>
      </c>
      <c r="K30" s="22" t="s">
        <v>34</v>
      </c>
      <c r="L30" s="22" t="s">
        <v>1577</v>
      </c>
      <c r="M30" s="22"/>
      <c r="N30" s="22"/>
      <c r="O30" s="22"/>
      <c r="P30" s="22"/>
      <c r="Q30" s="22">
        <v>1</v>
      </c>
      <c r="R30" s="24">
        <f t="shared" si="3"/>
        <v>20</v>
      </c>
    </row>
    <row r="31" spans="1:18" customFormat="1" x14ac:dyDescent="0.25">
      <c r="A31" s="22"/>
      <c r="B31" s="22" t="s">
        <v>30</v>
      </c>
      <c r="C31" s="22" t="s">
        <v>573</v>
      </c>
      <c r="D31" s="22" t="s">
        <v>1644</v>
      </c>
      <c r="E31" s="22" t="s">
        <v>575</v>
      </c>
      <c r="F31" s="22" t="s">
        <v>108</v>
      </c>
      <c r="G31" s="23">
        <v>875</v>
      </c>
      <c r="H31" s="23">
        <v>25</v>
      </c>
      <c r="I31" s="23">
        <f t="shared" si="0"/>
        <v>850</v>
      </c>
      <c r="J31" s="22" t="s">
        <v>148</v>
      </c>
      <c r="K31" s="22" t="s">
        <v>34</v>
      </c>
      <c r="L31" s="22" t="s">
        <v>1577</v>
      </c>
      <c r="M31" s="22"/>
      <c r="N31" s="22"/>
      <c r="O31" s="22"/>
      <c r="P31" s="22"/>
      <c r="Q31" s="22">
        <v>1</v>
      </c>
    </row>
    <row r="32" spans="1:18" customFormat="1" x14ac:dyDescent="0.25">
      <c r="A32" s="22"/>
      <c r="B32" s="22" t="s">
        <v>30</v>
      </c>
      <c r="C32" s="22" t="s">
        <v>1645</v>
      </c>
      <c r="D32" s="22" t="s">
        <v>1646</v>
      </c>
      <c r="E32" s="22" t="s">
        <v>1647</v>
      </c>
      <c r="F32" s="23">
        <v>1</v>
      </c>
      <c r="G32" s="23">
        <v>1015</v>
      </c>
      <c r="H32" s="23">
        <v>25</v>
      </c>
      <c r="I32" s="23">
        <f t="shared" si="0"/>
        <v>990</v>
      </c>
      <c r="J32" s="22" t="s">
        <v>148</v>
      </c>
      <c r="K32" s="22" t="s">
        <v>34</v>
      </c>
      <c r="L32" s="22" t="s">
        <v>1577</v>
      </c>
      <c r="M32" s="22"/>
      <c r="N32" s="22"/>
      <c r="O32" s="22"/>
      <c r="P32" s="22"/>
      <c r="Q32" s="22">
        <v>1</v>
      </c>
    </row>
    <row r="33" spans="1:18" customFormat="1" x14ac:dyDescent="0.25">
      <c r="A33" s="22"/>
      <c r="B33" s="22" t="s">
        <v>30</v>
      </c>
      <c r="C33" s="22" t="s">
        <v>1648</v>
      </c>
      <c r="D33" s="22" t="s">
        <v>1649</v>
      </c>
      <c r="E33" s="22" t="s">
        <v>1650</v>
      </c>
      <c r="F33" s="23">
        <v>3</v>
      </c>
      <c r="G33" s="23">
        <v>915</v>
      </c>
      <c r="H33" s="23">
        <v>25</v>
      </c>
      <c r="I33" s="23">
        <f t="shared" si="0"/>
        <v>890</v>
      </c>
      <c r="J33" s="22" t="s">
        <v>148</v>
      </c>
      <c r="K33" s="22" t="s">
        <v>34</v>
      </c>
      <c r="L33" s="22" t="s">
        <v>1577</v>
      </c>
      <c r="M33" s="22"/>
      <c r="N33" s="22"/>
      <c r="O33" s="22"/>
      <c r="P33" s="22"/>
      <c r="Q33" s="22">
        <v>1</v>
      </c>
    </row>
    <row r="35" spans="1:18" x14ac:dyDescent="0.25">
      <c r="G35" s="1">
        <f t="shared" ref="G35:R35" si="4">SUBTOTAL(9,G3:G34)</f>
        <v>19250</v>
      </c>
      <c r="H35" s="1">
        <f t="shared" si="4"/>
        <v>850</v>
      </c>
      <c r="I35" s="1">
        <f t="shared" si="4"/>
        <v>18400</v>
      </c>
      <c r="J35" s="1">
        <f t="shared" si="4"/>
        <v>0</v>
      </c>
      <c r="K35" s="1">
        <f t="shared" si="4"/>
        <v>0</v>
      </c>
      <c r="L35" s="1">
        <f t="shared" si="4"/>
        <v>0</v>
      </c>
      <c r="M35" s="1">
        <f t="shared" si="4"/>
        <v>0</v>
      </c>
      <c r="N35" s="1">
        <f t="shared" si="4"/>
        <v>0</v>
      </c>
      <c r="O35" s="1">
        <f t="shared" si="4"/>
        <v>0</v>
      </c>
      <c r="P35" s="1">
        <f t="shared" si="4"/>
        <v>0</v>
      </c>
      <c r="Q35" s="1">
        <f t="shared" si="4"/>
        <v>31</v>
      </c>
      <c r="R35" s="1">
        <f t="shared" si="4"/>
        <v>365</v>
      </c>
    </row>
    <row r="36" spans="1:18" x14ac:dyDescent="0.25">
      <c r="I36" s="1">
        <v>-2930</v>
      </c>
      <c r="J36" s="1" t="s">
        <v>1651</v>
      </c>
    </row>
    <row r="39" spans="1:18" ht="20.25" customHeight="1" x14ac:dyDescent="0.3">
      <c r="H39" s="4" t="s">
        <v>1504</v>
      </c>
      <c r="I39" s="5" t="s">
        <v>15</v>
      </c>
      <c r="J39" s="6" t="s">
        <v>16</v>
      </c>
    </row>
    <row r="40" spans="1:18" ht="15.75" customHeight="1" x14ac:dyDescent="0.25">
      <c r="H40" s="7" t="s">
        <v>17</v>
      </c>
      <c r="I40" s="8">
        <f>SUM(I34:I38)</f>
        <v>15470</v>
      </c>
      <c r="J40" s="8">
        <f>Q35</f>
        <v>31</v>
      </c>
    </row>
    <row r="41" spans="1:18" x14ac:dyDescent="0.25">
      <c r="H41" s="9" t="s">
        <v>18</v>
      </c>
      <c r="I41" s="10">
        <f>R35</f>
        <v>365</v>
      </c>
      <c r="J41" s="11"/>
    </row>
    <row r="42" spans="1:18" x14ac:dyDescent="0.25">
      <c r="H42" s="9" t="s">
        <v>19</v>
      </c>
      <c r="I42" s="10">
        <f>S34</f>
        <v>0</v>
      </c>
      <c r="J42" s="11"/>
    </row>
    <row r="43" spans="1:18" x14ac:dyDescent="0.25">
      <c r="H43" s="9" t="s">
        <v>20</v>
      </c>
      <c r="I43" s="10">
        <f>T34</f>
        <v>0</v>
      </c>
      <c r="J43" s="11"/>
    </row>
    <row r="44" spans="1:18" x14ac:dyDescent="0.25">
      <c r="H44" s="9" t="s">
        <v>21</v>
      </c>
      <c r="I44" s="10">
        <f>U34</f>
        <v>0</v>
      </c>
      <c r="J44" s="11"/>
    </row>
    <row r="45" spans="1:18" ht="15.75" customHeight="1" x14ac:dyDescent="0.25">
      <c r="H45" s="12" t="s">
        <v>22</v>
      </c>
      <c r="I45" s="13"/>
      <c r="J45" s="13"/>
    </row>
    <row r="46" spans="1:18" ht="15.75" customHeight="1" x14ac:dyDescent="0.25">
      <c r="H46" s="14" t="s">
        <v>23</v>
      </c>
      <c r="I46" s="13"/>
      <c r="J46" s="13"/>
    </row>
    <row r="47" spans="1:18" ht="21" customHeight="1" x14ac:dyDescent="0.35">
      <c r="H47" s="15" t="s">
        <v>24</v>
      </c>
      <c r="I47" s="16">
        <f>SUM(I40:I46)</f>
        <v>15835</v>
      </c>
      <c r="J47" s="16">
        <f>SUM(J40:J44)</f>
        <v>31</v>
      </c>
    </row>
  </sheetData>
  <autoFilter ref="A2:P33" xr:uid="{00000000-0009-0000-0000-000006000000}">
    <sortState xmlns:xlrd2="http://schemas.microsoft.com/office/spreadsheetml/2017/richdata2" ref="A3:P33">
      <sortCondition ref="J2:J33"/>
    </sortState>
  </autoFilter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97EC-9F26-4C4B-8BF1-26CBB7F3ED40}">
  <dimension ref="A1:R70"/>
  <sheetViews>
    <sheetView zoomScale="82" zoomScaleNormal="80" workbookViewId="0">
      <selection activeCell="H62" sqref="H62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424</v>
      </c>
      <c r="C1" s="1" t="s">
        <v>1574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19" customFormat="1" x14ac:dyDescent="0.25">
      <c r="A3" s="17"/>
      <c r="B3" s="17"/>
      <c r="C3" s="17"/>
      <c r="D3" s="17"/>
      <c r="E3" s="17"/>
      <c r="F3" s="17"/>
      <c r="G3" s="18"/>
      <c r="H3" s="18"/>
      <c r="I3" s="18"/>
      <c r="J3" s="17"/>
      <c r="K3" s="17"/>
      <c r="L3" s="17"/>
      <c r="M3" s="17"/>
      <c r="N3" s="17"/>
      <c r="O3" s="17"/>
      <c r="P3" s="17"/>
      <c r="Q3" s="17"/>
    </row>
    <row r="4" spans="1:18" s="19" customFormat="1" x14ac:dyDescent="0.25">
      <c r="A4" s="17"/>
      <c r="B4" s="17"/>
      <c r="C4" s="17"/>
      <c r="D4" s="17"/>
      <c r="E4" s="17"/>
      <c r="F4" s="17"/>
      <c r="G4" s="18"/>
      <c r="H4" s="18"/>
      <c r="I4" s="18"/>
      <c r="J4" s="17"/>
      <c r="K4" s="17"/>
      <c r="L4" s="17"/>
      <c r="M4" s="17"/>
      <c r="N4" s="17"/>
      <c r="O4" s="17"/>
      <c r="P4" s="17"/>
      <c r="Q4" s="17"/>
    </row>
    <row r="5" spans="1:18" s="19" customFormat="1" x14ac:dyDescent="0.25">
      <c r="A5" s="17"/>
      <c r="B5" s="17"/>
      <c r="C5" s="17"/>
      <c r="D5" s="17"/>
      <c r="E5" s="17"/>
      <c r="F5" s="18"/>
      <c r="G5" s="18"/>
      <c r="H5" s="18"/>
      <c r="I5" s="18"/>
      <c r="J5" s="17"/>
      <c r="K5" s="17"/>
      <c r="L5" s="17"/>
      <c r="M5" s="17"/>
      <c r="N5" s="17"/>
      <c r="O5" s="17"/>
      <c r="P5" s="17"/>
      <c r="Q5" s="17"/>
      <c r="R5" s="20"/>
    </row>
    <row r="6" spans="1:18" s="19" customFormat="1" x14ac:dyDescent="0.25">
      <c r="A6" s="17"/>
      <c r="B6" s="17"/>
      <c r="C6" s="17"/>
      <c r="D6" s="17"/>
      <c r="E6" s="17"/>
      <c r="F6" s="18"/>
      <c r="G6" s="18"/>
      <c r="H6" s="18"/>
      <c r="I6" s="18"/>
      <c r="J6" s="17"/>
      <c r="K6" s="17"/>
      <c r="L6" s="17"/>
      <c r="M6" s="17"/>
      <c r="N6" s="17"/>
      <c r="O6" s="17"/>
      <c r="P6" s="17"/>
      <c r="Q6" s="17"/>
    </row>
    <row r="7" spans="1:18" s="19" customFormat="1" x14ac:dyDescent="0.25">
      <c r="A7" s="17"/>
      <c r="B7" s="17"/>
      <c r="C7" s="17"/>
      <c r="D7" s="17"/>
      <c r="E7" s="17"/>
      <c r="F7" s="17"/>
      <c r="G7" s="18"/>
      <c r="H7" s="18"/>
      <c r="I7" s="18"/>
      <c r="J7" s="17"/>
      <c r="K7" s="17"/>
      <c r="L7" s="17"/>
      <c r="M7" s="17"/>
      <c r="N7" s="17"/>
      <c r="O7" s="17"/>
      <c r="P7" s="17"/>
      <c r="Q7" s="17"/>
      <c r="R7" s="20"/>
    </row>
    <row r="8" spans="1:18" s="19" customFormat="1" x14ac:dyDescent="0.25">
      <c r="A8" s="17"/>
      <c r="B8" s="17"/>
      <c r="C8" s="17"/>
      <c r="D8" s="17"/>
      <c r="E8" s="17"/>
      <c r="F8" s="18"/>
      <c r="G8" s="18"/>
      <c r="H8" s="18"/>
      <c r="I8" s="18"/>
      <c r="J8" s="17"/>
      <c r="K8" s="17"/>
      <c r="L8" s="17"/>
      <c r="M8" s="17"/>
      <c r="N8" s="17"/>
      <c r="O8" s="17"/>
      <c r="P8" s="17"/>
      <c r="Q8" s="17"/>
    </row>
    <row r="9" spans="1:18" s="19" customFormat="1" x14ac:dyDescent="0.25">
      <c r="A9" s="17"/>
      <c r="B9" s="17"/>
      <c r="C9" s="17"/>
      <c r="D9" s="17"/>
      <c r="E9" s="17"/>
      <c r="F9" s="17"/>
      <c r="G9" s="18"/>
      <c r="H9" s="18"/>
      <c r="I9" s="18"/>
      <c r="J9" s="17"/>
      <c r="K9" s="17"/>
      <c r="L9" s="17"/>
      <c r="M9" s="17"/>
      <c r="N9" s="17"/>
      <c r="O9" s="17"/>
      <c r="P9" s="17"/>
      <c r="Q9" s="17"/>
    </row>
    <row r="10" spans="1:18" s="19" customFormat="1" x14ac:dyDescent="0.25">
      <c r="A10" s="17"/>
      <c r="B10" s="17"/>
      <c r="C10" s="17"/>
      <c r="D10" s="17"/>
      <c r="E10" s="17"/>
      <c r="F10" s="17"/>
      <c r="G10" s="18"/>
      <c r="H10" s="18"/>
      <c r="I10" s="18"/>
      <c r="J10" s="17"/>
      <c r="K10" s="17"/>
      <c r="L10" s="17"/>
      <c r="M10" s="21"/>
      <c r="N10" s="17"/>
      <c r="O10" s="17"/>
      <c r="P10" s="17"/>
      <c r="Q10" s="17"/>
      <c r="R10" s="20"/>
    </row>
    <row r="11" spans="1:18" s="19" customFormat="1" x14ac:dyDescent="0.25">
      <c r="A11" s="17"/>
      <c r="B11" s="17"/>
      <c r="C11" s="17"/>
      <c r="D11" s="17"/>
      <c r="E11" s="17"/>
      <c r="F11" s="18"/>
      <c r="G11" s="18"/>
      <c r="H11" s="18"/>
      <c r="I11" s="18"/>
      <c r="J11" s="17"/>
      <c r="K11" s="17"/>
      <c r="L11" s="17"/>
      <c r="M11" s="17"/>
      <c r="N11" s="17"/>
      <c r="O11" s="17"/>
      <c r="P11" s="17"/>
      <c r="Q11" s="17"/>
      <c r="R11" s="20"/>
    </row>
    <row r="12" spans="1:18" s="19" customFormat="1" x14ac:dyDescent="0.25">
      <c r="A12" s="17"/>
      <c r="B12" s="17"/>
      <c r="C12" s="17"/>
      <c r="D12" s="17"/>
      <c r="E12" s="17"/>
      <c r="F12" s="18"/>
      <c r="G12" s="18"/>
      <c r="H12" s="18"/>
      <c r="I12" s="18"/>
      <c r="J12" s="17"/>
      <c r="K12" s="17"/>
      <c r="L12" s="17"/>
      <c r="M12" s="17"/>
      <c r="N12" s="17"/>
      <c r="O12" s="17"/>
      <c r="P12" s="17"/>
      <c r="Q12" s="17"/>
    </row>
    <row r="13" spans="1:18" s="19" customFormat="1" x14ac:dyDescent="0.25">
      <c r="A13" s="17"/>
      <c r="B13" s="17"/>
      <c r="C13" s="17"/>
      <c r="D13" s="17"/>
      <c r="E13" s="17"/>
      <c r="F13" s="17"/>
      <c r="G13" s="18"/>
      <c r="H13" s="18"/>
      <c r="I13" s="18"/>
      <c r="J13" s="17"/>
      <c r="K13" s="17"/>
      <c r="L13" s="17"/>
      <c r="M13" s="17"/>
      <c r="N13" s="17"/>
      <c r="O13" s="17"/>
      <c r="P13" s="17"/>
      <c r="Q13" s="17"/>
    </row>
    <row r="14" spans="1:18" s="19" customFormat="1" x14ac:dyDescent="0.25">
      <c r="A14" s="17"/>
      <c r="B14" s="17"/>
      <c r="C14" s="17"/>
      <c r="D14" s="17"/>
      <c r="E14" s="17"/>
      <c r="F14" s="17"/>
      <c r="G14" s="18"/>
      <c r="H14" s="18"/>
      <c r="I14" s="18"/>
      <c r="J14" s="17"/>
      <c r="K14" s="17"/>
      <c r="L14" s="17"/>
      <c r="M14" s="17"/>
      <c r="N14" s="17"/>
      <c r="O14" s="17"/>
      <c r="P14" s="17"/>
      <c r="Q14" s="17"/>
    </row>
    <row r="15" spans="1:18" s="19" customFormat="1" x14ac:dyDescent="0.25">
      <c r="A15" s="17"/>
      <c r="B15" s="17"/>
      <c r="C15" s="17"/>
      <c r="D15" s="17"/>
      <c r="E15" s="17"/>
      <c r="F15" s="17"/>
      <c r="G15" s="18"/>
      <c r="H15" s="18"/>
      <c r="I15" s="18"/>
      <c r="J15" s="17"/>
      <c r="K15" s="17"/>
      <c r="L15" s="17"/>
      <c r="M15" s="17"/>
      <c r="N15" s="17"/>
      <c r="O15" s="17"/>
      <c r="P15" s="17"/>
      <c r="Q15" s="17"/>
      <c r="R15" s="20"/>
    </row>
    <row r="16" spans="1:18" s="19" customFormat="1" x14ac:dyDescent="0.25">
      <c r="A16" s="17"/>
      <c r="B16" s="17"/>
      <c r="C16" s="17"/>
      <c r="D16" s="17"/>
      <c r="E16" s="17"/>
      <c r="F16" s="17"/>
      <c r="G16" s="18"/>
      <c r="H16" s="18"/>
      <c r="I16" s="18"/>
      <c r="J16" s="17"/>
      <c r="K16" s="17"/>
      <c r="L16" s="17"/>
      <c r="M16" s="17"/>
      <c r="N16" s="17"/>
      <c r="O16" s="17"/>
      <c r="P16" s="17"/>
      <c r="Q16" s="17"/>
      <c r="R16" s="20"/>
    </row>
    <row r="17" spans="1:18" s="19" customFormat="1" x14ac:dyDescent="0.25">
      <c r="A17" s="17"/>
      <c r="B17" s="17"/>
      <c r="C17" s="17"/>
      <c r="D17" s="17"/>
      <c r="E17" s="17"/>
      <c r="F17" s="17"/>
      <c r="G17" s="18"/>
      <c r="H17" s="18"/>
      <c r="I17" s="18"/>
      <c r="J17" s="17"/>
      <c r="K17" s="17"/>
      <c r="L17" s="17"/>
      <c r="M17" s="17"/>
      <c r="N17" s="17"/>
      <c r="O17" s="17"/>
      <c r="P17" s="17"/>
      <c r="Q17" s="17"/>
      <c r="R17" s="20"/>
    </row>
    <row r="18" spans="1:18" s="19" customFormat="1" x14ac:dyDescent="0.25">
      <c r="A18" s="17"/>
      <c r="B18" s="17"/>
      <c r="C18" s="17"/>
      <c r="D18" s="17"/>
      <c r="E18" s="17"/>
      <c r="F18" s="17"/>
      <c r="G18" s="18"/>
      <c r="H18" s="18"/>
      <c r="I18" s="18"/>
      <c r="J18" s="17"/>
      <c r="K18" s="17"/>
      <c r="L18" s="17"/>
      <c r="M18" s="17"/>
      <c r="N18" s="17"/>
      <c r="O18" s="17"/>
      <c r="P18" s="17"/>
      <c r="Q18" s="17"/>
    </row>
    <row r="19" spans="1:18" s="19" customFormat="1" x14ac:dyDescent="0.25">
      <c r="A19" s="17"/>
      <c r="B19" s="17"/>
      <c r="C19" s="17"/>
      <c r="D19" s="17"/>
      <c r="E19" s="17"/>
      <c r="F19" s="17"/>
      <c r="G19" s="18"/>
      <c r="H19" s="18"/>
      <c r="I19" s="18"/>
      <c r="J19" s="17"/>
      <c r="K19" s="17"/>
      <c r="L19" s="17"/>
      <c r="M19" s="17"/>
      <c r="N19" s="17"/>
      <c r="O19" s="17"/>
      <c r="P19" s="17"/>
      <c r="Q19" s="17"/>
      <c r="R19" s="20"/>
    </row>
    <row r="20" spans="1:18" s="19" customFormat="1" x14ac:dyDescent="0.25">
      <c r="A20" s="17"/>
      <c r="B20" s="17"/>
      <c r="C20" s="17"/>
      <c r="D20" s="17"/>
      <c r="E20" s="17"/>
      <c r="F20" s="17"/>
      <c r="G20" s="18"/>
      <c r="H20" s="18"/>
      <c r="I20" s="18"/>
      <c r="J20" s="17"/>
      <c r="K20" s="17"/>
      <c r="L20" s="17"/>
      <c r="M20" s="17"/>
      <c r="N20" s="17"/>
      <c r="O20" s="17"/>
      <c r="P20" s="17"/>
      <c r="Q20" s="17"/>
    </row>
    <row r="21" spans="1:18" s="19" customFormat="1" x14ac:dyDescent="0.25">
      <c r="A21" s="17"/>
      <c r="B21" s="17"/>
      <c r="C21" s="17"/>
      <c r="D21" s="17"/>
      <c r="E21" s="17"/>
      <c r="F21" s="18"/>
      <c r="G21" s="18"/>
      <c r="H21" s="18"/>
      <c r="I21" s="18"/>
      <c r="J21" s="17"/>
      <c r="K21" s="17"/>
      <c r="L21" s="17"/>
      <c r="M21" s="17"/>
      <c r="N21" s="17"/>
      <c r="O21" s="17"/>
      <c r="P21" s="17"/>
      <c r="Q21" s="17"/>
    </row>
    <row r="22" spans="1:18" s="19" customFormat="1" x14ac:dyDescent="0.25">
      <c r="A22" s="17"/>
      <c r="B22" s="17"/>
      <c r="C22" s="17"/>
      <c r="D22" s="17"/>
      <c r="E22" s="17"/>
      <c r="F22" s="18"/>
      <c r="G22" s="18"/>
      <c r="H22" s="18"/>
      <c r="I22" s="18"/>
      <c r="J22" s="17"/>
      <c r="K22" s="17"/>
      <c r="L22" s="17"/>
      <c r="M22" s="17"/>
      <c r="N22" s="17"/>
      <c r="O22" s="17"/>
      <c r="P22" s="17"/>
      <c r="Q22" s="17"/>
    </row>
    <row r="23" spans="1:18" s="19" customFormat="1" x14ac:dyDescent="0.25">
      <c r="A23" s="17"/>
      <c r="B23" s="17"/>
      <c r="C23" s="17"/>
      <c r="D23" s="17"/>
      <c r="E23" s="17"/>
      <c r="F23" s="18"/>
      <c r="G23" s="18"/>
      <c r="H23" s="18"/>
      <c r="I23" s="18"/>
      <c r="J23" s="17"/>
      <c r="K23" s="17"/>
      <c r="L23" s="17"/>
      <c r="M23" s="17"/>
      <c r="N23" s="17"/>
      <c r="O23" s="17"/>
      <c r="P23" s="17"/>
      <c r="Q23" s="17"/>
      <c r="R23" s="20"/>
    </row>
    <row r="24" spans="1:18" s="19" customFormat="1" x14ac:dyDescent="0.25">
      <c r="A24" s="17"/>
      <c r="B24" s="17"/>
      <c r="C24" s="17"/>
      <c r="D24" s="17"/>
      <c r="E24" s="17"/>
      <c r="F24" s="18"/>
      <c r="G24" s="18"/>
      <c r="H24" s="18"/>
      <c r="I24" s="18"/>
      <c r="J24" s="17"/>
      <c r="K24" s="17"/>
      <c r="L24" s="17"/>
      <c r="M24" s="17"/>
      <c r="N24" s="17"/>
      <c r="O24" s="17"/>
      <c r="P24" s="17"/>
      <c r="Q24" s="17"/>
    </row>
    <row r="25" spans="1:18" s="19" customFormat="1" x14ac:dyDescent="0.25">
      <c r="A25" s="17"/>
      <c r="B25" s="17"/>
      <c r="C25" s="17"/>
      <c r="D25" s="17"/>
      <c r="E25" s="17"/>
      <c r="F25" s="17"/>
      <c r="G25" s="18"/>
      <c r="H25" s="18"/>
      <c r="I25" s="18"/>
      <c r="J25" s="17"/>
      <c r="K25" s="17"/>
      <c r="L25" s="17"/>
      <c r="M25" s="17"/>
      <c r="N25" s="17"/>
      <c r="O25" s="17"/>
      <c r="P25" s="17"/>
      <c r="Q25" s="17"/>
      <c r="R25" s="20"/>
    </row>
    <row r="26" spans="1:18" s="19" customFormat="1" x14ac:dyDescent="0.25">
      <c r="A26" s="17"/>
      <c r="B26" s="17"/>
      <c r="C26" s="17"/>
      <c r="D26" s="17"/>
      <c r="E26" s="17"/>
      <c r="F26" s="18"/>
      <c r="G26" s="18"/>
      <c r="H26" s="18"/>
      <c r="I26" s="18"/>
      <c r="J26" s="17"/>
      <c r="K26" s="17"/>
      <c r="L26" s="17"/>
      <c r="M26" s="17"/>
      <c r="N26" s="17"/>
      <c r="O26" s="17"/>
      <c r="P26" s="17"/>
      <c r="Q26" s="17"/>
    </row>
    <row r="27" spans="1:18" s="19" customFormat="1" x14ac:dyDescent="0.25">
      <c r="A27" s="17"/>
      <c r="B27" s="17"/>
      <c r="C27" s="17"/>
      <c r="D27" s="17"/>
      <c r="E27" s="17"/>
      <c r="F27" s="17"/>
      <c r="G27" s="18"/>
      <c r="H27" s="18"/>
      <c r="I27" s="18"/>
      <c r="J27" s="17"/>
      <c r="K27" s="17"/>
      <c r="L27" s="17"/>
      <c r="M27" s="17"/>
      <c r="N27" s="17"/>
      <c r="O27" s="17"/>
      <c r="P27" s="17"/>
      <c r="Q27" s="17"/>
    </row>
    <row r="28" spans="1:18" s="19" customFormat="1" x14ac:dyDescent="0.25">
      <c r="A28" s="17"/>
      <c r="B28" s="17"/>
      <c r="C28" s="17"/>
      <c r="D28" s="17"/>
      <c r="E28" s="17"/>
      <c r="F28" s="17"/>
      <c r="G28" s="18"/>
      <c r="H28" s="18"/>
      <c r="I28" s="18"/>
      <c r="J28" s="17"/>
      <c r="K28" s="17"/>
      <c r="L28" s="17"/>
      <c r="M28" s="21"/>
      <c r="N28" s="17"/>
      <c r="O28" s="17"/>
      <c r="P28" s="17"/>
      <c r="Q28" s="17"/>
      <c r="R28" s="20"/>
    </row>
    <row r="29" spans="1:18" s="19" customFormat="1" x14ac:dyDescent="0.25">
      <c r="A29" s="17"/>
      <c r="B29" s="17"/>
      <c r="C29" s="17"/>
      <c r="D29" s="17"/>
      <c r="E29" s="17"/>
      <c r="F29" s="18"/>
      <c r="G29" s="18"/>
      <c r="H29" s="18"/>
      <c r="I29" s="18"/>
      <c r="J29" s="17"/>
      <c r="K29" s="17"/>
      <c r="L29" s="17"/>
      <c r="M29" s="17"/>
      <c r="N29" s="17"/>
      <c r="O29" s="17"/>
      <c r="P29" s="17"/>
      <c r="Q29" s="17"/>
      <c r="R29" s="20"/>
    </row>
    <row r="30" spans="1:18" s="19" customFormat="1" x14ac:dyDescent="0.25">
      <c r="A30" s="17"/>
      <c r="B30" s="17"/>
      <c r="C30" s="17"/>
      <c r="D30" s="17"/>
      <c r="E30" s="17"/>
      <c r="F30" s="18"/>
      <c r="G30" s="18"/>
      <c r="H30" s="18"/>
      <c r="I30" s="18"/>
      <c r="J30" s="17"/>
      <c r="K30" s="17"/>
      <c r="L30" s="17"/>
      <c r="M30" s="17"/>
      <c r="N30" s="17"/>
      <c r="O30" s="17"/>
      <c r="P30" s="17"/>
      <c r="Q30" s="17"/>
    </row>
    <row r="31" spans="1:18" s="19" customFormat="1" x14ac:dyDescent="0.25">
      <c r="A31" s="17"/>
      <c r="B31" s="17"/>
      <c r="C31" s="17"/>
      <c r="D31" s="17"/>
      <c r="E31" s="17"/>
      <c r="F31" s="17"/>
      <c r="G31" s="18"/>
      <c r="H31" s="18"/>
      <c r="I31" s="18"/>
      <c r="J31" s="17"/>
      <c r="K31" s="17"/>
      <c r="L31" s="17"/>
      <c r="M31" s="17"/>
      <c r="N31" s="17"/>
      <c r="O31" s="17"/>
      <c r="P31" s="17"/>
      <c r="Q31" s="17"/>
    </row>
    <row r="32" spans="1:18" s="19" customFormat="1" x14ac:dyDescent="0.25">
      <c r="A32" s="17"/>
      <c r="B32" s="17"/>
      <c r="C32" s="17"/>
      <c r="D32" s="17"/>
      <c r="E32" s="17"/>
      <c r="F32" s="17"/>
      <c r="G32" s="18"/>
      <c r="H32" s="18"/>
      <c r="I32" s="18"/>
      <c r="J32" s="17"/>
      <c r="K32" s="17"/>
      <c r="L32" s="17"/>
      <c r="M32" s="17"/>
      <c r="N32" s="17"/>
      <c r="O32" s="17"/>
      <c r="P32" s="17"/>
      <c r="Q32" s="17"/>
    </row>
    <row r="33" spans="1:18" s="19" customFormat="1" x14ac:dyDescent="0.25">
      <c r="A33" s="17"/>
      <c r="B33" s="17"/>
      <c r="C33" s="17"/>
      <c r="D33" s="17"/>
      <c r="E33" s="17"/>
      <c r="F33" s="17"/>
      <c r="G33" s="18"/>
      <c r="H33" s="18"/>
      <c r="I33" s="18"/>
      <c r="J33" s="17"/>
      <c r="K33" s="17"/>
      <c r="L33" s="17"/>
      <c r="M33" s="17"/>
      <c r="N33" s="17"/>
      <c r="O33" s="17"/>
      <c r="P33" s="17"/>
      <c r="Q33" s="17"/>
      <c r="R33" s="20"/>
    </row>
    <row r="34" spans="1:18" s="19" customFormat="1" x14ac:dyDescent="0.25">
      <c r="A34" s="17"/>
      <c r="B34" s="17"/>
      <c r="C34" s="17"/>
      <c r="D34" s="17"/>
      <c r="E34" s="17"/>
      <c r="F34" s="18"/>
      <c r="G34" s="18"/>
      <c r="H34" s="18"/>
      <c r="I34" s="18"/>
      <c r="J34" s="17"/>
      <c r="K34" s="17"/>
      <c r="L34" s="17"/>
      <c r="M34" s="17"/>
      <c r="N34" s="17"/>
      <c r="O34" s="17"/>
      <c r="P34" s="17"/>
      <c r="Q34" s="17"/>
    </row>
    <row r="35" spans="1:18" s="19" customFormat="1" x14ac:dyDescent="0.25">
      <c r="A35" s="17"/>
      <c r="B35" s="17"/>
      <c r="C35" s="17"/>
      <c r="D35" s="17"/>
      <c r="E35" s="17"/>
      <c r="F35" s="18"/>
      <c r="G35" s="18"/>
      <c r="H35" s="18"/>
      <c r="I35" s="18"/>
      <c r="J35" s="17"/>
      <c r="K35" s="17"/>
      <c r="L35" s="17"/>
      <c r="M35" s="17"/>
      <c r="N35" s="17"/>
      <c r="O35" s="17"/>
      <c r="P35" s="17"/>
      <c r="Q35" s="17"/>
    </row>
    <row r="36" spans="1:18" s="19" customFormat="1" x14ac:dyDescent="0.25">
      <c r="A36" s="17"/>
      <c r="B36" s="17"/>
      <c r="C36" s="17"/>
      <c r="D36" s="17"/>
      <c r="E36" s="17"/>
      <c r="F36" s="18"/>
      <c r="G36" s="18"/>
      <c r="H36" s="18"/>
      <c r="I36" s="18"/>
      <c r="J36" s="17"/>
      <c r="K36" s="17"/>
      <c r="L36" s="17"/>
      <c r="M36" s="17"/>
      <c r="N36" s="17"/>
      <c r="O36" s="17"/>
      <c r="P36" s="17"/>
      <c r="Q36" s="17"/>
      <c r="R36" s="20"/>
    </row>
    <row r="37" spans="1:18" s="19" customFormat="1" x14ac:dyDescent="0.25">
      <c r="A37" s="17"/>
      <c r="B37" s="17"/>
      <c r="C37" s="17"/>
      <c r="D37" s="17"/>
      <c r="E37" s="17"/>
      <c r="F37" s="18"/>
      <c r="G37" s="18"/>
      <c r="H37" s="18"/>
      <c r="I37" s="18"/>
      <c r="J37" s="17"/>
      <c r="K37" s="17"/>
      <c r="L37" s="17"/>
      <c r="M37" s="17"/>
      <c r="N37" s="17"/>
      <c r="O37" s="17"/>
      <c r="P37" s="17"/>
      <c r="Q37" s="17"/>
    </row>
    <row r="38" spans="1:18" s="19" customFormat="1" x14ac:dyDescent="0.25">
      <c r="A38" s="17"/>
      <c r="B38" s="17"/>
      <c r="C38" s="17"/>
      <c r="D38" s="17"/>
      <c r="E38" s="17"/>
      <c r="F38" s="17"/>
      <c r="G38" s="18"/>
      <c r="H38" s="18"/>
      <c r="I38" s="18"/>
      <c r="J38" s="17"/>
      <c r="K38" s="17"/>
      <c r="L38" s="17"/>
      <c r="M38" s="17"/>
      <c r="N38" s="17"/>
      <c r="O38" s="17"/>
      <c r="P38" s="17"/>
      <c r="Q38" s="17"/>
    </row>
    <row r="39" spans="1:18" s="19" customFormat="1" x14ac:dyDescent="0.25">
      <c r="A39" s="17"/>
      <c r="B39" s="17"/>
      <c r="C39" s="17"/>
      <c r="D39" s="17"/>
      <c r="E39" s="17"/>
      <c r="F39" s="17"/>
      <c r="G39" s="18"/>
      <c r="H39" s="18"/>
      <c r="I39" s="18"/>
      <c r="J39" s="17"/>
      <c r="K39" s="17"/>
      <c r="L39" s="17"/>
      <c r="M39" s="17"/>
      <c r="N39" s="17"/>
      <c r="O39" s="17"/>
      <c r="P39" s="17"/>
      <c r="Q39" s="17"/>
      <c r="R39" s="20"/>
    </row>
    <row r="40" spans="1:18" s="19" customFormat="1" x14ac:dyDescent="0.25">
      <c r="A40" s="17"/>
      <c r="B40" s="17"/>
      <c r="C40" s="17"/>
      <c r="D40" s="17"/>
      <c r="E40" s="17"/>
      <c r="F40" s="17"/>
      <c r="G40" s="18"/>
      <c r="H40" s="18"/>
      <c r="I40" s="18"/>
      <c r="J40" s="17"/>
      <c r="K40" s="17"/>
      <c r="L40" s="17"/>
      <c r="M40" s="17"/>
      <c r="N40" s="17"/>
      <c r="O40" s="17"/>
      <c r="P40" s="17"/>
      <c r="Q40" s="17"/>
    </row>
    <row r="41" spans="1:18" s="19" customFormat="1" x14ac:dyDescent="0.25">
      <c r="A41" s="17"/>
      <c r="B41" s="17"/>
      <c r="C41" s="17"/>
      <c r="D41" s="17"/>
      <c r="E41" s="17"/>
      <c r="F41" s="18"/>
      <c r="G41" s="18"/>
      <c r="H41" s="18"/>
      <c r="I41" s="18"/>
      <c r="J41" s="17"/>
      <c r="K41" s="17"/>
      <c r="L41" s="17"/>
      <c r="M41" s="17"/>
      <c r="N41" s="17"/>
      <c r="O41" s="17"/>
      <c r="P41" s="17"/>
      <c r="Q41" s="17"/>
    </row>
    <row r="42" spans="1:18" s="19" customFormat="1" x14ac:dyDescent="0.25">
      <c r="A42" s="17"/>
      <c r="B42" s="17"/>
      <c r="C42" s="17"/>
      <c r="D42" s="17"/>
      <c r="E42" s="17"/>
      <c r="F42" s="18"/>
      <c r="G42" s="18"/>
      <c r="H42" s="18"/>
      <c r="I42" s="18"/>
      <c r="J42" s="17"/>
      <c r="K42" s="17"/>
      <c r="L42" s="17"/>
      <c r="M42" s="17"/>
      <c r="N42" s="17"/>
      <c r="O42" s="17"/>
      <c r="P42" s="17"/>
      <c r="Q42" s="17"/>
    </row>
    <row r="43" spans="1:18" s="19" customFormat="1" x14ac:dyDescent="0.25">
      <c r="A43" s="17"/>
      <c r="B43" s="17"/>
      <c r="C43" s="17"/>
      <c r="D43" s="17"/>
      <c r="E43" s="17"/>
      <c r="F43" s="18"/>
      <c r="G43" s="18"/>
      <c r="H43" s="18"/>
      <c r="I43" s="18"/>
      <c r="J43" s="17"/>
      <c r="K43" s="17"/>
      <c r="L43" s="17"/>
      <c r="M43" s="17"/>
      <c r="N43" s="17"/>
      <c r="O43" s="17"/>
      <c r="P43" s="17"/>
      <c r="Q43" s="17"/>
      <c r="R43" s="20"/>
    </row>
    <row r="44" spans="1:18" s="19" customFormat="1" x14ac:dyDescent="0.25">
      <c r="A44" s="17"/>
      <c r="B44" s="17"/>
      <c r="C44" s="17"/>
      <c r="D44" s="17"/>
      <c r="E44" s="17"/>
      <c r="F44" s="18"/>
      <c r="G44" s="18"/>
      <c r="H44" s="18"/>
      <c r="I44" s="18"/>
      <c r="J44" s="17"/>
      <c r="K44" s="17"/>
      <c r="L44" s="17"/>
      <c r="M44" s="17"/>
      <c r="N44" s="17"/>
      <c r="O44" s="17"/>
      <c r="P44" s="17"/>
      <c r="Q44" s="17"/>
    </row>
    <row r="45" spans="1:18" s="19" customFormat="1" x14ac:dyDescent="0.25">
      <c r="A45" s="17"/>
      <c r="B45" s="17"/>
      <c r="C45" s="17"/>
      <c r="D45" s="17"/>
      <c r="E45" s="17"/>
      <c r="F45" s="17"/>
      <c r="G45" s="18"/>
      <c r="H45" s="18"/>
      <c r="I45" s="18"/>
      <c r="J45" s="17"/>
      <c r="K45" s="17"/>
      <c r="L45" s="17"/>
      <c r="M45" s="17"/>
      <c r="N45" s="17"/>
      <c r="O45" s="17"/>
      <c r="P45" s="17"/>
      <c r="Q45" s="17"/>
      <c r="R45" s="20"/>
    </row>
    <row r="46" spans="1:18" s="19" customFormat="1" x14ac:dyDescent="0.25">
      <c r="A46" s="17"/>
      <c r="B46" s="17"/>
      <c r="C46" s="17"/>
      <c r="D46" s="17"/>
      <c r="E46" s="17"/>
      <c r="F46" s="17"/>
      <c r="G46" s="18"/>
      <c r="H46" s="18"/>
      <c r="I46" s="18"/>
      <c r="J46" s="17"/>
      <c r="K46" s="17"/>
      <c r="L46" s="17"/>
      <c r="M46" s="17"/>
      <c r="N46" s="17"/>
      <c r="O46" s="17"/>
      <c r="P46" s="17"/>
      <c r="Q46" s="17"/>
      <c r="R46" s="20"/>
    </row>
    <row r="47" spans="1:18" s="19" customFormat="1" x14ac:dyDescent="0.25">
      <c r="A47" s="17"/>
      <c r="B47" s="17"/>
      <c r="C47" s="17"/>
      <c r="D47" s="17"/>
      <c r="E47" s="17"/>
      <c r="F47" s="18"/>
      <c r="G47" s="18"/>
      <c r="H47" s="18"/>
      <c r="I47" s="18"/>
      <c r="J47" s="17"/>
      <c r="K47" s="17"/>
      <c r="L47" s="17"/>
      <c r="M47" s="17"/>
      <c r="N47" s="17"/>
      <c r="O47" s="17"/>
      <c r="P47" s="17"/>
      <c r="Q47" s="17"/>
    </row>
    <row r="48" spans="1:18" s="19" customFormat="1" x14ac:dyDescent="0.25">
      <c r="A48" s="17"/>
      <c r="B48" s="17"/>
      <c r="C48" s="17"/>
      <c r="D48" s="17"/>
      <c r="E48" s="17"/>
      <c r="F48" s="18"/>
      <c r="G48" s="18"/>
      <c r="H48" s="18"/>
      <c r="I48" s="18"/>
      <c r="J48" s="17"/>
      <c r="K48" s="17"/>
      <c r="L48" s="17"/>
      <c r="M48" s="17"/>
      <c r="N48" s="17"/>
      <c r="O48" s="17"/>
      <c r="P48" s="17"/>
      <c r="Q48" s="17"/>
    </row>
    <row r="49" spans="1:18" s="19" customFormat="1" x14ac:dyDescent="0.25">
      <c r="A49" s="17"/>
      <c r="B49" s="17"/>
      <c r="C49" s="17"/>
      <c r="D49" s="17"/>
      <c r="E49" s="17"/>
      <c r="F49" s="18"/>
      <c r="G49" s="18"/>
      <c r="H49" s="18"/>
      <c r="I49" s="18"/>
      <c r="J49" s="17"/>
      <c r="K49" s="17"/>
      <c r="L49" s="17"/>
      <c r="M49" s="17"/>
      <c r="N49" s="17"/>
      <c r="O49" s="17"/>
      <c r="P49" s="17"/>
      <c r="Q49" s="17"/>
      <c r="R49" s="20"/>
    </row>
    <row r="50" spans="1:18" s="19" customFormat="1" x14ac:dyDescent="0.25">
      <c r="A50" s="17"/>
      <c r="B50" s="17"/>
      <c r="C50" s="17"/>
      <c r="D50" s="17"/>
      <c r="E50" s="17"/>
      <c r="F50" s="18"/>
      <c r="G50" s="18"/>
      <c r="H50" s="18"/>
      <c r="I50" s="18"/>
      <c r="J50" s="17"/>
      <c r="K50" s="17"/>
      <c r="L50" s="17"/>
      <c r="M50" s="17"/>
      <c r="N50" s="17"/>
      <c r="O50" s="17"/>
      <c r="P50" s="17"/>
      <c r="Q50" s="17"/>
    </row>
    <row r="51" spans="1:18" s="19" customFormat="1" x14ac:dyDescent="0.25">
      <c r="A51" s="17"/>
      <c r="B51" s="17"/>
      <c r="C51" s="17"/>
      <c r="D51" s="17"/>
      <c r="E51" s="17"/>
      <c r="F51" s="17"/>
      <c r="G51" s="18"/>
      <c r="H51" s="18"/>
      <c r="I51" s="18"/>
      <c r="J51" s="17"/>
      <c r="K51" s="17"/>
      <c r="L51" s="17"/>
      <c r="M51" s="17"/>
      <c r="N51" s="17"/>
      <c r="O51" s="17"/>
      <c r="P51" s="17"/>
      <c r="Q51" s="17"/>
    </row>
    <row r="52" spans="1:18" s="19" customFormat="1" x14ac:dyDescent="0.25">
      <c r="A52" s="17"/>
      <c r="B52" s="17"/>
      <c r="C52" s="17"/>
      <c r="D52" s="17"/>
      <c r="E52" s="17"/>
      <c r="F52" s="17"/>
      <c r="G52" s="18"/>
      <c r="H52" s="18"/>
      <c r="I52" s="18"/>
      <c r="J52" s="17"/>
      <c r="K52" s="17"/>
      <c r="L52" s="17"/>
      <c r="M52" s="17"/>
      <c r="N52" s="17"/>
      <c r="O52" s="17"/>
      <c r="P52" s="17"/>
      <c r="Q52" s="17"/>
      <c r="R52" s="20"/>
    </row>
    <row r="53" spans="1:18" s="19" customFormat="1" x14ac:dyDescent="0.25">
      <c r="A53" s="17"/>
      <c r="B53" s="17"/>
      <c r="C53" s="17"/>
      <c r="D53" s="17"/>
      <c r="E53" s="17"/>
      <c r="F53" s="17"/>
      <c r="G53" s="18"/>
      <c r="H53" s="18"/>
      <c r="I53" s="18"/>
      <c r="J53" s="17"/>
      <c r="K53" s="17"/>
      <c r="L53" s="17"/>
      <c r="M53" s="17"/>
      <c r="N53" s="17"/>
      <c r="O53" s="17"/>
      <c r="P53" s="17"/>
      <c r="Q53" s="17"/>
    </row>
    <row r="54" spans="1:18" s="19" customFormat="1" x14ac:dyDescent="0.25">
      <c r="A54" s="17"/>
      <c r="B54" s="17"/>
      <c r="C54" s="17"/>
      <c r="D54" s="17"/>
      <c r="E54" s="17"/>
      <c r="F54" s="18"/>
      <c r="G54" s="18"/>
      <c r="H54" s="18"/>
      <c r="I54" s="18"/>
      <c r="J54" s="17"/>
      <c r="K54" s="17"/>
      <c r="L54" s="17"/>
      <c r="M54" s="17"/>
      <c r="N54" s="17"/>
      <c r="O54" s="17"/>
      <c r="P54" s="17"/>
      <c r="Q54" s="17"/>
    </row>
    <row r="55" spans="1:18" s="19" customFormat="1" x14ac:dyDescent="0.25">
      <c r="A55" s="17"/>
      <c r="B55" s="17"/>
      <c r="C55" s="17"/>
      <c r="D55" s="17"/>
      <c r="E55" s="17"/>
      <c r="F55" s="18"/>
      <c r="G55" s="18"/>
      <c r="H55" s="18"/>
      <c r="I55" s="18"/>
      <c r="J55" s="17"/>
      <c r="K55" s="17"/>
      <c r="L55" s="17"/>
      <c r="M55" s="17"/>
      <c r="N55" s="17"/>
      <c r="O55" s="17"/>
      <c r="P55" s="17"/>
      <c r="Q55" s="17"/>
    </row>
    <row r="56" spans="1:18" s="19" customFormat="1" x14ac:dyDescent="0.25">
      <c r="A56" s="17"/>
      <c r="B56" s="17"/>
      <c r="C56" s="17"/>
      <c r="D56" s="17"/>
      <c r="E56" s="17"/>
      <c r="F56" s="18"/>
      <c r="G56" s="18"/>
      <c r="H56" s="18"/>
      <c r="I56" s="18"/>
      <c r="J56" s="17"/>
      <c r="K56" s="17"/>
      <c r="L56" s="17"/>
      <c r="M56" s="17"/>
      <c r="N56" s="17"/>
      <c r="O56" s="17"/>
      <c r="P56" s="17"/>
      <c r="Q56" s="17"/>
      <c r="R56" s="20"/>
    </row>
    <row r="58" spans="1:18" x14ac:dyDescent="0.25">
      <c r="G58" s="1">
        <f t="shared" ref="G58:R58" si="0">SUBTOTAL(9,G3:G57)</f>
        <v>0</v>
      </c>
      <c r="H58" s="1">
        <f t="shared" si="0"/>
        <v>0</v>
      </c>
      <c r="I58" s="1">
        <f t="shared" si="0"/>
        <v>0</v>
      </c>
      <c r="J58" s="1">
        <f t="shared" si="0"/>
        <v>0</v>
      </c>
      <c r="K58" s="1">
        <f t="shared" si="0"/>
        <v>0</v>
      </c>
      <c r="L58" s="1">
        <f t="shared" si="0"/>
        <v>0</v>
      </c>
      <c r="M58" s="1">
        <f t="shared" si="0"/>
        <v>0</v>
      </c>
      <c r="N58" s="1">
        <f t="shared" si="0"/>
        <v>0</v>
      </c>
      <c r="O58" s="1">
        <f t="shared" si="0"/>
        <v>0</v>
      </c>
      <c r="P58" s="1">
        <f t="shared" si="0"/>
        <v>0</v>
      </c>
      <c r="Q58" s="1">
        <f t="shared" si="0"/>
        <v>0</v>
      </c>
      <c r="R58" s="1">
        <f t="shared" si="0"/>
        <v>0</v>
      </c>
    </row>
    <row r="62" spans="1:18" ht="20.25" customHeight="1" x14ac:dyDescent="0.3">
      <c r="H62" s="4" t="s">
        <v>1575</v>
      </c>
      <c r="I62" s="5" t="s">
        <v>15</v>
      </c>
      <c r="J62" s="6" t="s">
        <v>16</v>
      </c>
    </row>
    <row r="63" spans="1:18" ht="15.75" customHeight="1" x14ac:dyDescent="0.25">
      <c r="H63" s="7" t="s">
        <v>17</v>
      </c>
      <c r="I63" s="8">
        <f>SUM(I57:I61)</f>
        <v>0</v>
      </c>
      <c r="J63" s="8">
        <f>Q58</f>
        <v>0</v>
      </c>
    </row>
    <row r="64" spans="1:18" x14ac:dyDescent="0.25">
      <c r="H64" s="9" t="s">
        <v>18</v>
      </c>
      <c r="I64" s="10">
        <f>R58</f>
        <v>0</v>
      </c>
      <c r="J64" s="11"/>
    </row>
    <row r="65" spans="8:10" x14ac:dyDescent="0.25">
      <c r="H65" s="9" t="s">
        <v>19</v>
      </c>
      <c r="I65" s="10">
        <f>S57</f>
        <v>0</v>
      </c>
      <c r="J65" s="11"/>
    </row>
    <row r="66" spans="8:10" x14ac:dyDescent="0.25">
      <c r="H66" s="9" t="s">
        <v>20</v>
      </c>
      <c r="I66" s="10">
        <f>T57</f>
        <v>0</v>
      </c>
      <c r="J66" s="11"/>
    </row>
    <row r="67" spans="8:10" x14ac:dyDescent="0.25">
      <c r="H67" s="9" t="s">
        <v>21</v>
      </c>
      <c r="I67" s="10">
        <f>U57</f>
        <v>0</v>
      </c>
      <c r="J67" s="11"/>
    </row>
    <row r="68" spans="8:10" ht="15.75" customHeight="1" x14ac:dyDescent="0.25">
      <c r="H68" s="12" t="s">
        <v>22</v>
      </c>
      <c r="I68" s="13"/>
      <c r="J68" s="13"/>
    </row>
    <row r="69" spans="8:10" ht="15.75" customHeight="1" x14ac:dyDescent="0.25">
      <c r="H69" s="14" t="s">
        <v>23</v>
      </c>
      <c r="I69" s="13"/>
      <c r="J69" s="13"/>
    </row>
    <row r="70" spans="8:10" ht="21" customHeight="1" x14ac:dyDescent="0.35">
      <c r="H70" s="15" t="s">
        <v>24</v>
      </c>
      <c r="I70" s="16">
        <f>SUM(I63:I69)</f>
        <v>0</v>
      </c>
      <c r="J70" s="16">
        <f>SUM(J63:J67)</f>
        <v>0</v>
      </c>
    </row>
  </sheetData>
  <autoFilter ref="A2:P56" xr:uid="{00000000-0009-0000-0000-000006000000}">
    <sortState xmlns:xlrd2="http://schemas.microsoft.com/office/spreadsheetml/2017/richdata2" ref="A3:P56">
      <sortCondition ref="J2:J56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1-5</vt:lpstr>
      <vt:lpstr>4-5</vt:lpstr>
      <vt:lpstr>5-5</vt:lpstr>
      <vt:lpstr>6-5</vt:lpstr>
      <vt:lpstr>7-5</vt:lpstr>
      <vt:lpstr>8-5</vt:lpstr>
      <vt:lpstr>9-5</vt:lpstr>
      <vt:lpstr>11-5</vt:lpstr>
      <vt:lpstr>12-5</vt:lpstr>
      <vt:lpstr>13-5</vt:lpstr>
      <vt:lpstr>14-5</vt:lpstr>
      <vt:lpstr>15-5</vt:lpstr>
      <vt:lpstr>16-5</vt:lpstr>
      <vt:lpstr>18-5</vt:lpstr>
      <vt:lpstr>19-5</vt:lpstr>
      <vt:lpstr>20-5</vt:lpstr>
      <vt:lpstr>21-5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2026-05-21T06:48:00Z</dcterms:modified>
</cp:coreProperties>
</file>