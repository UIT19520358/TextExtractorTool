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Oct\"/>
    </mc:Choice>
  </mc:AlternateContent>
  <xr:revisionPtr revIDLastSave="0" documentId="13_ncr:1_{5A3C0043-5ECB-434F-BA68-562804DBC5A9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1-10" sheetId="4" r:id="rId1"/>
    <sheet name="2-10" sheetId="5" r:id="rId2"/>
    <sheet name="3-10" sheetId="6" r:id="rId3"/>
    <sheet name="5-10" sheetId="7" r:id="rId4"/>
    <sheet name="6-10" sheetId="8" r:id="rId5"/>
  </sheets>
  <definedNames>
    <definedName name="_xlnm._FilterDatabase" localSheetId="0" hidden="1">'1-10'!$A$2:$P$51</definedName>
    <definedName name="_xlnm._FilterDatabase" localSheetId="1" hidden="1">'2-10'!$A$2:$P$49</definedName>
    <definedName name="_xlnm._FilterDatabase" localSheetId="2" hidden="1">'3-10'!$A$2:$P$33</definedName>
    <definedName name="_xlnm._FilterDatabase" localSheetId="3" hidden="1">'5-10'!$A$2:$P$84</definedName>
    <definedName name="_xlnm._FilterDatabase" localSheetId="4" hidden="1">'6-10'!$A$2:$P$45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5" i="8" l="1"/>
  <c r="I45" i="8"/>
  <c r="R37" i="8"/>
  <c r="H68" i="8"/>
  <c r="H63" i="8"/>
  <c r="H66" i="8"/>
  <c r="H62" i="8"/>
  <c r="I44" i="8"/>
  <c r="R43" i="8"/>
  <c r="I43" i="8"/>
  <c r="I42" i="8"/>
  <c r="I41" i="8"/>
  <c r="R40" i="8"/>
  <c r="I40" i="8"/>
  <c r="R39" i="8"/>
  <c r="I39" i="8"/>
  <c r="I38" i="8"/>
  <c r="I37" i="8"/>
  <c r="R36" i="8"/>
  <c r="I36" i="8"/>
  <c r="I35" i="8"/>
  <c r="R34" i="8"/>
  <c r="I34" i="8"/>
  <c r="I33" i="8"/>
  <c r="R32" i="8"/>
  <c r="I32" i="8"/>
  <c r="I31" i="8"/>
  <c r="I30" i="8"/>
  <c r="R29" i="8"/>
  <c r="I29" i="8"/>
  <c r="R28" i="8"/>
  <c r="I28" i="8"/>
  <c r="I27" i="8"/>
  <c r="R26" i="8"/>
  <c r="I26" i="8"/>
  <c r="I25" i="8"/>
  <c r="I24" i="8"/>
  <c r="I23" i="8"/>
  <c r="R22" i="8"/>
  <c r="I22" i="8"/>
  <c r="I21" i="8"/>
  <c r="I20" i="8"/>
  <c r="I19" i="8"/>
  <c r="I18" i="8"/>
  <c r="I17" i="8"/>
  <c r="I16" i="8"/>
  <c r="I15" i="8"/>
  <c r="R14" i="8"/>
  <c r="I14" i="8"/>
  <c r="R13" i="8"/>
  <c r="I13" i="8"/>
  <c r="I12" i="8"/>
  <c r="R11" i="8"/>
  <c r="I11" i="8"/>
  <c r="I10" i="8"/>
  <c r="I9" i="8"/>
  <c r="I8" i="8"/>
  <c r="I7" i="8"/>
  <c r="I6" i="8"/>
  <c r="I5" i="8"/>
  <c r="I4" i="8"/>
  <c r="I3" i="8"/>
  <c r="I56" i="8"/>
  <c r="I55" i="8"/>
  <c r="I54" i="8"/>
  <c r="Q47" i="8"/>
  <c r="J52" i="8" s="1"/>
  <c r="J59" i="8" s="1"/>
  <c r="P47" i="8"/>
  <c r="O47" i="8"/>
  <c r="N47" i="8"/>
  <c r="M47" i="8"/>
  <c r="L47" i="8"/>
  <c r="K47" i="8"/>
  <c r="J47" i="8"/>
  <c r="H47" i="8"/>
  <c r="G47" i="8"/>
  <c r="H102" i="7"/>
  <c r="H103" i="7" s="1"/>
  <c r="I87" i="7" s="1"/>
  <c r="H101" i="7"/>
  <c r="I84" i="7"/>
  <c r="I83" i="7"/>
  <c r="I82" i="7"/>
  <c r="R81" i="7"/>
  <c r="I81" i="7"/>
  <c r="R80" i="7"/>
  <c r="I80" i="7"/>
  <c r="I79" i="7"/>
  <c r="R78" i="7"/>
  <c r="I78" i="7"/>
  <c r="R77" i="7"/>
  <c r="I77" i="7"/>
  <c r="R76" i="7"/>
  <c r="I76" i="7"/>
  <c r="I75" i="7"/>
  <c r="I74" i="7"/>
  <c r="I73" i="7"/>
  <c r="I72" i="7"/>
  <c r="I71" i="7"/>
  <c r="I70" i="7"/>
  <c r="I69" i="7"/>
  <c r="R68" i="7"/>
  <c r="I68" i="7"/>
  <c r="I67" i="7"/>
  <c r="I66" i="7"/>
  <c r="R65" i="7"/>
  <c r="I65" i="7"/>
  <c r="I64" i="7"/>
  <c r="I63" i="7"/>
  <c r="I62" i="7"/>
  <c r="R61" i="7"/>
  <c r="I61" i="7"/>
  <c r="R60" i="7"/>
  <c r="I60" i="7"/>
  <c r="R59" i="7"/>
  <c r="I59" i="7"/>
  <c r="R58" i="7"/>
  <c r="I58" i="7"/>
  <c r="I57" i="7"/>
  <c r="I56" i="7"/>
  <c r="I55" i="7"/>
  <c r="I54" i="7"/>
  <c r="I53" i="7"/>
  <c r="I52" i="7"/>
  <c r="I51" i="7"/>
  <c r="R50" i="7"/>
  <c r="I50" i="7"/>
  <c r="I49" i="7"/>
  <c r="I48" i="7"/>
  <c r="I47" i="7"/>
  <c r="R46" i="7"/>
  <c r="I46" i="7"/>
  <c r="I45" i="7"/>
  <c r="I44" i="7"/>
  <c r="R43" i="7"/>
  <c r="I43" i="7"/>
  <c r="I42" i="7"/>
  <c r="I41" i="7"/>
  <c r="I40" i="7"/>
  <c r="I39" i="7"/>
  <c r="R38" i="7"/>
  <c r="I38" i="7"/>
  <c r="I37" i="7"/>
  <c r="I36" i="7"/>
  <c r="I35" i="7"/>
  <c r="I34" i="7"/>
  <c r="I33" i="7"/>
  <c r="I32" i="7"/>
  <c r="I31" i="7"/>
  <c r="R30" i="7"/>
  <c r="I30" i="7"/>
  <c r="I29" i="7"/>
  <c r="R28" i="7"/>
  <c r="I28" i="7"/>
  <c r="I27" i="7"/>
  <c r="I26" i="7"/>
  <c r="I25" i="7"/>
  <c r="I24" i="7"/>
  <c r="I23" i="7"/>
  <c r="I22" i="7"/>
  <c r="I21" i="7"/>
  <c r="I20" i="7"/>
  <c r="I19" i="7"/>
  <c r="R18" i="7"/>
  <c r="I18" i="7"/>
  <c r="I17" i="7"/>
  <c r="R16" i="7"/>
  <c r="I16" i="7"/>
  <c r="R15" i="7"/>
  <c r="I15" i="7"/>
  <c r="I14" i="7"/>
  <c r="R13" i="7"/>
  <c r="I13" i="7"/>
  <c r="I12" i="7"/>
  <c r="R11" i="7"/>
  <c r="I11" i="7"/>
  <c r="I10" i="7"/>
  <c r="I9" i="7"/>
  <c r="I8" i="7"/>
  <c r="I7" i="7"/>
  <c r="I6" i="7"/>
  <c r="I5" i="7"/>
  <c r="R4" i="7"/>
  <c r="I4" i="7"/>
  <c r="I3" i="7"/>
  <c r="I95" i="7"/>
  <c r="I94" i="7"/>
  <c r="I93" i="7"/>
  <c r="Q86" i="7"/>
  <c r="J91" i="7" s="1"/>
  <c r="J98" i="7" s="1"/>
  <c r="P86" i="7"/>
  <c r="O86" i="7"/>
  <c r="N86" i="7"/>
  <c r="M86" i="7"/>
  <c r="L86" i="7"/>
  <c r="K86" i="7"/>
  <c r="J86" i="7"/>
  <c r="H86" i="7"/>
  <c r="G86" i="7"/>
  <c r="I36" i="6"/>
  <c r="H51" i="6"/>
  <c r="H50" i="6"/>
  <c r="I33" i="6"/>
  <c r="R32" i="6"/>
  <c r="I32" i="6"/>
  <c r="I31" i="6"/>
  <c r="I30" i="6"/>
  <c r="I29" i="6"/>
  <c r="I28" i="6"/>
  <c r="I27" i="6"/>
  <c r="I26" i="6"/>
  <c r="R25" i="6"/>
  <c r="I25" i="6"/>
  <c r="I24" i="6"/>
  <c r="I23" i="6"/>
  <c r="I22" i="6"/>
  <c r="I21" i="6"/>
  <c r="I20" i="6"/>
  <c r="R19" i="6"/>
  <c r="I19" i="6"/>
  <c r="I18" i="6"/>
  <c r="I17" i="6"/>
  <c r="I16" i="6"/>
  <c r="R15" i="6"/>
  <c r="R35" i="6" s="1"/>
  <c r="I41" i="6" s="1"/>
  <c r="I15" i="6"/>
  <c r="I14" i="6"/>
  <c r="I13" i="6"/>
  <c r="R12" i="6"/>
  <c r="I12" i="6"/>
  <c r="I11" i="6"/>
  <c r="I10" i="6"/>
  <c r="I9" i="6"/>
  <c r="I8" i="6"/>
  <c r="I7" i="6"/>
  <c r="I6" i="6"/>
  <c r="I5" i="6"/>
  <c r="I4" i="6"/>
  <c r="I3" i="6"/>
  <c r="I44" i="6"/>
  <c r="I43" i="6"/>
  <c r="I42" i="6"/>
  <c r="Q35" i="6"/>
  <c r="J40" i="6" s="1"/>
  <c r="J47" i="6" s="1"/>
  <c r="P35" i="6"/>
  <c r="O35" i="6"/>
  <c r="N35" i="6"/>
  <c r="M35" i="6"/>
  <c r="L35" i="6"/>
  <c r="K35" i="6"/>
  <c r="J35" i="6"/>
  <c r="H35" i="6"/>
  <c r="G35" i="6"/>
  <c r="I35" i="6"/>
  <c r="H66" i="5"/>
  <c r="I49" i="5"/>
  <c r="R48" i="5"/>
  <c r="I48" i="5"/>
  <c r="I47" i="5"/>
  <c r="I46" i="5"/>
  <c r="I45" i="5"/>
  <c r="R44" i="5"/>
  <c r="I44" i="5"/>
  <c r="I43" i="5"/>
  <c r="I42" i="5"/>
  <c r="R41" i="5"/>
  <c r="I41" i="5"/>
  <c r="R40" i="5"/>
  <c r="I40" i="5"/>
  <c r="I39" i="5"/>
  <c r="I38" i="5"/>
  <c r="I37" i="5"/>
  <c r="I36" i="5"/>
  <c r="R35" i="5"/>
  <c r="I35" i="5"/>
  <c r="I34" i="5"/>
  <c r="R33" i="5"/>
  <c r="I33" i="5"/>
  <c r="I32" i="5"/>
  <c r="I31" i="5"/>
  <c r="I30" i="5"/>
  <c r="I29" i="5"/>
  <c r="R28" i="5"/>
  <c r="I28" i="5"/>
  <c r="I27" i="5"/>
  <c r="I26" i="5"/>
  <c r="I25" i="5"/>
  <c r="R24" i="5"/>
  <c r="I24" i="5"/>
  <c r="I23" i="5"/>
  <c r="I22" i="5"/>
  <c r="R21" i="5"/>
  <c r="I21" i="5"/>
  <c r="I20" i="5"/>
  <c r="R19" i="5"/>
  <c r="I19" i="5"/>
  <c r="I18" i="5"/>
  <c r="I17" i="5"/>
  <c r="I16" i="5"/>
  <c r="I15" i="5"/>
  <c r="R14" i="5"/>
  <c r="I14" i="5"/>
  <c r="I13" i="5"/>
  <c r="I12" i="5"/>
  <c r="R11" i="5"/>
  <c r="I11" i="5"/>
  <c r="R10" i="5"/>
  <c r="I10" i="5"/>
  <c r="I9" i="5"/>
  <c r="I8" i="5"/>
  <c r="R7" i="5"/>
  <c r="I7" i="5"/>
  <c r="I6" i="5"/>
  <c r="R5" i="5"/>
  <c r="I5" i="5"/>
  <c r="I4" i="5"/>
  <c r="I3" i="5"/>
  <c r="H64" i="8" l="1"/>
  <c r="I48" i="8" s="1"/>
  <c r="R47" i="8"/>
  <c r="I53" i="8" s="1"/>
  <c r="I47" i="8"/>
  <c r="I52" i="8" s="1"/>
  <c r="R86" i="7"/>
  <c r="I92" i="7" s="1"/>
  <c r="I86" i="7"/>
  <c r="I91" i="7" s="1"/>
  <c r="I40" i="6"/>
  <c r="I47" i="6"/>
  <c r="I60" i="5"/>
  <c r="I59" i="5"/>
  <c r="I58" i="5"/>
  <c r="Q51" i="5"/>
  <c r="J56" i="5" s="1"/>
  <c r="J63" i="5" s="1"/>
  <c r="P51" i="5"/>
  <c r="O51" i="5"/>
  <c r="N51" i="5"/>
  <c r="M51" i="5"/>
  <c r="L51" i="5"/>
  <c r="K51" i="5"/>
  <c r="J51" i="5"/>
  <c r="H51" i="5"/>
  <c r="G51" i="5"/>
  <c r="R51" i="5"/>
  <c r="I57" i="5" s="1"/>
  <c r="I51" i="5"/>
  <c r="I59" i="8" l="1"/>
  <c r="I98" i="7"/>
  <c r="I56" i="5"/>
  <c r="I63" i="5" s="1"/>
  <c r="H71" i="4" l="1"/>
  <c r="I54" i="4"/>
  <c r="H69" i="4"/>
  <c r="H68" i="4"/>
  <c r="R51" i="4"/>
  <c r="I51" i="4"/>
  <c r="R50" i="4"/>
  <c r="I50" i="4"/>
  <c r="I49" i="4"/>
  <c r="I48" i="4"/>
  <c r="I47" i="4"/>
  <c r="I46" i="4"/>
  <c r="I45" i="4"/>
  <c r="R44" i="4"/>
  <c r="I44" i="4"/>
  <c r="R43" i="4"/>
  <c r="I43" i="4"/>
  <c r="I42" i="4"/>
  <c r="I41" i="4"/>
  <c r="I40" i="4"/>
  <c r="R39" i="4"/>
  <c r="I39" i="4"/>
  <c r="I38" i="4"/>
  <c r="R37" i="4"/>
  <c r="I37" i="4"/>
  <c r="I36" i="4"/>
  <c r="I35" i="4"/>
  <c r="R34" i="4"/>
  <c r="I34" i="4"/>
  <c r="R33" i="4"/>
  <c r="I33" i="4"/>
  <c r="R32" i="4"/>
  <c r="I32" i="4"/>
  <c r="I31" i="4"/>
  <c r="I30" i="4"/>
  <c r="R29" i="4"/>
  <c r="I29" i="4"/>
  <c r="I28" i="4"/>
  <c r="I27" i="4"/>
  <c r="I26" i="4"/>
  <c r="R25" i="4"/>
  <c r="I25" i="4"/>
  <c r="I24" i="4"/>
  <c r="I23" i="4"/>
  <c r="I22" i="4"/>
  <c r="R21" i="4"/>
  <c r="I21" i="4"/>
  <c r="R20" i="4"/>
  <c r="I20" i="4"/>
  <c r="I19" i="4"/>
  <c r="I18" i="4"/>
  <c r="I17" i="4"/>
  <c r="I16" i="4"/>
  <c r="R15" i="4"/>
  <c r="I15" i="4"/>
  <c r="I14" i="4"/>
  <c r="I13" i="4"/>
  <c r="I12" i="4"/>
  <c r="R11" i="4"/>
  <c r="I11" i="4"/>
  <c r="I10" i="4"/>
  <c r="I9" i="4"/>
  <c r="R8" i="4"/>
  <c r="I8" i="4"/>
  <c r="I7" i="4"/>
  <c r="R6" i="4"/>
  <c r="I6" i="4"/>
  <c r="I5" i="4"/>
  <c r="R4" i="4"/>
  <c r="I4" i="4"/>
  <c r="R3" i="4"/>
  <c r="I3" i="4"/>
  <c r="I62" i="4" l="1"/>
  <c r="I61" i="4"/>
  <c r="I60" i="4"/>
  <c r="R53" i="4"/>
  <c r="I59" i="4" s="1"/>
  <c r="Q53" i="4"/>
  <c r="J58" i="4" s="1"/>
  <c r="J65" i="4" s="1"/>
  <c r="P53" i="4"/>
  <c r="O53" i="4"/>
  <c r="N53" i="4"/>
  <c r="M53" i="4"/>
  <c r="L53" i="4"/>
  <c r="K53" i="4"/>
  <c r="J53" i="4"/>
  <c r="I53" i="4"/>
  <c r="I58" i="4" s="1"/>
  <c r="I65" i="4" s="1"/>
  <c r="H53" i="4"/>
  <c r="G53" i="4"/>
</calcChain>
</file>

<file path=xl/sharedStrings.xml><?xml version="1.0" encoding="utf-8"?>
<sst xmlns="http://schemas.openxmlformats.org/spreadsheetml/2006/main" count="2167" uniqueCount="783">
  <si>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</si>
  <si>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</si>
  <si>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</si>
  <si>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</si>
  <si>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</si>
  <si>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</si>
  <si>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</si>
  <si>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</si>
  <si>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</si>
  <si>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</si>
  <si>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</si>
  <si>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</si>
  <si>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</si>
  <si>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</si>
  <si>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</si>
  <si>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</si>
  <si>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</si>
  <si>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</si>
  <si>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</si>
  <si>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</si>
  <si>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</si>
  <si>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</si>
  <si>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</si>
  <si>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</si>
  <si>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</si>
  <si>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</si>
  <si>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hàng sỉ</t>
  </si>
  <si>
    <t>ĐOÀN NGÂN CHÂU</t>
  </si>
  <si>
    <t>Sreynich077697899 (ThyThy Express)</t>
  </si>
  <si>
    <t>428/33 QL1A, Bình Hưng Hoà B</t>
  </si>
  <si>
    <t>binh tan</t>
  </si>
  <si>
    <t>AT 01-10</t>
  </si>
  <si>
    <t>c.cuong</t>
  </si>
  <si>
    <t>01-10-2026</t>
  </si>
  <si>
    <t>MIE</t>
  </si>
  <si>
    <t>275/14B1 Đặng Nguyên Cẩn, Phường Phú Lâm</t>
  </si>
  <si>
    <t>Chang Chang</t>
  </si>
  <si>
    <t>HD062779</t>
  </si>
  <si>
    <t>112-114 võ liêm sơn p4</t>
  </si>
  <si>
    <t>Tuấn</t>
  </si>
  <si>
    <t>HD062925</t>
  </si>
  <si>
    <t>2225 Phạm Thế Hiển, phường Bình Đông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</si>
  <si>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</si>
  <si>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</si>
  <si>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</si>
  <si>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</si>
  <si>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</si>
  <si>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</si>
  <si>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Cherry Nguyen</t>
  </si>
  <si>
    <t>HD062377</t>
  </si>
  <si>
    <t>A4/40A2 Tổ 4 ấp 1A đường 1C, xã Vĩnh Lộc B</t>
  </si>
  <si>
    <t>binh chanh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</si>
  <si>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</si>
  <si>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</si>
  <si>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</si>
  <si>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</si>
  <si>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</si>
  <si>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</si>
  <si>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shop chịu ship</t>
  </si>
  <si>
    <t>Nhớ Nhớ</t>
  </si>
  <si>
    <t>HD062857</t>
  </si>
  <si>
    <t>Sài gòn Mia block A đường 9a khu trung sơn bình hưng</t>
  </si>
  <si>
    <t>Vy Mai</t>
  </si>
  <si>
    <t>HD062761</t>
  </si>
  <si>
    <t>543a trần xuân soạn tân kiểng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</si>
  <si>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</si>
  <si>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</si>
  <si>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</si>
  <si>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</si>
  <si>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</si>
  <si>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</si>
  <si>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thu duc</t>
  </si>
  <si>
    <t>Mai Trinh</t>
  </si>
  <si>
    <t>HD062756</t>
  </si>
  <si>
    <t>32A/40/2G Dương Bá Trạc, Phường Rạch Ông</t>
  </si>
  <si>
    <t>jenny bouti</t>
  </si>
  <si>
    <t>401 Quang trung f10</t>
  </si>
  <si>
    <t>go vap</t>
  </si>
  <si>
    <t>NHUNG HM</t>
  </si>
  <si>
    <t>8/1 nguyễn ảnh thủ,trung Chánh</t>
  </si>
  <si>
    <t>hoc mon</t>
  </si>
  <si>
    <t>Nhân viên Tiny</t>
  </si>
  <si>
    <t>105 Nguyễn Cơ Thạch F An Lợi Đông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</si>
  <si>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</si>
  <si>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</si>
  <si>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</si>
  <si>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</si>
  <si>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</si>
  <si>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</si>
  <si>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</si>
  <si>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</si>
  <si>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</si>
  <si>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Phuong Mai</t>
  </si>
  <si>
    <t>HD062738</t>
  </si>
  <si>
    <t>8/7 49b thao dien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</si>
  <si>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</si>
  <si>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</si>
  <si>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</si>
  <si>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</si>
  <si>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</si>
  <si>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</si>
  <si>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</si>
  <si>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K'bee Saykosi</t>
  </si>
  <si>
    <t>HD062764</t>
  </si>
  <si>
    <t>13 đường 17 kp5 bình chiểu</t>
  </si>
  <si>
    <t>Jemial Vo</t>
  </si>
  <si>
    <t>HD062860</t>
  </si>
  <si>
    <t>438 phan văn trị, p.hạnh thông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</si>
  <si>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</si>
  <si>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</si>
  <si>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</si>
  <si>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</si>
  <si>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</si>
  <si>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</si>
  <si>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</si>
  <si>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Vi Vân (Website)</t>
  </si>
  <si>
    <t>HD062936</t>
  </si>
  <si>
    <t>30/23B Nguyễn Hữu Cảnh, Thạnh Mỹ Tây</t>
  </si>
  <si>
    <t>Hoa Ngo</t>
  </si>
  <si>
    <t>HD062710</t>
  </si>
  <si>
    <t>22/14 phan van hon,p.đông hưng thuận (cty phương đông)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</si>
  <si>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</si>
  <si>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</si>
  <si>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</si>
  <si>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</si>
  <si>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</si>
  <si>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</si>
  <si>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Hồng Ngoan</t>
  </si>
  <si>
    <t>HD062777</t>
  </si>
  <si>
    <t>74/4 Trần Thái Tông . P.15</t>
  </si>
  <si>
    <t>tan binh</t>
  </si>
  <si>
    <t>Khánh Linh - Tùng - Srilanka</t>
  </si>
  <si>
    <t>HD062794</t>
  </si>
  <si>
    <t>403 Tân Sơn, P12</t>
  </si>
  <si>
    <t>Dang Cam Tu</t>
  </si>
  <si>
    <t>HD062836</t>
  </si>
  <si>
    <t>86a Nguyễn Văn tăng</t>
  </si>
  <si>
    <t>Pachara (BN6994)</t>
  </si>
  <si>
    <t>VVI EVA</t>
  </si>
  <si>
    <t>141 hùng vương phường 4</t>
  </si>
  <si>
    <t>c.hieu</t>
  </si>
  <si>
    <t>Thanh Tuyền</t>
  </si>
  <si>
    <t>HD062701</t>
  </si>
  <si>
    <t>Smiley Apartment 3: 385/16 Nguyễn Trãi, phường Nguyễn Cư Trinh</t>
  </si>
  <si>
    <t>Doan Ngoc Phuong Anh</t>
  </si>
  <si>
    <t>HD062906</t>
  </si>
  <si>
    <t>664/119 Nguyễn Đình Chiểu</t>
  </si>
  <si>
    <t>My Ngô</t>
  </si>
  <si>
    <t>HD062876</t>
  </si>
  <si>
    <t>233/17 Nguyễn Trãi . Phường Nguyễn Cư Trinh</t>
  </si>
  <si>
    <t>Hồng Moon</t>
  </si>
  <si>
    <t>HD062793</t>
  </si>
  <si>
    <t>74/12 thạch thị thanh</t>
  </si>
  <si>
    <t>đổi hàng</t>
  </si>
  <si>
    <t>Huyền Vân</t>
  </si>
  <si>
    <t>HD062840</t>
  </si>
  <si>
    <t>51 Nguyễn Thị Minh Khai, p. Sài Gòn</t>
  </si>
  <si>
    <t>Mỹ Linh</t>
  </si>
  <si>
    <t>HD062763</t>
  </si>
  <si>
    <t>538/90 đoàn văn bơ, p14</t>
  </si>
  <si>
    <t>Tuyết - fb Annie Lê</t>
  </si>
  <si>
    <t>HD062797</t>
  </si>
  <si>
    <t>5A/3F trần phú phường 4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</si>
  <si>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</si>
  <si>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</si>
  <si>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</si>
  <si>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</si>
  <si>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</si>
  <si>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</si>
  <si>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</si>
  <si>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</si>
  <si>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Giai Kỳ</t>
  </si>
  <si>
    <t>HD062751</t>
  </si>
  <si>
    <t>Win barbershop 46 Lê Thị Riêng Đồ của Quản lí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</si>
  <si>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</si>
  <si>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</si>
  <si>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</si>
  <si>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</si>
  <si>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</si>
  <si>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Mr Thế (Zalo: Minh Tuệ)</t>
  </si>
  <si>
    <t>27/5 Quách Văn Tuấn, F12</t>
  </si>
  <si>
    <t>THU 5</t>
  </si>
  <si>
    <t>NGAY 1-10</t>
  </si>
  <si>
    <t>T5.1.10.2026</t>
  </si>
  <si>
    <t>đơn trả</t>
  </si>
  <si>
    <t>Ngọc Linh</t>
  </si>
  <si>
    <t>HD062349</t>
  </si>
  <si>
    <t>47/5 Phạm Ngọc Thạch, P6</t>
  </si>
  <si>
    <t>luu tra</t>
  </si>
  <si>
    <t>30-09-2026</t>
  </si>
  <si>
    <t>đơn trả 2.10</t>
  </si>
  <si>
    <t>đơn cũ ck</t>
  </si>
  <si>
    <t>ng nhận (Đức) của c linh</t>
  </si>
  <si>
    <t>HD062603</t>
  </si>
  <si>
    <t>403 Tân Sơn, Phường An Hội Tây</t>
  </si>
  <si>
    <t>kh ck shop 695k</t>
  </si>
  <si>
    <t>THU 6</t>
  </si>
  <si>
    <t>NGAY 2-10</t>
  </si>
  <si>
    <t>T6.2.10.2026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</si>
  <si>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</si>
  <si>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</si>
  <si>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</si>
  <si>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</si>
  <si>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</si>
  <si>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</si>
  <si>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</si>
  <si>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</si>
  <si>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</si>
  <si>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(chị Hoà) - Note: Hàng anh Hậu (tumsandy)</t>
  </si>
  <si>
    <t>HD063179</t>
  </si>
  <si>
    <t>793/55/10/5 Trần Xuân Soạn, P. Tân Hưng</t>
  </si>
  <si>
    <t>Thanh Hằng</t>
  </si>
  <si>
    <t>HD063267</t>
  </si>
  <si>
    <t>4 đào trí phường Phú thuận</t>
  </si>
  <si>
    <t>Phương Thảo TA</t>
  </si>
  <si>
    <t>HD063050</t>
  </si>
  <si>
    <t>M37/15 Cư Xá Phú Lâm A Phường 12</t>
  </si>
  <si>
    <t>Jolie Thy</t>
  </si>
  <si>
    <t>HD063117</t>
  </si>
  <si>
    <t>24B Khu phố 79, đường Đông hưng thuận 22, phường Đông Hưng Thuận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</si>
  <si>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</si>
  <si>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</si>
  <si>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</si>
  <si>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</si>
  <si>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</si>
  <si>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</si>
  <si>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Charisa0909</t>
  </si>
  <si>
    <t>HD063210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</si>
  <si>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</si>
  <si>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</si>
  <si>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</si>
  <si>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</si>
  <si>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</si>
  <si>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</si>
  <si>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</si>
  <si>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</si>
  <si>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</si>
  <si>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Trinh Nguyễn</t>
  </si>
  <si>
    <t>HD063040</t>
  </si>
  <si>
    <t>Block G, Chung cư Eco Green, 39B Nguyễn Văn Linh, Phường Tân Thuận Tây</t>
  </si>
  <si>
    <t>Như Quỳnh</t>
  </si>
  <si>
    <t>HD063084</t>
  </si>
  <si>
    <t>Chung cư ecogreen SG Blook E 39B nguyễn văn linh phường tân thuận tây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</si>
  <si>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</si>
  <si>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</si>
  <si>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</si>
  <si>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</si>
  <si>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</si>
  <si>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</si>
  <si>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Minh Hai (Zalo: Shirley Woo)</t>
  </si>
  <si>
    <t>17 Street No. 13, Binh Hung Hoa Ward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</si>
  <si>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</si>
  <si>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</si>
  <si>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</si>
  <si>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</si>
  <si>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</si>
  <si>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</si>
  <si>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Kim Thuận</t>
  </si>
  <si>
    <t>HD063111</t>
  </si>
  <si>
    <t>1 bis đường tô ký, phường tân chánh hiệp</t>
  </si>
  <si>
    <t>Lê Thu</t>
  </si>
  <si>
    <t>HD063270</t>
  </si>
  <si>
    <t>180/60A Nguyễn Hữu Cảnh, P thạnh Mỹ Tây</t>
  </si>
  <si>
    <t>Hien Hoang</t>
  </si>
  <si>
    <t>HD062965</t>
  </si>
  <si>
    <t>208 nguyễn hữu cảnh p22 - landmark 3</t>
  </si>
  <si>
    <t>Lê Linh</t>
  </si>
  <si>
    <t>HD063222</t>
  </si>
  <si>
    <t>137/3 Đường số 59, An Hội Tây</t>
  </si>
  <si>
    <t>Mi mèo</t>
  </si>
  <si>
    <t>HD063005</t>
  </si>
  <si>
    <t>22, TÂN THỚI NHẤT 1B, Phường Tân Thới Nhất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</si>
  <si>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</si>
  <si>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</si>
  <si>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</si>
  <si>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</si>
  <si>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</si>
  <si>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</si>
  <si>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</si>
  <si>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</si>
  <si>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</si>
  <si>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</si>
  <si>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</si>
  <si>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</si>
  <si>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</si>
  <si>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</si>
  <si>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</si>
  <si>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</si>
  <si>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</si>
  <si>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</si>
  <si>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</si>
  <si>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</si>
  <si>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</si>
  <si>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</si>
  <si>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</si>
  <si>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</si>
  <si>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</si>
  <si>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</si>
  <si>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</si>
  <si>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</si>
  <si>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</si>
  <si>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</si>
  <si>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</si>
  <si>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</si>
  <si>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</si>
  <si>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</si>
  <si>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</si>
  <si>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</si>
  <si>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</si>
  <si>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Bee Trần</t>
  </si>
  <si>
    <t>HD063133</t>
  </si>
  <si>
    <t>34/4 tân Hải p Tân bình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</si>
  <si>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</si>
  <si>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</si>
  <si>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</si>
  <si>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</si>
  <si>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</si>
  <si>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</si>
  <si>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Fb: An An</t>
  </si>
  <si>
    <t>HD063237</t>
  </si>
  <si>
    <t>Cty Thế Long Express 27/5 Quách Văn tuấn, f12</t>
  </si>
  <si>
    <t>LE Nguyen Thu Minh</t>
  </si>
  <si>
    <t>HD063196</t>
  </si>
  <si>
    <t>358 nhật tảo p6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</si>
  <si>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</si>
  <si>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</si>
  <si>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</si>
  <si>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</si>
  <si>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</si>
  <si>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</si>
  <si>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</si>
  <si>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</si>
  <si>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</si>
  <si>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</si>
  <si>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</si>
  <si>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</si>
  <si>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phí Chành xe</t>
  </si>
  <si>
    <t>đơn phí Chành xe</t>
  </si>
  <si>
    <t>Heng Roza (EV38382)</t>
  </si>
  <si>
    <t>15k phí Chành Xe</t>
  </si>
  <si>
    <t>HD062448</t>
  </si>
  <si>
    <t>315/186 Nhuyễn Thị Tú, Phường Bình Hưng Hòa B</t>
  </si>
  <si>
    <t>T7.3.10.2026</t>
  </si>
  <si>
    <t>THU 7</t>
  </si>
  <si>
    <t>NGAY 3-10</t>
  </si>
  <si>
    <t>Phạm Bích Tuyền</t>
  </si>
  <si>
    <t>HD063401</t>
  </si>
  <si>
    <t>38.đường 39.tân thuận.phường tân thuận</t>
  </si>
  <si>
    <t>AT 03-10</t>
  </si>
  <si>
    <t>03-10-2026</t>
  </si>
  <si>
    <t>Nguyễn Đặng Kiều My</t>
  </si>
  <si>
    <t>HD063445</t>
  </si>
  <si>
    <t>67/9 đường d9 Tây Thạnh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</si>
  <si>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</si>
  <si>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</si>
  <si>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</si>
  <si>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</si>
  <si>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</si>
  <si>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</si>
  <si>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</si>
  <si>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</si>
  <si>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</si>
  <si>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</si>
  <si>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</si>
  <si>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</si>
  <si>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</si>
  <si>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</si>
  <si>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</si>
  <si>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</si>
  <si>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</si>
  <si>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</si>
  <si>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</si>
  <si>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</si>
  <si>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</si>
  <si>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</si>
  <si>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Kim Ngân</t>
  </si>
  <si>
    <t>HD063590</t>
  </si>
  <si>
    <t>Lavida Plus, Nguyễn Văn Linh, Tân Phong</t>
  </si>
  <si>
    <t>Dung Nguyen</t>
  </si>
  <si>
    <t>HD063559</t>
  </si>
  <si>
    <t>T4 masteri xa lộ hà nội thảo điền</t>
  </si>
  <si>
    <t>Phạm Dung</t>
  </si>
  <si>
    <t>HD063216</t>
  </si>
  <si>
    <t>208 nguyễn hữu cảnh phường 22 chung cư vinhome toà lanmark 5</t>
  </si>
  <si>
    <t>gộp, shop chịu ship</t>
  </si>
  <si>
    <t>HD063192</t>
  </si>
  <si>
    <t>gộp</t>
  </si>
  <si>
    <t>Mỹ Ngọc</t>
  </si>
  <si>
    <t>HD063318</t>
  </si>
  <si>
    <t>242 Nguyễn oanh,phường gò vấp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</si>
  <si>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</si>
  <si>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</si>
  <si>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</si>
  <si>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</si>
  <si>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</si>
  <si>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</si>
  <si>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</si>
  <si>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</si>
  <si>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</si>
  <si>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</si>
  <si>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Sophia Le</t>
  </si>
  <si>
    <t>HD063573</t>
  </si>
  <si>
    <t>27/11 Đường số 27, P. Hiệp Bình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</si>
  <si>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</si>
  <si>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</si>
  <si>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</si>
  <si>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</si>
  <si>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</si>
  <si>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</si>
  <si>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Darin</t>
  </si>
  <si>
    <t>624 Lê thị riêng,thới an</t>
  </si>
  <si>
    <t>NT Hải Yến</t>
  </si>
  <si>
    <t>I32 khu dân cư Tân tiến, Tân Thới Hiệp</t>
  </si>
  <si>
    <t>Anh Thu Nguyen</t>
  </si>
  <si>
    <t>HD063572</t>
  </si>
  <si>
    <t>230 cao thắng, p12</t>
  </si>
  <si>
    <t>Jenny Pham</t>
  </si>
  <si>
    <t>HD063577</t>
  </si>
  <si>
    <t>321 Nguyễn Trọng Tuyển</t>
  </si>
  <si>
    <t>Nguyễn Nhi</t>
  </si>
  <si>
    <t>HD063419</t>
  </si>
  <si>
    <t>393/33/5 lê hồng phong p2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</si>
  <si>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</si>
  <si>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</si>
  <si>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</si>
  <si>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</si>
  <si>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</si>
  <si>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</si>
  <si>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</si>
  <si>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</si>
  <si>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</si>
  <si>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Duyen Dau</t>
  </si>
  <si>
    <t>HD062729</t>
  </si>
  <si>
    <t>Chung cư lô A ( cầu thang số 5), số 43R Hồ Văn Huê, phường 9</t>
  </si>
  <si>
    <t>đơn trả 5.10</t>
  </si>
  <si>
    <t>THU 2</t>
  </si>
  <si>
    <t>NGAY 5-10</t>
  </si>
  <si>
    <t>T2.5.10.2026</t>
  </si>
  <si>
    <t>Nhi Nhi</t>
  </si>
  <si>
    <t>HD063710</t>
  </si>
  <si>
    <t>Giặt Hấp Sấy Tam Phương., Số 08, Đ. Số 10, Phường Tân Hưng</t>
  </si>
  <si>
    <t>AT 05-10</t>
  </si>
  <si>
    <t>05-10-2026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</si>
  <si>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</si>
  <si>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</si>
  <si>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</si>
  <si>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</si>
  <si>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</si>
  <si>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</si>
  <si>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Chị My (website)</t>
  </si>
  <si>
    <t>HD064217</t>
  </si>
  <si>
    <t>1287/33/58 Phạm Thế Hiển, P5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</si>
  <si>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</si>
  <si>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</si>
  <si>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</si>
  <si>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</si>
  <si>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</si>
  <si>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</si>
  <si>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Thu Bui</t>
  </si>
  <si>
    <t>HD063985</t>
  </si>
  <si>
    <t>49 đoàn giỏi phường sơn kỳ</t>
  </si>
  <si>
    <t>Bích Ngân</t>
  </si>
  <si>
    <t>HD064075</t>
  </si>
  <si>
    <t>184/38/49/93 âu dương lân</t>
  </si>
  <si>
    <t>bảo thu(907)</t>
  </si>
  <si>
    <t>HD064012</t>
  </si>
  <si>
    <t>topaz Elite - block Dragon 2c 122 cao lỗ, chánh hưng</t>
  </si>
  <si>
    <t>Tew heng quan ( Minh Hai )</t>
  </si>
  <si>
    <t>HD063857</t>
  </si>
  <si>
    <t>17 Đường Số 13 Bình Hưng Hoà</t>
  </si>
  <si>
    <t>Anh Quỳnh</t>
  </si>
  <si>
    <t>HD064074</t>
  </si>
  <si>
    <t>E15/1T4 ấp 5, Vĩnh Lộc A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</si>
  <si>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</si>
  <si>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</si>
  <si>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</si>
  <si>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</si>
  <si>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</si>
  <si>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</si>
  <si>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Trần Bảo Hân (inst tranbaohan17)</t>
  </si>
  <si>
    <t>HD063598</t>
  </si>
  <si>
    <t>E4/25a đường Nguyễn Hữu Trí, khu phố 5, xã Tân Nhựt</t>
  </si>
  <si>
    <t>Ngọc Trinh</t>
  </si>
  <si>
    <t>HD064099</t>
  </si>
  <si>
    <t>793/49 villa 10 Trần xuân soạn tân hưng</t>
  </si>
  <si>
    <t>HD063782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</si>
  <si>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</si>
  <si>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</si>
  <si>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</si>
  <si>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</si>
  <si>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</si>
  <si>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</si>
  <si>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</si>
  <si>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</si>
  <si>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</si>
  <si>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</si>
  <si>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</si>
  <si>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</si>
  <si>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Chi Trương</t>
  </si>
  <si>
    <t>HD063127</t>
  </si>
  <si>
    <t>38 đường 9A KDC trung sơn X.bình hưng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</si>
  <si>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</si>
  <si>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</si>
  <si>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</si>
  <si>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</si>
  <si>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</si>
  <si>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</si>
  <si>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HD063896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</si>
  <si>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</si>
  <si>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</si>
  <si>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</si>
  <si>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</si>
  <si>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</si>
  <si>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</si>
  <si>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</si>
  <si>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Elly Duyên</t>
  </si>
  <si>
    <t>HD064095</t>
  </si>
  <si>
    <t>200 đường 9A Bình Hưng</t>
  </si>
  <si>
    <t>Tuyết</t>
  </si>
  <si>
    <t>HD064193</t>
  </si>
  <si>
    <t>E06 Chuông Vàng, phường Cát Lái</t>
  </si>
  <si>
    <t>Trang Pham</t>
  </si>
  <si>
    <t>HD063757</t>
  </si>
  <si>
    <t>331/68 Vườn Lài, Phường An Phú Đông</t>
  </si>
  <si>
    <t>Tran Thu</t>
  </si>
  <si>
    <t>HD064072</t>
  </si>
  <si>
    <t>76/14/6 duong so 7 linh trung</t>
  </si>
  <si>
    <t>Chi chu</t>
  </si>
  <si>
    <t>HD063604</t>
  </si>
  <si>
    <t>61/2a đg 6 Tam phú</t>
  </si>
  <si>
    <t>Phương Phạm</t>
  </si>
  <si>
    <t>HD063965</t>
  </si>
  <si>
    <t>545/16/17 nguyễn xiển</t>
  </si>
  <si>
    <t>Tuyền</t>
  </si>
  <si>
    <t>HD064215</t>
  </si>
  <si>
    <t>310 lê quang định phường bình lợi trung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</si>
  <si>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</si>
  <si>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</si>
  <si>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</si>
  <si>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</si>
  <si>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</si>
  <si>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</si>
  <si>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HD063702</t>
  </si>
  <si>
    <t>242 nguyễn oanh, phường gò vấp</t>
  </si>
  <si>
    <t>HD064179</t>
  </si>
  <si>
    <t>Huyền Bún</t>
  </si>
  <si>
    <t>HD064181</t>
  </si>
  <si>
    <t>chung cư Moscow Tower -đường tân thới nhất 17-p.tân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</si>
  <si>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</si>
  <si>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</si>
  <si>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</si>
  <si>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</si>
  <si>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</si>
  <si>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</si>
  <si>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Như Ngọc</t>
  </si>
  <si>
    <t>HD063849</t>
  </si>
  <si>
    <t>85/7A đường 30 khu phố 2 phường cát lái</t>
  </si>
  <si>
    <t>Lam</t>
  </si>
  <si>
    <t>HD063673</t>
  </si>
  <si>
    <t>47/ 24/38 bùi đình tuỷ p14 phòng 440 để bve</t>
  </si>
  <si>
    <t>Thanh Ngân fb Ngoc Nhi</t>
  </si>
  <si>
    <t>HD064150</t>
  </si>
  <si>
    <t>Công Ty Gumac, 313/15, Hẻm 313 Đường Phan Huy Ích, Phường 14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</si>
  <si>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</si>
  <si>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</si>
  <si>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</si>
  <si>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</si>
  <si>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</si>
  <si>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</si>
  <si>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Ashley Khin</t>
  </si>
  <si>
    <t>HD063602</t>
  </si>
  <si>
    <t>BS16A, Oasis zone, Vinhome Grand Park</t>
  </si>
  <si>
    <t>Nguyễn Yến Nhi</t>
  </si>
  <si>
    <t>HD063694</t>
  </si>
  <si>
    <t>Vinhomes grand park - p long bình - toà gh3B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</si>
  <si>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</si>
  <si>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</si>
  <si>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</si>
  <si>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</si>
  <si>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</si>
  <si>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</si>
  <si>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</si>
  <si>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</si>
  <si>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</si>
  <si>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</si>
  <si>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</si>
  <si>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</si>
  <si>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Chu Châu</t>
  </si>
  <si>
    <t>HD063709</t>
  </si>
  <si>
    <t>160/7 bùi đình tuý p12</t>
  </si>
  <si>
    <t>THƯƠNG 1994</t>
  </si>
  <si>
    <t>Tòa Bs10, Vinhome Grand Park</t>
  </si>
  <si>
    <t>Người nhận: tên uyên</t>
  </si>
  <si>
    <t>HD064203</t>
  </si>
  <si>
    <t>Số 2 Tôn Đức Thắng, phường Bến Nghé (Tòa Lux 6 nằm trong khu Ba Son)</t>
  </si>
  <si>
    <t>Alin</t>
  </si>
  <si>
    <t>HD064202</t>
  </si>
  <si>
    <t>71/2/13 Nguyễn Bặc, Phường 3</t>
  </si>
  <si>
    <t>C9-YY-LUWE XIN HUI</t>
  </si>
  <si>
    <t>HD063083</t>
  </si>
  <si>
    <t>SAIKO EXPRESS - 29/7 Đường Yên Thế, Phường 2</t>
  </si>
  <si>
    <t>Sen Tina</t>
  </si>
  <si>
    <t>HD064084</t>
  </si>
  <si>
    <t>37 thích minh nguyệt, Phường 2</t>
  </si>
  <si>
    <t>Như Quỳnh saleweb</t>
  </si>
  <si>
    <t>HD064219</t>
  </si>
  <si>
    <t>66/68, Phổ Quang, Phường 2</t>
  </si>
  <si>
    <t>Bác Sĩ Mỹ</t>
  </si>
  <si>
    <t>HD064188</t>
  </si>
  <si>
    <t>296 phan đình phùng, p cầu kiệu</t>
  </si>
  <si>
    <t>Hứa Hồng</t>
  </si>
  <si>
    <t>HD064041</t>
  </si>
  <si>
    <t>290 an dương vuong</t>
  </si>
  <si>
    <t>gia linh</t>
  </si>
  <si>
    <t>HD063047</t>
  </si>
  <si>
    <t>tk19/19 nguyen canh chau cau ong lanh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</si>
  <si>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</si>
  <si>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</si>
  <si>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</si>
  <si>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</si>
  <si>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</si>
  <si>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Mẫn Mẫn</t>
  </si>
  <si>
    <t>HD064025</t>
  </si>
  <si>
    <t>39bis hoa cúc -p7</t>
  </si>
  <si>
    <t>Khánh Vy</t>
  </si>
  <si>
    <t>HD064154</t>
  </si>
  <si>
    <t>8a sông thương p2</t>
  </si>
  <si>
    <t>Cẩm Hiền Nguyễn</t>
  </si>
  <si>
    <t>HD063728</t>
  </si>
  <si>
    <t>466 Nguyễn Kiệm, phường Đức Nhuận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</si>
  <si>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</si>
  <si>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</si>
  <si>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</si>
  <si>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</si>
  <si>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</si>
  <si>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</si>
  <si>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HD063706</t>
  </si>
  <si>
    <t>Nguyễn Biết</t>
  </si>
  <si>
    <t>HD064135</t>
  </si>
  <si>
    <t>2/17a quách văn tuấn, p12</t>
  </si>
  <si>
    <t>Bee Út Nguyễn</t>
  </si>
  <si>
    <t>HD063729</t>
  </si>
  <si>
    <t>Block B chung cư copac 12 tôn đản phường xóm chiếu Căn 15b8</t>
  </si>
  <si>
    <t>Thảo Vy</t>
  </si>
  <si>
    <t>HD063759</t>
  </si>
  <si>
    <t>59/20 Nguyễn Bỉnh Khiêm, Tân Định</t>
  </si>
  <si>
    <t>Thảo Phương</t>
  </si>
  <si>
    <t>HD064003</t>
  </si>
  <si>
    <t>482/15/31 điện biên phủ p11</t>
  </si>
  <si>
    <t>TOM AG</t>
  </si>
  <si>
    <t>12 HỒ VĂN HUÊ PHƯỜNG 9</t>
  </si>
  <si>
    <t>SU ANH</t>
  </si>
  <si>
    <t>72/5 Giải Phóng, Tân Sơn Nhất</t>
  </si>
  <si>
    <t>Thu Trương</t>
  </si>
  <si>
    <t>159/43/5 Đường Bạch Đằng, phường Tân Sơn Hòa</t>
  </si>
  <si>
    <t>Ngọc Ngà</t>
  </si>
  <si>
    <t>HD063976</t>
  </si>
  <si>
    <t>Tecco Felice Tower,hội nghĩa 99,P.Bình cơ</t>
  </si>
  <si>
    <t>tinh</t>
  </si>
  <si>
    <t>hàng tỉnh</t>
  </si>
  <si>
    <t>x</t>
  </si>
  <si>
    <t>xx</t>
  </si>
  <si>
    <t>vĩnh thủy</t>
  </si>
  <si>
    <t>HD064162</t>
  </si>
  <si>
    <t>tim homes 3 đường số 39 khu đô thị mỹ gia vĩnh thái nha trang khánh hòa</t>
  </si>
  <si>
    <t>đơn trả 6.10</t>
  </si>
  <si>
    <t>THU 3</t>
  </si>
  <si>
    <t>NGAY 6-10</t>
  </si>
  <si>
    <t>Huỳnh Trinh</t>
  </si>
  <si>
    <t>HD064580</t>
  </si>
  <si>
    <t>11 đường 19e,Bình trị đông B</t>
  </si>
  <si>
    <t>AT 06-10</t>
  </si>
  <si>
    <t>06-10-2026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</si>
  <si>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</si>
  <si>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</si>
  <si>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</si>
  <si>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</si>
  <si>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</si>
  <si>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</si>
  <si>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Thu Ella</t>
  </si>
  <si>
    <t>HD064321</t>
  </si>
  <si>
    <t>toà w2, sunrise central,25 nguyễn hữu thọ</t>
  </si>
  <si>
    <t>Kim Kim</t>
  </si>
  <si>
    <t>HD064307</t>
  </si>
  <si>
    <t>206 Tây Thạnh, P Tây Thạnh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</si>
  <si>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</si>
  <si>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</si>
  <si>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</si>
  <si>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</si>
  <si>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</si>
  <si>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</si>
  <si>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HD064523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</si>
  <si>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</si>
  <si>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</si>
  <si>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</si>
  <si>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</si>
  <si>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</si>
  <si>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</si>
  <si>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</si>
  <si>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</si>
  <si>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</si>
  <si>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</si>
  <si>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</si>
  <si>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</si>
  <si>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137/2 bình long, bình trị đông, bình tân</t>
  </si>
  <si>
    <t>thu thêm cod 980k</t>
  </si>
  <si>
    <t>Linh P Pham (SALE WEB)</t>
  </si>
  <si>
    <t>HD064519</t>
  </si>
  <si>
    <t>Landmark 5, Vinhomes Central Park, Thạnh Mỹ Tây</t>
  </si>
  <si>
    <t>HD064533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</si>
  <si>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</si>
  <si>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</si>
  <si>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</si>
  <si>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</si>
  <si>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</si>
  <si>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</si>
  <si>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</si>
  <si>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</si>
  <si>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</si>
  <si>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</si>
  <si>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</si>
  <si>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</si>
  <si>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Trần Quốc Thịnh ( đồ của Nhàn )</t>
  </si>
  <si>
    <t>HD064293</t>
  </si>
  <si>
    <t>41B1 Đặng Thuỳ Trâm, Phường Bình Lợi Trung</t>
  </si>
  <si>
    <t>Kim Thư</t>
  </si>
  <si>
    <t>HD064577</t>
  </si>
  <si>
    <t>297/30/1 phan huy ích, phường an hội tây</t>
  </si>
  <si>
    <t>Nguyễn Bảo Trang</t>
  </si>
  <si>
    <t>HD064329</t>
  </si>
  <si>
    <t>778/32/29q1 Thống Nhất p15</t>
  </si>
  <si>
    <t>HD064508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</si>
  <si>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</si>
  <si>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</si>
  <si>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</si>
  <si>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</si>
  <si>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</si>
  <si>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</si>
  <si>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</si>
  <si>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</si>
  <si>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</si>
  <si>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</si>
  <si>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</si>
  <si>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</si>
  <si>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</si>
  <si>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</si>
  <si>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</si>
  <si>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</si>
  <si>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</si>
  <si>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</si>
  <si>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</si>
  <si>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</si>
  <si>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</si>
  <si>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</si>
  <si>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</si>
  <si>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</si>
  <si>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</si>
  <si>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Khánh Nguyên ( ig dulcie_33 )</t>
  </si>
  <si>
    <t>HD064540</t>
  </si>
  <si>
    <t>21 Bành Văn Trân, P Tân Hòa</t>
  </si>
  <si>
    <t>Kiều Thii Duyên</t>
  </si>
  <si>
    <t>HD064528</t>
  </si>
  <si>
    <t>Cty Thế Long Express 27/5 Quách Văn Tuấn, P12</t>
  </si>
  <si>
    <t>Laurent</t>
  </si>
  <si>
    <t>HD064510</t>
  </si>
  <si>
    <t>54 Đường Bạch Vân Phường An Đông hoặc Phường 5</t>
  </si>
  <si>
    <t>Thúy Nguyên</t>
  </si>
  <si>
    <t>HD064386</t>
  </si>
  <si>
    <t>36/11 chử đồng tử p7</t>
  </si>
  <si>
    <t>Hằng Lê</t>
  </si>
  <si>
    <t>HD064260</t>
  </si>
  <si>
    <t>số 9 Nguyễn Chí Thanh P9</t>
  </si>
  <si>
    <t>Valencia</t>
  </si>
  <si>
    <t>HD064490</t>
  </si>
  <si>
    <t>Nicecy Ben Thanh Hotel 261 - 265 Le Thanh Ton Street, Ben Thanh Ward</t>
  </si>
  <si>
    <t>MC Sanita Mao (MV01908)</t>
  </si>
  <si>
    <t>HD064524</t>
  </si>
  <si>
    <t>209 Phạm Ngũ Lão, Bến Thành - Phòng 504</t>
  </si>
  <si>
    <t>đơn hoàn về</t>
  </si>
  <si>
    <t>đơn ck</t>
  </si>
  <si>
    <t>đơn trả 7.10</t>
  </si>
  <si>
    <t>grab 40k</t>
  </si>
  <si>
    <t>kh ck shop 815k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</si>
</sst>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10" fillId="0" borderId="0" applyBorder="0"/>
  </cellStyleXfs>
  <cellXfs count="44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9" fillId="2" borderId="1" xfId="0" applyFont="1" applyFill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0" borderId="1" xfId="0" applyFont="1" applyBorder="1"/>
    <xf numFmtId="3" fontId="9" fillId="0" borderId="1" xfId="0" applyNumberFormat="1" applyFont="1" applyBorder="1"/>
    <xf numFmtId="3" fontId="2" fillId="0" borderId="0" xfId="1" applyNumberFormat="1"/>
    <xf numFmtId="0" fontId="8" fillId="8" borderId="1" xfId="0" applyFont="1" applyFill="1" applyBorder="1"/>
    <xf numFmtId="49" fontId="8" fillId="8" borderId="1" xfId="0" applyNumberFormat="1" applyFont="1" applyFill="1" applyBorder="1"/>
    <xf numFmtId="0" fontId="9" fillId="0" borderId="1" xfId="2" applyFont="1" applyBorder="1"/>
    <xf numFmtId="0" fontId="9" fillId="0" borderId="0" xfId="0" applyFont="1"/>
    <xf numFmtId="3" fontId="0" fillId="9" borderId="0" xfId="0" applyNumberFormat="1" applyFill="1"/>
    <xf numFmtId="0" fontId="11" fillId="8" borderId="1" xfId="0" applyFont="1" applyFill="1" applyBorder="1"/>
    <xf numFmtId="49" fontId="11" fillId="8" borderId="1" xfId="0" applyNumberFormat="1" applyFont="1" applyFill="1" applyBorder="1"/>
    <xf numFmtId="0" fontId="8" fillId="0" borderId="1" xfId="0" applyFont="1" applyBorder="1"/>
    <xf numFmtId="3" fontId="8" fillId="0" borderId="1" xfId="0" applyNumberFormat="1" applyFont="1" applyBorder="1"/>
    <xf numFmtId="0" fontId="12" fillId="0" borderId="1" xfId="0" applyFont="1" applyBorder="1"/>
    <xf numFmtId="0" fontId="11" fillId="0" borderId="1" xfId="0" applyFont="1" applyBorder="1"/>
    <xf numFmtId="0" fontId="12" fillId="8" borderId="1" xfId="0" applyFont="1" applyFill="1" applyBorder="1"/>
    <xf numFmtId="3" fontId="12" fillId="8" borderId="1" xfId="0" applyNumberFormat="1" applyFont="1" applyFill="1" applyBorder="1"/>
    <xf numFmtId="0" fontId="13" fillId="8" borderId="1" xfId="0" applyFont="1" applyFill="1" applyBorder="1"/>
    <xf numFmtId="3" fontId="13" fillId="8" borderId="0" xfId="0" applyNumberFormat="1" applyFont="1" applyFill="1"/>
    <xf numFmtId="0" fontId="13" fillId="8" borderId="0" xfId="0" applyFont="1" applyFill="1"/>
    <xf numFmtId="0" fontId="8" fillId="2" borderId="1" xfId="0" applyFont="1" applyFill="1" applyBorder="1"/>
  </cellXfs>
  <cellStyles count="3">
    <cellStyle name="Normal" xfId="0" builtinId="0"/>
    <cellStyle name="Normal 2" xfId="1" xr:uid="{D1AD9FCC-7941-4EA1-A803-F399CA3A662E}"/>
    <cellStyle name="Normal 3" xfId="2" xr:uid="{B7CAC693-781B-44FA-BA83-88263A154CB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71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181</v>
      </c>
      <c r="C1" s="1" t="s">
        <v>182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28</v>
      </c>
      <c r="D3" s="17"/>
      <c r="E3" s="17" t="s">
        <v>29</v>
      </c>
      <c r="F3" s="17" t="s">
        <v>30</v>
      </c>
      <c r="G3" s="18">
        <v>0</v>
      </c>
      <c r="H3" s="18">
        <v>35</v>
      </c>
      <c r="I3" s="18">
        <f t="shared" ref="I3:I51" si="0">G3-H3</f>
        <v>-35</v>
      </c>
      <c r="J3" s="17" t="s">
        <v>31</v>
      </c>
      <c r="K3" s="17" t="s">
        <v>32</v>
      </c>
      <c r="L3" s="17" t="s">
        <v>33</v>
      </c>
      <c r="M3" s="17"/>
      <c r="N3" s="17"/>
      <c r="O3" s="17"/>
      <c r="P3" s="17"/>
      <c r="Q3" s="17">
        <v>1</v>
      </c>
      <c r="R3" s="19">
        <f t="shared" ref="R3:R4" si="1">H3</f>
        <v>35</v>
      </c>
    </row>
    <row r="4" spans="1:18" customFormat="1" x14ac:dyDescent="0.25">
      <c r="A4" s="17" t="s">
        <v>26</v>
      </c>
      <c r="B4" s="17" t="s">
        <v>27</v>
      </c>
      <c r="C4" s="17" t="s">
        <v>34</v>
      </c>
      <c r="D4" s="17"/>
      <c r="E4" s="17" t="s">
        <v>35</v>
      </c>
      <c r="F4" s="18">
        <v>6</v>
      </c>
      <c r="G4" s="18">
        <v>0</v>
      </c>
      <c r="H4" s="18">
        <v>30</v>
      </c>
      <c r="I4" s="18">
        <f t="shared" si="0"/>
        <v>-30</v>
      </c>
      <c r="J4" s="17" t="s">
        <v>31</v>
      </c>
      <c r="K4" s="17" t="s">
        <v>32</v>
      </c>
      <c r="L4" s="17" t="s">
        <v>33</v>
      </c>
      <c r="M4" s="17"/>
      <c r="N4" s="17"/>
      <c r="O4" s="17"/>
      <c r="P4" s="17"/>
      <c r="Q4" s="17">
        <v>1</v>
      </c>
      <c r="R4" s="19">
        <f t="shared" si="1"/>
        <v>30</v>
      </c>
    </row>
    <row r="5" spans="1:18" customFormat="1" x14ac:dyDescent="0.25">
      <c r="A5" s="17"/>
      <c r="B5" s="17" t="s">
        <v>27</v>
      </c>
      <c r="C5" s="17" t="s">
        <v>36</v>
      </c>
      <c r="D5" s="17" t="s">
        <v>37</v>
      </c>
      <c r="E5" s="17" t="s">
        <v>38</v>
      </c>
      <c r="F5" s="18">
        <v>8</v>
      </c>
      <c r="G5" s="18">
        <v>920</v>
      </c>
      <c r="H5" s="18">
        <v>30</v>
      </c>
      <c r="I5" s="18">
        <f t="shared" si="0"/>
        <v>890</v>
      </c>
      <c r="J5" s="17" t="s">
        <v>31</v>
      </c>
      <c r="K5" s="17" t="s">
        <v>32</v>
      </c>
      <c r="L5" s="17" t="s">
        <v>33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39</v>
      </c>
      <c r="D6" s="17" t="s">
        <v>40</v>
      </c>
      <c r="E6" s="17" t="s">
        <v>41</v>
      </c>
      <c r="F6" s="18">
        <v>8</v>
      </c>
      <c r="G6" s="18">
        <v>0</v>
      </c>
      <c r="H6" s="18">
        <v>30</v>
      </c>
      <c r="I6" s="18">
        <f t="shared" si="0"/>
        <v>-30</v>
      </c>
      <c r="J6" s="17" t="s">
        <v>31</v>
      </c>
      <c r="K6" s="17" t="s">
        <v>32</v>
      </c>
      <c r="L6" s="17" t="s">
        <v>33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42</v>
      </c>
      <c r="D7" s="17" t="s">
        <v>43</v>
      </c>
      <c r="E7" s="17" t="s">
        <v>44</v>
      </c>
      <c r="F7" s="18">
        <v>6</v>
      </c>
      <c r="G7" s="18">
        <v>755</v>
      </c>
      <c r="H7" s="18">
        <v>25</v>
      </c>
      <c r="I7" s="18">
        <f t="shared" si="0"/>
        <v>730</v>
      </c>
      <c r="J7" s="17" t="s">
        <v>31</v>
      </c>
      <c r="K7" s="17" t="s">
        <v>32</v>
      </c>
      <c r="L7" s="17" t="s">
        <v>33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45</v>
      </c>
      <c r="D8" s="17" t="s">
        <v>46</v>
      </c>
      <c r="E8" s="17" t="s">
        <v>47</v>
      </c>
      <c r="F8" s="17" t="s">
        <v>30</v>
      </c>
      <c r="G8" s="18">
        <v>0</v>
      </c>
      <c r="H8" s="18">
        <v>30</v>
      </c>
      <c r="I8" s="18">
        <f t="shared" si="0"/>
        <v>-30</v>
      </c>
      <c r="J8" s="17" t="s">
        <v>31</v>
      </c>
      <c r="K8" s="17" t="s">
        <v>32</v>
      </c>
      <c r="L8" s="17" t="s">
        <v>33</v>
      </c>
      <c r="M8" s="17"/>
      <c r="N8" s="17"/>
      <c r="O8" s="17"/>
      <c r="P8" s="17"/>
      <c r="Q8" s="17">
        <v>1</v>
      </c>
      <c r="R8" s="19">
        <f>H8</f>
        <v>30</v>
      </c>
    </row>
    <row r="9" spans="1:18" customFormat="1" x14ac:dyDescent="0.25">
      <c r="A9" s="17"/>
      <c r="B9" s="17" t="s">
        <v>27</v>
      </c>
      <c r="C9" s="17" t="s">
        <v>48</v>
      </c>
      <c r="D9" s="17" t="s">
        <v>49</v>
      </c>
      <c r="E9" s="17" t="s">
        <v>50</v>
      </c>
      <c r="F9" s="17" t="s">
        <v>51</v>
      </c>
      <c r="G9" s="18">
        <v>525</v>
      </c>
      <c r="H9" s="18">
        <v>35</v>
      </c>
      <c r="I9" s="18">
        <f t="shared" si="0"/>
        <v>490</v>
      </c>
      <c r="J9" s="17" t="s">
        <v>31</v>
      </c>
      <c r="K9" s="17" t="s">
        <v>32</v>
      </c>
      <c r="L9" s="17" t="s">
        <v>33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52</v>
      </c>
      <c r="D10" s="17" t="s">
        <v>53</v>
      </c>
      <c r="E10" s="17" t="s">
        <v>54</v>
      </c>
      <c r="F10" s="17" t="s">
        <v>30</v>
      </c>
      <c r="G10" s="18">
        <v>1970</v>
      </c>
      <c r="H10" s="18">
        <v>30</v>
      </c>
      <c r="I10" s="18">
        <f t="shared" si="0"/>
        <v>1940</v>
      </c>
      <c r="J10" s="17" t="s">
        <v>31</v>
      </c>
      <c r="K10" s="17" t="s">
        <v>32</v>
      </c>
      <c r="L10" s="17" t="s">
        <v>33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55</v>
      </c>
      <c r="D11" s="17" t="s">
        <v>56</v>
      </c>
      <c r="E11" s="17" t="s">
        <v>57</v>
      </c>
      <c r="F11" s="18">
        <v>9</v>
      </c>
      <c r="G11" s="18">
        <v>1800</v>
      </c>
      <c r="H11" s="18">
        <v>30</v>
      </c>
      <c r="I11" s="18">
        <f t="shared" si="0"/>
        <v>1770</v>
      </c>
      <c r="J11" s="17" t="s">
        <v>31</v>
      </c>
      <c r="K11" s="17" t="s">
        <v>32</v>
      </c>
      <c r="L11" s="17" t="s">
        <v>33</v>
      </c>
      <c r="M11" s="20" t="s">
        <v>58</v>
      </c>
      <c r="N11" s="17"/>
      <c r="O11" s="17"/>
      <c r="P11" s="17"/>
      <c r="Q11" s="17">
        <v>1</v>
      </c>
      <c r="R11" s="19">
        <f>H11</f>
        <v>30</v>
      </c>
    </row>
    <row r="12" spans="1:18" customFormat="1" x14ac:dyDescent="0.25">
      <c r="A12" s="17"/>
      <c r="B12" s="17" t="s">
        <v>27</v>
      </c>
      <c r="C12" s="17" t="s">
        <v>59</v>
      </c>
      <c r="D12" s="17" t="s">
        <v>60</v>
      </c>
      <c r="E12" s="17" t="s">
        <v>61</v>
      </c>
      <c r="F12" s="17" t="s">
        <v>51</v>
      </c>
      <c r="G12" s="18">
        <v>995</v>
      </c>
      <c r="H12" s="18">
        <v>35</v>
      </c>
      <c r="I12" s="18">
        <f t="shared" si="0"/>
        <v>960</v>
      </c>
      <c r="J12" s="17" t="s">
        <v>31</v>
      </c>
      <c r="K12" s="17" t="s">
        <v>32</v>
      </c>
      <c r="L12" s="17" t="s">
        <v>33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62</v>
      </c>
      <c r="D13" s="17" t="s">
        <v>63</v>
      </c>
      <c r="E13" s="17" t="s">
        <v>64</v>
      </c>
      <c r="F13" s="18">
        <v>7</v>
      </c>
      <c r="G13" s="18">
        <v>620</v>
      </c>
      <c r="H13" s="18">
        <v>30</v>
      </c>
      <c r="I13" s="18">
        <f t="shared" si="0"/>
        <v>590</v>
      </c>
      <c r="J13" s="17" t="s">
        <v>31</v>
      </c>
      <c r="K13" s="17" t="s">
        <v>32</v>
      </c>
      <c r="L13" s="17" t="s">
        <v>33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65</v>
      </c>
      <c r="D14" s="17" t="s">
        <v>66</v>
      </c>
      <c r="E14" s="17" t="s">
        <v>67</v>
      </c>
      <c r="F14" s="18">
        <v>7</v>
      </c>
      <c r="G14" s="18">
        <v>490</v>
      </c>
      <c r="H14" s="18">
        <v>30</v>
      </c>
      <c r="I14" s="18">
        <f t="shared" si="0"/>
        <v>460</v>
      </c>
      <c r="J14" s="17" t="s">
        <v>31</v>
      </c>
      <c r="K14" s="17" t="s">
        <v>32</v>
      </c>
      <c r="L14" s="17" t="s">
        <v>33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68</v>
      </c>
      <c r="D15" s="17" t="s">
        <v>69</v>
      </c>
      <c r="E15" s="17" t="s">
        <v>70</v>
      </c>
      <c r="F15" s="17" t="s">
        <v>71</v>
      </c>
      <c r="G15" s="18">
        <v>0</v>
      </c>
      <c r="H15" s="18">
        <v>30</v>
      </c>
      <c r="I15" s="18">
        <f t="shared" si="0"/>
        <v>-30</v>
      </c>
      <c r="J15" s="17" t="s">
        <v>31</v>
      </c>
      <c r="K15" s="17" t="s">
        <v>32</v>
      </c>
      <c r="L15" s="17" t="s">
        <v>33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72</v>
      </c>
      <c r="D16" s="17" t="s">
        <v>73</v>
      </c>
      <c r="E16" s="17" t="s">
        <v>74</v>
      </c>
      <c r="F16" s="18">
        <v>8</v>
      </c>
      <c r="G16" s="18">
        <v>30</v>
      </c>
      <c r="H16" s="18">
        <v>30</v>
      </c>
      <c r="I16" s="18">
        <f t="shared" si="0"/>
        <v>0</v>
      </c>
      <c r="J16" s="17" t="s">
        <v>31</v>
      </c>
      <c r="K16" s="17" t="s">
        <v>32</v>
      </c>
      <c r="L16" s="17" t="s">
        <v>33</v>
      </c>
      <c r="M16" s="17"/>
      <c r="N16" s="17"/>
      <c r="O16" s="17"/>
      <c r="P16" s="17"/>
      <c r="Q16" s="17">
        <v>1</v>
      </c>
    </row>
    <row r="17" spans="1:18" customFormat="1" x14ac:dyDescent="0.25">
      <c r="A17" s="17" t="s">
        <v>26</v>
      </c>
      <c r="B17" s="17" t="s">
        <v>27</v>
      </c>
      <c r="C17" s="17" t="s">
        <v>75</v>
      </c>
      <c r="D17" s="17"/>
      <c r="E17" s="17" t="s">
        <v>76</v>
      </c>
      <c r="F17" s="17" t="s">
        <v>77</v>
      </c>
      <c r="G17" s="18">
        <v>3250</v>
      </c>
      <c r="H17" s="18">
        <v>30</v>
      </c>
      <c r="I17" s="18">
        <f t="shared" si="0"/>
        <v>3220</v>
      </c>
      <c r="J17" s="17" t="s">
        <v>32</v>
      </c>
      <c r="K17" s="17" t="s">
        <v>32</v>
      </c>
      <c r="L17" s="17" t="s">
        <v>33</v>
      </c>
      <c r="M17" s="17"/>
      <c r="N17" s="17"/>
      <c r="O17" s="17"/>
      <c r="P17" s="17"/>
      <c r="Q17" s="17">
        <v>1</v>
      </c>
    </row>
    <row r="18" spans="1:18" customFormat="1" x14ac:dyDescent="0.25">
      <c r="A18" s="17" t="s">
        <v>26</v>
      </c>
      <c r="B18" s="17" t="s">
        <v>27</v>
      </c>
      <c r="C18" s="17" t="s">
        <v>78</v>
      </c>
      <c r="D18" s="17"/>
      <c r="E18" s="17" t="s">
        <v>79</v>
      </c>
      <c r="F18" s="17" t="s">
        <v>80</v>
      </c>
      <c r="G18" s="18">
        <v>3030</v>
      </c>
      <c r="H18" s="18">
        <v>40</v>
      </c>
      <c r="I18" s="18">
        <f t="shared" si="0"/>
        <v>2990</v>
      </c>
      <c r="J18" s="17" t="s">
        <v>32</v>
      </c>
      <c r="K18" s="17" t="s">
        <v>32</v>
      </c>
      <c r="L18" s="17" t="s">
        <v>33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26</v>
      </c>
      <c r="B19" s="17" t="s">
        <v>27</v>
      </c>
      <c r="C19" s="17" t="s">
        <v>81</v>
      </c>
      <c r="D19" s="17"/>
      <c r="E19" s="17" t="s">
        <v>82</v>
      </c>
      <c r="F19" s="18">
        <v>2</v>
      </c>
      <c r="G19" s="18">
        <v>35</v>
      </c>
      <c r="H19" s="18">
        <v>35</v>
      </c>
      <c r="I19" s="18">
        <f t="shared" si="0"/>
        <v>0</v>
      </c>
      <c r="J19" s="17" t="s">
        <v>32</v>
      </c>
      <c r="K19" s="17" t="s">
        <v>32</v>
      </c>
      <c r="L19" s="17" t="s">
        <v>33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83</v>
      </c>
      <c r="D20" s="17" t="s">
        <v>84</v>
      </c>
      <c r="E20" s="17" t="s">
        <v>85</v>
      </c>
      <c r="F20" s="17" t="s">
        <v>77</v>
      </c>
      <c r="G20" s="18">
        <v>0</v>
      </c>
      <c r="H20" s="18">
        <v>25</v>
      </c>
      <c r="I20" s="18">
        <f t="shared" si="0"/>
        <v>-25</v>
      </c>
      <c r="J20" s="17" t="s">
        <v>32</v>
      </c>
      <c r="K20" s="17" t="s">
        <v>32</v>
      </c>
      <c r="L20" s="17" t="s">
        <v>33</v>
      </c>
      <c r="M20" s="17"/>
      <c r="N20" s="17"/>
      <c r="O20" s="17"/>
      <c r="P20" s="17"/>
      <c r="Q20" s="17">
        <v>1</v>
      </c>
      <c r="R20" s="19">
        <f t="shared" ref="R20:R21" si="2">H20</f>
        <v>25</v>
      </c>
    </row>
    <row r="21" spans="1:18" customFormat="1" x14ac:dyDescent="0.25">
      <c r="A21" s="17"/>
      <c r="B21" s="17" t="s">
        <v>27</v>
      </c>
      <c r="C21" s="17" t="s">
        <v>86</v>
      </c>
      <c r="D21" s="17" t="s">
        <v>87</v>
      </c>
      <c r="E21" s="17" t="s">
        <v>88</v>
      </c>
      <c r="F21" s="18">
        <v>2</v>
      </c>
      <c r="G21" s="18">
        <v>0</v>
      </c>
      <c r="H21" s="18">
        <v>30</v>
      </c>
      <c r="I21" s="18">
        <f t="shared" si="0"/>
        <v>-30</v>
      </c>
      <c r="J21" s="17" t="s">
        <v>32</v>
      </c>
      <c r="K21" s="17" t="s">
        <v>32</v>
      </c>
      <c r="L21" s="17" t="s">
        <v>33</v>
      </c>
      <c r="M21" s="17"/>
      <c r="N21" s="17"/>
      <c r="O21" s="17"/>
      <c r="P21" s="17"/>
      <c r="Q21" s="17">
        <v>1</v>
      </c>
      <c r="R21" s="19">
        <f t="shared" si="2"/>
        <v>30</v>
      </c>
    </row>
    <row r="22" spans="1:18" customFormat="1" x14ac:dyDescent="0.25">
      <c r="A22" s="17"/>
      <c r="B22" s="17" t="s">
        <v>27</v>
      </c>
      <c r="C22" s="17" t="s">
        <v>89</v>
      </c>
      <c r="D22" s="17" t="s">
        <v>90</v>
      </c>
      <c r="E22" s="17" t="s">
        <v>91</v>
      </c>
      <c r="F22" s="17" t="s">
        <v>77</v>
      </c>
      <c r="G22" s="18">
        <v>565</v>
      </c>
      <c r="H22" s="18">
        <v>25</v>
      </c>
      <c r="I22" s="18">
        <f t="shared" si="0"/>
        <v>540</v>
      </c>
      <c r="J22" s="17" t="s">
        <v>32</v>
      </c>
      <c r="K22" s="17" t="s">
        <v>32</v>
      </c>
      <c r="L22" s="17" t="s">
        <v>33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92</v>
      </c>
      <c r="D23" s="17" t="s">
        <v>93</v>
      </c>
      <c r="E23" s="17" t="s">
        <v>94</v>
      </c>
      <c r="F23" s="18">
        <v>2</v>
      </c>
      <c r="G23" s="18">
        <v>990</v>
      </c>
      <c r="H23" s="18">
        <v>30</v>
      </c>
      <c r="I23" s="18">
        <f t="shared" si="0"/>
        <v>960</v>
      </c>
      <c r="J23" s="17" t="s">
        <v>32</v>
      </c>
      <c r="K23" s="17" t="s">
        <v>32</v>
      </c>
      <c r="L23" s="17" t="s">
        <v>33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95</v>
      </c>
      <c r="D24" s="17" t="s">
        <v>96</v>
      </c>
      <c r="E24" s="17" t="s">
        <v>97</v>
      </c>
      <c r="F24" s="17" t="s">
        <v>98</v>
      </c>
      <c r="G24" s="18">
        <v>880</v>
      </c>
      <c r="H24" s="18">
        <v>20</v>
      </c>
      <c r="I24" s="18">
        <f t="shared" si="0"/>
        <v>860</v>
      </c>
      <c r="J24" s="17" t="s">
        <v>32</v>
      </c>
      <c r="K24" s="17" t="s">
        <v>32</v>
      </c>
      <c r="L24" s="17" t="s">
        <v>33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99</v>
      </c>
      <c r="D25" s="17" t="s">
        <v>100</v>
      </c>
      <c r="E25" s="17" t="s">
        <v>101</v>
      </c>
      <c r="F25" s="18">
        <v>12</v>
      </c>
      <c r="G25" s="18">
        <v>0</v>
      </c>
      <c r="H25" s="18">
        <v>30</v>
      </c>
      <c r="I25" s="18">
        <f t="shared" si="0"/>
        <v>-30</v>
      </c>
      <c r="J25" s="17" t="s">
        <v>32</v>
      </c>
      <c r="K25" s="17" t="s">
        <v>32</v>
      </c>
      <c r="L25" s="17" t="s">
        <v>33</v>
      </c>
      <c r="M25" s="17"/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17"/>
      <c r="B26" s="17" t="s">
        <v>27</v>
      </c>
      <c r="C26" s="17" t="s">
        <v>102</v>
      </c>
      <c r="D26" s="17" t="s">
        <v>103</v>
      </c>
      <c r="E26" s="17" t="s">
        <v>104</v>
      </c>
      <c r="F26" s="17" t="s">
        <v>71</v>
      </c>
      <c r="G26" s="18">
        <v>990</v>
      </c>
      <c r="H26" s="18">
        <v>30</v>
      </c>
      <c r="I26" s="18">
        <f t="shared" si="0"/>
        <v>960</v>
      </c>
      <c r="J26" s="17" t="s">
        <v>32</v>
      </c>
      <c r="K26" s="17" t="s">
        <v>32</v>
      </c>
      <c r="L26" s="17" t="s">
        <v>33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105</v>
      </c>
      <c r="D27" s="17" t="s">
        <v>106</v>
      </c>
      <c r="E27" s="17" t="s">
        <v>107</v>
      </c>
      <c r="F27" s="17" t="s">
        <v>77</v>
      </c>
      <c r="G27" s="18">
        <v>645</v>
      </c>
      <c r="H27" s="18">
        <v>25</v>
      </c>
      <c r="I27" s="18">
        <f t="shared" si="0"/>
        <v>620</v>
      </c>
      <c r="J27" s="17" t="s">
        <v>32</v>
      </c>
      <c r="K27" s="17" t="s">
        <v>32</v>
      </c>
      <c r="L27" s="17" t="s">
        <v>33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108</v>
      </c>
      <c r="D28" s="17" t="s">
        <v>109</v>
      </c>
      <c r="E28" s="17" t="s">
        <v>110</v>
      </c>
      <c r="F28" s="17" t="s">
        <v>98</v>
      </c>
      <c r="G28" s="18">
        <v>710</v>
      </c>
      <c r="H28" s="18">
        <v>20</v>
      </c>
      <c r="I28" s="18">
        <f t="shared" si="0"/>
        <v>690</v>
      </c>
      <c r="J28" s="17" t="s">
        <v>32</v>
      </c>
      <c r="K28" s="17" t="s">
        <v>32</v>
      </c>
      <c r="L28" s="17" t="s">
        <v>33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111</v>
      </c>
      <c r="D29" s="17" t="s">
        <v>112</v>
      </c>
      <c r="E29" s="17" t="s">
        <v>113</v>
      </c>
      <c r="F29" s="18">
        <v>12</v>
      </c>
      <c r="G29" s="18">
        <v>0</v>
      </c>
      <c r="H29" s="18">
        <v>30</v>
      </c>
      <c r="I29" s="18">
        <f t="shared" si="0"/>
        <v>-30</v>
      </c>
      <c r="J29" s="17" t="s">
        <v>32</v>
      </c>
      <c r="K29" s="17" t="s">
        <v>32</v>
      </c>
      <c r="L29" s="17" t="s">
        <v>33</v>
      </c>
      <c r="M29" s="20" t="s">
        <v>114</v>
      </c>
      <c r="N29" s="17"/>
      <c r="O29" s="17"/>
      <c r="P29" s="17"/>
      <c r="Q29" s="17">
        <v>1</v>
      </c>
      <c r="R29" s="19">
        <f>H29</f>
        <v>30</v>
      </c>
    </row>
    <row r="30" spans="1:18" customFormat="1" x14ac:dyDescent="0.25">
      <c r="A30" s="17"/>
      <c r="B30" s="17" t="s">
        <v>27</v>
      </c>
      <c r="C30" s="17" t="s">
        <v>115</v>
      </c>
      <c r="D30" s="17" t="s">
        <v>116</v>
      </c>
      <c r="E30" s="17" t="s">
        <v>117</v>
      </c>
      <c r="F30" s="17" t="s">
        <v>98</v>
      </c>
      <c r="G30" s="18">
        <v>790</v>
      </c>
      <c r="H30" s="18">
        <v>20</v>
      </c>
      <c r="I30" s="18">
        <f t="shared" si="0"/>
        <v>770</v>
      </c>
      <c r="J30" s="17" t="s">
        <v>32</v>
      </c>
      <c r="K30" s="17" t="s">
        <v>32</v>
      </c>
      <c r="L30" s="17" t="s">
        <v>33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118</v>
      </c>
      <c r="D31" s="17" t="s">
        <v>119</v>
      </c>
      <c r="E31" s="17" t="s">
        <v>120</v>
      </c>
      <c r="F31" s="18">
        <v>12</v>
      </c>
      <c r="G31" s="18">
        <v>820</v>
      </c>
      <c r="H31" s="18">
        <v>30</v>
      </c>
      <c r="I31" s="18">
        <f t="shared" si="0"/>
        <v>790</v>
      </c>
      <c r="J31" s="17" t="s">
        <v>32</v>
      </c>
      <c r="K31" s="17" t="s">
        <v>32</v>
      </c>
      <c r="L31" s="17" t="s">
        <v>33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121</v>
      </c>
      <c r="D32" s="17" t="s">
        <v>122</v>
      </c>
      <c r="E32" s="17" t="s">
        <v>123</v>
      </c>
      <c r="F32" s="18">
        <v>12</v>
      </c>
      <c r="G32" s="18">
        <v>0</v>
      </c>
      <c r="H32" s="18">
        <v>30</v>
      </c>
      <c r="I32" s="18">
        <f t="shared" si="0"/>
        <v>-30</v>
      </c>
      <c r="J32" s="17" t="s">
        <v>32</v>
      </c>
      <c r="K32" s="17" t="s">
        <v>32</v>
      </c>
      <c r="L32" s="17" t="s">
        <v>33</v>
      </c>
      <c r="M32" s="17"/>
      <c r="N32" s="17"/>
      <c r="O32" s="17"/>
      <c r="P32" s="17"/>
      <c r="Q32" s="17">
        <v>1</v>
      </c>
      <c r="R32" s="19">
        <f>H32</f>
        <v>30</v>
      </c>
    </row>
    <row r="33" spans="1:18" customFormat="1" x14ac:dyDescent="0.25">
      <c r="A33" s="17"/>
      <c r="B33" s="17" t="s">
        <v>27</v>
      </c>
      <c r="C33" s="17" t="s">
        <v>124</v>
      </c>
      <c r="D33" s="17" t="s">
        <v>125</v>
      </c>
      <c r="E33" s="17" t="s">
        <v>126</v>
      </c>
      <c r="F33" s="18">
        <v>2</v>
      </c>
      <c r="G33" s="18">
        <v>2380</v>
      </c>
      <c r="H33" s="18">
        <v>35</v>
      </c>
      <c r="I33" s="18">
        <f t="shared" si="0"/>
        <v>2345</v>
      </c>
      <c r="J33" s="17" t="s">
        <v>32</v>
      </c>
      <c r="K33" s="17" t="s">
        <v>32</v>
      </c>
      <c r="L33" s="17" t="s">
        <v>33</v>
      </c>
      <c r="M33" s="20" t="s">
        <v>58</v>
      </c>
      <c r="N33" s="17"/>
      <c r="O33" s="17"/>
      <c r="P33" s="17"/>
      <c r="Q33" s="17">
        <v>1</v>
      </c>
      <c r="R33" s="19">
        <f>H33</f>
        <v>35</v>
      </c>
    </row>
    <row r="34" spans="1:18" customFormat="1" x14ac:dyDescent="0.25">
      <c r="A34" s="17"/>
      <c r="B34" s="17" t="s">
        <v>27</v>
      </c>
      <c r="C34" s="17" t="s">
        <v>127</v>
      </c>
      <c r="D34" s="17" t="s">
        <v>128</v>
      </c>
      <c r="E34" s="17" t="s">
        <v>129</v>
      </c>
      <c r="F34" s="17" t="s">
        <v>130</v>
      </c>
      <c r="G34" s="18">
        <v>0</v>
      </c>
      <c r="H34" s="18">
        <v>25</v>
      </c>
      <c r="I34" s="18">
        <f t="shared" si="0"/>
        <v>-25</v>
      </c>
      <c r="J34" s="17" t="s">
        <v>32</v>
      </c>
      <c r="K34" s="17" t="s">
        <v>32</v>
      </c>
      <c r="L34" s="17" t="s">
        <v>33</v>
      </c>
      <c r="M34" s="17"/>
      <c r="N34" s="17"/>
      <c r="O34" s="17"/>
      <c r="P34" s="17"/>
      <c r="Q34" s="17">
        <v>1</v>
      </c>
      <c r="R34" s="19">
        <f>H34</f>
        <v>25</v>
      </c>
    </row>
    <row r="35" spans="1:18" customFormat="1" x14ac:dyDescent="0.25">
      <c r="A35" s="17"/>
      <c r="B35" s="17" t="s">
        <v>27</v>
      </c>
      <c r="C35" s="17" t="s">
        <v>131</v>
      </c>
      <c r="D35" s="17" t="s">
        <v>132</v>
      </c>
      <c r="E35" s="17" t="s">
        <v>133</v>
      </c>
      <c r="F35" s="17" t="s">
        <v>77</v>
      </c>
      <c r="G35" s="18">
        <v>985</v>
      </c>
      <c r="H35" s="18">
        <v>25</v>
      </c>
      <c r="I35" s="18">
        <f t="shared" si="0"/>
        <v>960</v>
      </c>
      <c r="J35" s="17" t="s">
        <v>32</v>
      </c>
      <c r="K35" s="17" t="s">
        <v>32</v>
      </c>
      <c r="L35" s="17" t="s">
        <v>33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134</v>
      </c>
      <c r="D36" s="17" t="s">
        <v>135</v>
      </c>
      <c r="E36" s="17" t="s">
        <v>136</v>
      </c>
      <c r="F36" s="18">
        <v>9</v>
      </c>
      <c r="G36" s="18">
        <v>1610</v>
      </c>
      <c r="H36" s="18">
        <v>30</v>
      </c>
      <c r="I36" s="18">
        <f t="shared" si="0"/>
        <v>1580</v>
      </c>
      <c r="J36" s="17" t="s">
        <v>32</v>
      </c>
      <c r="K36" s="17" t="s">
        <v>32</v>
      </c>
      <c r="L36" s="17" t="s">
        <v>33</v>
      </c>
      <c r="M36" s="17"/>
      <c r="N36" s="17"/>
      <c r="O36" s="17"/>
      <c r="P36" s="17"/>
      <c r="Q36" s="17">
        <v>1</v>
      </c>
    </row>
    <row r="37" spans="1:18" customFormat="1" x14ac:dyDescent="0.25">
      <c r="A37" s="17" t="s">
        <v>26</v>
      </c>
      <c r="B37" s="17" t="s">
        <v>27</v>
      </c>
      <c r="C37" s="17" t="s">
        <v>137</v>
      </c>
      <c r="D37" s="17"/>
      <c r="E37" s="17" t="s">
        <v>101</v>
      </c>
      <c r="F37" s="18">
        <v>12</v>
      </c>
      <c r="G37" s="18">
        <v>0</v>
      </c>
      <c r="H37" s="18">
        <v>40</v>
      </c>
      <c r="I37" s="18">
        <f t="shared" si="0"/>
        <v>-40</v>
      </c>
      <c r="J37" s="17" t="s">
        <v>32</v>
      </c>
      <c r="K37" s="17" t="s">
        <v>32</v>
      </c>
      <c r="L37" s="17" t="s">
        <v>33</v>
      </c>
      <c r="M37" s="17"/>
      <c r="N37" s="17"/>
      <c r="O37" s="17"/>
      <c r="P37" s="17"/>
      <c r="Q37" s="17">
        <v>1</v>
      </c>
      <c r="R37" s="19">
        <f>H37</f>
        <v>40</v>
      </c>
    </row>
    <row r="38" spans="1:18" customFormat="1" x14ac:dyDescent="0.25">
      <c r="A38" s="17" t="s">
        <v>26</v>
      </c>
      <c r="B38" s="17" t="s">
        <v>27</v>
      </c>
      <c r="C38" s="17" t="s">
        <v>138</v>
      </c>
      <c r="D38" s="17"/>
      <c r="E38" s="17" t="s">
        <v>139</v>
      </c>
      <c r="F38" s="18">
        <v>5</v>
      </c>
      <c r="G38" s="18">
        <v>1290</v>
      </c>
      <c r="H38" s="18">
        <v>30</v>
      </c>
      <c r="I38" s="18">
        <f t="shared" si="0"/>
        <v>1260</v>
      </c>
      <c r="J38" s="17" t="s">
        <v>140</v>
      </c>
      <c r="K38" s="17" t="s">
        <v>32</v>
      </c>
      <c r="L38" s="17" t="s">
        <v>33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141</v>
      </c>
      <c r="D39" s="17" t="s">
        <v>142</v>
      </c>
      <c r="E39" s="17" t="s">
        <v>143</v>
      </c>
      <c r="F39" s="18">
        <v>1</v>
      </c>
      <c r="G39" s="18">
        <v>0</v>
      </c>
      <c r="H39" s="18">
        <v>25</v>
      </c>
      <c r="I39" s="18">
        <f t="shared" si="0"/>
        <v>-25</v>
      </c>
      <c r="J39" s="17" t="s">
        <v>140</v>
      </c>
      <c r="K39" s="17" t="s">
        <v>32</v>
      </c>
      <c r="L39" s="17" t="s">
        <v>33</v>
      </c>
      <c r="M39" s="17"/>
      <c r="N39" s="17"/>
      <c r="O39" s="17"/>
      <c r="P39" s="17"/>
      <c r="Q39" s="17">
        <v>1</v>
      </c>
      <c r="R39" s="19">
        <f>H39</f>
        <v>25</v>
      </c>
    </row>
    <row r="40" spans="1:18" customFormat="1" x14ac:dyDescent="0.25">
      <c r="A40" s="17"/>
      <c r="B40" s="17" t="s">
        <v>27</v>
      </c>
      <c r="C40" s="17" t="s">
        <v>144</v>
      </c>
      <c r="D40" s="17" t="s">
        <v>145</v>
      </c>
      <c r="E40" s="17" t="s">
        <v>146</v>
      </c>
      <c r="F40" s="18">
        <v>3</v>
      </c>
      <c r="G40" s="18">
        <v>1745</v>
      </c>
      <c r="H40" s="18">
        <v>25</v>
      </c>
      <c r="I40" s="18">
        <f t="shared" si="0"/>
        <v>1720</v>
      </c>
      <c r="J40" s="17" t="s">
        <v>140</v>
      </c>
      <c r="K40" s="17" t="s">
        <v>32</v>
      </c>
      <c r="L40" s="17" t="s">
        <v>33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147</v>
      </c>
      <c r="D41" s="17" t="s">
        <v>148</v>
      </c>
      <c r="E41" s="17" t="s">
        <v>149</v>
      </c>
      <c r="F41" s="18">
        <v>1</v>
      </c>
      <c r="G41" s="18">
        <v>755</v>
      </c>
      <c r="H41" s="18">
        <v>25</v>
      </c>
      <c r="I41" s="18">
        <f t="shared" si="0"/>
        <v>730</v>
      </c>
      <c r="J41" s="17" t="s">
        <v>140</v>
      </c>
      <c r="K41" s="17" t="s">
        <v>32</v>
      </c>
      <c r="L41" s="17" t="s">
        <v>33</v>
      </c>
      <c r="M41" s="17"/>
      <c r="N41" s="17"/>
      <c r="O41" s="17"/>
      <c r="P41" s="17"/>
      <c r="Q41" s="17">
        <v>1</v>
      </c>
    </row>
    <row r="42" spans="1:18" s="23" customFormat="1" x14ac:dyDescent="0.25">
      <c r="A42" s="21"/>
      <c r="B42" s="21" t="s">
        <v>27</v>
      </c>
      <c r="C42" s="21" t="s">
        <v>150</v>
      </c>
      <c r="D42" s="21" t="s">
        <v>151</v>
      </c>
      <c r="E42" s="21" t="s">
        <v>152</v>
      </c>
      <c r="F42" s="22">
        <v>1</v>
      </c>
      <c r="G42" s="22">
        <v>25</v>
      </c>
      <c r="H42" s="22">
        <v>25</v>
      </c>
      <c r="I42" s="22">
        <f t="shared" si="0"/>
        <v>0</v>
      </c>
      <c r="J42" s="21" t="s">
        <v>140</v>
      </c>
      <c r="K42" s="21" t="s">
        <v>32</v>
      </c>
      <c r="L42" s="21" t="s">
        <v>33</v>
      </c>
      <c r="M42" s="21" t="s">
        <v>153</v>
      </c>
      <c r="N42" s="21"/>
      <c r="O42" s="21"/>
      <c r="P42" s="21"/>
      <c r="Q42" s="21">
        <v>1</v>
      </c>
    </row>
    <row r="43" spans="1:18" customFormat="1" x14ac:dyDescent="0.25">
      <c r="A43" s="17"/>
      <c r="B43" s="17" t="s">
        <v>27</v>
      </c>
      <c r="C43" s="17" t="s">
        <v>154</v>
      </c>
      <c r="D43" s="17" t="s">
        <v>155</v>
      </c>
      <c r="E43" s="17" t="s">
        <v>156</v>
      </c>
      <c r="F43" s="18">
        <v>1</v>
      </c>
      <c r="G43" s="18">
        <v>2820</v>
      </c>
      <c r="H43" s="18">
        <v>30</v>
      </c>
      <c r="I43" s="18">
        <f t="shared" si="0"/>
        <v>2790</v>
      </c>
      <c r="J43" s="17" t="s">
        <v>140</v>
      </c>
      <c r="K43" s="17" t="s">
        <v>32</v>
      </c>
      <c r="L43" s="17" t="s">
        <v>33</v>
      </c>
      <c r="M43" s="20" t="s">
        <v>58</v>
      </c>
      <c r="N43" s="17"/>
      <c r="O43" s="17"/>
      <c r="P43" s="17"/>
      <c r="Q43" s="17">
        <v>1</v>
      </c>
      <c r="R43" s="19">
        <f>H43</f>
        <v>30</v>
      </c>
    </row>
    <row r="44" spans="1:18" customFormat="1" x14ac:dyDescent="0.25">
      <c r="A44" s="17"/>
      <c r="B44" s="17" t="s">
        <v>27</v>
      </c>
      <c r="C44" s="17" t="s">
        <v>157</v>
      </c>
      <c r="D44" s="17" t="s">
        <v>158</v>
      </c>
      <c r="E44" s="17" t="s">
        <v>159</v>
      </c>
      <c r="F44" s="18">
        <v>4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33</v>
      </c>
      <c r="M44" s="17"/>
      <c r="N44" s="17"/>
      <c r="O44" s="17"/>
      <c r="P44" s="17"/>
      <c r="Q44" s="17">
        <v>1</v>
      </c>
      <c r="R44" s="19">
        <f>H44</f>
        <v>25</v>
      </c>
    </row>
    <row r="45" spans="1:18" customFormat="1" x14ac:dyDescent="0.25">
      <c r="A45" s="17"/>
      <c r="B45" s="17" t="s">
        <v>27</v>
      </c>
      <c r="C45" s="17" t="s">
        <v>160</v>
      </c>
      <c r="D45" s="17" t="s">
        <v>161</v>
      </c>
      <c r="E45" s="17" t="s">
        <v>162</v>
      </c>
      <c r="F45" s="18">
        <v>5</v>
      </c>
      <c r="G45" s="18">
        <v>675</v>
      </c>
      <c r="H45" s="18">
        <v>25</v>
      </c>
      <c r="I45" s="18">
        <f t="shared" si="0"/>
        <v>650</v>
      </c>
      <c r="J45" s="17" t="s">
        <v>140</v>
      </c>
      <c r="K45" s="17" t="s">
        <v>32</v>
      </c>
      <c r="L45" s="17" t="s">
        <v>33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163</v>
      </c>
      <c r="D46" s="17" t="s">
        <v>164</v>
      </c>
      <c r="E46" s="17" t="s">
        <v>165</v>
      </c>
      <c r="F46" s="17" t="s">
        <v>166</v>
      </c>
      <c r="G46" s="18">
        <v>980</v>
      </c>
      <c r="H46" s="18">
        <v>20</v>
      </c>
      <c r="I46" s="18">
        <f t="shared" si="0"/>
        <v>960</v>
      </c>
      <c r="J46" s="17" t="s">
        <v>140</v>
      </c>
      <c r="K46" s="17" t="s">
        <v>32</v>
      </c>
      <c r="L46" s="17" t="s">
        <v>33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27</v>
      </c>
      <c r="C47" s="17" t="s">
        <v>167</v>
      </c>
      <c r="D47" s="17" t="s">
        <v>168</v>
      </c>
      <c r="E47" s="17" t="s">
        <v>169</v>
      </c>
      <c r="F47" s="17" t="s">
        <v>170</v>
      </c>
      <c r="G47" s="18">
        <v>815</v>
      </c>
      <c r="H47" s="18">
        <v>25</v>
      </c>
      <c r="I47" s="18">
        <f t="shared" si="0"/>
        <v>790</v>
      </c>
      <c r="J47" s="17" t="s">
        <v>140</v>
      </c>
      <c r="K47" s="17" t="s">
        <v>32</v>
      </c>
      <c r="L47" s="17" t="s">
        <v>33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171</v>
      </c>
      <c r="D48" s="17" t="s">
        <v>172</v>
      </c>
      <c r="E48" s="17" t="s">
        <v>173</v>
      </c>
      <c r="F48" s="18">
        <v>1</v>
      </c>
      <c r="G48" s="18">
        <v>985</v>
      </c>
      <c r="H48" s="18">
        <v>25</v>
      </c>
      <c r="I48" s="18">
        <f t="shared" si="0"/>
        <v>960</v>
      </c>
      <c r="J48" s="17" t="s">
        <v>140</v>
      </c>
      <c r="K48" s="17" t="s">
        <v>32</v>
      </c>
      <c r="L48" s="17" t="s">
        <v>33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27</v>
      </c>
      <c r="C49" s="17" t="s">
        <v>174</v>
      </c>
      <c r="D49" s="17" t="s">
        <v>175</v>
      </c>
      <c r="E49" s="17" t="s">
        <v>176</v>
      </c>
      <c r="F49" s="18">
        <v>1</v>
      </c>
      <c r="G49" s="18">
        <v>1005</v>
      </c>
      <c r="H49" s="18">
        <v>25</v>
      </c>
      <c r="I49" s="18">
        <f t="shared" si="0"/>
        <v>980</v>
      </c>
      <c r="J49" s="17" t="s">
        <v>140</v>
      </c>
      <c r="K49" s="17" t="s">
        <v>32</v>
      </c>
      <c r="L49" s="17" t="s">
        <v>33</v>
      </c>
      <c r="M49" s="17"/>
      <c r="N49" s="17"/>
      <c r="O49" s="17"/>
      <c r="P49" s="17"/>
      <c r="Q49" s="17">
        <v>1</v>
      </c>
    </row>
    <row r="50" spans="1:18" customFormat="1" x14ac:dyDescent="0.25">
      <c r="A50" s="17" t="s">
        <v>26</v>
      </c>
      <c r="B50" s="17" t="s">
        <v>27</v>
      </c>
      <c r="C50" s="17" t="s">
        <v>177</v>
      </c>
      <c r="D50" s="17"/>
      <c r="E50" s="17" t="s">
        <v>178</v>
      </c>
      <c r="F50" s="18">
        <v>1</v>
      </c>
      <c r="G50" s="18">
        <v>0</v>
      </c>
      <c r="H50" s="18">
        <v>30</v>
      </c>
      <c r="I50" s="18">
        <f t="shared" si="0"/>
        <v>-30</v>
      </c>
      <c r="J50" s="17" t="s">
        <v>140</v>
      </c>
      <c r="K50" s="17" t="s">
        <v>140</v>
      </c>
      <c r="L50" s="17" t="s">
        <v>33</v>
      </c>
      <c r="M50" s="17"/>
      <c r="N50" s="17"/>
      <c r="O50" s="17"/>
      <c r="P50" s="17"/>
      <c r="Q50" s="17">
        <v>1</v>
      </c>
      <c r="R50" s="19">
        <f t="shared" ref="R50:R51" si="3">H50</f>
        <v>30</v>
      </c>
    </row>
    <row r="51" spans="1:18" customFormat="1" x14ac:dyDescent="0.25">
      <c r="A51" s="17" t="s">
        <v>26</v>
      </c>
      <c r="B51" s="17" t="s">
        <v>27</v>
      </c>
      <c r="C51" s="17" t="s">
        <v>179</v>
      </c>
      <c r="D51" s="17"/>
      <c r="E51" s="17" t="s">
        <v>180</v>
      </c>
      <c r="F51" s="17" t="s">
        <v>130</v>
      </c>
      <c r="G51" s="18">
        <v>0</v>
      </c>
      <c r="H51" s="18">
        <v>30</v>
      </c>
      <c r="I51" s="18">
        <f t="shared" si="0"/>
        <v>-30</v>
      </c>
      <c r="J51" s="17" t="s">
        <v>140</v>
      </c>
      <c r="K51" s="17" t="s">
        <v>32</v>
      </c>
      <c r="L51" s="17" t="s">
        <v>33</v>
      </c>
      <c r="M51" s="17"/>
      <c r="N51" s="17"/>
      <c r="O51" s="17"/>
      <c r="P51" s="17"/>
      <c r="Q51" s="17">
        <v>1</v>
      </c>
      <c r="R51" s="19">
        <f t="shared" si="3"/>
        <v>30</v>
      </c>
    </row>
    <row r="53" spans="1:18" x14ac:dyDescent="0.25">
      <c r="G53" s="1">
        <f t="shared" ref="G53:R53" si="4">SUBTOTAL(9,G3:G52)</f>
        <v>36880</v>
      </c>
      <c r="H53" s="1">
        <f t="shared" si="4"/>
        <v>1400</v>
      </c>
      <c r="I53" s="1">
        <f t="shared" si="4"/>
        <v>35480</v>
      </c>
      <c r="J53" s="1">
        <f t="shared" si="4"/>
        <v>0</v>
      </c>
      <c r="K53" s="1">
        <f t="shared" si="4"/>
        <v>0</v>
      </c>
      <c r="L53" s="1">
        <f t="shared" si="4"/>
        <v>0</v>
      </c>
      <c r="M53" s="1">
        <f t="shared" si="4"/>
        <v>0</v>
      </c>
      <c r="N53" s="1">
        <f t="shared" si="4"/>
        <v>0</v>
      </c>
      <c r="O53" s="1">
        <f t="shared" si="4"/>
        <v>0</v>
      </c>
      <c r="P53" s="1">
        <f t="shared" si="4"/>
        <v>0</v>
      </c>
      <c r="Q53" s="1">
        <f t="shared" si="4"/>
        <v>49</v>
      </c>
      <c r="R53" s="1">
        <f t="shared" si="4"/>
        <v>570</v>
      </c>
    </row>
    <row r="54" spans="1:18" x14ac:dyDescent="0.25">
      <c r="I54" s="26">
        <f>-H69</f>
        <v>-790</v>
      </c>
      <c r="J54" s="1" t="s">
        <v>190</v>
      </c>
    </row>
    <row r="55" spans="1:18" x14ac:dyDescent="0.25">
      <c r="I55" s="1">
        <v>-695</v>
      </c>
      <c r="J55" s="1" t="s">
        <v>191</v>
      </c>
    </row>
    <row r="57" spans="1:18" ht="20.25" customHeight="1" x14ac:dyDescent="0.3">
      <c r="H57" s="4" t="s">
        <v>183</v>
      </c>
      <c r="I57" s="5" t="s">
        <v>15</v>
      </c>
      <c r="J57" s="6" t="s">
        <v>16</v>
      </c>
    </row>
    <row r="58" spans="1:18" ht="15.75" customHeight="1" x14ac:dyDescent="0.25">
      <c r="H58" s="7" t="s">
        <v>17</v>
      </c>
      <c r="I58" s="8">
        <f>SUM(I52:I56)</f>
        <v>33995</v>
      </c>
      <c r="J58" s="8">
        <f>Q53</f>
        <v>49</v>
      </c>
    </row>
    <row r="59" spans="1:18" x14ac:dyDescent="0.25">
      <c r="H59" s="9" t="s">
        <v>18</v>
      </c>
      <c r="I59" s="10">
        <f>R53</f>
        <v>570</v>
      </c>
      <c r="J59" s="11"/>
    </row>
    <row r="60" spans="1:18" x14ac:dyDescent="0.25">
      <c r="H60" s="9" t="s">
        <v>19</v>
      </c>
      <c r="I60" s="10">
        <f>S52</f>
        <v>0</v>
      </c>
      <c r="J60" s="11"/>
    </row>
    <row r="61" spans="1:18" x14ac:dyDescent="0.25">
      <c r="H61" s="9" t="s">
        <v>20</v>
      </c>
      <c r="I61" s="10">
        <f>T52</f>
        <v>0</v>
      </c>
      <c r="J61" s="11"/>
    </row>
    <row r="62" spans="1:18" x14ac:dyDescent="0.25">
      <c r="H62" s="9" t="s">
        <v>21</v>
      </c>
      <c r="I62" s="10">
        <f>U52</f>
        <v>0</v>
      </c>
      <c r="J62" s="11"/>
    </row>
    <row r="63" spans="1:18" ht="15.75" customHeight="1" x14ac:dyDescent="0.25">
      <c r="H63" s="12" t="s">
        <v>22</v>
      </c>
      <c r="I63" s="13"/>
      <c r="J63" s="13"/>
    </row>
    <row r="64" spans="1:18" ht="15.75" customHeight="1" x14ac:dyDescent="0.25">
      <c r="H64" s="14" t="s">
        <v>23</v>
      </c>
      <c r="I64" s="13"/>
      <c r="J64" s="13"/>
    </row>
    <row r="65" spans="1:12" ht="21" customHeight="1" x14ac:dyDescent="0.35">
      <c r="H65" s="15" t="s">
        <v>24</v>
      </c>
      <c r="I65" s="16">
        <f>SUM(I58:I64)</f>
        <v>34565</v>
      </c>
      <c r="J65" s="16">
        <f>SUM(J58:J62)</f>
        <v>49</v>
      </c>
    </row>
    <row r="67" spans="1:12" x14ac:dyDescent="0.25">
      <c r="A67" s="1" t="s">
        <v>184</v>
      </c>
    </row>
    <row r="68" spans="1:12" x14ac:dyDescent="0.25">
      <c r="A68" s="24" t="s">
        <v>27</v>
      </c>
      <c r="B68" s="24" t="s">
        <v>185</v>
      </c>
      <c r="C68" s="24" t="s">
        <v>186</v>
      </c>
      <c r="D68" s="24" t="s">
        <v>187</v>
      </c>
      <c r="E68" s="25">
        <v>3</v>
      </c>
      <c r="F68" s="25">
        <v>815</v>
      </c>
      <c r="G68" s="25">
        <v>25</v>
      </c>
      <c r="H68" s="25">
        <f>F68-G68</f>
        <v>790</v>
      </c>
      <c r="I68" s="24" t="s">
        <v>188</v>
      </c>
      <c r="J68" s="24" t="s">
        <v>32</v>
      </c>
      <c r="K68" s="24" t="s">
        <v>189</v>
      </c>
      <c r="L68" s="24" t="s">
        <v>184</v>
      </c>
    </row>
    <row r="69" spans="1:12" x14ac:dyDescent="0.25">
      <c r="H69" s="26">
        <f>SUM(H68)</f>
        <v>790</v>
      </c>
    </row>
    <row r="70" spans="1:12" x14ac:dyDescent="0.25">
      <c r="A70" s="1" t="s">
        <v>191</v>
      </c>
    </row>
    <row r="71" spans="1:12" x14ac:dyDescent="0.25">
      <c r="A71" s="27" t="s">
        <v>27</v>
      </c>
      <c r="B71" s="27" t="s">
        <v>192</v>
      </c>
      <c r="C71" s="27" t="s">
        <v>193</v>
      </c>
      <c r="D71" s="27" t="s">
        <v>194</v>
      </c>
      <c r="E71" s="28" t="s">
        <v>77</v>
      </c>
      <c r="F71" s="27">
        <v>695</v>
      </c>
      <c r="G71" s="27">
        <v>0</v>
      </c>
      <c r="H71" s="27">
        <f t="shared" ref="H71" si="5">F71-G71</f>
        <v>695</v>
      </c>
      <c r="I71" s="24" t="s">
        <v>188</v>
      </c>
      <c r="J71" s="27" t="s">
        <v>32</v>
      </c>
      <c r="K71" s="27" t="s">
        <v>189</v>
      </c>
      <c r="L71" s="20" t="s">
        <v>195</v>
      </c>
    </row>
  </sheetData>
  <autoFilter ref="A2:P51" xr:uid="{00000000-0009-0000-0000-000006000000}">
    <sortState xmlns:xlrd2="http://schemas.microsoft.com/office/spreadsheetml/2017/richdata2" ref="A3:P51">
      <sortCondition ref="J2:J51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F033C-1E2A-4FE7-B83D-46EF00E48427}">
  <dimension ref="A1:R66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196</v>
      </c>
      <c r="C1" s="1" t="s">
        <v>197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199</v>
      </c>
      <c r="D3" s="17" t="s">
        <v>200</v>
      </c>
      <c r="E3" s="17" t="s">
        <v>201</v>
      </c>
      <c r="F3" s="17" t="s">
        <v>202</v>
      </c>
      <c r="G3" s="18">
        <v>995</v>
      </c>
      <c r="H3" s="18">
        <v>35</v>
      </c>
      <c r="I3" s="18">
        <f t="shared" ref="I3:I49" si="0">G3-H3</f>
        <v>960</v>
      </c>
      <c r="J3" s="17" t="s">
        <v>203</v>
      </c>
      <c r="K3" s="17" t="s">
        <v>32</v>
      </c>
      <c r="L3" s="17" t="s">
        <v>204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205</v>
      </c>
      <c r="D4" s="17" t="s">
        <v>206</v>
      </c>
      <c r="E4" s="17" t="s">
        <v>207</v>
      </c>
      <c r="F4" s="18">
        <v>7</v>
      </c>
      <c r="G4" s="18">
        <v>1380</v>
      </c>
      <c r="H4" s="18">
        <v>30</v>
      </c>
      <c r="I4" s="18">
        <f t="shared" si="0"/>
        <v>1350</v>
      </c>
      <c r="J4" s="17" t="s">
        <v>203</v>
      </c>
      <c r="K4" s="17" t="s">
        <v>32</v>
      </c>
      <c r="L4" s="17" t="s">
        <v>204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208</v>
      </c>
      <c r="D5" s="17" t="s">
        <v>209</v>
      </c>
      <c r="E5" s="17" t="s">
        <v>210</v>
      </c>
      <c r="F5" s="18">
        <v>7</v>
      </c>
      <c r="G5" s="18">
        <v>0</v>
      </c>
      <c r="H5" s="18">
        <v>30</v>
      </c>
      <c r="I5" s="18">
        <f t="shared" si="0"/>
        <v>-30</v>
      </c>
      <c r="J5" s="17" t="s">
        <v>203</v>
      </c>
      <c r="K5" s="17" t="s">
        <v>32</v>
      </c>
      <c r="L5" s="17" t="s">
        <v>204</v>
      </c>
      <c r="M5" s="17"/>
      <c r="N5" s="17"/>
      <c r="O5" s="17"/>
      <c r="P5" s="17"/>
      <c r="Q5" s="17">
        <v>1</v>
      </c>
      <c r="R5" s="19">
        <f>H5</f>
        <v>30</v>
      </c>
    </row>
    <row r="6" spans="1:18" customFormat="1" x14ac:dyDescent="0.25">
      <c r="A6" s="17"/>
      <c r="B6" s="17" t="s">
        <v>27</v>
      </c>
      <c r="C6" s="17" t="s">
        <v>211</v>
      </c>
      <c r="D6" s="17" t="s">
        <v>212</v>
      </c>
      <c r="E6" s="17" t="s">
        <v>213</v>
      </c>
      <c r="F6" s="18">
        <v>7</v>
      </c>
      <c r="G6" s="18">
        <v>520</v>
      </c>
      <c r="H6" s="18">
        <v>30</v>
      </c>
      <c r="I6" s="18">
        <f t="shared" si="0"/>
        <v>490</v>
      </c>
      <c r="J6" s="17" t="s">
        <v>203</v>
      </c>
      <c r="K6" s="17" t="s">
        <v>32</v>
      </c>
      <c r="L6" s="17" t="s">
        <v>204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214</v>
      </c>
      <c r="D7" s="17" t="s">
        <v>215</v>
      </c>
      <c r="E7" s="17" t="s">
        <v>216</v>
      </c>
      <c r="F7" s="18">
        <v>6</v>
      </c>
      <c r="G7" s="18">
        <v>0</v>
      </c>
      <c r="H7" s="18">
        <v>25</v>
      </c>
      <c r="I7" s="18">
        <f t="shared" si="0"/>
        <v>-25</v>
      </c>
      <c r="J7" s="17" t="s">
        <v>203</v>
      </c>
      <c r="K7" s="17" t="s">
        <v>32</v>
      </c>
      <c r="L7" s="17" t="s">
        <v>204</v>
      </c>
      <c r="M7" s="17"/>
      <c r="N7" s="17"/>
      <c r="O7" s="17"/>
      <c r="P7" s="17"/>
      <c r="Q7" s="17">
        <v>1</v>
      </c>
      <c r="R7" s="19">
        <f>H7</f>
        <v>25</v>
      </c>
    </row>
    <row r="8" spans="1:18" customFormat="1" x14ac:dyDescent="0.25">
      <c r="A8" s="17"/>
      <c r="B8" s="17" t="s">
        <v>27</v>
      </c>
      <c r="C8" s="17" t="s">
        <v>217</v>
      </c>
      <c r="D8" s="17" t="s">
        <v>218</v>
      </c>
      <c r="E8" s="17" t="s">
        <v>219</v>
      </c>
      <c r="F8" s="18">
        <v>12</v>
      </c>
      <c r="G8" s="18">
        <v>460</v>
      </c>
      <c r="H8" s="18">
        <v>30</v>
      </c>
      <c r="I8" s="18">
        <f t="shared" si="0"/>
        <v>430</v>
      </c>
      <c r="J8" s="17" t="s">
        <v>203</v>
      </c>
      <c r="K8" s="17" t="s">
        <v>32</v>
      </c>
      <c r="L8" s="17" t="s">
        <v>204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220</v>
      </c>
      <c r="D9" s="17" t="s">
        <v>221</v>
      </c>
      <c r="E9" s="17" t="s">
        <v>222</v>
      </c>
      <c r="F9" s="18">
        <v>6</v>
      </c>
      <c r="G9" s="18">
        <v>25</v>
      </c>
      <c r="H9" s="18">
        <v>25</v>
      </c>
      <c r="I9" s="18">
        <f t="shared" si="0"/>
        <v>0</v>
      </c>
      <c r="J9" s="17" t="s">
        <v>203</v>
      </c>
      <c r="K9" s="17" t="s">
        <v>32</v>
      </c>
      <c r="L9" s="17" t="s">
        <v>204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223</v>
      </c>
      <c r="D10" s="17" t="s">
        <v>224</v>
      </c>
      <c r="E10" s="17" t="s">
        <v>225</v>
      </c>
      <c r="F10" s="17" t="s">
        <v>30</v>
      </c>
      <c r="G10" s="18">
        <v>0</v>
      </c>
      <c r="H10" s="18">
        <v>30</v>
      </c>
      <c r="I10" s="18">
        <f t="shared" si="0"/>
        <v>-30</v>
      </c>
      <c r="J10" s="17" t="s">
        <v>203</v>
      </c>
      <c r="K10" s="17" t="s">
        <v>32</v>
      </c>
      <c r="L10" s="17" t="s">
        <v>204</v>
      </c>
      <c r="M10" s="17"/>
      <c r="N10" s="17"/>
      <c r="O10" s="17"/>
      <c r="P10" s="17"/>
      <c r="Q10" s="17">
        <v>1</v>
      </c>
      <c r="R10" s="19">
        <f t="shared" ref="R10:R11" si="1">H10</f>
        <v>30</v>
      </c>
    </row>
    <row r="11" spans="1:18" customFormat="1" x14ac:dyDescent="0.25">
      <c r="A11" s="17"/>
      <c r="B11" s="17" t="s">
        <v>27</v>
      </c>
      <c r="C11" s="17" t="s">
        <v>226</v>
      </c>
      <c r="D11" s="17" t="s">
        <v>227</v>
      </c>
      <c r="E11" s="17" t="s">
        <v>35</v>
      </c>
      <c r="F11" s="18">
        <v>6</v>
      </c>
      <c r="G11" s="18">
        <v>0</v>
      </c>
      <c r="H11" s="18">
        <v>25</v>
      </c>
      <c r="I11" s="18">
        <f t="shared" si="0"/>
        <v>-25</v>
      </c>
      <c r="J11" s="17" t="s">
        <v>203</v>
      </c>
      <c r="K11" s="17" t="s">
        <v>32</v>
      </c>
      <c r="L11" s="17" t="s">
        <v>204</v>
      </c>
      <c r="M11" s="17"/>
      <c r="N11" s="17"/>
      <c r="O11" s="17"/>
      <c r="P11" s="17"/>
      <c r="Q11" s="17">
        <v>1</v>
      </c>
      <c r="R11" s="19">
        <f t="shared" si="1"/>
        <v>25</v>
      </c>
    </row>
    <row r="12" spans="1:18" customFormat="1" x14ac:dyDescent="0.25">
      <c r="A12" s="17"/>
      <c r="B12" s="17" t="s">
        <v>27</v>
      </c>
      <c r="C12" s="17" t="s">
        <v>228</v>
      </c>
      <c r="D12" s="17" t="s">
        <v>229</v>
      </c>
      <c r="E12" s="17" t="s">
        <v>230</v>
      </c>
      <c r="F12" s="18">
        <v>7</v>
      </c>
      <c r="G12" s="18">
        <v>520</v>
      </c>
      <c r="H12" s="18">
        <v>30</v>
      </c>
      <c r="I12" s="18">
        <f t="shared" si="0"/>
        <v>490</v>
      </c>
      <c r="J12" s="17" t="s">
        <v>203</v>
      </c>
      <c r="K12" s="17" t="s">
        <v>32</v>
      </c>
      <c r="L12" s="17" t="s">
        <v>204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231</v>
      </c>
      <c r="D13" s="17" t="s">
        <v>232</v>
      </c>
      <c r="E13" s="17" t="s">
        <v>233</v>
      </c>
      <c r="F13" s="18">
        <v>7</v>
      </c>
      <c r="G13" s="18">
        <v>700</v>
      </c>
      <c r="H13" s="18">
        <v>30</v>
      </c>
      <c r="I13" s="18">
        <f t="shared" si="0"/>
        <v>670</v>
      </c>
      <c r="J13" s="17" t="s">
        <v>203</v>
      </c>
      <c r="K13" s="17" t="s">
        <v>32</v>
      </c>
      <c r="L13" s="17" t="s">
        <v>204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234</v>
      </c>
      <c r="D14" s="17" t="s">
        <v>235</v>
      </c>
      <c r="E14" s="17" t="s">
        <v>236</v>
      </c>
      <c r="F14" s="18">
        <v>7</v>
      </c>
      <c r="G14" s="18">
        <v>0</v>
      </c>
      <c r="H14" s="18">
        <v>30</v>
      </c>
      <c r="I14" s="18">
        <f t="shared" si="0"/>
        <v>-30</v>
      </c>
      <c r="J14" s="17" t="s">
        <v>203</v>
      </c>
      <c r="K14" s="17" t="s">
        <v>32</v>
      </c>
      <c r="L14" s="17" t="s">
        <v>204</v>
      </c>
      <c r="M14" s="17"/>
      <c r="N14" s="17"/>
      <c r="O14" s="17"/>
      <c r="P14" s="17"/>
      <c r="Q14" s="17">
        <v>1</v>
      </c>
      <c r="R14" s="19">
        <f>H14</f>
        <v>30</v>
      </c>
    </row>
    <row r="15" spans="1:18" customFormat="1" x14ac:dyDescent="0.25">
      <c r="A15" s="17"/>
      <c r="B15" s="17" t="s">
        <v>27</v>
      </c>
      <c r="C15" s="17" t="s">
        <v>237</v>
      </c>
      <c r="D15" s="17" t="s">
        <v>238</v>
      </c>
      <c r="E15" s="17" t="s">
        <v>239</v>
      </c>
      <c r="F15" s="18">
        <v>7</v>
      </c>
      <c r="G15" s="18">
        <v>990</v>
      </c>
      <c r="H15" s="18">
        <v>30</v>
      </c>
      <c r="I15" s="18">
        <f t="shared" si="0"/>
        <v>960</v>
      </c>
      <c r="J15" s="17" t="s">
        <v>203</v>
      </c>
      <c r="K15" s="17" t="s">
        <v>32</v>
      </c>
      <c r="L15" s="17" t="s">
        <v>204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240</v>
      </c>
      <c r="D16" s="17" t="s">
        <v>241</v>
      </c>
      <c r="E16" s="17" t="s">
        <v>242</v>
      </c>
      <c r="F16" s="18">
        <v>7</v>
      </c>
      <c r="G16" s="18">
        <v>600</v>
      </c>
      <c r="H16" s="18">
        <v>30</v>
      </c>
      <c r="I16" s="18">
        <f t="shared" si="0"/>
        <v>570</v>
      </c>
      <c r="J16" s="17" t="s">
        <v>203</v>
      </c>
      <c r="K16" s="17" t="s">
        <v>32</v>
      </c>
      <c r="L16" s="17" t="s">
        <v>204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243</v>
      </c>
      <c r="D17" s="17" t="s">
        <v>244</v>
      </c>
      <c r="E17" s="17" t="s">
        <v>245</v>
      </c>
      <c r="F17" s="17" t="s">
        <v>30</v>
      </c>
      <c r="G17" s="18">
        <v>770</v>
      </c>
      <c r="H17" s="18">
        <v>30</v>
      </c>
      <c r="I17" s="18">
        <f t="shared" si="0"/>
        <v>740</v>
      </c>
      <c r="J17" s="17" t="s">
        <v>203</v>
      </c>
      <c r="K17" s="17" t="s">
        <v>32</v>
      </c>
      <c r="L17" s="17" t="s">
        <v>204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246</v>
      </c>
      <c r="D18" s="17" t="s">
        <v>247</v>
      </c>
      <c r="E18" s="17" t="s">
        <v>248</v>
      </c>
      <c r="F18" s="17" t="s">
        <v>51</v>
      </c>
      <c r="G18" s="18">
        <v>825</v>
      </c>
      <c r="H18" s="18">
        <v>35</v>
      </c>
      <c r="I18" s="18">
        <f t="shared" si="0"/>
        <v>790</v>
      </c>
      <c r="J18" s="17" t="s">
        <v>203</v>
      </c>
      <c r="K18" s="17" t="s">
        <v>32</v>
      </c>
      <c r="L18" s="17" t="s">
        <v>204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26</v>
      </c>
      <c r="B19" s="17" t="s">
        <v>27</v>
      </c>
      <c r="C19" s="17" t="s">
        <v>249</v>
      </c>
      <c r="D19" s="17"/>
      <c r="E19" s="17" t="s">
        <v>250</v>
      </c>
      <c r="F19" s="17" t="s">
        <v>30</v>
      </c>
      <c r="G19" s="18">
        <v>0</v>
      </c>
      <c r="H19" s="18">
        <v>35</v>
      </c>
      <c r="I19" s="18">
        <f t="shared" si="0"/>
        <v>-35</v>
      </c>
      <c r="J19" s="17" t="s">
        <v>203</v>
      </c>
      <c r="K19" s="17" t="s">
        <v>32</v>
      </c>
      <c r="L19" s="17" t="s">
        <v>204</v>
      </c>
      <c r="M19" s="17"/>
      <c r="N19" s="17"/>
      <c r="O19" s="17"/>
      <c r="P19" s="17"/>
      <c r="Q19" s="17">
        <v>1</v>
      </c>
      <c r="R19" s="19">
        <f>H19</f>
        <v>35</v>
      </c>
    </row>
    <row r="20" spans="1:18" customFormat="1" x14ac:dyDescent="0.25">
      <c r="A20" s="17"/>
      <c r="B20" s="17" t="s">
        <v>27</v>
      </c>
      <c r="C20" s="17" t="s">
        <v>251</v>
      </c>
      <c r="D20" s="17" t="s">
        <v>252</v>
      </c>
      <c r="E20" s="17" t="s">
        <v>253</v>
      </c>
      <c r="F20" s="17" t="s">
        <v>98</v>
      </c>
      <c r="G20" s="18">
        <v>1170</v>
      </c>
      <c r="H20" s="18">
        <v>20</v>
      </c>
      <c r="I20" s="18">
        <f t="shared" si="0"/>
        <v>1150</v>
      </c>
      <c r="J20" s="17" t="s">
        <v>32</v>
      </c>
      <c r="K20" s="17" t="s">
        <v>32</v>
      </c>
      <c r="L20" s="17" t="s">
        <v>204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254</v>
      </c>
      <c r="D21" s="17" t="s">
        <v>255</v>
      </c>
      <c r="E21" s="17" t="s">
        <v>256</v>
      </c>
      <c r="F21" s="17" t="s">
        <v>77</v>
      </c>
      <c r="G21" s="18">
        <v>0</v>
      </c>
      <c r="H21" s="18">
        <v>25</v>
      </c>
      <c r="I21" s="18">
        <f t="shared" si="0"/>
        <v>-25</v>
      </c>
      <c r="J21" s="17" t="s">
        <v>32</v>
      </c>
      <c r="K21" s="17" t="s">
        <v>32</v>
      </c>
      <c r="L21" s="17" t="s">
        <v>204</v>
      </c>
      <c r="M21" s="17"/>
      <c r="N21" s="17"/>
      <c r="O21" s="17"/>
      <c r="P21" s="17"/>
      <c r="Q21" s="17">
        <v>1</v>
      </c>
      <c r="R21" s="19">
        <f>H21</f>
        <v>25</v>
      </c>
    </row>
    <row r="22" spans="1:18" customFormat="1" x14ac:dyDescent="0.25">
      <c r="A22" s="17"/>
      <c r="B22" s="17" t="s">
        <v>27</v>
      </c>
      <c r="C22" s="17" t="s">
        <v>257</v>
      </c>
      <c r="D22" s="17" t="s">
        <v>258</v>
      </c>
      <c r="E22" s="17" t="s">
        <v>259</v>
      </c>
      <c r="F22" s="18">
        <v>12</v>
      </c>
      <c r="G22" s="18">
        <v>920</v>
      </c>
      <c r="H22" s="18">
        <v>30</v>
      </c>
      <c r="I22" s="18">
        <f t="shared" si="0"/>
        <v>890</v>
      </c>
      <c r="J22" s="17" t="s">
        <v>32</v>
      </c>
      <c r="K22" s="17" t="s">
        <v>32</v>
      </c>
      <c r="L22" s="17" t="s">
        <v>204</v>
      </c>
      <c r="M22" s="17"/>
      <c r="N22" s="17"/>
      <c r="O22" s="17"/>
      <c r="P22" s="17"/>
      <c r="Q22" s="17">
        <v>1</v>
      </c>
    </row>
    <row r="23" spans="1:18" s="23" customFormat="1" x14ac:dyDescent="0.25">
      <c r="A23" s="21"/>
      <c r="B23" s="21" t="s">
        <v>27</v>
      </c>
      <c r="C23" s="21" t="s">
        <v>260</v>
      </c>
      <c r="D23" s="21" t="s">
        <v>261</v>
      </c>
      <c r="E23" s="21" t="s">
        <v>262</v>
      </c>
      <c r="F23" s="21" t="s">
        <v>98</v>
      </c>
      <c r="G23" s="22">
        <v>20</v>
      </c>
      <c r="H23" s="22">
        <v>20</v>
      </c>
      <c r="I23" s="22">
        <f t="shared" si="0"/>
        <v>0</v>
      </c>
      <c r="J23" s="21" t="s">
        <v>32</v>
      </c>
      <c r="K23" s="21" t="s">
        <v>32</v>
      </c>
      <c r="L23" s="21" t="s">
        <v>204</v>
      </c>
      <c r="M23" s="21" t="s">
        <v>153</v>
      </c>
      <c r="N23" s="21"/>
      <c r="O23" s="21"/>
      <c r="P23" s="21"/>
      <c r="Q23" s="21">
        <v>1</v>
      </c>
    </row>
    <row r="24" spans="1:18" customFormat="1" x14ac:dyDescent="0.25">
      <c r="A24" s="17"/>
      <c r="B24" s="17" t="s">
        <v>27</v>
      </c>
      <c r="C24" s="17" t="s">
        <v>263</v>
      </c>
      <c r="D24" s="17" t="s">
        <v>264</v>
      </c>
      <c r="E24" s="17" t="s">
        <v>265</v>
      </c>
      <c r="F24" s="17" t="s">
        <v>98</v>
      </c>
      <c r="G24" s="18">
        <v>0</v>
      </c>
      <c r="H24" s="18">
        <v>20</v>
      </c>
      <c r="I24" s="18">
        <f t="shared" si="0"/>
        <v>-20</v>
      </c>
      <c r="J24" s="17" t="s">
        <v>32</v>
      </c>
      <c r="K24" s="17" t="s">
        <v>32</v>
      </c>
      <c r="L24" s="17" t="s">
        <v>204</v>
      </c>
      <c r="M24" s="17"/>
      <c r="N24" s="17"/>
      <c r="O24" s="17"/>
      <c r="P24" s="17"/>
      <c r="Q24" s="17">
        <v>1</v>
      </c>
      <c r="R24" s="19">
        <f>H24</f>
        <v>20</v>
      </c>
    </row>
    <row r="25" spans="1:18" customFormat="1" x14ac:dyDescent="0.25">
      <c r="A25" s="17"/>
      <c r="B25" s="17" t="s">
        <v>27</v>
      </c>
      <c r="C25" s="17" t="s">
        <v>266</v>
      </c>
      <c r="D25" s="17" t="s">
        <v>267</v>
      </c>
      <c r="E25" s="17" t="s">
        <v>268</v>
      </c>
      <c r="F25" s="17" t="s">
        <v>77</v>
      </c>
      <c r="G25" s="18">
        <v>805</v>
      </c>
      <c r="H25" s="18">
        <v>25</v>
      </c>
      <c r="I25" s="18">
        <f t="shared" si="0"/>
        <v>780</v>
      </c>
      <c r="J25" s="17" t="s">
        <v>32</v>
      </c>
      <c r="K25" s="17" t="s">
        <v>32</v>
      </c>
      <c r="L25" s="17" t="s">
        <v>204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269</v>
      </c>
      <c r="D26" s="17" t="s">
        <v>270</v>
      </c>
      <c r="E26" s="17" t="s">
        <v>271</v>
      </c>
      <c r="F26" s="18">
        <v>12</v>
      </c>
      <c r="G26" s="18">
        <v>1970</v>
      </c>
      <c r="H26" s="18">
        <v>30</v>
      </c>
      <c r="I26" s="18">
        <f t="shared" si="0"/>
        <v>1940</v>
      </c>
      <c r="J26" s="17" t="s">
        <v>32</v>
      </c>
      <c r="K26" s="17" t="s">
        <v>32</v>
      </c>
      <c r="L26" s="17" t="s">
        <v>204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272</v>
      </c>
      <c r="D27" s="17" t="s">
        <v>273</v>
      </c>
      <c r="E27" s="17" t="s">
        <v>274</v>
      </c>
      <c r="F27" s="18">
        <v>2</v>
      </c>
      <c r="G27" s="18">
        <v>820</v>
      </c>
      <c r="H27" s="18">
        <v>30</v>
      </c>
      <c r="I27" s="18">
        <f t="shared" si="0"/>
        <v>790</v>
      </c>
      <c r="J27" s="17" t="s">
        <v>32</v>
      </c>
      <c r="K27" s="17" t="s">
        <v>32</v>
      </c>
      <c r="L27" s="17" t="s">
        <v>204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275</v>
      </c>
      <c r="D28" s="17" t="s">
        <v>276</v>
      </c>
      <c r="E28" s="17" t="s">
        <v>277</v>
      </c>
      <c r="F28" s="18">
        <v>2</v>
      </c>
      <c r="G28" s="18">
        <v>0</v>
      </c>
      <c r="H28" s="18">
        <v>30</v>
      </c>
      <c r="I28" s="18">
        <f t="shared" si="0"/>
        <v>-30</v>
      </c>
      <c r="J28" s="17" t="s">
        <v>32</v>
      </c>
      <c r="K28" s="17" t="s">
        <v>32</v>
      </c>
      <c r="L28" s="17" t="s">
        <v>204</v>
      </c>
      <c r="M28" s="17"/>
      <c r="N28" s="17"/>
      <c r="O28" s="17"/>
      <c r="P28" s="17"/>
      <c r="Q28" s="17">
        <v>1</v>
      </c>
      <c r="R28" s="19">
        <f>H28</f>
        <v>30</v>
      </c>
    </row>
    <row r="29" spans="1:18" customFormat="1" x14ac:dyDescent="0.25">
      <c r="A29" s="17"/>
      <c r="B29" s="17" t="s">
        <v>27</v>
      </c>
      <c r="C29" s="17" t="s">
        <v>278</v>
      </c>
      <c r="D29" s="17" t="s">
        <v>279</v>
      </c>
      <c r="E29" s="17" t="s">
        <v>280</v>
      </c>
      <c r="F29" s="17" t="s">
        <v>98</v>
      </c>
      <c r="G29" s="18">
        <v>750</v>
      </c>
      <c r="H29" s="18">
        <v>20</v>
      </c>
      <c r="I29" s="18">
        <f t="shared" si="0"/>
        <v>730</v>
      </c>
      <c r="J29" s="17" t="s">
        <v>32</v>
      </c>
      <c r="K29" s="17" t="s">
        <v>32</v>
      </c>
      <c r="L29" s="17" t="s">
        <v>204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281</v>
      </c>
      <c r="D30" s="17" t="s">
        <v>282</v>
      </c>
      <c r="E30" s="17" t="s">
        <v>283</v>
      </c>
      <c r="F30" s="17" t="s">
        <v>77</v>
      </c>
      <c r="G30" s="18">
        <v>755</v>
      </c>
      <c r="H30" s="18">
        <v>25</v>
      </c>
      <c r="I30" s="18">
        <f t="shared" si="0"/>
        <v>730</v>
      </c>
      <c r="J30" s="17" t="s">
        <v>32</v>
      </c>
      <c r="K30" s="17" t="s">
        <v>32</v>
      </c>
      <c r="L30" s="17" t="s">
        <v>204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284</v>
      </c>
      <c r="D31" s="17" t="s">
        <v>285</v>
      </c>
      <c r="E31" s="17" t="s">
        <v>286</v>
      </c>
      <c r="F31" s="17" t="s">
        <v>77</v>
      </c>
      <c r="G31" s="18">
        <v>915</v>
      </c>
      <c r="H31" s="18">
        <v>25</v>
      </c>
      <c r="I31" s="18">
        <f t="shared" si="0"/>
        <v>890</v>
      </c>
      <c r="J31" s="17" t="s">
        <v>32</v>
      </c>
      <c r="K31" s="17" t="s">
        <v>32</v>
      </c>
      <c r="L31" s="17" t="s">
        <v>204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287</v>
      </c>
      <c r="D32" s="17" t="s">
        <v>288</v>
      </c>
      <c r="E32" s="17" t="s">
        <v>289</v>
      </c>
      <c r="F32" s="18">
        <v>2</v>
      </c>
      <c r="G32" s="18">
        <v>1020</v>
      </c>
      <c r="H32" s="18">
        <v>30</v>
      </c>
      <c r="I32" s="18">
        <f t="shared" si="0"/>
        <v>990</v>
      </c>
      <c r="J32" s="17" t="s">
        <v>32</v>
      </c>
      <c r="K32" s="17" t="s">
        <v>32</v>
      </c>
      <c r="L32" s="17" t="s">
        <v>204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290</v>
      </c>
      <c r="D33" s="17" t="s">
        <v>291</v>
      </c>
      <c r="E33" s="17" t="s">
        <v>292</v>
      </c>
      <c r="F33" s="17" t="s">
        <v>98</v>
      </c>
      <c r="G33" s="18">
        <v>0</v>
      </c>
      <c r="H33" s="18">
        <v>20</v>
      </c>
      <c r="I33" s="18">
        <f t="shared" si="0"/>
        <v>-20</v>
      </c>
      <c r="J33" s="17" t="s">
        <v>32</v>
      </c>
      <c r="K33" s="17" t="s">
        <v>32</v>
      </c>
      <c r="L33" s="17" t="s">
        <v>204</v>
      </c>
      <c r="M33" s="17"/>
      <c r="N33" s="17"/>
      <c r="O33" s="17"/>
      <c r="P33" s="17"/>
      <c r="Q33" s="17">
        <v>1</v>
      </c>
      <c r="R33" s="19">
        <f>H33</f>
        <v>20</v>
      </c>
    </row>
    <row r="34" spans="1:18" customFormat="1" x14ac:dyDescent="0.25">
      <c r="A34" s="17" t="s">
        <v>26</v>
      </c>
      <c r="B34" s="17" t="s">
        <v>27</v>
      </c>
      <c r="C34" s="17" t="s">
        <v>75</v>
      </c>
      <c r="D34" s="17"/>
      <c r="E34" s="17" t="s">
        <v>76</v>
      </c>
      <c r="F34" s="17" t="s">
        <v>77</v>
      </c>
      <c r="G34" s="18">
        <v>8510</v>
      </c>
      <c r="H34" s="18">
        <v>30</v>
      </c>
      <c r="I34" s="18">
        <f t="shared" si="0"/>
        <v>8480</v>
      </c>
      <c r="J34" s="17" t="s">
        <v>32</v>
      </c>
      <c r="K34" s="17" t="s">
        <v>32</v>
      </c>
      <c r="L34" s="17" t="s">
        <v>204</v>
      </c>
      <c r="M34" s="17"/>
      <c r="N34" s="17"/>
      <c r="O34" s="17"/>
      <c r="P34" s="17"/>
      <c r="Q34" s="17">
        <v>1</v>
      </c>
    </row>
    <row r="35" spans="1:18" customFormat="1" x14ac:dyDescent="0.25">
      <c r="A35" s="17" t="s">
        <v>26</v>
      </c>
      <c r="B35" s="17" t="s">
        <v>27</v>
      </c>
      <c r="C35" s="17" t="s">
        <v>293</v>
      </c>
      <c r="D35" s="17"/>
      <c r="E35" s="17" t="s">
        <v>294</v>
      </c>
      <c r="F35" s="17" t="s">
        <v>77</v>
      </c>
      <c r="G35" s="18">
        <v>0</v>
      </c>
      <c r="H35" s="18">
        <v>30</v>
      </c>
      <c r="I35" s="18">
        <f t="shared" si="0"/>
        <v>-30</v>
      </c>
      <c r="J35" s="17" t="s">
        <v>32</v>
      </c>
      <c r="K35" s="17" t="s">
        <v>32</v>
      </c>
      <c r="L35" s="17" t="s">
        <v>204</v>
      </c>
      <c r="M35" s="17"/>
      <c r="N35" s="17"/>
      <c r="O35" s="17"/>
      <c r="P35" s="17"/>
      <c r="Q35" s="17">
        <v>1</v>
      </c>
      <c r="R35" s="19">
        <f>H35</f>
        <v>30</v>
      </c>
    </row>
    <row r="36" spans="1:18" customFormat="1" x14ac:dyDescent="0.25">
      <c r="A36" s="17" t="s">
        <v>26</v>
      </c>
      <c r="B36" s="17" t="s">
        <v>27</v>
      </c>
      <c r="C36" s="17" t="s">
        <v>295</v>
      </c>
      <c r="D36" s="17"/>
      <c r="E36" s="17" t="s">
        <v>296</v>
      </c>
      <c r="F36" s="17" t="s">
        <v>77</v>
      </c>
      <c r="G36" s="18">
        <v>30</v>
      </c>
      <c r="H36" s="18">
        <v>30</v>
      </c>
      <c r="I36" s="18">
        <f t="shared" si="0"/>
        <v>0</v>
      </c>
      <c r="J36" s="17" t="s">
        <v>32</v>
      </c>
      <c r="K36" s="17" t="s">
        <v>32</v>
      </c>
      <c r="L36" s="17" t="s">
        <v>204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297</v>
      </c>
      <c r="D37" s="17" t="s">
        <v>298</v>
      </c>
      <c r="E37" s="17" t="s">
        <v>299</v>
      </c>
      <c r="F37" s="17" t="s">
        <v>130</v>
      </c>
      <c r="G37" s="18">
        <v>815</v>
      </c>
      <c r="H37" s="18">
        <v>25</v>
      </c>
      <c r="I37" s="18">
        <f t="shared" si="0"/>
        <v>790</v>
      </c>
      <c r="J37" s="17" t="s">
        <v>140</v>
      </c>
      <c r="K37" s="17" t="s">
        <v>32</v>
      </c>
      <c r="L37" s="17" t="s">
        <v>204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300</v>
      </c>
      <c r="D38" s="17" t="s">
        <v>301</v>
      </c>
      <c r="E38" s="17" t="s">
        <v>302</v>
      </c>
      <c r="F38" s="18">
        <v>3</v>
      </c>
      <c r="G38" s="18">
        <v>815</v>
      </c>
      <c r="H38" s="18">
        <v>25</v>
      </c>
      <c r="I38" s="18">
        <f t="shared" si="0"/>
        <v>790</v>
      </c>
      <c r="J38" s="17" t="s">
        <v>140</v>
      </c>
      <c r="K38" s="17" t="s">
        <v>32</v>
      </c>
      <c r="L38" s="17" t="s">
        <v>204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303</v>
      </c>
      <c r="D39" s="17" t="s">
        <v>304</v>
      </c>
      <c r="E39" s="17" t="s">
        <v>305</v>
      </c>
      <c r="F39" s="17" t="s">
        <v>130</v>
      </c>
      <c r="G39" s="18">
        <v>1685</v>
      </c>
      <c r="H39" s="18">
        <v>25</v>
      </c>
      <c r="I39" s="18">
        <f t="shared" si="0"/>
        <v>1660</v>
      </c>
      <c r="J39" s="17" t="s">
        <v>140</v>
      </c>
      <c r="K39" s="17" t="s">
        <v>32</v>
      </c>
      <c r="L39" s="17" t="s">
        <v>204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306</v>
      </c>
      <c r="D40" s="17" t="s">
        <v>307</v>
      </c>
      <c r="E40" s="17" t="s">
        <v>308</v>
      </c>
      <c r="F40" s="17" t="s">
        <v>130</v>
      </c>
      <c r="G40" s="18">
        <v>0</v>
      </c>
      <c r="H40" s="18">
        <v>25</v>
      </c>
      <c r="I40" s="18">
        <f t="shared" si="0"/>
        <v>-25</v>
      </c>
      <c r="J40" s="17" t="s">
        <v>140</v>
      </c>
      <c r="K40" s="17" t="s">
        <v>32</v>
      </c>
      <c r="L40" s="17" t="s">
        <v>204</v>
      </c>
      <c r="M40" s="17"/>
      <c r="N40" s="17"/>
      <c r="O40" s="17"/>
      <c r="P40" s="17"/>
      <c r="Q40" s="17">
        <v>1</v>
      </c>
      <c r="R40" s="19">
        <f t="shared" ref="R40:R41" si="2">H40</f>
        <v>25</v>
      </c>
    </row>
    <row r="41" spans="1:18" customFormat="1" x14ac:dyDescent="0.25">
      <c r="A41" s="17"/>
      <c r="B41" s="17" t="s">
        <v>27</v>
      </c>
      <c r="C41" s="17" t="s">
        <v>309</v>
      </c>
      <c r="D41" s="17" t="s">
        <v>310</v>
      </c>
      <c r="E41" s="17" t="s">
        <v>311</v>
      </c>
      <c r="F41" s="17" t="s">
        <v>130</v>
      </c>
      <c r="G41" s="18">
        <v>0</v>
      </c>
      <c r="H41" s="18">
        <v>25</v>
      </c>
      <c r="I41" s="18">
        <f t="shared" si="0"/>
        <v>-25</v>
      </c>
      <c r="J41" s="17" t="s">
        <v>140</v>
      </c>
      <c r="K41" s="17" t="s">
        <v>32</v>
      </c>
      <c r="L41" s="17" t="s">
        <v>204</v>
      </c>
      <c r="M41" s="17"/>
      <c r="N41" s="17"/>
      <c r="O41" s="17"/>
      <c r="P41" s="17"/>
      <c r="Q41" s="17">
        <v>1</v>
      </c>
      <c r="R41" s="19">
        <f t="shared" si="2"/>
        <v>25</v>
      </c>
    </row>
    <row r="42" spans="1:18" customFormat="1" x14ac:dyDescent="0.25">
      <c r="A42" s="17"/>
      <c r="B42" s="17" t="s">
        <v>27</v>
      </c>
      <c r="C42" s="17" t="s">
        <v>312</v>
      </c>
      <c r="D42" s="17" t="s">
        <v>313</v>
      </c>
      <c r="E42" s="17" t="s">
        <v>314</v>
      </c>
      <c r="F42" s="18">
        <v>1</v>
      </c>
      <c r="G42" s="18">
        <v>815</v>
      </c>
      <c r="H42" s="18">
        <v>25</v>
      </c>
      <c r="I42" s="18">
        <f t="shared" si="0"/>
        <v>790</v>
      </c>
      <c r="J42" s="17" t="s">
        <v>140</v>
      </c>
      <c r="K42" s="17" t="s">
        <v>32</v>
      </c>
      <c r="L42" s="17" t="s">
        <v>204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315</v>
      </c>
      <c r="D43" s="17" t="s">
        <v>316</v>
      </c>
      <c r="E43" s="17" t="s">
        <v>317</v>
      </c>
      <c r="F43" s="18">
        <v>1</v>
      </c>
      <c r="G43" s="18">
        <v>815</v>
      </c>
      <c r="H43" s="18">
        <v>25</v>
      </c>
      <c r="I43" s="18">
        <f t="shared" si="0"/>
        <v>790</v>
      </c>
      <c r="J43" s="17" t="s">
        <v>140</v>
      </c>
      <c r="K43" s="17" t="s">
        <v>32</v>
      </c>
      <c r="L43" s="17" t="s">
        <v>204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27</v>
      </c>
      <c r="C44" s="17" t="s">
        <v>318</v>
      </c>
      <c r="D44" s="17" t="s">
        <v>319</v>
      </c>
      <c r="E44" s="17" t="s">
        <v>320</v>
      </c>
      <c r="F44" s="17" t="s">
        <v>130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204</v>
      </c>
      <c r="M44" s="17"/>
      <c r="N44" s="17"/>
      <c r="O44" s="17"/>
      <c r="P44" s="17"/>
      <c r="Q44" s="17">
        <v>1</v>
      </c>
      <c r="R44" s="19">
        <f>H44</f>
        <v>25</v>
      </c>
    </row>
    <row r="45" spans="1:18" customFormat="1" x14ac:dyDescent="0.25">
      <c r="A45" s="17"/>
      <c r="B45" s="17" t="s">
        <v>27</v>
      </c>
      <c r="C45" s="17" t="s">
        <v>321</v>
      </c>
      <c r="D45" s="17" t="s">
        <v>322</v>
      </c>
      <c r="E45" s="17" t="s">
        <v>323</v>
      </c>
      <c r="F45" s="18">
        <v>10</v>
      </c>
      <c r="G45" s="18">
        <v>815</v>
      </c>
      <c r="H45" s="18">
        <v>25</v>
      </c>
      <c r="I45" s="18">
        <f t="shared" si="0"/>
        <v>790</v>
      </c>
      <c r="J45" s="17" t="s">
        <v>140</v>
      </c>
      <c r="K45" s="17" t="s">
        <v>32</v>
      </c>
      <c r="L45" s="17" t="s">
        <v>204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324</v>
      </c>
      <c r="D46" s="17" t="s">
        <v>325</v>
      </c>
      <c r="E46" s="17" t="s">
        <v>326</v>
      </c>
      <c r="F46" s="18">
        <v>4</v>
      </c>
      <c r="G46" s="18">
        <v>755</v>
      </c>
      <c r="H46" s="18">
        <v>25</v>
      </c>
      <c r="I46" s="18">
        <f t="shared" si="0"/>
        <v>730</v>
      </c>
      <c r="J46" s="17" t="s">
        <v>140</v>
      </c>
      <c r="K46" s="17" t="s">
        <v>32</v>
      </c>
      <c r="L46" s="17" t="s">
        <v>204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27</v>
      </c>
      <c r="C47" s="17" t="s">
        <v>327</v>
      </c>
      <c r="D47" s="17" t="s">
        <v>328</v>
      </c>
      <c r="E47" s="17" t="s">
        <v>329</v>
      </c>
      <c r="F47" s="18">
        <v>1</v>
      </c>
      <c r="G47" s="18">
        <v>1635</v>
      </c>
      <c r="H47" s="18">
        <v>25</v>
      </c>
      <c r="I47" s="18">
        <f t="shared" si="0"/>
        <v>1610</v>
      </c>
      <c r="J47" s="17" t="s">
        <v>140</v>
      </c>
      <c r="K47" s="17" t="s">
        <v>32</v>
      </c>
      <c r="L47" s="17" t="s">
        <v>204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330</v>
      </c>
      <c r="D48" s="17" t="s">
        <v>331</v>
      </c>
      <c r="E48" s="17" t="s">
        <v>332</v>
      </c>
      <c r="F48" s="17" t="s">
        <v>130</v>
      </c>
      <c r="G48" s="18">
        <v>0</v>
      </c>
      <c r="H48" s="18">
        <v>25</v>
      </c>
      <c r="I48" s="18">
        <f t="shared" si="0"/>
        <v>-25</v>
      </c>
      <c r="J48" s="17" t="s">
        <v>140</v>
      </c>
      <c r="K48" s="17" t="s">
        <v>32</v>
      </c>
      <c r="L48" s="17" t="s">
        <v>204</v>
      </c>
      <c r="M48" s="17"/>
      <c r="N48" s="17"/>
      <c r="O48" s="17"/>
      <c r="P48" s="17"/>
      <c r="Q48" s="17">
        <v>1</v>
      </c>
      <c r="R48" s="19">
        <f>H48</f>
        <v>25</v>
      </c>
    </row>
    <row r="49" spans="1:18" customFormat="1" x14ac:dyDescent="0.25">
      <c r="A49" s="17"/>
      <c r="B49" s="17" t="s">
        <v>27</v>
      </c>
      <c r="C49" s="17" t="s">
        <v>333</v>
      </c>
      <c r="D49" s="17" t="s">
        <v>334</v>
      </c>
      <c r="E49" s="17" t="s">
        <v>335</v>
      </c>
      <c r="F49" s="17" t="s">
        <v>130</v>
      </c>
      <c r="G49" s="18">
        <v>815</v>
      </c>
      <c r="H49" s="18">
        <v>25</v>
      </c>
      <c r="I49" s="18">
        <f t="shared" si="0"/>
        <v>790</v>
      </c>
      <c r="J49" s="17" t="s">
        <v>140</v>
      </c>
      <c r="K49" s="17" t="s">
        <v>32</v>
      </c>
      <c r="L49" s="17" t="s">
        <v>204</v>
      </c>
      <c r="M49" s="17"/>
      <c r="N49" s="17"/>
      <c r="O49" s="17"/>
      <c r="P49" s="17"/>
      <c r="Q49" s="17">
        <v>1</v>
      </c>
    </row>
    <row r="51" spans="1:18" x14ac:dyDescent="0.25">
      <c r="G51" s="1">
        <f t="shared" ref="G51:R51" si="3">SUBTOTAL(9,G3:G50)</f>
        <v>34435</v>
      </c>
      <c r="H51" s="1">
        <f t="shared" si="3"/>
        <v>1275</v>
      </c>
      <c r="I51" s="1">
        <f t="shared" si="3"/>
        <v>33160</v>
      </c>
      <c r="J51" s="1">
        <f t="shared" si="3"/>
        <v>0</v>
      </c>
      <c r="K51" s="1">
        <f t="shared" si="3"/>
        <v>0</v>
      </c>
      <c r="L51" s="1">
        <f t="shared" si="3"/>
        <v>0</v>
      </c>
      <c r="M51" s="1">
        <f t="shared" si="3"/>
        <v>0</v>
      </c>
      <c r="N51" s="1">
        <f t="shared" si="3"/>
        <v>0</v>
      </c>
      <c r="O51" s="1">
        <f t="shared" si="3"/>
        <v>0</v>
      </c>
      <c r="P51" s="1">
        <f t="shared" si="3"/>
        <v>0</v>
      </c>
      <c r="Q51" s="1">
        <f t="shared" si="3"/>
        <v>47</v>
      </c>
      <c r="R51" s="1">
        <f t="shared" si="3"/>
        <v>400</v>
      </c>
    </row>
    <row r="52" spans="1:18" x14ac:dyDescent="0.25">
      <c r="I52" s="1">
        <v>-15</v>
      </c>
      <c r="J52" s="1" t="s">
        <v>336</v>
      </c>
    </row>
    <row r="55" spans="1:18" ht="20.25" customHeight="1" x14ac:dyDescent="0.3">
      <c r="H55" s="4" t="s">
        <v>198</v>
      </c>
      <c r="I55" s="5" t="s">
        <v>15</v>
      </c>
      <c r="J55" s="6" t="s">
        <v>16</v>
      </c>
    </row>
    <row r="56" spans="1:18" ht="15.75" customHeight="1" x14ac:dyDescent="0.25">
      <c r="H56" s="7" t="s">
        <v>17</v>
      </c>
      <c r="I56" s="8">
        <f>SUM(I50:I54)</f>
        <v>33145</v>
      </c>
      <c r="J56" s="8">
        <f>Q51</f>
        <v>47</v>
      </c>
    </row>
    <row r="57" spans="1:18" x14ac:dyDescent="0.25">
      <c r="H57" s="9" t="s">
        <v>18</v>
      </c>
      <c r="I57" s="10">
        <f>R51</f>
        <v>400</v>
      </c>
      <c r="J57" s="11"/>
    </row>
    <row r="58" spans="1:18" x14ac:dyDescent="0.25">
      <c r="H58" s="9" t="s">
        <v>19</v>
      </c>
      <c r="I58" s="10">
        <f>S50</f>
        <v>0</v>
      </c>
      <c r="J58" s="11"/>
    </row>
    <row r="59" spans="1:18" x14ac:dyDescent="0.25">
      <c r="H59" s="9" t="s">
        <v>20</v>
      </c>
      <c r="I59" s="10">
        <f>T50</f>
        <v>0</v>
      </c>
      <c r="J59" s="11"/>
    </row>
    <row r="60" spans="1:18" x14ac:dyDescent="0.25">
      <c r="H60" s="9" t="s">
        <v>21</v>
      </c>
      <c r="I60" s="10">
        <f>U50</f>
        <v>0</v>
      </c>
      <c r="J60" s="11"/>
    </row>
    <row r="61" spans="1:18" ht="15.75" customHeight="1" x14ac:dyDescent="0.25">
      <c r="H61" s="12" t="s">
        <v>22</v>
      </c>
      <c r="I61" s="13"/>
      <c r="J61" s="13"/>
    </row>
    <row r="62" spans="1:18" ht="15.75" customHeight="1" x14ac:dyDescent="0.25">
      <c r="H62" s="14" t="s">
        <v>23</v>
      </c>
      <c r="I62" s="13"/>
      <c r="J62" s="13"/>
    </row>
    <row r="63" spans="1:18" ht="21" customHeight="1" x14ac:dyDescent="0.35">
      <c r="H63" s="15" t="s">
        <v>24</v>
      </c>
      <c r="I63" s="16">
        <f>SUM(I56:I62)</f>
        <v>33545</v>
      </c>
      <c r="J63" s="16">
        <f>SUM(J56:J60)</f>
        <v>47</v>
      </c>
    </row>
    <row r="65" spans="1:12" x14ac:dyDescent="0.25">
      <c r="A65" s="1" t="s">
        <v>337</v>
      </c>
    </row>
    <row r="66" spans="1:12" x14ac:dyDescent="0.25">
      <c r="A66" s="24" t="s">
        <v>27</v>
      </c>
      <c r="B66" s="24" t="s">
        <v>338</v>
      </c>
      <c r="C66" s="24" t="s">
        <v>340</v>
      </c>
      <c r="D66" s="24" t="s">
        <v>341</v>
      </c>
      <c r="E66" s="24" t="s">
        <v>30</v>
      </c>
      <c r="F66" s="25">
        <v>15</v>
      </c>
      <c r="G66" s="25">
        <v>0</v>
      </c>
      <c r="H66" s="25">
        <f t="shared" ref="H66" si="4">F66-G66</f>
        <v>15</v>
      </c>
      <c r="I66" s="24" t="s">
        <v>188</v>
      </c>
      <c r="J66" s="24" t="s">
        <v>32</v>
      </c>
      <c r="K66" s="24" t="s">
        <v>189</v>
      </c>
      <c r="L66" s="29" t="s">
        <v>339</v>
      </c>
    </row>
  </sheetData>
  <autoFilter ref="A2:P49" xr:uid="{00000000-0009-0000-0000-000006000000}">
    <sortState xmlns:xlrd2="http://schemas.microsoft.com/office/spreadsheetml/2017/richdata2" ref="A3:P49">
      <sortCondition ref="J2:J49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E6563-D8B3-4B88-86A0-89EBD11B049A}">
  <dimension ref="A1:R51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343</v>
      </c>
      <c r="C1" s="1" t="s">
        <v>344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345</v>
      </c>
      <c r="D3" s="17" t="s">
        <v>346</v>
      </c>
      <c r="E3" s="17" t="s">
        <v>347</v>
      </c>
      <c r="F3" s="18">
        <v>7</v>
      </c>
      <c r="G3" s="18">
        <v>460</v>
      </c>
      <c r="H3" s="18">
        <v>30</v>
      </c>
      <c r="I3" s="18">
        <f t="shared" ref="I3:I33" si="0">G3-H3</f>
        <v>430</v>
      </c>
      <c r="J3" s="17" t="s">
        <v>348</v>
      </c>
      <c r="K3" s="17" t="s">
        <v>32</v>
      </c>
      <c r="L3" s="17" t="s">
        <v>349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350</v>
      </c>
      <c r="D4" s="17" t="s">
        <v>351</v>
      </c>
      <c r="E4" s="17" t="s">
        <v>352</v>
      </c>
      <c r="F4" s="17" t="s">
        <v>170</v>
      </c>
      <c r="G4" s="18">
        <v>755</v>
      </c>
      <c r="H4" s="18">
        <v>25</v>
      </c>
      <c r="I4" s="18">
        <f t="shared" si="0"/>
        <v>730</v>
      </c>
      <c r="J4" s="17" t="s">
        <v>348</v>
      </c>
      <c r="K4" s="17" t="s">
        <v>32</v>
      </c>
      <c r="L4" s="17" t="s">
        <v>349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353</v>
      </c>
      <c r="D5" s="17" t="s">
        <v>354</v>
      </c>
      <c r="E5" s="17" t="s">
        <v>355</v>
      </c>
      <c r="F5" s="17" t="s">
        <v>202</v>
      </c>
      <c r="G5" s="18">
        <v>815</v>
      </c>
      <c r="H5" s="18">
        <v>35</v>
      </c>
      <c r="I5" s="18">
        <f t="shared" si="0"/>
        <v>780</v>
      </c>
      <c r="J5" s="17" t="s">
        <v>348</v>
      </c>
      <c r="K5" s="17" t="s">
        <v>32</v>
      </c>
      <c r="L5" s="17" t="s">
        <v>349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356</v>
      </c>
      <c r="D6" s="17" t="s">
        <v>357</v>
      </c>
      <c r="E6" s="17" t="s">
        <v>358</v>
      </c>
      <c r="F6" s="17" t="s">
        <v>30</v>
      </c>
      <c r="G6" s="18">
        <v>860</v>
      </c>
      <c r="H6" s="18">
        <v>30</v>
      </c>
      <c r="I6" s="18">
        <f t="shared" si="0"/>
        <v>830</v>
      </c>
      <c r="J6" s="17" t="s">
        <v>348</v>
      </c>
      <c r="K6" s="17" t="s">
        <v>32</v>
      </c>
      <c r="L6" s="17" t="s">
        <v>349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359</v>
      </c>
      <c r="D7" s="17" t="s">
        <v>360</v>
      </c>
      <c r="E7" s="17" t="s">
        <v>361</v>
      </c>
      <c r="F7" s="17" t="s">
        <v>170</v>
      </c>
      <c r="G7" s="18">
        <v>765</v>
      </c>
      <c r="H7" s="18">
        <v>25</v>
      </c>
      <c r="I7" s="18">
        <f t="shared" si="0"/>
        <v>740</v>
      </c>
      <c r="J7" s="17" t="s">
        <v>348</v>
      </c>
      <c r="K7" s="17" t="s">
        <v>32</v>
      </c>
      <c r="L7" s="17" t="s">
        <v>349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362</v>
      </c>
      <c r="D8" s="17" t="s">
        <v>363</v>
      </c>
      <c r="E8" s="17" t="s">
        <v>364</v>
      </c>
      <c r="F8" s="18">
        <v>9</v>
      </c>
      <c r="G8" s="18">
        <v>750</v>
      </c>
      <c r="H8" s="18">
        <v>30</v>
      </c>
      <c r="I8" s="18">
        <f t="shared" si="0"/>
        <v>720</v>
      </c>
      <c r="J8" s="17" t="s">
        <v>348</v>
      </c>
      <c r="K8" s="17" t="s">
        <v>32</v>
      </c>
      <c r="L8" s="17" t="s">
        <v>349</v>
      </c>
      <c r="M8" s="17"/>
      <c r="N8" s="17"/>
      <c r="O8" s="17"/>
      <c r="P8" s="17"/>
      <c r="Q8" s="17">
        <v>1</v>
      </c>
    </row>
    <row r="9" spans="1:18" s="23" customFormat="1" x14ac:dyDescent="0.25">
      <c r="A9" s="21"/>
      <c r="B9" s="21" t="s">
        <v>27</v>
      </c>
      <c r="C9" s="21" t="s">
        <v>52</v>
      </c>
      <c r="D9" s="21" t="s">
        <v>365</v>
      </c>
      <c r="E9" s="21" t="s">
        <v>54</v>
      </c>
      <c r="F9" s="21" t="s">
        <v>30</v>
      </c>
      <c r="G9" s="22">
        <v>30</v>
      </c>
      <c r="H9" s="22">
        <v>30</v>
      </c>
      <c r="I9" s="22">
        <f t="shared" si="0"/>
        <v>0</v>
      </c>
      <c r="J9" s="21" t="s">
        <v>348</v>
      </c>
      <c r="K9" s="21" t="s">
        <v>32</v>
      </c>
      <c r="L9" s="21" t="s">
        <v>349</v>
      </c>
      <c r="M9" s="21" t="s">
        <v>153</v>
      </c>
      <c r="N9" s="21"/>
      <c r="O9" s="21"/>
      <c r="P9" s="21"/>
      <c r="Q9" s="21">
        <v>1</v>
      </c>
    </row>
    <row r="10" spans="1:18" customFormat="1" x14ac:dyDescent="0.25">
      <c r="A10" s="17"/>
      <c r="B10" s="17" t="s">
        <v>27</v>
      </c>
      <c r="C10" s="17" t="s">
        <v>366</v>
      </c>
      <c r="D10" s="17" t="s">
        <v>367</v>
      </c>
      <c r="E10" s="17" t="s">
        <v>368</v>
      </c>
      <c r="F10" s="18">
        <v>7</v>
      </c>
      <c r="G10" s="18">
        <v>810</v>
      </c>
      <c r="H10" s="18">
        <v>30</v>
      </c>
      <c r="I10" s="18">
        <f t="shared" si="0"/>
        <v>780</v>
      </c>
      <c r="J10" s="17" t="s">
        <v>348</v>
      </c>
      <c r="K10" s="17" t="s">
        <v>32</v>
      </c>
      <c r="L10" s="17" t="s">
        <v>349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369</v>
      </c>
      <c r="D11" s="17" t="s">
        <v>370</v>
      </c>
      <c r="E11" s="17" t="s">
        <v>371</v>
      </c>
      <c r="F11" s="18">
        <v>7</v>
      </c>
      <c r="G11" s="18">
        <v>600</v>
      </c>
      <c r="H11" s="18">
        <v>30</v>
      </c>
      <c r="I11" s="18">
        <f t="shared" si="0"/>
        <v>570</v>
      </c>
      <c r="J11" s="17" t="s">
        <v>348</v>
      </c>
      <c r="K11" s="17" t="s">
        <v>32</v>
      </c>
      <c r="L11" s="17" t="s">
        <v>349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372</v>
      </c>
      <c r="D12" s="17" t="s">
        <v>373</v>
      </c>
      <c r="E12" s="17" t="s">
        <v>374</v>
      </c>
      <c r="F12" s="17" t="s">
        <v>30</v>
      </c>
      <c r="G12" s="18">
        <v>0</v>
      </c>
      <c r="H12" s="18">
        <v>30</v>
      </c>
      <c r="I12" s="18">
        <f t="shared" si="0"/>
        <v>-30</v>
      </c>
      <c r="J12" s="17" t="s">
        <v>348</v>
      </c>
      <c r="K12" s="17" t="s">
        <v>32</v>
      </c>
      <c r="L12" s="17" t="s">
        <v>349</v>
      </c>
      <c r="M12" s="17"/>
      <c r="N12" s="17"/>
      <c r="O12" s="17"/>
      <c r="P12" s="17"/>
      <c r="Q12" s="17">
        <v>1</v>
      </c>
      <c r="R12" s="19">
        <f>H12</f>
        <v>30</v>
      </c>
    </row>
    <row r="13" spans="1:18" customFormat="1" x14ac:dyDescent="0.25">
      <c r="A13" s="17"/>
      <c r="B13" s="17" t="s">
        <v>27</v>
      </c>
      <c r="C13" s="17" t="s">
        <v>375</v>
      </c>
      <c r="D13" s="17" t="s">
        <v>376</v>
      </c>
      <c r="E13" s="17" t="s">
        <v>377</v>
      </c>
      <c r="F13" s="18">
        <v>7</v>
      </c>
      <c r="G13" s="18">
        <v>1010</v>
      </c>
      <c r="H13" s="18">
        <v>30</v>
      </c>
      <c r="I13" s="18">
        <f t="shared" si="0"/>
        <v>980</v>
      </c>
      <c r="J13" s="17" t="s">
        <v>348</v>
      </c>
      <c r="K13" s="17" t="s">
        <v>32</v>
      </c>
      <c r="L13" s="17" t="s">
        <v>349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378</v>
      </c>
      <c r="D14" s="17" t="s">
        <v>379</v>
      </c>
      <c r="E14" s="17" t="s">
        <v>380</v>
      </c>
      <c r="F14" s="18">
        <v>2</v>
      </c>
      <c r="G14" s="18">
        <v>820</v>
      </c>
      <c r="H14" s="18">
        <v>30</v>
      </c>
      <c r="I14" s="18">
        <f t="shared" si="0"/>
        <v>790</v>
      </c>
      <c r="J14" s="17" t="s">
        <v>32</v>
      </c>
      <c r="K14" s="17" t="s">
        <v>32</v>
      </c>
      <c r="L14" s="17" t="s">
        <v>349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381</v>
      </c>
      <c r="D15" s="17" t="s">
        <v>382</v>
      </c>
      <c r="E15" s="17" t="s">
        <v>383</v>
      </c>
      <c r="F15" s="17" t="s">
        <v>98</v>
      </c>
      <c r="G15" s="18">
        <v>2670</v>
      </c>
      <c r="H15" s="18">
        <v>30</v>
      </c>
      <c r="I15" s="18">
        <f t="shared" si="0"/>
        <v>2640</v>
      </c>
      <c r="J15" s="17" t="s">
        <v>32</v>
      </c>
      <c r="K15" s="17" t="s">
        <v>32</v>
      </c>
      <c r="L15" s="17" t="s">
        <v>349</v>
      </c>
      <c r="M15" s="20" t="s">
        <v>384</v>
      </c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381</v>
      </c>
      <c r="D16" s="17" t="s">
        <v>385</v>
      </c>
      <c r="E16" s="17" t="s">
        <v>383</v>
      </c>
      <c r="F16" s="17" t="s">
        <v>98</v>
      </c>
      <c r="G16" s="18">
        <v>840</v>
      </c>
      <c r="H16" s="18">
        <v>0</v>
      </c>
      <c r="I16" s="18">
        <f t="shared" si="0"/>
        <v>840</v>
      </c>
      <c r="J16" s="17" t="s">
        <v>32</v>
      </c>
      <c r="K16" s="17" t="s">
        <v>32</v>
      </c>
      <c r="L16" s="17" t="s">
        <v>349</v>
      </c>
      <c r="M16" s="20" t="s">
        <v>386</v>
      </c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387</v>
      </c>
      <c r="D17" s="17" t="s">
        <v>388</v>
      </c>
      <c r="E17" s="17" t="s">
        <v>389</v>
      </c>
      <c r="F17" s="17" t="s">
        <v>77</v>
      </c>
      <c r="G17" s="18">
        <v>915</v>
      </c>
      <c r="H17" s="18">
        <v>25</v>
      </c>
      <c r="I17" s="18">
        <f t="shared" si="0"/>
        <v>890</v>
      </c>
      <c r="J17" s="17" t="s">
        <v>32</v>
      </c>
      <c r="K17" s="17" t="s">
        <v>32</v>
      </c>
      <c r="L17" s="17" t="s">
        <v>349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390</v>
      </c>
      <c r="D18" s="17" t="s">
        <v>391</v>
      </c>
      <c r="E18" s="17" t="s">
        <v>392</v>
      </c>
      <c r="F18" s="17" t="s">
        <v>77</v>
      </c>
      <c r="G18" s="18">
        <v>25</v>
      </c>
      <c r="H18" s="18">
        <v>25</v>
      </c>
      <c r="I18" s="18">
        <f t="shared" si="0"/>
        <v>0</v>
      </c>
      <c r="J18" s="17" t="s">
        <v>32</v>
      </c>
      <c r="K18" s="17" t="s">
        <v>32</v>
      </c>
      <c r="L18" s="17" t="s">
        <v>349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393</v>
      </c>
      <c r="D19" s="17" t="s">
        <v>394</v>
      </c>
      <c r="E19" s="17" t="s">
        <v>395</v>
      </c>
      <c r="F19" s="18">
        <v>12</v>
      </c>
      <c r="G19" s="18">
        <v>0</v>
      </c>
      <c r="H19" s="18">
        <v>30</v>
      </c>
      <c r="I19" s="18">
        <f t="shared" si="0"/>
        <v>-30</v>
      </c>
      <c r="J19" s="17" t="s">
        <v>32</v>
      </c>
      <c r="K19" s="17" t="s">
        <v>32</v>
      </c>
      <c r="L19" s="17" t="s">
        <v>349</v>
      </c>
      <c r="M19" s="17"/>
      <c r="N19" s="17"/>
      <c r="O19" s="17"/>
      <c r="P19" s="17"/>
      <c r="Q19" s="17">
        <v>1</v>
      </c>
      <c r="R19" s="19">
        <f>H19</f>
        <v>30</v>
      </c>
    </row>
    <row r="20" spans="1:18" customFormat="1" x14ac:dyDescent="0.25">
      <c r="A20" s="17"/>
      <c r="B20" s="17" t="s">
        <v>27</v>
      </c>
      <c r="C20" s="17" t="s">
        <v>396</v>
      </c>
      <c r="D20" s="17" t="s">
        <v>397</v>
      </c>
      <c r="E20" s="17" t="s">
        <v>398</v>
      </c>
      <c r="F20" s="17" t="s">
        <v>71</v>
      </c>
      <c r="G20" s="18">
        <v>810</v>
      </c>
      <c r="H20" s="18">
        <v>30</v>
      </c>
      <c r="I20" s="18">
        <f t="shared" si="0"/>
        <v>780</v>
      </c>
      <c r="J20" s="17" t="s">
        <v>32</v>
      </c>
      <c r="K20" s="17" t="s">
        <v>32</v>
      </c>
      <c r="L20" s="17" t="s">
        <v>349</v>
      </c>
      <c r="M20" s="17"/>
      <c r="N20" s="17"/>
      <c r="O20" s="17"/>
      <c r="P20" s="17"/>
      <c r="Q20" s="17">
        <v>1</v>
      </c>
    </row>
    <row r="21" spans="1:18" s="23" customFormat="1" x14ac:dyDescent="0.25">
      <c r="A21" s="21"/>
      <c r="B21" s="21" t="s">
        <v>27</v>
      </c>
      <c r="C21" s="21" t="s">
        <v>95</v>
      </c>
      <c r="D21" s="21" t="s">
        <v>399</v>
      </c>
      <c r="E21" s="21" t="s">
        <v>97</v>
      </c>
      <c r="F21" s="21" t="s">
        <v>98</v>
      </c>
      <c r="G21" s="22">
        <v>20</v>
      </c>
      <c r="H21" s="22">
        <v>20</v>
      </c>
      <c r="I21" s="22">
        <f t="shared" si="0"/>
        <v>0</v>
      </c>
      <c r="J21" s="21" t="s">
        <v>32</v>
      </c>
      <c r="K21" s="21" t="s">
        <v>32</v>
      </c>
      <c r="L21" s="21" t="s">
        <v>349</v>
      </c>
      <c r="M21" s="21" t="s">
        <v>153</v>
      </c>
      <c r="N21" s="21"/>
      <c r="O21" s="21"/>
      <c r="P21" s="21"/>
      <c r="Q21" s="21">
        <v>1</v>
      </c>
    </row>
    <row r="22" spans="1:18" customFormat="1" x14ac:dyDescent="0.25">
      <c r="A22" s="17"/>
      <c r="B22" s="17" t="s">
        <v>27</v>
      </c>
      <c r="C22" s="17" t="s">
        <v>400</v>
      </c>
      <c r="D22" s="17" t="s">
        <v>401</v>
      </c>
      <c r="E22" s="17" t="s">
        <v>402</v>
      </c>
      <c r="F22" s="17" t="s">
        <v>71</v>
      </c>
      <c r="G22" s="18">
        <v>2000</v>
      </c>
      <c r="H22" s="18">
        <v>30</v>
      </c>
      <c r="I22" s="18">
        <f t="shared" si="0"/>
        <v>1970</v>
      </c>
      <c r="J22" s="17" t="s">
        <v>32</v>
      </c>
      <c r="K22" s="17" t="s">
        <v>32</v>
      </c>
      <c r="L22" s="17" t="s">
        <v>349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403</v>
      </c>
      <c r="D23" s="17" t="s">
        <v>404</v>
      </c>
      <c r="E23" s="17" t="s">
        <v>405</v>
      </c>
      <c r="F23" s="17" t="s">
        <v>71</v>
      </c>
      <c r="G23" s="18">
        <v>1010</v>
      </c>
      <c r="H23" s="18">
        <v>30</v>
      </c>
      <c r="I23" s="18">
        <f t="shared" si="0"/>
        <v>980</v>
      </c>
      <c r="J23" s="17" t="s">
        <v>32</v>
      </c>
      <c r="K23" s="17" t="s">
        <v>32</v>
      </c>
      <c r="L23" s="17" t="s">
        <v>349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406</v>
      </c>
      <c r="D24" s="17" t="s">
        <v>407</v>
      </c>
      <c r="E24" s="17" t="s">
        <v>408</v>
      </c>
      <c r="F24" s="17" t="s">
        <v>98</v>
      </c>
      <c r="G24" s="18">
        <v>750</v>
      </c>
      <c r="H24" s="18">
        <v>20</v>
      </c>
      <c r="I24" s="18">
        <f t="shared" si="0"/>
        <v>730</v>
      </c>
      <c r="J24" s="17" t="s">
        <v>32</v>
      </c>
      <c r="K24" s="17" t="s">
        <v>32</v>
      </c>
      <c r="L24" s="17" t="s">
        <v>349</v>
      </c>
      <c r="M24" s="17"/>
      <c r="N24" s="17"/>
      <c r="O24" s="17"/>
      <c r="P24" s="17"/>
      <c r="Q24" s="17">
        <v>1</v>
      </c>
    </row>
    <row r="25" spans="1:18" customFormat="1" x14ac:dyDescent="0.25">
      <c r="A25" s="17" t="s">
        <v>26</v>
      </c>
      <c r="B25" s="17" t="s">
        <v>27</v>
      </c>
      <c r="C25" s="17" t="s">
        <v>409</v>
      </c>
      <c r="D25" s="17"/>
      <c r="E25" s="17" t="s">
        <v>410</v>
      </c>
      <c r="F25" s="18">
        <v>12</v>
      </c>
      <c r="G25" s="18">
        <v>0</v>
      </c>
      <c r="H25" s="18">
        <v>35</v>
      </c>
      <c r="I25" s="18">
        <f t="shared" si="0"/>
        <v>-35</v>
      </c>
      <c r="J25" s="17" t="s">
        <v>32</v>
      </c>
      <c r="K25" s="17" t="s">
        <v>32</v>
      </c>
      <c r="L25" s="17" t="s">
        <v>349</v>
      </c>
      <c r="M25" s="17"/>
      <c r="N25" s="17"/>
      <c r="O25" s="17"/>
      <c r="P25" s="17"/>
      <c r="Q25" s="17">
        <v>1</v>
      </c>
      <c r="R25" s="19">
        <f>H25</f>
        <v>35</v>
      </c>
    </row>
    <row r="26" spans="1:18" customFormat="1" x14ac:dyDescent="0.25">
      <c r="A26" s="17" t="s">
        <v>26</v>
      </c>
      <c r="B26" s="17" t="s">
        <v>27</v>
      </c>
      <c r="C26" s="17" t="s">
        <v>411</v>
      </c>
      <c r="D26" s="17"/>
      <c r="E26" s="17" t="s">
        <v>412</v>
      </c>
      <c r="F26" s="18">
        <v>12</v>
      </c>
      <c r="G26" s="18">
        <v>35</v>
      </c>
      <c r="H26" s="18">
        <v>35</v>
      </c>
      <c r="I26" s="18">
        <f t="shared" si="0"/>
        <v>0</v>
      </c>
      <c r="J26" s="17" t="s">
        <v>32</v>
      </c>
      <c r="K26" s="17" t="s">
        <v>32</v>
      </c>
      <c r="L26" s="17" t="s">
        <v>349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413</v>
      </c>
      <c r="D27" s="17" t="s">
        <v>414</v>
      </c>
      <c r="E27" s="17" t="s">
        <v>415</v>
      </c>
      <c r="F27" s="18">
        <v>10</v>
      </c>
      <c r="G27" s="18">
        <v>455</v>
      </c>
      <c r="H27" s="18">
        <v>25</v>
      </c>
      <c r="I27" s="18">
        <f t="shared" si="0"/>
        <v>430</v>
      </c>
      <c r="J27" s="17" t="s">
        <v>140</v>
      </c>
      <c r="K27" s="17" t="s">
        <v>32</v>
      </c>
      <c r="L27" s="17" t="s">
        <v>349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416</v>
      </c>
      <c r="D28" s="17" t="s">
        <v>417</v>
      </c>
      <c r="E28" s="17" t="s">
        <v>418</v>
      </c>
      <c r="F28" s="17" t="s">
        <v>166</v>
      </c>
      <c r="G28" s="18">
        <v>810</v>
      </c>
      <c r="H28" s="18">
        <v>20</v>
      </c>
      <c r="I28" s="18">
        <f t="shared" si="0"/>
        <v>790</v>
      </c>
      <c r="J28" s="17" t="s">
        <v>140</v>
      </c>
      <c r="K28" s="17" t="s">
        <v>32</v>
      </c>
      <c r="L28" s="17" t="s">
        <v>349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419</v>
      </c>
      <c r="D29" s="17" t="s">
        <v>420</v>
      </c>
      <c r="E29" s="17" t="s">
        <v>421</v>
      </c>
      <c r="F29" s="18">
        <v>10</v>
      </c>
      <c r="G29" s="18">
        <v>885</v>
      </c>
      <c r="H29" s="18">
        <v>25</v>
      </c>
      <c r="I29" s="18">
        <f t="shared" si="0"/>
        <v>860</v>
      </c>
      <c r="J29" s="17" t="s">
        <v>140</v>
      </c>
      <c r="K29" s="17" t="s">
        <v>32</v>
      </c>
      <c r="L29" s="17" t="s">
        <v>349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422</v>
      </c>
      <c r="D30" s="17" t="s">
        <v>423</v>
      </c>
      <c r="E30" s="17" t="s">
        <v>424</v>
      </c>
      <c r="F30" s="17" t="s">
        <v>130</v>
      </c>
      <c r="G30" s="18">
        <v>485</v>
      </c>
      <c r="H30" s="18">
        <v>25</v>
      </c>
      <c r="I30" s="18">
        <f t="shared" si="0"/>
        <v>460</v>
      </c>
      <c r="J30" s="17" t="s">
        <v>140</v>
      </c>
      <c r="K30" s="17" t="s">
        <v>32</v>
      </c>
      <c r="L30" s="17" t="s">
        <v>349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425</v>
      </c>
      <c r="D31" s="17" t="s">
        <v>426</v>
      </c>
      <c r="E31" s="17" t="s">
        <v>427</v>
      </c>
      <c r="F31" s="18">
        <v>10</v>
      </c>
      <c r="G31" s="18">
        <v>0</v>
      </c>
      <c r="H31" s="18">
        <v>25</v>
      </c>
      <c r="I31" s="18">
        <f t="shared" si="0"/>
        <v>-25</v>
      </c>
      <c r="J31" s="17" t="s">
        <v>140</v>
      </c>
      <c r="K31" s="17" t="s">
        <v>32</v>
      </c>
      <c r="L31" s="17" t="s">
        <v>349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428</v>
      </c>
      <c r="D32" s="17" t="s">
        <v>429</v>
      </c>
      <c r="E32" s="17" t="s">
        <v>430</v>
      </c>
      <c r="F32" s="17" t="s">
        <v>130</v>
      </c>
      <c r="G32" s="18">
        <v>745</v>
      </c>
      <c r="H32" s="18">
        <v>25</v>
      </c>
      <c r="I32" s="18">
        <f t="shared" si="0"/>
        <v>720</v>
      </c>
      <c r="J32" s="17" t="s">
        <v>140</v>
      </c>
      <c r="K32" s="17" t="s">
        <v>32</v>
      </c>
      <c r="L32" s="17" t="s">
        <v>349</v>
      </c>
      <c r="M32" s="17"/>
      <c r="N32" s="17"/>
      <c r="O32" s="17"/>
      <c r="P32" s="17"/>
      <c r="Q32" s="17">
        <v>1</v>
      </c>
      <c r="R32" s="19">
        <f>H32</f>
        <v>25</v>
      </c>
    </row>
    <row r="33" spans="1:18" customFormat="1" x14ac:dyDescent="0.25">
      <c r="A33" s="17"/>
      <c r="B33" s="17" t="s">
        <v>27</v>
      </c>
      <c r="C33" s="17" t="s">
        <v>431</v>
      </c>
      <c r="D33" s="17" t="s">
        <v>432</v>
      </c>
      <c r="E33" s="17" t="s">
        <v>433</v>
      </c>
      <c r="F33" s="17" t="s">
        <v>166</v>
      </c>
      <c r="G33" s="18">
        <v>940</v>
      </c>
      <c r="H33" s="18">
        <v>20</v>
      </c>
      <c r="I33" s="18">
        <f t="shared" si="0"/>
        <v>920</v>
      </c>
      <c r="J33" s="17" t="s">
        <v>140</v>
      </c>
      <c r="K33" s="17" t="s">
        <v>32</v>
      </c>
      <c r="L33" s="17" t="s">
        <v>349</v>
      </c>
      <c r="M33" s="17"/>
      <c r="N33" s="17"/>
      <c r="O33" s="17"/>
      <c r="P33" s="17"/>
      <c r="Q33" s="17">
        <v>1</v>
      </c>
    </row>
    <row r="35" spans="1:18" x14ac:dyDescent="0.25">
      <c r="G35" s="1">
        <f t="shared" ref="G35:R35" si="1">SUBTOTAL(9,G3:G34)</f>
        <v>21070</v>
      </c>
      <c r="H35" s="1">
        <f t="shared" si="1"/>
        <v>830</v>
      </c>
      <c r="I35" s="1">
        <f t="shared" si="1"/>
        <v>20240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150</v>
      </c>
    </row>
    <row r="36" spans="1:18" x14ac:dyDescent="0.25">
      <c r="I36" s="26">
        <f>-H51</f>
        <v>-730</v>
      </c>
      <c r="J36" s="1" t="s">
        <v>434</v>
      </c>
    </row>
    <row r="39" spans="1:18" ht="20.25" customHeight="1" x14ac:dyDescent="0.3">
      <c r="H39" s="4" t="s">
        <v>342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19510</v>
      </c>
      <c r="J40" s="8">
        <f>Q35</f>
        <v>31</v>
      </c>
    </row>
    <row r="41" spans="1:18" x14ac:dyDescent="0.25">
      <c r="H41" s="9" t="s">
        <v>18</v>
      </c>
      <c r="I41" s="10">
        <f>R35</f>
        <v>150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19660</v>
      </c>
      <c r="J47" s="16">
        <f>SUM(J40:J44)</f>
        <v>31</v>
      </c>
    </row>
    <row r="49" spans="1:12" x14ac:dyDescent="0.25">
      <c r="A49" s="1" t="s">
        <v>184</v>
      </c>
    </row>
    <row r="50" spans="1:12" x14ac:dyDescent="0.25">
      <c r="A50" s="24" t="s">
        <v>27</v>
      </c>
      <c r="B50" s="24" t="s">
        <v>278</v>
      </c>
      <c r="C50" s="24" t="s">
        <v>279</v>
      </c>
      <c r="D50" s="24" t="s">
        <v>280</v>
      </c>
      <c r="E50" s="24" t="s">
        <v>98</v>
      </c>
      <c r="F50" s="25">
        <v>750</v>
      </c>
      <c r="G50" s="25">
        <v>20</v>
      </c>
      <c r="H50" s="25">
        <f t="shared" ref="H50" si="2">F50-G50</f>
        <v>730</v>
      </c>
      <c r="I50" s="24" t="s">
        <v>188</v>
      </c>
      <c r="J50" s="24" t="s">
        <v>32</v>
      </c>
      <c r="K50" s="24" t="s">
        <v>204</v>
      </c>
      <c r="L50" s="24" t="s">
        <v>184</v>
      </c>
    </row>
    <row r="51" spans="1:12" x14ac:dyDescent="0.25">
      <c r="H51" s="26">
        <f>SUM(H50)</f>
        <v>730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BC9D9-E89D-4A1F-88B0-FBFB44A0523E}">
  <dimension ref="A1:R103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435</v>
      </c>
      <c r="C1" s="1" t="s">
        <v>436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438</v>
      </c>
      <c r="D3" s="17" t="s">
        <v>439</v>
      </c>
      <c r="E3" s="17" t="s">
        <v>440</v>
      </c>
      <c r="F3" s="18">
        <v>7</v>
      </c>
      <c r="G3" s="18">
        <v>780</v>
      </c>
      <c r="H3" s="18">
        <v>30</v>
      </c>
      <c r="I3" s="18">
        <f t="shared" ref="I3:I84" si="0">G3-H3</f>
        <v>750</v>
      </c>
      <c r="J3" s="17" t="s">
        <v>441</v>
      </c>
      <c r="K3" s="17" t="s">
        <v>32</v>
      </c>
      <c r="L3" s="17" t="s">
        <v>442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443</v>
      </c>
      <c r="D4" s="17" t="s">
        <v>444</v>
      </c>
      <c r="E4" s="17" t="s">
        <v>445</v>
      </c>
      <c r="F4" s="17" t="s">
        <v>80</v>
      </c>
      <c r="G4" s="18">
        <v>0</v>
      </c>
      <c r="H4" s="18">
        <v>35</v>
      </c>
      <c r="I4" s="18">
        <f t="shared" si="0"/>
        <v>-35</v>
      </c>
      <c r="J4" s="17" t="s">
        <v>441</v>
      </c>
      <c r="K4" s="17" t="s">
        <v>32</v>
      </c>
      <c r="L4" s="17" t="s">
        <v>442</v>
      </c>
      <c r="M4" s="17"/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27</v>
      </c>
      <c r="C5" s="17" t="s">
        <v>446</v>
      </c>
      <c r="D5" s="17" t="s">
        <v>447</v>
      </c>
      <c r="E5" s="17" t="s">
        <v>448</v>
      </c>
      <c r="F5" s="18">
        <v>7</v>
      </c>
      <c r="G5" s="18">
        <v>850</v>
      </c>
      <c r="H5" s="18">
        <v>30</v>
      </c>
      <c r="I5" s="18">
        <f t="shared" si="0"/>
        <v>820</v>
      </c>
      <c r="J5" s="17" t="s">
        <v>441</v>
      </c>
      <c r="K5" s="17" t="s">
        <v>32</v>
      </c>
      <c r="L5" s="17" t="s">
        <v>442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449</v>
      </c>
      <c r="D6" s="17" t="s">
        <v>450</v>
      </c>
      <c r="E6" s="17" t="s">
        <v>451</v>
      </c>
      <c r="F6" s="18">
        <v>8</v>
      </c>
      <c r="G6" s="18">
        <v>550</v>
      </c>
      <c r="H6" s="18">
        <v>30</v>
      </c>
      <c r="I6" s="18">
        <f t="shared" si="0"/>
        <v>520</v>
      </c>
      <c r="J6" s="17" t="s">
        <v>441</v>
      </c>
      <c r="K6" s="17" t="s">
        <v>32</v>
      </c>
      <c r="L6" s="17" t="s">
        <v>442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452</v>
      </c>
      <c r="D7" s="17" t="s">
        <v>453</v>
      </c>
      <c r="E7" s="17" t="s">
        <v>454</v>
      </c>
      <c r="F7" s="17" t="s">
        <v>30</v>
      </c>
      <c r="G7" s="18">
        <v>490</v>
      </c>
      <c r="H7" s="18">
        <v>30</v>
      </c>
      <c r="I7" s="18">
        <f t="shared" si="0"/>
        <v>460</v>
      </c>
      <c r="J7" s="17" t="s">
        <v>441</v>
      </c>
      <c r="K7" s="17" t="s">
        <v>32</v>
      </c>
      <c r="L7" s="17" t="s">
        <v>442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455</v>
      </c>
      <c r="D8" s="17" t="s">
        <v>456</v>
      </c>
      <c r="E8" s="17" t="s">
        <v>457</v>
      </c>
      <c r="F8" s="18">
        <v>9</v>
      </c>
      <c r="G8" s="18">
        <v>550</v>
      </c>
      <c r="H8" s="18">
        <v>30</v>
      </c>
      <c r="I8" s="18">
        <f t="shared" si="0"/>
        <v>520</v>
      </c>
      <c r="J8" s="17" t="s">
        <v>441</v>
      </c>
      <c r="K8" s="17" t="s">
        <v>32</v>
      </c>
      <c r="L8" s="17" t="s">
        <v>442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458</v>
      </c>
      <c r="D9" s="17" t="s">
        <v>459</v>
      </c>
      <c r="E9" s="17" t="s">
        <v>460</v>
      </c>
      <c r="F9" s="17" t="s">
        <v>170</v>
      </c>
      <c r="G9" s="18">
        <v>455</v>
      </c>
      <c r="H9" s="18">
        <v>25</v>
      </c>
      <c r="I9" s="18">
        <f t="shared" si="0"/>
        <v>430</v>
      </c>
      <c r="J9" s="17" t="s">
        <v>441</v>
      </c>
      <c r="K9" s="17" t="s">
        <v>32</v>
      </c>
      <c r="L9" s="17" t="s">
        <v>442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461</v>
      </c>
      <c r="D10" s="17" t="s">
        <v>462</v>
      </c>
      <c r="E10" s="17" t="s">
        <v>463</v>
      </c>
      <c r="F10" s="18">
        <v>8</v>
      </c>
      <c r="G10" s="18">
        <v>550</v>
      </c>
      <c r="H10" s="18">
        <v>30</v>
      </c>
      <c r="I10" s="18">
        <f t="shared" si="0"/>
        <v>520</v>
      </c>
      <c r="J10" s="17" t="s">
        <v>441</v>
      </c>
      <c r="K10" s="17" t="s">
        <v>32</v>
      </c>
      <c r="L10" s="17" t="s">
        <v>442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464</v>
      </c>
      <c r="D11" s="17" t="s">
        <v>465</v>
      </c>
      <c r="E11" s="17" t="s">
        <v>466</v>
      </c>
      <c r="F11" s="18">
        <v>8</v>
      </c>
      <c r="G11" s="18">
        <v>0</v>
      </c>
      <c r="H11" s="18">
        <v>30</v>
      </c>
      <c r="I11" s="18">
        <f t="shared" si="0"/>
        <v>-30</v>
      </c>
      <c r="J11" s="17" t="s">
        <v>441</v>
      </c>
      <c r="K11" s="17" t="s">
        <v>32</v>
      </c>
      <c r="L11" s="17" t="s">
        <v>442</v>
      </c>
      <c r="M11" s="17"/>
      <c r="N11" s="17"/>
      <c r="O11" s="17"/>
      <c r="P11" s="17"/>
      <c r="Q11" s="17">
        <v>1</v>
      </c>
      <c r="R11" s="19">
        <f>H11</f>
        <v>30</v>
      </c>
    </row>
    <row r="12" spans="1:18" customFormat="1" x14ac:dyDescent="0.25">
      <c r="A12" s="17"/>
      <c r="B12" s="17" t="s">
        <v>27</v>
      </c>
      <c r="C12" s="17" t="s">
        <v>467</v>
      </c>
      <c r="D12" s="17" t="s">
        <v>468</v>
      </c>
      <c r="E12" s="17" t="s">
        <v>469</v>
      </c>
      <c r="F12" s="17" t="s">
        <v>30</v>
      </c>
      <c r="G12" s="18">
        <v>770</v>
      </c>
      <c r="H12" s="18">
        <v>30</v>
      </c>
      <c r="I12" s="18">
        <f t="shared" si="0"/>
        <v>740</v>
      </c>
      <c r="J12" s="17" t="s">
        <v>441</v>
      </c>
      <c r="K12" s="17" t="s">
        <v>32</v>
      </c>
      <c r="L12" s="17" t="s">
        <v>442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470</v>
      </c>
      <c r="D13" s="17" t="s">
        <v>471</v>
      </c>
      <c r="E13" s="17" t="s">
        <v>472</v>
      </c>
      <c r="F13" s="17" t="s">
        <v>51</v>
      </c>
      <c r="G13" s="18">
        <v>0</v>
      </c>
      <c r="H13" s="18">
        <v>35</v>
      </c>
      <c r="I13" s="18">
        <f t="shared" si="0"/>
        <v>-35</v>
      </c>
      <c r="J13" s="17" t="s">
        <v>441</v>
      </c>
      <c r="K13" s="17" t="s">
        <v>32</v>
      </c>
      <c r="L13" s="17" t="s">
        <v>442</v>
      </c>
      <c r="M13" s="17"/>
      <c r="N13" s="17"/>
      <c r="O13" s="17"/>
      <c r="P13" s="17"/>
      <c r="Q13" s="17">
        <v>1</v>
      </c>
      <c r="R13" s="19">
        <f>H13</f>
        <v>35</v>
      </c>
    </row>
    <row r="14" spans="1:18" customFormat="1" x14ac:dyDescent="0.25">
      <c r="A14" s="17"/>
      <c r="B14" s="17" t="s">
        <v>27</v>
      </c>
      <c r="C14" s="17" t="s">
        <v>473</v>
      </c>
      <c r="D14" s="17" t="s">
        <v>474</v>
      </c>
      <c r="E14" s="17" t="s">
        <v>475</v>
      </c>
      <c r="F14" s="17" t="s">
        <v>170</v>
      </c>
      <c r="G14" s="18">
        <v>545</v>
      </c>
      <c r="H14" s="18">
        <v>25</v>
      </c>
      <c r="I14" s="18">
        <f t="shared" si="0"/>
        <v>520</v>
      </c>
      <c r="J14" s="17" t="s">
        <v>441</v>
      </c>
      <c r="K14" s="17" t="s">
        <v>32</v>
      </c>
      <c r="L14" s="17" t="s">
        <v>442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476</v>
      </c>
      <c r="D15" s="17" t="s">
        <v>477</v>
      </c>
      <c r="E15" s="17" t="s">
        <v>478</v>
      </c>
      <c r="F15" s="17" t="s">
        <v>130</v>
      </c>
      <c r="G15" s="18">
        <v>0</v>
      </c>
      <c r="H15" s="18">
        <v>25</v>
      </c>
      <c r="I15" s="18">
        <f t="shared" si="0"/>
        <v>-25</v>
      </c>
      <c r="J15" s="17" t="s">
        <v>441</v>
      </c>
      <c r="K15" s="17" t="s">
        <v>32</v>
      </c>
      <c r="L15" s="17" t="s">
        <v>442</v>
      </c>
      <c r="M15" s="17"/>
      <c r="N15" s="17"/>
      <c r="O15" s="17"/>
      <c r="P15" s="17"/>
      <c r="Q15" s="17">
        <v>1</v>
      </c>
      <c r="R15" s="19">
        <f t="shared" ref="R15:R16" si="1">H15</f>
        <v>25</v>
      </c>
    </row>
    <row r="16" spans="1:18" customFormat="1" x14ac:dyDescent="0.25">
      <c r="A16" s="17"/>
      <c r="B16" s="17" t="s">
        <v>27</v>
      </c>
      <c r="C16" s="17" t="s">
        <v>479</v>
      </c>
      <c r="D16" s="17" t="s">
        <v>480</v>
      </c>
      <c r="E16" s="17" t="s">
        <v>481</v>
      </c>
      <c r="F16" s="17" t="s">
        <v>51</v>
      </c>
      <c r="G16" s="18">
        <v>0</v>
      </c>
      <c r="H16" s="18">
        <v>35</v>
      </c>
      <c r="I16" s="18">
        <f t="shared" si="0"/>
        <v>-35</v>
      </c>
      <c r="J16" s="17" t="s">
        <v>441</v>
      </c>
      <c r="K16" s="17" t="s">
        <v>32</v>
      </c>
      <c r="L16" s="17" t="s">
        <v>442</v>
      </c>
      <c r="M16" s="17"/>
      <c r="N16" s="17"/>
      <c r="O16" s="17"/>
      <c r="P16" s="17"/>
      <c r="Q16" s="17">
        <v>1</v>
      </c>
      <c r="R16" s="19">
        <f t="shared" si="1"/>
        <v>35</v>
      </c>
    </row>
    <row r="17" spans="1:18" customFormat="1" x14ac:dyDescent="0.25">
      <c r="A17" s="17"/>
      <c r="B17" s="17" t="s">
        <v>27</v>
      </c>
      <c r="C17" s="17" t="s">
        <v>482</v>
      </c>
      <c r="D17" s="17" t="s">
        <v>483</v>
      </c>
      <c r="E17" s="17" t="s">
        <v>484</v>
      </c>
      <c r="F17" s="18">
        <v>7</v>
      </c>
      <c r="G17" s="18">
        <v>1870</v>
      </c>
      <c r="H17" s="18">
        <v>30</v>
      </c>
      <c r="I17" s="18">
        <f t="shared" si="0"/>
        <v>1840</v>
      </c>
      <c r="J17" s="17" t="s">
        <v>441</v>
      </c>
      <c r="K17" s="17" t="s">
        <v>32</v>
      </c>
      <c r="L17" s="17" t="s">
        <v>442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211</v>
      </c>
      <c r="D18" s="17" t="s">
        <v>485</v>
      </c>
      <c r="E18" s="17" t="s">
        <v>213</v>
      </c>
      <c r="F18" s="18">
        <v>7</v>
      </c>
      <c r="G18" s="18">
        <v>0</v>
      </c>
      <c r="H18" s="18">
        <v>30</v>
      </c>
      <c r="I18" s="18">
        <f t="shared" si="0"/>
        <v>-30</v>
      </c>
      <c r="J18" s="17" t="s">
        <v>441</v>
      </c>
      <c r="K18" s="17" t="s">
        <v>32</v>
      </c>
      <c r="L18" s="17" t="s">
        <v>442</v>
      </c>
      <c r="M18" s="17"/>
      <c r="N18" s="17"/>
      <c r="O18" s="17"/>
      <c r="P18" s="17"/>
      <c r="Q18" s="17">
        <v>1</v>
      </c>
      <c r="R18" s="19">
        <f>H18</f>
        <v>30</v>
      </c>
    </row>
    <row r="19" spans="1:18" customFormat="1" x14ac:dyDescent="0.25">
      <c r="A19" s="17"/>
      <c r="B19" s="17" t="s">
        <v>27</v>
      </c>
      <c r="C19" s="17" t="s">
        <v>486</v>
      </c>
      <c r="D19" s="17" t="s">
        <v>487</v>
      </c>
      <c r="E19" s="17" t="s">
        <v>488</v>
      </c>
      <c r="F19" s="17" t="s">
        <v>30</v>
      </c>
      <c r="G19" s="18">
        <v>1040</v>
      </c>
      <c r="H19" s="18">
        <v>30</v>
      </c>
      <c r="I19" s="18">
        <f t="shared" si="0"/>
        <v>1010</v>
      </c>
      <c r="J19" s="17" t="s">
        <v>441</v>
      </c>
      <c r="K19" s="17" t="s">
        <v>32</v>
      </c>
      <c r="L19" s="17" t="s">
        <v>442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489</v>
      </c>
      <c r="D20" s="17" t="s">
        <v>490</v>
      </c>
      <c r="E20" s="17" t="s">
        <v>491</v>
      </c>
      <c r="F20" s="18">
        <v>6</v>
      </c>
      <c r="G20" s="18">
        <v>1465</v>
      </c>
      <c r="H20" s="18">
        <v>25</v>
      </c>
      <c r="I20" s="18">
        <f t="shared" si="0"/>
        <v>1440</v>
      </c>
      <c r="J20" s="17" t="s">
        <v>441</v>
      </c>
      <c r="K20" s="17" t="s">
        <v>32</v>
      </c>
      <c r="L20" s="17" t="s">
        <v>442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492</v>
      </c>
      <c r="D21" s="17" t="s">
        <v>493</v>
      </c>
      <c r="E21" s="17" t="s">
        <v>494</v>
      </c>
      <c r="F21" s="18">
        <v>8</v>
      </c>
      <c r="G21" s="18">
        <v>750</v>
      </c>
      <c r="H21" s="18">
        <v>30</v>
      </c>
      <c r="I21" s="18">
        <f t="shared" si="0"/>
        <v>720</v>
      </c>
      <c r="J21" s="17" t="s">
        <v>441</v>
      </c>
      <c r="K21" s="17" t="s">
        <v>32</v>
      </c>
      <c r="L21" s="17" t="s">
        <v>442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495</v>
      </c>
      <c r="D22" s="17" t="s">
        <v>496</v>
      </c>
      <c r="E22" s="17" t="s">
        <v>497</v>
      </c>
      <c r="F22" s="17" t="s">
        <v>170</v>
      </c>
      <c r="G22" s="18">
        <v>545</v>
      </c>
      <c r="H22" s="18">
        <v>25</v>
      </c>
      <c r="I22" s="18">
        <f t="shared" si="0"/>
        <v>520</v>
      </c>
      <c r="J22" s="17" t="s">
        <v>441</v>
      </c>
      <c r="K22" s="17" t="s">
        <v>32</v>
      </c>
      <c r="L22" s="17" t="s">
        <v>442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498</v>
      </c>
      <c r="D23" s="17" t="s">
        <v>499</v>
      </c>
      <c r="E23" s="17" t="s">
        <v>500</v>
      </c>
      <c r="F23" s="17" t="s">
        <v>51</v>
      </c>
      <c r="G23" s="18">
        <v>995</v>
      </c>
      <c r="H23" s="18">
        <v>35</v>
      </c>
      <c r="I23" s="18">
        <f t="shared" si="0"/>
        <v>960</v>
      </c>
      <c r="J23" s="17" t="s">
        <v>441</v>
      </c>
      <c r="K23" s="17" t="s">
        <v>32</v>
      </c>
      <c r="L23" s="17" t="s">
        <v>442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501</v>
      </c>
      <c r="D24" s="17" t="s">
        <v>502</v>
      </c>
      <c r="E24" s="17" t="s">
        <v>503</v>
      </c>
      <c r="F24" s="17" t="s">
        <v>51</v>
      </c>
      <c r="G24" s="18">
        <v>915</v>
      </c>
      <c r="H24" s="18">
        <v>35</v>
      </c>
      <c r="I24" s="18">
        <f t="shared" si="0"/>
        <v>880</v>
      </c>
      <c r="J24" s="17" t="s">
        <v>441</v>
      </c>
      <c r="K24" s="17" t="s">
        <v>32</v>
      </c>
      <c r="L24" s="17" t="s">
        <v>442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504</v>
      </c>
      <c r="D25" s="17" t="s">
        <v>505</v>
      </c>
      <c r="E25" s="17" t="s">
        <v>506</v>
      </c>
      <c r="F25" s="18">
        <v>8</v>
      </c>
      <c r="G25" s="18">
        <v>800</v>
      </c>
      <c r="H25" s="18">
        <v>30</v>
      </c>
      <c r="I25" s="18">
        <f t="shared" si="0"/>
        <v>770</v>
      </c>
      <c r="J25" s="17" t="s">
        <v>441</v>
      </c>
      <c r="K25" s="17" t="s">
        <v>32</v>
      </c>
      <c r="L25" s="17" t="s">
        <v>442</v>
      </c>
      <c r="M25" s="20" t="s">
        <v>386</v>
      </c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504</v>
      </c>
      <c r="D26" s="17" t="s">
        <v>507</v>
      </c>
      <c r="E26" s="17" t="s">
        <v>506</v>
      </c>
      <c r="F26" s="18">
        <v>8</v>
      </c>
      <c r="G26" s="18">
        <v>520</v>
      </c>
      <c r="H26" s="18">
        <v>0</v>
      </c>
      <c r="I26" s="18">
        <f t="shared" si="0"/>
        <v>520</v>
      </c>
      <c r="J26" s="17" t="s">
        <v>441</v>
      </c>
      <c r="K26" s="17" t="s">
        <v>32</v>
      </c>
      <c r="L26" s="17" t="s">
        <v>442</v>
      </c>
      <c r="M26" s="20" t="s">
        <v>386</v>
      </c>
      <c r="N26" s="17"/>
      <c r="O26" s="17"/>
      <c r="P26" s="17"/>
      <c r="Q26" s="17">
        <v>1</v>
      </c>
    </row>
    <row r="27" spans="1:18" customFormat="1" x14ac:dyDescent="0.25">
      <c r="A27" s="17" t="s">
        <v>26</v>
      </c>
      <c r="B27" s="17" t="s">
        <v>27</v>
      </c>
      <c r="C27" s="17" t="s">
        <v>508</v>
      </c>
      <c r="D27" s="17"/>
      <c r="E27" s="17" t="s">
        <v>509</v>
      </c>
      <c r="F27" s="18">
        <v>6</v>
      </c>
      <c r="G27" s="18">
        <v>35</v>
      </c>
      <c r="H27" s="18">
        <v>35</v>
      </c>
      <c r="I27" s="18">
        <f t="shared" si="0"/>
        <v>0</v>
      </c>
      <c r="J27" s="17" t="s">
        <v>441</v>
      </c>
      <c r="K27" s="17" t="s">
        <v>32</v>
      </c>
      <c r="L27" s="17" t="s">
        <v>442</v>
      </c>
      <c r="M27" s="17"/>
      <c r="N27" s="17"/>
      <c r="O27" s="17"/>
      <c r="P27" s="17"/>
      <c r="Q27" s="17">
        <v>1</v>
      </c>
    </row>
    <row r="28" spans="1:18" customFormat="1" x14ac:dyDescent="0.25">
      <c r="A28" s="17" t="s">
        <v>26</v>
      </c>
      <c r="B28" s="17" t="s">
        <v>27</v>
      </c>
      <c r="C28" s="17" t="s">
        <v>34</v>
      </c>
      <c r="D28" s="17"/>
      <c r="E28" s="17" t="s">
        <v>510</v>
      </c>
      <c r="F28" s="18">
        <v>6</v>
      </c>
      <c r="G28" s="18">
        <v>0</v>
      </c>
      <c r="H28" s="18">
        <v>30</v>
      </c>
      <c r="I28" s="18">
        <f t="shared" si="0"/>
        <v>-30</v>
      </c>
      <c r="J28" s="17" t="s">
        <v>441</v>
      </c>
      <c r="K28" s="17" t="s">
        <v>32</v>
      </c>
      <c r="L28" s="17" t="s">
        <v>442</v>
      </c>
      <c r="M28" s="17"/>
      <c r="N28" s="17"/>
      <c r="O28" s="17"/>
      <c r="P28" s="17"/>
      <c r="Q28" s="17">
        <v>1</v>
      </c>
      <c r="R28" s="19">
        <f>H28</f>
        <v>30</v>
      </c>
    </row>
    <row r="29" spans="1:18" customFormat="1" x14ac:dyDescent="0.25">
      <c r="A29" s="17" t="s">
        <v>26</v>
      </c>
      <c r="B29" s="17" t="s">
        <v>27</v>
      </c>
      <c r="C29" s="17" t="s">
        <v>511</v>
      </c>
      <c r="D29" s="17"/>
      <c r="E29" s="17" t="s">
        <v>512</v>
      </c>
      <c r="F29" s="17" t="s">
        <v>30</v>
      </c>
      <c r="G29" s="18">
        <v>5610</v>
      </c>
      <c r="H29" s="18">
        <v>50</v>
      </c>
      <c r="I29" s="18">
        <f t="shared" si="0"/>
        <v>5560</v>
      </c>
      <c r="J29" s="17" t="s">
        <v>441</v>
      </c>
      <c r="K29" s="17" t="s">
        <v>32</v>
      </c>
      <c r="L29" s="17" t="s">
        <v>442</v>
      </c>
      <c r="M29" s="17"/>
      <c r="N29" s="17"/>
      <c r="O29" s="17"/>
      <c r="P29" s="17"/>
      <c r="Q29" s="17">
        <v>1</v>
      </c>
    </row>
    <row r="30" spans="1:18" customFormat="1" x14ac:dyDescent="0.25">
      <c r="A30" s="17" t="s">
        <v>26</v>
      </c>
      <c r="B30" s="17" t="s">
        <v>27</v>
      </c>
      <c r="C30" s="17" t="s">
        <v>513</v>
      </c>
      <c r="D30" s="17"/>
      <c r="E30" s="17" t="s">
        <v>514</v>
      </c>
      <c r="F30" s="18">
        <v>6</v>
      </c>
      <c r="G30" s="18">
        <v>0</v>
      </c>
      <c r="H30" s="18">
        <v>30</v>
      </c>
      <c r="I30" s="18">
        <f t="shared" si="0"/>
        <v>-30</v>
      </c>
      <c r="J30" s="17" t="s">
        <v>441</v>
      </c>
      <c r="K30" s="17" t="s">
        <v>32</v>
      </c>
      <c r="L30" s="17" t="s">
        <v>442</v>
      </c>
      <c r="M30" s="17"/>
      <c r="N30" s="17"/>
      <c r="O30" s="17"/>
      <c r="P30" s="17"/>
      <c r="Q30" s="17">
        <v>1</v>
      </c>
      <c r="R30" s="19">
        <f>H30</f>
        <v>30</v>
      </c>
    </row>
    <row r="31" spans="1:18" customFormat="1" x14ac:dyDescent="0.25">
      <c r="A31" s="17"/>
      <c r="B31" s="17" t="s">
        <v>27</v>
      </c>
      <c r="C31" s="17" t="s">
        <v>515</v>
      </c>
      <c r="D31" s="17" t="s">
        <v>516</v>
      </c>
      <c r="E31" s="17" t="s">
        <v>517</v>
      </c>
      <c r="F31" s="17" t="s">
        <v>51</v>
      </c>
      <c r="G31" s="18">
        <v>395</v>
      </c>
      <c r="H31" s="18">
        <v>35</v>
      </c>
      <c r="I31" s="18">
        <f t="shared" si="0"/>
        <v>360</v>
      </c>
      <c r="J31" s="17" t="s">
        <v>441</v>
      </c>
      <c r="K31" s="17" t="s">
        <v>32</v>
      </c>
      <c r="L31" s="17" t="s">
        <v>442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518</v>
      </c>
      <c r="D32" s="17" t="s">
        <v>519</v>
      </c>
      <c r="E32" s="17" t="s">
        <v>520</v>
      </c>
      <c r="F32" s="18">
        <v>2</v>
      </c>
      <c r="G32" s="18">
        <v>950</v>
      </c>
      <c r="H32" s="18">
        <v>30</v>
      </c>
      <c r="I32" s="18">
        <f t="shared" si="0"/>
        <v>920</v>
      </c>
      <c r="J32" s="17" t="s">
        <v>32</v>
      </c>
      <c r="K32" s="17" t="s">
        <v>32</v>
      </c>
      <c r="L32" s="17" t="s">
        <v>442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521</v>
      </c>
      <c r="D33" s="17" t="s">
        <v>522</v>
      </c>
      <c r="E33" s="17" t="s">
        <v>523</v>
      </c>
      <c r="F33" s="18">
        <v>12</v>
      </c>
      <c r="G33" s="18">
        <v>950</v>
      </c>
      <c r="H33" s="18">
        <v>30</v>
      </c>
      <c r="I33" s="18">
        <f t="shared" si="0"/>
        <v>920</v>
      </c>
      <c r="J33" s="17" t="s">
        <v>32</v>
      </c>
      <c r="K33" s="17" t="s">
        <v>32</v>
      </c>
      <c r="L33" s="17" t="s">
        <v>442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524</v>
      </c>
      <c r="D34" s="17" t="s">
        <v>525</v>
      </c>
      <c r="E34" s="17" t="s">
        <v>526</v>
      </c>
      <c r="F34" s="17" t="s">
        <v>71</v>
      </c>
      <c r="G34" s="18">
        <v>520</v>
      </c>
      <c r="H34" s="18">
        <v>30</v>
      </c>
      <c r="I34" s="18">
        <f t="shared" si="0"/>
        <v>490</v>
      </c>
      <c r="J34" s="17" t="s">
        <v>32</v>
      </c>
      <c r="K34" s="17" t="s">
        <v>32</v>
      </c>
      <c r="L34" s="17" t="s">
        <v>442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527</v>
      </c>
      <c r="D35" s="17" t="s">
        <v>528</v>
      </c>
      <c r="E35" s="17" t="s">
        <v>529</v>
      </c>
      <c r="F35" s="17" t="s">
        <v>71</v>
      </c>
      <c r="G35" s="18">
        <v>800</v>
      </c>
      <c r="H35" s="18">
        <v>30</v>
      </c>
      <c r="I35" s="18">
        <f t="shared" si="0"/>
        <v>770</v>
      </c>
      <c r="J35" s="17" t="s">
        <v>32</v>
      </c>
      <c r="K35" s="17" t="s">
        <v>32</v>
      </c>
      <c r="L35" s="17" t="s">
        <v>442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530</v>
      </c>
      <c r="D36" s="17" t="s">
        <v>531</v>
      </c>
      <c r="E36" s="17" t="s">
        <v>532</v>
      </c>
      <c r="F36" s="18">
        <v>9</v>
      </c>
      <c r="G36" s="18">
        <v>1600</v>
      </c>
      <c r="H36" s="18">
        <v>30</v>
      </c>
      <c r="I36" s="18">
        <f t="shared" si="0"/>
        <v>1570</v>
      </c>
      <c r="J36" s="17" t="s">
        <v>32</v>
      </c>
      <c r="K36" s="17" t="s">
        <v>32</v>
      </c>
      <c r="L36" s="17" t="s">
        <v>442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533</v>
      </c>
      <c r="D37" s="17" t="s">
        <v>534</v>
      </c>
      <c r="E37" s="17" t="s">
        <v>535</v>
      </c>
      <c r="F37" s="17" t="s">
        <v>98</v>
      </c>
      <c r="G37" s="18">
        <v>910</v>
      </c>
      <c r="H37" s="18">
        <v>20</v>
      </c>
      <c r="I37" s="18">
        <f t="shared" si="0"/>
        <v>890</v>
      </c>
      <c r="J37" s="17" t="s">
        <v>32</v>
      </c>
      <c r="K37" s="17" t="s">
        <v>32</v>
      </c>
      <c r="L37" s="17" t="s">
        <v>442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536</v>
      </c>
      <c r="D38" s="17" t="s">
        <v>537</v>
      </c>
      <c r="E38" s="17" t="s">
        <v>538</v>
      </c>
      <c r="F38" s="17" t="s">
        <v>98</v>
      </c>
      <c r="G38" s="18">
        <v>0</v>
      </c>
      <c r="H38" s="18">
        <v>20</v>
      </c>
      <c r="I38" s="18">
        <f t="shared" si="0"/>
        <v>-20</v>
      </c>
      <c r="J38" s="17" t="s">
        <v>32</v>
      </c>
      <c r="K38" s="17" t="s">
        <v>32</v>
      </c>
      <c r="L38" s="17" t="s">
        <v>442</v>
      </c>
      <c r="M38" s="17"/>
      <c r="N38" s="17"/>
      <c r="O38" s="17"/>
      <c r="P38" s="17"/>
      <c r="Q38" s="17">
        <v>1</v>
      </c>
      <c r="R38" s="19">
        <f>H38</f>
        <v>20</v>
      </c>
    </row>
    <row r="39" spans="1:18" customFormat="1" x14ac:dyDescent="0.25">
      <c r="A39" s="17"/>
      <c r="B39" s="17" t="s">
        <v>27</v>
      </c>
      <c r="C39" s="17" t="s">
        <v>539</v>
      </c>
      <c r="D39" s="17" t="s">
        <v>540</v>
      </c>
      <c r="E39" s="17" t="s">
        <v>541</v>
      </c>
      <c r="F39" s="17" t="s">
        <v>77</v>
      </c>
      <c r="G39" s="18">
        <v>1435</v>
      </c>
      <c r="H39" s="18">
        <v>25</v>
      </c>
      <c r="I39" s="18">
        <f t="shared" si="0"/>
        <v>1410</v>
      </c>
      <c r="J39" s="17" t="s">
        <v>32</v>
      </c>
      <c r="K39" s="17" t="s">
        <v>32</v>
      </c>
      <c r="L39" s="17" t="s">
        <v>442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387</v>
      </c>
      <c r="D40" s="17" t="s">
        <v>542</v>
      </c>
      <c r="E40" s="17" t="s">
        <v>543</v>
      </c>
      <c r="F40" s="17" t="s">
        <v>77</v>
      </c>
      <c r="G40" s="18">
        <v>115</v>
      </c>
      <c r="H40" s="18">
        <v>25</v>
      </c>
      <c r="I40" s="18">
        <f t="shared" si="0"/>
        <v>90</v>
      </c>
      <c r="J40" s="17" t="s">
        <v>32</v>
      </c>
      <c r="K40" s="17" t="s">
        <v>32</v>
      </c>
      <c r="L40" s="17" t="s">
        <v>442</v>
      </c>
      <c r="M40" s="17"/>
      <c r="N40" s="17"/>
      <c r="O40" s="17"/>
      <c r="P40" s="17"/>
      <c r="Q40" s="17">
        <v>1</v>
      </c>
    </row>
    <row r="41" spans="1:18" s="23" customFormat="1" x14ac:dyDescent="0.25">
      <c r="A41" s="21"/>
      <c r="B41" s="21" t="s">
        <v>27</v>
      </c>
      <c r="C41" s="21" t="s">
        <v>381</v>
      </c>
      <c r="D41" s="21" t="s">
        <v>544</v>
      </c>
      <c r="E41" s="21" t="s">
        <v>383</v>
      </c>
      <c r="F41" s="21" t="s">
        <v>98</v>
      </c>
      <c r="G41" s="22">
        <v>1370</v>
      </c>
      <c r="H41" s="22">
        <v>20</v>
      </c>
      <c r="I41" s="22">
        <f t="shared" si="0"/>
        <v>1350</v>
      </c>
      <c r="J41" s="21" t="s">
        <v>32</v>
      </c>
      <c r="K41" s="21" t="s">
        <v>32</v>
      </c>
      <c r="L41" s="21" t="s">
        <v>442</v>
      </c>
      <c r="M41" s="21" t="s">
        <v>153</v>
      </c>
      <c r="N41" s="21"/>
      <c r="O41" s="21"/>
      <c r="P41" s="21"/>
      <c r="Q41" s="21">
        <v>1</v>
      </c>
    </row>
    <row r="42" spans="1:18" customFormat="1" x14ac:dyDescent="0.25">
      <c r="A42" s="17"/>
      <c r="B42" s="17" t="s">
        <v>27</v>
      </c>
      <c r="C42" s="17" t="s">
        <v>545</v>
      </c>
      <c r="D42" s="17" t="s">
        <v>546</v>
      </c>
      <c r="E42" s="17" t="s">
        <v>547</v>
      </c>
      <c r="F42" s="18">
        <v>12</v>
      </c>
      <c r="G42" s="18">
        <v>1570</v>
      </c>
      <c r="H42" s="18">
        <v>30</v>
      </c>
      <c r="I42" s="18">
        <f t="shared" si="0"/>
        <v>1540</v>
      </c>
      <c r="J42" s="17" t="s">
        <v>32</v>
      </c>
      <c r="K42" s="17" t="s">
        <v>32</v>
      </c>
      <c r="L42" s="17" t="s">
        <v>442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548</v>
      </c>
      <c r="D43" s="17" t="s">
        <v>549</v>
      </c>
      <c r="E43" s="17" t="s">
        <v>550</v>
      </c>
      <c r="F43" s="18">
        <v>2</v>
      </c>
      <c r="G43" s="18">
        <v>0</v>
      </c>
      <c r="H43" s="18">
        <v>30</v>
      </c>
      <c r="I43" s="18">
        <f t="shared" si="0"/>
        <v>-30</v>
      </c>
      <c r="J43" s="17" t="s">
        <v>32</v>
      </c>
      <c r="K43" s="17" t="s">
        <v>32</v>
      </c>
      <c r="L43" s="17" t="s">
        <v>442</v>
      </c>
      <c r="M43" s="17"/>
      <c r="N43" s="17"/>
      <c r="O43" s="17"/>
      <c r="P43" s="17"/>
      <c r="Q43" s="17">
        <v>1</v>
      </c>
      <c r="R43" s="19">
        <f>H43</f>
        <v>30</v>
      </c>
    </row>
    <row r="44" spans="1:18" customFormat="1" x14ac:dyDescent="0.25">
      <c r="A44" s="17"/>
      <c r="B44" s="17" t="s">
        <v>27</v>
      </c>
      <c r="C44" s="17" t="s">
        <v>551</v>
      </c>
      <c r="D44" s="17" t="s">
        <v>552</v>
      </c>
      <c r="E44" s="17" t="s">
        <v>553</v>
      </c>
      <c r="F44" s="17" t="s">
        <v>77</v>
      </c>
      <c r="G44" s="18">
        <v>805</v>
      </c>
      <c r="H44" s="18">
        <v>25</v>
      </c>
      <c r="I44" s="18">
        <f t="shared" si="0"/>
        <v>780</v>
      </c>
      <c r="J44" s="17" t="s">
        <v>32</v>
      </c>
      <c r="K44" s="17" t="s">
        <v>32</v>
      </c>
      <c r="L44" s="17" t="s">
        <v>442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27</v>
      </c>
      <c r="C45" s="17" t="s">
        <v>554</v>
      </c>
      <c r="D45" s="17" t="s">
        <v>555</v>
      </c>
      <c r="E45" s="17" t="s">
        <v>556</v>
      </c>
      <c r="F45" s="18">
        <v>2</v>
      </c>
      <c r="G45" s="18">
        <v>450</v>
      </c>
      <c r="H45" s="18">
        <v>30</v>
      </c>
      <c r="I45" s="18">
        <f t="shared" si="0"/>
        <v>420</v>
      </c>
      <c r="J45" s="17" t="s">
        <v>32</v>
      </c>
      <c r="K45" s="17" t="s">
        <v>32</v>
      </c>
      <c r="L45" s="17" t="s">
        <v>442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557</v>
      </c>
      <c r="D46" s="17" t="s">
        <v>558</v>
      </c>
      <c r="E46" s="17" t="s">
        <v>559</v>
      </c>
      <c r="F46" s="17" t="s">
        <v>98</v>
      </c>
      <c r="G46" s="18">
        <v>0</v>
      </c>
      <c r="H46" s="18">
        <v>20</v>
      </c>
      <c r="I46" s="18">
        <f t="shared" si="0"/>
        <v>-20</v>
      </c>
      <c r="J46" s="17" t="s">
        <v>32</v>
      </c>
      <c r="K46" s="17" t="s">
        <v>32</v>
      </c>
      <c r="L46" s="17" t="s">
        <v>442</v>
      </c>
      <c r="M46" s="17"/>
      <c r="N46" s="17"/>
      <c r="O46" s="17"/>
      <c r="P46" s="17"/>
      <c r="Q46" s="17">
        <v>1</v>
      </c>
      <c r="R46" s="19">
        <f>H46</f>
        <v>20</v>
      </c>
    </row>
    <row r="47" spans="1:18" customFormat="1" x14ac:dyDescent="0.25">
      <c r="A47" s="17"/>
      <c r="B47" s="17" t="s">
        <v>27</v>
      </c>
      <c r="C47" s="17" t="s">
        <v>560</v>
      </c>
      <c r="D47" s="17" t="s">
        <v>561</v>
      </c>
      <c r="E47" s="17" t="s">
        <v>562</v>
      </c>
      <c r="F47" s="17" t="s">
        <v>77</v>
      </c>
      <c r="G47" s="18">
        <v>845</v>
      </c>
      <c r="H47" s="18">
        <v>25</v>
      </c>
      <c r="I47" s="18">
        <f t="shared" si="0"/>
        <v>820</v>
      </c>
      <c r="J47" s="17" t="s">
        <v>32</v>
      </c>
      <c r="K47" s="17" t="s">
        <v>32</v>
      </c>
      <c r="L47" s="17" t="s">
        <v>442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563</v>
      </c>
      <c r="D48" s="17" t="s">
        <v>564</v>
      </c>
      <c r="E48" s="17" t="s">
        <v>565</v>
      </c>
      <c r="F48" s="18">
        <v>9</v>
      </c>
      <c r="G48" s="18">
        <v>690</v>
      </c>
      <c r="H48" s="18">
        <v>30</v>
      </c>
      <c r="I48" s="18">
        <f t="shared" si="0"/>
        <v>660</v>
      </c>
      <c r="J48" s="17" t="s">
        <v>32</v>
      </c>
      <c r="K48" s="17" t="s">
        <v>32</v>
      </c>
      <c r="L48" s="17" t="s">
        <v>442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27</v>
      </c>
      <c r="C49" s="17" t="s">
        <v>566</v>
      </c>
      <c r="D49" s="17" t="s">
        <v>567</v>
      </c>
      <c r="E49" s="17" t="s">
        <v>568</v>
      </c>
      <c r="F49" s="18">
        <v>12</v>
      </c>
      <c r="G49" s="18">
        <v>780</v>
      </c>
      <c r="H49" s="18">
        <v>30</v>
      </c>
      <c r="I49" s="18">
        <f t="shared" si="0"/>
        <v>750</v>
      </c>
      <c r="J49" s="17" t="s">
        <v>32</v>
      </c>
      <c r="K49" s="17" t="s">
        <v>32</v>
      </c>
      <c r="L49" s="17" t="s">
        <v>442</v>
      </c>
      <c r="M49" s="17"/>
      <c r="N49" s="17"/>
      <c r="O49" s="17"/>
      <c r="P49" s="17"/>
      <c r="Q49" s="17">
        <v>1</v>
      </c>
    </row>
    <row r="50" spans="1:18" customFormat="1" x14ac:dyDescent="0.25">
      <c r="A50" s="17"/>
      <c r="B50" s="17" t="s">
        <v>27</v>
      </c>
      <c r="C50" s="17" t="s">
        <v>569</v>
      </c>
      <c r="D50" s="17" t="s">
        <v>570</v>
      </c>
      <c r="E50" s="17" t="s">
        <v>571</v>
      </c>
      <c r="F50" s="18">
        <v>9</v>
      </c>
      <c r="G50" s="18">
        <v>0</v>
      </c>
      <c r="H50" s="18">
        <v>30</v>
      </c>
      <c r="I50" s="18">
        <f t="shared" si="0"/>
        <v>-30</v>
      </c>
      <c r="J50" s="17" t="s">
        <v>32</v>
      </c>
      <c r="K50" s="17" t="s">
        <v>32</v>
      </c>
      <c r="L50" s="17" t="s">
        <v>442</v>
      </c>
      <c r="M50" s="17"/>
      <c r="N50" s="17"/>
      <c r="O50" s="17"/>
      <c r="P50" s="17"/>
      <c r="Q50" s="17">
        <v>1</v>
      </c>
      <c r="R50" s="19">
        <f>H50</f>
        <v>30</v>
      </c>
    </row>
    <row r="51" spans="1:18" customFormat="1" x14ac:dyDescent="0.25">
      <c r="A51" s="17"/>
      <c r="B51" s="17" t="s">
        <v>27</v>
      </c>
      <c r="C51" s="17" t="s">
        <v>572</v>
      </c>
      <c r="D51" s="17" t="s">
        <v>573</v>
      </c>
      <c r="E51" s="17" t="s">
        <v>574</v>
      </c>
      <c r="F51" s="18">
        <v>9</v>
      </c>
      <c r="G51" s="18">
        <v>1350</v>
      </c>
      <c r="H51" s="18">
        <v>30</v>
      </c>
      <c r="I51" s="18">
        <f t="shared" si="0"/>
        <v>1320</v>
      </c>
      <c r="J51" s="17" t="s">
        <v>32</v>
      </c>
      <c r="K51" s="17" t="s">
        <v>32</v>
      </c>
      <c r="L51" s="17" t="s">
        <v>442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27</v>
      </c>
      <c r="C52" s="17" t="s">
        <v>575</v>
      </c>
      <c r="D52" s="17" t="s">
        <v>576</v>
      </c>
      <c r="E52" s="17" t="s">
        <v>577</v>
      </c>
      <c r="F52" s="17" t="s">
        <v>98</v>
      </c>
      <c r="G52" s="18">
        <v>900</v>
      </c>
      <c r="H52" s="18">
        <v>20</v>
      </c>
      <c r="I52" s="18">
        <f t="shared" si="0"/>
        <v>880</v>
      </c>
      <c r="J52" s="17" t="s">
        <v>32</v>
      </c>
      <c r="K52" s="17" t="s">
        <v>32</v>
      </c>
      <c r="L52" s="17" t="s">
        <v>442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27</v>
      </c>
      <c r="C53" s="17" t="s">
        <v>578</v>
      </c>
      <c r="D53" s="17" t="s">
        <v>579</v>
      </c>
      <c r="E53" s="17" t="s">
        <v>580</v>
      </c>
      <c r="F53" s="18">
        <v>9</v>
      </c>
      <c r="G53" s="18">
        <v>1380</v>
      </c>
      <c r="H53" s="18">
        <v>30</v>
      </c>
      <c r="I53" s="18">
        <f t="shared" si="0"/>
        <v>1350</v>
      </c>
      <c r="J53" s="17" t="s">
        <v>32</v>
      </c>
      <c r="K53" s="17" t="s">
        <v>32</v>
      </c>
      <c r="L53" s="17" t="s">
        <v>442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27</v>
      </c>
      <c r="C54" s="17" t="s">
        <v>581</v>
      </c>
      <c r="D54" s="17" t="s">
        <v>582</v>
      </c>
      <c r="E54" s="17" t="s">
        <v>583</v>
      </c>
      <c r="F54" s="17" t="s">
        <v>77</v>
      </c>
      <c r="G54" s="18">
        <v>865</v>
      </c>
      <c r="H54" s="18">
        <v>25</v>
      </c>
      <c r="I54" s="18">
        <f t="shared" si="0"/>
        <v>840</v>
      </c>
      <c r="J54" s="17" t="s">
        <v>32</v>
      </c>
      <c r="K54" s="17" t="s">
        <v>32</v>
      </c>
      <c r="L54" s="17" t="s">
        <v>442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27</v>
      </c>
      <c r="C55" s="17" t="s">
        <v>584</v>
      </c>
      <c r="D55" s="17" t="s">
        <v>585</v>
      </c>
      <c r="E55" s="17" t="s">
        <v>586</v>
      </c>
      <c r="F55" s="18">
        <v>2</v>
      </c>
      <c r="G55" s="18">
        <v>780</v>
      </c>
      <c r="H55" s="18">
        <v>30</v>
      </c>
      <c r="I55" s="18">
        <f t="shared" si="0"/>
        <v>750</v>
      </c>
      <c r="J55" s="17" t="s">
        <v>32</v>
      </c>
      <c r="K55" s="17" t="s">
        <v>32</v>
      </c>
      <c r="L55" s="17" t="s">
        <v>442</v>
      </c>
      <c r="M55" s="17"/>
      <c r="N55" s="17"/>
      <c r="O55" s="17"/>
      <c r="P55" s="17"/>
      <c r="Q55" s="17">
        <v>1</v>
      </c>
    </row>
    <row r="56" spans="1:18" customFormat="1" x14ac:dyDescent="0.25">
      <c r="A56" s="17"/>
      <c r="B56" s="17" t="s">
        <v>27</v>
      </c>
      <c r="C56" s="17" t="s">
        <v>587</v>
      </c>
      <c r="D56" s="17" t="s">
        <v>588</v>
      </c>
      <c r="E56" s="17" t="s">
        <v>589</v>
      </c>
      <c r="F56" s="17" t="s">
        <v>98</v>
      </c>
      <c r="G56" s="18">
        <v>740</v>
      </c>
      <c r="H56" s="18">
        <v>20</v>
      </c>
      <c r="I56" s="18">
        <f t="shared" si="0"/>
        <v>720</v>
      </c>
      <c r="J56" s="17" t="s">
        <v>32</v>
      </c>
      <c r="K56" s="17" t="s">
        <v>32</v>
      </c>
      <c r="L56" s="17" t="s">
        <v>442</v>
      </c>
      <c r="M56" s="17"/>
      <c r="N56" s="17"/>
      <c r="O56" s="17"/>
      <c r="P56" s="17"/>
      <c r="Q56" s="17">
        <v>1</v>
      </c>
    </row>
    <row r="57" spans="1:18" customFormat="1" x14ac:dyDescent="0.25">
      <c r="A57" s="17" t="s">
        <v>26</v>
      </c>
      <c r="B57" s="17" t="s">
        <v>27</v>
      </c>
      <c r="C57" s="17" t="s">
        <v>590</v>
      </c>
      <c r="D57" s="17"/>
      <c r="E57" s="17" t="s">
        <v>591</v>
      </c>
      <c r="F57" s="18">
        <v>9</v>
      </c>
      <c r="G57" s="18">
        <v>455</v>
      </c>
      <c r="H57" s="18">
        <v>35</v>
      </c>
      <c r="I57" s="18">
        <f t="shared" si="0"/>
        <v>420</v>
      </c>
      <c r="J57" s="17" t="s">
        <v>32</v>
      </c>
      <c r="K57" s="17" t="s">
        <v>32</v>
      </c>
      <c r="L57" s="17" t="s">
        <v>442</v>
      </c>
      <c r="M57" s="17"/>
      <c r="N57" s="17"/>
      <c r="O57" s="17"/>
      <c r="P57" s="17"/>
      <c r="Q57" s="17">
        <v>1</v>
      </c>
    </row>
    <row r="58" spans="1:18" customFormat="1" x14ac:dyDescent="0.25">
      <c r="A58" s="17" t="s">
        <v>26</v>
      </c>
      <c r="B58" s="17" t="s">
        <v>27</v>
      </c>
      <c r="C58" s="17" t="s">
        <v>409</v>
      </c>
      <c r="D58" s="17"/>
      <c r="E58" s="17" t="s">
        <v>410</v>
      </c>
      <c r="F58" s="18">
        <v>12</v>
      </c>
      <c r="G58" s="18">
        <v>0</v>
      </c>
      <c r="H58" s="18">
        <v>35</v>
      </c>
      <c r="I58" s="18">
        <f t="shared" si="0"/>
        <v>-35</v>
      </c>
      <c r="J58" s="17" t="s">
        <v>32</v>
      </c>
      <c r="K58" s="17" t="s">
        <v>32</v>
      </c>
      <c r="L58" s="17" t="s">
        <v>442</v>
      </c>
      <c r="M58" s="17"/>
      <c r="N58" s="17"/>
      <c r="O58" s="17"/>
      <c r="P58" s="17"/>
      <c r="Q58" s="17">
        <v>1</v>
      </c>
      <c r="R58" s="19">
        <f t="shared" ref="R58:R61" si="2">H58</f>
        <v>35</v>
      </c>
    </row>
    <row r="59" spans="1:18" customFormat="1" x14ac:dyDescent="0.25">
      <c r="A59" s="17"/>
      <c r="B59" s="17" t="s">
        <v>27</v>
      </c>
      <c r="C59" s="17" t="s">
        <v>592</v>
      </c>
      <c r="D59" s="17" t="s">
        <v>593</v>
      </c>
      <c r="E59" s="17" t="s">
        <v>594</v>
      </c>
      <c r="F59" s="18">
        <v>1</v>
      </c>
      <c r="G59" s="18">
        <v>0</v>
      </c>
      <c r="H59" s="18">
        <v>25</v>
      </c>
      <c r="I59" s="18">
        <f t="shared" si="0"/>
        <v>-25</v>
      </c>
      <c r="J59" s="17" t="s">
        <v>140</v>
      </c>
      <c r="K59" s="17" t="s">
        <v>32</v>
      </c>
      <c r="L59" s="17" t="s">
        <v>442</v>
      </c>
      <c r="M59" s="17"/>
      <c r="N59" s="17"/>
      <c r="O59" s="17"/>
      <c r="P59" s="17"/>
      <c r="Q59" s="17">
        <v>1</v>
      </c>
      <c r="R59" s="19">
        <f t="shared" si="2"/>
        <v>25</v>
      </c>
    </row>
    <row r="60" spans="1:18" customFormat="1" x14ac:dyDescent="0.25">
      <c r="A60" s="17"/>
      <c r="B60" s="17" t="s">
        <v>27</v>
      </c>
      <c r="C60" s="17" t="s">
        <v>595</v>
      </c>
      <c r="D60" s="17" t="s">
        <v>596</v>
      </c>
      <c r="E60" s="17" t="s">
        <v>597</v>
      </c>
      <c r="F60" s="17" t="s">
        <v>130</v>
      </c>
      <c r="G60" s="18">
        <v>0</v>
      </c>
      <c r="H60" s="18">
        <v>25</v>
      </c>
      <c r="I60" s="18">
        <f t="shared" si="0"/>
        <v>-25</v>
      </c>
      <c r="J60" s="17" t="s">
        <v>140</v>
      </c>
      <c r="K60" s="17" t="s">
        <v>32</v>
      </c>
      <c r="L60" s="17" t="s">
        <v>442</v>
      </c>
      <c r="M60" s="17"/>
      <c r="N60" s="17"/>
      <c r="O60" s="17"/>
      <c r="P60" s="17"/>
      <c r="Q60" s="17">
        <v>1</v>
      </c>
      <c r="R60" s="19">
        <f t="shared" si="2"/>
        <v>25</v>
      </c>
    </row>
    <row r="61" spans="1:18" customFormat="1" x14ac:dyDescent="0.25">
      <c r="A61" s="17"/>
      <c r="B61" s="17" t="s">
        <v>27</v>
      </c>
      <c r="C61" s="17" t="s">
        <v>598</v>
      </c>
      <c r="D61" s="17" t="s">
        <v>599</v>
      </c>
      <c r="E61" s="17" t="s">
        <v>600</v>
      </c>
      <c r="F61" s="17" t="s">
        <v>130</v>
      </c>
      <c r="G61" s="18">
        <v>0</v>
      </c>
      <c r="H61" s="18">
        <v>25</v>
      </c>
      <c r="I61" s="18">
        <f t="shared" si="0"/>
        <v>-25</v>
      </c>
      <c r="J61" s="17" t="s">
        <v>140</v>
      </c>
      <c r="K61" s="17" t="s">
        <v>32</v>
      </c>
      <c r="L61" s="17" t="s">
        <v>442</v>
      </c>
      <c r="M61" s="17"/>
      <c r="N61" s="17"/>
      <c r="O61" s="17"/>
      <c r="P61" s="17"/>
      <c r="Q61" s="17">
        <v>1</v>
      </c>
      <c r="R61" s="19">
        <f t="shared" si="2"/>
        <v>25</v>
      </c>
    </row>
    <row r="62" spans="1:18" customFormat="1" x14ac:dyDescent="0.25">
      <c r="A62" s="17"/>
      <c r="B62" s="17" t="s">
        <v>27</v>
      </c>
      <c r="C62" s="17" t="s">
        <v>601</v>
      </c>
      <c r="D62" s="17" t="s">
        <v>602</v>
      </c>
      <c r="E62" s="17" t="s">
        <v>603</v>
      </c>
      <c r="F62" s="17" t="s">
        <v>130</v>
      </c>
      <c r="G62" s="18">
        <v>455</v>
      </c>
      <c r="H62" s="18">
        <v>25</v>
      </c>
      <c r="I62" s="18">
        <f t="shared" si="0"/>
        <v>430</v>
      </c>
      <c r="J62" s="17" t="s">
        <v>140</v>
      </c>
      <c r="K62" s="17" t="s">
        <v>32</v>
      </c>
      <c r="L62" s="17" t="s">
        <v>442</v>
      </c>
      <c r="M62" s="17"/>
      <c r="N62" s="17"/>
      <c r="O62" s="17"/>
      <c r="P62" s="17"/>
      <c r="Q62" s="17">
        <v>1</v>
      </c>
    </row>
    <row r="63" spans="1:18" customFormat="1" x14ac:dyDescent="0.25">
      <c r="A63" s="17"/>
      <c r="B63" s="17" t="s">
        <v>27</v>
      </c>
      <c r="C63" s="17" t="s">
        <v>604</v>
      </c>
      <c r="D63" s="17" t="s">
        <v>605</v>
      </c>
      <c r="E63" s="17" t="s">
        <v>606</v>
      </c>
      <c r="F63" s="17" t="s">
        <v>130</v>
      </c>
      <c r="G63" s="18">
        <v>905</v>
      </c>
      <c r="H63" s="18">
        <v>25</v>
      </c>
      <c r="I63" s="18">
        <f t="shared" si="0"/>
        <v>880</v>
      </c>
      <c r="J63" s="17" t="s">
        <v>140</v>
      </c>
      <c r="K63" s="17" t="s">
        <v>32</v>
      </c>
      <c r="L63" s="17" t="s">
        <v>442</v>
      </c>
      <c r="M63" s="17"/>
      <c r="N63" s="17"/>
      <c r="O63" s="17"/>
      <c r="P63" s="17"/>
      <c r="Q63" s="17">
        <v>1</v>
      </c>
    </row>
    <row r="64" spans="1:18" customFormat="1" x14ac:dyDescent="0.25">
      <c r="A64" s="17"/>
      <c r="B64" s="17" t="s">
        <v>27</v>
      </c>
      <c r="C64" s="17" t="s">
        <v>607</v>
      </c>
      <c r="D64" s="17" t="s">
        <v>608</v>
      </c>
      <c r="E64" s="17" t="s">
        <v>609</v>
      </c>
      <c r="F64" s="17" t="s">
        <v>166</v>
      </c>
      <c r="G64" s="18">
        <v>810</v>
      </c>
      <c r="H64" s="18">
        <v>20</v>
      </c>
      <c r="I64" s="18">
        <f t="shared" si="0"/>
        <v>790</v>
      </c>
      <c r="J64" s="17" t="s">
        <v>140</v>
      </c>
      <c r="K64" s="17" t="s">
        <v>32</v>
      </c>
      <c r="L64" s="17" t="s">
        <v>442</v>
      </c>
      <c r="M64" s="17"/>
      <c r="N64" s="17"/>
      <c r="O64" s="17"/>
      <c r="P64" s="17"/>
      <c r="Q64" s="17">
        <v>1</v>
      </c>
    </row>
    <row r="65" spans="1:18" customFormat="1" x14ac:dyDescent="0.25">
      <c r="A65" s="17"/>
      <c r="B65" s="17" t="s">
        <v>27</v>
      </c>
      <c r="C65" s="17" t="s">
        <v>610</v>
      </c>
      <c r="D65" s="17" t="s">
        <v>611</v>
      </c>
      <c r="E65" s="17" t="s">
        <v>612</v>
      </c>
      <c r="F65" s="18">
        <v>5</v>
      </c>
      <c r="G65" s="18">
        <v>0</v>
      </c>
      <c r="H65" s="18">
        <v>25</v>
      </c>
      <c r="I65" s="18">
        <f t="shared" si="0"/>
        <v>-25</v>
      </c>
      <c r="J65" s="17" t="s">
        <v>140</v>
      </c>
      <c r="K65" s="17" t="s">
        <v>32</v>
      </c>
      <c r="L65" s="17" t="s">
        <v>442</v>
      </c>
      <c r="M65" s="17"/>
      <c r="N65" s="17"/>
      <c r="O65" s="17"/>
      <c r="P65" s="17"/>
      <c r="Q65" s="17">
        <v>1</v>
      </c>
      <c r="R65" s="19">
        <f>H65</f>
        <v>25</v>
      </c>
    </row>
    <row r="66" spans="1:18" customFormat="1" x14ac:dyDescent="0.25">
      <c r="A66" s="17"/>
      <c r="B66" s="17" t="s">
        <v>27</v>
      </c>
      <c r="C66" s="17" t="s">
        <v>613</v>
      </c>
      <c r="D66" s="17" t="s">
        <v>614</v>
      </c>
      <c r="E66" s="17" t="s">
        <v>615</v>
      </c>
      <c r="F66" s="18">
        <v>1</v>
      </c>
      <c r="G66" s="18">
        <v>815</v>
      </c>
      <c r="H66" s="18">
        <v>25</v>
      </c>
      <c r="I66" s="18">
        <f t="shared" si="0"/>
        <v>790</v>
      </c>
      <c r="J66" s="17" t="s">
        <v>140</v>
      </c>
      <c r="K66" s="17" t="s">
        <v>32</v>
      </c>
      <c r="L66" s="17" t="s">
        <v>442</v>
      </c>
      <c r="M66" s="17"/>
      <c r="N66" s="17"/>
      <c r="O66" s="17"/>
      <c r="P66" s="17"/>
      <c r="Q66" s="17">
        <v>1</v>
      </c>
    </row>
    <row r="67" spans="1:18" customFormat="1" x14ac:dyDescent="0.25">
      <c r="A67" s="17"/>
      <c r="B67" s="17" t="s">
        <v>27</v>
      </c>
      <c r="C67" s="17" t="s">
        <v>458</v>
      </c>
      <c r="D67" s="17" t="s">
        <v>616</v>
      </c>
      <c r="E67" s="17" t="s">
        <v>617</v>
      </c>
      <c r="F67" s="18">
        <v>1</v>
      </c>
      <c r="G67" s="18">
        <v>1015</v>
      </c>
      <c r="H67" s="18">
        <v>25</v>
      </c>
      <c r="I67" s="18">
        <f t="shared" si="0"/>
        <v>990</v>
      </c>
      <c r="J67" s="17" t="s">
        <v>140</v>
      </c>
      <c r="K67" s="17" t="s">
        <v>32</v>
      </c>
      <c r="L67" s="17" t="s">
        <v>442</v>
      </c>
      <c r="M67" s="17"/>
      <c r="N67" s="17"/>
      <c r="O67" s="17"/>
      <c r="P67" s="17"/>
      <c r="Q67" s="17">
        <v>1</v>
      </c>
    </row>
    <row r="68" spans="1:18" customFormat="1" x14ac:dyDescent="0.25">
      <c r="A68" s="17"/>
      <c r="B68" s="17" t="s">
        <v>27</v>
      </c>
      <c r="C68" s="17" t="s">
        <v>618</v>
      </c>
      <c r="D68" s="17" t="s">
        <v>619</v>
      </c>
      <c r="E68" s="17" t="s">
        <v>620</v>
      </c>
      <c r="F68" s="17" t="s">
        <v>130</v>
      </c>
      <c r="G68" s="18">
        <v>3360</v>
      </c>
      <c r="H68" s="18">
        <v>35</v>
      </c>
      <c r="I68" s="18">
        <f t="shared" si="0"/>
        <v>3325</v>
      </c>
      <c r="J68" s="17" t="s">
        <v>140</v>
      </c>
      <c r="K68" s="17" t="s">
        <v>32</v>
      </c>
      <c r="L68" s="17" t="s">
        <v>442</v>
      </c>
      <c r="M68" s="20" t="s">
        <v>58</v>
      </c>
      <c r="N68" s="17"/>
      <c r="O68" s="17"/>
      <c r="P68" s="17"/>
      <c r="Q68" s="17">
        <v>1</v>
      </c>
      <c r="R68" s="19">
        <f>H68</f>
        <v>35</v>
      </c>
    </row>
    <row r="69" spans="1:18" customFormat="1" x14ac:dyDescent="0.25">
      <c r="A69" s="17"/>
      <c r="B69" s="17" t="s">
        <v>27</v>
      </c>
      <c r="C69" s="17" t="s">
        <v>621</v>
      </c>
      <c r="D69" s="17" t="s">
        <v>622</v>
      </c>
      <c r="E69" s="17" t="s">
        <v>623</v>
      </c>
      <c r="F69" s="17" t="s">
        <v>166</v>
      </c>
      <c r="G69" s="18">
        <v>1690</v>
      </c>
      <c r="H69" s="18">
        <v>20</v>
      </c>
      <c r="I69" s="18">
        <f t="shared" si="0"/>
        <v>1670</v>
      </c>
      <c r="J69" s="17" t="s">
        <v>140</v>
      </c>
      <c r="K69" s="17" t="s">
        <v>32</v>
      </c>
      <c r="L69" s="17" t="s">
        <v>442</v>
      </c>
      <c r="M69" s="17"/>
      <c r="N69" s="17"/>
      <c r="O69" s="17"/>
      <c r="P69" s="17"/>
      <c r="Q69" s="17">
        <v>1</v>
      </c>
    </row>
    <row r="70" spans="1:18" customFormat="1" x14ac:dyDescent="0.25">
      <c r="A70" s="17"/>
      <c r="B70" s="17" t="s">
        <v>27</v>
      </c>
      <c r="C70" s="17" t="s">
        <v>624</v>
      </c>
      <c r="D70" s="17" t="s">
        <v>625</v>
      </c>
      <c r="E70" s="17" t="s">
        <v>626</v>
      </c>
      <c r="F70" s="17" t="s">
        <v>130</v>
      </c>
      <c r="G70" s="18">
        <v>1375</v>
      </c>
      <c r="H70" s="18">
        <v>25</v>
      </c>
      <c r="I70" s="18">
        <f t="shared" si="0"/>
        <v>1350</v>
      </c>
      <c r="J70" s="17" t="s">
        <v>140</v>
      </c>
      <c r="K70" s="17" t="s">
        <v>32</v>
      </c>
      <c r="L70" s="17" t="s">
        <v>442</v>
      </c>
      <c r="M70" s="17"/>
      <c r="N70" s="17"/>
      <c r="O70" s="17"/>
      <c r="P70" s="17"/>
      <c r="Q70" s="17">
        <v>1</v>
      </c>
    </row>
    <row r="71" spans="1:18" customFormat="1" x14ac:dyDescent="0.25">
      <c r="A71" s="17"/>
      <c r="B71" s="17" t="s">
        <v>27</v>
      </c>
      <c r="C71" s="17" t="s">
        <v>627</v>
      </c>
      <c r="D71" s="17" t="s">
        <v>628</v>
      </c>
      <c r="E71" s="17" t="s">
        <v>629</v>
      </c>
      <c r="F71" s="17" t="s">
        <v>166</v>
      </c>
      <c r="G71" s="18">
        <v>980</v>
      </c>
      <c r="H71" s="18">
        <v>20</v>
      </c>
      <c r="I71" s="18">
        <f t="shared" si="0"/>
        <v>960</v>
      </c>
      <c r="J71" s="17" t="s">
        <v>140</v>
      </c>
      <c r="K71" s="17" t="s">
        <v>32</v>
      </c>
      <c r="L71" s="17" t="s">
        <v>442</v>
      </c>
      <c r="M71" s="17"/>
      <c r="N71" s="17"/>
      <c r="O71" s="17"/>
      <c r="P71" s="17"/>
      <c r="Q71" s="17">
        <v>1</v>
      </c>
    </row>
    <row r="72" spans="1:18" customFormat="1" x14ac:dyDescent="0.25">
      <c r="A72" s="17"/>
      <c r="B72" s="17" t="s">
        <v>27</v>
      </c>
      <c r="C72" s="17" t="s">
        <v>630</v>
      </c>
      <c r="D72" s="17" t="s">
        <v>631</v>
      </c>
      <c r="E72" s="17" t="s">
        <v>632</v>
      </c>
      <c r="F72" s="18">
        <v>3</v>
      </c>
      <c r="G72" s="18">
        <v>1705</v>
      </c>
      <c r="H72" s="18">
        <v>25</v>
      </c>
      <c r="I72" s="18">
        <f t="shared" si="0"/>
        <v>1680</v>
      </c>
      <c r="J72" s="17" t="s">
        <v>140</v>
      </c>
      <c r="K72" s="17" t="s">
        <v>32</v>
      </c>
      <c r="L72" s="17" t="s">
        <v>442</v>
      </c>
      <c r="M72" s="17"/>
      <c r="N72" s="17"/>
      <c r="O72" s="17"/>
      <c r="P72" s="17"/>
      <c r="Q72" s="17">
        <v>1</v>
      </c>
    </row>
    <row r="73" spans="1:18" customFormat="1" x14ac:dyDescent="0.25">
      <c r="A73" s="17"/>
      <c r="B73" s="17" t="s">
        <v>27</v>
      </c>
      <c r="C73" s="17" t="s">
        <v>633</v>
      </c>
      <c r="D73" s="17" t="s">
        <v>634</v>
      </c>
      <c r="E73" s="17" t="s">
        <v>635</v>
      </c>
      <c r="F73" s="18">
        <v>4</v>
      </c>
      <c r="G73" s="18">
        <v>815</v>
      </c>
      <c r="H73" s="18">
        <v>25</v>
      </c>
      <c r="I73" s="18">
        <f t="shared" si="0"/>
        <v>790</v>
      </c>
      <c r="J73" s="17" t="s">
        <v>140</v>
      </c>
      <c r="K73" s="17" t="s">
        <v>32</v>
      </c>
      <c r="L73" s="17" t="s">
        <v>442</v>
      </c>
      <c r="M73" s="17"/>
      <c r="N73" s="17"/>
      <c r="O73" s="17"/>
      <c r="P73" s="17"/>
      <c r="Q73" s="17">
        <v>1</v>
      </c>
    </row>
    <row r="74" spans="1:18" customFormat="1" x14ac:dyDescent="0.25">
      <c r="A74" s="17"/>
      <c r="B74" s="17" t="s">
        <v>27</v>
      </c>
      <c r="C74" s="17" t="s">
        <v>607</v>
      </c>
      <c r="D74" s="17" t="s">
        <v>636</v>
      </c>
      <c r="E74" s="17" t="s">
        <v>609</v>
      </c>
      <c r="F74" s="17" t="s">
        <v>166</v>
      </c>
      <c r="G74" s="18">
        <v>750</v>
      </c>
      <c r="H74" s="18">
        <v>20</v>
      </c>
      <c r="I74" s="18">
        <f t="shared" si="0"/>
        <v>730</v>
      </c>
      <c r="J74" s="17" t="s">
        <v>140</v>
      </c>
      <c r="K74" s="17" t="s">
        <v>32</v>
      </c>
      <c r="L74" s="17" t="s">
        <v>442</v>
      </c>
      <c r="M74" s="17"/>
      <c r="N74" s="17"/>
      <c r="O74" s="17"/>
      <c r="P74" s="17"/>
      <c r="Q74" s="17">
        <v>1</v>
      </c>
    </row>
    <row r="75" spans="1:18" customFormat="1" x14ac:dyDescent="0.25">
      <c r="A75" s="17"/>
      <c r="B75" s="17" t="s">
        <v>27</v>
      </c>
      <c r="C75" s="17" t="s">
        <v>637</v>
      </c>
      <c r="D75" s="17" t="s">
        <v>638</v>
      </c>
      <c r="E75" s="17" t="s">
        <v>639</v>
      </c>
      <c r="F75" s="17" t="s">
        <v>130</v>
      </c>
      <c r="G75" s="18">
        <v>745</v>
      </c>
      <c r="H75" s="18">
        <v>25</v>
      </c>
      <c r="I75" s="18">
        <f t="shared" si="0"/>
        <v>720</v>
      </c>
      <c r="J75" s="17" t="s">
        <v>140</v>
      </c>
      <c r="K75" s="17" t="s">
        <v>32</v>
      </c>
      <c r="L75" s="17" t="s">
        <v>442</v>
      </c>
      <c r="M75" s="17"/>
      <c r="N75" s="17"/>
      <c r="O75" s="17"/>
      <c r="P75" s="17"/>
      <c r="Q75" s="17">
        <v>1</v>
      </c>
    </row>
    <row r="76" spans="1:18" customFormat="1" x14ac:dyDescent="0.25">
      <c r="A76" s="17"/>
      <c r="B76" s="17" t="s">
        <v>27</v>
      </c>
      <c r="C76" s="17" t="s">
        <v>640</v>
      </c>
      <c r="D76" s="17" t="s">
        <v>641</v>
      </c>
      <c r="E76" s="17" t="s">
        <v>642</v>
      </c>
      <c r="F76" s="18">
        <v>4</v>
      </c>
      <c r="G76" s="18">
        <v>0</v>
      </c>
      <c r="H76" s="18">
        <v>25</v>
      </c>
      <c r="I76" s="18">
        <f t="shared" si="0"/>
        <v>-25</v>
      </c>
      <c r="J76" s="17" t="s">
        <v>140</v>
      </c>
      <c r="K76" s="17" t="s">
        <v>32</v>
      </c>
      <c r="L76" s="17" t="s">
        <v>442</v>
      </c>
      <c r="M76" s="17"/>
      <c r="N76" s="17"/>
      <c r="O76" s="17"/>
      <c r="P76" s="17"/>
      <c r="Q76" s="17">
        <v>1</v>
      </c>
      <c r="R76" s="19">
        <f t="shared" ref="R76:R78" si="3">H76</f>
        <v>25</v>
      </c>
    </row>
    <row r="77" spans="1:18" customFormat="1" x14ac:dyDescent="0.25">
      <c r="A77" s="17"/>
      <c r="B77" s="17" t="s">
        <v>27</v>
      </c>
      <c r="C77" s="17" t="s">
        <v>643</v>
      </c>
      <c r="D77" s="17" t="s">
        <v>644</v>
      </c>
      <c r="E77" s="17" t="s">
        <v>645</v>
      </c>
      <c r="F77" s="18">
        <v>1</v>
      </c>
      <c r="G77" s="18">
        <v>0</v>
      </c>
      <c r="H77" s="18">
        <v>25</v>
      </c>
      <c r="I77" s="18">
        <f t="shared" si="0"/>
        <v>-25</v>
      </c>
      <c r="J77" s="17" t="s">
        <v>140</v>
      </c>
      <c r="K77" s="17" t="s">
        <v>32</v>
      </c>
      <c r="L77" s="17" t="s">
        <v>442</v>
      </c>
      <c r="M77" s="17"/>
      <c r="N77" s="17"/>
      <c r="O77" s="17"/>
      <c r="P77" s="17"/>
      <c r="Q77" s="17">
        <v>1</v>
      </c>
      <c r="R77" s="19">
        <f t="shared" si="3"/>
        <v>25</v>
      </c>
    </row>
    <row r="78" spans="1:18" customFormat="1" x14ac:dyDescent="0.25">
      <c r="A78" s="17"/>
      <c r="B78" s="17" t="s">
        <v>27</v>
      </c>
      <c r="C78" s="17" t="s">
        <v>646</v>
      </c>
      <c r="D78" s="17" t="s">
        <v>647</v>
      </c>
      <c r="E78" s="17" t="s">
        <v>648</v>
      </c>
      <c r="F78" s="18">
        <v>10</v>
      </c>
      <c r="G78" s="18">
        <v>0</v>
      </c>
      <c r="H78" s="18">
        <v>25</v>
      </c>
      <c r="I78" s="18">
        <f t="shared" si="0"/>
        <v>-25</v>
      </c>
      <c r="J78" s="17" t="s">
        <v>140</v>
      </c>
      <c r="K78" s="17" t="s">
        <v>32</v>
      </c>
      <c r="L78" s="17" t="s">
        <v>442</v>
      </c>
      <c r="M78" s="17"/>
      <c r="N78" s="17"/>
      <c r="O78" s="17"/>
      <c r="P78" s="17"/>
      <c r="Q78" s="17">
        <v>1</v>
      </c>
      <c r="R78" s="19">
        <f t="shared" si="3"/>
        <v>25</v>
      </c>
    </row>
    <row r="79" spans="1:18" customFormat="1" x14ac:dyDescent="0.25">
      <c r="A79" s="17" t="s">
        <v>26</v>
      </c>
      <c r="B79" s="17" t="s">
        <v>27</v>
      </c>
      <c r="C79" s="17" t="s">
        <v>649</v>
      </c>
      <c r="D79" s="17"/>
      <c r="E79" s="17" t="s">
        <v>650</v>
      </c>
      <c r="F79" s="17" t="s">
        <v>166</v>
      </c>
      <c r="G79" s="18">
        <v>25</v>
      </c>
      <c r="H79" s="18">
        <v>25</v>
      </c>
      <c r="I79" s="18">
        <f t="shared" si="0"/>
        <v>0</v>
      </c>
      <c r="J79" s="17" t="s">
        <v>140</v>
      </c>
      <c r="K79" s="17" t="s">
        <v>32</v>
      </c>
      <c r="L79" s="17" t="s">
        <v>442</v>
      </c>
      <c r="M79" s="17"/>
      <c r="N79" s="17"/>
      <c r="O79" s="17"/>
      <c r="P79" s="17"/>
      <c r="Q79" s="17">
        <v>1</v>
      </c>
    </row>
    <row r="80" spans="1:18" customFormat="1" x14ac:dyDescent="0.25">
      <c r="A80" s="17" t="s">
        <v>26</v>
      </c>
      <c r="B80" s="17" t="s">
        <v>27</v>
      </c>
      <c r="C80" s="17" t="s">
        <v>651</v>
      </c>
      <c r="D80" s="17"/>
      <c r="E80" s="17" t="s">
        <v>652</v>
      </c>
      <c r="F80" s="17" t="s">
        <v>130</v>
      </c>
      <c r="G80" s="18">
        <v>0</v>
      </c>
      <c r="H80" s="18">
        <v>30</v>
      </c>
      <c r="I80" s="18">
        <f t="shared" si="0"/>
        <v>-30</v>
      </c>
      <c r="J80" s="17" t="s">
        <v>140</v>
      </c>
      <c r="K80" s="17" t="s">
        <v>32</v>
      </c>
      <c r="L80" s="17" t="s">
        <v>442</v>
      </c>
      <c r="M80" s="17"/>
      <c r="N80" s="17"/>
      <c r="O80" s="17"/>
      <c r="P80" s="17"/>
      <c r="Q80" s="17">
        <v>1</v>
      </c>
      <c r="R80" s="19">
        <f t="shared" ref="R80:R81" si="4">H80</f>
        <v>30</v>
      </c>
    </row>
    <row r="81" spans="1:18" customFormat="1" x14ac:dyDescent="0.25">
      <c r="A81" s="17" t="s">
        <v>26</v>
      </c>
      <c r="B81" s="17" t="s">
        <v>27</v>
      </c>
      <c r="C81" s="17" t="s">
        <v>653</v>
      </c>
      <c r="D81" s="17"/>
      <c r="E81" s="17" t="s">
        <v>654</v>
      </c>
      <c r="F81" s="17" t="s">
        <v>130</v>
      </c>
      <c r="G81" s="18">
        <v>0</v>
      </c>
      <c r="H81" s="18">
        <v>30</v>
      </c>
      <c r="I81" s="18">
        <f t="shared" si="0"/>
        <v>-30</v>
      </c>
      <c r="J81" s="17" t="s">
        <v>140</v>
      </c>
      <c r="K81" s="17" t="s">
        <v>32</v>
      </c>
      <c r="L81" s="17" t="s">
        <v>442</v>
      </c>
      <c r="M81" s="17"/>
      <c r="N81" s="17"/>
      <c r="O81" s="17"/>
      <c r="P81" s="17"/>
      <c r="Q81" s="17">
        <v>1</v>
      </c>
      <c r="R81" s="19">
        <f t="shared" si="4"/>
        <v>30</v>
      </c>
    </row>
    <row r="82" spans="1:18" customFormat="1" x14ac:dyDescent="0.25">
      <c r="A82" s="17" t="s">
        <v>26</v>
      </c>
      <c r="B82" s="17" t="s">
        <v>27</v>
      </c>
      <c r="C82" s="17" t="s">
        <v>653</v>
      </c>
      <c r="D82" s="17"/>
      <c r="E82" s="17" t="s">
        <v>654</v>
      </c>
      <c r="F82" s="17" t="s">
        <v>130</v>
      </c>
      <c r="G82" s="18">
        <v>1820</v>
      </c>
      <c r="H82" s="18">
        <v>30</v>
      </c>
      <c r="I82" s="18">
        <f t="shared" si="0"/>
        <v>1790</v>
      </c>
      <c r="J82" s="17" t="s">
        <v>140</v>
      </c>
      <c r="K82" s="17" t="s">
        <v>140</v>
      </c>
      <c r="L82" s="17" t="s">
        <v>442</v>
      </c>
      <c r="M82" s="17"/>
      <c r="N82" s="17"/>
      <c r="O82" s="17"/>
      <c r="P82" s="17"/>
      <c r="Q82" s="17">
        <v>1</v>
      </c>
    </row>
    <row r="83" spans="1:18" s="30" customFormat="1" x14ac:dyDescent="0.25">
      <c r="A83" s="24"/>
      <c r="B83" s="24" t="s">
        <v>27</v>
      </c>
      <c r="C83" s="24" t="s">
        <v>655</v>
      </c>
      <c r="D83" s="24" t="s">
        <v>656</v>
      </c>
      <c r="E83" s="24" t="s">
        <v>657</v>
      </c>
      <c r="F83" s="24" t="s">
        <v>658</v>
      </c>
      <c r="G83" s="25">
        <v>1680</v>
      </c>
      <c r="H83" s="25">
        <v>0</v>
      </c>
      <c r="I83" s="25">
        <f t="shared" si="0"/>
        <v>1680</v>
      </c>
      <c r="J83" s="24" t="s">
        <v>188</v>
      </c>
      <c r="K83" s="24" t="s">
        <v>32</v>
      </c>
      <c r="L83" s="24" t="s">
        <v>442</v>
      </c>
      <c r="M83" s="24" t="s">
        <v>659</v>
      </c>
      <c r="N83" s="24" t="s">
        <v>660</v>
      </c>
      <c r="O83" s="24"/>
      <c r="P83" s="24" t="s">
        <v>661</v>
      </c>
      <c r="Q83" s="24">
        <v>1</v>
      </c>
    </row>
    <row r="84" spans="1:18" s="30" customFormat="1" x14ac:dyDescent="0.25">
      <c r="A84" s="24"/>
      <c r="B84" s="24" t="s">
        <v>27</v>
      </c>
      <c r="C84" s="24" t="s">
        <v>662</v>
      </c>
      <c r="D84" s="24" t="s">
        <v>663</v>
      </c>
      <c r="E84" s="24" t="s">
        <v>664</v>
      </c>
      <c r="F84" s="24" t="s">
        <v>658</v>
      </c>
      <c r="G84" s="25">
        <v>1810</v>
      </c>
      <c r="H84" s="25">
        <v>0</v>
      </c>
      <c r="I84" s="25">
        <f t="shared" si="0"/>
        <v>1810</v>
      </c>
      <c r="J84" s="24" t="s">
        <v>188</v>
      </c>
      <c r="K84" s="24" t="s">
        <v>32</v>
      </c>
      <c r="L84" s="24" t="s">
        <v>442</v>
      </c>
      <c r="M84" s="24" t="s">
        <v>659</v>
      </c>
      <c r="N84" s="24" t="s">
        <v>660</v>
      </c>
      <c r="O84" s="24"/>
      <c r="P84" s="24" t="s">
        <v>661</v>
      </c>
      <c r="Q84" s="24">
        <v>1</v>
      </c>
    </row>
    <row r="86" spans="1:18" x14ac:dyDescent="0.25">
      <c r="G86" s="1">
        <f t="shared" ref="G86:R86" si="5">SUBTOTAL(9,G3:G85)</f>
        <v>61495</v>
      </c>
      <c r="H86" s="1">
        <f t="shared" si="5"/>
        <v>2210</v>
      </c>
      <c r="I86" s="1">
        <f t="shared" si="5"/>
        <v>59285</v>
      </c>
      <c r="J86" s="1">
        <f t="shared" si="5"/>
        <v>0</v>
      </c>
      <c r="K86" s="1">
        <f t="shared" si="5"/>
        <v>0</v>
      </c>
      <c r="L86" s="1">
        <f t="shared" si="5"/>
        <v>0</v>
      </c>
      <c r="M86" s="1">
        <f t="shared" si="5"/>
        <v>0</v>
      </c>
      <c r="N86" s="1">
        <f t="shared" si="5"/>
        <v>0</v>
      </c>
      <c r="O86" s="1">
        <f t="shared" si="5"/>
        <v>0</v>
      </c>
      <c r="P86" s="1">
        <f t="shared" si="5"/>
        <v>0</v>
      </c>
      <c r="Q86" s="1">
        <f t="shared" si="5"/>
        <v>82</v>
      </c>
      <c r="R86" s="1">
        <f t="shared" si="5"/>
        <v>655</v>
      </c>
    </row>
    <row r="87" spans="1:18" x14ac:dyDescent="0.25">
      <c r="I87" s="26">
        <f>-H103</f>
        <v>-3490</v>
      </c>
      <c r="J87" s="1" t="s">
        <v>665</v>
      </c>
    </row>
    <row r="90" spans="1:18" ht="20.25" customHeight="1" x14ac:dyDescent="0.3">
      <c r="H90" s="4" t="s">
        <v>437</v>
      </c>
      <c r="I90" s="5" t="s">
        <v>15</v>
      </c>
      <c r="J90" s="6" t="s">
        <v>16</v>
      </c>
    </row>
    <row r="91" spans="1:18" ht="15.75" customHeight="1" x14ac:dyDescent="0.25">
      <c r="H91" s="7" t="s">
        <v>17</v>
      </c>
      <c r="I91" s="8">
        <f>SUM(I85:I89)</f>
        <v>55795</v>
      </c>
      <c r="J91" s="8">
        <f>Q86</f>
        <v>82</v>
      </c>
    </row>
    <row r="92" spans="1:18" x14ac:dyDescent="0.25">
      <c r="H92" s="9" t="s">
        <v>18</v>
      </c>
      <c r="I92" s="10">
        <f>R86</f>
        <v>655</v>
      </c>
      <c r="J92" s="11"/>
    </row>
    <row r="93" spans="1:18" x14ac:dyDescent="0.25">
      <c r="H93" s="9" t="s">
        <v>19</v>
      </c>
      <c r="I93" s="10">
        <f>S85</f>
        <v>0</v>
      </c>
      <c r="J93" s="11"/>
    </row>
    <row r="94" spans="1:18" x14ac:dyDescent="0.25">
      <c r="H94" s="9" t="s">
        <v>20</v>
      </c>
      <c r="I94" s="10">
        <f>T85</f>
        <v>0</v>
      </c>
      <c r="J94" s="11"/>
    </row>
    <row r="95" spans="1:18" x14ac:dyDescent="0.25">
      <c r="H95" s="9" t="s">
        <v>21</v>
      </c>
      <c r="I95" s="10">
        <f>U85</f>
        <v>0</v>
      </c>
      <c r="J95" s="11"/>
    </row>
    <row r="96" spans="1:18" ht="15.75" customHeight="1" x14ac:dyDescent="0.25">
      <c r="H96" s="12" t="s">
        <v>22</v>
      </c>
      <c r="I96" s="13"/>
      <c r="J96" s="13"/>
    </row>
    <row r="97" spans="1:12" ht="15.75" customHeight="1" x14ac:dyDescent="0.25">
      <c r="H97" s="14" t="s">
        <v>23</v>
      </c>
      <c r="I97" s="13"/>
      <c r="J97" s="13"/>
    </row>
    <row r="98" spans="1:12" ht="21" customHeight="1" x14ac:dyDescent="0.35">
      <c r="H98" s="15" t="s">
        <v>24</v>
      </c>
      <c r="I98" s="16">
        <f>SUM(I91:I97)</f>
        <v>56450</v>
      </c>
      <c r="J98" s="16">
        <f>SUM(J91:J95)</f>
        <v>82</v>
      </c>
    </row>
    <row r="100" spans="1:12" x14ac:dyDescent="0.25">
      <c r="A100" s="1" t="s">
        <v>184</v>
      </c>
    </row>
    <row r="101" spans="1:12" x14ac:dyDescent="0.25">
      <c r="A101" s="24" t="s">
        <v>27</v>
      </c>
      <c r="B101" s="24" t="s">
        <v>655</v>
      </c>
      <c r="C101" s="24" t="s">
        <v>656</v>
      </c>
      <c r="D101" s="24" t="s">
        <v>657</v>
      </c>
      <c r="E101" s="24" t="s">
        <v>658</v>
      </c>
      <c r="F101" s="25">
        <v>1680</v>
      </c>
      <c r="G101" s="25">
        <v>0</v>
      </c>
      <c r="H101" s="25">
        <f t="shared" ref="H101:H102" si="6">F101-G101</f>
        <v>1680</v>
      </c>
      <c r="I101" s="24" t="s">
        <v>188</v>
      </c>
      <c r="J101" s="24" t="s">
        <v>32</v>
      </c>
      <c r="K101" s="24" t="s">
        <v>442</v>
      </c>
      <c r="L101" s="24" t="s">
        <v>659</v>
      </c>
    </row>
    <row r="102" spans="1:12" x14ac:dyDescent="0.25">
      <c r="A102" s="24" t="s">
        <v>27</v>
      </c>
      <c r="B102" s="24" t="s">
        <v>662</v>
      </c>
      <c r="C102" s="24" t="s">
        <v>663</v>
      </c>
      <c r="D102" s="24" t="s">
        <v>664</v>
      </c>
      <c r="E102" s="24" t="s">
        <v>658</v>
      </c>
      <c r="F102" s="25">
        <v>1810</v>
      </c>
      <c r="G102" s="25">
        <v>0</v>
      </c>
      <c r="H102" s="25">
        <f t="shared" si="6"/>
        <v>1810</v>
      </c>
      <c r="I102" s="24" t="s">
        <v>188</v>
      </c>
      <c r="J102" s="24" t="s">
        <v>32</v>
      </c>
      <c r="K102" s="24" t="s">
        <v>442</v>
      </c>
      <c r="L102" s="24" t="s">
        <v>659</v>
      </c>
    </row>
    <row r="103" spans="1:12" x14ac:dyDescent="0.25">
      <c r="H103" s="26">
        <f>SUM(H101:H102)</f>
        <v>3490</v>
      </c>
    </row>
  </sheetData>
  <autoFilter ref="A2:P84" xr:uid="{00000000-0009-0000-0000-000006000000}">
    <sortState xmlns:xlrd2="http://schemas.microsoft.com/office/spreadsheetml/2017/richdata2" ref="A3:P84">
      <sortCondition ref="J2:J8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D422A-A9D1-4515-9F08-B7C167A4D158}">
  <dimension ref="A1:R68"/>
  <sheetViews>
    <sheetView tabSelected="1" topLeftCell="A29" zoomScale="82" zoomScaleNormal="80" workbookViewId="0">
      <selection activeCell="L66" sqref="L6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666</v>
      </c>
      <c r="C1" s="1" t="s">
        <v>667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668</v>
      </c>
      <c r="D3" s="17" t="s">
        <v>669</v>
      </c>
      <c r="E3" s="17" t="s">
        <v>670</v>
      </c>
      <c r="F3" s="17" t="s">
        <v>30</v>
      </c>
      <c r="G3" s="18">
        <v>1020</v>
      </c>
      <c r="H3" s="18">
        <v>30</v>
      </c>
      <c r="I3" s="18">
        <f t="shared" ref="I3:I45" si="0">G3-H3</f>
        <v>990</v>
      </c>
      <c r="J3" s="17" t="s">
        <v>671</v>
      </c>
      <c r="K3" s="17" t="s">
        <v>32</v>
      </c>
      <c r="L3" s="17" t="s">
        <v>672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673</v>
      </c>
      <c r="D4" s="17" t="s">
        <v>674</v>
      </c>
      <c r="E4" s="17" t="s">
        <v>675</v>
      </c>
      <c r="F4" s="18">
        <v>7</v>
      </c>
      <c r="G4" s="18">
        <v>950</v>
      </c>
      <c r="H4" s="18">
        <v>30</v>
      </c>
      <c r="I4" s="18">
        <f t="shared" si="0"/>
        <v>920</v>
      </c>
      <c r="J4" s="17" t="s">
        <v>671</v>
      </c>
      <c r="K4" s="17" t="s">
        <v>32</v>
      </c>
      <c r="L4" s="17" t="s">
        <v>672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676</v>
      </c>
      <c r="D5" s="17" t="s">
        <v>677</v>
      </c>
      <c r="E5" s="17" t="s">
        <v>678</v>
      </c>
      <c r="F5" s="17" t="s">
        <v>170</v>
      </c>
      <c r="G5" s="18">
        <v>775</v>
      </c>
      <c r="H5" s="18">
        <v>25</v>
      </c>
      <c r="I5" s="18">
        <f t="shared" si="0"/>
        <v>750</v>
      </c>
      <c r="J5" s="17" t="s">
        <v>671</v>
      </c>
      <c r="K5" s="17" t="s">
        <v>32</v>
      </c>
      <c r="L5" s="17" t="s">
        <v>672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679</v>
      </c>
      <c r="D6" s="17" t="s">
        <v>680</v>
      </c>
      <c r="E6" s="17" t="s">
        <v>681</v>
      </c>
      <c r="F6" s="18">
        <v>7</v>
      </c>
      <c r="G6" s="18">
        <v>870</v>
      </c>
      <c r="H6" s="18">
        <v>30</v>
      </c>
      <c r="I6" s="18">
        <f t="shared" si="0"/>
        <v>840</v>
      </c>
      <c r="J6" s="17" t="s">
        <v>671</v>
      </c>
      <c r="K6" s="17" t="s">
        <v>32</v>
      </c>
      <c r="L6" s="17" t="s">
        <v>672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682</v>
      </c>
      <c r="D7" s="17" t="s">
        <v>683</v>
      </c>
      <c r="E7" s="17" t="s">
        <v>684</v>
      </c>
      <c r="F7" s="17" t="s">
        <v>170</v>
      </c>
      <c r="G7" s="18">
        <v>865</v>
      </c>
      <c r="H7" s="18">
        <v>25</v>
      </c>
      <c r="I7" s="18">
        <f t="shared" si="0"/>
        <v>840</v>
      </c>
      <c r="J7" s="17" t="s">
        <v>671</v>
      </c>
      <c r="K7" s="17" t="s">
        <v>32</v>
      </c>
      <c r="L7" s="17" t="s">
        <v>672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685</v>
      </c>
      <c r="D8" s="17" t="s">
        <v>686</v>
      </c>
      <c r="E8" s="17" t="s">
        <v>687</v>
      </c>
      <c r="F8" s="18">
        <v>8</v>
      </c>
      <c r="G8" s="18">
        <v>780</v>
      </c>
      <c r="H8" s="18">
        <v>30</v>
      </c>
      <c r="I8" s="18">
        <f t="shared" si="0"/>
        <v>750</v>
      </c>
      <c r="J8" s="17" t="s">
        <v>671</v>
      </c>
      <c r="K8" s="17" t="s">
        <v>32</v>
      </c>
      <c r="L8" s="17" t="s">
        <v>672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688</v>
      </c>
      <c r="D9" s="17" t="s">
        <v>689</v>
      </c>
      <c r="E9" s="17" t="s">
        <v>690</v>
      </c>
      <c r="F9" s="17" t="s">
        <v>51</v>
      </c>
      <c r="G9" s="18">
        <v>955</v>
      </c>
      <c r="H9" s="18">
        <v>35</v>
      </c>
      <c r="I9" s="18">
        <f t="shared" si="0"/>
        <v>920</v>
      </c>
      <c r="J9" s="17" t="s">
        <v>671</v>
      </c>
      <c r="K9" s="17" t="s">
        <v>32</v>
      </c>
      <c r="L9" s="17" t="s">
        <v>672</v>
      </c>
      <c r="M9" s="20" t="s">
        <v>386</v>
      </c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688</v>
      </c>
      <c r="D10" s="17" t="s">
        <v>689</v>
      </c>
      <c r="E10" s="17" t="s">
        <v>690</v>
      </c>
      <c r="F10" s="17" t="s">
        <v>51</v>
      </c>
      <c r="G10" s="18">
        <v>590</v>
      </c>
      <c r="H10" s="18">
        <v>0</v>
      </c>
      <c r="I10" s="18">
        <f t="shared" si="0"/>
        <v>590</v>
      </c>
      <c r="J10" s="17" t="s">
        <v>671</v>
      </c>
      <c r="K10" s="17" t="s">
        <v>32</v>
      </c>
      <c r="L10" s="17" t="s">
        <v>672</v>
      </c>
      <c r="M10" s="20" t="s">
        <v>386</v>
      </c>
      <c r="N10" s="17"/>
      <c r="O10" s="17"/>
      <c r="P10" s="17"/>
      <c r="Q10" s="17">
        <v>1</v>
      </c>
    </row>
    <row r="11" spans="1:18" s="23" customFormat="1" x14ac:dyDescent="0.25">
      <c r="A11" s="21"/>
      <c r="B11" s="21" t="s">
        <v>27</v>
      </c>
      <c r="C11" s="21" t="s">
        <v>486</v>
      </c>
      <c r="D11" s="21" t="s">
        <v>691</v>
      </c>
      <c r="E11" s="21" t="s">
        <v>488</v>
      </c>
      <c r="F11" s="21" t="s">
        <v>30</v>
      </c>
      <c r="G11" s="22">
        <v>0</v>
      </c>
      <c r="H11" s="22">
        <v>30</v>
      </c>
      <c r="I11" s="22">
        <f t="shared" si="0"/>
        <v>-30</v>
      </c>
      <c r="J11" s="21" t="s">
        <v>671</v>
      </c>
      <c r="K11" s="21" t="s">
        <v>32</v>
      </c>
      <c r="L11" s="21" t="s">
        <v>672</v>
      </c>
      <c r="M11" s="21" t="s">
        <v>153</v>
      </c>
      <c r="N11" s="21"/>
      <c r="O11" s="21"/>
      <c r="P11" s="21"/>
      <c r="Q11" s="21">
        <v>1</v>
      </c>
      <c r="R11" s="31">
        <f>H11</f>
        <v>30</v>
      </c>
    </row>
    <row r="12" spans="1:18" customFormat="1" x14ac:dyDescent="0.25">
      <c r="A12" s="17"/>
      <c r="B12" s="17" t="s">
        <v>27</v>
      </c>
      <c r="C12" s="17" t="s">
        <v>692</v>
      </c>
      <c r="D12" s="17" t="s">
        <v>693</v>
      </c>
      <c r="E12" s="17" t="s">
        <v>694</v>
      </c>
      <c r="F12" s="18">
        <v>8</v>
      </c>
      <c r="G12" s="18">
        <v>520</v>
      </c>
      <c r="H12" s="18">
        <v>30</v>
      </c>
      <c r="I12" s="18">
        <f t="shared" si="0"/>
        <v>490</v>
      </c>
      <c r="J12" s="17" t="s">
        <v>671</v>
      </c>
      <c r="K12" s="17" t="s">
        <v>32</v>
      </c>
      <c r="L12" s="17" t="s">
        <v>672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695</v>
      </c>
      <c r="D13" s="17" t="s">
        <v>696</v>
      </c>
      <c r="E13" s="17" t="s">
        <v>697</v>
      </c>
      <c r="F13" s="17" t="s">
        <v>30</v>
      </c>
      <c r="G13" s="18">
        <v>0</v>
      </c>
      <c r="H13" s="18">
        <v>30</v>
      </c>
      <c r="I13" s="18">
        <f t="shared" si="0"/>
        <v>-30</v>
      </c>
      <c r="J13" s="17" t="s">
        <v>671</v>
      </c>
      <c r="K13" s="17" t="s">
        <v>32</v>
      </c>
      <c r="L13" s="17" t="s">
        <v>672</v>
      </c>
      <c r="M13" s="17"/>
      <c r="N13" s="17"/>
      <c r="O13" s="17"/>
      <c r="P13" s="17"/>
      <c r="Q13" s="17">
        <v>1</v>
      </c>
      <c r="R13" s="19">
        <f>H13</f>
        <v>30</v>
      </c>
    </row>
    <row r="14" spans="1:18" customFormat="1" x14ac:dyDescent="0.25">
      <c r="A14" s="17"/>
      <c r="B14" s="17" t="s">
        <v>27</v>
      </c>
      <c r="C14" s="17" t="s">
        <v>698</v>
      </c>
      <c r="D14" s="17" t="s">
        <v>699</v>
      </c>
      <c r="E14" s="17" t="s">
        <v>700</v>
      </c>
      <c r="F14" s="17" t="s">
        <v>170</v>
      </c>
      <c r="G14" s="18">
        <v>1000</v>
      </c>
      <c r="H14" s="18">
        <v>25</v>
      </c>
      <c r="I14" s="18">
        <f t="shared" si="0"/>
        <v>975</v>
      </c>
      <c r="J14" s="17" t="s">
        <v>671</v>
      </c>
      <c r="K14" s="17" t="s">
        <v>32</v>
      </c>
      <c r="L14" s="17" t="s">
        <v>672</v>
      </c>
      <c r="M14" s="20" t="s">
        <v>58</v>
      </c>
      <c r="N14" s="17"/>
      <c r="O14" s="17"/>
      <c r="P14" s="17"/>
      <c r="Q14" s="17">
        <v>1</v>
      </c>
      <c r="R14" s="19">
        <f>H14</f>
        <v>25</v>
      </c>
    </row>
    <row r="15" spans="1:18" customFormat="1" x14ac:dyDescent="0.25">
      <c r="A15" s="17"/>
      <c r="B15" s="17" t="s">
        <v>27</v>
      </c>
      <c r="C15" s="17" t="s">
        <v>701</v>
      </c>
      <c r="D15" s="17" t="s">
        <v>702</v>
      </c>
      <c r="E15" s="17" t="s">
        <v>703</v>
      </c>
      <c r="F15" s="17" t="s">
        <v>30</v>
      </c>
      <c r="G15" s="18">
        <v>1020</v>
      </c>
      <c r="H15" s="18">
        <v>30</v>
      </c>
      <c r="I15" s="18">
        <f t="shared" si="0"/>
        <v>990</v>
      </c>
      <c r="J15" s="17" t="s">
        <v>671</v>
      </c>
      <c r="K15" s="17" t="s">
        <v>32</v>
      </c>
      <c r="L15" s="17" t="s">
        <v>672</v>
      </c>
      <c r="M15" s="17"/>
      <c r="N15" s="17"/>
      <c r="O15" s="17"/>
      <c r="P15" s="17"/>
      <c r="Q15" s="17">
        <v>1</v>
      </c>
    </row>
    <row r="16" spans="1:18" customFormat="1" x14ac:dyDescent="0.25">
      <c r="A16" s="17" t="s">
        <v>26</v>
      </c>
      <c r="B16" s="17" t="s">
        <v>27</v>
      </c>
      <c r="C16" s="17" t="s">
        <v>511</v>
      </c>
      <c r="D16" s="17"/>
      <c r="E16" s="17" t="s">
        <v>512</v>
      </c>
      <c r="F16" s="17" t="s">
        <v>30</v>
      </c>
      <c r="G16" s="18">
        <v>2380</v>
      </c>
      <c r="H16" s="18">
        <v>40</v>
      </c>
      <c r="I16" s="18">
        <f t="shared" si="0"/>
        <v>2340</v>
      </c>
      <c r="J16" s="17" t="s">
        <v>671</v>
      </c>
      <c r="K16" s="17" t="s">
        <v>32</v>
      </c>
      <c r="L16" s="17" t="s">
        <v>672</v>
      </c>
      <c r="M16" s="17"/>
      <c r="N16" s="17"/>
      <c r="O16" s="17"/>
      <c r="P16" s="17"/>
      <c r="Q16" s="17">
        <v>1</v>
      </c>
    </row>
    <row r="17" spans="1:18" customFormat="1" x14ac:dyDescent="0.25">
      <c r="A17" s="32"/>
      <c r="B17" s="32" t="s">
        <v>27</v>
      </c>
      <c r="C17" s="32" t="s">
        <v>52</v>
      </c>
      <c r="D17" s="32" t="s">
        <v>365</v>
      </c>
      <c r="E17" s="32" t="s">
        <v>704</v>
      </c>
      <c r="F17" s="33"/>
      <c r="G17" s="32">
        <v>980</v>
      </c>
      <c r="H17" s="32">
        <v>0</v>
      </c>
      <c r="I17" s="32">
        <f t="shared" si="0"/>
        <v>980</v>
      </c>
      <c r="J17" s="32" t="s">
        <v>671</v>
      </c>
      <c r="K17" s="32"/>
      <c r="L17" s="32" t="s">
        <v>672</v>
      </c>
      <c r="M17" s="32" t="s">
        <v>705</v>
      </c>
      <c r="N17" s="32"/>
      <c r="O17" s="32"/>
      <c r="P17" s="32"/>
      <c r="Q17" s="37">
        <v>1</v>
      </c>
    </row>
    <row r="18" spans="1:18" customFormat="1" x14ac:dyDescent="0.25">
      <c r="A18" s="17"/>
      <c r="B18" s="17" t="s">
        <v>27</v>
      </c>
      <c r="C18" s="17" t="s">
        <v>706</v>
      </c>
      <c r="D18" s="17" t="s">
        <v>707</v>
      </c>
      <c r="E18" s="17" t="s">
        <v>708</v>
      </c>
      <c r="F18" s="17" t="s">
        <v>98</v>
      </c>
      <c r="G18" s="18">
        <v>900</v>
      </c>
      <c r="H18" s="18">
        <v>20</v>
      </c>
      <c r="I18" s="18">
        <f t="shared" si="0"/>
        <v>880</v>
      </c>
      <c r="J18" s="17" t="s">
        <v>32</v>
      </c>
      <c r="K18" s="17" t="s">
        <v>32</v>
      </c>
      <c r="L18" s="17" t="s">
        <v>672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527</v>
      </c>
      <c r="D19" s="17" t="s">
        <v>709</v>
      </c>
      <c r="E19" s="17" t="s">
        <v>529</v>
      </c>
      <c r="F19" s="17" t="s">
        <v>71</v>
      </c>
      <c r="G19" s="18">
        <v>910</v>
      </c>
      <c r="H19" s="18">
        <v>30</v>
      </c>
      <c r="I19" s="18">
        <f t="shared" si="0"/>
        <v>880</v>
      </c>
      <c r="J19" s="17" t="s">
        <v>32</v>
      </c>
      <c r="K19" s="17" t="s">
        <v>32</v>
      </c>
      <c r="L19" s="17" t="s">
        <v>672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710</v>
      </c>
      <c r="D20" s="17" t="s">
        <v>711</v>
      </c>
      <c r="E20" s="17" t="s">
        <v>712</v>
      </c>
      <c r="F20" s="17" t="s">
        <v>77</v>
      </c>
      <c r="G20" s="18">
        <v>1015</v>
      </c>
      <c r="H20" s="18">
        <v>25</v>
      </c>
      <c r="I20" s="18">
        <f t="shared" si="0"/>
        <v>990</v>
      </c>
      <c r="J20" s="17" t="s">
        <v>32</v>
      </c>
      <c r="K20" s="17" t="s">
        <v>32</v>
      </c>
      <c r="L20" s="17" t="s">
        <v>672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713</v>
      </c>
      <c r="D21" s="17" t="s">
        <v>714</v>
      </c>
      <c r="E21" s="17" t="s">
        <v>715</v>
      </c>
      <c r="F21" s="17" t="s">
        <v>130</v>
      </c>
      <c r="G21" s="18">
        <v>1265</v>
      </c>
      <c r="H21" s="18">
        <v>25</v>
      </c>
      <c r="I21" s="18">
        <f t="shared" si="0"/>
        <v>1240</v>
      </c>
      <c r="J21" s="17" t="s">
        <v>32</v>
      </c>
      <c r="K21" s="17" t="s">
        <v>32</v>
      </c>
      <c r="L21" s="17" t="s">
        <v>672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716</v>
      </c>
      <c r="D22" s="17" t="s">
        <v>717</v>
      </c>
      <c r="E22" s="17" t="s">
        <v>718</v>
      </c>
      <c r="F22" s="18">
        <v>2</v>
      </c>
      <c r="G22" s="18">
        <v>1020</v>
      </c>
      <c r="H22" s="18">
        <v>30</v>
      </c>
      <c r="I22" s="18">
        <f t="shared" si="0"/>
        <v>990</v>
      </c>
      <c r="J22" s="17" t="s">
        <v>32</v>
      </c>
      <c r="K22" s="17" t="s">
        <v>32</v>
      </c>
      <c r="L22" s="17" t="s">
        <v>672</v>
      </c>
      <c r="M22" s="17"/>
      <c r="N22" s="17"/>
      <c r="O22" s="17"/>
      <c r="P22" s="17"/>
      <c r="Q22" s="17">
        <v>1</v>
      </c>
      <c r="R22" s="19">
        <f>H22</f>
        <v>30</v>
      </c>
    </row>
    <row r="23" spans="1:18" customFormat="1" x14ac:dyDescent="0.25">
      <c r="A23" s="17"/>
      <c r="B23" s="17" t="s">
        <v>27</v>
      </c>
      <c r="C23" s="17" t="s">
        <v>719</v>
      </c>
      <c r="D23" s="17" t="s">
        <v>720</v>
      </c>
      <c r="E23" s="17" t="s">
        <v>721</v>
      </c>
      <c r="F23" s="18">
        <v>9</v>
      </c>
      <c r="G23" s="18">
        <v>0</v>
      </c>
      <c r="H23" s="18">
        <v>30</v>
      </c>
      <c r="I23" s="18">
        <f t="shared" si="0"/>
        <v>-30</v>
      </c>
      <c r="J23" s="17" t="s">
        <v>32</v>
      </c>
      <c r="K23" s="17" t="s">
        <v>32</v>
      </c>
      <c r="L23" s="17" t="s">
        <v>672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722</v>
      </c>
      <c r="D24" s="17" t="s">
        <v>723</v>
      </c>
      <c r="E24" s="17" t="s">
        <v>724</v>
      </c>
      <c r="F24" s="17" t="s">
        <v>98</v>
      </c>
      <c r="G24" s="18">
        <v>860</v>
      </c>
      <c r="H24" s="18">
        <v>20</v>
      </c>
      <c r="I24" s="18">
        <f t="shared" si="0"/>
        <v>840</v>
      </c>
      <c r="J24" s="17" t="s">
        <v>32</v>
      </c>
      <c r="K24" s="17" t="s">
        <v>32</v>
      </c>
      <c r="L24" s="17" t="s">
        <v>672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725</v>
      </c>
      <c r="D25" s="17" t="s">
        <v>726</v>
      </c>
      <c r="E25" s="17" t="s">
        <v>727</v>
      </c>
      <c r="F25" s="17" t="s">
        <v>77</v>
      </c>
      <c r="G25" s="18">
        <v>25</v>
      </c>
      <c r="H25" s="18">
        <v>25</v>
      </c>
      <c r="I25" s="18">
        <f t="shared" si="0"/>
        <v>0</v>
      </c>
      <c r="J25" s="17" t="s">
        <v>32</v>
      </c>
      <c r="K25" s="17" t="s">
        <v>32</v>
      </c>
      <c r="L25" s="17" t="s">
        <v>672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728</v>
      </c>
      <c r="D26" s="17" t="s">
        <v>729</v>
      </c>
      <c r="E26" s="17" t="s">
        <v>730</v>
      </c>
      <c r="F26" s="17" t="s">
        <v>77</v>
      </c>
      <c r="G26" s="18">
        <v>1015</v>
      </c>
      <c r="H26" s="18">
        <v>25</v>
      </c>
      <c r="I26" s="18">
        <f t="shared" si="0"/>
        <v>990</v>
      </c>
      <c r="J26" s="17" t="s">
        <v>32</v>
      </c>
      <c r="K26" s="17" t="s">
        <v>32</v>
      </c>
      <c r="L26" s="17" t="s">
        <v>672</v>
      </c>
      <c r="M26" s="17"/>
      <c r="N26" s="17"/>
      <c r="O26" s="17"/>
      <c r="P26" s="17"/>
      <c r="Q26" s="17">
        <v>1</v>
      </c>
      <c r="R26" s="19">
        <f>H26</f>
        <v>25</v>
      </c>
    </row>
    <row r="27" spans="1:18" customFormat="1" x14ac:dyDescent="0.25">
      <c r="A27" s="17"/>
      <c r="B27" s="17" t="s">
        <v>27</v>
      </c>
      <c r="C27" s="17" t="s">
        <v>254</v>
      </c>
      <c r="D27" s="17" t="s">
        <v>731</v>
      </c>
      <c r="E27" s="17" t="s">
        <v>256</v>
      </c>
      <c r="F27" s="17" t="s">
        <v>77</v>
      </c>
      <c r="G27" s="18">
        <v>0</v>
      </c>
      <c r="H27" s="18">
        <v>25</v>
      </c>
      <c r="I27" s="18">
        <f t="shared" si="0"/>
        <v>-25</v>
      </c>
      <c r="J27" s="17" t="s">
        <v>32</v>
      </c>
      <c r="K27" s="17" t="s">
        <v>32</v>
      </c>
      <c r="L27" s="17" t="s">
        <v>672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732</v>
      </c>
      <c r="D28" s="17" t="s">
        <v>733</v>
      </c>
      <c r="E28" s="17" t="s">
        <v>734</v>
      </c>
      <c r="F28" s="17" t="s">
        <v>71</v>
      </c>
      <c r="G28" s="18">
        <v>870</v>
      </c>
      <c r="H28" s="18">
        <v>30</v>
      </c>
      <c r="I28" s="18">
        <f t="shared" si="0"/>
        <v>840</v>
      </c>
      <c r="J28" s="17" t="s">
        <v>32</v>
      </c>
      <c r="K28" s="17" t="s">
        <v>32</v>
      </c>
      <c r="L28" s="17" t="s">
        <v>672</v>
      </c>
      <c r="M28" s="17"/>
      <c r="N28" s="17"/>
      <c r="O28" s="17"/>
      <c r="P28" s="17"/>
      <c r="Q28" s="17">
        <v>1</v>
      </c>
      <c r="R28" s="19">
        <f t="shared" ref="R28:R29" si="1">H28</f>
        <v>30</v>
      </c>
    </row>
    <row r="29" spans="1:18" customFormat="1" x14ac:dyDescent="0.25">
      <c r="A29" s="17" t="s">
        <v>26</v>
      </c>
      <c r="B29" s="17" t="s">
        <v>27</v>
      </c>
      <c r="C29" s="17" t="s">
        <v>179</v>
      </c>
      <c r="D29" s="17"/>
      <c r="E29" s="17" t="s">
        <v>180</v>
      </c>
      <c r="F29" s="17" t="s">
        <v>130</v>
      </c>
      <c r="G29" s="18">
        <v>0</v>
      </c>
      <c r="H29" s="18">
        <v>30</v>
      </c>
      <c r="I29" s="18">
        <f t="shared" si="0"/>
        <v>-30</v>
      </c>
      <c r="J29" s="17" t="s">
        <v>32</v>
      </c>
      <c r="K29" s="17" t="s">
        <v>32</v>
      </c>
      <c r="L29" s="17" t="s">
        <v>672</v>
      </c>
      <c r="M29" s="17"/>
      <c r="N29" s="17"/>
      <c r="O29" s="17"/>
      <c r="P29" s="17"/>
      <c r="Q29" s="17">
        <v>1</v>
      </c>
      <c r="R29" s="19">
        <f t="shared" si="1"/>
        <v>30</v>
      </c>
    </row>
    <row r="30" spans="1:18" customFormat="1" x14ac:dyDescent="0.25">
      <c r="A30" s="17" t="s">
        <v>26</v>
      </c>
      <c r="B30" s="17" t="s">
        <v>27</v>
      </c>
      <c r="C30" s="17" t="s">
        <v>293</v>
      </c>
      <c r="D30" s="17"/>
      <c r="E30" s="17" t="s">
        <v>294</v>
      </c>
      <c r="F30" s="17" t="s">
        <v>77</v>
      </c>
      <c r="G30" s="18">
        <v>0</v>
      </c>
      <c r="H30" s="18">
        <v>30</v>
      </c>
      <c r="I30" s="18">
        <f t="shared" si="0"/>
        <v>-30</v>
      </c>
      <c r="J30" s="17" t="s">
        <v>32</v>
      </c>
      <c r="K30" s="17" t="s">
        <v>32</v>
      </c>
      <c r="L30" s="17" t="s">
        <v>672</v>
      </c>
      <c r="M30" s="17"/>
      <c r="N30" s="17"/>
      <c r="O30" s="17"/>
      <c r="P30" s="17"/>
      <c r="Q30" s="17">
        <v>1</v>
      </c>
    </row>
    <row r="31" spans="1:18" customFormat="1" x14ac:dyDescent="0.25">
      <c r="A31" s="17" t="s">
        <v>26</v>
      </c>
      <c r="B31" s="17" t="s">
        <v>27</v>
      </c>
      <c r="C31" s="17" t="s">
        <v>735</v>
      </c>
      <c r="D31" s="17"/>
      <c r="E31" s="17" t="s">
        <v>736</v>
      </c>
      <c r="F31" s="18">
        <v>9</v>
      </c>
      <c r="G31" s="18">
        <v>925</v>
      </c>
      <c r="H31" s="18">
        <v>35</v>
      </c>
      <c r="I31" s="18">
        <f t="shared" si="0"/>
        <v>890</v>
      </c>
      <c r="J31" s="17" t="s">
        <v>32</v>
      </c>
      <c r="K31" s="17" t="s">
        <v>32</v>
      </c>
      <c r="L31" s="17" t="s">
        <v>672</v>
      </c>
      <c r="M31" s="17"/>
      <c r="N31" s="17"/>
      <c r="O31" s="17"/>
      <c r="P31" s="17"/>
      <c r="Q31" s="17">
        <v>1</v>
      </c>
    </row>
    <row r="32" spans="1:18" customFormat="1" x14ac:dyDescent="0.25">
      <c r="A32" s="17" t="s">
        <v>26</v>
      </c>
      <c r="B32" s="17" t="s">
        <v>27</v>
      </c>
      <c r="C32" s="17" t="s">
        <v>737</v>
      </c>
      <c r="D32" s="17"/>
      <c r="E32" s="17" t="s">
        <v>738</v>
      </c>
      <c r="F32" s="17" t="s">
        <v>130</v>
      </c>
      <c r="G32" s="18">
        <v>30</v>
      </c>
      <c r="H32" s="18">
        <v>30</v>
      </c>
      <c r="I32" s="18">
        <f t="shared" si="0"/>
        <v>0</v>
      </c>
      <c r="J32" s="17" t="s">
        <v>32</v>
      </c>
      <c r="K32" s="17" t="s">
        <v>32</v>
      </c>
      <c r="L32" s="17" t="s">
        <v>672</v>
      </c>
      <c r="M32" s="17"/>
      <c r="N32" s="17"/>
      <c r="O32" s="17"/>
      <c r="P32" s="17"/>
      <c r="Q32" s="17">
        <v>1</v>
      </c>
      <c r="R32" s="19">
        <f>H32</f>
        <v>30</v>
      </c>
    </row>
    <row r="33" spans="1:18" customFormat="1" x14ac:dyDescent="0.25">
      <c r="A33" s="17" t="s">
        <v>26</v>
      </c>
      <c r="B33" s="17" t="s">
        <v>27</v>
      </c>
      <c r="C33" s="17" t="s">
        <v>739</v>
      </c>
      <c r="D33" s="17"/>
      <c r="E33" s="17" t="s">
        <v>740</v>
      </c>
      <c r="F33" s="18">
        <v>12</v>
      </c>
      <c r="G33" s="18">
        <v>0</v>
      </c>
      <c r="H33" s="18">
        <v>35</v>
      </c>
      <c r="I33" s="18">
        <f t="shared" si="0"/>
        <v>-35</v>
      </c>
      <c r="J33" s="17" t="s">
        <v>32</v>
      </c>
      <c r="K33" s="17" t="s">
        <v>32</v>
      </c>
      <c r="L33" s="17" t="s">
        <v>672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741</v>
      </c>
      <c r="D34" s="17" t="s">
        <v>742</v>
      </c>
      <c r="E34" s="17" t="s">
        <v>743</v>
      </c>
      <c r="F34" s="18">
        <v>1</v>
      </c>
      <c r="G34" s="18">
        <v>855</v>
      </c>
      <c r="H34" s="18">
        <v>25</v>
      </c>
      <c r="I34" s="18">
        <f t="shared" si="0"/>
        <v>830</v>
      </c>
      <c r="J34" s="17" t="s">
        <v>140</v>
      </c>
      <c r="K34" s="17" t="s">
        <v>32</v>
      </c>
      <c r="L34" s="17" t="s">
        <v>672</v>
      </c>
      <c r="M34" s="17"/>
      <c r="N34" s="17"/>
      <c r="O34" s="17"/>
      <c r="P34" s="17"/>
      <c r="Q34" s="17">
        <v>1</v>
      </c>
      <c r="R34" s="19">
        <f>H34</f>
        <v>25</v>
      </c>
    </row>
    <row r="35" spans="1:18" customFormat="1" x14ac:dyDescent="0.25">
      <c r="A35" s="17"/>
      <c r="B35" s="17" t="s">
        <v>27</v>
      </c>
      <c r="C35" s="17" t="s">
        <v>744</v>
      </c>
      <c r="D35" s="17" t="s">
        <v>745</v>
      </c>
      <c r="E35" s="17" t="s">
        <v>746</v>
      </c>
      <c r="F35" s="18">
        <v>1</v>
      </c>
      <c r="G35" s="18">
        <v>0</v>
      </c>
      <c r="H35" s="18">
        <v>25</v>
      </c>
      <c r="I35" s="18">
        <f t="shared" si="0"/>
        <v>-25</v>
      </c>
      <c r="J35" s="17" t="s">
        <v>140</v>
      </c>
      <c r="K35" s="17" t="s">
        <v>32</v>
      </c>
      <c r="L35" s="17" t="s">
        <v>672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747</v>
      </c>
      <c r="D36" s="17" t="s">
        <v>748</v>
      </c>
      <c r="E36" s="17" t="s">
        <v>749</v>
      </c>
      <c r="F36" s="17" t="s">
        <v>130</v>
      </c>
      <c r="G36" s="18">
        <v>815</v>
      </c>
      <c r="H36" s="18">
        <v>25</v>
      </c>
      <c r="I36" s="18">
        <f t="shared" si="0"/>
        <v>790</v>
      </c>
      <c r="J36" s="17" t="s">
        <v>140</v>
      </c>
      <c r="K36" s="17" t="s">
        <v>32</v>
      </c>
      <c r="L36" s="17" t="s">
        <v>672</v>
      </c>
      <c r="M36" s="17"/>
      <c r="N36" s="17"/>
      <c r="O36" s="17"/>
      <c r="P36" s="17"/>
      <c r="Q36" s="17">
        <v>1</v>
      </c>
      <c r="R36" s="19">
        <f>H36</f>
        <v>25</v>
      </c>
    </row>
    <row r="37" spans="1:18" customFormat="1" x14ac:dyDescent="0.25">
      <c r="A37" s="17"/>
      <c r="B37" s="17" t="s">
        <v>27</v>
      </c>
      <c r="C37" s="17" t="s">
        <v>750</v>
      </c>
      <c r="D37" s="17" t="s">
        <v>751</v>
      </c>
      <c r="E37" s="17" t="s">
        <v>752</v>
      </c>
      <c r="F37" s="18">
        <v>10</v>
      </c>
      <c r="G37" s="18">
        <v>0</v>
      </c>
      <c r="H37" s="18">
        <v>25</v>
      </c>
      <c r="I37" s="18">
        <f t="shared" si="0"/>
        <v>-25</v>
      </c>
      <c r="J37" s="17" t="s">
        <v>140</v>
      </c>
      <c r="K37" s="17" t="s">
        <v>32</v>
      </c>
      <c r="L37" s="17" t="s">
        <v>672</v>
      </c>
      <c r="M37" s="20" t="s">
        <v>753</v>
      </c>
      <c r="N37" s="17"/>
      <c r="O37" s="17"/>
      <c r="P37" s="17"/>
      <c r="Q37" s="17">
        <v>1</v>
      </c>
      <c r="R37" s="19">
        <f>H37</f>
        <v>25</v>
      </c>
    </row>
    <row r="38" spans="1:18" customFormat="1" x14ac:dyDescent="0.25">
      <c r="A38" s="17"/>
      <c r="B38" s="17" t="s">
        <v>27</v>
      </c>
      <c r="C38" s="17" t="s">
        <v>754</v>
      </c>
      <c r="D38" s="17" t="s">
        <v>755</v>
      </c>
      <c r="E38" s="17" t="s">
        <v>756</v>
      </c>
      <c r="F38" s="18">
        <v>3</v>
      </c>
      <c r="G38" s="18">
        <v>865</v>
      </c>
      <c r="H38" s="18">
        <v>25</v>
      </c>
      <c r="I38" s="18">
        <f t="shared" si="0"/>
        <v>840</v>
      </c>
      <c r="J38" s="17" t="s">
        <v>140</v>
      </c>
      <c r="K38" s="17" t="s">
        <v>32</v>
      </c>
      <c r="L38" s="17" t="s">
        <v>672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757</v>
      </c>
      <c r="D39" s="17" t="s">
        <v>758</v>
      </c>
      <c r="E39" s="17" t="s">
        <v>759</v>
      </c>
      <c r="F39" s="17" t="s">
        <v>130</v>
      </c>
      <c r="G39" s="18">
        <v>945</v>
      </c>
      <c r="H39" s="18">
        <v>25</v>
      </c>
      <c r="I39" s="18">
        <f t="shared" si="0"/>
        <v>920</v>
      </c>
      <c r="J39" s="17" t="s">
        <v>140</v>
      </c>
      <c r="K39" s="17" t="s">
        <v>32</v>
      </c>
      <c r="L39" s="17" t="s">
        <v>672</v>
      </c>
      <c r="M39" s="17"/>
      <c r="N39" s="17"/>
      <c r="O39" s="17"/>
      <c r="P39" s="17"/>
      <c r="Q39" s="17">
        <v>1</v>
      </c>
      <c r="R39" s="19">
        <f t="shared" ref="R39:R40" si="2">H39</f>
        <v>25</v>
      </c>
    </row>
    <row r="40" spans="1:18" customFormat="1" x14ac:dyDescent="0.25">
      <c r="A40" s="17"/>
      <c r="B40" s="17" t="s">
        <v>27</v>
      </c>
      <c r="C40" s="17" t="s">
        <v>760</v>
      </c>
      <c r="D40" s="17" t="s">
        <v>761</v>
      </c>
      <c r="E40" s="17" t="s">
        <v>762</v>
      </c>
      <c r="F40" s="17" t="s">
        <v>130</v>
      </c>
      <c r="G40" s="18">
        <v>0</v>
      </c>
      <c r="H40" s="18">
        <v>25</v>
      </c>
      <c r="I40" s="18">
        <f t="shared" si="0"/>
        <v>-25</v>
      </c>
      <c r="J40" s="17" t="s">
        <v>140</v>
      </c>
      <c r="K40" s="17" t="s">
        <v>32</v>
      </c>
      <c r="L40" s="17" t="s">
        <v>672</v>
      </c>
      <c r="M40" s="17"/>
      <c r="N40" s="17"/>
      <c r="O40" s="17"/>
      <c r="P40" s="17"/>
      <c r="Q40" s="17">
        <v>1</v>
      </c>
      <c r="R40" s="19">
        <f t="shared" si="2"/>
        <v>25</v>
      </c>
    </row>
    <row r="41" spans="1:18" customFormat="1" x14ac:dyDescent="0.25">
      <c r="A41" s="17"/>
      <c r="B41" s="17" t="s">
        <v>27</v>
      </c>
      <c r="C41" s="17" t="s">
        <v>763</v>
      </c>
      <c r="D41" s="17" t="s">
        <v>764</v>
      </c>
      <c r="E41" s="17" t="s">
        <v>765</v>
      </c>
      <c r="F41" s="18">
        <v>5</v>
      </c>
      <c r="G41" s="18">
        <v>0</v>
      </c>
      <c r="H41" s="18">
        <v>25</v>
      </c>
      <c r="I41" s="18">
        <f t="shared" si="0"/>
        <v>-25</v>
      </c>
      <c r="J41" s="17" t="s">
        <v>140</v>
      </c>
      <c r="K41" s="17" t="s">
        <v>32</v>
      </c>
      <c r="L41" s="17" t="s">
        <v>672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766</v>
      </c>
      <c r="D42" s="17" t="s">
        <v>767</v>
      </c>
      <c r="E42" s="17" t="s">
        <v>768</v>
      </c>
      <c r="F42" s="17" t="s">
        <v>130</v>
      </c>
      <c r="G42" s="18">
        <v>915</v>
      </c>
      <c r="H42" s="18">
        <v>25</v>
      </c>
      <c r="I42" s="18">
        <f t="shared" si="0"/>
        <v>890</v>
      </c>
      <c r="J42" s="17" t="s">
        <v>140</v>
      </c>
      <c r="K42" s="17" t="s">
        <v>32</v>
      </c>
      <c r="L42" s="17" t="s">
        <v>672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769</v>
      </c>
      <c r="D43" s="17" t="s">
        <v>770</v>
      </c>
      <c r="E43" s="17" t="s">
        <v>771</v>
      </c>
      <c r="F43" s="18">
        <v>5</v>
      </c>
      <c r="G43" s="18">
        <v>1345</v>
      </c>
      <c r="H43" s="18">
        <v>25</v>
      </c>
      <c r="I43" s="18">
        <f t="shared" si="0"/>
        <v>1320</v>
      </c>
      <c r="J43" s="17" t="s">
        <v>140</v>
      </c>
      <c r="K43" s="17" t="s">
        <v>32</v>
      </c>
      <c r="L43" s="17" t="s">
        <v>672</v>
      </c>
      <c r="M43" s="17"/>
      <c r="N43" s="17"/>
      <c r="O43" s="17"/>
      <c r="P43" s="17"/>
      <c r="Q43" s="17">
        <v>1</v>
      </c>
      <c r="R43" s="19">
        <f>H43</f>
        <v>25</v>
      </c>
    </row>
    <row r="44" spans="1:18" s="30" customFormat="1" x14ac:dyDescent="0.25">
      <c r="A44" s="17"/>
      <c r="B44" s="17" t="s">
        <v>27</v>
      </c>
      <c r="C44" s="17" t="s">
        <v>772</v>
      </c>
      <c r="D44" s="17" t="s">
        <v>773</v>
      </c>
      <c r="E44" s="17" t="s">
        <v>774</v>
      </c>
      <c r="F44" s="18">
        <v>1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672</v>
      </c>
      <c r="M44" s="17"/>
      <c r="N44" s="17"/>
      <c r="O44" s="17"/>
      <c r="P44" s="17"/>
      <c r="Q44" s="36">
        <v>1</v>
      </c>
    </row>
    <row r="45" spans="1:18" s="42" customFormat="1" x14ac:dyDescent="0.25">
      <c r="A45" s="38"/>
      <c r="B45" s="38" t="s">
        <v>27</v>
      </c>
      <c r="C45" s="38" t="s">
        <v>775</v>
      </c>
      <c r="D45" s="38" t="s">
        <v>776</v>
      </c>
      <c r="E45" s="38" t="s">
        <v>777</v>
      </c>
      <c r="F45" s="39">
        <v>1</v>
      </c>
      <c r="G45" s="39">
        <v>0</v>
      </c>
      <c r="H45" s="39">
        <v>40</v>
      </c>
      <c r="I45" s="39">
        <f t="shared" si="0"/>
        <v>-40</v>
      </c>
      <c r="J45" s="38"/>
      <c r="K45" s="38" t="s">
        <v>32</v>
      </c>
      <c r="L45" s="38" t="s">
        <v>672</v>
      </c>
      <c r="M45" s="43" t="s">
        <v>781</v>
      </c>
      <c r="N45" s="38"/>
      <c r="O45" s="38"/>
      <c r="P45" s="38"/>
      <c r="Q45" s="40">
        <v>1</v>
      </c>
      <c r="R45" s="41">
        <f>H45</f>
        <v>40</v>
      </c>
    </row>
    <row r="47" spans="1:18" x14ac:dyDescent="0.25">
      <c r="G47" s="1">
        <f t="shared" ref="G47:R47" si="3">SUBTOTAL(9,G3:G46)</f>
        <v>27280</v>
      </c>
      <c r="H47" s="1">
        <f t="shared" si="3"/>
        <v>1150</v>
      </c>
      <c r="I47" s="1">
        <f t="shared" si="3"/>
        <v>26130</v>
      </c>
      <c r="J47" s="1">
        <f t="shared" si="3"/>
        <v>0</v>
      </c>
      <c r="K47" s="1">
        <f t="shared" si="3"/>
        <v>0</v>
      </c>
      <c r="L47" s="1">
        <f t="shared" si="3"/>
        <v>0</v>
      </c>
      <c r="M47" s="1">
        <f t="shared" si="3"/>
        <v>0</v>
      </c>
      <c r="N47" s="1">
        <f t="shared" si="3"/>
        <v>0</v>
      </c>
      <c r="O47" s="1">
        <f t="shared" si="3"/>
        <v>0</v>
      </c>
      <c r="P47" s="1">
        <f t="shared" si="3"/>
        <v>0</v>
      </c>
      <c r="Q47" s="1">
        <f t="shared" si="3"/>
        <v>43</v>
      </c>
      <c r="R47" s="1">
        <f t="shared" si="3"/>
        <v>420</v>
      </c>
    </row>
    <row r="48" spans="1:18" x14ac:dyDescent="0.25">
      <c r="I48" s="26">
        <f>-H64</f>
        <v>-1680</v>
      </c>
      <c r="J48" s="1" t="s">
        <v>780</v>
      </c>
    </row>
    <row r="49" spans="1:12" x14ac:dyDescent="0.25">
      <c r="I49" s="1">
        <v>-815</v>
      </c>
      <c r="J49" s="1" t="s">
        <v>191</v>
      </c>
    </row>
    <row r="51" spans="1:12" ht="20.25" customHeight="1" x14ac:dyDescent="0.3">
      <c r="H51" s="4" t="s">
        <v>437</v>
      </c>
      <c r="I51" s="5" t="s">
        <v>15</v>
      </c>
      <c r="J51" s="6" t="s">
        <v>16</v>
      </c>
    </row>
    <row r="52" spans="1:12" ht="15.75" customHeight="1" x14ac:dyDescent="0.25">
      <c r="H52" s="7" t="s">
        <v>17</v>
      </c>
      <c r="I52" s="8">
        <f>SUM(I46:I50)</f>
        <v>23635</v>
      </c>
      <c r="J52" s="8">
        <f>Q47</f>
        <v>43</v>
      </c>
    </row>
    <row r="53" spans="1:12" x14ac:dyDescent="0.25">
      <c r="H53" s="9" t="s">
        <v>18</v>
      </c>
      <c r="I53" s="10">
        <f>R47</f>
        <v>420</v>
      </c>
      <c r="J53" s="11"/>
    </row>
    <row r="54" spans="1:12" x14ac:dyDescent="0.25">
      <c r="H54" s="9" t="s">
        <v>19</v>
      </c>
      <c r="I54" s="10">
        <f>S46</f>
        <v>0</v>
      </c>
      <c r="J54" s="11"/>
    </row>
    <row r="55" spans="1:12" x14ac:dyDescent="0.25">
      <c r="H55" s="9" t="s">
        <v>20</v>
      </c>
      <c r="I55" s="10">
        <f>T46</f>
        <v>0</v>
      </c>
      <c r="J55" s="11"/>
    </row>
    <row r="56" spans="1:12" x14ac:dyDescent="0.25">
      <c r="H56" s="9" t="s">
        <v>21</v>
      </c>
      <c r="I56" s="10">
        <f>U46</f>
        <v>0</v>
      </c>
      <c r="J56" s="11"/>
    </row>
    <row r="57" spans="1:12" ht="15.75" customHeight="1" x14ac:dyDescent="0.25">
      <c r="H57" s="12" t="s">
        <v>22</v>
      </c>
      <c r="I57" s="13"/>
      <c r="J57" s="13"/>
    </row>
    <row r="58" spans="1:12" ht="15.75" customHeight="1" x14ac:dyDescent="0.25">
      <c r="H58" s="14" t="s">
        <v>23</v>
      </c>
      <c r="I58" s="13"/>
      <c r="J58" s="13"/>
    </row>
    <row r="59" spans="1:12" ht="21" customHeight="1" x14ac:dyDescent="0.35">
      <c r="H59" s="15" t="s">
        <v>24</v>
      </c>
      <c r="I59" s="16">
        <f>SUM(I52:I58)</f>
        <v>24055</v>
      </c>
      <c r="J59" s="16">
        <f>SUM(J52:J56)</f>
        <v>43</v>
      </c>
    </row>
    <row r="61" spans="1:12" x14ac:dyDescent="0.25">
      <c r="A61" s="1" t="s">
        <v>184</v>
      </c>
    </row>
    <row r="62" spans="1:12" x14ac:dyDescent="0.25">
      <c r="A62" s="24" t="s">
        <v>27</v>
      </c>
      <c r="B62" s="24" t="s">
        <v>775</v>
      </c>
      <c r="C62" s="24" t="s">
        <v>776</v>
      </c>
      <c r="D62" s="24" t="s">
        <v>777</v>
      </c>
      <c r="E62" s="25">
        <v>1</v>
      </c>
      <c r="F62" s="25">
        <v>0</v>
      </c>
      <c r="G62" s="25">
        <v>0</v>
      </c>
      <c r="H62" s="25">
        <f>F62-G62</f>
        <v>0</v>
      </c>
      <c r="I62" s="24" t="s">
        <v>188</v>
      </c>
      <c r="J62" s="24" t="s">
        <v>32</v>
      </c>
      <c r="K62" s="24" t="s">
        <v>672</v>
      </c>
      <c r="L62" s="24" t="s">
        <v>778</v>
      </c>
    </row>
    <row r="63" spans="1:12" x14ac:dyDescent="0.25">
      <c r="A63" s="24" t="s">
        <v>27</v>
      </c>
      <c r="B63" s="24" t="s">
        <v>630</v>
      </c>
      <c r="C63" s="24" t="s">
        <v>631</v>
      </c>
      <c r="D63" s="24" t="s">
        <v>632</v>
      </c>
      <c r="E63" s="25">
        <v>3</v>
      </c>
      <c r="F63" s="25">
        <v>1705</v>
      </c>
      <c r="G63" s="25">
        <v>25</v>
      </c>
      <c r="H63" s="25">
        <f>F63-G63</f>
        <v>1680</v>
      </c>
      <c r="I63" s="24" t="s">
        <v>188</v>
      </c>
      <c r="J63" s="24" t="s">
        <v>32</v>
      </c>
      <c r="K63" s="24" t="s">
        <v>442</v>
      </c>
      <c r="L63" s="24" t="s">
        <v>184</v>
      </c>
    </row>
    <row r="64" spans="1:12" x14ac:dyDescent="0.25">
      <c r="H64" s="26">
        <f>SUM(H62:H63)</f>
        <v>1680</v>
      </c>
    </row>
    <row r="65" spans="1:12" x14ac:dyDescent="0.25">
      <c r="A65" s="1" t="s">
        <v>191</v>
      </c>
    </row>
    <row r="66" spans="1:12" x14ac:dyDescent="0.25">
      <c r="A66" s="27" t="s">
        <v>27</v>
      </c>
      <c r="B66" s="27" t="s">
        <v>633</v>
      </c>
      <c r="C66" s="27" t="s">
        <v>634</v>
      </c>
      <c r="D66" s="27" t="s">
        <v>635</v>
      </c>
      <c r="E66" s="27">
        <v>4</v>
      </c>
      <c r="F66" s="27">
        <v>815</v>
      </c>
      <c r="G66" s="27">
        <v>0</v>
      </c>
      <c r="H66" s="27">
        <f>F66-G66</f>
        <v>815</v>
      </c>
      <c r="I66" s="24" t="s">
        <v>188</v>
      </c>
      <c r="J66" s="27" t="s">
        <v>32</v>
      </c>
      <c r="K66" s="27" t="s">
        <v>442</v>
      </c>
      <c r="L66" s="20" t="s">
        <v>782</v>
      </c>
    </row>
    <row r="67" spans="1:12" x14ac:dyDescent="0.25">
      <c r="A67" s="1" t="s">
        <v>779</v>
      </c>
    </row>
    <row r="68" spans="1:12" x14ac:dyDescent="0.25">
      <c r="A68" s="34" t="s">
        <v>27</v>
      </c>
      <c r="B68" s="34" t="s">
        <v>750</v>
      </c>
      <c r="C68" s="34" t="s">
        <v>751</v>
      </c>
      <c r="D68" s="34" t="s">
        <v>752</v>
      </c>
      <c r="E68" s="35">
        <v>10</v>
      </c>
      <c r="F68" s="35">
        <v>885</v>
      </c>
      <c r="G68" s="35">
        <v>0</v>
      </c>
      <c r="H68" s="35">
        <f>F68-G68</f>
        <v>885</v>
      </c>
      <c r="I68" s="34" t="s">
        <v>140</v>
      </c>
      <c r="J68" s="34" t="s">
        <v>32</v>
      </c>
      <c r="K68" s="34" t="s">
        <v>672</v>
      </c>
      <c r="L68" s="20" t="s">
        <v>753</v>
      </c>
    </row>
  </sheetData>
  <autoFilter ref="A2:P45" xr:uid="{00000000-0009-0000-0000-000006000000}">
    <sortState xmlns:xlrd2="http://schemas.microsoft.com/office/spreadsheetml/2017/richdata2" ref="A3:P45">
      <sortCondition ref="J2:J45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1-10</vt:lpstr>
      <vt:lpstr>2-10</vt:lpstr>
      <vt:lpstr>3-10</vt:lpstr>
      <vt:lpstr>5-10</vt:lpstr>
      <vt:lpstr>6-10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2026-10-07T05:13:00Z</dcterms:modified>
</cp:coreProperties>
</file>