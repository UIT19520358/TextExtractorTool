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1820BBAE-AC5C-4815-B153-3404A5F0981C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1-10" sheetId="4" r:id="rId1"/>
    <sheet name="2-10" sheetId="5" r:id="rId2"/>
    <sheet name="3-10" sheetId="6" r:id="rId3"/>
    <sheet name="5-10" sheetId="7" r:id="rId4"/>
    <sheet name="6-10" sheetId="8" r:id="rId5"/>
    <sheet name="7-10" sheetId="9" r:id="rId6"/>
    <sheet name="8-10" sheetId="10" r:id="rId7"/>
    <sheet name="9-10" sheetId="11" r:id="rId8"/>
    <sheet name="10-10" sheetId="12" r:id="rId9"/>
    <sheet name="12-10" sheetId="13" r:id="rId10"/>
    <sheet name="13-10" sheetId="14" r:id="rId11"/>
    <sheet name="14-10" sheetId="15" r:id="rId12"/>
    <sheet name="15-10" sheetId="16" r:id="rId13"/>
  </sheets>
  <definedNames>
    <definedName name="_xlnm._FilterDatabase" localSheetId="8" hidden="1">'10-10'!$A$2:$P$32</definedName>
    <definedName name="_xlnm._FilterDatabase" localSheetId="0" hidden="1">'1-10'!$A$2:$P$51</definedName>
    <definedName name="_xlnm._FilterDatabase" localSheetId="9" hidden="1">'12-10'!$A$2:$P$55</definedName>
    <definedName name="_xlnm._FilterDatabase" localSheetId="10" hidden="1">'13-10'!$A$2:$P$49</definedName>
    <definedName name="_xlnm._FilterDatabase" localSheetId="11" hidden="1">'14-10'!$A$2:$P$58</definedName>
    <definedName name="_xlnm._FilterDatabase" localSheetId="12" hidden="1">'15-10'!$A$2:$P$43</definedName>
    <definedName name="_xlnm._FilterDatabase" localSheetId="1" hidden="1">'2-10'!$A$2:$P$49</definedName>
    <definedName name="_xlnm._FilterDatabase" localSheetId="2" hidden="1">'3-10'!$A$2:$P$33</definedName>
    <definedName name="_xlnm._FilterDatabase" localSheetId="3" hidden="1">'5-10'!$A$2:$P$84</definedName>
    <definedName name="_xlnm._FilterDatabase" localSheetId="4" hidden="1">'6-10'!$A$2:$P$44</definedName>
    <definedName name="_xlnm._FilterDatabase" localSheetId="5" hidden="1">'7-10'!$A$2:$P$39</definedName>
    <definedName name="_xlnm._FilterDatabase" localSheetId="6" hidden="1">'8-10'!$A$2:$P$26</definedName>
    <definedName name="_xlnm._FilterDatabase" localSheetId="7" hidden="1">'9-10'!$A$2:$P$39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6" l="1"/>
  <c r="I43" i="16"/>
  <c r="R42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R28" i="16"/>
  <c r="I28" i="16"/>
  <c r="R27" i="16"/>
  <c r="I27" i="16"/>
  <c r="I26" i="16"/>
  <c r="R25" i="16"/>
  <c r="I25" i="16"/>
  <c r="I24" i="16"/>
  <c r="R23" i="16"/>
  <c r="I23" i="16"/>
  <c r="I22" i="16"/>
  <c r="I21" i="16"/>
  <c r="I20" i="16"/>
  <c r="R19" i="16"/>
  <c r="I19" i="16"/>
  <c r="I18" i="16"/>
  <c r="R17" i="16"/>
  <c r="I17" i="16"/>
  <c r="I16" i="16"/>
  <c r="I15" i="16"/>
  <c r="R14" i="16"/>
  <c r="I14" i="16"/>
  <c r="R13" i="16"/>
  <c r="I13" i="16"/>
  <c r="I12" i="16"/>
  <c r="R11" i="16"/>
  <c r="I11" i="16"/>
  <c r="R10" i="16"/>
  <c r="I10" i="16"/>
  <c r="R9" i="16"/>
  <c r="I9" i="16"/>
  <c r="I8" i="16"/>
  <c r="I7" i="16"/>
  <c r="R6" i="16"/>
  <c r="I6" i="16"/>
  <c r="I5" i="16"/>
  <c r="R4" i="16"/>
  <c r="I4" i="16"/>
  <c r="I3" i="16"/>
  <c r="I54" i="16"/>
  <c r="I53" i="16"/>
  <c r="I52" i="16"/>
  <c r="Q45" i="16"/>
  <c r="J50" i="16" s="1"/>
  <c r="J57" i="16" s="1"/>
  <c r="P45" i="16"/>
  <c r="O45" i="16"/>
  <c r="N45" i="16"/>
  <c r="M45" i="16"/>
  <c r="L45" i="16"/>
  <c r="K45" i="16"/>
  <c r="J45" i="16"/>
  <c r="H45" i="16"/>
  <c r="G45" i="16"/>
  <c r="H78" i="15"/>
  <c r="H77" i="15"/>
  <c r="H76" i="15"/>
  <c r="H75" i="15"/>
  <c r="H81" i="15"/>
  <c r="H82" i="15"/>
  <c r="I58" i="15"/>
  <c r="I57" i="15"/>
  <c r="R56" i="15"/>
  <c r="I56" i="15"/>
  <c r="R55" i="15"/>
  <c r="I55" i="15"/>
  <c r="I54" i="15"/>
  <c r="I53" i="15"/>
  <c r="I52" i="15"/>
  <c r="R51" i="15"/>
  <c r="I51" i="15"/>
  <c r="I50" i="15"/>
  <c r="I49" i="15"/>
  <c r="R48" i="15"/>
  <c r="I48" i="15"/>
  <c r="I47" i="15"/>
  <c r="I46" i="15"/>
  <c r="R45" i="15"/>
  <c r="I45" i="15"/>
  <c r="I44" i="15"/>
  <c r="R43" i="15"/>
  <c r="I43" i="15"/>
  <c r="I42" i="15"/>
  <c r="I41" i="15"/>
  <c r="I40" i="15"/>
  <c r="R39" i="15"/>
  <c r="I39" i="15"/>
  <c r="I38" i="15"/>
  <c r="I37" i="15"/>
  <c r="R36" i="15"/>
  <c r="I36" i="15"/>
  <c r="I35" i="15"/>
  <c r="I34" i="15"/>
  <c r="R33" i="15"/>
  <c r="I33" i="15"/>
  <c r="R32" i="15"/>
  <c r="I32" i="15"/>
  <c r="R31" i="15"/>
  <c r="I31" i="15"/>
  <c r="I30" i="15"/>
  <c r="I29" i="15"/>
  <c r="I28" i="15"/>
  <c r="R27" i="15"/>
  <c r="I27" i="15"/>
  <c r="I26" i="15"/>
  <c r="I25" i="15"/>
  <c r="I24" i="15"/>
  <c r="R23" i="15"/>
  <c r="I23" i="15"/>
  <c r="R22" i="15"/>
  <c r="I22" i="15"/>
  <c r="R21" i="15"/>
  <c r="I21" i="15"/>
  <c r="I20" i="15"/>
  <c r="I19" i="15"/>
  <c r="R18" i="15"/>
  <c r="I18" i="15"/>
  <c r="I17" i="15"/>
  <c r="R16" i="15"/>
  <c r="I16" i="15"/>
  <c r="I15" i="15"/>
  <c r="I14" i="15"/>
  <c r="R13" i="15"/>
  <c r="I13" i="15"/>
  <c r="I12" i="15"/>
  <c r="I11" i="15"/>
  <c r="I10" i="15"/>
  <c r="I9" i="15"/>
  <c r="I8" i="15"/>
  <c r="I7" i="15"/>
  <c r="I6" i="15"/>
  <c r="I5" i="15"/>
  <c r="I4" i="15"/>
  <c r="I3" i="15"/>
  <c r="I69" i="15"/>
  <c r="I68" i="15"/>
  <c r="I67" i="15"/>
  <c r="Q60" i="15"/>
  <c r="J65" i="15" s="1"/>
  <c r="J72" i="15" s="1"/>
  <c r="P60" i="15"/>
  <c r="O60" i="15"/>
  <c r="N60" i="15"/>
  <c r="M60" i="15"/>
  <c r="L60" i="15"/>
  <c r="K60" i="15"/>
  <c r="J60" i="15"/>
  <c r="H60" i="15"/>
  <c r="G60" i="15"/>
  <c r="I53" i="14"/>
  <c r="H73" i="14"/>
  <c r="H72" i="14"/>
  <c r="H71" i="14"/>
  <c r="H69" i="14"/>
  <c r="H67" i="14"/>
  <c r="H68" i="14"/>
  <c r="H66" i="14"/>
  <c r="I49" i="14"/>
  <c r="R48" i="14"/>
  <c r="I48" i="14"/>
  <c r="I47" i="14"/>
  <c r="I46" i="14"/>
  <c r="I45" i="14"/>
  <c r="I44" i="14"/>
  <c r="I43" i="14"/>
  <c r="I42" i="14"/>
  <c r="I41" i="14"/>
  <c r="I40" i="14"/>
  <c r="I39" i="14"/>
  <c r="R38" i="14"/>
  <c r="I38" i="14"/>
  <c r="R37" i="14"/>
  <c r="I37" i="14"/>
  <c r="I36" i="14"/>
  <c r="R35" i="14"/>
  <c r="I35" i="14"/>
  <c r="R34" i="14"/>
  <c r="I34" i="14"/>
  <c r="I33" i="14"/>
  <c r="R32" i="14"/>
  <c r="I32" i="14"/>
  <c r="I31" i="14"/>
  <c r="I30" i="14"/>
  <c r="I29" i="14"/>
  <c r="I28" i="14"/>
  <c r="I27" i="14"/>
  <c r="R26" i="14"/>
  <c r="I26" i="14"/>
  <c r="R25" i="14"/>
  <c r="I25" i="14"/>
  <c r="R24" i="14"/>
  <c r="I24" i="14"/>
  <c r="I23" i="14"/>
  <c r="I22" i="14"/>
  <c r="I21" i="14"/>
  <c r="R20" i="14"/>
  <c r="I20" i="14"/>
  <c r="R19" i="14"/>
  <c r="I19" i="14"/>
  <c r="I18" i="14"/>
  <c r="R17" i="14"/>
  <c r="I17" i="14"/>
  <c r="I16" i="14"/>
  <c r="R15" i="14"/>
  <c r="R51" i="14" s="1"/>
  <c r="I57" i="14" s="1"/>
  <c r="I15" i="14"/>
  <c r="I14" i="14"/>
  <c r="I13" i="14"/>
  <c r="I12" i="14"/>
  <c r="I11" i="14"/>
  <c r="R10" i="14"/>
  <c r="I10" i="14"/>
  <c r="I9" i="14"/>
  <c r="R8" i="14"/>
  <c r="I8" i="14"/>
  <c r="I7" i="14"/>
  <c r="I6" i="14"/>
  <c r="I5" i="14"/>
  <c r="R4" i="14"/>
  <c r="I4" i="14"/>
  <c r="I3" i="14"/>
  <c r="I60" i="14"/>
  <c r="I59" i="14"/>
  <c r="I58" i="14"/>
  <c r="Q51" i="14"/>
  <c r="J56" i="14" s="1"/>
  <c r="J63" i="14" s="1"/>
  <c r="P51" i="14"/>
  <c r="O51" i="14"/>
  <c r="N51" i="14"/>
  <c r="M51" i="14"/>
  <c r="L51" i="14"/>
  <c r="K51" i="14"/>
  <c r="J51" i="14"/>
  <c r="H51" i="14"/>
  <c r="G51" i="14"/>
  <c r="H73" i="13"/>
  <c r="H72" i="13"/>
  <c r="H74" i="13" s="1"/>
  <c r="I55" i="13"/>
  <c r="I54" i="13"/>
  <c r="R53" i="13"/>
  <c r="I53" i="13"/>
  <c r="I52" i="13"/>
  <c r="I51" i="13"/>
  <c r="I50" i="13"/>
  <c r="R49" i="13"/>
  <c r="I49" i="13"/>
  <c r="R48" i="13"/>
  <c r="I48" i="13"/>
  <c r="R47" i="13"/>
  <c r="I47" i="13"/>
  <c r="I46" i="13"/>
  <c r="R45" i="13"/>
  <c r="I45" i="13"/>
  <c r="I44" i="13"/>
  <c r="R43" i="13"/>
  <c r="I43" i="13"/>
  <c r="I42" i="13"/>
  <c r="I41" i="13"/>
  <c r="I40" i="13"/>
  <c r="R39" i="13"/>
  <c r="I39" i="13"/>
  <c r="R38" i="13"/>
  <c r="I38" i="13"/>
  <c r="I37" i="13"/>
  <c r="I36" i="13"/>
  <c r="R35" i="13"/>
  <c r="I35" i="13"/>
  <c r="R34" i="13"/>
  <c r="I34" i="13"/>
  <c r="I33" i="13"/>
  <c r="I32" i="13"/>
  <c r="I31" i="13"/>
  <c r="I30" i="13"/>
  <c r="I29" i="13"/>
  <c r="R28" i="13"/>
  <c r="I28" i="13"/>
  <c r="I27" i="13"/>
  <c r="I26" i="13"/>
  <c r="R25" i="13"/>
  <c r="I25" i="13"/>
  <c r="R24" i="13"/>
  <c r="I24" i="13"/>
  <c r="R23" i="13"/>
  <c r="I23" i="13"/>
  <c r="R22" i="13"/>
  <c r="I22" i="13"/>
  <c r="I21" i="13"/>
  <c r="R20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R7" i="13"/>
  <c r="I7" i="13"/>
  <c r="R6" i="13"/>
  <c r="I6" i="13"/>
  <c r="R5" i="13"/>
  <c r="I5" i="13"/>
  <c r="I4" i="13"/>
  <c r="I3" i="13"/>
  <c r="R45" i="16" l="1"/>
  <c r="I51" i="16" s="1"/>
  <c r="I45" i="16"/>
  <c r="I60" i="15"/>
  <c r="R60" i="15"/>
  <c r="I66" i="15" s="1"/>
  <c r="H79" i="15"/>
  <c r="I61" i="15" s="1"/>
  <c r="I52" i="14"/>
  <c r="I51" i="14"/>
  <c r="I56" i="14" s="1"/>
  <c r="I63" i="14" s="1"/>
  <c r="I58" i="13"/>
  <c r="I66" i="13"/>
  <c r="I65" i="13"/>
  <c r="I64" i="13"/>
  <c r="Q57" i="13"/>
  <c r="J62" i="13" s="1"/>
  <c r="J69" i="13" s="1"/>
  <c r="P57" i="13"/>
  <c r="O57" i="13"/>
  <c r="N57" i="13"/>
  <c r="M57" i="13"/>
  <c r="L57" i="13"/>
  <c r="K57" i="13"/>
  <c r="J57" i="13"/>
  <c r="H57" i="13"/>
  <c r="G57" i="13"/>
  <c r="R57" i="13"/>
  <c r="I63" i="13" s="1"/>
  <c r="I57" i="13"/>
  <c r="H54" i="12"/>
  <c r="H52" i="12"/>
  <c r="H49" i="12"/>
  <c r="H53" i="12"/>
  <c r="H50" i="12"/>
  <c r="I35" i="12" s="1"/>
  <c r="R32" i="12"/>
  <c r="I32" i="12"/>
  <c r="R31" i="12"/>
  <c r="I31" i="12"/>
  <c r="R30" i="12"/>
  <c r="I30" i="12"/>
  <c r="I29" i="12"/>
  <c r="R28" i="12"/>
  <c r="I28" i="12"/>
  <c r="I27" i="12"/>
  <c r="I26" i="12"/>
  <c r="I25" i="12"/>
  <c r="I24" i="12"/>
  <c r="I23" i="12"/>
  <c r="R22" i="12"/>
  <c r="I22" i="12"/>
  <c r="I21" i="12"/>
  <c r="I20" i="12"/>
  <c r="I19" i="12"/>
  <c r="I18" i="12"/>
  <c r="R17" i="12"/>
  <c r="I17" i="12"/>
  <c r="I16" i="12"/>
  <c r="I15" i="12"/>
  <c r="R14" i="12"/>
  <c r="I14" i="12"/>
  <c r="R13" i="12"/>
  <c r="I13" i="12"/>
  <c r="R12" i="12"/>
  <c r="I12" i="12"/>
  <c r="I11" i="12"/>
  <c r="R10" i="12"/>
  <c r="I10" i="12"/>
  <c r="I9" i="12"/>
  <c r="I8" i="12"/>
  <c r="I7" i="12"/>
  <c r="R6" i="12"/>
  <c r="I6" i="12"/>
  <c r="I5" i="12"/>
  <c r="I4" i="12"/>
  <c r="I3" i="12"/>
  <c r="I43" i="12"/>
  <c r="I42" i="12"/>
  <c r="I41" i="12"/>
  <c r="Q34" i="12"/>
  <c r="J39" i="12" s="1"/>
  <c r="J46" i="12" s="1"/>
  <c r="P34" i="12"/>
  <c r="O34" i="12"/>
  <c r="N34" i="12"/>
  <c r="M34" i="12"/>
  <c r="L34" i="12"/>
  <c r="K34" i="12"/>
  <c r="J34" i="12"/>
  <c r="H34" i="12"/>
  <c r="G34" i="12"/>
  <c r="H56" i="11"/>
  <c r="R4" i="11"/>
  <c r="I4" i="11"/>
  <c r="I39" i="11"/>
  <c r="I38" i="11"/>
  <c r="R37" i="11"/>
  <c r="I37" i="11"/>
  <c r="I36" i="11"/>
  <c r="I35" i="11"/>
  <c r="I34" i="11"/>
  <c r="I33" i="11"/>
  <c r="I32" i="11"/>
  <c r="R31" i="11"/>
  <c r="I31" i="11"/>
  <c r="R30" i="11"/>
  <c r="I30" i="11"/>
  <c r="R29" i="11"/>
  <c r="I29" i="11"/>
  <c r="I28" i="11"/>
  <c r="R27" i="11"/>
  <c r="I27" i="11"/>
  <c r="I26" i="11"/>
  <c r="I25" i="11"/>
  <c r="I24" i="11"/>
  <c r="I23" i="11"/>
  <c r="I22" i="11"/>
  <c r="I21" i="11"/>
  <c r="I20" i="11"/>
  <c r="I19" i="11"/>
  <c r="R18" i="11"/>
  <c r="I18" i="11"/>
  <c r="R17" i="11"/>
  <c r="I17" i="11"/>
  <c r="I16" i="11"/>
  <c r="I15" i="11"/>
  <c r="I14" i="11"/>
  <c r="I13" i="11"/>
  <c r="I12" i="11"/>
  <c r="I11" i="11"/>
  <c r="I10" i="11"/>
  <c r="R9" i="11"/>
  <c r="I9" i="11"/>
  <c r="I8" i="11"/>
  <c r="I7" i="11"/>
  <c r="R6" i="11"/>
  <c r="I6" i="11"/>
  <c r="R5" i="11"/>
  <c r="I5" i="11"/>
  <c r="I3" i="11"/>
  <c r="I50" i="11"/>
  <c r="I49" i="11"/>
  <c r="I48" i="11"/>
  <c r="Q41" i="11"/>
  <c r="J46" i="11" s="1"/>
  <c r="J53" i="11" s="1"/>
  <c r="P41" i="11"/>
  <c r="O41" i="11"/>
  <c r="N41" i="11"/>
  <c r="M41" i="11"/>
  <c r="L41" i="11"/>
  <c r="K41" i="11"/>
  <c r="J41" i="11"/>
  <c r="H41" i="11"/>
  <c r="G41" i="11"/>
  <c r="I29" i="10"/>
  <c r="H44" i="10"/>
  <c r="H43" i="10"/>
  <c r="I26" i="10"/>
  <c r="R25" i="10"/>
  <c r="I25" i="10"/>
  <c r="I24" i="10"/>
  <c r="R23" i="10"/>
  <c r="I23" i="10"/>
  <c r="I22" i="10"/>
  <c r="I21" i="10"/>
  <c r="I20" i="10"/>
  <c r="I19" i="10"/>
  <c r="R18" i="10"/>
  <c r="I18" i="10"/>
  <c r="R17" i="10"/>
  <c r="I17" i="10"/>
  <c r="I16" i="10"/>
  <c r="I15" i="10"/>
  <c r="R14" i="10"/>
  <c r="I14" i="10"/>
  <c r="I13" i="10"/>
  <c r="I12" i="10"/>
  <c r="I11" i="10"/>
  <c r="I10" i="10"/>
  <c r="I9" i="10"/>
  <c r="I8" i="10"/>
  <c r="I7" i="10"/>
  <c r="I6" i="10"/>
  <c r="I5" i="10"/>
  <c r="I4" i="10"/>
  <c r="R3" i="10"/>
  <c r="I3" i="10"/>
  <c r="I37" i="10"/>
  <c r="I36" i="10"/>
  <c r="I35" i="10"/>
  <c r="Q28" i="10"/>
  <c r="J33" i="10" s="1"/>
  <c r="J40" i="10" s="1"/>
  <c r="P28" i="10"/>
  <c r="O28" i="10"/>
  <c r="N28" i="10"/>
  <c r="M28" i="10"/>
  <c r="L28" i="10"/>
  <c r="K28" i="10"/>
  <c r="J28" i="10"/>
  <c r="H28" i="10"/>
  <c r="G28" i="10"/>
  <c r="R14" i="9"/>
  <c r="H57" i="9"/>
  <c r="H56" i="9"/>
  <c r="R4" i="9"/>
  <c r="H69" i="8"/>
  <c r="I39" i="9"/>
  <c r="I38" i="9"/>
  <c r="I37" i="9"/>
  <c r="I36" i="9"/>
  <c r="I35" i="9"/>
  <c r="R34" i="9"/>
  <c r="I34" i="9"/>
  <c r="I33" i="9"/>
  <c r="I32" i="9"/>
  <c r="R31" i="9"/>
  <c r="I31" i="9"/>
  <c r="R30" i="9"/>
  <c r="I30" i="9"/>
  <c r="I29" i="9"/>
  <c r="R28" i="9"/>
  <c r="I28" i="9"/>
  <c r="I27" i="9"/>
  <c r="I26" i="9"/>
  <c r="R25" i="9"/>
  <c r="I25" i="9"/>
  <c r="I24" i="9"/>
  <c r="R23" i="9"/>
  <c r="I23" i="9"/>
  <c r="R22" i="9"/>
  <c r="R41" i="9" s="1"/>
  <c r="I47" i="9" s="1"/>
  <c r="I22" i="9"/>
  <c r="I21" i="9"/>
  <c r="R20" i="9"/>
  <c r="I20" i="9"/>
  <c r="I19" i="9"/>
  <c r="R18" i="9"/>
  <c r="I18" i="9"/>
  <c r="I17" i="9"/>
  <c r="I16" i="9"/>
  <c r="R15" i="9"/>
  <c r="I15" i="9"/>
  <c r="I14" i="9"/>
  <c r="I13" i="9"/>
  <c r="I12" i="9"/>
  <c r="I11" i="9"/>
  <c r="I10" i="9"/>
  <c r="I9" i="9"/>
  <c r="I8" i="9"/>
  <c r="I7" i="9"/>
  <c r="R6" i="9"/>
  <c r="I6" i="9"/>
  <c r="R5" i="9"/>
  <c r="I5" i="9"/>
  <c r="I4" i="9"/>
  <c r="I41" i="9" s="1"/>
  <c r="R3" i="9"/>
  <c r="I3" i="9"/>
  <c r="I50" i="9"/>
  <c r="I49" i="9"/>
  <c r="I48" i="9"/>
  <c r="Q41" i="9"/>
  <c r="J46" i="9" s="1"/>
  <c r="J53" i="9" s="1"/>
  <c r="P41" i="9"/>
  <c r="O41" i="9"/>
  <c r="N41" i="9"/>
  <c r="M41" i="9"/>
  <c r="L41" i="9"/>
  <c r="K41" i="9"/>
  <c r="J41" i="9"/>
  <c r="H41" i="9"/>
  <c r="G41" i="9"/>
  <c r="R44" i="8"/>
  <c r="I44" i="8"/>
  <c r="R36" i="8"/>
  <c r="H67" i="8"/>
  <c r="H62" i="8"/>
  <c r="H65" i="8"/>
  <c r="H61" i="8"/>
  <c r="I43" i="8"/>
  <c r="R42" i="8"/>
  <c r="I42" i="8"/>
  <c r="I41" i="8"/>
  <c r="I40" i="8"/>
  <c r="R39" i="8"/>
  <c r="I39" i="8"/>
  <c r="R38" i="8"/>
  <c r="I38" i="8"/>
  <c r="I37" i="8"/>
  <c r="I36" i="8"/>
  <c r="R35" i="8"/>
  <c r="I35" i="8"/>
  <c r="I34" i="8"/>
  <c r="R33" i="8"/>
  <c r="I33" i="8"/>
  <c r="I32" i="8"/>
  <c r="R31" i="8"/>
  <c r="I31" i="8"/>
  <c r="I30" i="8"/>
  <c r="I29" i="8"/>
  <c r="R28" i="8"/>
  <c r="I28" i="8"/>
  <c r="R27" i="8"/>
  <c r="I27" i="8"/>
  <c r="I26" i="8"/>
  <c r="R25" i="8"/>
  <c r="I25" i="8"/>
  <c r="I24" i="8"/>
  <c r="I23" i="8"/>
  <c r="I22" i="8"/>
  <c r="R21" i="8"/>
  <c r="I21" i="8"/>
  <c r="I20" i="8"/>
  <c r="I19" i="8"/>
  <c r="I18" i="8"/>
  <c r="I17" i="8"/>
  <c r="I16" i="8"/>
  <c r="I15" i="8"/>
  <c r="R14" i="8"/>
  <c r="I14" i="8"/>
  <c r="R13" i="8"/>
  <c r="I13" i="8"/>
  <c r="I12" i="8"/>
  <c r="R11" i="8"/>
  <c r="I11" i="8"/>
  <c r="I10" i="8"/>
  <c r="I9" i="8"/>
  <c r="I8" i="8"/>
  <c r="I7" i="8"/>
  <c r="I6" i="8"/>
  <c r="I5" i="8"/>
  <c r="I4" i="8"/>
  <c r="I3" i="8"/>
  <c r="I55" i="8"/>
  <c r="I54" i="8"/>
  <c r="I53" i="8"/>
  <c r="Q46" i="8"/>
  <c r="J51" i="8" s="1"/>
  <c r="J58" i="8" s="1"/>
  <c r="P46" i="8"/>
  <c r="O46" i="8"/>
  <c r="N46" i="8"/>
  <c r="M46" i="8"/>
  <c r="L46" i="8"/>
  <c r="K46" i="8"/>
  <c r="J46" i="8"/>
  <c r="H46" i="8"/>
  <c r="G46" i="8"/>
  <c r="H102" i="7"/>
  <c r="H103" i="7" s="1"/>
  <c r="I87" i="7" s="1"/>
  <c r="H101" i="7"/>
  <c r="I84" i="7"/>
  <c r="I83" i="7"/>
  <c r="I82" i="7"/>
  <c r="R81" i="7"/>
  <c r="I81" i="7"/>
  <c r="R80" i="7"/>
  <c r="I80" i="7"/>
  <c r="I79" i="7"/>
  <c r="R78" i="7"/>
  <c r="I78" i="7"/>
  <c r="R77" i="7"/>
  <c r="I77" i="7"/>
  <c r="R76" i="7"/>
  <c r="I76" i="7"/>
  <c r="I75" i="7"/>
  <c r="I74" i="7"/>
  <c r="I73" i="7"/>
  <c r="I72" i="7"/>
  <c r="I71" i="7"/>
  <c r="I70" i="7"/>
  <c r="I69" i="7"/>
  <c r="R68" i="7"/>
  <c r="I68" i="7"/>
  <c r="I67" i="7"/>
  <c r="I66" i="7"/>
  <c r="R65" i="7"/>
  <c r="I65" i="7"/>
  <c r="I64" i="7"/>
  <c r="I63" i="7"/>
  <c r="I62" i="7"/>
  <c r="R61" i="7"/>
  <c r="I61" i="7"/>
  <c r="R60" i="7"/>
  <c r="I60" i="7"/>
  <c r="R59" i="7"/>
  <c r="I59" i="7"/>
  <c r="R58" i="7"/>
  <c r="I58" i="7"/>
  <c r="I57" i="7"/>
  <c r="I56" i="7"/>
  <c r="I55" i="7"/>
  <c r="I54" i="7"/>
  <c r="I53" i="7"/>
  <c r="I52" i="7"/>
  <c r="I51" i="7"/>
  <c r="R50" i="7"/>
  <c r="I50" i="7"/>
  <c r="I49" i="7"/>
  <c r="I48" i="7"/>
  <c r="I47" i="7"/>
  <c r="R46" i="7"/>
  <c r="I46" i="7"/>
  <c r="I45" i="7"/>
  <c r="I44" i="7"/>
  <c r="R43" i="7"/>
  <c r="I43" i="7"/>
  <c r="I42" i="7"/>
  <c r="I41" i="7"/>
  <c r="I40" i="7"/>
  <c r="I39" i="7"/>
  <c r="R38" i="7"/>
  <c r="I38" i="7"/>
  <c r="I37" i="7"/>
  <c r="I36" i="7"/>
  <c r="I35" i="7"/>
  <c r="I34" i="7"/>
  <c r="I33" i="7"/>
  <c r="I32" i="7"/>
  <c r="I31" i="7"/>
  <c r="R30" i="7"/>
  <c r="I30" i="7"/>
  <c r="I29" i="7"/>
  <c r="R28" i="7"/>
  <c r="I28" i="7"/>
  <c r="I27" i="7"/>
  <c r="I26" i="7"/>
  <c r="I25" i="7"/>
  <c r="I24" i="7"/>
  <c r="I23" i="7"/>
  <c r="I22" i="7"/>
  <c r="I21" i="7"/>
  <c r="I20" i="7"/>
  <c r="I19" i="7"/>
  <c r="R18" i="7"/>
  <c r="I18" i="7"/>
  <c r="I17" i="7"/>
  <c r="R16" i="7"/>
  <c r="I16" i="7"/>
  <c r="R15" i="7"/>
  <c r="I15" i="7"/>
  <c r="I14" i="7"/>
  <c r="R13" i="7"/>
  <c r="I13" i="7"/>
  <c r="I12" i="7"/>
  <c r="R11" i="7"/>
  <c r="I11" i="7"/>
  <c r="I10" i="7"/>
  <c r="I9" i="7"/>
  <c r="I8" i="7"/>
  <c r="I7" i="7"/>
  <c r="I6" i="7"/>
  <c r="I5" i="7"/>
  <c r="R4" i="7"/>
  <c r="I4" i="7"/>
  <c r="I3" i="7"/>
  <c r="I95" i="7"/>
  <c r="I94" i="7"/>
  <c r="I93" i="7"/>
  <c r="Q86" i="7"/>
  <c r="J91" i="7" s="1"/>
  <c r="J98" i="7" s="1"/>
  <c r="P86" i="7"/>
  <c r="O86" i="7"/>
  <c r="N86" i="7"/>
  <c r="M86" i="7"/>
  <c r="L86" i="7"/>
  <c r="K86" i="7"/>
  <c r="J86" i="7"/>
  <c r="H86" i="7"/>
  <c r="G86" i="7"/>
  <c r="I36" i="6"/>
  <c r="H51" i="6"/>
  <c r="H50" i="6"/>
  <c r="I33" i="6"/>
  <c r="R32" i="6"/>
  <c r="I32" i="6"/>
  <c r="I31" i="6"/>
  <c r="I30" i="6"/>
  <c r="I29" i="6"/>
  <c r="I28" i="6"/>
  <c r="I27" i="6"/>
  <c r="I26" i="6"/>
  <c r="R25" i="6"/>
  <c r="I25" i="6"/>
  <c r="I24" i="6"/>
  <c r="I23" i="6"/>
  <c r="I22" i="6"/>
  <c r="I21" i="6"/>
  <c r="I20" i="6"/>
  <c r="R19" i="6"/>
  <c r="I19" i="6"/>
  <c r="I18" i="6"/>
  <c r="I17" i="6"/>
  <c r="I16" i="6"/>
  <c r="R15" i="6"/>
  <c r="R35" i="6" s="1"/>
  <c r="I41" i="6" s="1"/>
  <c r="I15" i="6"/>
  <c r="I14" i="6"/>
  <c r="I13" i="6"/>
  <c r="R12" i="6"/>
  <c r="I12" i="6"/>
  <c r="I11" i="6"/>
  <c r="I10" i="6"/>
  <c r="I9" i="6"/>
  <c r="I8" i="6"/>
  <c r="I7" i="6"/>
  <c r="I6" i="6"/>
  <c r="I5" i="6"/>
  <c r="I4" i="6"/>
  <c r="I3" i="6"/>
  <c r="I44" i="6"/>
  <c r="I43" i="6"/>
  <c r="I42" i="6"/>
  <c r="Q35" i="6"/>
  <c r="J40" i="6" s="1"/>
  <c r="J47" i="6" s="1"/>
  <c r="P35" i="6"/>
  <c r="O35" i="6"/>
  <c r="N35" i="6"/>
  <c r="M35" i="6"/>
  <c r="L35" i="6"/>
  <c r="K35" i="6"/>
  <c r="J35" i="6"/>
  <c r="H35" i="6"/>
  <c r="G35" i="6"/>
  <c r="I35" i="6"/>
  <c r="H66" i="5"/>
  <c r="I49" i="5"/>
  <c r="R48" i="5"/>
  <c r="I48" i="5"/>
  <c r="I47" i="5"/>
  <c r="I46" i="5"/>
  <c r="I45" i="5"/>
  <c r="R44" i="5"/>
  <c r="I44" i="5"/>
  <c r="I43" i="5"/>
  <c r="I42" i="5"/>
  <c r="R41" i="5"/>
  <c r="I41" i="5"/>
  <c r="R40" i="5"/>
  <c r="I40" i="5"/>
  <c r="I39" i="5"/>
  <c r="I38" i="5"/>
  <c r="I37" i="5"/>
  <c r="I36" i="5"/>
  <c r="R35" i="5"/>
  <c r="I35" i="5"/>
  <c r="I34" i="5"/>
  <c r="R33" i="5"/>
  <c r="I33" i="5"/>
  <c r="I32" i="5"/>
  <c r="I31" i="5"/>
  <c r="I30" i="5"/>
  <c r="I29" i="5"/>
  <c r="R28" i="5"/>
  <c r="I28" i="5"/>
  <c r="I27" i="5"/>
  <c r="I26" i="5"/>
  <c r="I25" i="5"/>
  <c r="R24" i="5"/>
  <c r="I24" i="5"/>
  <c r="I23" i="5"/>
  <c r="I22" i="5"/>
  <c r="R21" i="5"/>
  <c r="I21" i="5"/>
  <c r="I20" i="5"/>
  <c r="R19" i="5"/>
  <c r="I19" i="5"/>
  <c r="I18" i="5"/>
  <c r="I17" i="5"/>
  <c r="I16" i="5"/>
  <c r="I15" i="5"/>
  <c r="R14" i="5"/>
  <c r="I14" i="5"/>
  <c r="I13" i="5"/>
  <c r="I12" i="5"/>
  <c r="R11" i="5"/>
  <c r="I11" i="5"/>
  <c r="R10" i="5"/>
  <c r="I10" i="5"/>
  <c r="I9" i="5"/>
  <c r="I8" i="5"/>
  <c r="R7" i="5"/>
  <c r="I7" i="5"/>
  <c r="I6" i="5"/>
  <c r="R5" i="5"/>
  <c r="I5" i="5"/>
  <c r="I4" i="5"/>
  <c r="I3" i="5"/>
  <c r="I50" i="16" l="1"/>
  <c r="I57" i="16" s="1"/>
  <c r="I65" i="15"/>
  <c r="I72" i="15" s="1"/>
  <c r="I62" i="13"/>
  <c r="I69" i="13" s="1"/>
  <c r="I36" i="12"/>
  <c r="R34" i="12"/>
  <c r="I40" i="12" s="1"/>
  <c r="I34" i="12"/>
  <c r="R41" i="11"/>
  <c r="I47" i="11" s="1"/>
  <c r="I41" i="11"/>
  <c r="I46" i="11" s="1"/>
  <c r="I53" i="11" s="1"/>
  <c r="R28" i="10"/>
  <c r="I34" i="10" s="1"/>
  <c r="I28" i="10"/>
  <c r="I33" i="10" s="1"/>
  <c r="I40" i="10" s="1"/>
  <c r="I46" i="9"/>
  <c r="I53" i="9" s="1"/>
  <c r="H63" i="8"/>
  <c r="I47" i="8" s="1"/>
  <c r="R46" i="8"/>
  <c r="I52" i="8" s="1"/>
  <c r="I46" i="8"/>
  <c r="R86" i="7"/>
  <c r="I92" i="7" s="1"/>
  <c r="I86" i="7"/>
  <c r="I91" i="7" s="1"/>
  <c r="I40" i="6"/>
  <c r="I47" i="6"/>
  <c r="I60" i="5"/>
  <c r="I59" i="5"/>
  <c r="I58" i="5"/>
  <c r="Q51" i="5"/>
  <c r="J56" i="5" s="1"/>
  <c r="J63" i="5" s="1"/>
  <c r="P51" i="5"/>
  <c r="O51" i="5"/>
  <c r="N51" i="5"/>
  <c r="M51" i="5"/>
  <c r="L51" i="5"/>
  <c r="K51" i="5"/>
  <c r="J51" i="5"/>
  <c r="H51" i="5"/>
  <c r="G51" i="5"/>
  <c r="R51" i="5"/>
  <c r="I57" i="5" s="1"/>
  <c r="I51" i="5"/>
  <c r="I39" i="12" l="1"/>
  <c r="I46" i="12" s="1"/>
  <c r="I51" i="8"/>
  <c r="I58" i="8"/>
  <c r="I98" i="7"/>
  <c r="I56" i="5"/>
  <c r="I63" i="5" s="1"/>
  <c r="H71" i="4" l="1"/>
  <c r="I54" i="4"/>
  <c r="H69" i="4"/>
  <c r="H68" i="4"/>
  <c r="R51" i="4"/>
  <c r="I51" i="4"/>
  <c r="R50" i="4"/>
  <c r="I50" i="4"/>
  <c r="I49" i="4"/>
  <c r="I48" i="4"/>
  <c r="I47" i="4"/>
  <c r="I46" i="4"/>
  <c r="I45" i="4"/>
  <c r="R44" i="4"/>
  <c r="I44" i="4"/>
  <c r="R43" i="4"/>
  <c r="I43" i="4"/>
  <c r="I42" i="4"/>
  <c r="I41" i="4"/>
  <c r="I40" i="4"/>
  <c r="R39" i="4"/>
  <c r="I39" i="4"/>
  <c r="I38" i="4"/>
  <c r="R37" i="4"/>
  <c r="I37" i="4"/>
  <c r="I36" i="4"/>
  <c r="I35" i="4"/>
  <c r="R34" i="4"/>
  <c r="I34" i="4"/>
  <c r="R33" i="4"/>
  <c r="I33" i="4"/>
  <c r="R32" i="4"/>
  <c r="I32" i="4"/>
  <c r="I31" i="4"/>
  <c r="I30" i="4"/>
  <c r="R29" i="4"/>
  <c r="I29" i="4"/>
  <c r="I28" i="4"/>
  <c r="I27" i="4"/>
  <c r="I26" i="4"/>
  <c r="R25" i="4"/>
  <c r="I25" i="4"/>
  <c r="I24" i="4"/>
  <c r="I23" i="4"/>
  <c r="I22" i="4"/>
  <c r="R21" i="4"/>
  <c r="I21" i="4"/>
  <c r="R20" i="4"/>
  <c r="I20" i="4"/>
  <c r="I19" i="4"/>
  <c r="I18" i="4"/>
  <c r="I17" i="4"/>
  <c r="I16" i="4"/>
  <c r="R15" i="4"/>
  <c r="I15" i="4"/>
  <c r="I14" i="4"/>
  <c r="I13" i="4"/>
  <c r="I12" i="4"/>
  <c r="R11" i="4"/>
  <c r="I11" i="4"/>
  <c r="I10" i="4"/>
  <c r="I9" i="4"/>
  <c r="R8" i="4"/>
  <c r="I8" i="4"/>
  <c r="I7" i="4"/>
  <c r="R6" i="4"/>
  <c r="I6" i="4"/>
  <c r="I5" i="4"/>
  <c r="R4" i="4"/>
  <c r="I4" i="4"/>
  <c r="R3" i="4"/>
  <c r="I3" i="4"/>
  <c r="I62" i="4" l="1"/>
  <c r="I61" i="4"/>
  <c r="I60" i="4"/>
  <c r="R53" i="4"/>
  <c r="I59" i="4" s="1"/>
  <c r="Q53" i="4"/>
  <c r="J58" i="4" s="1"/>
  <c r="J65" i="4" s="1"/>
  <c r="P53" i="4"/>
  <c r="O53" i="4"/>
  <c r="N53" i="4"/>
  <c r="M53" i="4"/>
  <c r="L53" i="4"/>
  <c r="K53" i="4"/>
  <c r="J53" i="4"/>
  <c r="I53" i="4"/>
  <c r="I58" i="4" s="1"/>
  <c r="I65" i="4" s="1"/>
  <c r="H53" i="4"/>
  <c r="G53" i="4"/>
</calcChain>
</file>

<file path=xl/sharedStrings.xml><?xml version="1.0" encoding="utf-8"?>
<sst xmlns="http://schemas.openxmlformats.org/spreadsheetml/2006/main" count="5087" uniqueCount="1637">
  <si>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</si>
  <si>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</si>
  <si>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</si>
  <si>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</si>
  <si>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</si>
  <si>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</si>
  <si>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</si>
  <si>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</si>
  <si>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</si>
  <si>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</si>
  <si>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</si>
  <si>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</si>
  <si>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</si>
  <si>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</si>
  <si>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</si>
  <si>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</si>
  <si>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</si>
  <si>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</si>
  <si>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</si>
  <si>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</si>
  <si>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</si>
  <si>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</si>
  <si>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</si>
  <si>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</si>
  <si>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</si>
  <si>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</si>
  <si>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hàng sỉ</t>
  </si>
  <si>
    <t>ĐOÀN NGÂN CHÂU</t>
  </si>
  <si>
    <t>Sreynich077697899 (ThyThy Express)</t>
  </si>
  <si>
    <t>428/33 QL1A, Bình Hưng Hoà B</t>
  </si>
  <si>
    <t>binh tan</t>
  </si>
  <si>
    <t>AT 01-10</t>
  </si>
  <si>
    <t>c.cuong</t>
  </si>
  <si>
    <t>01-10-2026</t>
  </si>
  <si>
    <t>MIE</t>
  </si>
  <si>
    <t>275/14B1 Đặng Nguyên Cẩn, Phường Phú Lâm</t>
  </si>
  <si>
    <t>Chang Chang</t>
  </si>
  <si>
    <t>HD062779</t>
  </si>
  <si>
    <t>112-114 võ liêm sơn p4</t>
  </si>
  <si>
    <t>Tuấn</t>
  </si>
  <si>
    <t>HD062925</t>
  </si>
  <si>
    <t>2225 Phạm Thế Hiển, phường Bình Đông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</si>
  <si>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</si>
  <si>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</si>
  <si>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</si>
  <si>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</si>
  <si>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</si>
  <si>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</si>
  <si>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Cherry Nguyen</t>
  </si>
  <si>
    <t>HD062377</t>
  </si>
  <si>
    <t>A4/40A2 Tổ 4 ấp 1A đường 1C, xã Vĩnh Lộc B</t>
  </si>
  <si>
    <t>binh chanh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</si>
  <si>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</si>
  <si>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</si>
  <si>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</si>
  <si>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</si>
  <si>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</si>
  <si>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</si>
  <si>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shop chịu ship</t>
  </si>
  <si>
    <t>Nhớ Nhớ</t>
  </si>
  <si>
    <t>HD062857</t>
  </si>
  <si>
    <t>Sài gòn Mia block A đường 9a khu trung sơn bình hưng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</si>
  <si>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</si>
  <si>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</si>
  <si>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</si>
  <si>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</si>
  <si>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</si>
  <si>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</si>
  <si>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</si>
  <si>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</si>
  <si>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</si>
  <si>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thu duc</t>
  </si>
  <si>
    <t>Mai Trinh</t>
  </si>
  <si>
    <t>HD062756</t>
  </si>
  <si>
    <t>32A/40/2G Dương Bá Trạc, Phường Rạch Ông</t>
  </si>
  <si>
    <t>jenny bouti</t>
  </si>
  <si>
    <t>401 Quang trung f10</t>
  </si>
  <si>
    <t>go vap</t>
  </si>
  <si>
    <t>NHUNG HM</t>
  </si>
  <si>
    <t>8/1 nguyễn ảnh thủ,trung Chánh</t>
  </si>
  <si>
    <t>hoc mon</t>
  </si>
  <si>
    <t>Nhân viên Tiny</t>
  </si>
  <si>
    <t>105 Nguyễn Cơ Thạch F An Lợi Đông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</si>
  <si>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</si>
  <si>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</si>
  <si>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</si>
  <si>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</si>
  <si>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</si>
  <si>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</si>
  <si>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</si>
  <si>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</si>
  <si>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</si>
  <si>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Phuong Mai</t>
  </si>
  <si>
    <t>HD062738</t>
  </si>
  <si>
    <t>8/7 49b thao dien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</si>
  <si>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</si>
  <si>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</si>
  <si>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</si>
  <si>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</si>
  <si>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</si>
  <si>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</si>
  <si>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</si>
  <si>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K'bee Saykosi</t>
  </si>
  <si>
    <t>HD062764</t>
  </si>
  <si>
    <t>13 đường 17 kp5 bình chiểu</t>
  </si>
  <si>
    <t>Jemial Vo</t>
  </si>
  <si>
    <t>HD062860</t>
  </si>
  <si>
    <t>438 phan văn trị, p.hạnh thông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</si>
  <si>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</si>
  <si>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</si>
  <si>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</si>
  <si>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</si>
  <si>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</si>
  <si>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</si>
  <si>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</si>
  <si>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Vi Vân (Website)</t>
  </si>
  <si>
    <t>HD062936</t>
  </si>
  <si>
    <t>30/23B Nguyễn Hữu Cảnh, Thạnh Mỹ Tây</t>
  </si>
  <si>
    <t>Hoa Ngo</t>
  </si>
  <si>
    <t>HD062710</t>
  </si>
  <si>
    <t>22/14 phan van hon,p.đông hưng thuận (cty phương đông)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</si>
  <si>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</si>
  <si>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</si>
  <si>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</si>
  <si>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</si>
  <si>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</si>
  <si>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</si>
  <si>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Hồng Ngoan</t>
  </si>
  <si>
    <t>HD062777</t>
  </si>
  <si>
    <t>74/4 Trần Thái Tông . P.15</t>
  </si>
  <si>
    <t>tan binh</t>
  </si>
  <si>
    <t>Khánh Linh - Tùng - Srilanka</t>
  </si>
  <si>
    <t>HD062794</t>
  </si>
  <si>
    <t>403 Tân Sơn, P12</t>
  </si>
  <si>
    <t>Dang Cam Tu</t>
  </si>
  <si>
    <t>HD062836</t>
  </si>
  <si>
    <t>86a Nguyễn Văn tăng</t>
  </si>
  <si>
    <t>Pachara (BN6994)</t>
  </si>
  <si>
    <t>VVI EVA</t>
  </si>
  <si>
    <t>141 hùng vương phường 4</t>
  </si>
  <si>
    <t>c.hieu</t>
  </si>
  <si>
    <t>Thanh Tuyền</t>
  </si>
  <si>
    <t>HD062701</t>
  </si>
  <si>
    <t>Smiley Apartment 3: 385/16 Nguyễn Trãi, phường Nguyễn Cư Trinh</t>
  </si>
  <si>
    <t>Doan Ngoc Phuong Anh</t>
  </si>
  <si>
    <t>HD062906</t>
  </si>
  <si>
    <t>664/119 Nguyễn Đình Chiểu</t>
  </si>
  <si>
    <t>My Ngô</t>
  </si>
  <si>
    <t>HD062876</t>
  </si>
  <si>
    <t>233/17 Nguyễn Trãi . Phường Nguyễn Cư Trinh</t>
  </si>
  <si>
    <t>Hồng Moon</t>
  </si>
  <si>
    <t>HD062793</t>
  </si>
  <si>
    <t>74/12 thạch thị thanh</t>
  </si>
  <si>
    <t>đổi hàng</t>
  </si>
  <si>
    <t>Huyền Vân</t>
  </si>
  <si>
    <t>HD062840</t>
  </si>
  <si>
    <t>51 Nguyễn Thị Minh Khai, p. Sài Gòn</t>
  </si>
  <si>
    <t>Mỹ Linh</t>
  </si>
  <si>
    <t>HD062763</t>
  </si>
  <si>
    <t>538/90 đoàn văn bơ, p14</t>
  </si>
  <si>
    <t>Tuyết - fb Annie Lê</t>
  </si>
  <si>
    <t>HD062797</t>
  </si>
  <si>
    <t>5A/3F trần phú phường 4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</si>
  <si>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</si>
  <si>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</si>
  <si>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</si>
  <si>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</si>
  <si>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</si>
  <si>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</si>
  <si>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</si>
  <si>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</si>
  <si>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Giai Kỳ</t>
  </si>
  <si>
    <t>HD062751</t>
  </si>
  <si>
    <t>Win barbershop 46 Lê Thị Riêng Đồ của Quản lí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</si>
  <si>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</si>
  <si>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</si>
  <si>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</si>
  <si>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</si>
  <si>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</si>
  <si>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Mr Thế (Zalo: Minh Tuệ)</t>
  </si>
  <si>
    <t>27/5 Quách Văn Tuấn, F12</t>
  </si>
  <si>
    <t>THU 5</t>
  </si>
  <si>
    <t>NGAY 1-10</t>
  </si>
  <si>
    <t>T5.1.10.2026</t>
  </si>
  <si>
    <t>đơn trả</t>
  </si>
  <si>
    <t>Ngọc Linh</t>
  </si>
  <si>
    <t>HD062349</t>
  </si>
  <si>
    <t>47/5 Phạm Ngọc Thạch, P6</t>
  </si>
  <si>
    <t>luu tra</t>
  </si>
  <si>
    <t>30-09-2026</t>
  </si>
  <si>
    <t>đơn trả 2.10</t>
  </si>
  <si>
    <t>đơn cũ ck</t>
  </si>
  <si>
    <t>ng nhận (Đức) của c linh</t>
  </si>
  <si>
    <t>HD062603</t>
  </si>
  <si>
    <t>403 Tân Sơn, Phường An Hội Tây</t>
  </si>
  <si>
    <t>kh ck shop 695k</t>
  </si>
  <si>
    <t>THU 6</t>
  </si>
  <si>
    <t>NGAY 2-10</t>
  </si>
  <si>
    <t>T6.2.10.2026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</si>
  <si>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</si>
  <si>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</si>
  <si>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</si>
  <si>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</si>
  <si>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</si>
  <si>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</si>
  <si>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</si>
  <si>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</si>
  <si>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</si>
  <si>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(chị Hoà) - Note: Hàng anh Hậu (tumsandy)</t>
  </si>
  <si>
    <t>HD063179</t>
  </si>
  <si>
    <t>793/55/10/5 Trần Xuân Soạn, P. Tân Hưng</t>
  </si>
  <si>
    <t>Thanh Hằng</t>
  </si>
  <si>
    <t>HD063267</t>
  </si>
  <si>
    <t>4 đào trí phường Phú thuận</t>
  </si>
  <si>
    <t>Phương Thảo TA</t>
  </si>
  <si>
    <t>HD063050</t>
  </si>
  <si>
    <t>M37/15 Cư Xá Phú Lâm A Phường 12</t>
  </si>
  <si>
    <t>Jolie Thy</t>
  </si>
  <si>
    <t>HD063117</t>
  </si>
  <si>
    <t>24B Khu phố 79, đường Đông hưng thuận 22, phường Đông Hưng Thuận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</si>
  <si>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</si>
  <si>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</si>
  <si>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</si>
  <si>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</si>
  <si>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</si>
  <si>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</si>
  <si>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Charisa0909</t>
  </si>
  <si>
    <t>HD063210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</si>
  <si>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</si>
  <si>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</si>
  <si>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</si>
  <si>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</si>
  <si>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</si>
  <si>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</si>
  <si>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</si>
  <si>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</si>
  <si>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</si>
  <si>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Trinh Nguyễn</t>
  </si>
  <si>
    <t>HD063040</t>
  </si>
  <si>
    <t>Block G, Chung cư Eco Green, 39B Nguyễn Văn Linh, Phường Tân Thuận Tây</t>
  </si>
  <si>
    <t>Như Quỳnh</t>
  </si>
  <si>
    <t>HD063084</t>
  </si>
  <si>
    <t>Chung cư ecogreen SG Blook E 39B nguyễn văn linh phường tân thuận tây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</si>
  <si>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</si>
  <si>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</si>
  <si>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</si>
  <si>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</si>
  <si>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</si>
  <si>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</si>
  <si>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Minh Hai (Zalo: Shirley Woo)</t>
  </si>
  <si>
    <t>17 Street No. 13, Binh Hung Hoa Ward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</si>
  <si>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</si>
  <si>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</si>
  <si>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</si>
  <si>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</si>
  <si>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</si>
  <si>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</si>
  <si>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Kim Thuận</t>
  </si>
  <si>
    <t>HD063111</t>
  </si>
  <si>
    <t>1 bis đường tô ký, phường tân chánh hiệp</t>
  </si>
  <si>
    <t>Lê Thu</t>
  </si>
  <si>
    <t>HD063270</t>
  </si>
  <si>
    <t>180/60A Nguyễn Hữu Cảnh, P thạnh Mỹ Tây</t>
  </si>
  <si>
    <t>Hien Hoang</t>
  </si>
  <si>
    <t>HD062965</t>
  </si>
  <si>
    <t>208 nguyễn hữu cảnh p22 - landmark 3</t>
  </si>
  <si>
    <t>Lê Linh</t>
  </si>
  <si>
    <t>HD063222</t>
  </si>
  <si>
    <t>137/3 Đường số 59, An Hội Tây</t>
  </si>
  <si>
    <t>Mi mèo</t>
  </si>
  <si>
    <t>HD063005</t>
  </si>
  <si>
    <t>22, TÂN THỚI NHẤT 1B, Phường Tân Thới Nhất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</si>
  <si>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</si>
  <si>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</si>
  <si>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</si>
  <si>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</si>
  <si>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</si>
  <si>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</si>
  <si>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</si>
  <si>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</si>
  <si>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</si>
  <si>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</si>
  <si>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</si>
  <si>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</si>
  <si>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</si>
  <si>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</si>
  <si>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</si>
  <si>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</si>
  <si>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</si>
  <si>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</si>
  <si>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</si>
  <si>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</si>
  <si>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</si>
  <si>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</si>
  <si>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</si>
  <si>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</si>
  <si>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</si>
  <si>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</si>
  <si>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</si>
  <si>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</si>
  <si>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</si>
  <si>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</si>
  <si>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</si>
  <si>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</si>
  <si>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</si>
  <si>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</si>
  <si>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</si>
  <si>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</si>
  <si>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</si>
  <si>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Bee Trần</t>
  </si>
  <si>
    <t>HD063133</t>
  </si>
  <si>
    <t>34/4 tân Hải p Tân bình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</si>
  <si>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</si>
  <si>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</si>
  <si>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</si>
  <si>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</si>
  <si>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</si>
  <si>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</si>
  <si>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Fb: An An</t>
  </si>
  <si>
    <t>HD063237</t>
  </si>
  <si>
    <t>Cty Thế Long Express 27/5 Quách Văn tuấn, f12</t>
  </si>
  <si>
    <t>LE Nguyen Thu Minh</t>
  </si>
  <si>
    <t>HD063196</t>
  </si>
  <si>
    <t>358 nhật tảo p6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</si>
  <si>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</si>
  <si>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</si>
  <si>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</si>
  <si>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</si>
  <si>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</si>
  <si>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</si>
  <si>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</si>
  <si>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</si>
  <si>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</si>
  <si>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</si>
  <si>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</si>
  <si>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</si>
  <si>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phí Chành xe</t>
  </si>
  <si>
    <t>đơn phí Chành xe</t>
  </si>
  <si>
    <t>Heng Roza (EV38382)</t>
  </si>
  <si>
    <t>15k phí Chành Xe</t>
  </si>
  <si>
    <t>HD062448</t>
  </si>
  <si>
    <t>315/186 Nhuyễn Thị Tú, Phường Bình Hưng Hòa B</t>
  </si>
  <si>
    <t>T7.3.10.2026</t>
  </si>
  <si>
    <t>THU 7</t>
  </si>
  <si>
    <t>NGAY 3-10</t>
  </si>
  <si>
    <t>Phạm Bích Tuyền</t>
  </si>
  <si>
    <t>HD063401</t>
  </si>
  <si>
    <t>38.đường 39.tân thuận.phường tân thuận</t>
  </si>
  <si>
    <t>AT 03-10</t>
  </si>
  <si>
    <t>03-10-2026</t>
  </si>
  <si>
    <t>Nguyễn Đặng Kiều My</t>
  </si>
  <si>
    <t>HD063445</t>
  </si>
  <si>
    <t>67/9 đường d9 Tây Thạnh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</si>
  <si>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</si>
  <si>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</si>
  <si>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</si>
  <si>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</si>
  <si>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</si>
  <si>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</si>
  <si>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</si>
  <si>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</si>
  <si>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</si>
  <si>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</si>
  <si>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</si>
  <si>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</si>
  <si>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</si>
  <si>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</si>
  <si>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</si>
  <si>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</si>
  <si>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</si>
  <si>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</si>
  <si>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</si>
  <si>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</si>
  <si>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</si>
  <si>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</si>
  <si>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Kim Ngân</t>
  </si>
  <si>
    <t>HD063590</t>
  </si>
  <si>
    <t>Lavida Plus, Nguyễn Văn Linh, Tân Phong</t>
  </si>
  <si>
    <t>Dung Nguyen</t>
  </si>
  <si>
    <t>HD063559</t>
  </si>
  <si>
    <t>T4 masteri xa lộ hà nội thảo điền</t>
  </si>
  <si>
    <t>Phạm Dung</t>
  </si>
  <si>
    <t>HD063216</t>
  </si>
  <si>
    <t>208 nguyễn hữu cảnh phường 22 chung cư vinhome toà lanmark 5</t>
  </si>
  <si>
    <t>gộp, shop chịu ship</t>
  </si>
  <si>
    <t>HD063192</t>
  </si>
  <si>
    <t>gộp</t>
  </si>
  <si>
    <t>Mỹ Ngọc</t>
  </si>
  <si>
    <t>HD063318</t>
  </si>
  <si>
    <t>242 Nguyễn oanh,phường gò vấp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</si>
  <si>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</si>
  <si>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</si>
  <si>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</si>
  <si>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</si>
  <si>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</si>
  <si>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</si>
  <si>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</si>
  <si>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</si>
  <si>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</si>
  <si>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</si>
  <si>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Sophia Le</t>
  </si>
  <si>
    <t>HD063573</t>
  </si>
  <si>
    <t>27/11 Đường số 27, P. Hiệp Bình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</si>
  <si>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</si>
  <si>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</si>
  <si>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</si>
  <si>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</si>
  <si>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</si>
  <si>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</si>
  <si>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Darin</t>
  </si>
  <si>
    <t>624 Lê thị riêng,thới an</t>
  </si>
  <si>
    <t>NT Hải Yến</t>
  </si>
  <si>
    <t>I32 khu dân cư Tân tiến, Tân Thới Hiệp</t>
  </si>
  <si>
    <t>Anh Thu Nguyen</t>
  </si>
  <si>
    <t>HD063572</t>
  </si>
  <si>
    <t>230 cao thắng, p12</t>
  </si>
  <si>
    <t>Jenny Pham</t>
  </si>
  <si>
    <t>HD063577</t>
  </si>
  <si>
    <t>321 Nguyễn Trọng Tuyển</t>
  </si>
  <si>
    <t>Nguyễn Nhi</t>
  </si>
  <si>
    <t>HD063419</t>
  </si>
  <si>
    <t>393/33/5 lê hồng phong p2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</si>
  <si>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</si>
  <si>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</si>
  <si>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</si>
  <si>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</si>
  <si>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</si>
  <si>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</si>
  <si>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</si>
  <si>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</si>
  <si>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</si>
  <si>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Duyen Dau</t>
  </si>
  <si>
    <t>HD062729</t>
  </si>
  <si>
    <t>Chung cư lô A ( cầu thang số 5), số 43R Hồ Văn Huê, phường 9</t>
  </si>
  <si>
    <t>đơn trả 5.10</t>
  </si>
  <si>
    <t>THU 2</t>
  </si>
  <si>
    <t>NGAY 5-10</t>
  </si>
  <si>
    <t>T2.5.10.2026</t>
  </si>
  <si>
    <t>Nhi Nhi</t>
  </si>
  <si>
    <t>HD063710</t>
  </si>
  <si>
    <t>Giặt Hấp Sấy Tam Phương., Số 08, Đ. Số 10, Phường Tân Hưng</t>
  </si>
  <si>
    <t>AT 05-10</t>
  </si>
  <si>
    <t>05-10-2026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</si>
  <si>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</si>
  <si>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</si>
  <si>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</si>
  <si>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</si>
  <si>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</si>
  <si>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</si>
  <si>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Chị My (website)</t>
  </si>
  <si>
    <t>HD064217</t>
  </si>
  <si>
    <t>1287/33/58 Phạm Thế Hiển, P5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</si>
  <si>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</si>
  <si>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</si>
  <si>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</si>
  <si>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</si>
  <si>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</si>
  <si>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</si>
  <si>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Thu Bui</t>
  </si>
  <si>
    <t>HD063985</t>
  </si>
  <si>
    <t>49 đoàn giỏi phường sơn kỳ</t>
  </si>
  <si>
    <t>Bích Ngân</t>
  </si>
  <si>
    <t>HD064075</t>
  </si>
  <si>
    <t>184/38/49/93 âu dương lân</t>
  </si>
  <si>
    <t>bảo thu(907)</t>
  </si>
  <si>
    <t>HD064012</t>
  </si>
  <si>
    <t>topaz Elite - block Dragon 2c 122 cao lỗ, chánh hưng</t>
  </si>
  <si>
    <t>Tew heng quan ( Minh Hai )</t>
  </si>
  <si>
    <t>HD063857</t>
  </si>
  <si>
    <t>17 Đường Số 13 Bình Hưng Hoà</t>
  </si>
  <si>
    <t>Anh Quỳnh</t>
  </si>
  <si>
    <t>HD064074</t>
  </si>
  <si>
    <t>E15/1T4 ấp 5, Vĩnh Lộc A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</si>
  <si>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</si>
  <si>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</si>
  <si>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</si>
  <si>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</si>
  <si>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</si>
  <si>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</si>
  <si>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Trần Bảo Hân (inst tranbaohan17)</t>
  </si>
  <si>
    <t>HD063598</t>
  </si>
  <si>
    <t>E4/25a đường Nguyễn Hữu Trí, khu phố 5, xã Tân Nhựt</t>
  </si>
  <si>
    <t>Ngọc Trinh</t>
  </si>
  <si>
    <t>HD064099</t>
  </si>
  <si>
    <t>793/49 villa 10 Trần xuân soạn tân hưng</t>
  </si>
  <si>
    <t>HD063782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</si>
  <si>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</si>
  <si>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</si>
  <si>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</si>
  <si>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</si>
  <si>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</si>
  <si>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</si>
  <si>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</si>
  <si>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</si>
  <si>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</si>
  <si>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</si>
  <si>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</si>
  <si>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</si>
  <si>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Chi Trương</t>
  </si>
  <si>
    <t>HD063127</t>
  </si>
  <si>
    <t>38 đường 9A KDC trung sơn X.bình hưng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</si>
  <si>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</si>
  <si>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</si>
  <si>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</si>
  <si>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</si>
  <si>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</si>
  <si>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</si>
  <si>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HD063896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</si>
  <si>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</si>
  <si>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</si>
  <si>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</si>
  <si>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</si>
  <si>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</si>
  <si>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</si>
  <si>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</si>
  <si>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Elly Duyên</t>
  </si>
  <si>
    <t>HD064095</t>
  </si>
  <si>
    <t>200 đường 9A Bình Hưng</t>
  </si>
  <si>
    <t>Tuyết</t>
  </si>
  <si>
    <t>HD064193</t>
  </si>
  <si>
    <t>E06 Chuông Vàng, phường Cát Lái</t>
  </si>
  <si>
    <t>Trang Pham</t>
  </si>
  <si>
    <t>HD063757</t>
  </si>
  <si>
    <t>331/68 Vườn Lài, Phường An Phú Đông</t>
  </si>
  <si>
    <t>Tran Thu</t>
  </si>
  <si>
    <t>HD064072</t>
  </si>
  <si>
    <t>76/14/6 duong so 7 linh trung</t>
  </si>
  <si>
    <t>Chi chu</t>
  </si>
  <si>
    <t>HD063604</t>
  </si>
  <si>
    <t>61/2a đg 6 Tam phú</t>
  </si>
  <si>
    <t>Phương Phạm</t>
  </si>
  <si>
    <t>HD063965</t>
  </si>
  <si>
    <t>545/16/17 nguyễn xiển</t>
  </si>
  <si>
    <t>Tuyền</t>
  </si>
  <si>
    <t>HD064215</t>
  </si>
  <si>
    <t>310 lê quang định phường bình lợi trung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</si>
  <si>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</si>
  <si>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</si>
  <si>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</si>
  <si>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</si>
  <si>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</si>
  <si>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</si>
  <si>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HD063702</t>
  </si>
  <si>
    <t>242 nguyễn oanh, phường gò vấp</t>
  </si>
  <si>
    <t>HD064179</t>
  </si>
  <si>
    <t>Huyền Bún</t>
  </si>
  <si>
    <t>HD064181</t>
  </si>
  <si>
    <t>chung cư Moscow Tower -đường tân thới nhất 17-p.tân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</si>
  <si>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</si>
  <si>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</si>
  <si>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</si>
  <si>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</si>
  <si>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</si>
  <si>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</si>
  <si>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Như Ngọc</t>
  </si>
  <si>
    <t>HD063849</t>
  </si>
  <si>
    <t>85/7A đường 30 khu phố 2 phường cát lái</t>
  </si>
  <si>
    <t>Lam</t>
  </si>
  <si>
    <t>HD063673</t>
  </si>
  <si>
    <t>47/ 24/38 bùi đình tuỷ p14 phòng 440 để bve</t>
  </si>
  <si>
    <t>Thanh Ngân fb Ngoc Nhi</t>
  </si>
  <si>
    <t>HD064150</t>
  </si>
  <si>
    <t>Công Ty Gumac, 313/15, Hẻm 313 Đường Phan Huy Ích, Phường 14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</si>
  <si>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</si>
  <si>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</si>
  <si>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</si>
  <si>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</si>
  <si>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</si>
  <si>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</si>
  <si>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Ashley Khin</t>
  </si>
  <si>
    <t>HD063602</t>
  </si>
  <si>
    <t>BS16A, Oasis zone, Vinhome Grand Park</t>
  </si>
  <si>
    <t>Nguyễn Yến Nhi</t>
  </si>
  <si>
    <t>HD063694</t>
  </si>
  <si>
    <t>Vinhomes grand park - p long bình - toà gh3B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</si>
  <si>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</si>
  <si>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</si>
  <si>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</si>
  <si>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</si>
  <si>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</si>
  <si>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</si>
  <si>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</si>
  <si>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</si>
  <si>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</si>
  <si>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</si>
  <si>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</si>
  <si>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</si>
  <si>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Chu Châu</t>
  </si>
  <si>
    <t>HD063709</t>
  </si>
  <si>
    <t>160/7 bùi đình tuý p12</t>
  </si>
  <si>
    <t>THƯƠNG 1994</t>
  </si>
  <si>
    <t>Tòa Bs10, Vinhome Grand Park</t>
  </si>
  <si>
    <t>Người nhận: tên uyên</t>
  </si>
  <si>
    <t>HD064203</t>
  </si>
  <si>
    <t>Số 2 Tôn Đức Thắng, phường Bến Nghé (Tòa Lux 6 nằm trong khu Ba Son)</t>
  </si>
  <si>
    <t>Alin</t>
  </si>
  <si>
    <t>HD064202</t>
  </si>
  <si>
    <t>71/2/13 Nguyễn Bặc, Phường 3</t>
  </si>
  <si>
    <t>C9-YY-LUWE XIN HUI</t>
  </si>
  <si>
    <t>HD063083</t>
  </si>
  <si>
    <t>SAIKO EXPRESS - 29/7 Đường Yên Thế, Phường 2</t>
  </si>
  <si>
    <t>Sen Tina</t>
  </si>
  <si>
    <t>HD064084</t>
  </si>
  <si>
    <t>37 thích minh nguyệt, Phường 2</t>
  </si>
  <si>
    <t>Như Quỳnh saleweb</t>
  </si>
  <si>
    <t>HD064219</t>
  </si>
  <si>
    <t>66/68, Phổ Quang, Phường 2</t>
  </si>
  <si>
    <t>Bác Sĩ Mỹ</t>
  </si>
  <si>
    <t>HD064188</t>
  </si>
  <si>
    <t>296 phan đình phùng, p cầu kiệu</t>
  </si>
  <si>
    <t>Hứa Hồng</t>
  </si>
  <si>
    <t>HD064041</t>
  </si>
  <si>
    <t>290 an dương vuong</t>
  </si>
  <si>
    <t>gia linh</t>
  </si>
  <si>
    <t>HD063047</t>
  </si>
  <si>
    <t>tk19/19 nguyen canh chau cau ong lanh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</si>
  <si>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</si>
  <si>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</si>
  <si>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</si>
  <si>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</si>
  <si>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</si>
  <si>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Mẫn Mẫn</t>
  </si>
  <si>
    <t>HD064025</t>
  </si>
  <si>
    <t>39bis hoa cúc -p7</t>
  </si>
  <si>
    <t>Khánh Vy</t>
  </si>
  <si>
    <t>HD064154</t>
  </si>
  <si>
    <t>8a sông thương p2</t>
  </si>
  <si>
    <t>Cẩm Hiền Nguyễn</t>
  </si>
  <si>
    <t>HD063728</t>
  </si>
  <si>
    <t>466 Nguyễn Kiệm, phường Đức Nhuận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</si>
  <si>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</si>
  <si>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</si>
  <si>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</si>
  <si>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</si>
  <si>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</si>
  <si>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</si>
  <si>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HD063706</t>
  </si>
  <si>
    <t>Nguyễn Biết</t>
  </si>
  <si>
    <t>HD064135</t>
  </si>
  <si>
    <t>2/17a quách văn tuấn, p12</t>
  </si>
  <si>
    <t>Bee Út Nguyễn</t>
  </si>
  <si>
    <t>HD063729</t>
  </si>
  <si>
    <t>Block B chung cư copac 12 tôn đản phường xóm chiếu Căn 15b8</t>
  </si>
  <si>
    <t>Thảo Vy</t>
  </si>
  <si>
    <t>HD063759</t>
  </si>
  <si>
    <t>59/20 Nguyễn Bỉnh Khiêm, Tân Định</t>
  </si>
  <si>
    <t>Thảo Phương</t>
  </si>
  <si>
    <t>HD064003</t>
  </si>
  <si>
    <t>482/15/31 điện biên phủ p11</t>
  </si>
  <si>
    <t>TOM AG</t>
  </si>
  <si>
    <t>12 HỒ VĂN HUÊ PHƯỜNG 9</t>
  </si>
  <si>
    <t>SU ANH</t>
  </si>
  <si>
    <t>72/5 Giải Phóng, Tân Sơn Nhất</t>
  </si>
  <si>
    <t>Thu Trương</t>
  </si>
  <si>
    <t>159/43/5 Đường Bạch Đằng, phường Tân Sơn Hòa</t>
  </si>
  <si>
    <t>Ngọc Ngà</t>
  </si>
  <si>
    <t>HD063976</t>
  </si>
  <si>
    <t>Tecco Felice Tower,hội nghĩa 99,P.Bình cơ</t>
  </si>
  <si>
    <t>tinh</t>
  </si>
  <si>
    <t>hàng tỉnh</t>
  </si>
  <si>
    <t>x</t>
  </si>
  <si>
    <t>xx</t>
  </si>
  <si>
    <t>vĩnh thủy</t>
  </si>
  <si>
    <t>HD064162</t>
  </si>
  <si>
    <t>tim homes 3 đường số 39 khu đô thị mỹ gia vĩnh thái nha trang khánh hòa</t>
  </si>
  <si>
    <t>đơn trả 6.10</t>
  </si>
  <si>
    <t>THU 3</t>
  </si>
  <si>
    <t>NGAY 6-10</t>
  </si>
  <si>
    <t>Huỳnh Trinh</t>
  </si>
  <si>
    <t>HD064580</t>
  </si>
  <si>
    <t>11 đường 19e,Bình trị đông B</t>
  </si>
  <si>
    <t>AT 06-10</t>
  </si>
  <si>
    <t>06-10-2026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</si>
  <si>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</si>
  <si>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</si>
  <si>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</si>
  <si>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</si>
  <si>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</si>
  <si>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</si>
  <si>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Thu Ella</t>
  </si>
  <si>
    <t>HD064321</t>
  </si>
  <si>
    <t>toà w2, sunrise central,25 nguyễn hữu thọ</t>
  </si>
  <si>
    <t>Kim Kim</t>
  </si>
  <si>
    <t>HD064307</t>
  </si>
  <si>
    <t>206 Tây Thạnh, P Tây Thạnh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</si>
  <si>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</si>
  <si>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</si>
  <si>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</si>
  <si>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</si>
  <si>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</si>
  <si>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</si>
  <si>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HD064523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</si>
  <si>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</si>
  <si>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</si>
  <si>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</si>
  <si>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</si>
  <si>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</si>
  <si>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</si>
  <si>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</si>
  <si>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</si>
  <si>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</si>
  <si>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</si>
  <si>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</si>
  <si>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</si>
  <si>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137/2 bình long, bình trị đông, bình tân</t>
  </si>
  <si>
    <t>thu thêm cod 980k</t>
  </si>
  <si>
    <t>Linh P Pham (SALE WEB)</t>
  </si>
  <si>
    <t>HD064519</t>
  </si>
  <si>
    <t>Landmark 5, Vinhomes Central Park, Thạnh Mỹ Tây</t>
  </si>
  <si>
    <t>HD064533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</si>
  <si>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</si>
  <si>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</si>
  <si>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</si>
  <si>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</si>
  <si>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</si>
  <si>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</si>
  <si>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</si>
  <si>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</si>
  <si>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</si>
  <si>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</si>
  <si>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</si>
  <si>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</si>
  <si>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Trần Quốc Thịnh ( đồ của Nhàn )</t>
  </si>
  <si>
    <t>HD064293</t>
  </si>
  <si>
    <t>41B1 Đặng Thuỳ Trâm, Phường Bình Lợi Trung</t>
  </si>
  <si>
    <t>Kim Thư</t>
  </si>
  <si>
    <t>HD064577</t>
  </si>
  <si>
    <t>297/30/1 phan huy ích, phường an hội tây</t>
  </si>
  <si>
    <t>Nguyễn Bảo Trang</t>
  </si>
  <si>
    <t>HD064329</t>
  </si>
  <si>
    <t>778/32/29q1 Thống Nhất p15</t>
  </si>
  <si>
    <t>HD064508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</si>
  <si>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</si>
  <si>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</si>
  <si>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</si>
  <si>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</si>
  <si>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</si>
  <si>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</si>
  <si>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</si>
  <si>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</si>
  <si>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</si>
  <si>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</si>
  <si>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</si>
  <si>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</si>
  <si>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</si>
  <si>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</si>
  <si>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</si>
  <si>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</si>
  <si>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</si>
  <si>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</si>
  <si>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</si>
  <si>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</si>
  <si>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</si>
  <si>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</si>
  <si>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</si>
  <si>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</si>
  <si>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</si>
  <si>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Khánh Nguyên ( ig dulcie_33 )</t>
  </si>
  <si>
    <t>HD064540</t>
  </si>
  <si>
    <t>21 Bành Văn Trân, P Tân Hòa</t>
  </si>
  <si>
    <t>Kiều Thii Duyên</t>
  </si>
  <si>
    <t>HD064528</t>
  </si>
  <si>
    <t>Cty Thế Long Express 27/5 Quách Văn Tuấn, P12</t>
  </si>
  <si>
    <t>Laurent</t>
  </si>
  <si>
    <t>HD064510</t>
  </si>
  <si>
    <t>54 Đường Bạch Vân Phường An Đông hoặc Phường 5</t>
  </si>
  <si>
    <t>Thúy Nguyên</t>
  </si>
  <si>
    <t>HD064386</t>
  </si>
  <si>
    <t>36/11 chử đồng tử p7</t>
  </si>
  <si>
    <t>Hằng Lê</t>
  </si>
  <si>
    <t>HD064260</t>
  </si>
  <si>
    <t>số 9 Nguyễn Chí Thanh P9</t>
  </si>
  <si>
    <t>Valencia</t>
  </si>
  <si>
    <t>HD064490</t>
  </si>
  <si>
    <t>Nicecy Ben Thanh Hotel 261 - 265 Le Thanh Ton Street, Ben Thanh Ward</t>
  </si>
  <si>
    <t>MC Sanita Mao (MV01908)</t>
  </si>
  <si>
    <t>HD064524</t>
  </si>
  <si>
    <t>209 Phạm Ngũ Lão, Bến Thành - Phòng 504</t>
  </si>
  <si>
    <t>đơn hoàn về</t>
  </si>
  <si>
    <t>đơn ck</t>
  </si>
  <si>
    <t>đơn trả 7.10</t>
  </si>
  <si>
    <t>grab 40k</t>
  </si>
  <si>
    <t>kh ck shop 815k</t>
  </si>
  <si>
    <t>T4.7.10.2026</t>
  </si>
  <si>
    <t>THU 4</t>
  </si>
  <si>
    <t>NGAY 7-10</t>
  </si>
  <si>
    <t>T3.6.10.2026</t>
  </si>
  <si>
    <t>Tú Oanh - fb Không Nói Xâm</t>
  </si>
  <si>
    <t>HD064593</t>
  </si>
  <si>
    <t>69 Dương Đình Nghệ P8</t>
  </si>
  <si>
    <t>AT 07-10</t>
  </si>
  <si>
    <t>07-10-2026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</si>
  <si>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</si>
  <si>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</si>
  <si>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</si>
  <si>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</si>
  <si>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</si>
  <si>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</si>
  <si>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Sea</t>
  </si>
  <si>
    <t>HD064748</t>
  </si>
  <si>
    <t>32/16a đường số 6, P. BHHA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</si>
  <si>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</si>
  <si>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</si>
  <si>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</si>
  <si>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</si>
  <si>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</si>
  <si>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</si>
  <si>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</si>
  <si>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</si>
  <si>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</si>
  <si>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Ngọc Ngân</t>
  </si>
  <si>
    <t>HD064793</t>
  </si>
  <si>
    <t>87 duong so 79, tan quy</t>
  </si>
  <si>
    <t>Nghi</t>
  </si>
  <si>
    <t>HD064749</t>
  </si>
  <si>
    <t>62 Nguyễn Văn Yến, p Tân Thới Hoà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</si>
  <si>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</si>
  <si>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</si>
  <si>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</si>
  <si>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</si>
  <si>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</si>
  <si>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</si>
  <si>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Nguyễn Thị Thuỳ Trang</t>
  </si>
  <si>
    <t>HD064608</t>
  </si>
  <si>
    <t>41A Huỳnh Tịnh của p19</t>
  </si>
  <si>
    <t>BN6352</t>
  </si>
  <si>
    <t>HD064708</t>
  </si>
  <si>
    <t>Đinh Thị Thu Hà</t>
  </si>
  <si>
    <t>HD064612</t>
  </si>
  <si>
    <t>176/1 Nguyễn Văn Thương, P. Thạnh Mỹ Tây</t>
  </si>
  <si>
    <t>Doan Ngoc Anh Thu</t>
  </si>
  <si>
    <t>HD064813</t>
  </si>
  <si>
    <t>Chung cư homyland2, 307 Nguyễn duy trinh, bình trưng</t>
  </si>
  <si>
    <t>Thu Ba DS</t>
  </si>
  <si>
    <t>HD064675</t>
  </si>
  <si>
    <t>395 Bùi Đình Tuý, p14</t>
  </si>
  <si>
    <t>Linh Dịu Dàng</t>
  </si>
  <si>
    <t>HD064810</t>
  </si>
  <si>
    <t>362/22 lê đức thọ an nhơn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</si>
  <si>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</si>
  <si>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</si>
  <si>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</si>
  <si>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</si>
  <si>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</si>
  <si>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</si>
  <si>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sldraalvinaa_</t>
  </si>
  <si>
    <t>HD064502</t>
  </si>
  <si>
    <t>1 Đường Số 15 Villa 01 David, An Khánh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</si>
  <si>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</si>
  <si>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</si>
  <si>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</si>
  <si>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</si>
  <si>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</si>
  <si>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</si>
  <si>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Tu Tu</t>
  </si>
  <si>
    <t>HD064689</t>
  </si>
  <si>
    <t>466/39 le van sy f 14</t>
  </si>
  <si>
    <t>Ngọc Ánh</t>
  </si>
  <si>
    <t>HD064642</t>
  </si>
  <si>
    <t>2/21 phan thúc duyện</t>
  </si>
  <si>
    <t>HD064640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</si>
  <si>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</si>
  <si>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</si>
  <si>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</si>
  <si>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</si>
  <si>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</si>
  <si>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</si>
  <si>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Kelly Phan</t>
  </si>
  <si>
    <t>HD064673</t>
  </si>
  <si>
    <t>240/6A lê thánh tôn bến thành</t>
  </si>
  <si>
    <t>Trần Thu Hường</t>
  </si>
  <si>
    <t>HD064655</t>
  </si>
  <si>
    <t>124/28 nguyễn văn cừ, p.cầu ông lãnh</t>
  </si>
  <si>
    <t>Thu Pham</t>
  </si>
  <si>
    <t>HD064657</t>
  </si>
  <si>
    <t>chung cư Terra Royal 280 nam kỳ khởi nghĩa, phường võ thị sáu</t>
  </si>
  <si>
    <t>HD064688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</si>
  <si>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</si>
  <si>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</si>
  <si>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</si>
  <si>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</si>
  <si>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</si>
  <si>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</si>
  <si>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</si>
  <si>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</si>
  <si>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</si>
  <si>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</si>
  <si>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</si>
  <si>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</si>
  <si>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Tranie Phan</t>
  </si>
  <si>
    <t>HD064600</t>
  </si>
  <si>
    <t>1041/19/7 Trần Xuân Soạn</t>
  </si>
  <si>
    <t>đơn cũ thu cod 3.10</t>
  </si>
  <si>
    <t>kh ck shop 825k</t>
  </si>
  <si>
    <t>kh ck shop 730k</t>
  </si>
  <si>
    <t>kh ck shop 1340k</t>
  </si>
  <si>
    <t>NGAY 8-10</t>
  </si>
  <si>
    <t>T5.8.10.2026</t>
  </si>
  <si>
    <t>SS3164-Mr.skill) SS Cargo Shipping (cờn dư 715k)</t>
  </si>
  <si>
    <t>HD064963</t>
  </si>
  <si>
    <t>674 đường số 2, Phường 13</t>
  </si>
  <si>
    <t>AT 08-10</t>
  </si>
  <si>
    <t>08-10-2026</t>
  </si>
  <si>
    <t>Khánh Vân</t>
  </si>
  <si>
    <t>HD064868</t>
  </si>
  <si>
    <t>77/39 Kinh Dương Vương F12</t>
  </si>
  <si>
    <t>Hanna Bui</t>
  </si>
  <si>
    <t>HD064941</t>
  </si>
  <si>
    <t>9B duong 16A Pbinh Hưng hòa A</t>
  </si>
  <si>
    <t>Lữ Hạnh Hoàng Châu</t>
  </si>
  <si>
    <t>HD064950</t>
  </si>
  <si>
    <t>17 mai chí thọ phường an khánh New city - toa hawai 1</t>
  </si>
  <si>
    <t>HD065026</t>
  </si>
  <si>
    <t>208 nguyễn hữu cảnh phường 22 chung cư vinhome tòa lanmark 5</t>
  </si>
  <si>
    <t>Phạm Huỳnh Duyên</t>
  </si>
  <si>
    <t>HD065071</t>
  </si>
  <si>
    <t>439/97/12 tân thới hiệp 21</t>
  </si>
  <si>
    <t>số 42/43-45 Nguyễn Minh Hoàng, phường 12</t>
  </si>
  <si>
    <t>Em Na</t>
  </si>
  <si>
    <t>16/2 THÁI THỊ NHẠN P10</t>
  </si>
  <si>
    <t>Như Ý Nguyễn</t>
  </si>
  <si>
    <t>4 Đào Trí, P. Phú Thuận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</si>
  <si>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</si>
  <si>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</si>
  <si>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</si>
  <si>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</si>
  <si>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</si>
  <si>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</si>
  <si>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</si>
  <si>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</si>
  <si>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</si>
  <si>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</si>
  <si>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</si>
  <si>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</si>
  <si>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</si>
  <si>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</si>
  <si>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</si>
  <si>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</si>
  <si>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</si>
  <si>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</si>
  <si>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</si>
  <si>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</si>
  <si>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</si>
  <si>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</si>
  <si>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</si>
  <si>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</si>
  <si>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</si>
  <si>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</si>
  <si>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</si>
  <si>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</si>
  <si>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Trang Angels</t>
  </si>
  <si>
    <t>HD064874</t>
  </si>
  <si>
    <t>nhà 20 đường 2B phường Tân mỹ</t>
  </si>
  <si>
    <t>TUYẾT NHI ZL2</t>
  </si>
  <si>
    <t>170F Tân Hoà Đông f14</t>
  </si>
  <si>
    <t>đơn trả 9.10</t>
  </si>
  <si>
    <t>T6.9.10.2026</t>
  </si>
  <si>
    <t>NGAY 9-10</t>
  </si>
  <si>
    <t>AT 09-10</t>
  </si>
  <si>
    <t>09-10-2026</t>
  </si>
  <si>
    <t>Nguyễn Minh Hải (Bow)</t>
  </si>
  <si>
    <t>Mã Quốc (VTS-35517RST)</t>
  </si>
  <si>
    <t>HD065324</t>
  </si>
  <si>
    <t>601 QL1A, An Lạc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</si>
  <si>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</si>
  <si>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</si>
  <si>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</si>
  <si>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</si>
  <si>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</si>
  <si>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</si>
  <si>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HD065346</t>
  </si>
  <si>
    <t>184 Lê Đại Hành, Phú Thọ (quầy VPBank)</t>
  </si>
  <si>
    <t>Mỹ Diện</t>
  </si>
  <si>
    <t>HD065135</t>
  </si>
  <si>
    <t>vinhomes grand park tòa nhà s705 nguyễn xiển p long thạnh mỹ</t>
  </si>
  <si>
    <t>Nguyễn Thị Tường Vi</t>
  </si>
  <si>
    <t>HD065330</t>
  </si>
  <si>
    <t>741/3/4 lũy bán bích, phú thọ hoà</t>
  </si>
  <si>
    <t>Van Anh</t>
  </si>
  <si>
    <t>HD065158</t>
  </si>
  <si>
    <t>100/27/4 ấp 3- Đông Thạnh</t>
  </si>
  <si>
    <t>HD065269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</si>
  <si>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</si>
  <si>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</si>
  <si>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</si>
  <si>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</si>
  <si>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</si>
  <si>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</si>
  <si>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</si>
  <si>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</si>
  <si>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</si>
  <si>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403 Tân Sơn, p12</t>
  </si>
  <si>
    <t>W2459</t>
  </si>
  <si>
    <t>Hồng Phương</t>
  </si>
  <si>
    <t>HD065355</t>
  </si>
  <si>
    <t>Lô e chung cư hà đô, nguyễn văn công</t>
  </si>
  <si>
    <t>Phuong Thao</t>
  </si>
  <si>
    <t>HD065259</t>
  </si>
  <si>
    <t>chung cư bình minh, 17 đường số 1, linh trung</t>
  </si>
  <si>
    <t>Hồng Hoa</t>
  </si>
  <si>
    <t>HD065354</t>
  </si>
  <si>
    <t>Căn 98 đường A5, Palm Residence, phường Bình Trưng</t>
  </si>
  <si>
    <t>Huynh My Ha</t>
  </si>
  <si>
    <t>HD065332</t>
  </si>
  <si>
    <t>Vpbank Gò Vấp, 2B Quang Trung, phường hạnh thông</t>
  </si>
  <si>
    <t>Dương Triệu Mẫn</t>
  </si>
  <si>
    <t>HD065261</t>
  </si>
  <si>
    <t>730/126 lê đức thọ</t>
  </si>
  <si>
    <t>Emily Nguyễn</t>
  </si>
  <si>
    <t>HD065163</t>
  </si>
  <si>
    <t>71/8C Nguyễn Phúc Chu p15 (Phường Tân Sơn)</t>
  </si>
  <si>
    <t>HD065293</t>
  </si>
  <si>
    <t>Vi Hồ</t>
  </si>
  <si>
    <t>32 Huỳnh Lan Khanh, phường 2</t>
  </si>
  <si>
    <t>EMI</t>
  </si>
  <si>
    <t>44A Cửu Long, Tân Sơn Hòa</t>
  </si>
  <si>
    <t>Huỳnh Nhi</t>
  </si>
  <si>
    <t>HD065228</t>
  </si>
  <si>
    <t>37 cao lỗ</t>
  </si>
  <si>
    <t>Bi Bi</t>
  </si>
  <si>
    <t>HD064052</t>
  </si>
  <si>
    <t>414/23, Cách Mạng Tháng Tám, Phường Nhiêu Lộc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</si>
  <si>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</si>
  <si>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</si>
  <si>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</si>
  <si>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</si>
  <si>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</si>
  <si>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</si>
  <si>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</si>
  <si>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</si>
  <si>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</si>
  <si>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Thu Thuỷ</t>
  </si>
  <si>
    <t>HD065159</t>
  </si>
  <si>
    <t>Sunrie city tháp W2 tân hung</t>
  </si>
  <si>
    <t>gặp Thủy fb Barbie Phạm</t>
  </si>
  <si>
    <t>HD065133</t>
  </si>
  <si>
    <t>1806/34/4 Đường Huỳnh Tấn Phát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</si>
  <si>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</si>
  <si>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</si>
  <si>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</si>
  <si>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</si>
  <si>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</si>
  <si>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</si>
  <si>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Ann Nguyễn</t>
  </si>
  <si>
    <t>HD065379</t>
  </si>
  <si>
    <t>320/23 nguyễn văn linh - p.tân thuận - (căn hộ Anh Hoàng)</t>
  </si>
  <si>
    <t>Nhung Dang</t>
  </si>
  <si>
    <t>HD065218</t>
  </si>
  <si>
    <t>39 bến vân đồn phường xóm chiếu</t>
  </si>
  <si>
    <t>kh ck shop 5585k</t>
  </si>
  <si>
    <t>T7.10.10.2026</t>
  </si>
  <si>
    <t>NGAY 10-10</t>
  </si>
  <si>
    <t>AT 10-10</t>
  </si>
  <si>
    <t>10-10-2026</t>
  </si>
  <si>
    <t>Chủ Lượm nhận hàng cho c Cúc</t>
  </si>
  <si>
    <t>HD065434</t>
  </si>
  <si>
    <t>839/1 Quốc lộ 1A, Bình Hưng hoà A</t>
  </si>
  <si>
    <t>Tiên - Hoà</t>
  </si>
  <si>
    <t>HD065502</t>
  </si>
  <si>
    <t>88/71a phạm hùng, phường chánh hưng</t>
  </si>
  <si>
    <t>cô dung fb Nini Thach</t>
  </si>
  <si>
    <t>HD065448</t>
  </si>
  <si>
    <t>137/74a âu durong lân-p2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</si>
  <si>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</si>
  <si>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</si>
  <si>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</si>
  <si>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</si>
  <si>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</si>
  <si>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</si>
  <si>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c my - fb kim trang</t>
  </si>
  <si>
    <t>HD065426</t>
  </si>
  <si>
    <t>94/3/9 phú thọ hoà</t>
  </si>
  <si>
    <t>Ngọc Lan Nguyễn</t>
  </si>
  <si>
    <t>HD065407</t>
  </si>
  <si>
    <t>2225 PHẠM THẾ HIỂN P6 CHUNG CƯ: GREEN RIVER BLOCK B2 (Mặt sau ngay trường học)</t>
  </si>
  <si>
    <t>ngọc tú</t>
  </si>
  <si>
    <t>HD065634</t>
  </si>
  <si>
    <t>695/9/3 an dương vương</t>
  </si>
  <si>
    <t>kh ck shop 920k</t>
  </si>
  <si>
    <t>Jasploy9989 (inst slideincloset)</t>
  </si>
  <si>
    <t>HD065476</t>
  </si>
  <si>
    <t>275/14B1 Đặng Nguyên Cẩn, Phường Phú Lâm (phường 14 cũ)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</si>
  <si>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</si>
  <si>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</si>
  <si>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</si>
  <si>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</si>
  <si>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</si>
  <si>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</si>
  <si>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</si>
  <si>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</si>
  <si>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BN182 miki Chouchou Fb</t>
  </si>
  <si>
    <t>HD065527</t>
  </si>
  <si>
    <t>Sumin Nguyen</t>
  </si>
  <si>
    <t>HD065615</t>
  </si>
  <si>
    <t>chung cư sài gòn avenue phường tam bình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</si>
  <si>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</si>
  <si>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</si>
  <si>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</si>
  <si>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</si>
  <si>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</si>
  <si>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</si>
  <si>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Bùi Nhật Hoàng</t>
  </si>
  <si>
    <t>HD065503</t>
  </si>
  <si>
    <t>36 Nguyễn khuyến, phường 12</t>
  </si>
  <si>
    <t>xếp hòa fb Yen Truong</t>
  </si>
  <si>
    <t>HD065600</t>
  </si>
  <si>
    <t>687 tân sơn an hội tây</t>
  </si>
  <si>
    <t>anh thư</t>
  </si>
  <si>
    <t>230 tôn đản phường 8</t>
  </si>
  <si>
    <t>Phúc An</t>
  </si>
  <si>
    <t>HD065004</t>
  </si>
  <si>
    <t>1027/10 huỳnh tấn phát, phú thuận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</si>
  <si>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</si>
  <si>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</si>
  <si>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</si>
  <si>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</si>
  <si>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</si>
  <si>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</si>
  <si>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</si>
  <si>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</si>
  <si>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</si>
  <si>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Ngoc Thao</t>
  </si>
  <si>
    <t>HD065618</t>
  </si>
  <si>
    <t>71/51/14 Đào Tông Nguyên</t>
  </si>
  <si>
    <t>Nguyệt Quế</t>
  </si>
  <si>
    <t>HD065483</t>
  </si>
  <si>
    <t>346 bến vân đồn, phường vĩnh hội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</si>
  <si>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</si>
  <si>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</si>
  <si>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</si>
  <si>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</si>
  <si>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</si>
  <si>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</si>
  <si>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</si>
  <si>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</si>
  <si>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</si>
  <si>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đơn trả 12.10</t>
  </si>
  <si>
    <t>kh ck shop 915k</t>
  </si>
  <si>
    <t>kh ck shop 30k</t>
  </si>
  <si>
    <t>NGAY 12-10</t>
  </si>
  <si>
    <t>T2.12.10.2026</t>
  </si>
  <si>
    <t>Phương Ly</t>
  </si>
  <si>
    <t>574/15/2 đường sinco bình trị đông</t>
  </si>
  <si>
    <t>AT 12-10</t>
  </si>
  <si>
    <t>12-10-2026</t>
  </si>
  <si>
    <t>Hồng Thuỷ</t>
  </si>
  <si>
    <t>HD065914</t>
  </si>
  <si>
    <t>Công ty Esquel garment Manufact phường Bình hòa</t>
  </si>
  <si>
    <t>Nguyễn Tkư/</t>
  </si>
  <si>
    <t>HD065985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</si>
  <si>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</si>
  <si>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</si>
  <si>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</si>
  <si>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</si>
  <si>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</si>
  <si>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</si>
  <si>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</si>
  <si>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</si>
  <si>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</si>
  <si>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</si>
  <si>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Thu Hằng</t>
  </si>
  <si>
    <t>HD065705</t>
  </si>
  <si>
    <t>38A đường 3158A phạm thế hiển phường bình đông (phuong 7) Đối diện cổng trường THPT nguyễn văn linh</t>
  </si>
  <si>
    <t>HD065773</t>
  </si>
  <si>
    <t>Nguyễn Hải Phụng</t>
  </si>
  <si>
    <t>HD066051</t>
  </si>
  <si>
    <t>36 bờ bao tân thắng,P. Sơn kỳ (chung cư celedon cổng diamond brilliant block B2)</t>
  </si>
  <si>
    <t>HD065848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</si>
  <si>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</si>
  <si>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</si>
  <si>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</si>
  <si>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</si>
  <si>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</si>
  <si>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</si>
  <si>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“NAPATSORN7416”</t>
  </si>
  <si>
    <t>HD065828</t>
  </si>
  <si>
    <t>Hoang Ng Phuong Trinh</t>
  </si>
  <si>
    <t>HD066076</t>
  </si>
  <si>
    <t>Lavida toà B2 1080 nguyễn văn linh, tân hưng</t>
  </si>
  <si>
    <t>AJ POST 12 / NGQL</t>
  </si>
  <si>
    <t>BN8823</t>
  </si>
  <si>
    <t>Thu Yến</t>
  </si>
  <si>
    <t>HD066044</t>
  </si>
  <si>
    <t>104 Linh Trung, Phường Linh Trung</t>
  </si>
  <si>
    <t>Đặng Thị Trúc Anh</t>
  </si>
  <si>
    <t>HD065871</t>
  </si>
  <si>
    <t>số 88 đường N3B, khu The Global City, phường Bình Trưng</t>
  </si>
  <si>
    <t>Hải Đăng Elly - Đăng</t>
  </si>
  <si>
    <t>HD064199</t>
  </si>
  <si>
    <t>403 Tân Sơn, An Hội Tây</t>
  </si>
  <si>
    <t>Nguyễn Thị Mỹ Lệ</t>
  </si>
  <si>
    <t>HD065907</t>
  </si>
  <si>
    <t>243/2/25 chu văn an p12</t>
  </si>
  <si>
    <t>Vu Hoang Van Anh</t>
  </si>
  <si>
    <t>HD065964</t>
  </si>
  <si>
    <t>new city vecine 1 an khánh</t>
  </si>
  <si>
    <t>Mỹ Duyên</t>
  </si>
  <si>
    <t>HD066060</t>
  </si>
  <si>
    <t>16 lê văn duyệt phường 1</t>
  </si>
  <si>
    <t>Thanh Thảo</t>
  </si>
  <si>
    <t>HD065912</t>
  </si>
  <si>
    <t>47/3 lê trực phường gia định</t>
  </si>
  <si>
    <t>HD066057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</si>
  <si>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</si>
  <si>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</si>
  <si>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</si>
  <si>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</si>
  <si>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</si>
  <si>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</si>
  <si>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</si>
  <si>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</si>
  <si>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</si>
  <si>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HD065587</t>
  </si>
  <si>
    <t>ASLEY</t>
  </si>
  <si>
    <t>HD065633</t>
  </si>
  <si>
    <t>241/4 Phạm Ngũ Lão, Bến Thành</t>
  </si>
  <si>
    <t>kh ck shop 1175k</t>
  </si>
  <si>
    <t>CUS19950/pelpanhaketya</t>
  </si>
  <si>
    <t>HD066159</t>
  </si>
  <si>
    <t>270B Lý thường kiệt, khu phố 1, Phường 6</t>
  </si>
  <si>
    <t>HD065904</t>
  </si>
  <si>
    <t>Duyên Duyên</t>
  </si>
  <si>
    <t>HD065747</t>
  </si>
  <si>
    <t>37 cư xá trần quang diệu p14</t>
  </si>
  <si>
    <t>Sophia Ha</t>
  </si>
  <si>
    <t>HD065992</t>
  </si>
  <si>
    <t>136b yên thế p2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</si>
  <si>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</si>
  <si>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</si>
  <si>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</si>
  <si>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</si>
  <si>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</si>
  <si>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</si>
  <si>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</si>
  <si>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</si>
  <si>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</si>
  <si>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</si>
  <si>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</si>
  <si>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</si>
  <si>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</si>
  <si>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</si>
  <si>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</si>
  <si>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</si>
  <si>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</si>
  <si>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</si>
  <si>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</si>
  <si>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</si>
  <si>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</si>
  <si>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</si>
  <si>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Cẩm Cẩm</t>
  </si>
  <si>
    <t>HD065943</t>
  </si>
  <si>
    <t>150 Hoàng Trọng Mậu, Tân Hưng</t>
  </si>
  <si>
    <t>HD066092</t>
  </si>
  <si>
    <t>ViVi Ng</t>
  </si>
  <si>
    <t>HD065702</t>
  </si>
  <si>
    <t>463B/53D/21 Cách Mạng Tháng 8, Phường 13</t>
  </si>
  <si>
    <t>selectedstuffpt</t>
  </si>
  <si>
    <t>HD066094</t>
  </si>
  <si>
    <t>giữ hàng</t>
  </si>
  <si>
    <t>Quyên</t>
  </si>
  <si>
    <t>HD066087</t>
  </si>
  <si>
    <t>Khách tự book</t>
  </si>
  <si>
    <t>đơn trả 13.10</t>
  </si>
  <si>
    <t>NGAY 13-10</t>
  </si>
  <si>
    <t>AT 13-10</t>
  </si>
  <si>
    <t>13-10-2026</t>
  </si>
  <si>
    <t>chị thảo</t>
  </si>
  <si>
    <t>Kho 278 1474 Võ Văn Kiệt, P3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</si>
  <si>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</si>
  <si>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</si>
  <si>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</si>
  <si>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</si>
  <si>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</si>
  <si>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</si>
  <si>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</si>
  <si>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</si>
  <si>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</si>
  <si>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</si>
  <si>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</si>
  <si>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</si>
  <si>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</si>
  <si>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</si>
  <si>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</si>
  <si>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</si>
  <si>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Lien Huynh</t>
  </si>
  <si>
    <t>HD066237</t>
  </si>
  <si>
    <t>231/57/64 r Đường Bình Tiên, phường 8 cũ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</si>
  <si>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</si>
  <si>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</si>
  <si>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</si>
  <si>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</si>
  <si>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</si>
  <si>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</si>
  <si>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</si>
  <si>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</si>
  <si>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</si>
  <si>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Người nhận: ZL KIM ÁNH</t>
  </si>
  <si>
    <t>HD066409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</si>
  <si>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</si>
  <si>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</si>
  <si>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</si>
  <si>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</si>
  <si>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</si>
  <si>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</si>
  <si>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HD066324</t>
  </si>
  <si>
    <t>269 âu dương lân phường chánh hưng</t>
  </si>
  <si>
    <t>Thiên Bình</t>
  </si>
  <si>
    <t>HD066504</t>
  </si>
  <si>
    <t>90/12A Trần Văn Ơn, F Tân Sơn Nhì</t>
  </si>
  <si>
    <t>Tòa Bs10, vinhome grand park</t>
  </si>
  <si>
    <t>Bé Sarah</t>
  </si>
  <si>
    <t>HD066378</t>
  </si>
  <si>
    <t>Vinhome grand park toà gh2</t>
  </si>
  <si>
    <t>HD066299</t>
  </si>
  <si>
    <t>BN182 MiKi</t>
  </si>
  <si>
    <t>HD066558</t>
  </si>
  <si>
    <t>163 Trương Thị Hoa</t>
  </si>
  <si>
    <t>HD066524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</si>
  <si>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</si>
  <si>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</si>
  <si>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</si>
  <si>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</si>
  <si>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</si>
  <si>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</si>
  <si>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</si>
  <si>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</si>
  <si>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</si>
  <si>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HD066345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</si>
  <si>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</si>
  <si>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</si>
  <si>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</si>
  <si>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</si>
  <si>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</si>
  <si>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</si>
  <si>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W24130</t>
  </si>
  <si>
    <t>HD065940</t>
  </si>
  <si>
    <t>624 Lê Thị Riêng</t>
  </si>
  <si>
    <t>Thương</t>
  </si>
  <si>
    <t>HD066356</t>
  </si>
  <si>
    <t>494/1/19 Lê Quang Định,p1</t>
  </si>
  <si>
    <t>An An</t>
  </si>
  <si>
    <t>HD066406</t>
  </si>
  <si>
    <t>53 bạch đằng phường gia định</t>
  </si>
  <si>
    <t>( Người nhận: Hải Đăng )Tên : Elly - Đăng</t>
  </si>
  <si>
    <t>HD066322</t>
  </si>
  <si>
    <t>403 Tân Sơn, P.12</t>
  </si>
  <si>
    <t>Thùy Dresss</t>
  </si>
  <si>
    <t>Số 4, đường 11, phường khánh hội</t>
  </si>
  <si>
    <t>Quỳnh Như - Thu Hà</t>
  </si>
  <si>
    <t>29/7 Yên Thế, Phường 2 (sau sáp nhập là 29/7 Yên Thế, Phường Tân Sơn Hòa)</t>
  </si>
  <si>
    <t>Nguyễn Hoài An</t>
  </si>
  <si>
    <t>HD066234</t>
  </si>
  <si>
    <t>15 đặng thai mai p7</t>
  </si>
  <si>
    <t>Nguyễn Diễm</t>
  </si>
  <si>
    <t>HD066530</t>
  </si>
  <si>
    <t>531c-cmt8-p13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</si>
  <si>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</si>
  <si>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</si>
  <si>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</si>
  <si>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</si>
  <si>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</si>
  <si>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</si>
  <si>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Pham T T Thuy</t>
  </si>
  <si>
    <t>HD066383</t>
  </si>
  <si>
    <t>576/76/25 Đoàn Văn Bơ Khánh Hội</t>
  </si>
  <si>
    <t>Thảo</t>
  </si>
  <si>
    <t>HD066471</t>
  </si>
  <si>
    <t>500/35 đoàn văn bơ p14</t>
  </si>
  <si>
    <t>Tên ng nhận jay bi</t>
  </si>
  <si>
    <t>HD066366</t>
  </si>
  <si>
    <t>341 cao đạt p1</t>
  </si>
  <si>
    <t>Nhu Quynh</t>
  </si>
  <si>
    <t>HD065741</t>
  </si>
  <si>
    <t>781 / c9 lê Hồng Phong phường 12</t>
  </si>
  <si>
    <t>HD066259</t>
  </si>
  <si>
    <t>Vô Ngã</t>
  </si>
  <si>
    <t>HD066278</t>
  </si>
  <si>
    <t>21/50 Trường Sơn, P4</t>
  </si>
  <si>
    <t>bống xinh</t>
  </si>
  <si>
    <t>HD066298</t>
  </si>
  <si>
    <t>363 Hùng Vương phường 9 nhà xe Khải nam</t>
  </si>
  <si>
    <t>HD066253</t>
  </si>
  <si>
    <t>đơn trả 14.10</t>
  </si>
  <si>
    <t>8</t>
  </si>
  <si>
    <t>NGAY 14-10</t>
  </si>
  <si>
    <t>AT 14-10</t>
  </si>
  <si>
    <t>14-10-2026</t>
  </si>
  <si>
    <t>HD066880</t>
  </si>
  <si>
    <t>Như Như</t>
  </si>
  <si>
    <t>HD066615</t>
  </si>
  <si>
    <t>66/6 An Dương Vương, phường 16</t>
  </si>
  <si>
    <t>Loan Ngô</t>
  </si>
  <si>
    <t>HD066577</t>
  </si>
  <si>
    <t>21 Lê Quang Sung phường Bình Tây (đối diện bến xe chợ lớn)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</si>
  <si>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</si>
  <si>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</si>
  <si>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</si>
  <si>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</si>
  <si>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</si>
  <si>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</si>
  <si>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Trúc Phương</t>
  </si>
  <si>
    <t>HD066903</t>
  </si>
  <si>
    <t>70/45 đường 339, Phước Long B</t>
  </si>
  <si>
    <t>c Ly</t>
  </si>
  <si>
    <t>HD066898</t>
  </si>
  <si>
    <t>cc Khang Gia 377 Tân Hương. Phường Phú Thọ Hòa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</si>
  <si>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</si>
  <si>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</si>
  <si>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</si>
  <si>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</si>
  <si>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</si>
  <si>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</si>
  <si>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</si>
  <si>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</si>
  <si>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</si>
  <si>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</si>
  <si>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</si>
  <si>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</si>
  <si>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</si>
  <si>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HD066763</t>
  </si>
  <si>
    <t>315/18/6 Nhuyễn Thị Tú, Phường Bình Hưng Hòa B</t>
  </si>
  <si>
    <t>Sang - fb Ivy Thuy Pham sale</t>
  </si>
  <si>
    <t>HD066665</t>
  </si>
  <si>
    <t>tên vân</t>
  </si>
  <si>
    <t>HD066742</t>
  </si>
  <si>
    <t>33/61 bến lội kp7 bình trị đông A</t>
  </si>
  <si>
    <t>Thiên Nhi</t>
  </si>
  <si>
    <t>HD066754</t>
  </si>
  <si>
    <t>21 xóm voi p chợ lớn</t>
  </si>
  <si>
    <t>HD066807</t>
  </si>
  <si>
    <t>Thu Thiem Zeit River tower 1 number T1.08.03, Floor 08, Thu thiem</t>
  </si>
  <si>
    <t>HD066867</t>
  </si>
  <si>
    <t>HD066843</t>
  </si>
  <si>
    <t>Empire city Linden ressidence Mal Chí Thọ Thủ Thiêm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</si>
  <si>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</si>
  <si>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</si>
  <si>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</si>
  <si>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</si>
  <si>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</si>
  <si>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</si>
  <si>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</si>
  <si>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</si>
  <si>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</si>
  <si>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HD066533</t>
  </si>
  <si>
    <t>6/24 tân chánh hiệp 36 trung mỹ tây</t>
  </si>
  <si>
    <t>HD066790</t>
  </si>
  <si>
    <t>778/32/29f Thống Nhất P an hội đông</t>
  </si>
  <si>
    <t>HD066336</t>
  </si>
  <si>
    <t>Nguyen Lang</t>
  </si>
  <si>
    <t>HD066653</t>
  </si>
  <si>
    <t>224/42/24/19 TX 22, thạnh Xuân</t>
  </si>
  <si>
    <t>Vy Vy (Dung)</t>
  </si>
  <si>
    <t>Thảo Trang</t>
  </si>
  <si>
    <t>HD066870</t>
  </si>
  <si>
    <t>220/38 nguyễn văn khối p9</t>
  </si>
  <si>
    <t>HD066832</t>
  </si>
  <si>
    <t>242/20 phạm vän bạch p15</t>
  </si>
  <si>
    <t>A Cường - Hoàng My</t>
  </si>
  <si>
    <t>HD066579</t>
  </si>
  <si>
    <t>685/78/20 xô viết nghệ tĩnh, phường 26</t>
  </si>
  <si>
    <t>W3164</t>
  </si>
  <si>
    <t>HD066647</t>
  </si>
  <si>
    <t>375 tân thới hiệp 21, Tổ 3, Kp3 ( nhớ gõ đủ)</t>
  </si>
  <si>
    <t>Tâm trần - fb ( Cẩm Giang) Kim Sarang</t>
  </si>
  <si>
    <t>HD066783</t>
  </si>
  <si>
    <t>86A trần kế xương</t>
  </si>
  <si>
    <t>Hòa Lê</t>
  </si>
  <si>
    <t>HD066733</t>
  </si>
  <si>
    <t>Toà nhà lux 6...Vinhomes Golden River ( Bason), 2 Nguyễn Hữu Cảnh, P. Bến Nghé</t>
  </si>
  <si>
    <t>HD066596</t>
  </si>
  <si>
    <t>23 nguyễn hữu thọ</t>
  </si>
  <si>
    <t>kh ck shop 760k</t>
  </si>
  <si>
    <t>Joanna Pang</t>
  </si>
  <si>
    <t>HD066759</t>
  </si>
  <si>
    <t>Block A2, 20-02, Cc Xi Grand, 258 Lý Thường Kiệt, p14</t>
  </si>
  <si>
    <t>Ten : Minơ fb Lê Tú</t>
  </si>
  <si>
    <t>HD066728</t>
  </si>
  <si>
    <t>Mai Mai</t>
  </si>
  <si>
    <t>HD066744</t>
  </si>
  <si>
    <t>1041/62/144/4 trần xuân soạn phường tân hưng</t>
  </si>
  <si>
    <t>My Võ ZL</t>
  </si>
  <si>
    <t>HD066895</t>
  </si>
  <si>
    <t>86/36/3 PHỔ QUANG, PHƯỜNG TÂN SƠN HOÀ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</si>
  <si>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</si>
  <si>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</si>
  <si>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</si>
  <si>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</si>
  <si>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</si>
  <si>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</si>
  <si>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Pham Ngoc Nhat Vy</t>
  </si>
  <si>
    <t>HD066919</t>
  </si>
  <si>
    <t>C8 cu xa Phu Tho Hoa p10</t>
  </si>
  <si>
    <t>Nguyễn An Thu Hạ</t>
  </si>
  <si>
    <t>HD066916</t>
  </si>
  <si>
    <t>16 tân canh, tân sơn hoà</t>
  </si>
  <si>
    <t>HD066591</t>
  </si>
  <si>
    <t>đổi hàng, kh ck shop 840k</t>
  </si>
  <si>
    <t>Bội M ( Giao giờ hành chính)</t>
  </si>
  <si>
    <t>HD066869</t>
  </si>
  <si>
    <t>Số 03 Đường Ba Tháng Hai, phường Vườn Lài (địa chỉ cũ P.11)</t>
  </si>
  <si>
    <t>HD066845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</si>
  <si>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</si>
  <si>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</si>
  <si>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</si>
  <si>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</si>
  <si>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</si>
  <si>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</si>
  <si>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</si>
  <si>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</si>
  <si>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</si>
  <si>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</si>
  <si>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</si>
  <si>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</si>
  <si>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Thuỷ</t>
  </si>
  <si>
    <t>HD066866</t>
  </si>
  <si>
    <t>Block b(p2), chung cư sài gòn avenue, đường số 11, p.tam bình</t>
  </si>
  <si>
    <t>Tâm Trần</t>
  </si>
  <si>
    <t>HD066788</t>
  </si>
  <si>
    <t>6</t>
  </si>
  <si>
    <t>đơn trả 15.10</t>
  </si>
  <si>
    <t>kh ck shop 840k</t>
  </si>
  <si>
    <t>T5.15.10.2026</t>
  </si>
  <si>
    <t>T4.14.10.2026</t>
  </si>
  <si>
    <t>T3.13.10.2026</t>
  </si>
  <si>
    <t>NGAY 15-10</t>
  </si>
  <si>
    <t>HD067162</t>
  </si>
  <si>
    <t>sân đá mini cỏ nhân tạo nguyên khối ấp 4 xã bình hưng</t>
  </si>
  <si>
    <t>AT 15-10</t>
  </si>
  <si>
    <t>15-10-2026</t>
  </si>
  <si>
    <t>HD067100</t>
  </si>
  <si>
    <t>Quỳnh Nga</t>
  </si>
  <si>
    <t>HDO1791965444010_472517</t>
  </si>
  <si>
    <t>36/2a duong Nguyễn Văn Bứa, xã Xuân Thoi Son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</si>
  <si>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</si>
  <si>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</si>
  <si>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</si>
  <si>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</si>
  <si>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</si>
  <si>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</si>
  <si>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</si>
  <si>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</si>
  <si>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</si>
  <si>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</si>
  <si>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</si>
  <si>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</si>
  <si>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Na ( Fb Cana Nguyên )</t>
  </si>
  <si>
    <t>HDO1792036195678_472517</t>
  </si>
  <si>
    <t>230/2B/8 Mã Lò - Bình Trị Đông A</t>
  </si>
  <si>
    <t>Thanh Ngân</t>
  </si>
  <si>
    <t>HD067187</t>
  </si>
  <si>
    <t>14/188 Phạm Hùng, Bình Hưng</t>
  </si>
  <si>
    <t>Miew</t>
  </si>
  <si>
    <t>W24130 Labelle</t>
  </si>
  <si>
    <t>HD067255</t>
  </si>
  <si>
    <t>624 Lê Thị Riêng, thới an - Bãi xe thiên Quân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</si>
  <si>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</si>
  <si>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</si>
  <si>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</si>
  <si>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</si>
  <si>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</si>
  <si>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</si>
  <si>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</si>
  <si>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</si>
  <si>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</si>
  <si>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</si>
  <si>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Hà Oanh</t>
  </si>
  <si>
    <t>HD067118</t>
  </si>
  <si>
    <t>Chung cư bộ công an, đường số 3,lock A, sảnh A2, phường an khánh</t>
  </si>
  <si>
    <t>Hoàng Hồng</t>
  </si>
  <si>
    <t>HD067101</t>
  </si>
  <si>
    <t>245 Nguyễn văn hưởng thảo điền</t>
  </si>
  <si>
    <t>Nguyễn thị Bé - fb Angel's Thai</t>
  </si>
  <si>
    <t>HD067102</t>
  </si>
  <si>
    <t>Empire City Thủ Thiêm, Cây Bàn, Tháp Linden, Phường Thủ Thiêm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</si>
  <si>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</si>
  <si>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</si>
  <si>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</si>
  <si>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</si>
  <si>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</si>
  <si>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</si>
  <si>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</si>
  <si>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</si>
  <si>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</si>
  <si>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</si>
  <si>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</si>
  <si>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</si>
  <si>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</si>
  <si>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</si>
  <si>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</si>
  <si>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Yang Yang</t>
  </si>
  <si>
    <t>HD067156</t>
  </si>
  <si>
    <t>32 đường số 8 KDC Cityland park hill p10</t>
  </si>
  <si>
    <t>kh ck shop 2720k</t>
  </si>
  <si>
    <t>Trần Hoàng Quyên</t>
  </si>
  <si>
    <t>HD067222</t>
  </si>
  <si>
    <t>469/40 đoàn văn bơ phuong xóm chiếu</t>
  </si>
  <si>
    <t>quỳnh trang</t>
  </si>
  <si>
    <t>HD066978</t>
  </si>
  <si>
    <t>11 thép mới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</si>
  <si>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</si>
  <si>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</si>
  <si>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</si>
  <si>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</si>
  <si>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</si>
  <si>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</si>
  <si>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</si>
  <si>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</si>
  <si>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</si>
  <si>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</si>
  <si>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</si>
  <si>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</si>
  <si>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</si>
  <si>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</si>
  <si>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</si>
  <si>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Kim Ân Hân</t>
  </si>
  <si>
    <t>HD067030</t>
  </si>
  <si>
    <t>009 Lô f chung cư Ngô gia tự p2</t>
  </si>
  <si>
    <t>quý bùi</t>
  </si>
  <si>
    <t>HD067077</t>
  </si>
  <si>
    <t>463b/27 cmt8 hòa hưng p13 cũ</t>
  </si>
  <si>
    <t>Niie Bao Bei</t>
  </si>
  <si>
    <t>HD066897</t>
  </si>
  <si>
    <t>Iris2 Chung cư Ha Do centrosa đường Cao Thắng Hoà Hưng</t>
  </si>
  <si>
    <t>Minh Hồng Nguyễn</t>
  </si>
  <si>
    <t>HD067277</t>
  </si>
  <si>
    <t>jasmine 1 Hà đô -118 Đường 3/2, phường 12</t>
  </si>
  <si>
    <t>Minh Trang</t>
  </si>
  <si>
    <t>HD067064</t>
  </si>
  <si>
    <t>1-3 Năm Châu phường Bảy Hiền</t>
  </si>
  <si>
    <t>Tường Vy</t>
  </si>
  <si>
    <t>HD067083</t>
  </si>
  <si>
    <t>61/14 an bình p6</t>
  </si>
  <si>
    <t>HD067229</t>
  </si>
  <si>
    <t>37 Cư Xá trần quang diệu p14</t>
  </si>
  <si>
    <t>dung - fb My Ruan</t>
  </si>
  <si>
    <t>HD067025</t>
  </si>
  <si>
    <t>32 ng du. Bến nghé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</si>
</sst>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0" fillId="0" borderId="0" applyBorder="0"/>
  </cellStyleXfs>
  <cellXfs count="52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9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0" borderId="1" xfId="0" applyFont="1" applyBorder="1"/>
    <xf numFmtId="3" fontId="9" fillId="0" borderId="1" xfId="0" applyNumberFormat="1" applyFont="1" applyBorder="1"/>
    <xf numFmtId="3" fontId="2" fillId="0" borderId="0" xfId="1" applyNumberFormat="1"/>
    <xf numFmtId="0" fontId="8" fillId="8" borderId="1" xfId="0" applyFont="1" applyFill="1" applyBorder="1"/>
    <xf numFmtId="49" fontId="8" fillId="8" borderId="1" xfId="0" applyNumberFormat="1" applyFont="1" applyFill="1" applyBorder="1"/>
    <xf numFmtId="0" fontId="9" fillId="0" borderId="1" xfId="2" applyFont="1" applyBorder="1"/>
    <xf numFmtId="0" fontId="9" fillId="0" borderId="0" xfId="0" applyFont="1"/>
    <xf numFmtId="3" fontId="0" fillId="9" borderId="0" xfId="0" applyNumberFormat="1" applyFill="1"/>
    <xf numFmtId="0" fontId="11" fillId="8" borderId="1" xfId="0" applyFont="1" applyFill="1" applyBorder="1"/>
    <xf numFmtId="49" fontId="11" fillId="8" borderId="1" xfId="0" applyNumberFormat="1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12" fillId="0" borderId="1" xfId="0" applyFont="1" applyBorder="1"/>
    <xf numFmtId="0" fontId="12" fillId="8" borderId="1" xfId="0" applyFont="1" applyFill="1" applyBorder="1"/>
    <xf numFmtId="3" fontId="12" fillId="8" borderId="1" xfId="0" applyNumberFormat="1" applyFont="1" applyFill="1" applyBorder="1"/>
    <xf numFmtId="0" fontId="13" fillId="8" borderId="1" xfId="0" applyFont="1" applyFill="1" applyBorder="1"/>
    <xf numFmtId="3" fontId="13" fillId="8" borderId="0" xfId="0" applyNumberFormat="1" applyFont="1" applyFill="1"/>
    <xf numFmtId="0" fontId="13" fillId="8" borderId="0" xfId="0" applyFont="1" applyFill="1"/>
    <xf numFmtId="0" fontId="8" fillId="2" borderId="1" xfId="0" applyFont="1" applyFill="1" applyBorder="1"/>
    <xf numFmtId="0" fontId="11" fillId="2" borderId="1" xfId="0" applyFont="1" applyFill="1" applyBorder="1"/>
    <xf numFmtId="0" fontId="8" fillId="10" borderId="1" xfId="0" applyFont="1" applyFill="1" applyBorder="1"/>
    <xf numFmtId="3" fontId="8" fillId="8" borderId="1" xfId="0" applyNumberFormat="1" applyFont="1" applyFill="1" applyBorder="1"/>
    <xf numFmtId="0" fontId="0" fillId="8" borderId="1" xfId="0" applyFill="1" applyBorder="1"/>
    <xf numFmtId="0" fontId="0" fillId="8" borderId="0" xfId="0" applyFill="1"/>
    <xf numFmtId="0" fontId="8" fillId="8" borderId="0" xfId="0" applyFont="1" applyFill="1"/>
    <xf numFmtId="0" fontId="9" fillId="10" borderId="0" xfId="0" applyFont="1" applyFill="1"/>
    <xf numFmtId="3" fontId="0" fillId="8" borderId="0" xfId="0" applyNumberFormat="1" applyFill="1"/>
    <xf numFmtId="0" fontId="9" fillId="8" borderId="1" xfId="0" applyFont="1" applyFill="1" applyBorder="1"/>
  </cellXfs>
  <cellStyles count="3">
    <cellStyle name="Normal" xfId="0" builtinId="0"/>
    <cellStyle name="Normal 2" xfId="1" xr:uid="{D1AD9FCC-7941-4EA1-A803-F399CA3A662E}"/>
    <cellStyle name="Normal 3" xfId="2" xr:uid="{B7CAC693-781B-44FA-BA83-88263A154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181</v>
      </c>
      <c r="C1" s="1" t="s">
        <v>182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28</v>
      </c>
      <c r="D3" s="17"/>
      <c r="E3" s="17" t="s">
        <v>29</v>
      </c>
      <c r="F3" s="17" t="s">
        <v>30</v>
      </c>
      <c r="G3" s="18">
        <v>0</v>
      </c>
      <c r="H3" s="18">
        <v>35</v>
      </c>
      <c r="I3" s="18">
        <f t="shared" ref="I3:I51" si="0">G3-H3</f>
        <v>-35</v>
      </c>
      <c r="J3" s="17" t="s">
        <v>31</v>
      </c>
      <c r="K3" s="17" t="s">
        <v>32</v>
      </c>
      <c r="L3" s="17" t="s">
        <v>33</v>
      </c>
      <c r="M3" s="17"/>
      <c r="N3" s="17"/>
      <c r="O3" s="17"/>
      <c r="P3" s="17"/>
      <c r="Q3" s="17">
        <v>1</v>
      </c>
      <c r="R3" s="19">
        <f t="shared" ref="R3:R4" si="1">H3</f>
        <v>35</v>
      </c>
    </row>
    <row r="4" spans="1:18" customFormat="1" x14ac:dyDescent="0.25">
      <c r="A4" s="17" t="s">
        <v>26</v>
      </c>
      <c r="B4" s="17" t="s">
        <v>27</v>
      </c>
      <c r="C4" s="17" t="s">
        <v>34</v>
      </c>
      <c r="D4" s="17"/>
      <c r="E4" s="17" t="s">
        <v>35</v>
      </c>
      <c r="F4" s="18">
        <v>6</v>
      </c>
      <c r="G4" s="18">
        <v>0</v>
      </c>
      <c r="H4" s="18">
        <v>30</v>
      </c>
      <c r="I4" s="18">
        <f t="shared" si="0"/>
        <v>-30</v>
      </c>
      <c r="J4" s="17" t="s">
        <v>31</v>
      </c>
      <c r="K4" s="17" t="s">
        <v>32</v>
      </c>
      <c r="L4" s="17" t="s">
        <v>33</v>
      </c>
      <c r="M4" s="17"/>
      <c r="N4" s="17"/>
      <c r="O4" s="17"/>
      <c r="P4" s="17"/>
      <c r="Q4" s="17">
        <v>1</v>
      </c>
      <c r="R4" s="19">
        <f t="shared" si="1"/>
        <v>30</v>
      </c>
    </row>
    <row r="5" spans="1:18" customFormat="1" x14ac:dyDescent="0.25">
      <c r="A5" s="17"/>
      <c r="B5" s="17" t="s">
        <v>27</v>
      </c>
      <c r="C5" s="17" t="s">
        <v>36</v>
      </c>
      <c r="D5" s="17" t="s">
        <v>37</v>
      </c>
      <c r="E5" s="17" t="s">
        <v>38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31</v>
      </c>
      <c r="K5" s="17" t="s">
        <v>32</v>
      </c>
      <c r="L5" s="17" t="s">
        <v>33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39</v>
      </c>
      <c r="D6" s="17" t="s">
        <v>40</v>
      </c>
      <c r="E6" s="17" t="s">
        <v>41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31</v>
      </c>
      <c r="K6" s="17" t="s">
        <v>32</v>
      </c>
      <c r="L6" s="17" t="s">
        <v>33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42</v>
      </c>
      <c r="D7" s="17" t="s">
        <v>43</v>
      </c>
      <c r="E7" s="17" t="s">
        <v>44</v>
      </c>
      <c r="F7" s="18">
        <v>6</v>
      </c>
      <c r="G7" s="18">
        <v>755</v>
      </c>
      <c r="H7" s="18">
        <v>25</v>
      </c>
      <c r="I7" s="18">
        <f t="shared" si="0"/>
        <v>730</v>
      </c>
      <c r="J7" s="17" t="s">
        <v>31</v>
      </c>
      <c r="K7" s="17" t="s">
        <v>32</v>
      </c>
      <c r="L7" s="17" t="s">
        <v>33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</v>
      </c>
      <c r="D8" s="17" t="s">
        <v>46</v>
      </c>
      <c r="E8" s="17" t="s">
        <v>47</v>
      </c>
      <c r="F8" s="17" t="s">
        <v>30</v>
      </c>
      <c r="G8" s="18">
        <v>0</v>
      </c>
      <c r="H8" s="18">
        <v>30</v>
      </c>
      <c r="I8" s="18">
        <f t="shared" si="0"/>
        <v>-30</v>
      </c>
      <c r="J8" s="17" t="s">
        <v>31</v>
      </c>
      <c r="K8" s="17" t="s">
        <v>32</v>
      </c>
      <c r="L8" s="17" t="s">
        <v>33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27</v>
      </c>
      <c r="C9" s="17" t="s">
        <v>48</v>
      </c>
      <c r="D9" s="17" t="s">
        <v>49</v>
      </c>
      <c r="E9" s="17" t="s">
        <v>50</v>
      </c>
      <c r="F9" s="17" t="s">
        <v>51</v>
      </c>
      <c r="G9" s="18">
        <v>525</v>
      </c>
      <c r="H9" s="18">
        <v>35</v>
      </c>
      <c r="I9" s="18">
        <f t="shared" si="0"/>
        <v>490</v>
      </c>
      <c r="J9" s="17" t="s">
        <v>31</v>
      </c>
      <c r="K9" s="17" t="s">
        <v>32</v>
      </c>
      <c r="L9" s="17" t="s">
        <v>33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52</v>
      </c>
      <c r="D10" s="17" t="s">
        <v>53</v>
      </c>
      <c r="E10" s="17" t="s">
        <v>54</v>
      </c>
      <c r="F10" s="17" t="s">
        <v>30</v>
      </c>
      <c r="G10" s="18">
        <v>1970</v>
      </c>
      <c r="H10" s="18">
        <v>30</v>
      </c>
      <c r="I10" s="18">
        <f t="shared" si="0"/>
        <v>1940</v>
      </c>
      <c r="J10" s="17" t="s">
        <v>31</v>
      </c>
      <c r="K10" s="17" t="s">
        <v>32</v>
      </c>
      <c r="L10" s="17" t="s">
        <v>33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55</v>
      </c>
      <c r="D11" s="17" t="s">
        <v>56</v>
      </c>
      <c r="E11" s="17" t="s">
        <v>57</v>
      </c>
      <c r="F11" s="18">
        <v>9</v>
      </c>
      <c r="G11" s="18">
        <v>1800</v>
      </c>
      <c r="H11" s="18">
        <v>30</v>
      </c>
      <c r="I11" s="18">
        <f t="shared" si="0"/>
        <v>1770</v>
      </c>
      <c r="J11" s="17" t="s">
        <v>31</v>
      </c>
      <c r="K11" s="17" t="s">
        <v>32</v>
      </c>
      <c r="L11" s="17" t="s">
        <v>33</v>
      </c>
      <c r="M11" s="20" t="s">
        <v>58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59</v>
      </c>
      <c r="D12" s="17" t="s">
        <v>60</v>
      </c>
      <c r="E12" s="17" t="s">
        <v>61</v>
      </c>
      <c r="F12" s="17" t="s">
        <v>51</v>
      </c>
      <c r="G12" s="18">
        <v>995</v>
      </c>
      <c r="H12" s="18">
        <v>35</v>
      </c>
      <c r="I12" s="18">
        <f t="shared" si="0"/>
        <v>960</v>
      </c>
      <c r="J12" s="17" t="s">
        <v>31</v>
      </c>
      <c r="K12" s="17" t="s">
        <v>32</v>
      </c>
      <c r="L12" s="17" t="s">
        <v>33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62</v>
      </c>
      <c r="D13" s="17" t="s">
        <v>63</v>
      </c>
      <c r="E13" s="17" t="s">
        <v>64</v>
      </c>
      <c r="F13" s="18">
        <v>7</v>
      </c>
      <c r="G13" s="18">
        <v>620</v>
      </c>
      <c r="H13" s="18">
        <v>30</v>
      </c>
      <c r="I13" s="18">
        <f t="shared" si="0"/>
        <v>590</v>
      </c>
      <c r="J13" s="17" t="s">
        <v>31</v>
      </c>
      <c r="K13" s="17" t="s">
        <v>32</v>
      </c>
      <c r="L13" s="17" t="s">
        <v>33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65</v>
      </c>
      <c r="D14" s="17" t="s">
        <v>66</v>
      </c>
      <c r="E14" s="17" t="s">
        <v>67</v>
      </c>
      <c r="F14" s="18">
        <v>7</v>
      </c>
      <c r="G14" s="18">
        <v>490</v>
      </c>
      <c r="H14" s="18">
        <v>30</v>
      </c>
      <c r="I14" s="18">
        <f t="shared" si="0"/>
        <v>460</v>
      </c>
      <c r="J14" s="17" t="s">
        <v>31</v>
      </c>
      <c r="K14" s="17" t="s">
        <v>32</v>
      </c>
      <c r="L14" s="17" t="s">
        <v>33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68</v>
      </c>
      <c r="D15" s="17" t="s">
        <v>69</v>
      </c>
      <c r="E15" s="17" t="s">
        <v>70</v>
      </c>
      <c r="F15" s="17" t="s">
        <v>71</v>
      </c>
      <c r="G15" s="18">
        <v>0</v>
      </c>
      <c r="H15" s="18">
        <v>30</v>
      </c>
      <c r="I15" s="18">
        <f t="shared" si="0"/>
        <v>-30</v>
      </c>
      <c r="J15" s="17" t="s">
        <v>31</v>
      </c>
      <c r="K15" s="17" t="s">
        <v>32</v>
      </c>
      <c r="L15" s="17" t="s">
        <v>33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72</v>
      </c>
      <c r="D16" s="17" t="s">
        <v>73</v>
      </c>
      <c r="E16" s="17" t="s">
        <v>74</v>
      </c>
      <c r="F16" s="18">
        <v>8</v>
      </c>
      <c r="G16" s="18">
        <v>30</v>
      </c>
      <c r="H16" s="18">
        <v>30</v>
      </c>
      <c r="I16" s="18">
        <f t="shared" si="0"/>
        <v>0</v>
      </c>
      <c r="J16" s="17" t="s">
        <v>31</v>
      </c>
      <c r="K16" s="17" t="s">
        <v>32</v>
      </c>
      <c r="L16" s="17" t="s">
        <v>33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75</v>
      </c>
      <c r="D17" s="17"/>
      <c r="E17" s="17" t="s">
        <v>76</v>
      </c>
      <c r="F17" s="17" t="s">
        <v>77</v>
      </c>
      <c r="G17" s="18">
        <v>3250</v>
      </c>
      <c r="H17" s="18">
        <v>30</v>
      </c>
      <c r="I17" s="18">
        <f t="shared" si="0"/>
        <v>3220</v>
      </c>
      <c r="J17" s="17" t="s">
        <v>32</v>
      </c>
      <c r="K17" s="17" t="s">
        <v>32</v>
      </c>
      <c r="L17" s="17" t="s">
        <v>33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26</v>
      </c>
      <c r="B18" s="17" t="s">
        <v>27</v>
      </c>
      <c r="C18" s="17" t="s">
        <v>78</v>
      </c>
      <c r="D18" s="17"/>
      <c r="E18" s="17" t="s">
        <v>79</v>
      </c>
      <c r="F18" s="17" t="s">
        <v>80</v>
      </c>
      <c r="G18" s="18">
        <v>3030</v>
      </c>
      <c r="H18" s="18">
        <v>40</v>
      </c>
      <c r="I18" s="18">
        <f t="shared" si="0"/>
        <v>2990</v>
      </c>
      <c r="J18" s="17" t="s">
        <v>32</v>
      </c>
      <c r="K18" s="17" t="s">
        <v>32</v>
      </c>
      <c r="L18" s="17" t="s">
        <v>33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81</v>
      </c>
      <c r="D19" s="17"/>
      <c r="E19" s="17" t="s">
        <v>82</v>
      </c>
      <c r="F19" s="18">
        <v>2</v>
      </c>
      <c r="G19" s="18">
        <v>35</v>
      </c>
      <c r="H19" s="18">
        <v>35</v>
      </c>
      <c r="I19" s="18">
        <f t="shared" si="0"/>
        <v>0</v>
      </c>
      <c r="J19" s="17" t="s">
        <v>32</v>
      </c>
      <c r="K19" s="17" t="s">
        <v>32</v>
      </c>
      <c r="L19" s="17" t="s">
        <v>33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</v>
      </c>
      <c r="D20" s="17" t="s">
        <v>84</v>
      </c>
      <c r="E20" s="17" t="s">
        <v>85</v>
      </c>
      <c r="F20" s="17" t="s">
        <v>77</v>
      </c>
      <c r="G20" s="18">
        <v>0</v>
      </c>
      <c r="H20" s="18">
        <v>25</v>
      </c>
      <c r="I20" s="18">
        <f t="shared" si="0"/>
        <v>-25</v>
      </c>
      <c r="J20" s="17" t="s">
        <v>32</v>
      </c>
      <c r="K20" s="17" t="s">
        <v>32</v>
      </c>
      <c r="L20" s="17" t="s">
        <v>33</v>
      </c>
      <c r="M20" s="17"/>
      <c r="N20" s="17"/>
      <c r="O20" s="17"/>
      <c r="P20" s="17"/>
      <c r="Q20" s="17">
        <v>1</v>
      </c>
      <c r="R20" s="19">
        <f t="shared" ref="R20:R21" si="2">H20</f>
        <v>25</v>
      </c>
    </row>
    <row r="21" spans="1:18" customFormat="1" x14ac:dyDescent="0.25">
      <c r="A21" s="17"/>
      <c r="B21" s="17" t="s">
        <v>27</v>
      </c>
      <c r="C21" s="17" t="s">
        <v>86</v>
      </c>
      <c r="D21" s="17" t="s">
        <v>87</v>
      </c>
      <c r="E21" s="17" t="s">
        <v>88</v>
      </c>
      <c r="F21" s="18">
        <v>2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33</v>
      </c>
      <c r="M21" s="17"/>
      <c r="N21" s="17"/>
      <c r="O21" s="17"/>
      <c r="P21" s="17"/>
      <c r="Q21" s="17">
        <v>1</v>
      </c>
      <c r="R21" s="19">
        <f t="shared" si="2"/>
        <v>30</v>
      </c>
    </row>
    <row r="22" spans="1:18" customFormat="1" x14ac:dyDescent="0.25">
      <c r="A22" s="17"/>
      <c r="B22" s="17" t="s">
        <v>27</v>
      </c>
      <c r="C22" s="17" t="s">
        <v>89</v>
      </c>
      <c r="D22" s="17" t="s">
        <v>90</v>
      </c>
      <c r="E22" s="17" t="s">
        <v>91</v>
      </c>
      <c r="F22" s="17" t="s">
        <v>77</v>
      </c>
      <c r="G22" s="18">
        <v>565</v>
      </c>
      <c r="H22" s="18">
        <v>25</v>
      </c>
      <c r="I22" s="18">
        <f t="shared" si="0"/>
        <v>540</v>
      </c>
      <c r="J22" s="17" t="s">
        <v>32</v>
      </c>
      <c r="K22" s="17" t="s">
        <v>32</v>
      </c>
      <c r="L22" s="17" t="s">
        <v>33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92</v>
      </c>
      <c r="D23" s="17" t="s">
        <v>93</v>
      </c>
      <c r="E23" s="17" t="s">
        <v>94</v>
      </c>
      <c r="F23" s="18">
        <v>2</v>
      </c>
      <c r="G23" s="18">
        <v>990</v>
      </c>
      <c r="H23" s="18">
        <v>30</v>
      </c>
      <c r="I23" s="18">
        <f t="shared" si="0"/>
        <v>960</v>
      </c>
      <c r="J23" s="17" t="s">
        <v>32</v>
      </c>
      <c r="K23" s="17" t="s">
        <v>32</v>
      </c>
      <c r="L23" s="17" t="s">
        <v>33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95</v>
      </c>
      <c r="D24" s="17" t="s">
        <v>96</v>
      </c>
      <c r="E24" s="17" t="s">
        <v>97</v>
      </c>
      <c r="F24" s="17" t="s">
        <v>98</v>
      </c>
      <c r="G24" s="18">
        <v>880</v>
      </c>
      <c r="H24" s="18">
        <v>20</v>
      </c>
      <c r="I24" s="18">
        <f t="shared" si="0"/>
        <v>860</v>
      </c>
      <c r="J24" s="17" t="s">
        <v>32</v>
      </c>
      <c r="K24" s="17" t="s">
        <v>32</v>
      </c>
      <c r="L24" s="17" t="s">
        <v>33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99</v>
      </c>
      <c r="D25" s="17" t="s">
        <v>100</v>
      </c>
      <c r="E25" s="17" t="s">
        <v>101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33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102</v>
      </c>
      <c r="D26" s="17" t="s">
        <v>103</v>
      </c>
      <c r="E26" s="17" t="s">
        <v>104</v>
      </c>
      <c r="F26" s="17" t="s">
        <v>71</v>
      </c>
      <c r="G26" s="18">
        <v>990</v>
      </c>
      <c r="H26" s="18">
        <v>30</v>
      </c>
      <c r="I26" s="18">
        <f t="shared" si="0"/>
        <v>960</v>
      </c>
      <c r="J26" s="17" t="s">
        <v>32</v>
      </c>
      <c r="K26" s="17" t="s">
        <v>32</v>
      </c>
      <c r="L26" s="17" t="s">
        <v>33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105</v>
      </c>
      <c r="D27" s="17" t="s">
        <v>106</v>
      </c>
      <c r="E27" s="17" t="s">
        <v>107</v>
      </c>
      <c r="F27" s="17" t="s">
        <v>77</v>
      </c>
      <c r="G27" s="18">
        <v>645</v>
      </c>
      <c r="H27" s="18">
        <v>25</v>
      </c>
      <c r="I27" s="18">
        <f t="shared" si="0"/>
        <v>620</v>
      </c>
      <c r="J27" s="17" t="s">
        <v>32</v>
      </c>
      <c r="K27" s="17" t="s">
        <v>32</v>
      </c>
      <c r="L27" s="17" t="s">
        <v>33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108</v>
      </c>
      <c r="D28" s="17" t="s">
        <v>109</v>
      </c>
      <c r="E28" s="17" t="s">
        <v>110</v>
      </c>
      <c r="F28" s="17" t="s">
        <v>98</v>
      </c>
      <c r="G28" s="18">
        <v>710</v>
      </c>
      <c r="H28" s="18">
        <v>20</v>
      </c>
      <c r="I28" s="18">
        <f t="shared" si="0"/>
        <v>690</v>
      </c>
      <c r="J28" s="17" t="s">
        <v>32</v>
      </c>
      <c r="K28" s="17" t="s">
        <v>32</v>
      </c>
      <c r="L28" s="17" t="s">
        <v>33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111</v>
      </c>
      <c r="D29" s="17" t="s">
        <v>112</v>
      </c>
      <c r="E29" s="17" t="s">
        <v>113</v>
      </c>
      <c r="F29" s="18">
        <v>12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33</v>
      </c>
      <c r="M29" s="20" t="s">
        <v>114</v>
      </c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27</v>
      </c>
      <c r="C30" s="17" t="s">
        <v>115</v>
      </c>
      <c r="D30" s="17" t="s">
        <v>116</v>
      </c>
      <c r="E30" s="17" t="s">
        <v>117</v>
      </c>
      <c r="F30" s="17" t="s">
        <v>98</v>
      </c>
      <c r="G30" s="18">
        <v>790</v>
      </c>
      <c r="H30" s="18">
        <v>20</v>
      </c>
      <c r="I30" s="18">
        <f t="shared" si="0"/>
        <v>770</v>
      </c>
      <c r="J30" s="17" t="s">
        <v>32</v>
      </c>
      <c r="K30" s="17" t="s">
        <v>32</v>
      </c>
      <c r="L30" s="17" t="s">
        <v>33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118</v>
      </c>
      <c r="D31" s="17" t="s">
        <v>119</v>
      </c>
      <c r="E31" s="17" t="s">
        <v>120</v>
      </c>
      <c r="F31" s="18">
        <v>12</v>
      </c>
      <c r="G31" s="18">
        <v>820</v>
      </c>
      <c r="H31" s="18">
        <v>30</v>
      </c>
      <c r="I31" s="18">
        <f t="shared" si="0"/>
        <v>790</v>
      </c>
      <c r="J31" s="17" t="s">
        <v>32</v>
      </c>
      <c r="K31" s="17" t="s">
        <v>32</v>
      </c>
      <c r="L31" s="17" t="s">
        <v>33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121</v>
      </c>
      <c r="D32" s="17" t="s">
        <v>122</v>
      </c>
      <c r="E32" s="17" t="s">
        <v>123</v>
      </c>
      <c r="F32" s="18">
        <v>12</v>
      </c>
      <c r="G32" s="18">
        <v>0</v>
      </c>
      <c r="H32" s="18">
        <v>30</v>
      </c>
      <c r="I32" s="18">
        <f t="shared" si="0"/>
        <v>-30</v>
      </c>
      <c r="J32" s="17" t="s">
        <v>32</v>
      </c>
      <c r="K32" s="17" t="s">
        <v>32</v>
      </c>
      <c r="L32" s="17" t="s">
        <v>33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/>
      <c r="B33" s="17" t="s">
        <v>27</v>
      </c>
      <c r="C33" s="17" t="s">
        <v>124</v>
      </c>
      <c r="D33" s="17" t="s">
        <v>125</v>
      </c>
      <c r="E33" s="17" t="s">
        <v>126</v>
      </c>
      <c r="F33" s="18">
        <v>2</v>
      </c>
      <c r="G33" s="18">
        <v>2380</v>
      </c>
      <c r="H33" s="18">
        <v>35</v>
      </c>
      <c r="I33" s="18">
        <f t="shared" si="0"/>
        <v>2345</v>
      </c>
      <c r="J33" s="17" t="s">
        <v>32</v>
      </c>
      <c r="K33" s="17" t="s">
        <v>32</v>
      </c>
      <c r="L33" s="17" t="s">
        <v>33</v>
      </c>
      <c r="M33" s="20" t="s">
        <v>58</v>
      </c>
      <c r="N33" s="17"/>
      <c r="O33" s="17"/>
      <c r="P33" s="17"/>
      <c r="Q33" s="17">
        <v>1</v>
      </c>
      <c r="R33" s="19">
        <f>H33</f>
        <v>35</v>
      </c>
    </row>
    <row r="34" spans="1:18" customFormat="1" x14ac:dyDescent="0.25">
      <c r="A34" s="17"/>
      <c r="B34" s="17" t="s">
        <v>27</v>
      </c>
      <c r="C34" s="17" t="s">
        <v>127</v>
      </c>
      <c r="D34" s="17" t="s">
        <v>128</v>
      </c>
      <c r="E34" s="17" t="s">
        <v>129</v>
      </c>
      <c r="F34" s="17" t="s">
        <v>130</v>
      </c>
      <c r="G34" s="18">
        <v>0</v>
      </c>
      <c r="H34" s="18">
        <v>25</v>
      </c>
      <c r="I34" s="18">
        <f t="shared" si="0"/>
        <v>-25</v>
      </c>
      <c r="J34" s="17" t="s">
        <v>32</v>
      </c>
      <c r="K34" s="17" t="s">
        <v>32</v>
      </c>
      <c r="L34" s="17" t="s">
        <v>33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131</v>
      </c>
      <c r="D35" s="17" t="s">
        <v>132</v>
      </c>
      <c r="E35" s="17" t="s">
        <v>133</v>
      </c>
      <c r="F35" s="17" t="s">
        <v>77</v>
      </c>
      <c r="G35" s="18">
        <v>985</v>
      </c>
      <c r="H35" s="18">
        <v>25</v>
      </c>
      <c r="I35" s="18">
        <f t="shared" si="0"/>
        <v>960</v>
      </c>
      <c r="J35" s="17" t="s">
        <v>32</v>
      </c>
      <c r="K35" s="17" t="s">
        <v>32</v>
      </c>
      <c r="L35" s="17" t="s">
        <v>33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134</v>
      </c>
      <c r="D36" s="17" t="s">
        <v>135</v>
      </c>
      <c r="E36" s="17" t="s">
        <v>136</v>
      </c>
      <c r="F36" s="18">
        <v>9</v>
      </c>
      <c r="G36" s="18">
        <v>1610</v>
      </c>
      <c r="H36" s="18">
        <v>30</v>
      </c>
      <c r="I36" s="18">
        <f t="shared" si="0"/>
        <v>1580</v>
      </c>
      <c r="J36" s="17" t="s">
        <v>32</v>
      </c>
      <c r="K36" s="17" t="s">
        <v>32</v>
      </c>
      <c r="L36" s="17" t="s">
        <v>33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137</v>
      </c>
      <c r="D37" s="17"/>
      <c r="E37" s="17" t="s">
        <v>101</v>
      </c>
      <c r="F37" s="18">
        <v>12</v>
      </c>
      <c r="G37" s="18">
        <v>0</v>
      </c>
      <c r="H37" s="18">
        <v>40</v>
      </c>
      <c r="I37" s="18">
        <f t="shared" si="0"/>
        <v>-40</v>
      </c>
      <c r="J37" s="17" t="s">
        <v>32</v>
      </c>
      <c r="K37" s="17" t="s">
        <v>32</v>
      </c>
      <c r="L37" s="17" t="s">
        <v>33</v>
      </c>
      <c r="M37" s="17"/>
      <c r="N37" s="17"/>
      <c r="O37" s="17"/>
      <c r="P37" s="17"/>
      <c r="Q37" s="17">
        <v>1</v>
      </c>
      <c r="R37" s="19">
        <f>H37</f>
        <v>40</v>
      </c>
    </row>
    <row r="38" spans="1:18" customFormat="1" x14ac:dyDescent="0.25">
      <c r="A38" s="17" t="s">
        <v>26</v>
      </c>
      <c r="B38" s="17" t="s">
        <v>27</v>
      </c>
      <c r="C38" s="17" t="s">
        <v>138</v>
      </c>
      <c r="D38" s="17"/>
      <c r="E38" s="17" t="s">
        <v>139</v>
      </c>
      <c r="F38" s="18">
        <v>5</v>
      </c>
      <c r="G38" s="18">
        <v>1290</v>
      </c>
      <c r="H38" s="18">
        <v>30</v>
      </c>
      <c r="I38" s="18">
        <f t="shared" si="0"/>
        <v>1260</v>
      </c>
      <c r="J38" s="17" t="s">
        <v>140</v>
      </c>
      <c r="K38" s="17" t="s">
        <v>32</v>
      </c>
      <c r="L38" s="17" t="s">
        <v>33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141</v>
      </c>
      <c r="D39" s="17" t="s">
        <v>142</v>
      </c>
      <c r="E39" s="17" t="s">
        <v>143</v>
      </c>
      <c r="F39" s="18">
        <v>1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33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144</v>
      </c>
      <c r="D40" s="17" t="s">
        <v>145</v>
      </c>
      <c r="E40" s="17" t="s">
        <v>146</v>
      </c>
      <c r="F40" s="18">
        <v>3</v>
      </c>
      <c r="G40" s="18">
        <v>1745</v>
      </c>
      <c r="H40" s="18">
        <v>25</v>
      </c>
      <c r="I40" s="18">
        <f t="shared" si="0"/>
        <v>1720</v>
      </c>
      <c r="J40" s="17" t="s">
        <v>140</v>
      </c>
      <c r="K40" s="17" t="s">
        <v>32</v>
      </c>
      <c r="L40" s="17" t="s">
        <v>33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147</v>
      </c>
      <c r="D41" s="17" t="s">
        <v>148</v>
      </c>
      <c r="E41" s="17" t="s">
        <v>149</v>
      </c>
      <c r="F41" s="18">
        <v>1</v>
      </c>
      <c r="G41" s="18">
        <v>755</v>
      </c>
      <c r="H41" s="18">
        <v>25</v>
      </c>
      <c r="I41" s="18">
        <f t="shared" si="0"/>
        <v>730</v>
      </c>
      <c r="J41" s="17" t="s">
        <v>140</v>
      </c>
      <c r="K41" s="17" t="s">
        <v>32</v>
      </c>
      <c r="L41" s="17" t="s">
        <v>33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150</v>
      </c>
      <c r="D42" s="21" t="s">
        <v>151</v>
      </c>
      <c r="E42" s="21" t="s">
        <v>152</v>
      </c>
      <c r="F42" s="22">
        <v>1</v>
      </c>
      <c r="G42" s="22">
        <v>25</v>
      </c>
      <c r="H42" s="22">
        <v>25</v>
      </c>
      <c r="I42" s="22">
        <f t="shared" si="0"/>
        <v>0</v>
      </c>
      <c r="J42" s="21" t="s">
        <v>140</v>
      </c>
      <c r="K42" s="21" t="s">
        <v>32</v>
      </c>
      <c r="L42" s="21" t="s">
        <v>33</v>
      </c>
      <c r="M42" s="21" t="s">
        <v>153</v>
      </c>
      <c r="N42" s="21"/>
      <c r="O42" s="21"/>
      <c r="P42" s="21"/>
      <c r="Q42" s="21">
        <v>1</v>
      </c>
    </row>
    <row r="43" spans="1:18" customFormat="1" x14ac:dyDescent="0.25">
      <c r="A43" s="17"/>
      <c r="B43" s="17" t="s">
        <v>27</v>
      </c>
      <c r="C43" s="17" t="s">
        <v>154</v>
      </c>
      <c r="D43" s="17" t="s">
        <v>155</v>
      </c>
      <c r="E43" s="17" t="s">
        <v>156</v>
      </c>
      <c r="F43" s="18">
        <v>1</v>
      </c>
      <c r="G43" s="18">
        <v>2820</v>
      </c>
      <c r="H43" s="18">
        <v>30</v>
      </c>
      <c r="I43" s="18">
        <f t="shared" si="0"/>
        <v>2790</v>
      </c>
      <c r="J43" s="17" t="s">
        <v>140</v>
      </c>
      <c r="K43" s="17" t="s">
        <v>32</v>
      </c>
      <c r="L43" s="17" t="s">
        <v>33</v>
      </c>
      <c r="M43" s="20" t="s">
        <v>58</v>
      </c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157</v>
      </c>
      <c r="D44" s="17" t="s">
        <v>158</v>
      </c>
      <c r="E44" s="17" t="s">
        <v>159</v>
      </c>
      <c r="F44" s="18">
        <v>4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33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160</v>
      </c>
      <c r="D45" s="17" t="s">
        <v>161</v>
      </c>
      <c r="E45" s="17" t="s">
        <v>162</v>
      </c>
      <c r="F45" s="18">
        <v>5</v>
      </c>
      <c r="G45" s="18">
        <v>675</v>
      </c>
      <c r="H45" s="18">
        <v>25</v>
      </c>
      <c r="I45" s="18">
        <f t="shared" si="0"/>
        <v>650</v>
      </c>
      <c r="J45" s="17" t="s">
        <v>140</v>
      </c>
      <c r="K45" s="17" t="s">
        <v>32</v>
      </c>
      <c r="L45" s="17" t="s">
        <v>33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163</v>
      </c>
      <c r="D46" s="17" t="s">
        <v>164</v>
      </c>
      <c r="E46" s="17" t="s">
        <v>165</v>
      </c>
      <c r="F46" s="17" t="s">
        <v>166</v>
      </c>
      <c r="G46" s="18">
        <v>980</v>
      </c>
      <c r="H46" s="18">
        <v>20</v>
      </c>
      <c r="I46" s="18">
        <f t="shared" si="0"/>
        <v>960</v>
      </c>
      <c r="J46" s="17" t="s">
        <v>140</v>
      </c>
      <c r="K46" s="17" t="s">
        <v>32</v>
      </c>
      <c r="L46" s="17" t="s">
        <v>33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167</v>
      </c>
      <c r="D47" s="17" t="s">
        <v>168</v>
      </c>
      <c r="E47" s="17" t="s">
        <v>169</v>
      </c>
      <c r="F47" s="17" t="s">
        <v>170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33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171</v>
      </c>
      <c r="D48" s="17" t="s">
        <v>172</v>
      </c>
      <c r="E48" s="17" t="s">
        <v>173</v>
      </c>
      <c r="F48" s="18">
        <v>1</v>
      </c>
      <c r="G48" s="18">
        <v>985</v>
      </c>
      <c r="H48" s="18">
        <v>25</v>
      </c>
      <c r="I48" s="18">
        <f t="shared" si="0"/>
        <v>960</v>
      </c>
      <c r="J48" s="17" t="s">
        <v>140</v>
      </c>
      <c r="K48" s="17" t="s">
        <v>32</v>
      </c>
      <c r="L48" s="17" t="s">
        <v>33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174</v>
      </c>
      <c r="D49" s="17" t="s">
        <v>175</v>
      </c>
      <c r="E49" s="17" t="s">
        <v>176</v>
      </c>
      <c r="F49" s="18">
        <v>1</v>
      </c>
      <c r="G49" s="18">
        <v>1005</v>
      </c>
      <c r="H49" s="18">
        <v>25</v>
      </c>
      <c r="I49" s="18">
        <f t="shared" si="0"/>
        <v>980</v>
      </c>
      <c r="J49" s="17" t="s">
        <v>140</v>
      </c>
      <c r="K49" s="17" t="s">
        <v>32</v>
      </c>
      <c r="L49" s="17" t="s">
        <v>33</v>
      </c>
      <c r="M49" s="17"/>
      <c r="N49" s="17"/>
      <c r="O49" s="17"/>
      <c r="P49" s="17"/>
      <c r="Q49" s="17">
        <v>1</v>
      </c>
    </row>
    <row r="50" spans="1:18" customFormat="1" x14ac:dyDescent="0.25">
      <c r="A50" s="17" t="s">
        <v>26</v>
      </c>
      <c r="B50" s="17" t="s">
        <v>27</v>
      </c>
      <c r="C50" s="17" t="s">
        <v>177</v>
      </c>
      <c r="D50" s="17"/>
      <c r="E50" s="17" t="s">
        <v>178</v>
      </c>
      <c r="F50" s="18">
        <v>1</v>
      </c>
      <c r="G50" s="18">
        <v>0</v>
      </c>
      <c r="H50" s="18">
        <v>30</v>
      </c>
      <c r="I50" s="18">
        <f t="shared" si="0"/>
        <v>-30</v>
      </c>
      <c r="J50" s="17" t="s">
        <v>140</v>
      </c>
      <c r="K50" s="17" t="s">
        <v>140</v>
      </c>
      <c r="L50" s="17" t="s">
        <v>33</v>
      </c>
      <c r="M50" s="17"/>
      <c r="N50" s="17"/>
      <c r="O50" s="17"/>
      <c r="P50" s="17"/>
      <c r="Q50" s="17">
        <v>1</v>
      </c>
      <c r="R50" s="19">
        <f t="shared" ref="R50:R51" si="3">H50</f>
        <v>30</v>
      </c>
    </row>
    <row r="51" spans="1:18" customFormat="1" x14ac:dyDescent="0.25">
      <c r="A51" s="17" t="s">
        <v>26</v>
      </c>
      <c r="B51" s="17" t="s">
        <v>27</v>
      </c>
      <c r="C51" s="17" t="s">
        <v>179</v>
      </c>
      <c r="D51" s="17"/>
      <c r="E51" s="17" t="s">
        <v>180</v>
      </c>
      <c r="F51" s="17" t="s">
        <v>130</v>
      </c>
      <c r="G51" s="18">
        <v>0</v>
      </c>
      <c r="H51" s="18">
        <v>30</v>
      </c>
      <c r="I51" s="18">
        <f t="shared" si="0"/>
        <v>-30</v>
      </c>
      <c r="J51" s="17" t="s">
        <v>140</v>
      </c>
      <c r="K51" s="17" t="s">
        <v>32</v>
      </c>
      <c r="L51" s="17" t="s">
        <v>33</v>
      </c>
      <c r="M51" s="17"/>
      <c r="N51" s="17"/>
      <c r="O51" s="17"/>
      <c r="P51" s="17"/>
      <c r="Q51" s="17">
        <v>1</v>
      </c>
      <c r="R51" s="19">
        <f t="shared" si="3"/>
        <v>30</v>
      </c>
    </row>
    <row r="53" spans="1:18" x14ac:dyDescent="0.25">
      <c r="G53" s="1">
        <f t="shared" ref="G53:R53" si="4">SUBTOTAL(9,G3:G52)</f>
        <v>36880</v>
      </c>
      <c r="H53" s="1">
        <f t="shared" si="4"/>
        <v>1400</v>
      </c>
      <c r="I53" s="1">
        <f t="shared" si="4"/>
        <v>35480</v>
      </c>
      <c r="J53" s="1">
        <f t="shared" si="4"/>
        <v>0</v>
      </c>
      <c r="K53" s="1">
        <f t="shared" si="4"/>
        <v>0</v>
      </c>
      <c r="L53" s="1">
        <f t="shared" si="4"/>
        <v>0</v>
      </c>
      <c r="M53" s="1">
        <f t="shared" si="4"/>
        <v>0</v>
      </c>
      <c r="N53" s="1">
        <f t="shared" si="4"/>
        <v>0</v>
      </c>
      <c r="O53" s="1">
        <f t="shared" si="4"/>
        <v>0</v>
      </c>
      <c r="P53" s="1">
        <f t="shared" si="4"/>
        <v>0</v>
      </c>
      <c r="Q53" s="1">
        <f t="shared" si="4"/>
        <v>49</v>
      </c>
      <c r="R53" s="1">
        <f t="shared" si="4"/>
        <v>570</v>
      </c>
    </row>
    <row r="54" spans="1:18" x14ac:dyDescent="0.25">
      <c r="I54" s="26">
        <f>-H69</f>
        <v>-790</v>
      </c>
      <c r="J54" s="1" t="s">
        <v>190</v>
      </c>
    </row>
    <row r="55" spans="1:18" x14ac:dyDescent="0.25">
      <c r="I55" s="1">
        <v>-695</v>
      </c>
      <c r="J55" s="1" t="s">
        <v>191</v>
      </c>
    </row>
    <row r="57" spans="1:18" ht="20.25" customHeight="1" x14ac:dyDescent="0.3">
      <c r="H57" s="4" t="s">
        <v>183</v>
      </c>
      <c r="I57" s="5" t="s">
        <v>15</v>
      </c>
      <c r="J57" s="6" t="s">
        <v>16</v>
      </c>
    </row>
    <row r="58" spans="1:18" ht="15.75" customHeight="1" x14ac:dyDescent="0.25">
      <c r="H58" s="7" t="s">
        <v>17</v>
      </c>
      <c r="I58" s="8">
        <f>SUM(I52:I56)</f>
        <v>33995</v>
      </c>
      <c r="J58" s="8">
        <f>Q53</f>
        <v>49</v>
      </c>
    </row>
    <row r="59" spans="1:18" x14ac:dyDescent="0.25">
      <c r="H59" s="9" t="s">
        <v>18</v>
      </c>
      <c r="I59" s="10">
        <f>R53</f>
        <v>570</v>
      </c>
      <c r="J59" s="11"/>
    </row>
    <row r="60" spans="1:18" x14ac:dyDescent="0.25">
      <c r="H60" s="9" t="s">
        <v>19</v>
      </c>
      <c r="I60" s="10">
        <f>S52</f>
        <v>0</v>
      </c>
      <c r="J60" s="11"/>
    </row>
    <row r="61" spans="1:18" x14ac:dyDescent="0.25">
      <c r="H61" s="9" t="s">
        <v>20</v>
      </c>
      <c r="I61" s="10">
        <f>T52</f>
        <v>0</v>
      </c>
      <c r="J61" s="11"/>
    </row>
    <row r="62" spans="1:18" x14ac:dyDescent="0.25">
      <c r="H62" s="9" t="s">
        <v>21</v>
      </c>
      <c r="I62" s="10">
        <f>U52</f>
        <v>0</v>
      </c>
      <c r="J62" s="11"/>
    </row>
    <row r="63" spans="1:18" ht="15.75" customHeight="1" x14ac:dyDescent="0.25">
      <c r="H63" s="12" t="s">
        <v>22</v>
      </c>
      <c r="I63" s="13"/>
      <c r="J63" s="13"/>
    </row>
    <row r="64" spans="1:18" ht="15.75" customHeight="1" x14ac:dyDescent="0.25">
      <c r="H64" s="14" t="s">
        <v>23</v>
      </c>
      <c r="I64" s="13"/>
      <c r="J64" s="13"/>
    </row>
    <row r="65" spans="1:12" ht="21" customHeight="1" x14ac:dyDescent="0.35">
      <c r="H65" s="15" t="s">
        <v>24</v>
      </c>
      <c r="I65" s="16">
        <f>SUM(I58:I64)</f>
        <v>34565</v>
      </c>
      <c r="J65" s="16">
        <f>SUM(J58:J62)</f>
        <v>49</v>
      </c>
    </row>
    <row r="67" spans="1:12" x14ac:dyDescent="0.25">
      <c r="A67" s="1" t="s">
        <v>184</v>
      </c>
    </row>
    <row r="68" spans="1:12" x14ac:dyDescent="0.25">
      <c r="A68" s="24" t="s">
        <v>27</v>
      </c>
      <c r="B68" s="24" t="s">
        <v>185</v>
      </c>
      <c r="C68" s="24" t="s">
        <v>186</v>
      </c>
      <c r="D68" s="24" t="s">
        <v>187</v>
      </c>
      <c r="E68" s="25">
        <v>3</v>
      </c>
      <c r="F68" s="25">
        <v>815</v>
      </c>
      <c r="G68" s="25">
        <v>25</v>
      </c>
      <c r="H68" s="25">
        <f>F68-G68</f>
        <v>790</v>
      </c>
      <c r="I68" s="24" t="s">
        <v>188</v>
      </c>
      <c r="J68" s="24" t="s">
        <v>32</v>
      </c>
      <c r="K68" s="24" t="s">
        <v>189</v>
      </c>
      <c r="L68" s="24" t="s">
        <v>184</v>
      </c>
    </row>
    <row r="69" spans="1:12" x14ac:dyDescent="0.25">
      <c r="H69" s="26">
        <f>SUM(H68)</f>
        <v>790</v>
      </c>
    </row>
    <row r="70" spans="1:12" x14ac:dyDescent="0.25">
      <c r="A70" s="1" t="s">
        <v>191</v>
      </c>
    </row>
    <row r="71" spans="1:12" x14ac:dyDescent="0.25">
      <c r="A71" s="27" t="s">
        <v>27</v>
      </c>
      <c r="B71" s="27" t="s">
        <v>192</v>
      </c>
      <c r="C71" s="27" t="s">
        <v>193</v>
      </c>
      <c r="D71" s="27" t="s">
        <v>194</v>
      </c>
      <c r="E71" s="28" t="s">
        <v>77</v>
      </c>
      <c r="F71" s="27">
        <v>695</v>
      </c>
      <c r="G71" s="27">
        <v>0</v>
      </c>
      <c r="H71" s="27">
        <f t="shared" ref="H71" si="5">F71-G71</f>
        <v>695</v>
      </c>
      <c r="I71" s="24" t="s">
        <v>188</v>
      </c>
      <c r="J71" s="27" t="s">
        <v>32</v>
      </c>
      <c r="K71" s="27" t="s">
        <v>189</v>
      </c>
      <c r="L71" s="20" t="s">
        <v>195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033C-1E2A-4FE7-B83D-46EF00E48427}">
  <dimension ref="A1:R6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196</v>
      </c>
      <c r="C1" s="1" t="s">
        <v>197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199</v>
      </c>
      <c r="D3" s="17" t="s">
        <v>200</v>
      </c>
      <c r="E3" s="17" t="s">
        <v>201</v>
      </c>
      <c r="F3" s="17" t="s">
        <v>202</v>
      </c>
      <c r="G3" s="18">
        <v>995</v>
      </c>
      <c r="H3" s="18">
        <v>35</v>
      </c>
      <c r="I3" s="18">
        <f t="shared" ref="I3:I49" si="0">G3-H3</f>
        <v>960</v>
      </c>
      <c r="J3" s="17" t="s">
        <v>203</v>
      </c>
      <c r="K3" s="17" t="s">
        <v>32</v>
      </c>
      <c r="L3" s="17" t="s">
        <v>204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205</v>
      </c>
      <c r="D4" s="17" t="s">
        <v>206</v>
      </c>
      <c r="E4" s="17" t="s">
        <v>207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203</v>
      </c>
      <c r="K4" s="17" t="s">
        <v>32</v>
      </c>
      <c r="L4" s="17" t="s">
        <v>204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208</v>
      </c>
      <c r="D5" s="17" t="s">
        <v>209</v>
      </c>
      <c r="E5" s="17" t="s">
        <v>210</v>
      </c>
      <c r="F5" s="18">
        <v>7</v>
      </c>
      <c r="G5" s="18">
        <v>0</v>
      </c>
      <c r="H5" s="18">
        <v>30</v>
      </c>
      <c r="I5" s="18">
        <f t="shared" si="0"/>
        <v>-30</v>
      </c>
      <c r="J5" s="17" t="s">
        <v>203</v>
      </c>
      <c r="K5" s="17" t="s">
        <v>32</v>
      </c>
      <c r="L5" s="17" t="s">
        <v>204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211</v>
      </c>
      <c r="D6" s="17" t="s">
        <v>212</v>
      </c>
      <c r="E6" s="17" t="s">
        <v>213</v>
      </c>
      <c r="F6" s="18">
        <v>7</v>
      </c>
      <c r="G6" s="18">
        <v>520</v>
      </c>
      <c r="H6" s="18">
        <v>30</v>
      </c>
      <c r="I6" s="18">
        <f t="shared" si="0"/>
        <v>490</v>
      </c>
      <c r="J6" s="17" t="s">
        <v>203</v>
      </c>
      <c r="K6" s="17" t="s">
        <v>32</v>
      </c>
      <c r="L6" s="17" t="s">
        <v>204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214</v>
      </c>
      <c r="D7" s="17" t="s">
        <v>215</v>
      </c>
      <c r="E7" s="17" t="s">
        <v>216</v>
      </c>
      <c r="F7" s="18">
        <v>6</v>
      </c>
      <c r="G7" s="18">
        <v>0</v>
      </c>
      <c r="H7" s="18">
        <v>25</v>
      </c>
      <c r="I7" s="18">
        <f t="shared" si="0"/>
        <v>-25</v>
      </c>
      <c r="J7" s="17" t="s">
        <v>203</v>
      </c>
      <c r="K7" s="17" t="s">
        <v>32</v>
      </c>
      <c r="L7" s="17" t="s">
        <v>204</v>
      </c>
      <c r="M7" s="17"/>
      <c r="N7" s="17"/>
      <c r="O7" s="17"/>
      <c r="P7" s="17"/>
      <c r="Q7" s="17">
        <v>1</v>
      </c>
      <c r="R7" s="19">
        <f>H7</f>
        <v>25</v>
      </c>
    </row>
    <row r="8" spans="1:18" customFormat="1" x14ac:dyDescent="0.25">
      <c r="A8" s="17"/>
      <c r="B8" s="17" t="s">
        <v>27</v>
      </c>
      <c r="C8" s="17" t="s">
        <v>217</v>
      </c>
      <c r="D8" s="17" t="s">
        <v>218</v>
      </c>
      <c r="E8" s="17" t="s">
        <v>219</v>
      </c>
      <c r="F8" s="18">
        <v>12</v>
      </c>
      <c r="G8" s="18">
        <v>460</v>
      </c>
      <c r="H8" s="18">
        <v>30</v>
      </c>
      <c r="I8" s="18">
        <f t="shared" si="0"/>
        <v>430</v>
      </c>
      <c r="J8" s="17" t="s">
        <v>203</v>
      </c>
      <c r="K8" s="17" t="s">
        <v>32</v>
      </c>
      <c r="L8" s="17" t="s">
        <v>204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220</v>
      </c>
      <c r="D9" s="17" t="s">
        <v>221</v>
      </c>
      <c r="E9" s="17" t="s">
        <v>222</v>
      </c>
      <c r="F9" s="18">
        <v>6</v>
      </c>
      <c r="G9" s="18">
        <v>25</v>
      </c>
      <c r="H9" s="18">
        <v>25</v>
      </c>
      <c r="I9" s="18">
        <f t="shared" si="0"/>
        <v>0</v>
      </c>
      <c r="J9" s="17" t="s">
        <v>203</v>
      </c>
      <c r="K9" s="17" t="s">
        <v>32</v>
      </c>
      <c r="L9" s="17" t="s">
        <v>204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223</v>
      </c>
      <c r="D10" s="17" t="s">
        <v>224</v>
      </c>
      <c r="E10" s="17" t="s">
        <v>225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203</v>
      </c>
      <c r="K10" s="17" t="s">
        <v>32</v>
      </c>
      <c r="L10" s="17" t="s">
        <v>204</v>
      </c>
      <c r="M10" s="17"/>
      <c r="N10" s="17"/>
      <c r="O10" s="17"/>
      <c r="P10" s="17"/>
      <c r="Q10" s="17">
        <v>1</v>
      </c>
      <c r="R10" s="19">
        <f t="shared" ref="R10:R11" si="1">H10</f>
        <v>30</v>
      </c>
    </row>
    <row r="11" spans="1:18" customFormat="1" x14ac:dyDescent="0.25">
      <c r="A11" s="17"/>
      <c r="B11" s="17" t="s">
        <v>27</v>
      </c>
      <c r="C11" s="17" t="s">
        <v>226</v>
      </c>
      <c r="D11" s="17" t="s">
        <v>227</v>
      </c>
      <c r="E11" s="17" t="s">
        <v>35</v>
      </c>
      <c r="F11" s="18">
        <v>6</v>
      </c>
      <c r="G11" s="18">
        <v>0</v>
      </c>
      <c r="H11" s="18">
        <v>25</v>
      </c>
      <c r="I11" s="18">
        <f t="shared" si="0"/>
        <v>-25</v>
      </c>
      <c r="J11" s="17" t="s">
        <v>203</v>
      </c>
      <c r="K11" s="17" t="s">
        <v>32</v>
      </c>
      <c r="L11" s="17" t="s">
        <v>204</v>
      </c>
      <c r="M11" s="17"/>
      <c r="N11" s="17"/>
      <c r="O11" s="17"/>
      <c r="P11" s="17"/>
      <c r="Q11" s="17">
        <v>1</v>
      </c>
      <c r="R11" s="19">
        <f t="shared" si="1"/>
        <v>25</v>
      </c>
    </row>
    <row r="12" spans="1:18" customFormat="1" x14ac:dyDescent="0.25">
      <c r="A12" s="17"/>
      <c r="B12" s="17" t="s">
        <v>27</v>
      </c>
      <c r="C12" s="17" t="s">
        <v>228</v>
      </c>
      <c r="D12" s="17" t="s">
        <v>229</v>
      </c>
      <c r="E12" s="17" t="s">
        <v>230</v>
      </c>
      <c r="F12" s="18">
        <v>7</v>
      </c>
      <c r="G12" s="18">
        <v>520</v>
      </c>
      <c r="H12" s="18">
        <v>30</v>
      </c>
      <c r="I12" s="18">
        <f t="shared" si="0"/>
        <v>490</v>
      </c>
      <c r="J12" s="17" t="s">
        <v>203</v>
      </c>
      <c r="K12" s="17" t="s">
        <v>32</v>
      </c>
      <c r="L12" s="17" t="s">
        <v>204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231</v>
      </c>
      <c r="D13" s="17" t="s">
        <v>232</v>
      </c>
      <c r="E13" s="17" t="s">
        <v>233</v>
      </c>
      <c r="F13" s="18">
        <v>7</v>
      </c>
      <c r="G13" s="18">
        <v>700</v>
      </c>
      <c r="H13" s="18">
        <v>30</v>
      </c>
      <c r="I13" s="18">
        <f t="shared" si="0"/>
        <v>670</v>
      </c>
      <c r="J13" s="17" t="s">
        <v>203</v>
      </c>
      <c r="K13" s="17" t="s">
        <v>32</v>
      </c>
      <c r="L13" s="17" t="s">
        <v>204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234</v>
      </c>
      <c r="D14" s="17" t="s">
        <v>235</v>
      </c>
      <c r="E14" s="17" t="s">
        <v>236</v>
      </c>
      <c r="F14" s="18">
        <v>7</v>
      </c>
      <c r="G14" s="18">
        <v>0</v>
      </c>
      <c r="H14" s="18">
        <v>30</v>
      </c>
      <c r="I14" s="18">
        <f t="shared" si="0"/>
        <v>-30</v>
      </c>
      <c r="J14" s="17" t="s">
        <v>203</v>
      </c>
      <c r="K14" s="17" t="s">
        <v>32</v>
      </c>
      <c r="L14" s="17" t="s">
        <v>204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27</v>
      </c>
      <c r="C15" s="17" t="s">
        <v>237</v>
      </c>
      <c r="D15" s="17" t="s">
        <v>238</v>
      </c>
      <c r="E15" s="17" t="s">
        <v>239</v>
      </c>
      <c r="F15" s="18">
        <v>7</v>
      </c>
      <c r="G15" s="18">
        <v>990</v>
      </c>
      <c r="H15" s="18">
        <v>30</v>
      </c>
      <c r="I15" s="18">
        <f t="shared" si="0"/>
        <v>960</v>
      </c>
      <c r="J15" s="17" t="s">
        <v>203</v>
      </c>
      <c r="K15" s="17" t="s">
        <v>32</v>
      </c>
      <c r="L15" s="17" t="s">
        <v>204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240</v>
      </c>
      <c r="D16" s="17" t="s">
        <v>241</v>
      </c>
      <c r="E16" s="17" t="s">
        <v>242</v>
      </c>
      <c r="F16" s="18">
        <v>7</v>
      </c>
      <c r="G16" s="18">
        <v>600</v>
      </c>
      <c r="H16" s="18">
        <v>30</v>
      </c>
      <c r="I16" s="18">
        <f t="shared" si="0"/>
        <v>570</v>
      </c>
      <c r="J16" s="17" t="s">
        <v>203</v>
      </c>
      <c r="K16" s="17" t="s">
        <v>32</v>
      </c>
      <c r="L16" s="17" t="s">
        <v>204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243</v>
      </c>
      <c r="D17" s="17" t="s">
        <v>244</v>
      </c>
      <c r="E17" s="17" t="s">
        <v>245</v>
      </c>
      <c r="F17" s="17" t="s">
        <v>30</v>
      </c>
      <c r="G17" s="18">
        <v>770</v>
      </c>
      <c r="H17" s="18">
        <v>30</v>
      </c>
      <c r="I17" s="18">
        <f t="shared" si="0"/>
        <v>740</v>
      </c>
      <c r="J17" s="17" t="s">
        <v>203</v>
      </c>
      <c r="K17" s="17" t="s">
        <v>32</v>
      </c>
      <c r="L17" s="17" t="s">
        <v>204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246</v>
      </c>
      <c r="D18" s="17" t="s">
        <v>247</v>
      </c>
      <c r="E18" s="17" t="s">
        <v>248</v>
      </c>
      <c r="F18" s="17" t="s">
        <v>51</v>
      </c>
      <c r="G18" s="18">
        <v>825</v>
      </c>
      <c r="H18" s="18">
        <v>35</v>
      </c>
      <c r="I18" s="18">
        <f t="shared" si="0"/>
        <v>790</v>
      </c>
      <c r="J18" s="17" t="s">
        <v>203</v>
      </c>
      <c r="K18" s="17" t="s">
        <v>32</v>
      </c>
      <c r="L18" s="17" t="s">
        <v>204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249</v>
      </c>
      <c r="D19" s="17"/>
      <c r="E19" s="17" t="s">
        <v>250</v>
      </c>
      <c r="F19" s="17" t="s">
        <v>30</v>
      </c>
      <c r="G19" s="18">
        <v>0</v>
      </c>
      <c r="H19" s="18">
        <v>35</v>
      </c>
      <c r="I19" s="18">
        <f t="shared" si="0"/>
        <v>-35</v>
      </c>
      <c r="J19" s="17" t="s">
        <v>203</v>
      </c>
      <c r="K19" s="17" t="s">
        <v>32</v>
      </c>
      <c r="L19" s="17" t="s">
        <v>204</v>
      </c>
      <c r="M19" s="17"/>
      <c r="N19" s="17"/>
      <c r="O19" s="17"/>
      <c r="P19" s="17"/>
      <c r="Q19" s="17">
        <v>1</v>
      </c>
      <c r="R19" s="19">
        <f>H19</f>
        <v>35</v>
      </c>
    </row>
    <row r="20" spans="1:18" customFormat="1" x14ac:dyDescent="0.25">
      <c r="A20" s="17"/>
      <c r="B20" s="17" t="s">
        <v>27</v>
      </c>
      <c r="C20" s="17" t="s">
        <v>251</v>
      </c>
      <c r="D20" s="17" t="s">
        <v>252</v>
      </c>
      <c r="E20" s="17" t="s">
        <v>253</v>
      </c>
      <c r="F20" s="17" t="s">
        <v>98</v>
      </c>
      <c r="G20" s="18">
        <v>1170</v>
      </c>
      <c r="H20" s="18">
        <v>20</v>
      </c>
      <c r="I20" s="18">
        <f t="shared" si="0"/>
        <v>1150</v>
      </c>
      <c r="J20" s="17" t="s">
        <v>32</v>
      </c>
      <c r="K20" s="17" t="s">
        <v>32</v>
      </c>
      <c r="L20" s="17" t="s">
        <v>204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254</v>
      </c>
      <c r="D21" s="17" t="s">
        <v>255</v>
      </c>
      <c r="E21" s="17" t="s">
        <v>256</v>
      </c>
      <c r="F21" s="17" t="s">
        <v>77</v>
      </c>
      <c r="G21" s="18">
        <v>0</v>
      </c>
      <c r="H21" s="18">
        <v>25</v>
      </c>
      <c r="I21" s="18">
        <f t="shared" si="0"/>
        <v>-25</v>
      </c>
      <c r="J21" s="17" t="s">
        <v>32</v>
      </c>
      <c r="K21" s="17" t="s">
        <v>32</v>
      </c>
      <c r="L21" s="17" t="s">
        <v>204</v>
      </c>
      <c r="M21" s="17"/>
      <c r="N21" s="17"/>
      <c r="O21" s="17"/>
      <c r="P21" s="17"/>
      <c r="Q21" s="17">
        <v>1</v>
      </c>
      <c r="R21" s="19">
        <f>H21</f>
        <v>25</v>
      </c>
    </row>
    <row r="22" spans="1:18" customFormat="1" x14ac:dyDescent="0.25">
      <c r="A22" s="17"/>
      <c r="B22" s="17" t="s">
        <v>27</v>
      </c>
      <c r="C22" s="17" t="s">
        <v>257</v>
      </c>
      <c r="D22" s="17" t="s">
        <v>258</v>
      </c>
      <c r="E22" s="17" t="s">
        <v>259</v>
      </c>
      <c r="F22" s="18">
        <v>12</v>
      </c>
      <c r="G22" s="18">
        <v>920</v>
      </c>
      <c r="H22" s="18">
        <v>30</v>
      </c>
      <c r="I22" s="18">
        <f t="shared" si="0"/>
        <v>890</v>
      </c>
      <c r="J22" s="17" t="s">
        <v>32</v>
      </c>
      <c r="K22" s="17" t="s">
        <v>32</v>
      </c>
      <c r="L22" s="17" t="s">
        <v>204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260</v>
      </c>
      <c r="D23" s="21" t="s">
        <v>261</v>
      </c>
      <c r="E23" s="21" t="s">
        <v>262</v>
      </c>
      <c r="F23" s="21" t="s">
        <v>98</v>
      </c>
      <c r="G23" s="22">
        <v>20</v>
      </c>
      <c r="H23" s="22">
        <v>20</v>
      </c>
      <c r="I23" s="22">
        <f t="shared" si="0"/>
        <v>0</v>
      </c>
      <c r="J23" s="21" t="s">
        <v>32</v>
      </c>
      <c r="K23" s="21" t="s">
        <v>32</v>
      </c>
      <c r="L23" s="21" t="s">
        <v>204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263</v>
      </c>
      <c r="D24" s="17" t="s">
        <v>264</v>
      </c>
      <c r="E24" s="17" t="s">
        <v>265</v>
      </c>
      <c r="F24" s="17" t="s">
        <v>98</v>
      </c>
      <c r="G24" s="18">
        <v>0</v>
      </c>
      <c r="H24" s="18">
        <v>20</v>
      </c>
      <c r="I24" s="18">
        <f t="shared" si="0"/>
        <v>-20</v>
      </c>
      <c r="J24" s="17" t="s">
        <v>32</v>
      </c>
      <c r="K24" s="17" t="s">
        <v>32</v>
      </c>
      <c r="L24" s="17" t="s">
        <v>204</v>
      </c>
      <c r="M24" s="17"/>
      <c r="N24" s="17"/>
      <c r="O24" s="17"/>
      <c r="P24" s="17"/>
      <c r="Q24" s="17">
        <v>1</v>
      </c>
      <c r="R24" s="19">
        <f>H24</f>
        <v>20</v>
      </c>
    </row>
    <row r="25" spans="1:18" customFormat="1" x14ac:dyDescent="0.25">
      <c r="A25" s="17"/>
      <c r="B25" s="17" t="s">
        <v>27</v>
      </c>
      <c r="C25" s="17" t="s">
        <v>266</v>
      </c>
      <c r="D25" s="17" t="s">
        <v>267</v>
      </c>
      <c r="E25" s="17" t="s">
        <v>268</v>
      </c>
      <c r="F25" s="17" t="s">
        <v>77</v>
      </c>
      <c r="G25" s="18">
        <v>805</v>
      </c>
      <c r="H25" s="18">
        <v>25</v>
      </c>
      <c r="I25" s="18">
        <f t="shared" si="0"/>
        <v>780</v>
      </c>
      <c r="J25" s="17" t="s">
        <v>32</v>
      </c>
      <c r="K25" s="17" t="s">
        <v>32</v>
      </c>
      <c r="L25" s="17" t="s">
        <v>204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269</v>
      </c>
      <c r="D26" s="17" t="s">
        <v>270</v>
      </c>
      <c r="E26" s="17" t="s">
        <v>271</v>
      </c>
      <c r="F26" s="18">
        <v>12</v>
      </c>
      <c r="G26" s="18">
        <v>1970</v>
      </c>
      <c r="H26" s="18">
        <v>30</v>
      </c>
      <c r="I26" s="18">
        <f t="shared" si="0"/>
        <v>1940</v>
      </c>
      <c r="J26" s="17" t="s">
        <v>32</v>
      </c>
      <c r="K26" s="17" t="s">
        <v>32</v>
      </c>
      <c r="L26" s="17" t="s">
        <v>204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272</v>
      </c>
      <c r="D27" s="17" t="s">
        <v>273</v>
      </c>
      <c r="E27" s="17" t="s">
        <v>274</v>
      </c>
      <c r="F27" s="18">
        <v>2</v>
      </c>
      <c r="G27" s="18">
        <v>820</v>
      </c>
      <c r="H27" s="18">
        <v>30</v>
      </c>
      <c r="I27" s="18">
        <f t="shared" si="0"/>
        <v>790</v>
      </c>
      <c r="J27" s="17" t="s">
        <v>32</v>
      </c>
      <c r="K27" s="17" t="s">
        <v>32</v>
      </c>
      <c r="L27" s="17" t="s">
        <v>204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275</v>
      </c>
      <c r="D28" s="17" t="s">
        <v>276</v>
      </c>
      <c r="E28" s="17" t="s">
        <v>277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204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/>
      <c r="B29" s="17" t="s">
        <v>27</v>
      </c>
      <c r="C29" s="17" t="s">
        <v>278</v>
      </c>
      <c r="D29" s="17" t="s">
        <v>279</v>
      </c>
      <c r="E29" s="17" t="s">
        <v>280</v>
      </c>
      <c r="F29" s="17" t="s">
        <v>98</v>
      </c>
      <c r="G29" s="18">
        <v>750</v>
      </c>
      <c r="H29" s="18">
        <v>20</v>
      </c>
      <c r="I29" s="18">
        <f t="shared" si="0"/>
        <v>730</v>
      </c>
      <c r="J29" s="17" t="s">
        <v>32</v>
      </c>
      <c r="K29" s="17" t="s">
        <v>32</v>
      </c>
      <c r="L29" s="17" t="s">
        <v>204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281</v>
      </c>
      <c r="D30" s="17" t="s">
        <v>282</v>
      </c>
      <c r="E30" s="17" t="s">
        <v>283</v>
      </c>
      <c r="F30" s="17" t="s">
        <v>77</v>
      </c>
      <c r="G30" s="18">
        <v>755</v>
      </c>
      <c r="H30" s="18">
        <v>25</v>
      </c>
      <c r="I30" s="18">
        <f t="shared" si="0"/>
        <v>730</v>
      </c>
      <c r="J30" s="17" t="s">
        <v>32</v>
      </c>
      <c r="K30" s="17" t="s">
        <v>32</v>
      </c>
      <c r="L30" s="17" t="s">
        <v>204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284</v>
      </c>
      <c r="D31" s="17" t="s">
        <v>285</v>
      </c>
      <c r="E31" s="17" t="s">
        <v>286</v>
      </c>
      <c r="F31" s="17" t="s">
        <v>77</v>
      </c>
      <c r="G31" s="18">
        <v>915</v>
      </c>
      <c r="H31" s="18">
        <v>25</v>
      </c>
      <c r="I31" s="18">
        <f t="shared" si="0"/>
        <v>890</v>
      </c>
      <c r="J31" s="17" t="s">
        <v>32</v>
      </c>
      <c r="K31" s="17" t="s">
        <v>32</v>
      </c>
      <c r="L31" s="17" t="s">
        <v>204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287</v>
      </c>
      <c r="D32" s="17" t="s">
        <v>288</v>
      </c>
      <c r="E32" s="17" t="s">
        <v>289</v>
      </c>
      <c r="F32" s="18">
        <v>2</v>
      </c>
      <c r="G32" s="18">
        <v>1020</v>
      </c>
      <c r="H32" s="18">
        <v>30</v>
      </c>
      <c r="I32" s="18">
        <f t="shared" si="0"/>
        <v>990</v>
      </c>
      <c r="J32" s="17" t="s">
        <v>32</v>
      </c>
      <c r="K32" s="17" t="s">
        <v>32</v>
      </c>
      <c r="L32" s="17" t="s">
        <v>204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290</v>
      </c>
      <c r="D33" s="17" t="s">
        <v>291</v>
      </c>
      <c r="E33" s="17" t="s">
        <v>292</v>
      </c>
      <c r="F33" s="17" t="s">
        <v>98</v>
      </c>
      <c r="G33" s="18">
        <v>0</v>
      </c>
      <c r="H33" s="18">
        <v>20</v>
      </c>
      <c r="I33" s="18">
        <f t="shared" si="0"/>
        <v>-20</v>
      </c>
      <c r="J33" s="17" t="s">
        <v>32</v>
      </c>
      <c r="K33" s="17" t="s">
        <v>32</v>
      </c>
      <c r="L33" s="17" t="s">
        <v>204</v>
      </c>
      <c r="M33" s="17"/>
      <c r="N33" s="17"/>
      <c r="O33" s="17"/>
      <c r="P33" s="17"/>
      <c r="Q33" s="17">
        <v>1</v>
      </c>
      <c r="R33" s="19">
        <f>H33</f>
        <v>20</v>
      </c>
    </row>
    <row r="34" spans="1:18" customFormat="1" x14ac:dyDescent="0.25">
      <c r="A34" s="17" t="s">
        <v>26</v>
      </c>
      <c r="B34" s="17" t="s">
        <v>27</v>
      </c>
      <c r="C34" s="17" t="s">
        <v>75</v>
      </c>
      <c r="D34" s="17"/>
      <c r="E34" s="17" t="s">
        <v>76</v>
      </c>
      <c r="F34" s="17" t="s">
        <v>77</v>
      </c>
      <c r="G34" s="18">
        <v>8510</v>
      </c>
      <c r="H34" s="18">
        <v>30</v>
      </c>
      <c r="I34" s="18">
        <f t="shared" si="0"/>
        <v>8480</v>
      </c>
      <c r="J34" s="17" t="s">
        <v>32</v>
      </c>
      <c r="K34" s="17" t="s">
        <v>32</v>
      </c>
      <c r="L34" s="17" t="s">
        <v>204</v>
      </c>
      <c r="M34" s="17"/>
      <c r="N34" s="17"/>
      <c r="O34" s="17"/>
      <c r="P34" s="17"/>
      <c r="Q34" s="17">
        <v>1</v>
      </c>
    </row>
    <row r="35" spans="1:18" customFormat="1" x14ac:dyDescent="0.25">
      <c r="A35" s="17" t="s">
        <v>26</v>
      </c>
      <c r="B35" s="17" t="s">
        <v>27</v>
      </c>
      <c r="C35" s="17" t="s">
        <v>293</v>
      </c>
      <c r="D35" s="17"/>
      <c r="E35" s="17" t="s">
        <v>294</v>
      </c>
      <c r="F35" s="17" t="s">
        <v>77</v>
      </c>
      <c r="G35" s="18">
        <v>0</v>
      </c>
      <c r="H35" s="18">
        <v>30</v>
      </c>
      <c r="I35" s="18">
        <f t="shared" si="0"/>
        <v>-30</v>
      </c>
      <c r="J35" s="17" t="s">
        <v>32</v>
      </c>
      <c r="K35" s="17" t="s">
        <v>32</v>
      </c>
      <c r="L35" s="17" t="s">
        <v>204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 t="s">
        <v>26</v>
      </c>
      <c r="B36" s="17" t="s">
        <v>27</v>
      </c>
      <c r="C36" s="17" t="s">
        <v>295</v>
      </c>
      <c r="D36" s="17"/>
      <c r="E36" s="17" t="s">
        <v>296</v>
      </c>
      <c r="F36" s="17" t="s">
        <v>77</v>
      </c>
      <c r="G36" s="18">
        <v>30</v>
      </c>
      <c r="H36" s="18">
        <v>30</v>
      </c>
      <c r="I36" s="18">
        <f t="shared" si="0"/>
        <v>0</v>
      </c>
      <c r="J36" s="17" t="s">
        <v>32</v>
      </c>
      <c r="K36" s="17" t="s">
        <v>32</v>
      </c>
      <c r="L36" s="17" t="s">
        <v>204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297</v>
      </c>
      <c r="D37" s="17" t="s">
        <v>298</v>
      </c>
      <c r="E37" s="17" t="s">
        <v>299</v>
      </c>
      <c r="F37" s="17" t="s">
        <v>130</v>
      </c>
      <c r="G37" s="18">
        <v>815</v>
      </c>
      <c r="H37" s="18">
        <v>25</v>
      </c>
      <c r="I37" s="18">
        <f t="shared" si="0"/>
        <v>790</v>
      </c>
      <c r="J37" s="17" t="s">
        <v>140</v>
      </c>
      <c r="K37" s="17" t="s">
        <v>32</v>
      </c>
      <c r="L37" s="17" t="s">
        <v>204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300</v>
      </c>
      <c r="D38" s="17" t="s">
        <v>301</v>
      </c>
      <c r="E38" s="17" t="s">
        <v>302</v>
      </c>
      <c r="F38" s="18">
        <v>3</v>
      </c>
      <c r="G38" s="18">
        <v>815</v>
      </c>
      <c r="H38" s="18">
        <v>25</v>
      </c>
      <c r="I38" s="18">
        <f t="shared" si="0"/>
        <v>790</v>
      </c>
      <c r="J38" s="17" t="s">
        <v>140</v>
      </c>
      <c r="K38" s="17" t="s">
        <v>32</v>
      </c>
      <c r="L38" s="17" t="s">
        <v>204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303</v>
      </c>
      <c r="D39" s="17" t="s">
        <v>304</v>
      </c>
      <c r="E39" s="17" t="s">
        <v>305</v>
      </c>
      <c r="F39" s="17" t="s">
        <v>130</v>
      </c>
      <c r="G39" s="18">
        <v>1685</v>
      </c>
      <c r="H39" s="18">
        <v>25</v>
      </c>
      <c r="I39" s="18">
        <f t="shared" si="0"/>
        <v>1660</v>
      </c>
      <c r="J39" s="17" t="s">
        <v>140</v>
      </c>
      <c r="K39" s="17" t="s">
        <v>32</v>
      </c>
      <c r="L39" s="17" t="s">
        <v>204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306</v>
      </c>
      <c r="D40" s="17" t="s">
        <v>307</v>
      </c>
      <c r="E40" s="17" t="s">
        <v>308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204</v>
      </c>
      <c r="M40" s="17"/>
      <c r="N40" s="17"/>
      <c r="O40" s="17"/>
      <c r="P40" s="17"/>
      <c r="Q40" s="17">
        <v>1</v>
      </c>
      <c r="R40" s="19">
        <f t="shared" ref="R40:R41" si="2">H40</f>
        <v>25</v>
      </c>
    </row>
    <row r="41" spans="1:18" customFormat="1" x14ac:dyDescent="0.25">
      <c r="A41" s="17"/>
      <c r="B41" s="17" t="s">
        <v>27</v>
      </c>
      <c r="C41" s="17" t="s">
        <v>309</v>
      </c>
      <c r="D41" s="17" t="s">
        <v>310</v>
      </c>
      <c r="E41" s="17" t="s">
        <v>311</v>
      </c>
      <c r="F41" s="17" t="s">
        <v>130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204</v>
      </c>
      <c r="M41" s="17"/>
      <c r="N41" s="17"/>
      <c r="O41" s="17"/>
      <c r="P41" s="17"/>
      <c r="Q41" s="17">
        <v>1</v>
      </c>
      <c r="R41" s="19">
        <f t="shared" si="2"/>
        <v>25</v>
      </c>
    </row>
    <row r="42" spans="1:18" customFormat="1" x14ac:dyDescent="0.25">
      <c r="A42" s="17"/>
      <c r="B42" s="17" t="s">
        <v>27</v>
      </c>
      <c r="C42" s="17" t="s">
        <v>312</v>
      </c>
      <c r="D42" s="17" t="s">
        <v>313</v>
      </c>
      <c r="E42" s="17" t="s">
        <v>314</v>
      </c>
      <c r="F42" s="18">
        <v>1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204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315</v>
      </c>
      <c r="D43" s="17" t="s">
        <v>316</v>
      </c>
      <c r="E43" s="17" t="s">
        <v>317</v>
      </c>
      <c r="F43" s="18">
        <v>1</v>
      </c>
      <c r="G43" s="18">
        <v>815</v>
      </c>
      <c r="H43" s="18">
        <v>25</v>
      </c>
      <c r="I43" s="18">
        <f t="shared" si="0"/>
        <v>790</v>
      </c>
      <c r="J43" s="17" t="s">
        <v>140</v>
      </c>
      <c r="K43" s="17" t="s">
        <v>32</v>
      </c>
      <c r="L43" s="17" t="s">
        <v>204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27</v>
      </c>
      <c r="C44" s="17" t="s">
        <v>318</v>
      </c>
      <c r="D44" s="17" t="s">
        <v>319</v>
      </c>
      <c r="E44" s="17" t="s">
        <v>320</v>
      </c>
      <c r="F44" s="17" t="s">
        <v>130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204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321</v>
      </c>
      <c r="D45" s="17" t="s">
        <v>322</v>
      </c>
      <c r="E45" s="17" t="s">
        <v>323</v>
      </c>
      <c r="F45" s="18">
        <v>10</v>
      </c>
      <c r="G45" s="18">
        <v>815</v>
      </c>
      <c r="H45" s="18">
        <v>25</v>
      </c>
      <c r="I45" s="18">
        <f t="shared" si="0"/>
        <v>790</v>
      </c>
      <c r="J45" s="17" t="s">
        <v>140</v>
      </c>
      <c r="K45" s="17" t="s">
        <v>32</v>
      </c>
      <c r="L45" s="17" t="s">
        <v>204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324</v>
      </c>
      <c r="D46" s="17" t="s">
        <v>325</v>
      </c>
      <c r="E46" s="17" t="s">
        <v>326</v>
      </c>
      <c r="F46" s="18">
        <v>4</v>
      </c>
      <c r="G46" s="18">
        <v>755</v>
      </c>
      <c r="H46" s="18">
        <v>25</v>
      </c>
      <c r="I46" s="18">
        <f t="shared" si="0"/>
        <v>730</v>
      </c>
      <c r="J46" s="17" t="s">
        <v>140</v>
      </c>
      <c r="K46" s="17" t="s">
        <v>32</v>
      </c>
      <c r="L46" s="17" t="s">
        <v>204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327</v>
      </c>
      <c r="D47" s="17" t="s">
        <v>328</v>
      </c>
      <c r="E47" s="17" t="s">
        <v>329</v>
      </c>
      <c r="F47" s="18">
        <v>1</v>
      </c>
      <c r="G47" s="18">
        <v>1635</v>
      </c>
      <c r="H47" s="18">
        <v>25</v>
      </c>
      <c r="I47" s="18">
        <f t="shared" si="0"/>
        <v>1610</v>
      </c>
      <c r="J47" s="17" t="s">
        <v>140</v>
      </c>
      <c r="K47" s="17" t="s">
        <v>32</v>
      </c>
      <c r="L47" s="17" t="s">
        <v>204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330</v>
      </c>
      <c r="D48" s="17" t="s">
        <v>331</v>
      </c>
      <c r="E48" s="17" t="s">
        <v>332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204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customFormat="1" x14ac:dyDescent="0.25">
      <c r="A49" s="17"/>
      <c r="B49" s="17" t="s">
        <v>27</v>
      </c>
      <c r="C49" s="17" t="s">
        <v>333</v>
      </c>
      <c r="D49" s="17" t="s">
        <v>334</v>
      </c>
      <c r="E49" s="17" t="s">
        <v>335</v>
      </c>
      <c r="F49" s="17" t="s">
        <v>130</v>
      </c>
      <c r="G49" s="18">
        <v>815</v>
      </c>
      <c r="H49" s="18">
        <v>25</v>
      </c>
      <c r="I49" s="18">
        <f t="shared" si="0"/>
        <v>790</v>
      </c>
      <c r="J49" s="17" t="s">
        <v>140</v>
      </c>
      <c r="K49" s="17" t="s">
        <v>32</v>
      </c>
      <c r="L49" s="17" t="s">
        <v>204</v>
      </c>
      <c r="M49" s="17"/>
      <c r="N49" s="17"/>
      <c r="O49" s="17"/>
      <c r="P49" s="17"/>
      <c r="Q49" s="17">
        <v>1</v>
      </c>
    </row>
    <row r="51" spans="1:18" x14ac:dyDescent="0.25">
      <c r="G51" s="1">
        <f t="shared" ref="G51:R51" si="3">SUBTOTAL(9,G3:G50)</f>
        <v>34435</v>
      </c>
      <c r="H51" s="1">
        <f t="shared" si="3"/>
        <v>1275</v>
      </c>
      <c r="I51" s="1">
        <f t="shared" si="3"/>
        <v>33160</v>
      </c>
      <c r="J51" s="1">
        <f t="shared" si="3"/>
        <v>0</v>
      </c>
      <c r="K51" s="1">
        <f t="shared" si="3"/>
        <v>0</v>
      </c>
      <c r="L51" s="1">
        <f t="shared" si="3"/>
        <v>0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>
        <f t="shared" si="3"/>
        <v>0</v>
      </c>
      <c r="Q51" s="1">
        <f t="shared" si="3"/>
        <v>47</v>
      </c>
      <c r="R51" s="1">
        <f t="shared" si="3"/>
        <v>400</v>
      </c>
    </row>
    <row r="52" spans="1:18" x14ac:dyDescent="0.25">
      <c r="I52" s="1">
        <v>-15</v>
      </c>
      <c r="J52" s="1" t="s">
        <v>336</v>
      </c>
    </row>
    <row r="55" spans="1:18" ht="20.25" customHeight="1" x14ac:dyDescent="0.3">
      <c r="H55" s="4" t="s">
        <v>198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33145</v>
      </c>
      <c r="J56" s="8">
        <f>Q51</f>
        <v>47</v>
      </c>
    </row>
    <row r="57" spans="1:18" x14ac:dyDescent="0.25">
      <c r="H57" s="9" t="s">
        <v>18</v>
      </c>
      <c r="I57" s="10">
        <f>R51</f>
        <v>400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33545</v>
      </c>
      <c r="J63" s="16">
        <f>SUM(J56:J60)</f>
        <v>47</v>
      </c>
    </row>
    <row r="65" spans="1:12" x14ac:dyDescent="0.25">
      <c r="A65" s="1" t="s">
        <v>337</v>
      </c>
    </row>
    <row r="66" spans="1:12" x14ac:dyDescent="0.25">
      <c r="A66" s="24" t="s">
        <v>27</v>
      </c>
      <c r="B66" s="24" t="s">
        <v>338</v>
      </c>
      <c r="C66" s="24" t="s">
        <v>340</v>
      </c>
      <c r="D66" s="24" t="s">
        <v>341</v>
      </c>
      <c r="E66" s="24" t="s">
        <v>30</v>
      </c>
      <c r="F66" s="25">
        <v>15</v>
      </c>
      <c r="G66" s="25">
        <v>0</v>
      </c>
      <c r="H66" s="25">
        <f t="shared" ref="H66" si="4">F66-G66</f>
        <v>15</v>
      </c>
      <c r="I66" s="24" t="s">
        <v>188</v>
      </c>
      <c r="J66" s="24" t="s">
        <v>32</v>
      </c>
      <c r="K66" s="24" t="s">
        <v>189</v>
      </c>
      <c r="L66" s="29" t="s">
        <v>339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6563-D8B3-4B88-86A0-89EBD11B049A}">
  <dimension ref="A1:R51"/>
  <sheetViews>
    <sheetView zoomScale="82" zoomScaleNormal="80" workbookViewId="0">
      <selection activeCell="A9" sqref="A9:XFD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343</v>
      </c>
      <c r="C1" s="1" t="s">
        <v>344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345</v>
      </c>
      <c r="D3" s="17" t="s">
        <v>346</v>
      </c>
      <c r="E3" s="17" t="s">
        <v>347</v>
      </c>
      <c r="F3" s="18">
        <v>7</v>
      </c>
      <c r="G3" s="18">
        <v>460</v>
      </c>
      <c r="H3" s="18">
        <v>30</v>
      </c>
      <c r="I3" s="18">
        <f t="shared" ref="I3:I33" si="0">G3-H3</f>
        <v>430</v>
      </c>
      <c r="J3" s="17" t="s">
        <v>348</v>
      </c>
      <c r="K3" s="17" t="s">
        <v>32</v>
      </c>
      <c r="L3" s="17" t="s">
        <v>349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350</v>
      </c>
      <c r="D4" s="17" t="s">
        <v>351</v>
      </c>
      <c r="E4" s="17" t="s">
        <v>352</v>
      </c>
      <c r="F4" s="17" t="s">
        <v>170</v>
      </c>
      <c r="G4" s="18">
        <v>755</v>
      </c>
      <c r="H4" s="18">
        <v>25</v>
      </c>
      <c r="I4" s="18">
        <f t="shared" si="0"/>
        <v>730</v>
      </c>
      <c r="J4" s="17" t="s">
        <v>348</v>
      </c>
      <c r="K4" s="17" t="s">
        <v>32</v>
      </c>
      <c r="L4" s="17" t="s">
        <v>349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353</v>
      </c>
      <c r="D5" s="17" t="s">
        <v>354</v>
      </c>
      <c r="E5" s="17" t="s">
        <v>355</v>
      </c>
      <c r="F5" s="17" t="s">
        <v>202</v>
      </c>
      <c r="G5" s="18">
        <v>815</v>
      </c>
      <c r="H5" s="18">
        <v>35</v>
      </c>
      <c r="I5" s="18">
        <f t="shared" si="0"/>
        <v>780</v>
      </c>
      <c r="J5" s="17" t="s">
        <v>348</v>
      </c>
      <c r="K5" s="17" t="s">
        <v>32</v>
      </c>
      <c r="L5" s="17" t="s">
        <v>349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356</v>
      </c>
      <c r="D6" s="17" t="s">
        <v>357</v>
      </c>
      <c r="E6" s="17" t="s">
        <v>358</v>
      </c>
      <c r="F6" s="17" t="s">
        <v>30</v>
      </c>
      <c r="G6" s="18">
        <v>860</v>
      </c>
      <c r="H6" s="18">
        <v>30</v>
      </c>
      <c r="I6" s="18">
        <f t="shared" si="0"/>
        <v>830</v>
      </c>
      <c r="J6" s="17" t="s">
        <v>348</v>
      </c>
      <c r="K6" s="17" t="s">
        <v>32</v>
      </c>
      <c r="L6" s="17" t="s">
        <v>349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359</v>
      </c>
      <c r="D7" s="17" t="s">
        <v>360</v>
      </c>
      <c r="E7" s="17" t="s">
        <v>361</v>
      </c>
      <c r="F7" s="17" t="s">
        <v>170</v>
      </c>
      <c r="G7" s="18">
        <v>765</v>
      </c>
      <c r="H7" s="18">
        <v>25</v>
      </c>
      <c r="I7" s="18">
        <f t="shared" si="0"/>
        <v>740</v>
      </c>
      <c r="J7" s="17" t="s">
        <v>348</v>
      </c>
      <c r="K7" s="17" t="s">
        <v>32</v>
      </c>
      <c r="L7" s="17" t="s">
        <v>349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362</v>
      </c>
      <c r="D8" s="17" t="s">
        <v>363</v>
      </c>
      <c r="E8" s="17" t="s">
        <v>364</v>
      </c>
      <c r="F8" s="18">
        <v>9</v>
      </c>
      <c r="G8" s="18">
        <v>750</v>
      </c>
      <c r="H8" s="18">
        <v>30</v>
      </c>
      <c r="I8" s="18">
        <f t="shared" si="0"/>
        <v>720</v>
      </c>
      <c r="J8" s="17" t="s">
        <v>348</v>
      </c>
      <c r="K8" s="17" t="s">
        <v>32</v>
      </c>
      <c r="L8" s="17" t="s">
        <v>349</v>
      </c>
      <c r="M8" s="17"/>
      <c r="N8" s="17"/>
      <c r="O8" s="17"/>
      <c r="P8" s="17"/>
      <c r="Q8" s="17">
        <v>1</v>
      </c>
    </row>
    <row r="9" spans="1:18" s="23" customFormat="1" x14ac:dyDescent="0.25">
      <c r="A9" s="21"/>
      <c r="B9" s="21" t="s">
        <v>27</v>
      </c>
      <c r="C9" s="21" t="s">
        <v>52</v>
      </c>
      <c r="D9" s="21" t="s">
        <v>365</v>
      </c>
      <c r="E9" s="21" t="s">
        <v>54</v>
      </c>
      <c r="F9" s="21" t="s">
        <v>30</v>
      </c>
      <c r="G9" s="22">
        <v>30</v>
      </c>
      <c r="H9" s="22">
        <v>30</v>
      </c>
      <c r="I9" s="22">
        <f t="shared" si="0"/>
        <v>0</v>
      </c>
      <c r="J9" s="21" t="s">
        <v>348</v>
      </c>
      <c r="K9" s="21" t="s">
        <v>32</v>
      </c>
      <c r="L9" s="21" t="s">
        <v>349</v>
      </c>
      <c r="M9" s="21" t="s">
        <v>153</v>
      </c>
      <c r="N9" s="21"/>
      <c r="O9" s="21"/>
      <c r="P9" s="21"/>
      <c r="Q9" s="21">
        <v>1</v>
      </c>
    </row>
    <row r="10" spans="1:18" customFormat="1" x14ac:dyDescent="0.25">
      <c r="A10" s="17"/>
      <c r="B10" s="17" t="s">
        <v>27</v>
      </c>
      <c r="C10" s="17" t="s">
        <v>366</v>
      </c>
      <c r="D10" s="17" t="s">
        <v>367</v>
      </c>
      <c r="E10" s="17" t="s">
        <v>368</v>
      </c>
      <c r="F10" s="18">
        <v>7</v>
      </c>
      <c r="G10" s="18">
        <v>810</v>
      </c>
      <c r="H10" s="18">
        <v>30</v>
      </c>
      <c r="I10" s="18">
        <f t="shared" si="0"/>
        <v>780</v>
      </c>
      <c r="J10" s="17" t="s">
        <v>348</v>
      </c>
      <c r="K10" s="17" t="s">
        <v>32</v>
      </c>
      <c r="L10" s="17" t="s">
        <v>349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369</v>
      </c>
      <c r="D11" s="17" t="s">
        <v>370</v>
      </c>
      <c r="E11" s="17" t="s">
        <v>371</v>
      </c>
      <c r="F11" s="18">
        <v>7</v>
      </c>
      <c r="G11" s="18">
        <v>600</v>
      </c>
      <c r="H11" s="18">
        <v>30</v>
      </c>
      <c r="I11" s="18">
        <f t="shared" si="0"/>
        <v>570</v>
      </c>
      <c r="J11" s="17" t="s">
        <v>348</v>
      </c>
      <c r="K11" s="17" t="s">
        <v>32</v>
      </c>
      <c r="L11" s="17" t="s">
        <v>349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372</v>
      </c>
      <c r="D12" s="17" t="s">
        <v>373</v>
      </c>
      <c r="E12" s="17" t="s">
        <v>374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348</v>
      </c>
      <c r="K12" s="17" t="s">
        <v>32</v>
      </c>
      <c r="L12" s="17" t="s">
        <v>349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/>
      <c r="B13" s="17" t="s">
        <v>27</v>
      </c>
      <c r="C13" s="17" t="s">
        <v>375</v>
      </c>
      <c r="D13" s="17" t="s">
        <v>376</v>
      </c>
      <c r="E13" s="17" t="s">
        <v>377</v>
      </c>
      <c r="F13" s="18">
        <v>7</v>
      </c>
      <c r="G13" s="18">
        <v>1010</v>
      </c>
      <c r="H13" s="18">
        <v>30</v>
      </c>
      <c r="I13" s="18">
        <f t="shared" si="0"/>
        <v>980</v>
      </c>
      <c r="J13" s="17" t="s">
        <v>348</v>
      </c>
      <c r="K13" s="17" t="s">
        <v>32</v>
      </c>
      <c r="L13" s="17" t="s">
        <v>349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378</v>
      </c>
      <c r="D14" s="17" t="s">
        <v>379</v>
      </c>
      <c r="E14" s="17" t="s">
        <v>380</v>
      </c>
      <c r="F14" s="18">
        <v>2</v>
      </c>
      <c r="G14" s="18">
        <v>820</v>
      </c>
      <c r="H14" s="18">
        <v>30</v>
      </c>
      <c r="I14" s="18">
        <f t="shared" si="0"/>
        <v>790</v>
      </c>
      <c r="J14" s="17" t="s">
        <v>32</v>
      </c>
      <c r="K14" s="17" t="s">
        <v>32</v>
      </c>
      <c r="L14" s="17" t="s">
        <v>349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381</v>
      </c>
      <c r="D15" s="17" t="s">
        <v>382</v>
      </c>
      <c r="E15" s="17" t="s">
        <v>383</v>
      </c>
      <c r="F15" s="17" t="s">
        <v>98</v>
      </c>
      <c r="G15" s="18">
        <v>2670</v>
      </c>
      <c r="H15" s="18">
        <v>30</v>
      </c>
      <c r="I15" s="18">
        <f t="shared" si="0"/>
        <v>2640</v>
      </c>
      <c r="J15" s="17" t="s">
        <v>32</v>
      </c>
      <c r="K15" s="17" t="s">
        <v>32</v>
      </c>
      <c r="L15" s="17" t="s">
        <v>349</v>
      </c>
      <c r="M15" s="20" t="s">
        <v>384</v>
      </c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381</v>
      </c>
      <c r="D16" s="17" t="s">
        <v>385</v>
      </c>
      <c r="E16" s="17" t="s">
        <v>383</v>
      </c>
      <c r="F16" s="17" t="s">
        <v>98</v>
      </c>
      <c r="G16" s="18">
        <v>840</v>
      </c>
      <c r="H16" s="18">
        <v>0</v>
      </c>
      <c r="I16" s="18">
        <f t="shared" si="0"/>
        <v>840</v>
      </c>
      <c r="J16" s="17" t="s">
        <v>32</v>
      </c>
      <c r="K16" s="17" t="s">
        <v>32</v>
      </c>
      <c r="L16" s="17" t="s">
        <v>349</v>
      </c>
      <c r="M16" s="20" t="s">
        <v>386</v>
      </c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387</v>
      </c>
      <c r="D17" s="17" t="s">
        <v>388</v>
      </c>
      <c r="E17" s="17" t="s">
        <v>389</v>
      </c>
      <c r="F17" s="17" t="s">
        <v>77</v>
      </c>
      <c r="G17" s="18">
        <v>915</v>
      </c>
      <c r="H17" s="18">
        <v>25</v>
      </c>
      <c r="I17" s="18">
        <f t="shared" si="0"/>
        <v>890</v>
      </c>
      <c r="J17" s="17" t="s">
        <v>32</v>
      </c>
      <c r="K17" s="17" t="s">
        <v>32</v>
      </c>
      <c r="L17" s="17" t="s">
        <v>349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390</v>
      </c>
      <c r="D18" s="17" t="s">
        <v>391</v>
      </c>
      <c r="E18" s="17" t="s">
        <v>392</v>
      </c>
      <c r="F18" s="17" t="s">
        <v>77</v>
      </c>
      <c r="G18" s="18">
        <v>25</v>
      </c>
      <c r="H18" s="18">
        <v>25</v>
      </c>
      <c r="I18" s="18">
        <f t="shared" si="0"/>
        <v>0</v>
      </c>
      <c r="J18" s="17" t="s">
        <v>32</v>
      </c>
      <c r="K18" s="17" t="s">
        <v>32</v>
      </c>
      <c r="L18" s="17" t="s">
        <v>349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393</v>
      </c>
      <c r="D19" s="17" t="s">
        <v>394</v>
      </c>
      <c r="E19" s="17" t="s">
        <v>395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349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396</v>
      </c>
      <c r="D20" s="17" t="s">
        <v>397</v>
      </c>
      <c r="E20" s="17" t="s">
        <v>398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349</v>
      </c>
      <c r="M20" s="17"/>
      <c r="N20" s="17"/>
      <c r="O20" s="17"/>
      <c r="P20" s="17"/>
      <c r="Q20" s="17">
        <v>1</v>
      </c>
    </row>
    <row r="21" spans="1:18" s="23" customFormat="1" x14ac:dyDescent="0.25">
      <c r="A21" s="21"/>
      <c r="B21" s="21" t="s">
        <v>27</v>
      </c>
      <c r="C21" s="21" t="s">
        <v>95</v>
      </c>
      <c r="D21" s="21" t="s">
        <v>399</v>
      </c>
      <c r="E21" s="21" t="s">
        <v>97</v>
      </c>
      <c r="F21" s="21" t="s">
        <v>98</v>
      </c>
      <c r="G21" s="22">
        <v>20</v>
      </c>
      <c r="H21" s="22">
        <v>20</v>
      </c>
      <c r="I21" s="22">
        <f t="shared" si="0"/>
        <v>0</v>
      </c>
      <c r="J21" s="21" t="s">
        <v>32</v>
      </c>
      <c r="K21" s="21" t="s">
        <v>32</v>
      </c>
      <c r="L21" s="21" t="s">
        <v>349</v>
      </c>
      <c r="M21" s="21" t="s">
        <v>153</v>
      </c>
      <c r="N21" s="21"/>
      <c r="O21" s="21"/>
      <c r="P21" s="21"/>
      <c r="Q21" s="21">
        <v>1</v>
      </c>
    </row>
    <row r="22" spans="1:18" customFormat="1" x14ac:dyDescent="0.25">
      <c r="A22" s="17"/>
      <c r="B22" s="17" t="s">
        <v>27</v>
      </c>
      <c r="C22" s="17" t="s">
        <v>400</v>
      </c>
      <c r="D22" s="17" t="s">
        <v>401</v>
      </c>
      <c r="E22" s="17" t="s">
        <v>402</v>
      </c>
      <c r="F22" s="17" t="s">
        <v>71</v>
      </c>
      <c r="G22" s="18">
        <v>2000</v>
      </c>
      <c r="H22" s="18">
        <v>30</v>
      </c>
      <c r="I22" s="18">
        <f t="shared" si="0"/>
        <v>1970</v>
      </c>
      <c r="J22" s="17" t="s">
        <v>32</v>
      </c>
      <c r="K22" s="17" t="s">
        <v>32</v>
      </c>
      <c r="L22" s="17" t="s">
        <v>349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403</v>
      </c>
      <c r="D23" s="17" t="s">
        <v>404</v>
      </c>
      <c r="E23" s="17" t="s">
        <v>405</v>
      </c>
      <c r="F23" s="17" t="s">
        <v>71</v>
      </c>
      <c r="G23" s="18">
        <v>1010</v>
      </c>
      <c r="H23" s="18">
        <v>30</v>
      </c>
      <c r="I23" s="18">
        <f t="shared" si="0"/>
        <v>980</v>
      </c>
      <c r="J23" s="17" t="s">
        <v>32</v>
      </c>
      <c r="K23" s="17" t="s">
        <v>32</v>
      </c>
      <c r="L23" s="17" t="s">
        <v>349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406</v>
      </c>
      <c r="D24" s="17" t="s">
        <v>407</v>
      </c>
      <c r="E24" s="17" t="s">
        <v>408</v>
      </c>
      <c r="F24" s="17" t="s">
        <v>98</v>
      </c>
      <c r="G24" s="18">
        <v>750</v>
      </c>
      <c r="H24" s="18">
        <v>20</v>
      </c>
      <c r="I24" s="18">
        <f t="shared" si="0"/>
        <v>730</v>
      </c>
      <c r="J24" s="17" t="s">
        <v>32</v>
      </c>
      <c r="K24" s="17" t="s">
        <v>32</v>
      </c>
      <c r="L24" s="17" t="s">
        <v>349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409</v>
      </c>
      <c r="D25" s="17"/>
      <c r="E25" s="17" t="s">
        <v>410</v>
      </c>
      <c r="F25" s="18">
        <v>12</v>
      </c>
      <c r="G25" s="18">
        <v>0</v>
      </c>
      <c r="H25" s="18">
        <v>35</v>
      </c>
      <c r="I25" s="18">
        <f t="shared" si="0"/>
        <v>-35</v>
      </c>
      <c r="J25" s="17" t="s">
        <v>32</v>
      </c>
      <c r="K25" s="17" t="s">
        <v>32</v>
      </c>
      <c r="L25" s="17" t="s">
        <v>349</v>
      </c>
      <c r="M25" s="17"/>
      <c r="N25" s="17"/>
      <c r="O25" s="17"/>
      <c r="P25" s="17"/>
      <c r="Q25" s="17">
        <v>1</v>
      </c>
      <c r="R25" s="19">
        <f>H25</f>
        <v>35</v>
      </c>
    </row>
    <row r="26" spans="1:18" customFormat="1" x14ac:dyDescent="0.25">
      <c r="A26" s="17" t="s">
        <v>26</v>
      </c>
      <c r="B26" s="17" t="s">
        <v>27</v>
      </c>
      <c r="C26" s="17" t="s">
        <v>411</v>
      </c>
      <c r="D26" s="17"/>
      <c r="E26" s="17" t="s">
        <v>412</v>
      </c>
      <c r="F26" s="18">
        <v>12</v>
      </c>
      <c r="G26" s="18">
        <v>35</v>
      </c>
      <c r="H26" s="18">
        <v>35</v>
      </c>
      <c r="I26" s="18">
        <f t="shared" si="0"/>
        <v>0</v>
      </c>
      <c r="J26" s="17" t="s">
        <v>32</v>
      </c>
      <c r="K26" s="17" t="s">
        <v>32</v>
      </c>
      <c r="L26" s="17" t="s">
        <v>349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413</v>
      </c>
      <c r="D27" s="17" t="s">
        <v>414</v>
      </c>
      <c r="E27" s="17" t="s">
        <v>415</v>
      </c>
      <c r="F27" s="18">
        <v>10</v>
      </c>
      <c r="G27" s="18">
        <v>455</v>
      </c>
      <c r="H27" s="18">
        <v>25</v>
      </c>
      <c r="I27" s="18">
        <f t="shared" si="0"/>
        <v>430</v>
      </c>
      <c r="J27" s="17" t="s">
        <v>140</v>
      </c>
      <c r="K27" s="17" t="s">
        <v>32</v>
      </c>
      <c r="L27" s="17" t="s">
        <v>349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416</v>
      </c>
      <c r="D28" s="17" t="s">
        <v>417</v>
      </c>
      <c r="E28" s="17" t="s">
        <v>418</v>
      </c>
      <c r="F28" s="17" t="s">
        <v>166</v>
      </c>
      <c r="G28" s="18">
        <v>810</v>
      </c>
      <c r="H28" s="18">
        <v>20</v>
      </c>
      <c r="I28" s="18">
        <f t="shared" si="0"/>
        <v>790</v>
      </c>
      <c r="J28" s="17" t="s">
        <v>140</v>
      </c>
      <c r="K28" s="17" t="s">
        <v>32</v>
      </c>
      <c r="L28" s="17" t="s">
        <v>349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419</v>
      </c>
      <c r="D29" s="17" t="s">
        <v>420</v>
      </c>
      <c r="E29" s="17" t="s">
        <v>421</v>
      </c>
      <c r="F29" s="18">
        <v>10</v>
      </c>
      <c r="G29" s="18">
        <v>885</v>
      </c>
      <c r="H29" s="18">
        <v>25</v>
      </c>
      <c r="I29" s="18">
        <f t="shared" si="0"/>
        <v>860</v>
      </c>
      <c r="J29" s="17" t="s">
        <v>140</v>
      </c>
      <c r="K29" s="17" t="s">
        <v>32</v>
      </c>
      <c r="L29" s="17" t="s">
        <v>349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422</v>
      </c>
      <c r="D30" s="17" t="s">
        <v>423</v>
      </c>
      <c r="E30" s="17" t="s">
        <v>424</v>
      </c>
      <c r="F30" s="17" t="s">
        <v>130</v>
      </c>
      <c r="G30" s="18">
        <v>485</v>
      </c>
      <c r="H30" s="18">
        <v>25</v>
      </c>
      <c r="I30" s="18">
        <f t="shared" si="0"/>
        <v>460</v>
      </c>
      <c r="J30" s="17" t="s">
        <v>140</v>
      </c>
      <c r="K30" s="17" t="s">
        <v>32</v>
      </c>
      <c r="L30" s="17" t="s">
        <v>349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425</v>
      </c>
      <c r="D31" s="17" t="s">
        <v>426</v>
      </c>
      <c r="E31" s="17" t="s">
        <v>427</v>
      </c>
      <c r="F31" s="18">
        <v>10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349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428</v>
      </c>
      <c r="D32" s="17" t="s">
        <v>429</v>
      </c>
      <c r="E32" s="17" t="s">
        <v>430</v>
      </c>
      <c r="F32" s="17" t="s">
        <v>130</v>
      </c>
      <c r="G32" s="18">
        <v>745</v>
      </c>
      <c r="H32" s="18">
        <v>25</v>
      </c>
      <c r="I32" s="18">
        <f t="shared" si="0"/>
        <v>720</v>
      </c>
      <c r="J32" s="17" t="s">
        <v>140</v>
      </c>
      <c r="K32" s="17" t="s">
        <v>32</v>
      </c>
      <c r="L32" s="17" t="s">
        <v>349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27</v>
      </c>
      <c r="C33" s="17" t="s">
        <v>431</v>
      </c>
      <c r="D33" s="17" t="s">
        <v>432</v>
      </c>
      <c r="E33" s="17" t="s">
        <v>433</v>
      </c>
      <c r="F33" s="17" t="s">
        <v>166</v>
      </c>
      <c r="G33" s="18">
        <v>940</v>
      </c>
      <c r="H33" s="18">
        <v>20</v>
      </c>
      <c r="I33" s="18">
        <f t="shared" si="0"/>
        <v>920</v>
      </c>
      <c r="J33" s="17" t="s">
        <v>140</v>
      </c>
      <c r="K33" s="17" t="s">
        <v>32</v>
      </c>
      <c r="L33" s="17" t="s">
        <v>349</v>
      </c>
      <c r="M33" s="17"/>
      <c r="N33" s="17"/>
      <c r="O33" s="17"/>
      <c r="P33" s="17"/>
      <c r="Q33" s="17">
        <v>1</v>
      </c>
    </row>
    <row r="35" spans="1:18" x14ac:dyDescent="0.25">
      <c r="G35" s="1">
        <f t="shared" ref="G35:R35" si="1">SUBTOTAL(9,G3:G34)</f>
        <v>21070</v>
      </c>
      <c r="H35" s="1">
        <f t="shared" si="1"/>
        <v>830</v>
      </c>
      <c r="I35" s="1">
        <f t="shared" si="1"/>
        <v>20240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150</v>
      </c>
    </row>
    <row r="36" spans="1:18" x14ac:dyDescent="0.25">
      <c r="I36" s="26">
        <f>-H51</f>
        <v>-730</v>
      </c>
      <c r="J36" s="1" t="s">
        <v>434</v>
      </c>
    </row>
    <row r="39" spans="1:18" ht="20.25" customHeight="1" x14ac:dyDescent="0.3">
      <c r="H39" s="4" t="s">
        <v>342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19510</v>
      </c>
      <c r="J40" s="8">
        <f>Q35</f>
        <v>31</v>
      </c>
    </row>
    <row r="41" spans="1:18" x14ac:dyDescent="0.25">
      <c r="H41" s="9" t="s">
        <v>18</v>
      </c>
      <c r="I41" s="10">
        <f>R35</f>
        <v>150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19660</v>
      </c>
      <c r="J47" s="16">
        <f>SUM(J40:J44)</f>
        <v>31</v>
      </c>
    </row>
    <row r="49" spans="1:12" x14ac:dyDescent="0.25">
      <c r="A49" s="1" t="s">
        <v>184</v>
      </c>
    </row>
    <row r="50" spans="1:12" x14ac:dyDescent="0.25">
      <c r="A50" s="24" t="s">
        <v>27</v>
      </c>
      <c r="B50" s="24" t="s">
        <v>278</v>
      </c>
      <c r="C50" s="24" t="s">
        <v>279</v>
      </c>
      <c r="D50" s="24" t="s">
        <v>280</v>
      </c>
      <c r="E50" s="24" t="s">
        <v>98</v>
      </c>
      <c r="F50" s="25">
        <v>750</v>
      </c>
      <c r="G50" s="25">
        <v>20</v>
      </c>
      <c r="H50" s="25">
        <f t="shared" ref="H50" si="2">F50-G50</f>
        <v>730</v>
      </c>
      <c r="I50" s="24" t="s">
        <v>188</v>
      </c>
      <c r="J50" s="24" t="s">
        <v>32</v>
      </c>
      <c r="K50" s="24" t="s">
        <v>204</v>
      </c>
      <c r="L50" s="24" t="s">
        <v>184</v>
      </c>
    </row>
    <row r="51" spans="1:12" x14ac:dyDescent="0.25">
      <c r="H51" s="26">
        <f>SUM(H50)</f>
        <v>730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C9D9-E89D-4A1F-88B0-FBFB44A0523E}">
  <dimension ref="A1:R103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435</v>
      </c>
      <c r="C1" s="1" t="s">
        <v>436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438</v>
      </c>
      <c r="D3" s="17" t="s">
        <v>439</v>
      </c>
      <c r="E3" s="17" t="s">
        <v>440</v>
      </c>
      <c r="F3" s="18">
        <v>7</v>
      </c>
      <c r="G3" s="18">
        <v>780</v>
      </c>
      <c r="H3" s="18">
        <v>30</v>
      </c>
      <c r="I3" s="18">
        <f t="shared" ref="I3:I84" si="0">G3-H3</f>
        <v>750</v>
      </c>
      <c r="J3" s="17" t="s">
        <v>441</v>
      </c>
      <c r="K3" s="17" t="s">
        <v>32</v>
      </c>
      <c r="L3" s="17" t="s">
        <v>442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443</v>
      </c>
      <c r="D4" s="17" t="s">
        <v>444</v>
      </c>
      <c r="E4" s="17" t="s">
        <v>445</v>
      </c>
      <c r="F4" s="17" t="s">
        <v>80</v>
      </c>
      <c r="G4" s="18">
        <v>0</v>
      </c>
      <c r="H4" s="18">
        <v>35</v>
      </c>
      <c r="I4" s="18">
        <f t="shared" si="0"/>
        <v>-35</v>
      </c>
      <c r="J4" s="17" t="s">
        <v>441</v>
      </c>
      <c r="K4" s="17" t="s">
        <v>32</v>
      </c>
      <c r="L4" s="17" t="s">
        <v>442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446</v>
      </c>
      <c r="D5" s="17" t="s">
        <v>447</v>
      </c>
      <c r="E5" s="17" t="s">
        <v>448</v>
      </c>
      <c r="F5" s="18">
        <v>7</v>
      </c>
      <c r="G5" s="18">
        <v>850</v>
      </c>
      <c r="H5" s="18">
        <v>30</v>
      </c>
      <c r="I5" s="18">
        <f t="shared" si="0"/>
        <v>820</v>
      </c>
      <c r="J5" s="17" t="s">
        <v>441</v>
      </c>
      <c r="K5" s="17" t="s">
        <v>32</v>
      </c>
      <c r="L5" s="17" t="s">
        <v>442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449</v>
      </c>
      <c r="D6" s="17" t="s">
        <v>450</v>
      </c>
      <c r="E6" s="17" t="s">
        <v>451</v>
      </c>
      <c r="F6" s="18">
        <v>8</v>
      </c>
      <c r="G6" s="18">
        <v>550</v>
      </c>
      <c r="H6" s="18">
        <v>30</v>
      </c>
      <c r="I6" s="18">
        <f t="shared" si="0"/>
        <v>520</v>
      </c>
      <c r="J6" s="17" t="s">
        <v>441</v>
      </c>
      <c r="K6" s="17" t="s">
        <v>32</v>
      </c>
      <c r="L6" s="17" t="s">
        <v>442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452</v>
      </c>
      <c r="D7" s="17" t="s">
        <v>453</v>
      </c>
      <c r="E7" s="17" t="s">
        <v>454</v>
      </c>
      <c r="F7" s="17" t="s">
        <v>30</v>
      </c>
      <c r="G7" s="18">
        <v>490</v>
      </c>
      <c r="H7" s="18">
        <v>30</v>
      </c>
      <c r="I7" s="18">
        <f t="shared" si="0"/>
        <v>460</v>
      </c>
      <c r="J7" s="17" t="s">
        <v>441</v>
      </c>
      <c r="K7" s="17" t="s">
        <v>32</v>
      </c>
      <c r="L7" s="17" t="s">
        <v>442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455</v>
      </c>
      <c r="D8" s="17" t="s">
        <v>456</v>
      </c>
      <c r="E8" s="17" t="s">
        <v>457</v>
      </c>
      <c r="F8" s="18">
        <v>9</v>
      </c>
      <c r="G8" s="18">
        <v>550</v>
      </c>
      <c r="H8" s="18">
        <v>30</v>
      </c>
      <c r="I8" s="18">
        <f t="shared" si="0"/>
        <v>520</v>
      </c>
      <c r="J8" s="17" t="s">
        <v>441</v>
      </c>
      <c r="K8" s="17" t="s">
        <v>32</v>
      </c>
      <c r="L8" s="17" t="s">
        <v>442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458</v>
      </c>
      <c r="D9" s="17" t="s">
        <v>459</v>
      </c>
      <c r="E9" s="17" t="s">
        <v>460</v>
      </c>
      <c r="F9" s="17" t="s">
        <v>170</v>
      </c>
      <c r="G9" s="18">
        <v>455</v>
      </c>
      <c r="H9" s="18">
        <v>25</v>
      </c>
      <c r="I9" s="18">
        <f t="shared" si="0"/>
        <v>430</v>
      </c>
      <c r="J9" s="17" t="s">
        <v>441</v>
      </c>
      <c r="K9" s="17" t="s">
        <v>32</v>
      </c>
      <c r="L9" s="17" t="s">
        <v>442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461</v>
      </c>
      <c r="D10" s="17" t="s">
        <v>462</v>
      </c>
      <c r="E10" s="17" t="s">
        <v>463</v>
      </c>
      <c r="F10" s="18">
        <v>8</v>
      </c>
      <c r="G10" s="18">
        <v>550</v>
      </c>
      <c r="H10" s="18">
        <v>30</v>
      </c>
      <c r="I10" s="18">
        <f t="shared" si="0"/>
        <v>520</v>
      </c>
      <c r="J10" s="17" t="s">
        <v>441</v>
      </c>
      <c r="K10" s="17" t="s">
        <v>32</v>
      </c>
      <c r="L10" s="17" t="s">
        <v>442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464</v>
      </c>
      <c r="D11" s="17" t="s">
        <v>465</v>
      </c>
      <c r="E11" s="17" t="s">
        <v>466</v>
      </c>
      <c r="F11" s="18">
        <v>8</v>
      </c>
      <c r="G11" s="18">
        <v>0</v>
      </c>
      <c r="H11" s="18">
        <v>30</v>
      </c>
      <c r="I11" s="18">
        <f t="shared" si="0"/>
        <v>-30</v>
      </c>
      <c r="J11" s="17" t="s">
        <v>441</v>
      </c>
      <c r="K11" s="17" t="s">
        <v>32</v>
      </c>
      <c r="L11" s="17" t="s">
        <v>442</v>
      </c>
      <c r="M11" s="17"/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467</v>
      </c>
      <c r="D12" s="17" t="s">
        <v>468</v>
      </c>
      <c r="E12" s="17" t="s">
        <v>469</v>
      </c>
      <c r="F12" s="17" t="s">
        <v>30</v>
      </c>
      <c r="G12" s="18">
        <v>770</v>
      </c>
      <c r="H12" s="18">
        <v>30</v>
      </c>
      <c r="I12" s="18">
        <f t="shared" si="0"/>
        <v>740</v>
      </c>
      <c r="J12" s="17" t="s">
        <v>441</v>
      </c>
      <c r="K12" s="17" t="s">
        <v>32</v>
      </c>
      <c r="L12" s="17" t="s">
        <v>442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470</v>
      </c>
      <c r="D13" s="17" t="s">
        <v>471</v>
      </c>
      <c r="E13" s="17" t="s">
        <v>472</v>
      </c>
      <c r="F13" s="17" t="s">
        <v>51</v>
      </c>
      <c r="G13" s="18">
        <v>0</v>
      </c>
      <c r="H13" s="18">
        <v>35</v>
      </c>
      <c r="I13" s="18">
        <f t="shared" si="0"/>
        <v>-35</v>
      </c>
      <c r="J13" s="17" t="s">
        <v>441</v>
      </c>
      <c r="K13" s="17" t="s">
        <v>32</v>
      </c>
      <c r="L13" s="17" t="s">
        <v>442</v>
      </c>
      <c r="M13" s="17"/>
      <c r="N13" s="17"/>
      <c r="O13" s="17"/>
      <c r="P13" s="17"/>
      <c r="Q13" s="17">
        <v>1</v>
      </c>
      <c r="R13" s="19">
        <f>H13</f>
        <v>35</v>
      </c>
    </row>
    <row r="14" spans="1:18" customFormat="1" x14ac:dyDescent="0.25">
      <c r="A14" s="17"/>
      <c r="B14" s="17" t="s">
        <v>27</v>
      </c>
      <c r="C14" s="17" t="s">
        <v>473</v>
      </c>
      <c r="D14" s="17" t="s">
        <v>474</v>
      </c>
      <c r="E14" s="17" t="s">
        <v>475</v>
      </c>
      <c r="F14" s="17" t="s">
        <v>170</v>
      </c>
      <c r="G14" s="18">
        <v>545</v>
      </c>
      <c r="H14" s="18">
        <v>25</v>
      </c>
      <c r="I14" s="18">
        <f t="shared" si="0"/>
        <v>520</v>
      </c>
      <c r="J14" s="17" t="s">
        <v>441</v>
      </c>
      <c r="K14" s="17" t="s">
        <v>32</v>
      </c>
      <c r="L14" s="17" t="s">
        <v>442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476</v>
      </c>
      <c r="D15" s="17" t="s">
        <v>477</v>
      </c>
      <c r="E15" s="17" t="s">
        <v>478</v>
      </c>
      <c r="F15" s="17" t="s">
        <v>130</v>
      </c>
      <c r="G15" s="18">
        <v>0</v>
      </c>
      <c r="H15" s="18">
        <v>25</v>
      </c>
      <c r="I15" s="18">
        <f t="shared" si="0"/>
        <v>-25</v>
      </c>
      <c r="J15" s="17" t="s">
        <v>441</v>
      </c>
      <c r="K15" s="17" t="s">
        <v>32</v>
      </c>
      <c r="L15" s="17" t="s">
        <v>442</v>
      </c>
      <c r="M15" s="17"/>
      <c r="N15" s="17"/>
      <c r="O15" s="17"/>
      <c r="P15" s="17"/>
      <c r="Q15" s="17">
        <v>1</v>
      </c>
      <c r="R15" s="19">
        <f t="shared" ref="R15:R16" si="1">H15</f>
        <v>25</v>
      </c>
    </row>
    <row r="16" spans="1:18" customFormat="1" x14ac:dyDescent="0.25">
      <c r="A16" s="17"/>
      <c r="B16" s="17" t="s">
        <v>27</v>
      </c>
      <c r="C16" s="17" t="s">
        <v>479</v>
      </c>
      <c r="D16" s="17" t="s">
        <v>480</v>
      </c>
      <c r="E16" s="17" t="s">
        <v>481</v>
      </c>
      <c r="F16" s="17" t="s">
        <v>51</v>
      </c>
      <c r="G16" s="18">
        <v>0</v>
      </c>
      <c r="H16" s="18">
        <v>35</v>
      </c>
      <c r="I16" s="18">
        <f t="shared" si="0"/>
        <v>-35</v>
      </c>
      <c r="J16" s="17" t="s">
        <v>441</v>
      </c>
      <c r="K16" s="17" t="s">
        <v>32</v>
      </c>
      <c r="L16" s="17" t="s">
        <v>442</v>
      </c>
      <c r="M16" s="17"/>
      <c r="N16" s="17"/>
      <c r="O16" s="17"/>
      <c r="P16" s="17"/>
      <c r="Q16" s="17">
        <v>1</v>
      </c>
      <c r="R16" s="19">
        <f t="shared" si="1"/>
        <v>35</v>
      </c>
    </row>
    <row r="17" spans="1:18" customFormat="1" x14ac:dyDescent="0.25">
      <c r="A17" s="17"/>
      <c r="B17" s="17" t="s">
        <v>27</v>
      </c>
      <c r="C17" s="17" t="s">
        <v>482</v>
      </c>
      <c r="D17" s="17" t="s">
        <v>483</v>
      </c>
      <c r="E17" s="17" t="s">
        <v>484</v>
      </c>
      <c r="F17" s="18">
        <v>7</v>
      </c>
      <c r="G17" s="18">
        <v>1870</v>
      </c>
      <c r="H17" s="18">
        <v>30</v>
      </c>
      <c r="I17" s="18">
        <f t="shared" si="0"/>
        <v>1840</v>
      </c>
      <c r="J17" s="17" t="s">
        <v>441</v>
      </c>
      <c r="K17" s="17" t="s">
        <v>32</v>
      </c>
      <c r="L17" s="17" t="s">
        <v>442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211</v>
      </c>
      <c r="D18" s="17" t="s">
        <v>485</v>
      </c>
      <c r="E18" s="17" t="s">
        <v>213</v>
      </c>
      <c r="F18" s="18">
        <v>7</v>
      </c>
      <c r="G18" s="18">
        <v>0</v>
      </c>
      <c r="H18" s="18">
        <v>30</v>
      </c>
      <c r="I18" s="18">
        <f t="shared" si="0"/>
        <v>-30</v>
      </c>
      <c r="J18" s="17" t="s">
        <v>441</v>
      </c>
      <c r="K18" s="17" t="s">
        <v>32</v>
      </c>
      <c r="L18" s="17" t="s">
        <v>442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486</v>
      </c>
      <c r="D19" s="17" t="s">
        <v>487</v>
      </c>
      <c r="E19" s="17" t="s">
        <v>488</v>
      </c>
      <c r="F19" s="17" t="s">
        <v>30</v>
      </c>
      <c r="G19" s="18">
        <v>1040</v>
      </c>
      <c r="H19" s="18">
        <v>30</v>
      </c>
      <c r="I19" s="18">
        <f t="shared" si="0"/>
        <v>1010</v>
      </c>
      <c r="J19" s="17" t="s">
        <v>441</v>
      </c>
      <c r="K19" s="17" t="s">
        <v>32</v>
      </c>
      <c r="L19" s="17" t="s">
        <v>442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489</v>
      </c>
      <c r="D20" s="17" t="s">
        <v>490</v>
      </c>
      <c r="E20" s="17" t="s">
        <v>491</v>
      </c>
      <c r="F20" s="18">
        <v>6</v>
      </c>
      <c r="G20" s="18">
        <v>1465</v>
      </c>
      <c r="H20" s="18">
        <v>25</v>
      </c>
      <c r="I20" s="18">
        <f t="shared" si="0"/>
        <v>1440</v>
      </c>
      <c r="J20" s="17" t="s">
        <v>441</v>
      </c>
      <c r="K20" s="17" t="s">
        <v>32</v>
      </c>
      <c r="L20" s="17" t="s">
        <v>442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492</v>
      </c>
      <c r="D21" s="17" t="s">
        <v>493</v>
      </c>
      <c r="E21" s="17" t="s">
        <v>494</v>
      </c>
      <c r="F21" s="18">
        <v>8</v>
      </c>
      <c r="G21" s="18">
        <v>750</v>
      </c>
      <c r="H21" s="18">
        <v>30</v>
      </c>
      <c r="I21" s="18">
        <f t="shared" si="0"/>
        <v>720</v>
      </c>
      <c r="J21" s="17" t="s">
        <v>441</v>
      </c>
      <c r="K21" s="17" t="s">
        <v>32</v>
      </c>
      <c r="L21" s="17" t="s">
        <v>442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495</v>
      </c>
      <c r="D22" s="17" t="s">
        <v>496</v>
      </c>
      <c r="E22" s="17" t="s">
        <v>497</v>
      </c>
      <c r="F22" s="17" t="s">
        <v>170</v>
      </c>
      <c r="G22" s="18">
        <v>545</v>
      </c>
      <c r="H22" s="18">
        <v>25</v>
      </c>
      <c r="I22" s="18">
        <f t="shared" si="0"/>
        <v>520</v>
      </c>
      <c r="J22" s="17" t="s">
        <v>441</v>
      </c>
      <c r="K22" s="17" t="s">
        <v>32</v>
      </c>
      <c r="L22" s="17" t="s">
        <v>442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498</v>
      </c>
      <c r="D23" s="17" t="s">
        <v>499</v>
      </c>
      <c r="E23" s="17" t="s">
        <v>500</v>
      </c>
      <c r="F23" s="17" t="s">
        <v>51</v>
      </c>
      <c r="G23" s="18">
        <v>995</v>
      </c>
      <c r="H23" s="18">
        <v>35</v>
      </c>
      <c r="I23" s="18">
        <f t="shared" si="0"/>
        <v>960</v>
      </c>
      <c r="J23" s="17" t="s">
        <v>441</v>
      </c>
      <c r="K23" s="17" t="s">
        <v>32</v>
      </c>
      <c r="L23" s="17" t="s">
        <v>442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501</v>
      </c>
      <c r="D24" s="17" t="s">
        <v>502</v>
      </c>
      <c r="E24" s="17" t="s">
        <v>503</v>
      </c>
      <c r="F24" s="17" t="s">
        <v>51</v>
      </c>
      <c r="G24" s="18">
        <v>915</v>
      </c>
      <c r="H24" s="18">
        <v>35</v>
      </c>
      <c r="I24" s="18">
        <f t="shared" si="0"/>
        <v>880</v>
      </c>
      <c r="J24" s="17" t="s">
        <v>441</v>
      </c>
      <c r="K24" s="17" t="s">
        <v>32</v>
      </c>
      <c r="L24" s="17" t="s">
        <v>442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504</v>
      </c>
      <c r="D25" s="17" t="s">
        <v>505</v>
      </c>
      <c r="E25" s="17" t="s">
        <v>506</v>
      </c>
      <c r="F25" s="18">
        <v>8</v>
      </c>
      <c r="G25" s="18">
        <v>800</v>
      </c>
      <c r="H25" s="18">
        <v>30</v>
      </c>
      <c r="I25" s="18">
        <f t="shared" si="0"/>
        <v>770</v>
      </c>
      <c r="J25" s="17" t="s">
        <v>441</v>
      </c>
      <c r="K25" s="17" t="s">
        <v>32</v>
      </c>
      <c r="L25" s="17" t="s">
        <v>442</v>
      </c>
      <c r="M25" s="20" t="s">
        <v>386</v>
      </c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504</v>
      </c>
      <c r="D26" s="17" t="s">
        <v>507</v>
      </c>
      <c r="E26" s="17" t="s">
        <v>506</v>
      </c>
      <c r="F26" s="18">
        <v>8</v>
      </c>
      <c r="G26" s="18">
        <v>520</v>
      </c>
      <c r="H26" s="18">
        <v>0</v>
      </c>
      <c r="I26" s="18">
        <f t="shared" si="0"/>
        <v>520</v>
      </c>
      <c r="J26" s="17" t="s">
        <v>441</v>
      </c>
      <c r="K26" s="17" t="s">
        <v>32</v>
      </c>
      <c r="L26" s="17" t="s">
        <v>442</v>
      </c>
      <c r="M26" s="20" t="s">
        <v>386</v>
      </c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508</v>
      </c>
      <c r="D27" s="17"/>
      <c r="E27" s="17" t="s">
        <v>509</v>
      </c>
      <c r="F27" s="18">
        <v>6</v>
      </c>
      <c r="G27" s="18">
        <v>35</v>
      </c>
      <c r="H27" s="18">
        <v>35</v>
      </c>
      <c r="I27" s="18">
        <f t="shared" si="0"/>
        <v>0</v>
      </c>
      <c r="J27" s="17" t="s">
        <v>441</v>
      </c>
      <c r="K27" s="17" t="s">
        <v>32</v>
      </c>
      <c r="L27" s="17" t="s">
        <v>442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26</v>
      </c>
      <c r="B28" s="17" t="s">
        <v>27</v>
      </c>
      <c r="C28" s="17" t="s">
        <v>34</v>
      </c>
      <c r="D28" s="17"/>
      <c r="E28" s="17" t="s">
        <v>510</v>
      </c>
      <c r="F28" s="18">
        <v>6</v>
      </c>
      <c r="G28" s="18">
        <v>0</v>
      </c>
      <c r="H28" s="18">
        <v>30</v>
      </c>
      <c r="I28" s="18">
        <f t="shared" si="0"/>
        <v>-30</v>
      </c>
      <c r="J28" s="17" t="s">
        <v>441</v>
      </c>
      <c r="K28" s="17" t="s">
        <v>32</v>
      </c>
      <c r="L28" s="17" t="s">
        <v>442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511</v>
      </c>
      <c r="D29" s="17"/>
      <c r="E29" s="17" t="s">
        <v>512</v>
      </c>
      <c r="F29" s="17" t="s">
        <v>30</v>
      </c>
      <c r="G29" s="18">
        <v>5610</v>
      </c>
      <c r="H29" s="18">
        <v>50</v>
      </c>
      <c r="I29" s="18">
        <f t="shared" si="0"/>
        <v>5560</v>
      </c>
      <c r="J29" s="17" t="s">
        <v>441</v>
      </c>
      <c r="K29" s="17" t="s">
        <v>32</v>
      </c>
      <c r="L29" s="17" t="s">
        <v>442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513</v>
      </c>
      <c r="D30" s="17"/>
      <c r="E30" s="17" t="s">
        <v>514</v>
      </c>
      <c r="F30" s="18">
        <v>6</v>
      </c>
      <c r="G30" s="18">
        <v>0</v>
      </c>
      <c r="H30" s="18">
        <v>30</v>
      </c>
      <c r="I30" s="18">
        <f t="shared" si="0"/>
        <v>-30</v>
      </c>
      <c r="J30" s="17" t="s">
        <v>441</v>
      </c>
      <c r="K30" s="17" t="s">
        <v>32</v>
      </c>
      <c r="L30" s="17" t="s">
        <v>442</v>
      </c>
      <c r="M30" s="17"/>
      <c r="N30" s="17"/>
      <c r="O30" s="17"/>
      <c r="P30" s="17"/>
      <c r="Q30" s="17">
        <v>1</v>
      </c>
      <c r="R30" s="19">
        <f>H30</f>
        <v>30</v>
      </c>
    </row>
    <row r="31" spans="1:18" customFormat="1" x14ac:dyDescent="0.25">
      <c r="A31" s="17"/>
      <c r="B31" s="17" t="s">
        <v>27</v>
      </c>
      <c r="C31" s="17" t="s">
        <v>515</v>
      </c>
      <c r="D31" s="17" t="s">
        <v>516</v>
      </c>
      <c r="E31" s="17" t="s">
        <v>517</v>
      </c>
      <c r="F31" s="17" t="s">
        <v>51</v>
      </c>
      <c r="G31" s="18">
        <v>395</v>
      </c>
      <c r="H31" s="18">
        <v>35</v>
      </c>
      <c r="I31" s="18">
        <f t="shared" si="0"/>
        <v>360</v>
      </c>
      <c r="J31" s="17" t="s">
        <v>441</v>
      </c>
      <c r="K31" s="17" t="s">
        <v>32</v>
      </c>
      <c r="L31" s="17" t="s">
        <v>442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518</v>
      </c>
      <c r="D32" s="17" t="s">
        <v>519</v>
      </c>
      <c r="E32" s="17" t="s">
        <v>520</v>
      </c>
      <c r="F32" s="18">
        <v>2</v>
      </c>
      <c r="G32" s="18">
        <v>950</v>
      </c>
      <c r="H32" s="18">
        <v>30</v>
      </c>
      <c r="I32" s="18">
        <f t="shared" si="0"/>
        <v>920</v>
      </c>
      <c r="J32" s="17" t="s">
        <v>32</v>
      </c>
      <c r="K32" s="17" t="s">
        <v>32</v>
      </c>
      <c r="L32" s="17" t="s">
        <v>442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521</v>
      </c>
      <c r="D33" s="17" t="s">
        <v>522</v>
      </c>
      <c r="E33" s="17" t="s">
        <v>523</v>
      </c>
      <c r="F33" s="18">
        <v>12</v>
      </c>
      <c r="G33" s="18">
        <v>950</v>
      </c>
      <c r="H33" s="18">
        <v>30</v>
      </c>
      <c r="I33" s="18">
        <f t="shared" si="0"/>
        <v>920</v>
      </c>
      <c r="J33" s="17" t="s">
        <v>32</v>
      </c>
      <c r="K33" s="17" t="s">
        <v>32</v>
      </c>
      <c r="L33" s="17" t="s">
        <v>442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524</v>
      </c>
      <c r="D34" s="17" t="s">
        <v>525</v>
      </c>
      <c r="E34" s="17" t="s">
        <v>526</v>
      </c>
      <c r="F34" s="17" t="s">
        <v>71</v>
      </c>
      <c r="G34" s="18">
        <v>520</v>
      </c>
      <c r="H34" s="18">
        <v>30</v>
      </c>
      <c r="I34" s="18">
        <f t="shared" si="0"/>
        <v>490</v>
      </c>
      <c r="J34" s="17" t="s">
        <v>32</v>
      </c>
      <c r="K34" s="17" t="s">
        <v>32</v>
      </c>
      <c r="L34" s="17" t="s">
        <v>442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527</v>
      </c>
      <c r="D35" s="17" t="s">
        <v>528</v>
      </c>
      <c r="E35" s="17" t="s">
        <v>529</v>
      </c>
      <c r="F35" s="17" t="s">
        <v>71</v>
      </c>
      <c r="G35" s="18">
        <v>800</v>
      </c>
      <c r="H35" s="18">
        <v>30</v>
      </c>
      <c r="I35" s="18">
        <f t="shared" si="0"/>
        <v>770</v>
      </c>
      <c r="J35" s="17" t="s">
        <v>32</v>
      </c>
      <c r="K35" s="17" t="s">
        <v>32</v>
      </c>
      <c r="L35" s="17" t="s">
        <v>442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530</v>
      </c>
      <c r="D36" s="17" t="s">
        <v>531</v>
      </c>
      <c r="E36" s="17" t="s">
        <v>532</v>
      </c>
      <c r="F36" s="18">
        <v>9</v>
      </c>
      <c r="G36" s="18">
        <v>1600</v>
      </c>
      <c r="H36" s="18">
        <v>30</v>
      </c>
      <c r="I36" s="18">
        <f t="shared" si="0"/>
        <v>1570</v>
      </c>
      <c r="J36" s="17" t="s">
        <v>32</v>
      </c>
      <c r="K36" s="17" t="s">
        <v>32</v>
      </c>
      <c r="L36" s="17" t="s">
        <v>442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533</v>
      </c>
      <c r="D37" s="17" t="s">
        <v>534</v>
      </c>
      <c r="E37" s="17" t="s">
        <v>535</v>
      </c>
      <c r="F37" s="17" t="s">
        <v>98</v>
      </c>
      <c r="G37" s="18">
        <v>910</v>
      </c>
      <c r="H37" s="18">
        <v>20</v>
      </c>
      <c r="I37" s="18">
        <f t="shared" si="0"/>
        <v>890</v>
      </c>
      <c r="J37" s="17" t="s">
        <v>32</v>
      </c>
      <c r="K37" s="17" t="s">
        <v>32</v>
      </c>
      <c r="L37" s="17" t="s">
        <v>442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536</v>
      </c>
      <c r="D38" s="17" t="s">
        <v>537</v>
      </c>
      <c r="E38" s="17" t="s">
        <v>538</v>
      </c>
      <c r="F38" s="17" t="s">
        <v>98</v>
      </c>
      <c r="G38" s="18">
        <v>0</v>
      </c>
      <c r="H38" s="18">
        <v>20</v>
      </c>
      <c r="I38" s="18">
        <f t="shared" si="0"/>
        <v>-20</v>
      </c>
      <c r="J38" s="17" t="s">
        <v>32</v>
      </c>
      <c r="K38" s="17" t="s">
        <v>32</v>
      </c>
      <c r="L38" s="17" t="s">
        <v>442</v>
      </c>
      <c r="M38" s="17"/>
      <c r="N38" s="17"/>
      <c r="O38" s="17"/>
      <c r="P38" s="17"/>
      <c r="Q38" s="17">
        <v>1</v>
      </c>
      <c r="R38" s="19">
        <f>H38</f>
        <v>20</v>
      </c>
    </row>
    <row r="39" spans="1:18" customFormat="1" x14ac:dyDescent="0.25">
      <c r="A39" s="17"/>
      <c r="B39" s="17" t="s">
        <v>27</v>
      </c>
      <c r="C39" s="17" t="s">
        <v>539</v>
      </c>
      <c r="D39" s="17" t="s">
        <v>540</v>
      </c>
      <c r="E39" s="17" t="s">
        <v>541</v>
      </c>
      <c r="F39" s="17" t="s">
        <v>77</v>
      </c>
      <c r="G39" s="18">
        <v>1435</v>
      </c>
      <c r="H39" s="18">
        <v>25</v>
      </c>
      <c r="I39" s="18">
        <f t="shared" si="0"/>
        <v>1410</v>
      </c>
      <c r="J39" s="17" t="s">
        <v>32</v>
      </c>
      <c r="K39" s="17" t="s">
        <v>32</v>
      </c>
      <c r="L39" s="17" t="s">
        <v>442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387</v>
      </c>
      <c r="D40" s="17" t="s">
        <v>542</v>
      </c>
      <c r="E40" s="17" t="s">
        <v>543</v>
      </c>
      <c r="F40" s="17" t="s">
        <v>77</v>
      </c>
      <c r="G40" s="18">
        <v>115</v>
      </c>
      <c r="H40" s="18">
        <v>25</v>
      </c>
      <c r="I40" s="18">
        <f t="shared" si="0"/>
        <v>90</v>
      </c>
      <c r="J40" s="17" t="s">
        <v>32</v>
      </c>
      <c r="K40" s="17" t="s">
        <v>32</v>
      </c>
      <c r="L40" s="17" t="s">
        <v>442</v>
      </c>
      <c r="M40" s="17"/>
      <c r="N40" s="17"/>
      <c r="O40" s="17"/>
      <c r="P40" s="17"/>
      <c r="Q40" s="17">
        <v>1</v>
      </c>
    </row>
    <row r="41" spans="1:18" s="23" customFormat="1" x14ac:dyDescent="0.25">
      <c r="A41" s="21"/>
      <c r="B41" s="21" t="s">
        <v>27</v>
      </c>
      <c r="C41" s="21" t="s">
        <v>381</v>
      </c>
      <c r="D41" s="21" t="s">
        <v>544</v>
      </c>
      <c r="E41" s="21" t="s">
        <v>383</v>
      </c>
      <c r="F41" s="21" t="s">
        <v>98</v>
      </c>
      <c r="G41" s="22">
        <v>1370</v>
      </c>
      <c r="H41" s="22">
        <v>20</v>
      </c>
      <c r="I41" s="22">
        <f t="shared" si="0"/>
        <v>1350</v>
      </c>
      <c r="J41" s="21" t="s">
        <v>32</v>
      </c>
      <c r="K41" s="21" t="s">
        <v>32</v>
      </c>
      <c r="L41" s="21" t="s">
        <v>442</v>
      </c>
      <c r="M41" s="21" t="s">
        <v>153</v>
      </c>
      <c r="N41" s="21"/>
      <c r="O41" s="21"/>
      <c r="P41" s="21"/>
      <c r="Q41" s="21">
        <v>1</v>
      </c>
    </row>
    <row r="42" spans="1:18" customFormat="1" x14ac:dyDescent="0.25">
      <c r="A42" s="17"/>
      <c r="B42" s="17" t="s">
        <v>27</v>
      </c>
      <c r="C42" s="17" t="s">
        <v>545</v>
      </c>
      <c r="D42" s="17" t="s">
        <v>546</v>
      </c>
      <c r="E42" s="17" t="s">
        <v>547</v>
      </c>
      <c r="F42" s="18">
        <v>12</v>
      </c>
      <c r="G42" s="18">
        <v>1570</v>
      </c>
      <c r="H42" s="18">
        <v>30</v>
      </c>
      <c r="I42" s="18">
        <f t="shared" si="0"/>
        <v>1540</v>
      </c>
      <c r="J42" s="17" t="s">
        <v>32</v>
      </c>
      <c r="K42" s="17" t="s">
        <v>32</v>
      </c>
      <c r="L42" s="17" t="s">
        <v>442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548</v>
      </c>
      <c r="D43" s="17" t="s">
        <v>549</v>
      </c>
      <c r="E43" s="17" t="s">
        <v>550</v>
      </c>
      <c r="F43" s="18">
        <v>2</v>
      </c>
      <c r="G43" s="18">
        <v>0</v>
      </c>
      <c r="H43" s="18">
        <v>30</v>
      </c>
      <c r="I43" s="18">
        <f t="shared" si="0"/>
        <v>-30</v>
      </c>
      <c r="J43" s="17" t="s">
        <v>32</v>
      </c>
      <c r="K43" s="17" t="s">
        <v>32</v>
      </c>
      <c r="L43" s="17" t="s">
        <v>442</v>
      </c>
      <c r="M43" s="17"/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551</v>
      </c>
      <c r="D44" s="17" t="s">
        <v>552</v>
      </c>
      <c r="E44" s="17" t="s">
        <v>553</v>
      </c>
      <c r="F44" s="17" t="s">
        <v>77</v>
      </c>
      <c r="G44" s="18">
        <v>805</v>
      </c>
      <c r="H44" s="18">
        <v>25</v>
      </c>
      <c r="I44" s="18">
        <f t="shared" si="0"/>
        <v>780</v>
      </c>
      <c r="J44" s="17" t="s">
        <v>32</v>
      </c>
      <c r="K44" s="17" t="s">
        <v>32</v>
      </c>
      <c r="L44" s="17" t="s">
        <v>442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554</v>
      </c>
      <c r="D45" s="17" t="s">
        <v>555</v>
      </c>
      <c r="E45" s="17" t="s">
        <v>556</v>
      </c>
      <c r="F45" s="18">
        <v>2</v>
      </c>
      <c r="G45" s="18">
        <v>450</v>
      </c>
      <c r="H45" s="18">
        <v>30</v>
      </c>
      <c r="I45" s="18">
        <f t="shared" si="0"/>
        <v>420</v>
      </c>
      <c r="J45" s="17" t="s">
        <v>32</v>
      </c>
      <c r="K45" s="17" t="s">
        <v>32</v>
      </c>
      <c r="L45" s="17" t="s">
        <v>442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557</v>
      </c>
      <c r="D46" s="17" t="s">
        <v>558</v>
      </c>
      <c r="E46" s="17" t="s">
        <v>559</v>
      </c>
      <c r="F46" s="17" t="s">
        <v>98</v>
      </c>
      <c r="G46" s="18">
        <v>0</v>
      </c>
      <c r="H46" s="18">
        <v>20</v>
      </c>
      <c r="I46" s="18">
        <f t="shared" si="0"/>
        <v>-20</v>
      </c>
      <c r="J46" s="17" t="s">
        <v>32</v>
      </c>
      <c r="K46" s="17" t="s">
        <v>32</v>
      </c>
      <c r="L46" s="17" t="s">
        <v>442</v>
      </c>
      <c r="M46" s="17"/>
      <c r="N46" s="17"/>
      <c r="O46" s="17"/>
      <c r="P46" s="17"/>
      <c r="Q46" s="17">
        <v>1</v>
      </c>
      <c r="R46" s="19">
        <f>H46</f>
        <v>20</v>
      </c>
    </row>
    <row r="47" spans="1:18" customFormat="1" x14ac:dyDescent="0.25">
      <c r="A47" s="17"/>
      <c r="B47" s="17" t="s">
        <v>27</v>
      </c>
      <c r="C47" s="17" t="s">
        <v>560</v>
      </c>
      <c r="D47" s="17" t="s">
        <v>561</v>
      </c>
      <c r="E47" s="17" t="s">
        <v>562</v>
      </c>
      <c r="F47" s="17" t="s">
        <v>77</v>
      </c>
      <c r="G47" s="18">
        <v>845</v>
      </c>
      <c r="H47" s="18">
        <v>25</v>
      </c>
      <c r="I47" s="18">
        <f t="shared" si="0"/>
        <v>820</v>
      </c>
      <c r="J47" s="17" t="s">
        <v>32</v>
      </c>
      <c r="K47" s="17" t="s">
        <v>32</v>
      </c>
      <c r="L47" s="17" t="s">
        <v>442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563</v>
      </c>
      <c r="D48" s="17" t="s">
        <v>564</v>
      </c>
      <c r="E48" s="17" t="s">
        <v>565</v>
      </c>
      <c r="F48" s="18">
        <v>9</v>
      </c>
      <c r="G48" s="18">
        <v>690</v>
      </c>
      <c r="H48" s="18">
        <v>30</v>
      </c>
      <c r="I48" s="18">
        <f t="shared" si="0"/>
        <v>660</v>
      </c>
      <c r="J48" s="17" t="s">
        <v>32</v>
      </c>
      <c r="K48" s="17" t="s">
        <v>32</v>
      </c>
      <c r="L48" s="17" t="s">
        <v>442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566</v>
      </c>
      <c r="D49" s="17" t="s">
        <v>567</v>
      </c>
      <c r="E49" s="17" t="s">
        <v>568</v>
      </c>
      <c r="F49" s="18">
        <v>12</v>
      </c>
      <c r="G49" s="18">
        <v>780</v>
      </c>
      <c r="H49" s="18">
        <v>30</v>
      </c>
      <c r="I49" s="18">
        <f t="shared" si="0"/>
        <v>750</v>
      </c>
      <c r="J49" s="17" t="s">
        <v>32</v>
      </c>
      <c r="K49" s="17" t="s">
        <v>32</v>
      </c>
      <c r="L49" s="17" t="s">
        <v>442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27</v>
      </c>
      <c r="C50" s="17" t="s">
        <v>569</v>
      </c>
      <c r="D50" s="17" t="s">
        <v>570</v>
      </c>
      <c r="E50" s="17" t="s">
        <v>571</v>
      </c>
      <c r="F50" s="18">
        <v>9</v>
      </c>
      <c r="G50" s="18">
        <v>0</v>
      </c>
      <c r="H50" s="18">
        <v>30</v>
      </c>
      <c r="I50" s="18">
        <f t="shared" si="0"/>
        <v>-30</v>
      </c>
      <c r="J50" s="17" t="s">
        <v>32</v>
      </c>
      <c r="K50" s="17" t="s">
        <v>32</v>
      </c>
      <c r="L50" s="17" t="s">
        <v>442</v>
      </c>
      <c r="M50" s="17"/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27</v>
      </c>
      <c r="C51" s="17" t="s">
        <v>572</v>
      </c>
      <c r="D51" s="17" t="s">
        <v>573</v>
      </c>
      <c r="E51" s="17" t="s">
        <v>574</v>
      </c>
      <c r="F51" s="18">
        <v>9</v>
      </c>
      <c r="G51" s="18">
        <v>1350</v>
      </c>
      <c r="H51" s="18">
        <v>30</v>
      </c>
      <c r="I51" s="18">
        <f t="shared" si="0"/>
        <v>1320</v>
      </c>
      <c r="J51" s="17" t="s">
        <v>32</v>
      </c>
      <c r="K51" s="17" t="s">
        <v>32</v>
      </c>
      <c r="L51" s="17" t="s">
        <v>442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575</v>
      </c>
      <c r="D52" s="17" t="s">
        <v>576</v>
      </c>
      <c r="E52" s="17" t="s">
        <v>577</v>
      </c>
      <c r="F52" s="17" t="s">
        <v>98</v>
      </c>
      <c r="G52" s="18">
        <v>900</v>
      </c>
      <c r="H52" s="18">
        <v>20</v>
      </c>
      <c r="I52" s="18">
        <f t="shared" si="0"/>
        <v>880</v>
      </c>
      <c r="J52" s="17" t="s">
        <v>32</v>
      </c>
      <c r="K52" s="17" t="s">
        <v>32</v>
      </c>
      <c r="L52" s="17" t="s">
        <v>442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578</v>
      </c>
      <c r="D53" s="17" t="s">
        <v>579</v>
      </c>
      <c r="E53" s="17" t="s">
        <v>580</v>
      </c>
      <c r="F53" s="18">
        <v>9</v>
      </c>
      <c r="G53" s="18">
        <v>1380</v>
      </c>
      <c r="H53" s="18">
        <v>30</v>
      </c>
      <c r="I53" s="18">
        <f t="shared" si="0"/>
        <v>1350</v>
      </c>
      <c r="J53" s="17" t="s">
        <v>32</v>
      </c>
      <c r="K53" s="17" t="s">
        <v>32</v>
      </c>
      <c r="L53" s="17" t="s">
        <v>442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581</v>
      </c>
      <c r="D54" s="17" t="s">
        <v>582</v>
      </c>
      <c r="E54" s="17" t="s">
        <v>583</v>
      </c>
      <c r="F54" s="17" t="s">
        <v>77</v>
      </c>
      <c r="G54" s="18">
        <v>865</v>
      </c>
      <c r="H54" s="18">
        <v>25</v>
      </c>
      <c r="I54" s="18">
        <f t="shared" si="0"/>
        <v>840</v>
      </c>
      <c r="J54" s="17" t="s">
        <v>32</v>
      </c>
      <c r="K54" s="17" t="s">
        <v>32</v>
      </c>
      <c r="L54" s="17" t="s">
        <v>442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584</v>
      </c>
      <c r="D55" s="17" t="s">
        <v>585</v>
      </c>
      <c r="E55" s="17" t="s">
        <v>586</v>
      </c>
      <c r="F55" s="18">
        <v>2</v>
      </c>
      <c r="G55" s="18">
        <v>780</v>
      </c>
      <c r="H55" s="18">
        <v>30</v>
      </c>
      <c r="I55" s="18">
        <f t="shared" si="0"/>
        <v>750</v>
      </c>
      <c r="J55" s="17" t="s">
        <v>32</v>
      </c>
      <c r="K55" s="17" t="s">
        <v>32</v>
      </c>
      <c r="L55" s="17" t="s">
        <v>442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27</v>
      </c>
      <c r="C56" s="17" t="s">
        <v>587</v>
      </c>
      <c r="D56" s="17" t="s">
        <v>588</v>
      </c>
      <c r="E56" s="17" t="s">
        <v>589</v>
      </c>
      <c r="F56" s="17" t="s">
        <v>98</v>
      </c>
      <c r="G56" s="18">
        <v>740</v>
      </c>
      <c r="H56" s="18">
        <v>20</v>
      </c>
      <c r="I56" s="18">
        <f t="shared" si="0"/>
        <v>720</v>
      </c>
      <c r="J56" s="17" t="s">
        <v>32</v>
      </c>
      <c r="K56" s="17" t="s">
        <v>32</v>
      </c>
      <c r="L56" s="17" t="s">
        <v>442</v>
      </c>
      <c r="M56" s="17"/>
      <c r="N56" s="17"/>
      <c r="O56" s="17"/>
      <c r="P56" s="17"/>
      <c r="Q56" s="17">
        <v>1</v>
      </c>
    </row>
    <row r="57" spans="1:18" customFormat="1" x14ac:dyDescent="0.25">
      <c r="A57" s="17" t="s">
        <v>26</v>
      </c>
      <c r="B57" s="17" t="s">
        <v>27</v>
      </c>
      <c r="C57" s="17" t="s">
        <v>590</v>
      </c>
      <c r="D57" s="17"/>
      <c r="E57" s="17" t="s">
        <v>591</v>
      </c>
      <c r="F57" s="18">
        <v>9</v>
      </c>
      <c r="G57" s="18">
        <v>455</v>
      </c>
      <c r="H57" s="18">
        <v>35</v>
      </c>
      <c r="I57" s="18">
        <f t="shared" si="0"/>
        <v>420</v>
      </c>
      <c r="J57" s="17" t="s">
        <v>32</v>
      </c>
      <c r="K57" s="17" t="s">
        <v>32</v>
      </c>
      <c r="L57" s="17" t="s">
        <v>442</v>
      </c>
      <c r="M57" s="17"/>
      <c r="N57" s="17"/>
      <c r="O57" s="17"/>
      <c r="P57" s="17"/>
      <c r="Q57" s="17">
        <v>1</v>
      </c>
    </row>
    <row r="58" spans="1:18" customFormat="1" x14ac:dyDescent="0.25">
      <c r="A58" s="17" t="s">
        <v>26</v>
      </c>
      <c r="B58" s="17" t="s">
        <v>27</v>
      </c>
      <c r="C58" s="17" t="s">
        <v>409</v>
      </c>
      <c r="D58" s="17"/>
      <c r="E58" s="17" t="s">
        <v>410</v>
      </c>
      <c r="F58" s="18">
        <v>12</v>
      </c>
      <c r="G58" s="18">
        <v>0</v>
      </c>
      <c r="H58" s="18">
        <v>35</v>
      </c>
      <c r="I58" s="18">
        <f t="shared" si="0"/>
        <v>-35</v>
      </c>
      <c r="J58" s="17" t="s">
        <v>32</v>
      </c>
      <c r="K58" s="17" t="s">
        <v>32</v>
      </c>
      <c r="L58" s="17" t="s">
        <v>442</v>
      </c>
      <c r="M58" s="17"/>
      <c r="N58" s="17"/>
      <c r="O58" s="17"/>
      <c r="P58" s="17"/>
      <c r="Q58" s="17">
        <v>1</v>
      </c>
      <c r="R58" s="19">
        <f t="shared" ref="R58:R61" si="2">H58</f>
        <v>35</v>
      </c>
    </row>
    <row r="59" spans="1:18" customFormat="1" x14ac:dyDescent="0.25">
      <c r="A59" s="17"/>
      <c r="B59" s="17" t="s">
        <v>27</v>
      </c>
      <c r="C59" s="17" t="s">
        <v>592</v>
      </c>
      <c r="D59" s="17" t="s">
        <v>593</v>
      </c>
      <c r="E59" s="17" t="s">
        <v>594</v>
      </c>
      <c r="F59" s="18">
        <v>1</v>
      </c>
      <c r="G59" s="18">
        <v>0</v>
      </c>
      <c r="H59" s="18">
        <v>25</v>
      </c>
      <c r="I59" s="18">
        <f t="shared" si="0"/>
        <v>-25</v>
      </c>
      <c r="J59" s="17" t="s">
        <v>140</v>
      </c>
      <c r="K59" s="17" t="s">
        <v>32</v>
      </c>
      <c r="L59" s="17" t="s">
        <v>442</v>
      </c>
      <c r="M59" s="17"/>
      <c r="N59" s="17"/>
      <c r="O59" s="17"/>
      <c r="P59" s="17"/>
      <c r="Q59" s="17">
        <v>1</v>
      </c>
      <c r="R59" s="19">
        <f t="shared" si="2"/>
        <v>25</v>
      </c>
    </row>
    <row r="60" spans="1:18" customFormat="1" x14ac:dyDescent="0.25">
      <c r="A60" s="17"/>
      <c r="B60" s="17" t="s">
        <v>27</v>
      </c>
      <c r="C60" s="17" t="s">
        <v>595</v>
      </c>
      <c r="D60" s="17" t="s">
        <v>596</v>
      </c>
      <c r="E60" s="17" t="s">
        <v>597</v>
      </c>
      <c r="F60" s="17" t="s">
        <v>130</v>
      </c>
      <c r="G60" s="18">
        <v>0</v>
      </c>
      <c r="H60" s="18">
        <v>25</v>
      </c>
      <c r="I60" s="18">
        <f t="shared" si="0"/>
        <v>-25</v>
      </c>
      <c r="J60" s="17" t="s">
        <v>140</v>
      </c>
      <c r="K60" s="17" t="s">
        <v>32</v>
      </c>
      <c r="L60" s="17" t="s">
        <v>442</v>
      </c>
      <c r="M60" s="17"/>
      <c r="N60" s="17"/>
      <c r="O60" s="17"/>
      <c r="P60" s="17"/>
      <c r="Q60" s="17">
        <v>1</v>
      </c>
      <c r="R60" s="19">
        <f t="shared" si="2"/>
        <v>25</v>
      </c>
    </row>
    <row r="61" spans="1:18" customFormat="1" x14ac:dyDescent="0.25">
      <c r="A61" s="17"/>
      <c r="B61" s="17" t="s">
        <v>27</v>
      </c>
      <c r="C61" s="17" t="s">
        <v>598</v>
      </c>
      <c r="D61" s="17" t="s">
        <v>599</v>
      </c>
      <c r="E61" s="17" t="s">
        <v>600</v>
      </c>
      <c r="F61" s="17" t="s">
        <v>130</v>
      </c>
      <c r="G61" s="18">
        <v>0</v>
      </c>
      <c r="H61" s="18">
        <v>25</v>
      </c>
      <c r="I61" s="18">
        <f t="shared" si="0"/>
        <v>-25</v>
      </c>
      <c r="J61" s="17" t="s">
        <v>140</v>
      </c>
      <c r="K61" s="17" t="s">
        <v>32</v>
      </c>
      <c r="L61" s="17" t="s">
        <v>442</v>
      </c>
      <c r="M61" s="17"/>
      <c r="N61" s="17"/>
      <c r="O61" s="17"/>
      <c r="P61" s="17"/>
      <c r="Q61" s="17">
        <v>1</v>
      </c>
      <c r="R61" s="19">
        <f t="shared" si="2"/>
        <v>25</v>
      </c>
    </row>
    <row r="62" spans="1:18" customFormat="1" x14ac:dyDescent="0.25">
      <c r="A62" s="17"/>
      <c r="B62" s="17" t="s">
        <v>27</v>
      </c>
      <c r="C62" s="17" t="s">
        <v>601</v>
      </c>
      <c r="D62" s="17" t="s">
        <v>602</v>
      </c>
      <c r="E62" s="17" t="s">
        <v>603</v>
      </c>
      <c r="F62" s="17" t="s">
        <v>130</v>
      </c>
      <c r="G62" s="18">
        <v>455</v>
      </c>
      <c r="H62" s="18">
        <v>25</v>
      </c>
      <c r="I62" s="18">
        <f t="shared" si="0"/>
        <v>430</v>
      </c>
      <c r="J62" s="17" t="s">
        <v>140</v>
      </c>
      <c r="K62" s="17" t="s">
        <v>32</v>
      </c>
      <c r="L62" s="17" t="s">
        <v>442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27</v>
      </c>
      <c r="C63" s="17" t="s">
        <v>604</v>
      </c>
      <c r="D63" s="17" t="s">
        <v>605</v>
      </c>
      <c r="E63" s="17" t="s">
        <v>606</v>
      </c>
      <c r="F63" s="17" t="s">
        <v>130</v>
      </c>
      <c r="G63" s="18">
        <v>905</v>
      </c>
      <c r="H63" s="18">
        <v>25</v>
      </c>
      <c r="I63" s="18">
        <f t="shared" si="0"/>
        <v>880</v>
      </c>
      <c r="J63" s="17" t="s">
        <v>140</v>
      </c>
      <c r="K63" s="17" t="s">
        <v>32</v>
      </c>
      <c r="L63" s="17" t="s">
        <v>442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27</v>
      </c>
      <c r="C64" s="17" t="s">
        <v>607</v>
      </c>
      <c r="D64" s="17" t="s">
        <v>608</v>
      </c>
      <c r="E64" s="17" t="s">
        <v>609</v>
      </c>
      <c r="F64" s="17" t="s">
        <v>166</v>
      </c>
      <c r="G64" s="18">
        <v>810</v>
      </c>
      <c r="H64" s="18">
        <v>20</v>
      </c>
      <c r="I64" s="18">
        <f t="shared" si="0"/>
        <v>790</v>
      </c>
      <c r="J64" s="17" t="s">
        <v>140</v>
      </c>
      <c r="K64" s="17" t="s">
        <v>32</v>
      </c>
      <c r="L64" s="17" t="s">
        <v>442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27</v>
      </c>
      <c r="C65" s="17" t="s">
        <v>610</v>
      </c>
      <c r="D65" s="17" t="s">
        <v>611</v>
      </c>
      <c r="E65" s="17" t="s">
        <v>612</v>
      </c>
      <c r="F65" s="18">
        <v>5</v>
      </c>
      <c r="G65" s="18">
        <v>0</v>
      </c>
      <c r="H65" s="18">
        <v>25</v>
      </c>
      <c r="I65" s="18">
        <f t="shared" si="0"/>
        <v>-25</v>
      </c>
      <c r="J65" s="17" t="s">
        <v>140</v>
      </c>
      <c r="K65" s="17" t="s">
        <v>32</v>
      </c>
      <c r="L65" s="17" t="s">
        <v>442</v>
      </c>
      <c r="M65" s="17"/>
      <c r="N65" s="17"/>
      <c r="O65" s="17"/>
      <c r="P65" s="17"/>
      <c r="Q65" s="17">
        <v>1</v>
      </c>
      <c r="R65" s="19">
        <f>H65</f>
        <v>25</v>
      </c>
    </row>
    <row r="66" spans="1:18" customFormat="1" x14ac:dyDescent="0.25">
      <c r="A66" s="17"/>
      <c r="B66" s="17" t="s">
        <v>27</v>
      </c>
      <c r="C66" s="17" t="s">
        <v>613</v>
      </c>
      <c r="D66" s="17" t="s">
        <v>614</v>
      </c>
      <c r="E66" s="17" t="s">
        <v>615</v>
      </c>
      <c r="F66" s="18">
        <v>1</v>
      </c>
      <c r="G66" s="18">
        <v>815</v>
      </c>
      <c r="H66" s="18">
        <v>25</v>
      </c>
      <c r="I66" s="18">
        <f t="shared" si="0"/>
        <v>790</v>
      </c>
      <c r="J66" s="17" t="s">
        <v>140</v>
      </c>
      <c r="K66" s="17" t="s">
        <v>32</v>
      </c>
      <c r="L66" s="17" t="s">
        <v>442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27</v>
      </c>
      <c r="C67" s="17" t="s">
        <v>458</v>
      </c>
      <c r="D67" s="17" t="s">
        <v>616</v>
      </c>
      <c r="E67" s="17" t="s">
        <v>617</v>
      </c>
      <c r="F67" s="18">
        <v>1</v>
      </c>
      <c r="G67" s="18">
        <v>1015</v>
      </c>
      <c r="H67" s="18">
        <v>25</v>
      </c>
      <c r="I67" s="18">
        <f t="shared" si="0"/>
        <v>990</v>
      </c>
      <c r="J67" s="17" t="s">
        <v>140</v>
      </c>
      <c r="K67" s="17" t="s">
        <v>32</v>
      </c>
      <c r="L67" s="17" t="s">
        <v>442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27</v>
      </c>
      <c r="C68" s="17" t="s">
        <v>618</v>
      </c>
      <c r="D68" s="17" t="s">
        <v>619</v>
      </c>
      <c r="E68" s="17" t="s">
        <v>620</v>
      </c>
      <c r="F68" s="17" t="s">
        <v>130</v>
      </c>
      <c r="G68" s="18">
        <v>3360</v>
      </c>
      <c r="H68" s="18">
        <v>35</v>
      </c>
      <c r="I68" s="18">
        <f t="shared" si="0"/>
        <v>3325</v>
      </c>
      <c r="J68" s="17" t="s">
        <v>140</v>
      </c>
      <c r="K68" s="17" t="s">
        <v>32</v>
      </c>
      <c r="L68" s="17" t="s">
        <v>442</v>
      </c>
      <c r="M68" s="20" t="s">
        <v>58</v>
      </c>
      <c r="N68" s="17"/>
      <c r="O68" s="17"/>
      <c r="P68" s="17"/>
      <c r="Q68" s="17">
        <v>1</v>
      </c>
      <c r="R68" s="19">
        <f>H68</f>
        <v>35</v>
      </c>
    </row>
    <row r="69" spans="1:18" customFormat="1" x14ac:dyDescent="0.25">
      <c r="A69" s="17"/>
      <c r="B69" s="17" t="s">
        <v>27</v>
      </c>
      <c r="C69" s="17" t="s">
        <v>621</v>
      </c>
      <c r="D69" s="17" t="s">
        <v>622</v>
      </c>
      <c r="E69" s="17" t="s">
        <v>623</v>
      </c>
      <c r="F69" s="17" t="s">
        <v>166</v>
      </c>
      <c r="G69" s="18">
        <v>1690</v>
      </c>
      <c r="H69" s="18">
        <v>20</v>
      </c>
      <c r="I69" s="18">
        <f t="shared" si="0"/>
        <v>1670</v>
      </c>
      <c r="J69" s="17" t="s">
        <v>140</v>
      </c>
      <c r="K69" s="17" t="s">
        <v>32</v>
      </c>
      <c r="L69" s="17" t="s">
        <v>442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27</v>
      </c>
      <c r="C70" s="17" t="s">
        <v>624</v>
      </c>
      <c r="D70" s="17" t="s">
        <v>625</v>
      </c>
      <c r="E70" s="17" t="s">
        <v>626</v>
      </c>
      <c r="F70" s="17" t="s">
        <v>130</v>
      </c>
      <c r="G70" s="18">
        <v>1375</v>
      </c>
      <c r="H70" s="18">
        <v>25</v>
      </c>
      <c r="I70" s="18">
        <f t="shared" si="0"/>
        <v>1350</v>
      </c>
      <c r="J70" s="17" t="s">
        <v>140</v>
      </c>
      <c r="K70" s="17" t="s">
        <v>32</v>
      </c>
      <c r="L70" s="17" t="s">
        <v>442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27</v>
      </c>
      <c r="C71" s="17" t="s">
        <v>627</v>
      </c>
      <c r="D71" s="17" t="s">
        <v>628</v>
      </c>
      <c r="E71" s="17" t="s">
        <v>629</v>
      </c>
      <c r="F71" s="17" t="s">
        <v>166</v>
      </c>
      <c r="G71" s="18">
        <v>980</v>
      </c>
      <c r="H71" s="18">
        <v>20</v>
      </c>
      <c r="I71" s="18">
        <f t="shared" si="0"/>
        <v>960</v>
      </c>
      <c r="J71" s="17" t="s">
        <v>140</v>
      </c>
      <c r="K71" s="17" t="s">
        <v>32</v>
      </c>
      <c r="L71" s="17" t="s">
        <v>442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27</v>
      </c>
      <c r="C72" s="17" t="s">
        <v>630</v>
      </c>
      <c r="D72" s="17" t="s">
        <v>631</v>
      </c>
      <c r="E72" s="17" t="s">
        <v>632</v>
      </c>
      <c r="F72" s="18">
        <v>3</v>
      </c>
      <c r="G72" s="18">
        <v>1705</v>
      </c>
      <c r="H72" s="18">
        <v>25</v>
      </c>
      <c r="I72" s="18">
        <f t="shared" si="0"/>
        <v>1680</v>
      </c>
      <c r="J72" s="17" t="s">
        <v>140</v>
      </c>
      <c r="K72" s="17" t="s">
        <v>32</v>
      </c>
      <c r="L72" s="17" t="s">
        <v>442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27</v>
      </c>
      <c r="C73" s="17" t="s">
        <v>633</v>
      </c>
      <c r="D73" s="17" t="s">
        <v>634</v>
      </c>
      <c r="E73" s="17" t="s">
        <v>635</v>
      </c>
      <c r="F73" s="18">
        <v>4</v>
      </c>
      <c r="G73" s="18">
        <v>815</v>
      </c>
      <c r="H73" s="18">
        <v>25</v>
      </c>
      <c r="I73" s="18">
        <f t="shared" si="0"/>
        <v>790</v>
      </c>
      <c r="J73" s="17" t="s">
        <v>140</v>
      </c>
      <c r="K73" s="17" t="s">
        <v>32</v>
      </c>
      <c r="L73" s="17" t="s">
        <v>442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27</v>
      </c>
      <c r="C74" s="17" t="s">
        <v>607</v>
      </c>
      <c r="D74" s="17" t="s">
        <v>636</v>
      </c>
      <c r="E74" s="17" t="s">
        <v>609</v>
      </c>
      <c r="F74" s="17" t="s">
        <v>166</v>
      </c>
      <c r="G74" s="18">
        <v>750</v>
      </c>
      <c r="H74" s="18">
        <v>20</v>
      </c>
      <c r="I74" s="18">
        <f t="shared" si="0"/>
        <v>730</v>
      </c>
      <c r="J74" s="17" t="s">
        <v>140</v>
      </c>
      <c r="K74" s="17" t="s">
        <v>32</v>
      </c>
      <c r="L74" s="17" t="s">
        <v>442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27</v>
      </c>
      <c r="C75" s="17" t="s">
        <v>637</v>
      </c>
      <c r="D75" s="17" t="s">
        <v>638</v>
      </c>
      <c r="E75" s="17" t="s">
        <v>639</v>
      </c>
      <c r="F75" s="17" t="s">
        <v>130</v>
      </c>
      <c r="G75" s="18">
        <v>745</v>
      </c>
      <c r="H75" s="18">
        <v>25</v>
      </c>
      <c r="I75" s="18">
        <f t="shared" si="0"/>
        <v>720</v>
      </c>
      <c r="J75" s="17" t="s">
        <v>140</v>
      </c>
      <c r="K75" s="17" t="s">
        <v>32</v>
      </c>
      <c r="L75" s="17" t="s">
        <v>442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27</v>
      </c>
      <c r="C76" s="17" t="s">
        <v>640</v>
      </c>
      <c r="D76" s="17" t="s">
        <v>641</v>
      </c>
      <c r="E76" s="17" t="s">
        <v>642</v>
      </c>
      <c r="F76" s="18">
        <v>4</v>
      </c>
      <c r="G76" s="18">
        <v>0</v>
      </c>
      <c r="H76" s="18">
        <v>25</v>
      </c>
      <c r="I76" s="18">
        <f t="shared" si="0"/>
        <v>-25</v>
      </c>
      <c r="J76" s="17" t="s">
        <v>140</v>
      </c>
      <c r="K76" s="17" t="s">
        <v>32</v>
      </c>
      <c r="L76" s="17" t="s">
        <v>442</v>
      </c>
      <c r="M76" s="17"/>
      <c r="N76" s="17"/>
      <c r="O76" s="17"/>
      <c r="P76" s="17"/>
      <c r="Q76" s="17">
        <v>1</v>
      </c>
      <c r="R76" s="19">
        <f t="shared" ref="R76:R78" si="3">H76</f>
        <v>25</v>
      </c>
    </row>
    <row r="77" spans="1:18" customFormat="1" x14ac:dyDescent="0.25">
      <c r="A77" s="17"/>
      <c r="B77" s="17" t="s">
        <v>27</v>
      </c>
      <c r="C77" s="17" t="s">
        <v>643</v>
      </c>
      <c r="D77" s="17" t="s">
        <v>644</v>
      </c>
      <c r="E77" s="17" t="s">
        <v>645</v>
      </c>
      <c r="F77" s="18">
        <v>1</v>
      </c>
      <c r="G77" s="18">
        <v>0</v>
      </c>
      <c r="H77" s="18">
        <v>25</v>
      </c>
      <c r="I77" s="18">
        <f t="shared" si="0"/>
        <v>-25</v>
      </c>
      <c r="J77" s="17" t="s">
        <v>140</v>
      </c>
      <c r="K77" s="17" t="s">
        <v>32</v>
      </c>
      <c r="L77" s="17" t="s">
        <v>442</v>
      </c>
      <c r="M77" s="17"/>
      <c r="N77" s="17"/>
      <c r="O77" s="17"/>
      <c r="P77" s="17"/>
      <c r="Q77" s="17">
        <v>1</v>
      </c>
      <c r="R77" s="19">
        <f t="shared" si="3"/>
        <v>25</v>
      </c>
    </row>
    <row r="78" spans="1:18" customFormat="1" x14ac:dyDescent="0.25">
      <c r="A78" s="17"/>
      <c r="B78" s="17" t="s">
        <v>27</v>
      </c>
      <c r="C78" s="17" t="s">
        <v>646</v>
      </c>
      <c r="D78" s="17" t="s">
        <v>647</v>
      </c>
      <c r="E78" s="17" t="s">
        <v>648</v>
      </c>
      <c r="F78" s="18">
        <v>10</v>
      </c>
      <c r="G78" s="18">
        <v>0</v>
      </c>
      <c r="H78" s="18">
        <v>25</v>
      </c>
      <c r="I78" s="18">
        <f t="shared" si="0"/>
        <v>-25</v>
      </c>
      <c r="J78" s="17" t="s">
        <v>140</v>
      </c>
      <c r="K78" s="17" t="s">
        <v>32</v>
      </c>
      <c r="L78" s="17" t="s">
        <v>442</v>
      </c>
      <c r="M78" s="17"/>
      <c r="N78" s="17"/>
      <c r="O78" s="17"/>
      <c r="P78" s="17"/>
      <c r="Q78" s="17">
        <v>1</v>
      </c>
      <c r="R78" s="19">
        <f t="shared" si="3"/>
        <v>25</v>
      </c>
    </row>
    <row r="79" spans="1:18" customFormat="1" x14ac:dyDescent="0.25">
      <c r="A79" s="17" t="s">
        <v>26</v>
      </c>
      <c r="B79" s="17" t="s">
        <v>27</v>
      </c>
      <c r="C79" s="17" t="s">
        <v>649</v>
      </c>
      <c r="D79" s="17"/>
      <c r="E79" s="17" t="s">
        <v>650</v>
      </c>
      <c r="F79" s="17" t="s">
        <v>166</v>
      </c>
      <c r="G79" s="18">
        <v>25</v>
      </c>
      <c r="H79" s="18">
        <v>25</v>
      </c>
      <c r="I79" s="18">
        <f t="shared" si="0"/>
        <v>0</v>
      </c>
      <c r="J79" s="17" t="s">
        <v>140</v>
      </c>
      <c r="K79" s="17" t="s">
        <v>32</v>
      </c>
      <c r="L79" s="17" t="s">
        <v>442</v>
      </c>
      <c r="M79" s="17"/>
      <c r="N79" s="17"/>
      <c r="O79" s="17"/>
      <c r="P79" s="17"/>
      <c r="Q79" s="17">
        <v>1</v>
      </c>
    </row>
    <row r="80" spans="1:18" customFormat="1" x14ac:dyDescent="0.25">
      <c r="A80" s="17" t="s">
        <v>26</v>
      </c>
      <c r="B80" s="17" t="s">
        <v>27</v>
      </c>
      <c r="C80" s="17" t="s">
        <v>651</v>
      </c>
      <c r="D80" s="17"/>
      <c r="E80" s="17" t="s">
        <v>652</v>
      </c>
      <c r="F80" s="17" t="s">
        <v>130</v>
      </c>
      <c r="G80" s="18">
        <v>0</v>
      </c>
      <c r="H80" s="18">
        <v>30</v>
      </c>
      <c r="I80" s="18">
        <f t="shared" si="0"/>
        <v>-30</v>
      </c>
      <c r="J80" s="17" t="s">
        <v>140</v>
      </c>
      <c r="K80" s="17" t="s">
        <v>32</v>
      </c>
      <c r="L80" s="17" t="s">
        <v>442</v>
      </c>
      <c r="M80" s="17"/>
      <c r="N80" s="17"/>
      <c r="O80" s="17"/>
      <c r="P80" s="17"/>
      <c r="Q80" s="17">
        <v>1</v>
      </c>
      <c r="R80" s="19">
        <f t="shared" ref="R80:R81" si="4">H80</f>
        <v>30</v>
      </c>
    </row>
    <row r="81" spans="1:18" customFormat="1" x14ac:dyDescent="0.25">
      <c r="A81" s="17" t="s">
        <v>26</v>
      </c>
      <c r="B81" s="17" t="s">
        <v>27</v>
      </c>
      <c r="C81" s="17" t="s">
        <v>653</v>
      </c>
      <c r="D81" s="17"/>
      <c r="E81" s="17" t="s">
        <v>654</v>
      </c>
      <c r="F81" s="17" t="s">
        <v>130</v>
      </c>
      <c r="G81" s="18">
        <v>0</v>
      </c>
      <c r="H81" s="18">
        <v>30</v>
      </c>
      <c r="I81" s="18">
        <f t="shared" si="0"/>
        <v>-30</v>
      </c>
      <c r="J81" s="17" t="s">
        <v>140</v>
      </c>
      <c r="K81" s="17" t="s">
        <v>32</v>
      </c>
      <c r="L81" s="17" t="s">
        <v>442</v>
      </c>
      <c r="M81" s="17"/>
      <c r="N81" s="17"/>
      <c r="O81" s="17"/>
      <c r="P81" s="17"/>
      <c r="Q81" s="17">
        <v>1</v>
      </c>
      <c r="R81" s="19">
        <f t="shared" si="4"/>
        <v>30</v>
      </c>
    </row>
    <row r="82" spans="1:18" customFormat="1" x14ac:dyDescent="0.25">
      <c r="A82" s="17" t="s">
        <v>26</v>
      </c>
      <c r="B82" s="17" t="s">
        <v>27</v>
      </c>
      <c r="C82" s="17" t="s">
        <v>653</v>
      </c>
      <c r="D82" s="17"/>
      <c r="E82" s="17" t="s">
        <v>654</v>
      </c>
      <c r="F82" s="17" t="s">
        <v>130</v>
      </c>
      <c r="G82" s="18">
        <v>1820</v>
      </c>
      <c r="H82" s="18">
        <v>30</v>
      </c>
      <c r="I82" s="18">
        <f t="shared" si="0"/>
        <v>1790</v>
      </c>
      <c r="J82" s="17" t="s">
        <v>140</v>
      </c>
      <c r="K82" s="17" t="s">
        <v>140</v>
      </c>
      <c r="L82" s="17" t="s">
        <v>442</v>
      </c>
      <c r="M82" s="17"/>
      <c r="N82" s="17"/>
      <c r="O82" s="17"/>
      <c r="P82" s="17"/>
      <c r="Q82" s="17">
        <v>1</v>
      </c>
    </row>
    <row r="83" spans="1:18" s="30" customFormat="1" x14ac:dyDescent="0.25">
      <c r="A83" s="24"/>
      <c r="B83" s="24" t="s">
        <v>27</v>
      </c>
      <c r="C83" s="24" t="s">
        <v>655</v>
      </c>
      <c r="D83" s="24" t="s">
        <v>656</v>
      </c>
      <c r="E83" s="24" t="s">
        <v>657</v>
      </c>
      <c r="F83" s="24" t="s">
        <v>658</v>
      </c>
      <c r="G83" s="25">
        <v>1680</v>
      </c>
      <c r="H83" s="25">
        <v>0</v>
      </c>
      <c r="I83" s="25">
        <f t="shared" si="0"/>
        <v>1680</v>
      </c>
      <c r="J83" s="24" t="s">
        <v>188</v>
      </c>
      <c r="K83" s="24" t="s">
        <v>32</v>
      </c>
      <c r="L83" s="24" t="s">
        <v>442</v>
      </c>
      <c r="M83" s="24" t="s">
        <v>659</v>
      </c>
      <c r="N83" s="24" t="s">
        <v>660</v>
      </c>
      <c r="O83" s="24"/>
      <c r="P83" s="24" t="s">
        <v>661</v>
      </c>
      <c r="Q83" s="24">
        <v>1</v>
      </c>
    </row>
    <row r="84" spans="1:18" s="30" customFormat="1" x14ac:dyDescent="0.25">
      <c r="A84" s="24"/>
      <c r="B84" s="24" t="s">
        <v>27</v>
      </c>
      <c r="C84" s="24" t="s">
        <v>662</v>
      </c>
      <c r="D84" s="24" t="s">
        <v>663</v>
      </c>
      <c r="E84" s="24" t="s">
        <v>664</v>
      </c>
      <c r="F84" s="24" t="s">
        <v>658</v>
      </c>
      <c r="G84" s="25">
        <v>1810</v>
      </c>
      <c r="H84" s="25">
        <v>0</v>
      </c>
      <c r="I84" s="25">
        <f t="shared" si="0"/>
        <v>1810</v>
      </c>
      <c r="J84" s="24" t="s">
        <v>188</v>
      </c>
      <c r="K84" s="24" t="s">
        <v>32</v>
      </c>
      <c r="L84" s="24" t="s">
        <v>442</v>
      </c>
      <c r="M84" s="24" t="s">
        <v>659</v>
      </c>
      <c r="N84" s="24" t="s">
        <v>660</v>
      </c>
      <c r="O84" s="24"/>
      <c r="P84" s="24" t="s">
        <v>661</v>
      </c>
      <c r="Q84" s="24">
        <v>1</v>
      </c>
    </row>
    <row r="86" spans="1:18" x14ac:dyDescent="0.25">
      <c r="G86" s="1">
        <f t="shared" ref="G86:R86" si="5">SUBTOTAL(9,G3:G85)</f>
        <v>61495</v>
      </c>
      <c r="H86" s="1">
        <f t="shared" si="5"/>
        <v>2210</v>
      </c>
      <c r="I86" s="1">
        <f t="shared" si="5"/>
        <v>59285</v>
      </c>
      <c r="J86" s="1">
        <f t="shared" si="5"/>
        <v>0</v>
      </c>
      <c r="K86" s="1">
        <f t="shared" si="5"/>
        <v>0</v>
      </c>
      <c r="L86" s="1">
        <f t="shared" si="5"/>
        <v>0</v>
      </c>
      <c r="M86" s="1">
        <f t="shared" si="5"/>
        <v>0</v>
      </c>
      <c r="N86" s="1">
        <f t="shared" si="5"/>
        <v>0</v>
      </c>
      <c r="O86" s="1">
        <f t="shared" si="5"/>
        <v>0</v>
      </c>
      <c r="P86" s="1">
        <f t="shared" si="5"/>
        <v>0</v>
      </c>
      <c r="Q86" s="1">
        <f t="shared" si="5"/>
        <v>82</v>
      </c>
      <c r="R86" s="1">
        <f t="shared" si="5"/>
        <v>655</v>
      </c>
    </row>
    <row r="87" spans="1:18" x14ac:dyDescent="0.25">
      <c r="I87" s="26">
        <f>-H103</f>
        <v>-3490</v>
      </c>
      <c r="J87" s="1" t="s">
        <v>665</v>
      </c>
    </row>
    <row r="90" spans="1:18" ht="20.25" customHeight="1" x14ac:dyDescent="0.3">
      <c r="H90" s="4" t="s">
        <v>437</v>
      </c>
      <c r="I90" s="5" t="s">
        <v>15</v>
      </c>
      <c r="J90" s="6" t="s">
        <v>16</v>
      </c>
    </row>
    <row r="91" spans="1:18" ht="15.75" customHeight="1" x14ac:dyDescent="0.25">
      <c r="H91" s="7" t="s">
        <v>17</v>
      </c>
      <c r="I91" s="8">
        <f>SUM(I85:I89)</f>
        <v>55795</v>
      </c>
      <c r="J91" s="8">
        <f>Q86</f>
        <v>82</v>
      </c>
    </row>
    <row r="92" spans="1:18" x14ac:dyDescent="0.25">
      <c r="H92" s="9" t="s">
        <v>18</v>
      </c>
      <c r="I92" s="10">
        <f>R86</f>
        <v>655</v>
      </c>
      <c r="J92" s="11"/>
    </row>
    <row r="93" spans="1:18" x14ac:dyDescent="0.25">
      <c r="H93" s="9" t="s">
        <v>19</v>
      </c>
      <c r="I93" s="10">
        <f>S85</f>
        <v>0</v>
      </c>
      <c r="J93" s="11"/>
    </row>
    <row r="94" spans="1:18" x14ac:dyDescent="0.25">
      <c r="H94" s="9" t="s">
        <v>20</v>
      </c>
      <c r="I94" s="10">
        <f>T85</f>
        <v>0</v>
      </c>
      <c r="J94" s="11"/>
    </row>
    <row r="95" spans="1:18" x14ac:dyDescent="0.25">
      <c r="H95" s="9" t="s">
        <v>21</v>
      </c>
      <c r="I95" s="10">
        <f>U85</f>
        <v>0</v>
      </c>
      <c r="J95" s="11"/>
    </row>
    <row r="96" spans="1:18" ht="15.75" customHeight="1" x14ac:dyDescent="0.25">
      <c r="H96" s="12" t="s">
        <v>22</v>
      </c>
      <c r="I96" s="13"/>
      <c r="J96" s="13"/>
    </row>
    <row r="97" spans="1:12" ht="15.75" customHeight="1" x14ac:dyDescent="0.25">
      <c r="H97" s="14" t="s">
        <v>23</v>
      </c>
      <c r="I97" s="13"/>
      <c r="J97" s="13"/>
    </row>
    <row r="98" spans="1:12" ht="21" customHeight="1" x14ac:dyDescent="0.35">
      <c r="H98" s="15" t="s">
        <v>24</v>
      </c>
      <c r="I98" s="16">
        <f>SUM(I91:I97)</f>
        <v>56450</v>
      </c>
      <c r="J98" s="16">
        <f>SUM(J91:J95)</f>
        <v>82</v>
      </c>
    </row>
    <row r="100" spans="1:12" x14ac:dyDescent="0.25">
      <c r="A100" s="1" t="s">
        <v>184</v>
      </c>
    </row>
    <row r="101" spans="1:12" x14ac:dyDescent="0.25">
      <c r="A101" s="24" t="s">
        <v>27</v>
      </c>
      <c r="B101" s="24" t="s">
        <v>655</v>
      </c>
      <c r="C101" s="24" t="s">
        <v>656</v>
      </c>
      <c r="D101" s="24" t="s">
        <v>657</v>
      </c>
      <c r="E101" s="24" t="s">
        <v>658</v>
      </c>
      <c r="F101" s="25">
        <v>1680</v>
      </c>
      <c r="G101" s="25">
        <v>0</v>
      </c>
      <c r="H101" s="25">
        <f t="shared" ref="H101:H102" si="6">F101-G101</f>
        <v>1680</v>
      </c>
      <c r="I101" s="24" t="s">
        <v>188</v>
      </c>
      <c r="J101" s="24" t="s">
        <v>32</v>
      </c>
      <c r="K101" s="24" t="s">
        <v>442</v>
      </c>
      <c r="L101" s="24" t="s">
        <v>659</v>
      </c>
    </row>
    <row r="102" spans="1:12" x14ac:dyDescent="0.25">
      <c r="A102" s="24" t="s">
        <v>27</v>
      </c>
      <c r="B102" s="24" t="s">
        <v>662</v>
      </c>
      <c r="C102" s="24" t="s">
        <v>663</v>
      </c>
      <c r="D102" s="24" t="s">
        <v>664</v>
      </c>
      <c r="E102" s="24" t="s">
        <v>658</v>
      </c>
      <c r="F102" s="25">
        <v>1810</v>
      </c>
      <c r="G102" s="25">
        <v>0</v>
      </c>
      <c r="H102" s="25">
        <f t="shared" si="6"/>
        <v>1810</v>
      </c>
      <c r="I102" s="24" t="s">
        <v>188</v>
      </c>
      <c r="J102" s="24" t="s">
        <v>32</v>
      </c>
      <c r="K102" s="24" t="s">
        <v>442</v>
      </c>
      <c r="L102" s="24" t="s">
        <v>659</v>
      </c>
    </row>
    <row r="103" spans="1:12" x14ac:dyDescent="0.25">
      <c r="H103" s="26">
        <f>SUM(H101:H102)</f>
        <v>3490</v>
      </c>
    </row>
  </sheetData>
  <autoFilter ref="A2:P84" xr:uid="{00000000-0009-0000-0000-000006000000}">
    <sortState xmlns:xlrd2="http://schemas.microsoft.com/office/spreadsheetml/2017/richdata2" ref="A3:P84">
      <sortCondition ref="J2:J8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422A-A9D1-4515-9F08-B7C167A4D158}">
  <dimension ref="A1:R69"/>
  <sheetViews>
    <sheetView topLeftCell="A39" zoomScale="82" zoomScaleNormal="80" workbookViewId="0">
      <selection activeCell="M65" sqref="M6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667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668</v>
      </c>
      <c r="D3" s="17" t="s">
        <v>669</v>
      </c>
      <c r="E3" s="17" t="s">
        <v>670</v>
      </c>
      <c r="F3" s="17" t="s">
        <v>30</v>
      </c>
      <c r="G3" s="18">
        <v>1020</v>
      </c>
      <c r="H3" s="18">
        <v>30</v>
      </c>
      <c r="I3" s="18">
        <f t="shared" ref="I3:I44" si="0">G3-H3</f>
        <v>990</v>
      </c>
      <c r="J3" s="17" t="s">
        <v>671</v>
      </c>
      <c r="K3" s="17" t="s">
        <v>32</v>
      </c>
      <c r="L3" s="17" t="s">
        <v>672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673</v>
      </c>
      <c r="D4" s="17" t="s">
        <v>674</v>
      </c>
      <c r="E4" s="17" t="s">
        <v>675</v>
      </c>
      <c r="F4" s="18">
        <v>7</v>
      </c>
      <c r="G4" s="18">
        <v>950</v>
      </c>
      <c r="H4" s="18">
        <v>30</v>
      </c>
      <c r="I4" s="18">
        <f t="shared" si="0"/>
        <v>920</v>
      </c>
      <c r="J4" s="17" t="s">
        <v>671</v>
      </c>
      <c r="K4" s="17" t="s">
        <v>32</v>
      </c>
      <c r="L4" s="17" t="s">
        <v>672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676</v>
      </c>
      <c r="D5" s="17" t="s">
        <v>677</v>
      </c>
      <c r="E5" s="17" t="s">
        <v>678</v>
      </c>
      <c r="F5" s="17" t="s">
        <v>170</v>
      </c>
      <c r="G5" s="18">
        <v>775</v>
      </c>
      <c r="H5" s="18">
        <v>25</v>
      </c>
      <c r="I5" s="18">
        <f t="shared" si="0"/>
        <v>750</v>
      </c>
      <c r="J5" s="17" t="s">
        <v>671</v>
      </c>
      <c r="K5" s="17" t="s">
        <v>32</v>
      </c>
      <c r="L5" s="17" t="s">
        <v>672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679</v>
      </c>
      <c r="D6" s="17" t="s">
        <v>680</v>
      </c>
      <c r="E6" s="17" t="s">
        <v>681</v>
      </c>
      <c r="F6" s="18">
        <v>7</v>
      </c>
      <c r="G6" s="18">
        <v>870</v>
      </c>
      <c r="H6" s="18">
        <v>30</v>
      </c>
      <c r="I6" s="18">
        <f t="shared" si="0"/>
        <v>840</v>
      </c>
      <c r="J6" s="17" t="s">
        <v>671</v>
      </c>
      <c r="K6" s="17" t="s">
        <v>32</v>
      </c>
      <c r="L6" s="17" t="s">
        <v>672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682</v>
      </c>
      <c r="D7" s="17" t="s">
        <v>683</v>
      </c>
      <c r="E7" s="17" t="s">
        <v>684</v>
      </c>
      <c r="F7" s="17" t="s">
        <v>170</v>
      </c>
      <c r="G7" s="18">
        <v>865</v>
      </c>
      <c r="H7" s="18">
        <v>25</v>
      </c>
      <c r="I7" s="18">
        <f t="shared" si="0"/>
        <v>840</v>
      </c>
      <c r="J7" s="17" t="s">
        <v>671</v>
      </c>
      <c r="K7" s="17" t="s">
        <v>32</v>
      </c>
      <c r="L7" s="17" t="s">
        <v>672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685</v>
      </c>
      <c r="D8" s="17" t="s">
        <v>686</v>
      </c>
      <c r="E8" s="17" t="s">
        <v>687</v>
      </c>
      <c r="F8" s="18">
        <v>8</v>
      </c>
      <c r="G8" s="18">
        <v>780</v>
      </c>
      <c r="H8" s="18">
        <v>30</v>
      </c>
      <c r="I8" s="18">
        <f t="shared" si="0"/>
        <v>750</v>
      </c>
      <c r="J8" s="17" t="s">
        <v>671</v>
      </c>
      <c r="K8" s="17" t="s">
        <v>32</v>
      </c>
      <c r="L8" s="17" t="s">
        <v>672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688</v>
      </c>
      <c r="D9" s="17" t="s">
        <v>689</v>
      </c>
      <c r="E9" s="17" t="s">
        <v>690</v>
      </c>
      <c r="F9" s="17" t="s">
        <v>51</v>
      </c>
      <c r="G9" s="18">
        <v>955</v>
      </c>
      <c r="H9" s="18">
        <v>35</v>
      </c>
      <c r="I9" s="18">
        <f t="shared" si="0"/>
        <v>920</v>
      </c>
      <c r="J9" s="17" t="s">
        <v>671</v>
      </c>
      <c r="K9" s="17" t="s">
        <v>32</v>
      </c>
      <c r="L9" s="17" t="s">
        <v>672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688</v>
      </c>
      <c r="D10" s="17" t="s">
        <v>689</v>
      </c>
      <c r="E10" s="17" t="s">
        <v>690</v>
      </c>
      <c r="F10" s="17" t="s">
        <v>51</v>
      </c>
      <c r="G10" s="18">
        <v>590</v>
      </c>
      <c r="H10" s="18">
        <v>0</v>
      </c>
      <c r="I10" s="18">
        <f t="shared" si="0"/>
        <v>590</v>
      </c>
      <c r="J10" s="17" t="s">
        <v>671</v>
      </c>
      <c r="K10" s="17" t="s">
        <v>32</v>
      </c>
      <c r="L10" s="17" t="s">
        <v>672</v>
      </c>
      <c r="M10" s="20" t="s">
        <v>386</v>
      </c>
      <c r="N10" s="17"/>
      <c r="O10" s="17"/>
      <c r="P10" s="17"/>
      <c r="Q10" s="17">
        <v>1</v>
      </c>
    </row>
    <row r="11" spans="1:18" s="23" customFormat="1" x14ac:dyDescent="0.25">
      <c r="A11" s="21"/>
      <c r="B11" s="21" t="s">
        <v>27</v>
      </c>
      <c r="C11" s="21" t="s">
        <v>486</v>
      </c>
      <c r="D11" s="21" t="s">
        <v>691</v>
      </c>
      <c r="E11" s="21" t="s">
        <v>488</v>
      </c>
      <c r="F11" s="21" t="s">
        <v>30</v>
      </c>
      <c r="G11" s="22">
        <v>0</v>
      </c>
      <c r="H11" s="22">
        <v>30</v>
      </c>
      <c r="I11" s="22">
        <f t="shared" si="0"/>
        <v>-30</v>
      </c>
      <c r="J11" s="21" t="s">
        <v>671</v>
      </c>
      <c r="K11" s="21" t="s">
        <v>32</v>
      </c>
      <c r="L11" s="21" t="s">
        <v>672</v>
      </c>
      <c r="M11" s="21" t="s">
        <v>153</v>
      </c>
      <c r="N11" s="21"/>
      <c r="O11" s="21"/>
      <c r="P11" s="21"/>
      <c r="Q11" s="21">
        <v>1</v>
      </c>
      <c r="R11" s="31">
        <f>H11</f>
        <v>30</v>
      </c>
    </row>
    <row r="12" spans="1:18" customFormat="1" x14ac:dyDescent="0.25">
      <c r="A12" s="17"/>
      <c r="B12" s="17" t="s">
        <v>27</v>
      </c>
      <c r="C12" s="17" t="s">
        <v>692</v>
      </c>
      <c r="D12" s="17" t="s">
        <v>693</v>
      </c>
      <c r="E12" s="17" t="s">
        <v>694</v>
      </c>
      <c r="F12" s="18">
        <v>8</v>
      </c>
      <c r="G12" s="18">
        <v>520</v>
      </c>
      <c r="H12" s="18">
        <v>30</v>
      </c>
      <c r="I12" s="18">
        <f t="shared" si="0"/>
        <v>490</v>
      </c>
      <c r="J12" s="17" t="s">
        <v>671</v>
      </c>
      <c r="K12" s="17" t="s">
        <v>32</v>
      </c>
      <c r="L12" s="17" t="s">
        <v>672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695</v>
      </c>
      <c r="D13" s="17" t="s">
        <v>696</v>
      </c>
      <c r="E13" s="17" t="s">
        <v>697</v>
      </c>
      <c r="F13" s="17" t="s">
        <v>30</v>
      </c>
      <c r="G13" s="18">
        <v>0</v>
      </c>
      <c r="H13" s="18">
        <v>30</v>
      </c>
      <c r="I13" s="18">
        <f t="shared" si="0"/>
        <v>-30</v>
      </c>
      <c r="J13" s="17" t="s">
        <v>671</v>
      </c>
      <c r="K13" s="17" t="s">
        <v>32</v>
      </c>
      <c r="L13" s="17" t="s">
        <v>672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698</v>
      </c>
      <c r="D14" s="17" t="s">
        <v>699</v>
      </c>
      <c r="E14" s="17" t="s">
        <v>700</v>
      </c>
      <c r="F14" s="17" t="s">
        <v>170</v>
      </c>
      <c r="G14" s="18">
        <v>1000</v>
      </c>
      <c r="H14" s="18">
        <v>25</v>
      </c>
      <c r="I14" s="18">
        <f t="shared" si="0"/>
        <v>975</v>
      </c>
      <c r="J14" s="17" t="s">
        <v>671</v>
      </c>
      <c r="K14" s="17" t="s">
        <v>32</v>
      </c>
      <c r="L14" s="17" t="s">
        <v>672</v>
      </c>
      <c r="M14" s="20" t="s">
        <v>58</v>
      </c>
      <c r="N14" s="17"/>
      <c r="O14" s="17"/>
      <c r="P14" s="17"/>
      <c r="Q14" s="17">
        <v>1</v>
      </c>
      <c r="R14" s="19">
        <f>H14</f>
        <v>25</v>
      </c>
    </row>
    <row r="15" spans="1:18" customFormat="1" x14ac:dyDescent="0.25">
      <c r="A15" s="17"/>
      <c r="B15" s="17" t="s">
        <v>27</v>
      </c>
      <c r="C15" s="17" t="s">
        <v>701</v>
      </c>
      <c r="D15" s="17" t="s">
        <v>702</v>
      </c>
      <c r="E15" s="17" t="s">
        <v>703</v>
      </c>
      <c r="F15" s="17" t="s">
        <v>30</v>
      </c>
      <c r="G15" s="18">
        <v>1020</v>
      </c>
      <c r="H15" s="18">
        <v>30</v>
      </c>
      <c r="I15" s="18">
        <f t="shared" si="0"/>
        <v>990</v>
      </c>
      <c r="J15" s="17" t="s">
        <v>671</v>
      </c>
      <c r="K15" s="17" t="s">
        <v>32</v>
      </c>
      <c r="L15" s="17" t="s">
        <v>672</v>
      </c>
      <c r="M15" s="17"/>
      <c r="N15" s="17"/>
      <c r="O15" s="17"/>
      <c r="P15" s="17"/>
      <c r="Q15" s="17">
        <v>1</v>
      </c>
    </row>
    <row r="16" spans="1:18" customFormat="1" x14ac:dyDescent="0.25">
      <c r="A16" s="17" t="s">
        <v>26</v>
      </c>
      <c r="B16" s="17" t="s">
        <v>27</v>
      </c>
      <c r="C16" s="17" t="s">
        <v>511</v>
      </c>
      <c r="D16" s="17"/>
      <c r="E16" s="17" t="s">
        <v>512</v>
      </c>
      <c r="F16" s="17" t="s">
        <v>30</v>
      </c>
      <c r="G16" s="18">
        <v>2380</v>
      </c>
      <c r="H16" s="18">
        <v>40</v>
      </c>
      <c r="I16" s="18">
        <f t="shared" si="0"/>
        <v>2340</v>
      </c>
      <c r="J16" s="17" t="s">
        <v>671</v>
      </c>
      <c r="K16" s="17" t="s">
        <v>32</v>
      </c>
      <c r="L16" s="17" t="s">
        <v>672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706</v>
      </c>
      <c r="D17" s="17" t="s">
        <v>707</v>
      </c>
      <c r="E17" s="17" t="s">
        <v>708</v>
      </c>
      <c r="F17" s="17" t="s">
        <v>98</v>
      </c>
      <c r="G17" s="18">
        <v>900</v>
      </c>
      <c r="H17" s="18">
        <v>20</v>
      </c>
      <c r="I17" s="18">
        <f t="shared" si="0"/>
        <v>880</v>
      </c>
      <c r="J17" s="17" t="s">
        <v>32</v>
      </c>
      <c r="K17" s="17" t="s">
        <v>32</v>
      </c>
      <c r="L17" s="17" t="s">
        <v>672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527</v>
      </c>
      <c r="D18" s="17" t="s">
        <v>709</v>
      </c>
      <c r="E18" s="17" t="s">
        <v>529</v>
      </c>
      <c r="F18" s="17" t="s">
        <v>71</v>
      </c>
      <c r="G18" s="18">
        <v>910</v>
      </c>
      <c r="H18" s="18">
        <v>30</v>
      </c>
      <c r="I18" s="18">
        <f t="shared" si="0"/>
        <v>880</v>
      </c>
      <c r="J18" s="17" t="s">
        <v>32</v>
      </c>
      <c r="K18" s="17" t="s">
        <v>32</v>
      </c>
      <c r="L18" s="17" t="s">
        <v>672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710</v>
      </c>
      <c r="D19" s="17" t="s">
        <v>711</v>
      </c>
      <c r="E19" s="17" t="s">
        <v>712</v>
      </c>
      <c r="F19" s="17" t="s">
        <v>77</v>
      </c>
      <c r="G19" s="18">
        <v>1015</v>
      </c>
      <c r="H19" s="18">
        <v>25</v>
      </c>
      <c r="I19" s="18">
        <f t="shared" si="0"/>
        <v>990</v>
      </c>
      <c r="J19" s="17" t="s">
        <v>32</v>
      </c>
      <c r="K19" s="17" t="s">
        <v>32</v>
      </c>
      <c r="L19" s="17" t="s">
        <v>672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713</v>
      </c>
      <c r="D20" s="17" t="s">
        <v>714</v>
      </c>
      <c r="E20" s="17" t="s">
        <v>715</v>
      </c>
      <c r="F20" s="17" t="s">
        <v>130</v>
      </c>
      <c r="G20" s="18">
        <v>1265</v>
      </c>
      <c r="H20" s="18">
        <v>25</v>
      </c>
      <c r="I20" s="18">
        <f t="shared" si="0"/>
        <v>1240</v>
      </c>
      <c r="J20" s="17" t="s">
        <v>32</v>
      </c>
      <c r="K20" s="17" t="s">
        <v>32</v>
      </c>
      <c r="L20" s="17" t="s">
        <v>672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716</v>
      </c>
      <c r="D21" s="17" t="s">
        <v>717</v>
      </c>
      <c r="E21" s="17" t="s">
        <v>718</v>
      </c>
      <c r="F21" s="18">
        <v>2</v>
      </c>
      <c r="G21" s="18">
        <v>1020</v>
      </c>
      <c r="H21" s="18">
        <v>30</v>
      </c>
      <c r="I21" s="18">
        <f t="shared" si="0"/>
        <v>990</v>
      </c>
      <c r="J21" s="17" t="s">
        <v>32</v>
      </c>
      <c r="K21" s="17" t="s">
        <v>32</v>
      </c>
      <c r="L21" s="17" t="s">
        <v>672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27</v>
      </c>
      <c r="C22" s="17" t="s">
        <v>719</v>
      </c>
      <c r="D22" s="17" t="s">
        <v>720</v>
      </c>
      <c r="E22" s="17" t="s">
        <v>721</v>
      </c>
      <c r="F22" s="18">
        <v>9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672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722</v>
      </c>
      <c r="D23" s="17" t="s">
        <v>723</v>
      </c>
      <c r="E23" s="17" t="s">
        <v>724</v>
      </c>
      <c r="F23" s="17" t="s">
        <v>98</v>
      </c>
      <c r="G23" s="18">
        <v>860</v>
      </c>
      <c r="H23" s="18">
        <v>20</v>
      </c>
      <c r="I23" s="18">
        <f t="shared" si="0"/>
        <v>840</v>
      </c>
      <c r="J23" s="17" t="s">
        <v>32</v>
      </c>
      <c r="K23" s="17" t="s">
        <v>32</v>
      </c>
      <c r="L23" s="17" t="s">
        <v>672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725</v>
      </c>
      <c r="D24" s="17" t="s">
        <v>726</v>
      </c>
      <c r="E24" s="17" t="s">
        <v>727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32</v>
      </c>
      <c r="K24" s="17" t="s">
        <v>32</v>
      </c>
      <c r="L24" s="17" t="s">
        <v>672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728</v>
      </c>
      <c r="D25" s="17" t="s">
        <v>729</v>
      </c>
      <c r="E25" s="17" t="s">
        <v>730</v>
      </c>
      <c r="F25" s="17" t="s">
        <v>77</v>
      </c>
      <c r="G25" s="18">
        <v>1015</v>
      </c>
      <c r="H25" s="18">
        <v>25</v>
      </c>
      <c r="I25" s="18">
        <f t="shared" si="0"/>
        <v>990</v>
      </c>
      <c r="J25" s="17" t="s">
        <v>32</v>
      </c>
      <c r="K25" s="17" t="s">
        <v>32</v>
      </c>
      <c r="L25" s="17" t="s">
        <v>672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27</v>
      </c>
      <c r="C26" s="17" t="s">
        <v>254</v>
      </c>
      <c r="D26" s="17" t="s">
        <v>731</v>
      </c>
      <c r="E26" s="17" t="s">
        <v>256</v>
      </c>
      <c r="F26" s="17" t="s">
        <v>77</v>
      </c>
      <c r="G26" s="18">
        <v>0</v>
      </c>
      <c r="H26" s="18">
        <v>25</v>
      </c>
      <c r="I26" s="18">
        <f t="shared" si="0"/>
        <v>-25</v>
      </c>
      <c r="J26" s="17" t="s">
        <v>32</v>
      </c>
      <c r="K26" s="17" t="s">
        <v>32</v>
      </c>
      <c r="L26" s="17" t="s">
        <v>672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732</v>
      </c>
      <c r="D27" s="17" t="s">
        <v>733</v>
      </c>
      <c r="E27" s="17" t="s">
        <v>734</v>
      </c>
      <c r="F27" s="17" t="s">
        <v>71</v>
      </c>
      <c r="G27" s="18">
        <v>870</v>
      </c>
      <c r="H27" s="18">
        <v>30</v>
      </c>
      <c r="I27" s="18">
        <f t="shared" si="0"/>
        <v>840</v>
      </c>
      <c r="J27" s="17" t="s">
        <v>32</v>
      </c>
      <c r="K27" s="17" t="s">
        <v>32</v>
      </c>
      <c r="L27" s="17" t="s">
        <v>672</v>
      </c>
      <c r="M27" s="17"/>
      <c r="N27" s="17"/>
      <c r="O27" s="17"/>
      <c r="P27" s="17"/>
      <c r="Q27" s="17">
        <v>1</v>
      </c>
      <c r="R27" s="19">
        <f t="shared" ref="R27:R28" si="1">H27</f>
        <v>30</v>
      </c>
    </row>
    <row r="28" spans="1:18" customFormat="1" x14ac:dyDescent="0.25">
      <c r="A28" s="17" t="s">
        <v>26</v>
      </c>
      <c r="B28" s="17" t="s">
        <v>27</v>
      </c>
      <c r="C28" s="17" t="s">
        <v>179</v>
      </c>
      <c r="D28" s="17"/>
      <c r="E28" s="17" t="s">
        <v>180</v>
      </c>
      <c r="F28" s="17" t="s">
        <v>130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672</v>
      </c>
      <c r="M28" s="17"/>
      <c r="N28" s="17"/>
      <c r="O28" s="17"/>
      <c r="P28" s="17"/>
      <c r="Q28" s="17">
        <v>1</v>
      </c>
      <c r="R28" s="19">
        <f t="shared" si="1"/>
        <v>30</v>
      </c>
    </row>
    <row r="29" spans="1:18" customFormat="1" x14ac:dyDescent="0.25">
      <c r="A29" s="17" t="s">
        <v>26</v>
      </c>
      <c r="B29" s="17" t="s">
        <v>27</v>
      </c>
      <c r="C29" s="17" t="s">
        <v>293</v>
      </c>
      <c r="D29" s="17"/>
      <c r="E29" s="17" t="s">
        <v>294</v>
      </c>
      <c r="F29" s="17" t="s">
        <v>77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672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735</v>
      </c>
      <c r="D30" s="17"/>
      <c r="E30" s="17" t="s">
        <v>736</v>
      </c>
      <c r="F30" s="18">
        <v>9</v>
      </c>
      <c r="G30" s="18">
        <v>925</v>
      </c>
      <c r="H30" s="18">
        <v>35</v>
      </c>
      <c r="I30" s="18">
        <f t="shared" si="0"/>
        <v>890</v>
      </c>
      <c r="J30" s="17" t="s">
        <v>32</v>
      </c>
      <c r="K30" s="17" t="s">
        <v>32</v>
      </c>
      <c r="L30" s="17" t="s">
        <v>672</v>
      </c>
      <c r="M30" s="17"/>
      <c r="N30" s="17"/>
      <c r="O30" s="17"/>
      <c r="P30" s="17"/>
      <c r="Q30" s="17">
        <v>1</v>
      </c>
    </row>
    <row r="31" spans="1:18" customFormat="1" x14ac:dyDescent="0.25">
      <c r="A31" s="17" t="s">
        <v>26</v>
      </c>
      <c r="B31" s="17" t="s">
        <v>27</v>
      </c>
      <c r="C31" s="17" t="s">
        <v>737</v>
      </c>
      <c r="D31" s="17"/>
      <c r="E31" s="17" t="s">
        <v>738</v>
      </c>
      <c r="F31" s="17" t="s">
        <v>130</v>
      </c>
      <c r="G31" s="18">
        <v>30</v>
      </c>
      <c r="H31" s="18">
        <v>30</v>
      </c>
      <c r="I31" s="18">
        <f t="shared" si="0"/>
        <v>0</v>
      </c>
      <c r="J31" s="17" t="s">
        <v>32</v>
      </c>
      <c r="K31" s="17" t="s">
        <v>32</v>
      </c>
      <c r="L31" s="17" t="s">
        <v>672</v>
      </c>
      <c r="M31" s="17"/>
      <c r="N31" s="17"/>
      <c r="O31" s="17"/>
      <c r="P31" s="17"/>
      <c r="Q31" s="17">
        <v>1</v>
      </c>
      <c r="R31" s="19">
        <f>H31</f>
        <v>30</v>
      </c>
    </row>
    <row r="32" spans="1:18" customFormat="1" x14ac:dyDescent="0.25">
      <c r="A32" s="17" t="s">
        <v>26</v>
      </c>
      <c r="B32" s="17" t="s">
        <v>27</v>
      </c>
      <c r="C32" s="17" t="s">
        <v>739</v>
      </c>
      <c r="D32" s="17"/>
      <c r="E32" s="17" t="s">
        <v>740</v>
      </c>
      <c r="F32" s="18">
        <v>12</v>
      </c>
      <c r="G32" s="18">
        <v>0</v>
      </c>
      <c r="H32" s="18">
        <v>35</v>
      </c>
      <c r="I32" s="18">
        <f t="shared" si="0"/>
        <v>-35</v>
      </c>
      <c r="J32" s="17" t="s">
        <v>32</v>
      </c>
      <c r="K32" s="17" t="s">
        <v>32</v>
      </c>
      <c r="L32" s="17" t="s">
        <v>672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741</v>
      </c>
      <c r="D33" s="17" t="s">
        <v>742</v>
      </c>
      <c r="E33" s="17" t="s">
        <v>743</v>
      </c>
      <c r="F33" s="18">
        <v>1</v>
      </c>
      <c r="G33" s="18">
        <v>855</v>
      </c>
      <c r="H33" s="18">
        <v>25</v>
      </c>
      <c r="I33" s="18">
        <f t="shared" si="0"/>
        <v>830</v>
      </c>
      <c r="J33" s="17" t="s">
        <v>140</v>
      </c>
      <c r="K33" s="17" t="s">
        <v>32</v>
      </c>
      <c r="L33" s="17" t="s">
        <v>672</v>
      </c>
      <c r="M33" s="17"/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27</v>
      </c>
      <c r="C34" s="17" t="s">
        <v>744</v>
      </c>
      <c r="D34" s="17" t="s">
        <v>745</v>
      </c>
      <c r="E34" s="17" t="s">
        <v>746</v>
      </c>
      <c r="F34" s="18">
        <v>1</v>
      </c>
      <c r="G34" s="18">
        <v>0</v>
      </c>
      <c r="H34" s="18">
        <v>25</v>
      </c>
      <c r="I34" s="18">
        <f t="shared" si="0"/>
        <v>-25</v>
      </c>
      <c r="J34" s="17" t="s">
        <v>140</v>
      </c>
      <c r="K34" s="17" t="s">
        <v>32</v>
      </c>
      <c r="L34" s="17" t="s">
        <v>672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747</v>
      </c>
      <c r="D35" s="17" t="s">
        <v>748</v>
      </c>
      <c r="E35" s="17" t="s">
        <v>749</v>
      </c>
      <c r="F35" s="17" t="s">
        <v>130</v>
      </c>
      <c r="G35" s="18">
        <v>815</v>
      </c>
      <c r="H35" s="18">
        <v>25</v>
      </c>
      <c r="I35" s="18">
        <f t="shared" si="0"/>
        <v>790</v>
      </c>
      <c r="J35" s="17" t="s">
        <v>140</v>
      </c>
      <c r="K35" s="17" t="s">
        <v>32</v>
      </c>
      <c r="L35" s="17" t="s">
        <v>672</v>
      </c>
      <c r="M35" s="17"/>
      <c r="N35" s="17"/>
      <c r="O35" s="17"/>
      <c r="P35" s="17"/>
      <c r="Q35" s="17">
        <v>1</v>
      </c>
      <c r="R35" s="19">
        <f>H35</f>
        <v>25</v>
      </c>
    </row>
    <row r="36" spans="1:18" customFormat="1" x14ac:dyDescent="0.25">
      <c r="A36" s="17"/>
      <c r="B36" s="17" t="s">
        <v>27</v>
      </c>
      <c r="C36" s="17" t="s">
        <v>750</v>
      </c>
      <c r="D36" s="17" t="s">
        <v>751</v>
      </c>
      <c r="E36" s="17" t="s">
        <v>752</v>
      </c>
      <c r="F36" s="18">
        <v>10</v>
      </c>
      <c r="G36" s="18">
        <v>0</v>
      </c>
      <c r="H36" s="18">
        <v>25</v>
      </c>
      <c r="I36" s="18">
        <f t="shared" si="0"/>
        <v>-25</v>
      </c>
      <c r="J36" s="17" t="s">
        <v>140</v>
      </c>
      <c r="K36" s="17" t="s">
        <v>32</v>
      </c>
      <c r="L36" s="17" t="s">
        <v>672</v>
      </c>
      <c r="M36" s="20" t="s">
        <v>753</v>
      </c>
      <c r="N36" s="17"/>
      <c r="O36" s="17"/>
      <c r="P36" s="17"/>
      <c r="Q36" s="17">
        <v>1</v>
      </c>
      <c r="R36" s="19">
        <f>H36</f>
        <v>25</v>
      </c>
    </row>
    <row r="37" spans="1:18" customFormat="1" x14ac:dyDescent="0.25">
      <c r="A37" s="17"/>
      <c r="B37" s="17" t="s">
        <v>27</v>
      </c>
      <c r="C37" s="17" t="s">
        <v>754</v>
      </c>
      <c r="D37" s="17" t="s">
        <v>755</v>
      </c>
      <c r="E37" s="17" t="s">
        <v>756</v>
      </c>
      <c r="F37" s="18">
        <v>3</v>
      </c>
      <c r="G37" s="18">
        <v>865</v>
      </c>
      <c r="H37" s="18">
        <v>25</v>
      </c>
      <c r="I37" s="18">
        <f t="shared" si="0"/>
        <v>840</v>
      </c>
      <c r="J37" s="17" t="s">
        <v>140</v>
      </c>
      <c r="K37" s="17" t="s">
        <v>32</v>
      </c>
      <c r="L37" s="17" t="s">
        <v>672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757</v>
      </c>
      <c r="D38" s="17" t="s">
        <v>758</v>
      </c>
      <c r="E38" s="17" t="s">
        <v>759</v>
      </c>
      <c r="F38" s="17" t="s">
        <v>130</v>
      </c>
      <c r="G38" s="18">
        <v>945</v>
      </c>
      <c r="H38" s="18">
        <v>25</v>
      </c>
      <c r="I38" s="18">
        <f t="shared" si="0"/>
        <v>920</v>
      </c>
      <c r="J38" s="17" t="s">
        <v>140</v>
      </c>
      <c r="K38" s="17" t="s">
        <v>32</v>
      </c>
      <c r="L38" s="17" t="s">
        <v>672</v>
      </c>
      <c r="M38" s="17"/>
      <c r="N38" s="17"/>
      <c r="O38" s="17"/>
      <c r="P38" s="17"/>
      <c r="Q38" s="17">
        <v>1</v>
      </c>
      <c r="R38" s="19">
        <f t="shared" ref="R38:R39" si="2">H38</f>
        <v>25</v>
      </c>
    </row>
    <row r="39" spans="1:18" customFormat="1" x14ac:dyDescent="0.25">
      <c r="A39" s="17"/>
      <c r="B39" s="17" t="s">
        <v>27</v>
      </c>
      <c r="C39" s="17" t="s">
        <v>760</v>
      </c>
      <c r="D39" s="17" t="s">
        <v>761</v>
      </c>
      <c r="E39" s="17" t="s">
        <v>762</v>
      </c>
      <c r="F39" s="17" t="s">
        <v>130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672</v>
      </c>
      <c r="M39" s="17"/>
      <c r="N39" s="17"/>
      <c r="O39" s="17"/>
      <c r="P39" s="17"/>
      <c r="Q39" s="17">
        <v>1</v>
      </c>
      <c r="R39" s="19">
        <f t="shared" si="2"/>
        <v>25</v>
      </c>
    </row>
    <row r="40" spans="1:18" customFormat="1" x14ac:dyDescent="0.25">
      <c r="A40" s="17"/>
      <c r="B40" s="17" t="s">
        <v>27</v>
      </c>
      <c r="C40" s="17" t="s">
        <v>763</v>
      </c>
      <c r="D40" s="17" t="s">
        <v>764</v>
      </c>
      <c r="E40" s="17" t="s">
        <v>765</v>
      </c>
      <c r="F40" s="18">
        <v>5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672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766</v>
      </c>
      <c r="D41" s="17" t="s">
        <v>767</v>
      </c>
      <c r="E41" s="17" t="s">
        <v>768</v>
      </c>
      <c r="F41" s="17" t="s">
        <v>130</v>
      </c>
      <c r="G41" s="18">
        <v>915</v>
      </c>
      <c r="H41" s="18">
        <v>25</v>
      </c>
      <c r="I41" s="18">
        <f t="shared" si="0"/>
        <v>890</v>
      </c>
      <c r="J41" s="17" t="s">
        <v>140</v>
      </c>
      <c r="K41" s="17" t="s">
        <v>32</v>
      </c>
      <c r="L41" s="17" t="s">
        <v>672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769</v>
      </c>
      <c r="D42" s="17" t="s">
        <v>770</v>
      </c>
      <c r="E42" s="17" t="s">
        <v>771</v>
      </c>
      <c r="F42" s="18">
        <v>5</v>
      </c>
      <c r="G42" s="18">
        <v>1345</v>
      </c>
      <c r="H42" s="18">
        <v>25</v>
      </c>
      <c r="I42" s="18">
        <f t="shared" si="0"/>
        <v>1320</v>
      </c>
      <c r="J42" s="17" t="s">
        <v>140</v>
      </c>
      <c r="K42" s="17" t="s">
        <v>32</v>
      </c>
      <c r="L42" s="17" t="s">
        <v>672</v>
      </c>
      <c r="M42" s="17"/>
      <c r="N42" s="17"/>
      <c r="O42" s="17"/>
      <c r="P42" s="17"/>
      <c r="Q42" s="17">
        <v>1</v>
      </c>
      <c r="R42" s="19">
        <f>H42</f>
        <v>25</v>
      </c>
    </row>
    <row r="43" spans="1:18" s="30" customFormat="1" x14ac:dyDescent="0.25">
      <c r="A43" s="17"/>
      <c r="B43" s="17" t="s">
        <v>27</v>
      </c>
      <c r="C43" s="17" t="s">
        <v>772</v>
      </c>
      <c r="D43" s="17" t="s">
        <v>773</v>
      </c>
      <c r="E43" s="17" t="s">
        <v>774</v>
      </c>
      <c r="F43" s="18">
        <v>1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672</v>
      </c>
      <c r="M43" s="17"/>
      <c r="N43" s="17"/>
      <c r="O43" s="17"/>
      <c r="P43" s="17"/>
      <c r="Q43" s="36">
        <v>1</v>
      </c>
    </row>
    <row r="44" spans="1:18" s="41" customFormat="1" x14ac:dyDescent="0.25">
      <c r="A44" s="37"/>
      <c r="B44" s="37" t="s">
        <v>27</v>
      </c>
      <c r="C44" s="37" t="s">
        <v>775</v>
      </c>
      <c r="D44" s="37" t="s">
        <v>776</v>
      </c>
      <c r="E44" s="37" t="s">
        <v>777</v>
      </c>
      <c r="F44" s="38">
        <v>1</v>
      </c>
      <c r="G44" s="38">
        <v>0</v>
      </c>
      <c r="H44" s="38">
        <v>40</v>
      </c>
      <c r="I44" s="38">
        <f t="shared" si="0"/>
        <v>-40</v>
      </c>
      <c r="J44" s="37"/>
      <c r="K44" s="37" t="s">
        <v>32</v>
      </c>
      <c r="L44" s="37" t="s">
        <v>672</v>
      </c>
      <c r="M44" s="42" t="s">
        <v>781</v>
      </c>
      <c r="N44" s="37"/>
      <c r="O44" s="37"/>
      <c r="P44" s="37"/>
      <c r="Q44" s="39">
        <v>1</v>
      </c>
      <c r="R44" s="40">
        <f>H44</f>
        <v>40</v>
      </c>
    </row>
    <row r="46" spans="1:18" x14ac:dyDescent="0.25">
      <c r="G46" s="1">
        <f t="shared" ref="G46:R46" si="3">SUBTOTAL(9,G3:G45)</f>
        <v>26300</v>
      </c>
      <c r="H46" s="1">
        <f t="shared" si="3"/>
        <v>1150</v>
      </c>
      <c r="I46" s="1">
        <f t="shared" si="3"/>
        <v>25150</v>
      </c>
      <c r="J46" s="1">
        <f t="shared" si="3"/>
        <v>0</v>
      </c>
      <c r="K46" s="1">
        <f t="shared" si="3"/>
        <v>0</v>
      </c>
      <c r="L46" s="1">
        <f t="shared" si="3"/>
        <v>0</v>
      </c>
      <c r="M46" s="1">
        <f t="shared" si="3"/>
        <v>0</v>
      </c>
      <c r="N46" s="1">
        <f t="shared" si="3"/>
        <v>0</v>
      </c>
      <c r="O46" s="1">
        <f t="shared" si="3"/>
        <v>0</v>
      </c>
      <c r="P46" s="1">
        <f t="shared" si="3"/>
        <v>0</v>
      </c>
      <c r="Q46" s="1">
        <f t="shared" si="3"/>
        <v>42</v>
      </c>
      <c r="R46" s="1">
        <f t="shared" si="3"/>
        <v>420</v>
      </c>
    </row>
    <row r="47" spans="1:18" x14ac:dyDescent="0.25">
      <c r="I47" s="26">
        <f>-H63</f>
        <v>-1680</v>
      </c>
      <c r="J47" s="1" t="s">
        <v>780</v>
      </c>
    </row>
    <row r="48" spans="1:18" x14ac:dyDescent="0.25">
      <c r="I48" s="1">
        <v>-815</v>
      </c>
      <c r="J48" s="1" t="s">
        <v>191</v>
      </c>
    </row>
    <row r="49" spans="1:12" x14ac:dyDescent="0.25">
      <c r="I49" s="1">
        <v>980</v>
      </c>
      <c r="J49" s="1" t="s">
        <v>892</v>
      </c>
    </row>
    <row r="50" spans="1:12" ht="20.25" customHeight="1" x14ac:dyDescent="0.3">
      <c r="H50" s="4" t="s">
        <v>786</v>
      </c>
      <c r="I50" s="5" t="s">
        <v>15</v>
      </c>
      <c r="J50" s="6" t="s">
        <v>16</v>
      </c>
    </row>
    <row r="51" spans="1:12" ht="15.75" customHeight="1" x14ac:dyDescent="0.25">
      <c r="H51" s="7" t="s">
        <v>17</v>
      </c>
      <c r="I51" s="8">
        <f>SUM(I45:I49)</f>
        <v>23635</v>
      </c>
      <c r="J51" s="8">
        <f>Q46</f>
        <v>42</v>
      </c>
    </row>
    <row r="52" spans="1:12" x14ac:dyDescent="0.25">
      <c r="H52" s="9" t="s">
        <v>18</v>
      </c>
      <c r="I52" s="10">
        <f>R46</f>
        <v>420</v>
      </c>
      <c r="J52" s="11"/>
    </row>
    <row r="53" spans="1:12" x14ac:dyDescent="0.25">
      <c r="H53" s="9" t="s">
        <v>19</v>
      </c>
      <c r="I53" s="10">
        <f>S45</f>
        <v>0</v>
      </c>
      <c r="J53" s="11"/>
    </row>
    <row r="54" spans="1:12" x14ac:dyDescent="0.25">
      <c r="H54" s="9" t="s">
        <v>20</v>
      </c>
      <c r="I54" s="10">
        <f>T45</f>
        <v>0</v>
      </c>
      <c r="J54" s="11"/>
    </row>
    <row r="55" spans="1:12" x14ac:dyDescent="0.25">
      <c r="H55" s="9" t="s">
        <v>21</v>
      </c>
      <c r="I55" s="10">
        <f>U45</f>
        <v>0</v>
      </c>
      <c r="J55" s="11"/>
    </row>
    <row r="56" spans="1:12" ht="15.75" customHeight="1" x14ac:dyDescent="0.25">
      <c r="H56" s="12" t="s">
        <v>22</v>
      </c>
      <c r="I56" s="13"/>
      <c r="J56" s="13"/>
    </row>
    <row r="57" spans="1:12" ht="15.75" customHeight="1" x14ac:dyDescent="0.25">
      <c r="H57" s="14" t="s">
        <v>23</v>
      </c>
      <c r="I57" s="13"/>
      <c r="J57" s="13"/>
    </row>
    <row r="58" spans="1:12" ht="21" customHeight="1" x14ac:dyDescent="0.35">
      <c r="H58" s="15" t="s">
        <v>24</v>
      </c>
      <c r="I58" s="16">
        <f>SUM(I51:I57)</f>
        <v>24055</v>
      </c>
      <c r="J58" s="16">
        <f>SUM(J51:J55)</f>
        <v>42</v>
      </c>
    </row>
    <row r="60" spans="1:12" x14ac:dyDescent="0.25">
      <c r="A60" s="1" t="s">
        <v>184</v>
      </c>
    </row>
    <row r="61" spans="1:12" x14ac:dyDescent="0.25">
      <c r="A61" s="24" t="s">
        <v>27</v>
      </c>
      <c r="B61" s="24" t="s">
        <v>775</v>
      </c>
      <c r="C61" s="24" t="s">
        <v>776</v>
      </c>
      <c r="D61" s="24" t="s">
        <v>777</v>
      </c>
      <c r="E61" s="25">
        <v>1</v>
      </c>
      <c r="F61" s="25">
        <v>0</v>
      </c>
      <c r="G61" s="25">
        <v>0</v>
      </c>
      <c r="H61" s="25">
        <f>F61-G61</f>
        <v>0</v>
      </c>
      <c r="I61" s="24" t="s">
        <v>188</v>
      </c>
      <c r="J61" s="24" t="s">
        <v>32</v>
      </c>
      <c r="K61" s="24" t="s">
        <v>672</v>
      </c>
      <c r="L61" s="24" t="s">
        <v>778</v>
      </c>
    </row>
    <row r="62" spans="1:12" x14ac:dyDescent="0.25">
      <c r="A62" s="24" t="s">
        <v>27</v>
      </c>
      <c r="B62" s="24" t="s">
        <v>630</v>
      </c>
      <c r="C62" s="24" t="s">
        <v>631</v>
      </c>
      <c r="D62" s="24" t="s">
        <v>632</v>
      </c>
      <c r="E62" s="25">
        <v>3</v>
      </c>
      <c r="F62" s="25">
        <v>1705</v>
      </c>
      <c r="G62" s="25">
        <v>25</v>
      </c>
      <c r="H62" s="25">
        <f>F62-G62</f>
        <v>1680</v>
      </c>
      <c r="I62" s="24" t="s">
        <v>188</v>
      </c>
      <c r="J62" s="24" t="s">
        <v>32</v>
      </c>
      <c r="K62" s="24" t="s">
        <v>442</v>
      </c>
      <c r="L62" s="24" t="s">
        <v>184</v>
      </c>
    </row>
    <row r="63" spans="1:12" x14ac:dyDescent="0.25">
      <c r="H63" s="26">
        <f>SUM(H61:H62)</f>
        <v>1680</v>
      </c>
    </row>
    <row r="64" spans="1:12" x14ac:dyDescent="0.25">
      <c r="A64" s="1" t="s">
        <v>191</v>
      </c>
    </row>
    <row r="65" spans="1:12" x14ac:dyDescent="0.25">
      <c r="A65" s="27" t="s">
        <v>27</v>
      </c>
      <c r="B65" s="27" t="s">
        <v>633</v>
      </c>
      <c r="C65" s="27" t="s">
        <v>634</v>
      </c>
      <c r="D65" s="27" t="s">
        <v>635</v>
      </c>
      <c r="E65" s="27">
        <v>4</v>
      </c>
      <c r="F65" s="27">
        <v>815</v>
      </c>
      <c r="G65" s="27">
        <v>0</v>
      </c>
      <c r="H65" s="27">
        <f>F65-G65</f>
        <v>815</v>
      </c>
      <c r="I65" s="24" t="s">
        <v>188</v>
      </c>
      <c r="J65" s="27" t="s">
        <v>32</v>
      </c>
      <c r="K65" s="27" t="s">
        <v>442</v>
      </c>
      <c r="L65" s="20" t="s">
        <v>782</v>
      </c>
    </row>
    <row r="66" spans="1:12" x14ac:dyDescent="0.25">
      <c r="A66" s="1" t="s">
        <v>779</v>
      </c>
    </row>
    <row r="67" spans="1:12" x14ac:dyDescent="0.25">
      <c r="A67" s="34" t="s">
        <v>27</v>
      </c>
      <c r="B67" s="34" t="s">
        <v>750</v>
      </c>
      <c r="C67" s="34" t="s">
        <v>751</v>
      </c>
      <c r="D67" s="34" t="s">
        <v>752</v>
      </c>
      <c r="E67" s="35">
        <v>10</v>
      </c>
      <c r="F67" s="35">
        <v>885</v>
      </c>
      <c r="G67" s="35">
        <v>0</v>
      </c>
      <c r="H67" s="35">
        <f>F67-G67</f>
        <v>885</v>
      </c>
      <c r="I67" s="34" t="s">
        <v>140</v>
      </c>
      <c r="J67" s="34" t="s">
        <v>32</v>
      </c>
      <c r="K67" s="34" t="s">
        <v>672</v>
      </c>
      <c r="L67" s="20" t="s">
        <v>753</v>
      </c>
    </row>
    <row r="68" spans="1:12" x14ac:dyDescent="0.25">
      <c r="A68" s="1" t="s">
        <v>892</v>
      </c>
    </row>
    <row r="69" spans="1:12" x14ac:dyDescent="0.25">
      <c r="A69" s="32" t="s">
        <v>27</v>
      </c>
      <c r="B69" s="32" t="s">
        <v>52</v>
      </c>
      <c r="C69" s="32" t="s">
        <v>365</v>
      </c>
      <c r="D69" s="32" t="s">
        <v>704</v>
      </c>
      <c r="E69" s="33"/>
      <c r="F69" s="32">
        <v>980</v>
      </c>
      <c r="G69" s="32">
        <v>0</v>
      </c>
      <c r="H69" s="32">
        <f t="shared" ref="H69" si="4">F69-G69</f>
        <v>980</v>
      </c>
      <c r="I69" s="32" t="s">
        <v>671</v>
      </c>
      <c r="J69" s="32"/>
      <c r="K69" s="32" t="s">
        <v>672</v>
      </c>
      <c r="L69" s="43" t="s">
        <v>705</v>
      </c>
    </row>
  </sheetData>
  <autoFilter ref="A2:P44" xr:uid="{00000000-0009-0000-0000-000006000000}">
    <sortState xmlns:xlrd2="http://schemas.microsoft.com/office/spreadsheetml/2017/richdata2" ref="A3:P44">
      <sortCondition ref="J2:J4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CFD0-33E1-4177-9EE7-34A364128A66}">
  <dimension ref="A1:R57"/>
  <sheetViews>
    <sheetView zoomScale="82" zoomScaleNormal="80" workbookViewId="0">
      <selection activeCell="R14" sqref="R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784</v>
      </c>
      <c r="C1" s="1" t="s">
        <v>785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787</v>
      </c>
      <c r="D3" s="17" t="s">
        <v>788</v>
      </c>
      <c r="E3" s="17" t="s">
        <v>789</v>
      </c>
      <c r="F3" s="18">
        <v>11</v>
      </c>
      <c r="G3" s="18">
        <v>0</v>
      </c>
      <c r="H3" s="18">
        <v>25</v>
      </c>
      <c r="I3" s="18">
        <f t="shared" ref="I3:I39" si="0">G3-H3</f>
        <v>-25</v>
      </c>
      <c r="J3" s="17" t="s">
        <v>790</v>
      </c>
      <c r="K3" s="17" t="s">
        <v>32</v>
      </c>
      <c r="L3" s="17" t="s">
        <v>791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792</v>
      </c>
      <c r="D4" s="17" t="s">
        <v>793</v>
      </c>
      <c r="E4" s="17" t="s">
        <v>794</v>
      </c>
      <c r="F4" s="17" t="s">
        <v>202</v>
      </c>
      <c r="G4" s="18">
        <v>0</v>
      </c>
      <c r="H4" s="18">
        <v>35</v>
      </c>
      <c r="I4" s="18">
        <f t="shared" si="0"/>
        <v>-35</v>
      </c>
      <c r="J4" s="17" t="s">
        <v>790</v>
      </c>
      <c r="K4" s="17" t="s">
        <v>32</v>
      </c>
      <c r="L4" s="17" t="s">
        <v>791</v>
      </c>
      <c r="M4" s="44" t="s">
        <v>893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795</v>
      </c>
      <c r="D5" s="17" t="s">
        <v>796</v>
      </c>
      <c r="E5" s="17" t="s">
        <v>797</v>
      </c>
      <c r="F5" s="18">
        <v>11</v>
      </c>
      <c r="G5" s="18">
        <v>3780</v>
      </c>
      <c r="H5" s="18">
        <v>35</v>
      </c>
      <c r="I5" s="18">
        <f t="shared" si="0"/>
        <v>3745</v>
      </c>
      <c r="J5" s="17" t="s">
        <v>790</v>
      </c>
      <c r="K5" s="17" t="s">
        <v>32</v>
      </c>
      <c r="L5" s="17" t="s">
        <v>791</v>
      </c>
      <c r="M5" s="20" t="s">
        <v>58</v>
      </c>
      <c r="N5" s="17"/>
      <c r="O5" s="17"/>
      <c r="P5" s="17"/>
      <c r="Q5" s="17">
        <v>1</v>
      </c>
      <c r="R5" s="19">
        <f>H5</f>
        <v>35</v>
      </c>
    </row>
    <row r="6" spans="1:18" customFormat="1" x14ac:dyDescent="0.25">
      <c r="A6" s="17"/>
      <c r="B6" s="17" t="s">
        <v>27</v>
      </c>
      <c r="C6" s="17" t="s">
        <v>798</v>
      </c>
      <c r="D6" s="17" t="s">
        <v>799</v>
      </c>
      <c r="E6" s="17" t="s">
        <v>800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790</v>
      </c>
      <c r="K6" s="17" t="s">
        <v>32</v>
      </c>
      <c r="L6" s="17" t="s">
        <v>791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801</v>
      </c>
      <c r="D7" s="17" t="s">
        <v>802</v>
      </c>
      <c r="E7" s="17" t="s">
        <v>803</v>
      </c>
      <c r="F7" s="18">
        <v>12</v>
      </c>
      <c r="G7" s="18">
        <v>1380</v>
      </c>
      <c r="H7" s="18">
        <v>30</v>
      </c>
      <c r="I7" s="18">
        <f t="shared" si="0"/>
        <v>1350</v>
      </c>
      <c r="J7" s="17" t="s">
        <v>790</v>
      </c>
      <c r="K7" s="17" t="s">
        <v>32</v>
      </c>
      <c r="L7" s="17" t="s">
        <v>791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804</v>
      </c>
      <c r="D8" s="17" t="s">
        <v>805</v>
      </c>
      <c r="E8" s="17" t="s">
        <v>806</v>
      </c>
      <c r="F8" s="18">
        <v>6</v>
      </c>
      <c r="G8" s="18">
        <v>865</v>
      </c>
      <c r="H8" s="18">
        <v>25</v>
      </c>
      <c r="I8" s="18">
        <f t="shared" si="0"/>
        <v>840</v>
      </c>
      <c r="J8" s="17" t="s">
        <v>790</v>
      </c>
      <c r="K8" s="17" t="s">
        <v>32</v>
      </c>
      <c r="L8" s="17" t="s">
        <v>791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807</v>
      </c>
      <c r="D9" s="17" t="s">
        <v>808</v>
      </c>
      <c r="E9" s="17" t="s">
        <v>809</v>
      </c>
      <c r="F9" s="18">
        <v>7</v>
      </c>
      <c r="G9" s="18">
        <v>910</v>
      </c>
      <c r="H9" s="18">
        <v>30</v>
      </c>
      <c r="I9" s="18">
        <f t="shared" si="0"/>
        <v>880</v>
      </c>
      <c r="J9" s="17" t="s">
        <v>790</v>
      </c>
      <c r="K9" s="17" t="s">
        <v>32</v>
      </c>
      <c r="L9" s="17" t="s">
        <v>791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810</v>
      </c>
      <c r="D10" s="17" t="s">
        <v>811</v>
      </c>
      <c r="E10" s="17" t="s">
        <v>812</v>
      </c>
      <c r="F10" s="18">
        <v>7</v>
      </c>
      <c r="G10" s="18">
        <v>850</v>
      </c>
      <c r="H10" s="18">
        <v>30</v>
      </c>
      <c r="I10" s="18">
        <f t="shared" si="0"/>
        <v>820</v>
      </c>
      <c r="J10" s="17" t="s">
        <v>790</v>
      </c>
      <c r="K10" s="17" t="s">
        <v>32</v>
      </c>
      <c r="L10" s="17" t="s">
        <v>791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813</v>
      </c>
      <c r="D11" s="17" t="s">
        <v>814</v>
      </c>
      <c r="E11" s="17" t="s">
        <v>815</v>
      </c>
      <c r="F11" s="17" t="s">
        <v>170</v>
      </c>
      <c r="G11" s="18">
        <v>915</v>
      </c>
      <c r="H11" s="18">
        <v>25</v>
      </c>
      <c r="I11" s="18">
        <f t="shared" si="0"/>
        <v>890</v>
      </c>
      <c r="J11" s="17" t="s">
        <v>790</v>
      </c>
      <c r="K11" s="17" t="s">
        <v>32</v>
      </c>
      <c r="L11" s="17" t="s">
        <v>791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816</v>
      </c>
      <c r="D12" s="17" t="s">
        <v>817</v>
      </c>
      <c r="E12" s="17" t="s">
        <v>818</v>
      </c>
      <c r="F12" s="17" t="s">
        <v>30</v>
      </c>
      <c r="G12" s="18">
        <v>1410</v>
      </c>
      <c r="H12" s="18">
        <v>30</v>
      </c>
      <c r="I12" s="18">
        <f t="shared" si="0"/>
        <v>1380</v>
      </c>
      <c r="J12" s="17" t="s">
        <v>790</v>
      </c>
      <c r="K12" s="17" t="s">
        <v>32</v>
      </c>
      <c r="L12" s="17" t="s">
        <v>791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819</v>
      </c>
      <c r="D13" s="17" t="s">
        <v>820</v>
      </c>
      <c r="E13" s="17" t="s">
        <v>821</v>
      </c>
      <c r="F13" s="18">
        <v>12</v>
      </c>
      <c r="G13" s="18">
        <v>490</v>
      </c>
      <c r="H13" s="18">
        <v>30</v>
      </c>
      <c r="I13" s="18">
        <f t="shared" si="0"/>
        <v>460</v>
      </c>
      <c r="J13" s="17" t="s">
        <v>790</v>
      </c>
      <c r="K13" s="17" t="s">
        <v>32</v>
      </c>
      <c r="L13" s="17" t="s">
        <v>791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822</v>
      </c>
      <c r="D14" s="17" t="s">
        <v>823</v>
      </c>
      <c r="E14" s="17" t="s">
        <v>824</v>
      </c>
      <c r="F14" s="17" t="s">
        <v>98</v>
      </c>
      <c r="G14" s="18">
        <v>0</v>
      </c>
      <c r="H14" s="18">
        <v>20</v>
      </c>
      <c r="I14" s="18">
        <f t="shared" si="0"/>
        <v>-20</v>
      </c>
      <c r="J14" s="17" t="s">
        <v>32</v>
      </c>
      <c r="K14" s="17" t="s">
        <v>32</v>
      </c>
      <c r="L14" s="17" t="s">
        <v>791</v>
      </c>
      <c r="M14" s="20" t="s">
        <v>895</v>
      </c>
      <c r="N14" s="17"/>
      <c r="O14" s="17"/>
      <c r="P14" s="17"/>
      <c r="Q14" s="17">
        <v>1</v>
      </c>
      <c r="R14" s="19">
        <f>H14</f>
        <v>20</v>
      </c>
    </row>
    <row r="15" spans="1:18" customFormat="1" x14ac:dyDescent="0.25">
      <c r="A15" s="17"/>
      <c r="B15" s="17" t="s">
        <v>27</v>
      </c>
      <c r="C15" s="17" t="s">
        <v>825</v>
      </c>
      <c r="D15" s="17" t="s">
        <v>826</v>
      </c>
      <c r="E15" s="17" t="s">
        <v>101</v>
      </c>
      <c r="F15" s="18">
        <v>12</v>
      </c>
      <c r="G15" s="18">
        <v>0</v>
      </c>
      <c r="H15" s="18">
        <v>30</v>
      </c>
      <c r="I15" s="18">
        <f t="shared" si="0"/>
        <v>-30</v>
      </c>
      <c r="J15" s="17" t="s">
        <v>32</v>
      </c>
      <c r="K15" s="17" t="s">
        <v>32</v>
      </c>
      <c r="L15" s="17" t="s">
        <v>791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827</v>
      </c>
      <c r="D16" s="17" t="s">
        <v>828</v>
      </c>
      <c r="E16" s="17" t="s">
        <v>829</v>
      </c>
      <c r="F16" s="17" t="s">
        <v>98</v>
      </c>
      <c r="G16" s="18">
        <v>1010</v>
      </c>
      <c r="H16" s="18">
        <v>20</v>
      </c>
      <c r="I16" s="18">
        <f t="shared" si="0"/>
        <v>990</v>
      </c>
      <c r="J16" s="17" t="s">
        <v>32</v>
      </c>
      <c r="K16" s="17" t="s">
        <v>32</v>
      </c>
      <c r="L16" s="17" t="s">
        <v>791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830</v>
      </c>
      <c r="D17" s="17" t="s">
        <v>831</v>
      </c>
      <c r="E17" s="17" t="s">
        <v>832</v>
      </c>
      <c r="F17" s="18">
        <v>2</v>
      </c>
      <c r="G17" s="18">
        <v>820</v>
      </c>
      <c r="H17" s="18">
        <v>30</v>
      </c>
      <c r="I17" s="18">
        <f t="shared" si="0"/>
        <v>790</v>
      </c>
      <c r="J17" s="17" t="s">
        <v>32</v>
      </c>
      <c r="K17" s="17" t="s">
        <v>32</v>
      </c>
      <c r="L17" s="17" t="s">
        <v>791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833</v>
      </c>
      <c r="D18" s="17" t="s">
        <v>834</v>
      </c>
      <c r="E18" s="17" t="s">
        <v>835</v>
      </c>
      <c r="F18" s="17" t="s">
        <v>98</v>
      </c>
      <c r="G18" s="18">
        <v>0</v>
      </c>
      <c r="H18" s="18">
        <v>20</v>
      </c>
      <c r="I18" s="18">
        <f t="shared" si="0"/>
        <v>-20</v>
      </c>
      <c r="J18" s="17" t="s">
        <v>32</v>
      </c>
      <c r="K18" s="17" t="s">
        <v>32</v>
      </c>
      <c r="L18" s="17" t="s">
        <v>791</v>
      </c>
      <c r="M18" s="17"/>
      <c r="N18" s="17"/>
      <c r="O18" s="17"/>
      <c r="P18" s="17"/>
      <c r="Q18" s="17">
        <v>1</v>
      </c>
      <c r="R18" s="19">
        <f>H18</f>
        <v>20</v>
      </c>
    </row>
    <row r="19" spans="1:18" customFormat="1" x14ac:dyDescent="0.25">
      <c r="A19" s="17"/>
      <c r="B19" s="17" t="s">
        <v>27</v>
      </c>
      <c r="C19" s="17" t="s">
        <v>836</v>
      </c>
      <c r="D19" s="17" t="s">
        <v>837</v>
      </c>
      <c r="E19" s="17" t="s">
        <v>838</v>
      </c>
      <c r="F19" s="17" t="s">
        <v>77</v>
      </c>
      <c r="G19" s="18">
        <v>1485</v>
      </c>
      <c r="H19" s="18">
        <v>25</v>
      </c>
      <c r="I19" s="18">
        <f t="shared" si="0"/>
        <v>1460</v>
      </c>
      <c r="J19" s="17" t="s">
        <v>32</v>
      </c>
      <c r="K19" s="17" t="s">
        <v>32</v>
      </c>
      <c r="L19" s="17" t="s">
        <v>791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839</v>
      </c>
      <c r="D20" s="17" t="s">
        <v>840</v>
      </c>
      <c r="E20" s="17" t="s">
        <v>841</v>
      </c>
      <c r="F20" s="18">
        <v>9</v>
      </c>
      <c r="G20" s="18">
        <v>0</v>
      </c>
      <c r="H20" s="18">
        <v>30</v>
      </c>
      <c r="I20" s="18">
        <f t="shared" si="0"/>
        <v>-30</v>
      </c>
      <c r="J20" s="17" t="s">
        <v>32</v>
      </c>
      <c r="K20" s="17" t="s">
        <v>32</v>
      </c>
      <c r="L20" s="17" t="s">
        <v>791</v>
      </c>
      <c r="M20" s="17"/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27</v>
      </c>
      <c r="C21" s="17" t="s">
        <v>842</v>
      </c>
      <c r="D21" s="17" t="s">
        <v>843</v>
      </c>
      <c r="E21" s="17" t="s">
        <v>844</v>
      </c>
      <c r="F21" s="18">
        <v>12</v>
      </c>
      <c r="G21" s="18">
        <v>1710</v>
      </c>
      <c r="H21" s="18">
        <v>30</v>
      </c>
      <c r="I21" s="18">
        <f t="shared" si="0"/>
        <v>1680</v>
      </c>
      <c r="J21" s="17" t="s">
        <v>32</v>
      </c>
      <c r="K21" s="17" t="s">
        <v>32</v>
      </c>
      <c r="L21" s="17" t="s">
        <v>791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845</v>
      </c>
      <c r="D22" s="17" t="s">
        <v>846</v>
      </c>
      <c r="E22" s="17" t="s">
        <v>847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791</v>
      </c>
      <c r="M22" s="17"/>
      <c r="N22" s="17"/>
      <c r="O22" s="17"/>
      <c r="P22" s="17"/>
      <c r="Q22" s="17">
        <v>1</v>
      </c>
      <c r="R22" s="19">
        <f t="shared" ref="R22:R23" si="1">H22</f>
        <v>30</v>
      </c>
    </row>
    <row r="23" spans="1:18" customFormat="1" x14ac:dyDescent="0.25">
      <c r="A23" s="17" t="s">
        <v>26</v>
      </c>
      <c r="B23" s="17" t="s">
        <v>27</v>
      </c>
      <c r="C23" s="17" t="s">
        <v>848</v>
      </c>
      <c r="D23" s="17"/>
      <c r="E23" s="17" t="s">
        <v>849</v>
      </c>
      <c r="F23" s="17" t="s">
        <v>98</v>
      </c>
      <c r="G23" s="18">
        <v>0</v>
      </c>
      <c r="H23" s="18">
        <v>25</v>
      </c>
      <c r="I23" s="18">
        <f t="shared" si="0"/>
        <v>-25</v>
      </c>
      <c r="J23" s="17" t="s">
        <v>32</v>
      </c>
      <c r="K23" s="17" t="s">
        <v>32</v>
      </c>
      <c r="L23" s="17" t="s">
        <v>791</v>
      </c>
      <c r="M23" s="17"/>
      <c r="N23" s="17"/>
      <c r="O23" s="17"/>
      <c r="P23" s="17"/>
      <c r="Q23" s="17">
        <v>1</v>
      </c>
      <c r="R23" s="19">
        <f t="shared" si="1"/>
        <v>25</v>
      </c>
    </row>
    <row r="24" spans="1:18" customFormat="1" x14ac:dyDescent="0.25">
      <c r="A24" s="17" t="s">
        <v>26</v>
      </c>
      <c r="B24" s="17" t="s">
        <v>27</v>
      </c>
      <c r="C24" s="17" t="s">
        <v>850</v>
      </c>
      <c r="D24" s="17"/>
      <c r="E24" s="17" t="s">
        <v>851</v>
      </c>
      <c r="F24" s="17" t="s">
        <v>77</v>
      </c>
      <c r="G24" s="18">
        <v>30</v>
      </c>
      <c r="H24" s="18">
        <v>30</v>
      </c>
      <c r="I24" s="18">
        <f t="shared" si="0"/>
        <v>0</v>
      </c>
      <c r="J24" s="17" t="s">
        <v>32</v>
      </c>
      <c r="K24" s="17" t="s">
        <v>32</v>
      </c>
      <c r="L24" s="17" t="s">
        <v>791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852</v>
      </c>
      <c r="D25" s="17"/>
      <c r="E25" s="17" t="s">
        <v>853</v>
      </c>
      <c r="F25" s="17" t="s">
        <v>130</v>
      </c>
      <c r="G25" s="18">
        <v>0</v>
      </c>
      <c r="H25" s="18">
        <v>40</v>
      </c>
      <c r="I25" s="18">
        <f t="shared" si="0"/>
        <v>-40</v>
      </c>
      <c r="J25" s="17" t="s">
        <v>32</v>
      </c>
      <c r="K25" s="17" t="s">
        <v>32</v>
      </c>
      <c r="L25" s="17" t="s">
        <v>791</v>
      </c>
      <c r="M25" s="17"/>
      <c r="N25" s="17"/>
      <c r="O25" s="17"/>
      <c r="P25" s="17"/>
      <c r="Q25" s="17">
        <v>1</v>
      </c>
      <c r="R25" s="19">
        <f>H25</f>
        <v>40</v>
      </c>
    </row>
    <row r="26" spans="1:18" customFormat="1" x14ac:dyDescent="0.25">
      <c r="A26" s="17"/>
      <c r="B26" s="17" t="s">
        <v>27</v>
      </c>
      <c r="C26" s="17" t="s">
        <v>854</v>
      </c>
      <c r="D26" s="17" t="s">
        <v>855</v>
      </c>
      <c r="E26" s="17" t="s">
        <v>856</v>
      </c>
      <c r="F26" s="18">
        <v>3</v>
      </c>
      <c r="G26" s="18">
        <v>1765</v>
      </c>
      <c r="H26" s="18">
        <v>25</v>
      </c>
      <c r="I26" s="18">
        <f t="shared" si="0"/>
        <v>1740</v>
      </c>
      <c r="J26" s="17" t="s">
        <v>140</v>
      </c>
      <c r="K26" s="17" t="s">
        <v>32</v>
      </c>
      <c r="L26" s="17" t="s">
        <v>791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857</v>
      </c>
      <c r="D27" s="17" t="s">
        <v>858</v>
      </c>
      <c r="E27" s="17" t="s">
        <v>859</v>
      </c>
      <c r="F27" s="17" t="s">
        <v>130</v>
      </c>
      <c r="G27" s="18">
        <v>365</v>
      </c>
      <c r="H27" s="18">
        <v>25</v>
      </c>
      <c r="I27" s="18">
        <f t="shared" si="0"/>
        <v>340</v>
      </c>
      <c r="J27" s="17" t="s">
        <v>140</v>
      </c>
      <c r="K27" s="17" t="s">
        <v>32</v>
      </c>
      <c r="L27" s="17" t="s">
        <v>791</v>
      </c>
      <c r="M27" s="20" t="s">
        <v>386</v>
      </c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857</v>
      </c>
      <c r="D28" s="17" t="s">
        <v>860</v>
      </c>
      <c r="E28" s="17" t="s">
        <v>859</v>
      </c>
      <c r="F28" s="17" t="s">
        <v>130</v>
      </c>
      <c r="G28" s="18">
        <v>0</v>
      </c>
      <c r="H28" s="18">
        <v>0</v>
      </c>
      <c r="I28" s="18">
        <f t="shared" si="0"/>
        <v>0</v>
      </c>
      <c r="J28" s="17" t="s">
        <v>140</v>
      </c>
      <c r="K28" s="17" t="s">
        <v>32</v>
      </c>
      <c r="L28" s="17" t="s">
        <v>791</v>
      </c>
      <c r="M28" s="20" t="s">
        <v>386</v>
      </c>
      <c r="N28" s="17"/>
      <c r="O28" s="17"/>
      <c r="P28" s="17"/>
      <c r="Q28" s="17">
        <v>1</v>
      </c>
      <c r="R28" s="19">
        <f>H28</f>
        <v>0</v>
      </c>
    </row>
    <row r="29" spans="1:18" customFormat="1" x14ac:dyDescent="0.25">
      <c r="A29" s="17"/>
      <c r="B29" s="17" t="s">
        <v>27</v>
      </c>
      <c r="C29" s="17" t="s">
        <v>861</v>
      </c>
      <c r="D29" s="17" t="s">
        <v>862</v>
      </c>
      <c r="E29" s="17" t="s">
        <v>863</v>
      </c>
      <c r="F29" s="17" t="s">
        <v>166</v>
      </c>
      <c r="G29" s="18">
        <v>480</v>
      </c>
      <c r="H29" s="18">
        <v>20</v>
      </c>
      <c r="I29" s="18">
        <f t="shared" si="0"/>
        <v>460</v>
      </c>
      <c r="J29" s="17" t="s">
        <v>140</v>
      </c>
      <c r="K29" s="17" t="s">
        <v>32</v>
      </c>
      <c r="L29" s="17" t="s">
        <v>791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864</v>
      </c>
      <c r="D30" s="17" t="s">
        <v>865</v>
      </c>
      <c r="E30" s="17" t="s">
        <v>866</v>
      </c>
      <c r="F30" s="17" t="s">
        <v>166</v>
      </c>
      <c r="G30" s="18">
        <v>4520</v>
      </c>
      <c r="H30" s="18">
        <v>35</v>
      </c>
      <c r="I30" s="18">
        <f t="shared" si="0"/>
        <v>4485</v>
      </c>
      <c r="J30" s="17" t="s">
        <v>140</v>
      </c>
      <c r="K30" s="17" t="s">
        <v>32</v>
      </c>
      <c r="L30" s="17" t="s">
        <v>791</v>
      </c>
      <c r="M30" s="20" t="s">
        <v>58</v>
      </c>
      <c r="N30" s="17"/>
      <c r="O30" s="17"/>
      <c r="P30" s="17"/>
      <c r="Q30" s="17">
        <v>1</v>
      </c>
      <c r="R30" s="19">
        <f>H30</f>
        <v>35</v>
      </c>
    </row>
    <row r="31" spans="1:18" customFormat="1" x14ac:dyDescent="0.25">
      <c r="A31" s="17"/>
      <c r="B31" s="17" t="s">
        <v>27</v>
      </c>
      <c r="C31" s="17" t="s">
        <v>867</v>
      </c>
      <c r="D31" s="17" t="s">
        <v>868</v>
      </c>
      <c r="E31" s="17" t="s">
        <v>869</v>
      </c>
      <c r="F31" s="18">
        <v>1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791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27</v>
      </c>
      <c r="C32" s="17" t="s">
        <v>870</v>
      </c>
      <c r="D32" s="17" t="s">
        <v>871</v>
      </c>
      <c r="E32" s="17" t="s">
        <v>872</v>
      </c>
      <c r="F32" s="18">
        <v>1</v>
      </c>
      <c r="G32" s="18">
        <v>1015</v>
      </c>
      <c r="H32" s="18">
        <v>25</v>
      </c>
      <c r="I32" s="18">
        <f t="shared" si="0"/>
        <v>990</v>
      </c>
      <c r="J32" s="17" t="s">
        <v>140</v>
      </c>
      <c r="K32" s="17" t="s">
        <v>32</v>
      </c>
      <c r="L32" s="17" t="s">
        <v>791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873</v>
      </c>
      <c r="D33" s="17" t="s">
        <v>874</v>
      </c>
      <c r="E33" s="17" t="s">
        <v>875</v>
      </c>
      <c r="F33" s="18">
        <v>3</v>
      </c>
      <c r="G33" s="18">
        <v>1315</v>
      </c>
      <c r="H33" s="18">
        <v>25</v>
      </c>
      <c r="I33" s="18">
        <f t="shared" si="0"/>
        <v>1290</v>
      </c>
      <c r="J33" s="17" t="s">
        <v>140</v>
      </c>
      <c r="K33" s="17" t="s">
        <v>32</v>
      </c>
      <c r="L33" s="17" t="s">
        <v>791</v>
      </c>
      <c r="M33" s="17"/>
      <c r="N33" s="17"/>
      <c r="O33" s="17"/>
      <c r="P33" s="17"/>
      <c r="Q33" s="17">
        <v>1</v>
      </c>
    </row>
    <row r="34" spans="1:18" s="23" customFormat="1" x14ac:dyDescent="0.25">
      <c r="A34" s="21"/>
      <c r="B34" s="21" t="s">
        <v>27</v>
      </c>
      <c r="C34" s="21" t="s">
        <v>754</v>
      </c>
      <c r="D34" s="21" t="s">
        <v>876</v>
      </c>
      <c r="E34" s="21" t="s">
        <v>756</v>
      </c>
      <c r="F34" s="22">
        <v>3</v>
      </c>
      <c r="G34" s="22">
        <v>0</v>
      </c>
      <c r="H34" s="22">
        <v>25</v>
      </c>
      <c r="I34" s="22">
        <f t="shared" si="0"/>
        <v>-25</v>
      </c>
      <c r="J34" s="21" t="s">
        <v>140</v>
      </c>
      <c r="K34" s="21" t="s">
        <v>32</v>
      </c>
      <c r="L34" s="21" t="s">
        <v>791</v>
      </c>
      <c r="M34" s="21" t="s">
        <v>153</v>
      </c>
      <c r="N34" s="21"/>
      <c r="O34" s="21"/>
      <c r="P34" s="21"/>
      <c r="Q34" s="21">
        <v>1</v>
      </c>
      <c r="R34" s="31">
        <f>H34</f>
        <v>25</v>
      </c>
    </row>
    <row r="35" spans="1:18" customFormat="1" x14ac:dyDescent="0.25">
      <c r="A35" s="17"/>
      <c r="B35" s="17" t="s">
        <v>27</v>
      </c>
      <c r="C35" s="17" t="s">
        <v>877</v>
      </c>
      <c r="D35" s="17" t="s">
        <v>878</v>
      </c>
      <c r="E35" s="17" t="s">
        <v>879</v>
      </c>
      <c r="F35" s="18">
        <v>7</v>
      </c>
      <c r="G35" s="18">
        <v>890</v>
      </c>
      <c r="H35" s="18">
        <v>30</v>
      </c>
      <c r="I35" s="18">
        <f t="shared" si="0"/>
        <v>860</v>
      </c>
      <c r="J35" s="17" t="s">
        <v>140</v>
      </c>
      <c r="K35" s="17" t="s">
        <v>32</v>
      </c>
      <c r="L35" s="17" t="s">
        <v>791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880</v>
      </c>
      <c r="D36" s="17" t="s">
        <v>881</v>
      </c>
      <c r="E36" s="17" t="s">
        <v>882</v>
      </c>
      <c r="F36" s="17" t="s">
        <v>130</v>
      </c>
      <c r="G36" s="18">
        <v>515</v>
      </c>
      <c r="H36" s="18">
        <v>25</v>
      </c>
      <c r="I36" s="18">
        <f t="shared" si="0"/>
        <v>490</v>
      </c>
      <c r="J36" s="17" t="s">
        <v>140</v>
      </c>
      <c r="K36" s="17" t="s">
        <v>32</v>
      </c>
      <c r="L36" s="17" t="s">
        <v>791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883</v>
      </c>
      <c r="D37" s="17" t="s">
        <v>884</v>
      </c>
      <c r="E37" s="17" t="s">
        <v>885</v>
      </c>
      <c r="F37" s="18">
        <v>1</v>
      </c>
      <c r="G37" s="18">
        <v>905</v>
      </c>
      <c r="H37" s="18">
        <v>25</v>
      </c>
      <c r="I37" s="18">
        <f t="shared" si="0"/>
        <v>880</v>
      </c>
      <c r="J37" s="17" t="s">
        <v>140</v>
      </c>
      <c r="K37" s="17" t="s">
        <v>32</v>
      </c>
      <c r="L37" s="17" t="s">
        <v>791</v>
      </c>
      <c r="M37" s="17"/>
      <c r="N37" s="17"/>
      <c r="O37" s="17"/>
      <c r="P37" s="17"/>
      <c r="Q37" s="17">
        <v>1</v>
      </c>
    </row>
    <row r="38" spans="1:18" s="23" customFormat="1" x14ac:dyDescent="0.25">
      <c r="A38" s="21"/>
      <c r="B38" s="21" t="s">
        <v>27</v>
      </c>
      <c r="C38" s="21" t="s">
        <v>886</v>
      </c>
      <c r="D38" s="21" t="s">
        <v>887</v>
      </c>
      <c r="E38" s="21" t="s">
        <v>888</v>
      </c>
      <c r="F38" s="22">
        <v>7</v>
      </c>
      <c r="G38" s="22">
        <v>30</v>
      </c>
      <c r="H38" s="22">
        <v>30</v>
      </c>
      <c r="I38" s="22">
        <f t="shared" si="0"/>
        <v>0</v>
      </c>
      <c r="J38" s="21" t="s">
        <v>140</v>
      </c>
      <c r="K38" s="21" t="s">
        <v>32</v>
      </c>
      <c r="L38" s="21" t="s">
        <v>791</v>
      </c>
      <c r="M38" s="21" t="s">
        <v>153</v>
      </c>
      <c r="N38" s="21"/>
      <c r="O38" s="21"/>
      <c r="P38" s="21"/>
      <c r="Q38" s="21">
        <v>1</v>
      </c>
    </row>
    <row r="39" spans="1:18" customFormat="1" x14ac:dyDescent="0.25">
      <c r="A39" s="17"/>
      <c r="B39" s="17" t="s">
        <v>27</v>
      </c>
      <c r="C39" s="17" t="s">
        <v>889</v>
      </c>
      <c r="D39" s="17" t="s">
        <v>890</v>
      </c>
      <c r="E39" s="17" t="s">
        <v>891</v>
      </c>
      <c r="F39" s="18">
        <v>7</v>
      </c>
      <c r="G39" s="18">
        <v>30</v>
      </c>
      <c r="H39" s="18">
        <v>30</v>
      </c>
      <c r="I39" s="18">
        <f t="shared" si="0"/>
        <v>0</v>
      </c>
      <c r="J39" s="17" t="s">
        <v>140</v>
      </c>
      <c r="K39" s="17" t="s">
        <v>32</v>
      </c>
      <c r="L39" s="17" t="s">
        <v>791</v>
      </c>
      <c r="M39" s="44" t="s">
        <v>894</v>
      </c>
      <c r="N39" s="17"/>
      <c r="O39" s="17"/>
      <c r="P39" s="17"/>
      <c r="Q39" s="17">
        <v>1</v>
      </c>
    </row>
    <row r="41" spans="1:18" x14ac:dyDescent="0.25">
      <c r="G41" s="1">
        <f t="shared" ref="G41:R41" si="2">SUBTOTAL(9,G3:G40)</f>
        <v>27485</v>
      </c>
      <c r="H41" s="1">
        <f t="shared" si="2"/>
        <v>1000</v>
      </c>
      <c r="I41" s="1">
        <f t="shared" si="2"/>
        <v>26485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405</v>
      </c>
    </row>
    <row r="42" spans="1:18" x14ac:dyDescent="0.25">
      <c r="I42" s="26"/>
    </row>
    <row r="45" spans="1:18" ht="20.25" customHeight="1" x14ac:dyDescent="0.3">
      <c r="H45" s="4" t="s">
        <v>783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26485</v>
      </c>
      <c r="J46" s="8">
        <f>Q41</f>
        <v>37</v>
      </c>
    </row>
    <row r="47" spans="1:18" x14ac:dyDescent="0.25">
      <c r="H47" s="9" t="s">
        <v>18</v>
      </c>
      <c r="I47" s="10">
        <f>R41</f>
        <v>405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26890</v>
      </c>
      <c r="J53" s="16">
        <f>SUM(J46:J50)</f>
        <v>37</v>
      </c>
    </row>
    <row r="55" spans="1:12" x14ac:dyDescent="0.25">
      <c r="A55" s="1" t="s">
        <v>779</v>
      </c>
    </row>
    <row r="56" spans="1:12" x14ac:dyDescent="0.25">
      <c r="A56" s="34" t="s">
        <v>27</v>
      </c>
      <c r="B56" s="34" t="s">
        <v>792</v>
      </c>
      <c r="C56" s="34" t="s">
        <v>793</v>
      </c>
      <c r="D56" s="34" t="s">
        <v>794</v>
      </c>
      <c r="E56" s="34" t="s">
        <v>202</v>
      </c>
      <c r="F56" s="35">
        <v>825</v>
      </c>
      <c r="G56" s="35">
        <v>0</v>
      </c>
      <c r="H56" s="35">
        <f t="shared" ref="H56:H57" si="3">F56-G56</f>
        <v>825</v>
      </c>
      <c r="I56" s="34" t="s">
        <v>790</v>
      </c>
      <c r="J56" s="34" t="s">
        <v>32</v>
      </c>
      <c r="K56" s="34" t="s">
        <v>791</v>
      </c>
      <c r="L56" s="44" t="s">
        <v>893</v>
      </c>
    </row>
    <row r="57" spans="1:12" x14ac:dyDescent="0.25">
      <c r="A57" s="27" t="s">
        <v>27</v>
      </c>
      <c r="B57" s="27" t="s">
        <v>889</v>
      </c>
      <c r="C57" s="27" t="s">
        <v>890</v>
      </c>
      <c r="D57" s="27" t="s">
        <v>891</v>
      </c>
      <c r="E57" s="45">
        <v>7</v>
      </c>
      <c r="F57" s="45">
        <v>730</v>
      </c>
      <c r="G57" s="45">
        <v>0</v>
      </c>
      <c r="H57" s="45">
        <f t="shared" si="3"/>
        <v>730</v>
      </c>
      <c r="I57" s="27" t="s">
        <v>140</v>
      </c>
      <c r="J57" s="27" t="s">
        <v>32</v>
      </c>
      <c r="K57" s="27" t="s">
        <v>791</v>
      </c>
      <c r="L57" s="44" t="s">
        <v>894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3F5-E442-463F-BE3C-7AC29ED952EC}">
  <dimension ref="A1:R44"/>
  <sheetViews>
    <sheetView zoomScale="82" zoomScaleNormal="80" workbookViewId="0">
      <selection activeCell="A42" sqref="A42:XFD4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181</v>
      </c>
      <c r="C1" s="1" t="s">
        <v>896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898</v>
      </c>
      <c r="D3" s="17" t="s">
        <v>899</v>
      </c>
      <c r="E3" s="17" t="s">
        <v>900</v>
      </c>
      <c r="F3" s="18">
        <v>6</v>
      </c>
      <c r="G3" s="18">
        <v>0</v>
      </c>
      <c r="H3" s="18">
        <v>25</v>
      </c>
      <c r="I3" s="18">
        <f t="shared" ref="I3:I26" si="0">G3-H3</f>
        <v>-25</v>
      </c>
      <c r="J3" s="17" t="s">
        <v>901</v>
      </c>
      <c r="K3" s="17" t="s">
        <v>32</v>
      </c>
      <c r="L3" s="17" t="s">
        <v>902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903</v>
      </c>
      <c r="D4" s="17" t="s">
        <v>904</v>
      </c>
      <c r="E4" s="17" t="s">
        <v>905</v>
      </c>
      <c r="F4" s="18">
        <v>6</v>
      </c>
      <c r="G4" s="18">
        <v>1105</v>
      </c>
      <c r="H4" s="18">
        <v>25</v>
      </c>
      <c r="I4" s="18">
        <f t="shared" si="0"/>
        <v>1080</v>
      </c>
      <c r="J4" s="17" t="s">
        <v>901</v>
      </c>
      <c r="K4" s="17" t="s">
        <v>32</v>
      </c>
      <c r="L4" s="17" t="s">
        <v>902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906</v>
      </c>
      <c r="D5" s="17" t="s">
        <v>907</v>
      </c>
      <c r="E5" s="17" t="s">
        <v>908</v>
      </c>
      <c r="F5" s="17" t="s">
        <v>30</v>
      </c>
      <c r="G5" s="18">
        <v>1120</v>
      </c>
      <c r="H5" s="18">
        <v>30</v>
      </c>
      <c r="I5" s="18">
        <f t="shared" si="0"/>
        <v>1090</v>
      </c>
      <c r="J5" s="17" t="s">
        <v>901</v>
      </c>
      <c r="K5" s="17" t="s">
        <v>32</v>
      </c>
      <c r="L5" s="17" t="s">
        <v>902</v>
      </c>
      <c r="M5" s="17"/>
      <c r="N5" s="17"/>
      <c r="O5" s="17"/>
      <c r="P5" s="17"/>
      <c r="Q5" s="17">
        <v>1</v>
      </c>
    </row>
    <row r="6" spans="1:18" customFormat="1" x14ac:dyDescent="0.25">
      <c r="A6" s="17" t="s">
        <v>26</v>
      </c>
      <c r="B6" s="17" t="s">
        <v>27</v>
      </c>
      <c r="C6" s="17" t="s">
        <v>511</v>
      </c>
      <c r="D6" s="17"/>
      <c r="E6" s="17" t="s">
        <v>512</v>
      </c>
      <c r="F6" s="17" t="s">
        <v>30</v>
      </c>
      <c r="G6" s="18">
        <v>2355</v>
      </c>
      <c r="H6" s="18">
        <v>35</v>
      </c>
      <c r="I6" s="18">
        <f t="shared" si="0"/>
        <v>2320</v>
      </c>
      <c r="J6" s="17" t="s">
        <v>901</v>
      </c>
      <c r="K6" s="17" t="s">
        <v>32</v>
      </c>
      <c r="L6" s="17" t="s">
        <v>902</v>
      </c>
      <c r="M6" s="17"/>
      <c r="N6" s="17"/>
      <c r="O6" s="17"/>
      <c r="P6" s="17"/>
      <c r="Q6" s="17">
        <v>1</v>
      </c>
    </row>
    <row r="7" spans="1:18" s="30" customFormat="1" x14ac:dyDescent="0.25">
      <c r="A7" s="17" t="s">
        <v>26</v>
      </c>
      <c r="B7" s="17" t="s">
        <v>27</v>
      </c>
      <c r="C7" s="17" t="s">
        <v>508</v>
      </c>
      <c r="D7" s="17"/>
      <c r="E7" s="17" t="s">
        <v>509</v>
      </c>
      <c r="F7" s="18">
        <v>6</v>
      </c>
      <c r="G7" s="18">
        <v>30</v>
      </c>
      <c r="H7" s="18">
        <v>30</v>
      </c>
      <c r="I7" s="18">
        <f t="shared" si="0"/>
        <v>0</v>
      </c>
      <c r="J7" s="17" t="s">
        <v>901</v>
      </c>
      <c r="K7" s="17" t="s">
        <v>32</v>
      </c>
      <c r="L7" s="17" t="s">
        <v>902</v>
      </c>
      <c r="M7" s="17"/>
      <c r="N7" s="17"/>
      <c r="O7" s="17"/>
      <c r="P7" s="17"/>
      <c r="Q7" s="24">
        <v>1</v>
      </c>
    </row>
    <row r="8" spans="1:18" customFormat="1" x14ac:dyDescent="0.25">
      <c r="A8" s="17"/>
      <c r="B8" s="17" t="s">
        <v>27</v>
      </c>
      <c r="C8" s="17" t="s">
        <v>909</v>
      </c>
      <c r="D8" s="17" t="s">
        <v>910</v>
      </c>
      <c r="E8" s="17" t="s">
        <v>911</v>
      </c>
      <c r="F8" s="18">
        <v>2</v>
      </c>
      <c r="G8" s="18">
        <v>920</v>
      </c>
      <c r="H8" s="18">
        <v>30</v>
      </c>
      <c r="I8" s="18">
        <f t="shared" si="0"/>
        <v>890</v>
      </c>
      <c r="J8" s="17" t="s">
        <v>32</v>
      </c>
      <c r="K8" s="17" t="s">
        <v>32</v>
      </c>
      <c r="L8" s="17" t="s">
        <v>902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381</v>
      </c>
      <c r="D9" s="17" t="s">
        <v>912</v>
      </c>
      <c r="E9" s="17" t="s">
        <v>913</v>
      </c>
      <c r="F9" s="17" t="s">
        <v>98</v>
      </c>
      <c r="G9" s="18">
        <v>940</v>
      </c>
      <c r="H9" s="18">
        <v>20</v>
      </c>
      <c r="I9" s="18">
        <f t="shared" si="0"/>
        <v>920</v>
      </c>
      <c r="J9" s="17" t="s">
        <v>32</v>
      </c>
      <c r="K9" s="17" t="s">
        <v>32</v>
      </c>
      <c r="L9" s="17" t="s">
        <v>902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914</v>
      </c>
      <c r="D10" s="17" t="s">
        <v>915</v>
      </c>
      <c r="E10" s="17" t="s">
        <v>916</v>
      </c>
      <c r="F10" s="18">
        <v>12</v>
      </c>
      <c r="G10" s="18">
        <v>790</v>
      </c>
      <c r="H10" s="18">
        <v>30</v>
      </c>
      <c r="I10" s="18">
        <f t="shared" si="0"/>
        <v>760</v>
      </c>
      <c r="J10" s="17" t="s">
        <v>32</v>
      </c>
      <c r="K10" s="17" t="s">
        <v>32</v>
      </c>
      <c r="L10" s="17" t="s">
        <v>902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26</v>
      </c>
      <c r="B11" s="17" t="s">
        <v>27</v>
      </c>
      <c r="C11" s="17" t="s">
        <v>737</v>
      </c>
      <c r="D11" s="17"/>
      <c r="E11" s="17" t="s">
        <v>917</v>
      </c>
      <c r="F11" s="17" t="s">
        <v>130</v>
      </c>
      <c r="G11" s="18">
        <v>30</v>
      </c>
      <c r="H11" s="18">
        <v>30</v>
      </c>
      <c r="I11" s="18">
        <f t="shared" si="0"/>
        <v>0</v>
      </c>
      <c r="J11" s="17" t="s">
        <v>32</v>
      </c>
      <c r="K11" s="17" t="s">
        <v>32</v>
      </c>
      <c r="L11" s="17" t="s">
        <v>902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26</v>
      </c>
      <c r="B12" s="17" t="s">
        <v>27</v>
      </c>
      <c r="C12" s="17" t="s">
        <v>918</v>
      </c>
      <c r="D12" s="17"/>
      <c r="E12" s="17" t="s">
        <v>919</v>
      </c>
      <c r="F12" s="17" t="s">
        <v>130</v>
      </c>
      <c r="G12" s="18">
        <v>0</v>
      </c>
      <c r="H12" s="18">
        <v>40</v>
      </c>
      <c r="I12" s="18">
        <f t="shared" si="0"/>
        <v>-40</v>
      </c>
      <c r="J12" s="17" t="s">
        <v>32</v>
      </c>
      <c r="K12" s="17" t="s">
        <v>32</v>
      </c>
      <c r="L12" s="17" t="s">
        <v>902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26</v>
      </c>
      <c r="B13" s="17" t="s">
        <v>27</v>
      </c>
      <c r="C13" s="17" t="s">
        <v>78</v>
      </c>
      <c r="D13" s="17"/>
      <c r="E13" s="17" t="s">
        <v>79</v>
      </c>
      <c r="F13" s="17" t="s">
        <v>80</v>
      </c>
      <c r="G13" s="18">
        <v>4710</v>
      </c>
      <c r="H13" s="18">
        <v>50</v>
      </c>
      <c r="I13" s="18">
        <f t="shared" si="0"/>
        <v>4660</v>
      </c>
      <c r="J13" s="17" t="s">
        <v>32</v>
      </c>
      <c r="K13" s="17" t="s">
        <v>32</v>
      </c>
      <c r="L13" s="17" t="s">
        <v>902</v>
      </c>
      <c r="M13" s="17"/>
      <c r="N13" s="17"/>
      <c r="O13" s="17"/>
      <c r="P13" s="17"/>
      <c r="Q13" s="17">
        <v>1</v>
      </c>
    </row>
    <row r="14" spans="1:18" s="23" customFormat="1" x14ac:dyDescent="0.25">
      <c r="A14" s="21"/>
      <c r="B14" s="21" t="s">
        <v>27</v>
      </c>
      <c r="C14" s="21" t="s">
        <v>920</v>
      </c>
      <c r="D14" s="21"/>
      <c r="E14" s="21" t="s">
        <v>921</v>
      </c>
      <c r="F14" s="22">
        <v>7</v>
      </c>
      <c r="G14" s="22">
        <v>30</v>
      </c>
      <c r="H14" s="22">
        <v>30</v>
      </c>
      <c r="I14" s="22">
        <f t="shared" si="0"/>
        <v>0</v>
      </c>
      <c r="J14" s="21" t="s">
        <v>140</v>
      </c>
      <c r="K14" s="21" t="s">
        <v>32</v>
      </c>
      <c r="L14" s="21" t="s">
        <v>902</v>
      </c>
      <c r="M14" s="21" t="s">
        <v>153</v>
      </c>
      <c r="N14" s="21"/>
      <c r="O14" s="21"/>
      <c r="P14" s="21"/>
      <c r="Q14" s="21">
        <v>1</v>
      </c>
      <c r="R14" s="31">
        <f>H14</f>
        <v>30</v>
      </c>
    </row>
    <row r="15" spans="1:18" s="47" customFormat="1" x14ac:dyDescent="0.25">
      <c r="A15" s="17"/>
      <c r="B15" s="17" t="s">
        <v>27</v>
      </c>
      <c r="C15" s="17" t="s">
        <v>922</v>
      </c>
      <c r="D15" s="17" t="s">
        <v>923</v>
      </c>
      <c r="E15" s="17" t="s">
        <v>924</v>
      </c>
      <c r="F15" s="18">
        <v>3</v>
      </c>
      <c r="G15" s="18">
        <v>945</v>
      </c>
      <c r="H15" s="18">
        <v>25</v>
      </c>
      <c r="I15" s="18">
        <f t="shared" si="0"/>
        <v>920</v>
      </c>
      <c r="J15" s="17" t="s">
        <v>140</v>
      </c>
      <c r="K15" s="17" t="s">
        <v>32</v>
      </c>
      <c r="L15" s="17" t="s">
        <v>902</v>
      </c>
      <c r="M15" s="17"/>
      <c r="N15" s="17"/>
      <c r="O15" s="17"/>
      <c r="P15" s="17"/>
      <c r="Q15" s="46">
        <v>1</v>
      </c>
    </row>
    <row r="16" spans="1:18" customFormat="1" x14ac:dyDescent="0.25">
      <c r="A16" s="17"/>
      <c r="B16" s="17" t="s">
        <v>27</v>
      </c>
      <c r="C16" s="17" t="s">
        <v>925</v>
      </c>
      <c r="D16" s="17" t="s">
        <v>926</v>
      </c>
      <c r="E16" s="17" t="s">
        <v>927</v>
      </c>
      <c r="F16" s="18">
        <v>4</v>
      </c>
      <c r="G16" s="18">
        <v>0</v>
      </c>
      <c r="H16" s="18">
        <v>25</v>
      </c>
      <c r="I16" s="18">
        <f t="shared" si="0"/>
        <v>-25</v>
      </c>
      <c r="J16" s="17" t="s">
        <v>140</v>
      </c>
      <c r="K16" s="17" t="s">
        <v>32</v>
      </c>
      <c r="L16" s="17" t="s">
        <v>902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928</v>
      </c>
      <c r="D17" s="17" t="s">
        <v>929</v>
      </c>
      <c r="E17" s="17" t="s">
        <v>930</v>
      </c>
      <c r="F17" s="18">
        <v>3</v>
      </c>
      <c r="G17" s="18">
        <v>0</v>
      </c>
      <c r="H17" s="18">
        <v>25</v>
      </c>
      <c r="I17" s="18">
        <f t="shared" si="0"/>
        <v>-25</v>
      </c>
      <c r="J17" s="17" t="s">
        <v>140</v>
      </c>
      <c r="K17" s="17" t="s">
        <v>32</v>
      </c>
      <c r="L17" s="17" t="s">
        <v>902</v>
      </c>
      <c r="M17" s="17"/>
      <c r="N17" s="17"/>
      <c r="O17" s="17"/>
      <c r="P17" s="17"/>
      <c r="Q17" s="17">
        <v>1</v>
      </c>
      <c r="R17" s="19">
        <f t="shared" ref="R17:R18" si="1">H17</f>
        <v>25</v>
      </c>
    </row>
    <row r="18" spans="1:18" customFormat="1" x14ac:dyDescent="0.25">
      <c r="A18" s="17"/>
      <c r="B18" s="17" t="s">
        <v>27</v>
      </c>
      <c r="C18" s="17" t="s">
        <v>931</v>
      </c>
      <c r="D18" s="17" t="s">
        <v>932</v>
      </c>
      <c r="E18" s="17" t="s">
        <v>933</v>
      </c>
      <c r="F18" s="18">
        <v>4</v>
      </c>
      <c r="G18" s="18">
        <v>485</v>
      </c>
      <c r="H18" s="18">
        <v>25</v>
      </c>
      <c r="I18" s="18">
        <f t="shared" si="0"/>
        <v>460</v>
      </c>
      <c r="J18" s="17" t="s">
        <v>140</v>
      </c>
      <c r="K18" s="17" t="s">
        <v>32</v>
      </c>
      <c r="L18" s="17" t="s">
        <v>902</v>
      </c>
      <c r="M18" s="17"/>
      <c r="N18" s="17"/>
      <c r="O18" s="17"/>
      <c r="P18" s="17"/>
      <c r="Q18" s="17">
        <v>1</v>
      </c>
      <c r="R18" s="19">
        <f t="shared" si="1"/>
        <v>25</v>
      </c>
    </row>
    <row r="19" spans="1:18" customFormat="1" x14ac:dyDescent="0.25">
      <c r="A19" s="17"/>
      <c r="B19" s="17" t="s">
        <v>27</v>
      </c>
      <c r="C19" s="17" t="s">
        <v>934</v>
      </c>
      <c r="D19" s="17" t="s">
        <v>935</v>
      </c>
      <c r="E19" s="17" t="s">
        <v>936</v>
      </c>
      <c r="F19" s="18">
        <v>7</v>
      </c>
      <c r="G19" s="18">
        <v>800</v>
      </c>
      <c r="H19" s="18">
        <v>30</v>
      </c>
      <c r="I19" s="18">
        <f t="shared" si="0"/>
        <v>770</v>
      </c>
      <c r="J19" s="17" t="s">
        <v>140</v>
      </c>
      <c r="K19" s="17" t="s">
        <v>32</v>
      </c>
      <c r="L19" s="17" t="s">
        <v>902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446</v>
      </c>
      <c r="D20" s="17" t="s">
        <v>937</v>
      </c>
      <c r="E20" s="17" t="s">
        <v>448</v>
      </c>
      <c r="F20" s="18">
        <v>7</v>
      </c>
      <c r="G20" s="18">
        <v>490</v>
      </c>
      <c r="H20" s="18">
        <v>30</v>
      </c>
      <c r="I20" s="18">
        <f t="shared" si="0"/>
        <v>460</v>
      </c>
      <c r="J20" s="17" t="s">
        <v>140</v>
      </c>
      <c r="K20" s="17" t="s">
        <v>32</v>
      </c>
      <c r="L20" s="17" t="s">
        <v>902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938</v>
      </c>
      <c r="D21" s="17" t="s">
        <v>939</v>
      </c>
      <c r="E21" s="17" t="s">
        <v>940</v>
      </c>
      <c r="F21" s="17" t="s">
        <v>166</v>
      </c>
      <c r="G21" s="18">
        <v>810</v>
      </c>
      <c r="H21" s="18">
        <v>20</v>
      </c>
      <c r="I21" s="18">
        <f t="shared" si="0"/>
        <v>790</v>
      </c>
      <c r="J21" s="17" t="s">
        <v>140</v>
      </c>
      <c r="K21" s="17" t="s">
        <v>32</v>
      </c>
      <c r="L21" s="17" t="s">
        <v>902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941</v>
      </c>
      <c r="D22" s="17" t="s">
        <v>942</v>
      </c>
      <c r="E22" s="17" t="s">
        <v>943</v>
      </c>
      <c r="F22" s="18">
        <v>3</v>
      </c>
      <c r="G22" s="18">
        <v>0</v>
      </c>
      <c r="H22" s="18">
        <v>25</v>
      </c>
      <c r="I22" s="18">
        <f t="shared" si="0"/>
        <v>-25</v>
      </c>
      <c r="J22" s="17" t="s">
        <v>140</v>
      </c>
      <c r="K22" s="17" t="s">
        <v>32</v>
      </c>
      <c r="L22" s="17" t="s">
        <v>902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944</v>
      </c>
      <c r="D23" s="17" t="s">
        <v>945</v>
      </c>
      <c r="E23" s="17" t="s">
        <v>946</v>
      </c>
      <c r="F23" s="18">
        <v>3</v>
      </c>
      <c r="G23" s="18">
        <v>815</v>
      </c>
      <c r="H23" s="18">
        <v>25</v>
      </c>
      <c r="I23" s="18">
        <f t="shared" si="0"/>
        <v>790</v>
      </c>
      <c r="J23" s="17" t="s">
        <v>140</v>
      </c>
      <c r="K23" s="17" t="s">
        <v>32</v>
      </c>
      <c r="L23" s="17" t="s">
        <v>902</v>
      </c>
      <c r="M23" s="17"/>
      <c r="N23" s="17"/>
      <c r="O23" s="17"/>
      <c r="P23" s="17"/>
      <c r="Q23" s="17">
        <v>1</v>
      </c>
      <c r="R23" s="19">
        <f>H23</f>
        <v>25</v>
      </c>
    </row>
    <row r="24" spans="1:18" customFormat="1" x14ac:dyDescent="0.25">
      <c r="A24" s="17"/>
      <c r="B24" s="17" t="s">
        <v>27</v>
      </c>
      <c r="C24" s="17" t="s">
        <v>947</v>
      </c>
      <c r="D24" s="17" t="s">
        <v>948</v>
      </c>
      <c r="E24" s="17" t="s">
        <v>949</v>
      </c>
      <c r="F24" s="18">
        <v>7</v>
      </c>
      <c r="G24" s="18">
        <v>0</v>
      </c>
      <c r="H24" s="18">
        <v>30</v>
      </c>
      <c r="I24" s="18">
        <f t="shared" si="0"/>
        <v>-30</v>
      </c>
      <c r="J24" s="17" t="s">
        <v>140</v>
      </c>
      <c r="K24" s="17" t="s">
        <v>32</v>
      </c>
      <c r="L24" s="17" t="s">
        <v>902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950</v>
      </c>
      <c r="D25" s="17" t="s">
        <v>951</v>
      </c>
      <c r="E25" s="17" t="s">
        <v>952</v>
      </c>
      <c r="F25" s="18">
        <v>7</v>
      </c>
      <c r="G25" s="18">
        <v>650</v>
      </c>
      <c r="H25" s="18">
        <v>30</v>
      </c>
      <c r="I25" s="18">
        <f t="shared" si="0"/>
        <v>620</v>
      </c>
      <c r="J25" s="17" t="s">
        <v>140</v>
      </c>
      <c r="K25" s="17" t="s">
        <v>32</v>
      </c>
      <c r="L25" s="17" t="s">
        <v>902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24" t="s">
        <v>26</v>
      </c>
      <c r="B26" s="24" t="s">
        <v>27</v>
      </c>
      <c r="C26" s="24" t="s">
        <v>953</v>
      </c>
      <c r="D26" s="24"/>
      <c r="E26" s="24" t="s">
        <v>954</v>
      </c>
      <c r="F26" s="25">
        <v>6</v>
      </c>
      <c r="G26" s="25">
        <v>6980</v>
      </c>
      <c r="H26" s="25">
        <v>0</v>
      </c>
      <c r="I26" s="25">
        <f t="shared" si="0"/>
        <v>6980</v>
      </c>
      <c r="J26" s="24" t="s">
        <v>188</v>
      </c>
      <c r="K26" s="24" t="s">
        <v>32</v>
      </c>
      <c r="L26" s="24" t="s">
        <v>902</v>
      </c>
      <c r="M26" s="24" t="s">
        <v>778</v>
      </c>
      <c r="N26" s="24" t="s">
        <v>660</v>
      </c>
      <c r="O26" s="24"/>
      <c r="P26" s="24" t="s">
        <v>661</v>
      </c>
      <c r="Q26" s="17">
        <v>1</v>
      </c>
    </row>
    <row r="28" spans="1:18" x14ac:dyDescent="0.25">
      <c r="G28" s="1">
        <f t="shared" ref="G28:R28" si="2">SUBTOTAL(9,G3:G27)</f>
        <v>24005</v>
      </c>
      <c r="H28" s="1">
        <f t="shared" si="2"/>
        <v>665</v>
      </c>
      <c r="I28" s="1">
        <f t="shared" si="2"/>
        <v>23340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  <c r="R28" s="1">
        <f t="shared" si="2"/>
        <v>160</v>
      </c>
    </row>
    <row r="29" spans="1:18" x14ac:dyDescent="0.25">
      <c r="I29" s="26">
        <f>-H44</f>
        <v>-6980</v>
      </c>
      <c r="J29" s="1" t="s">
        <v>955</v>
      </c>
    </row>
    <row r="32" spans="1:18" ht="20.25" customHeight="1" x14ac:dyDescent="0.3">
      <c r="H32" s="4" t="s">
        <v>897</v>
      </c>
      <c r="I32" s="5" t="s">
        <v>15</v>
      </c>
      <c r="J32" s="6" t="s">
        <v>16</v>
      </c>
    </row>
    <row r="33" spans="1:12" ht="15.75" customHeight="1" x14ac:dyDescent="0.25">
      <c r="H33" s="7" t="s">
        <v>17</v>
      </c>
      <c r="I33" s="8">
        <f>SUM(I27:I31)</f>
        <v>16360</v>
      </c>
      <c r="J33" s="8">
        <f>Q28</f>
        <v>24</v>
      </c>
    </row>
    <row r="34" spans="1:12" x14ac:dyDescent="0.25">
      <c r="H34" s="9" t="s">
        <v>18</v>
      </c>
      <c r="I34" s="10">
        <f>R28</f>
        <v>160</v>
      </c>
      <c r="J34" s="11"/>
    </row>
    <row r="35" spans="1:12" x14ac:dyDescent="0.25">
      <c r="H35" s="9" t="s">
        <v>19</v>
      </c>
      <c r="I35" s="10">
        <f>S27</f>
        <v>0</v>
      </c>
      <c r="J35" s="11"/>
    </row>
    <row r="36" spans="1:12" x14ac:dyDescent="0.25">
      <c r="H36" s="9" t="s">
        <v>20</v>
      </c>
      <c r="I36" s="10">
        <f>T27</f>
        <v>0</v>
      </c>
      <c r="J36" s="11"/>
    </row>
    <row r="37" spans="1:12" x14ac:dyDescent="0.25">
      <c r="H37" s="9" t="s">
        <v>21</v>
      </c>
      <c r="I37" s="10">
        <f>U27</f>
        <v>0</v>
      </c>
      <c r="J37" s="11"/>
    </row>
    <row r="38" spans="1:12" ht="15.75" customHeight="1" x14ac:dyDescent="0.25">
      <c r="H38" s="12" t="s">
        <v>22</v>
      </c>
      <c r="I38" s="13"/>
      <c r="J38" s="13"/>
    </row>
    <row r="39" spans="1:12" ht="15.75" customHeight="1" x14ac:dyDescent="0.25">
      <c r="H39" s="14" t="s">
        <v>23</v>
      </c>
      <c r="I39" s="13"/>
      <c r="J39" s="13"/>
    </row>
    <row r="40" spans="1:12" ht="21" customHeight="1" x14ac:dyDescent="0.35">
      <c r="H40" s="15" t="s">
        <v>24</v>
      </c>
      <c r="I40" s="16">
        <f>SUM(I33:I39)</f>
        <v>16520</v>
      </c>
      <c r="J40" s="16">
        <f>SUM(J33:J37)</f>
        <v>24</v>
      </c>
    </row>
    <row r="42" spans="1:12" x14ac:dyDescent="0.25">
      <c r="A42" s="1" t="s">
        <v>184</v>
      </c>
    </row>
    <row r="43" spans="1:12" x14ac:dyDescent="0.25">
      <c r="A43" s="24" t="s">
        <v>27</v>
      </c>
      <c r="B43" s="24" t="s">
        <v>953</v>
      </c>
      <c r="C43" s="24"/>
      <c r="D43" s="24" t="s">
        <v>954</v>
      </c>
      <c r="E43" s="25">
        <v>6</v>
      </c>
      <c r="F43" s="25">
        <v>6980</v>
      </c>
      <c r="G43" s="25">
        <v>0</v>
      </c>
      <c r="H43" s="25">
        <f t="shared" ref="H43" si="3">F43-G43</f>
        <v>6980</v>
      </c>
      <c r="I43" s="24" t="s">
        <v>188</v>
      </c>
      <c r="J43" s="24" t="s">
        <v>32</v>
      </c>
      <c r="K43" s="24" t="s">
        <v>902</v>
      </c>
      <c r="L43" s="24" t="s">
        <v>778</v>
      </c>
    </row>
    <row r="44" spans="1:12" x14ac:dyDescent="0.25">
      <c r="H44" s="26">
        <f>SUM(H43)</f>
        <v>6980</v>
      </c>
    </row>
  </sheetData>
  <autoFilter ref="A2:P26" xr:uid="{00000000-0009-0000-0000-000006000000}">
    <sortState xmlns:xlrd2="http://schemas.microsoft.com/office/spreadsheetml/2017/richdata2" ref="A3:P26">
      <sortCondition ref="J2:J26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1EC5B-AF65-4F1D-A327-AF114AF028B7}">
  <dimension ref="A1:R56"/>
  <sheetViews>
    <sheetView zoomScale="82" zoomScaleNormal="80" workbookViewId="0">
      <selection activeCell="A27" sqref="A27:XFD2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196</v>
      </c>
      <c r="C1" s="1" t="s">
        <v>957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508</v>
      </c>
      <c r="D3" s="17"/>
      <c r="E3" s="17" t="s">
        <v>509</v>
      </c>
      <c r="F3" s="18">
        <v>6</v>
      </c>
      <c r="G3" s="18">
        <v>35</v>
      </c>
      <c r="H3" s="18">
        <v>35</v>
      </c>
      <c r="I3" s="18">
        <f t="shared" ref="I3:I39" si="0">G3-H3</f>
        <v>0</v>
      </c>
      <c r="J3" s="17" t="s">
        <v>958</v>
      </c>
      <c r="K3" s="17" t="s">
        <v>32</v>
      </c>
      <c r="L3" s="17" t="s">
        <v>959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960</v>
      </c>
      <c r="D4" s="17"/>
      <c r="E4" s="17" t="s">
        <v>469</v>
      </c>
      <c r="F4" s="17" t="s">
        <v>30</v>
      </c>
      <c r="G4" s="18">
        <v>0</v>
      </c>
      <c r="H4" s="18">
        <v>35</v>
      </c>
      <c r="I4" s="18">
        <f t="shared" si="0"/>
        <v>-35</v>
      </c>
      <c r="J4" s="17" t="s">
        <v>958</v>
      </c>
      <c r="K4" s="17" t="s">
        <v>32</v>
      </c>
      <c r="L4" s="17" t="s">
        <v>959</v>
      </c>
      <c r="M4" s="20" t="s">
        <v>1049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 t="s">
        <v>26</v>
      </c>
      <c r="B5" s="17" t="s">
        <v>27</v>
      </c>
      <c r="C5" s="17" t="s">
        <v>34</v>
      </c>
      <c r="D5" s="17"/>
      <c r="E5" s="17" t="s">
        <v>35</v>
      </c>
      <c r="F5" s="18">
        <v>6</v>
      </c>
      <c r="G5" s="18">
        <v>0</v>
      </c>
      <c r="H5" s="18">
        <v>30</v>
      </c>
      <c r="I5" s="18">
        <f t="shared" si="0"/>
        <v>-30</v>
      </c>
      <c r="J5" s="17" t="s">
        <v>958</v>
      </c>
      <c r="K5" s="17" t="s">
        <v>32</v>
      </c>
      <c r="L5" s="17" t="s">
        <v>959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961</v>
      </c>
      <c r="D6" s="17" t="s">
        <v>962</v>
      </c>
      <c r="E6" s="17" t="s">
        <v>963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958</v>
      </c>
      <c r="K6" s="17" t="s">
        <v>32</v>
      </c>
      <c r="L6" s="17" t="s">
        <v>959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964</v>
      </c>
      <c r="D7" s="17" t="s">
        <v>965</v>
      </c>
      <c r="E7" s="17" t="s">
        <v>966</v>
      </c>
      <c r="F7" s="17" t="s">
        <v>30</v>
      </c>
      <c r="G7" s="18">
        <v>820</v>
      </c>
      <c r="H7" s="18">
        <v>30</v>
      </c>
      <c r="I7" s="18">
        <f t="shared" si="0"/>
        <v>790</v>
      </c>
      <c r="J7" s="17" t="s">
        <v>958</v>
      </c>
      <c r="K7" s="17" t="s">
        <v>32</v>
      </c>
      <c r="L7" s="17" t="s">
        <v>959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967</v>
      </c>
      <c r="D8" s="17" t="s">
        <v>968</v>
      </c>
      <c r="E8" s="17" t="s">
        <v>969</v>
      </c>
      <c r="F8" s="17" t="s">
        <v>30</v>
      </c>
      <c r="G8" s="18">
        <v>820</v>
      </c>
      <c r="H8" s="18">
        <v>30</v>
      </c>
      <c r="I8" s="18">
        <f t="shared" si="0"/>
        <v>790</v>
      </c>
      <c r="J8" s="17" t="s">
        <v>958</v>
      </c>
      <c r="K8" s="17" t="s">
        <v>32</v>
      </c>
      <c r="L8" s="17" t="s">
        <v>959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621</v>
      </c>
      <c r="D9" s="17" t="s">
        <v>970</v>
      </c>
      <c r="E9" s="17" t="s">
        <v>971</v>
      </c>
      <c r="F9" s="18">
        <v>11</v>
      </c>
      <c r="G9" s="18">
        <v>0</v>
      </c>
      <c r="H9" s="18">
        <v>25</v>
      </c>
      <c r="I9" s="18">
        <f t="shared" si="0"/>
        <v>-25</v>
      </c>
      <c r="J9" s="17" t="s">
        <v>958</v>
      </c>
      <c r="K9" s="17" t="s">
        <v>32</v>
      </c>
      <c r="L9" s="17" t="s">
        <v>959</v>
      </c>
      <c r="M9" s="17"/>
      <c r="N9" s="17"/>
      <c r="O9" s="17"/>
      <c r="P9" s="17"/>
      <c r="Q9" s="17">
        <v>1</v>
      </c>
      <c r="R9" s="19">
        <f>H9</f>
        <v>25</v>
      </c>
    </row>
    <row r="10" spans="1:18" customFormat="1" x14ac:dyDescent="0.25">
      <c r="A10" s="17"/>
      <c r="B10" s="17" t="s">
        <v>27</v>
      </c>
      <c r="C10" s="17" t="s">
        <v>972</v>
      </c>
      <c r="D10" s="17" t="s">
        <v>973</v>
      </c>
      <c r="E10" s="17" t="s">
        <v>974</v>
      </c>
      <c r="F10" s="18">
        <v>9</v>
      </c>
      <c r="G10" s="18">
        <v>810</v>
      </c>
      <c r="H10" s="18">
        <v>30</v>
      </c>
      <c r="I10" s="18">
        <f t="shared" si="0"/>
        <v>780</v>
      </c>
      <c r="J10" s="17" t="s">
        <v>958</v>
      </c>
      <c r="K10" s="17" t="s">
        <v>32</v>
      </c>
      <c r="L10" s="17" t="s">
        <v>959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975</v>
      </c>
      <c r="D11" s="17" t="s">
        <v>976</v>
      </c>
      <c r="E11" s="17" t="s">
        <v>977</v>
      </c>
      <c r="F11" s="17" t="s">
        <v>170</v>
      </c>
      <c r="G11" s="18">
        <v>795</v>
      </c>
      <c r="H11" s="18">
        <v>25</v>
      </c>
      <c r="I11" s="18">
        <f t="shared" si="0"/>
        <v>770</v>
      </c>
      <c r="J11" s="17" t="s">
        <v>958</v>
      </c>
      <c r="K11" s="17" t="s">
        <v>32</v>
      </c>
      <c r="L11" s="17" t="s">
        <v>959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978</v>
      </c>
      <c r="D12" s="17" t="s">
        <v>979</v>
      </c>
      <c r="E12" s="17" t="s">
        <v>980</v>
      </c>
      <c r="F12" s="17" t="s">
        <v>80</v>
      </c>
      <c r="G12" s="18">
        <v>555</v>
      </c>
      <c r="H12" s="18">
        <v>35</v>
      </c>
      <c r="I12" s="18">
        <f t="shared" si="0"/>
        <v>520</v>
      </c>
      <c r="J12" s="17" t="s">
        <v>958</v>
      </c>
      <c r="K12" s="17" t="s">
        <v>32</v>
      </c>
      <c r="L12" s="17" t="s">
        <v>959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676</v>
      </c>
      <c r="D13" s="17" t="s">
        <v>981</v>
      </c>
      <c r="E13" s="17" t="s">
        <v>678</v>
      </c>
      <c r="F13" s="17" t="s">
        <v>170</v>
      </c>
      <c r="G13" s="18">
        <v>965</v>
      </c>
      <c r="H13" s="18">
        <v>25</v>
      </c>
      <c r="I13" s="18">
        <f t="shared" si="0"/>
        <v>940</v>
      </c>
      <c r="J13" s="17" t="s">
        <v>958</v>
      </c>
      <c r="K13" s="17" t="s">
        <v>32</v>
      </c>
      <c r="L13" s="17" t="s">
        <v>959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982</v>
      </c>
      <c r="D14" s="17" t="s">
        <v>983</v>
      </c>
      <c r="E14" s="17" t="s">
        <v>984</v>
      </c>
      <c r="F14" s="18">
        <v>8</v>
      </c>
      <c r="G14" s="18">
        <v>520</v>
      </c>
      <c r="H14" s="18">
        <v>30</v>
      </c>
      <c r="I14" s="18">
        <f t="shared" si="0"/>
        <v>490</v>
      </c>
      <c r="J14" s="17" t="s">
        <v>958</v>
      </c>
      <c r="K14" s="17" t="s">
        <v>32</v>
      </c>
      <c r="L14" s="17" t="s">
        <v>959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985</v>
      </c>
      <c r="D15" s="17" t="s">
        <v>986</v>
      </c>
      <c r="E15" s="17" t="s">
        <v>987</v>
      </c>
      <c r="F15" s="18">
        <v>6</v>
      </c>
      <c r="G15" s="18">
        <v>805</v>
      </c>
      <c r="H15" s="18">
        <v>25</v>
      </c>
      <c r="I15" s="18">
        <f t="shared" si="0"/>
        <v>780</v>
      </c>
      <c r="J15" s="17" t="s">
        <v>958</v>
      </c>
      <c r="K15" s="17" t="s">
        <v>32</v>
      </c>
      <c r="L15" s="17" t="s">
        <v>959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988</v>
      </c>
      <c r="D16" s="17" t="s">
        <v>989</v>
      </c>
      <c r="E16" s="17" t="s">
        <v>990</v>
      </c>
      <c r="F16" s="17" t="s">
        <v>170</v>
      </c>
      <c r="G16" s="18">
        <v>445</v>
      </c>
      <c r="H16" s="18">
        <v>25</v>
      </c>
      <c r="I16" s="18">
        <f t="shared" si="0"/>
        <v>420</v>
      </c>
      <c r="J16" s="17" t="s">
        <v>958</v>
      </c>
      <c r="K16" s="17" t="s">
        <v>32</v>
      </c>
      <c r="L16" s="17" t="s">
        <v>959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293</v>
      </c>
      <c r="D17" s="17"/>
      <c r="E17" s="17" t="s">
        <v>991</v>
      </c>
      <c r="F17" s="17" t="s">
        <v>77</v>
      </c>
      <c r="G17" s="18">
        <v>0</v>
      </c>
      <c r="H17" s="18">
        <v>40</v>
      </c>
      <c r="I17" s="18">
        <f t="shared" si="0"/>
        <v>-40</v>
      </c>
      <c r="J17" s="17" t="s">
        <v>32</v>
      </c>
      <c r="K17" s="17" t="s">
        <v>32</v>
      </c>
      <c r="L17" s="17" t="s">
        <v>959</v>
      </c>
      <c r="M17" s="17"/>
      <c r="N17" s="17"/>
      <c r="O17" s="17"/>
      <c r="P17" s="17"/>
      <c r="Q17" s="17">
        <v>1</v>
      </c>
      <c r="R17" s="19">
        <f t="shared" ref="R17:R18" si="1">H17</f>
        <v>40</v>
      </c>
    </row>
    <row r="18" spans="1:18" customFormat="1" x14ac:dyDescent="0.25">
      <c r="A18" s="17" t="s">
        <v>26</v>
      </c>
      <c r="B18" s="17" t="s">
        <v>27</v>
      </c>
      <c r="C18" s="17" t="s">
        <v>992</v>
      </c>
      <c r="D18" s="17"/>
      <c r="E18" s="17" t="s">
        <v>410</v>
      </c>
      <c r="F18" s="18">
        <v>12</v>
      </c>
      <c r="G18" s="18">
        <v>0</v>
      </c>
      <c r="H18" s="18">
        <v>45</v>
      </c>
      <c r="I18" s="18">
        <f t="shared" si="0"/>
        <v>-45</v>
      </c>
      <c r="J18" s="17" t="s">
        <v>32</v>
      </c>
      <c r="K18" s="17" t="s">
        <v>32</v>
      </c>
      <c r="L18" s="17" t="s">
        <v>959</v>
      </c>
      <c r="M18" s="17"/>
      <c r="N18" s="17"/>
      <c r="O18" s="17"/>
      <c r="P18" s="17"/>
      <c r="Q18" s="17">
        <v>1</v>
      </c>
      <c r="R18" s="19">
        <f t="shared" si="1"/>
        <v>45</v>
      </c>
    </row>
    <row r="19" spans="1:18" customFormat="1" x14ac:dyDescent="0.25">
      <c r="A19" s="17"/>
      <c r="B19" s="17" t="s">
        <v>27</v>
      </c>
      <c r="C19" s="17" t="s">
        <v>993</v>
      </c>
      <c r="D19" s="17" t="s">
        <v>994</v>
      </c>
      <c r="E19" s="17" t="s">
        <v>995</v>
      </c>
      <c r="F19" s="17" t="s">
        <v>77</v>
      </c>
      <c r="G19" s="18">
        <v>25</v>
      </c>
      <c r="H19" s="18">
        <v>25</v>
      </c>
      <c r="I19" s="18">
        <f t="shared" si="0"/>
        <v>0</v>
      </c>
      <c r="J19" s="17" t="s">
        <v>32</v>
      </c>
      <c r="K19" s="17" t="s">
        <v>32</v>
      </c>
      <c r="L19" s="17" t="s">
        <v>959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996</v>
      </c>
      <c r="D20" s="17" t="s">
        <v>997</v>
      </c>
      <c r="E20" s="17" t="s">
        <v>998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959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999</v>
      </c>
      <c r="D21" s="17" t="s">
        <v>1000</v>
      </c>
      <c r="E21" s="17" t="s">
        <v>1001</v>
      </c>
      <c r="F21" s="18">
        <v>2</v>
      </c>
      <c r="G21" s="18">
        <v>790</v>
      </c>
      <c r="H21" s="18">
        <v>30</v>
      </c>
      <c r="I21" s="18">
        <f t="shared" si="0"/>
        <v>760</v>
      </c>
      <c r="J21" s="17" t="s">
        <v>32</v>
      </c>
      <c r="K21" s="17" t="s">
        <v>32</v>
      </c>
      <c r="L21" s="17" t="s">
        <v>959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1002</v>
      </c>
      <c r="D22" s="17" t="s">
        <v>1003</v>
      </c>
      <c r="E22" s="17" t="s">
        <v>1004</v>
      </c>
      <c r="F22" s="17" t="s">
        <v>77</v>
      </c>
      <c r="G22" s="18">
        <v>805</v>
      </c>
      <c r="H22" s="18">
        <v>25</v>
      </c>
      <c r="I22" s="18">
        <f t="shared" si="0"/>
        <v>780</v>
      </c>
      <c r="J22" s="17" t="s">
        <v>32</v>
      </c>
      <c r="K22" s="17" t="s">
        <v>32</v>
      </c>
      <c r="L22" s="17" t="s">
        <v>959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1005</v>
      </c>
      <c r="D23" s="17" t="s">
        <v>1006</v>
      </c>
      <c r="E23" s="17" t="s">
        <v>1007</v>
      </c>
      <c r="F23" s="17" t="s">
        <v>77</v>
      </c>
      <c r="G23" s="18">
        <v>795</v>
      </c>
      <c r="H23" s="18">
        <v>25</v>
      </c>
      <c r="I23" s="18">
        <f t="shared" si="0"/>
        <v>770</v>
      </c>
      <c r="J23" s="17" t="s">
        <v>32</v>
      </c>
      <c r="K23" s="17" t="s">
        <v>32</v>
      </c>
      <c r="L23" s="17" t="s">
        <v>959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1008</v>
      </c>
      <c r="D24" s="17" t="s">
        <v>1009</v>
      </c>
      <c r="E24" s="17" t="s">
        <v>1010</v>
      </c>
      <c r="F24" s="17" t="s">
        <v>130</v>
      </c>
      <c r="G24" s="18">
        <v>1285</v>
      </c>
      <c r="H24" s="18">
        <v>25</v>
      </c>
      <c r="I24" s="18">
        <f t="shared" si="0"/>
        <v>1260</v>
      </c>
      <c r="J24" s="17" t="s">
        <v>32</v>
      </c>
      <c r="K24" s="17" t="s">
        <v>32</v>
      </c>
      <c r="L24" s="17" t="s">
        <v>959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131</v>
      </c>
      <c r="D25" s="17" t="s">
        <v>1011</v>
      </c>
      <c r="E25" s="17" t="s">
        <v>133</v>
      </c>
      <c r="F25" s="17" t="s">
        <v>77</v>
      </c>
      <c r="G25" s="18">
        <v>965</v>
      </c>
      <c r="H25" s="18">
        <v>25</v>
      </c>
      <c r="I25" s="18">
        <f t="shared" si="0"/>
        <v>940</v>
      </c>
      <c r="J25" s="17" t="s">
        <v>32</v>
      </c>
      <c r="K25" s="17" t="s">
        <v>32</v>
      </c>
      <c r="L25" s="17" t="s">
        <v>959</v>
      </c>
      <c r="M25" s="17"/>
      <c r="N25" s="17"/>
      <c r="O25" s="17"/>
      <c r="P25" s="17"/>
      <c r="Q25" s="17">
        <v>1</v>
      </c>
    </row>
    <row r="26" spans="1:18" customFormat="1" x14ac:dyDescent="0.25">
      <c r="A26" s="17" t="s">
        <v>26</v>
      </c>
      <c r="B26" s="17" t="s">
        <v>27</v>
      </c>
      <c r="C26" s="17" t="s">
        <v>1012</v>
      </c>
      <c r="D26" s="17"/>
      <c r="E26" s="17" t="s">
        <v>1013</v>
      </c>
      <c r="F26" s="17" t="s">
        <v>130</v>
      </c>
      <c r="G26" s="18">
        <v>0</v>
      </c>
      <c r="H26" s="18">
        <v>35</v>
      </c>
      <c r="I26" s="18">
        <f t="shared" si="0"/>
        <v>-35</v>
      </c>
      <c r="J26" s="17" t="s">
        <v>32</v>
      </c>
      <c r="K26" s="17" t="s">
        <v>32</v>
      </c>
      <c r="L26" s="17" t="s">
        <v>959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651</v>
      </c>
      <c r="D27" s="17"/>
      <c r="E27" s="17" t="s">
        <v>652</v>
      </c>
      <c r="F27" s="17" t="s">
        <v>130</v>
      </c>
      <c r="G27" s="18">
        <v>30</v>
      </c>
      <c r="H27" s="18">
        <v>30</v>
      </c>
      <c r="I27" s="18">
        <f t="shared" si="0"/>
        <v>0</v>
      </c>
      <c r="J27" s="17" t="s">
        <v>140</v>
      </c>
      <c r="K27" s="17" t="s">
        <v>32</v>
      </c>
      <c r="L27" s="17" t="s">
        <v>959</v>
      </c>
      <c r="M27" s="17"/>
      <c r="N27" s="17"/>
      <c r="O27" s="17"/>
      <c r="P27" s="17"/>
      <c r="Q27" s="17">
        <v>1</v>
      </c>
      <c r="R27" s="19">
        <f>H27</f>
        <v>30</v>
      </c>
    </row>
    <row r="28" spans="1:18" customFormat="1" x14ac:dyDescent="0.25">
      <c r="A28" s="17" t="s">
        <v>26</v>
      </c>
      <c r="B28" s="17" t="s">
        <v>27</v>
      </c>
      <c r="C28" s="17" t="s">
        <v>1014</v>
      </c>
      <c r="D28" s="17"/>
      <c r="E28" s="17" t="s">
        <v>1015</v>
      </c>
      <c r="F28" s="17" t="s">
        <v>130</v>
      </c>
      <c r="G28" s="18">
        <v>30</v>
      </c>
      <c r="H28" s="18">
        <v>30</v>
      </c>
      <c r="I28" s="18">
        <f t="shared" si="0"/>
        <v>0</v>
      </c>
      <c r="J28" s="17" t="s">
        <v>140</v>
      </c>
      <c r="K28" s="17" t="s">
        <v>32</v>
      </c>
      <c r="L28" s="17" t="s">
        <v>959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1016</v>
      </c>
      <c r="D29" s="17" t="s">
        <v>1017</v>
      </c>
      <c r="E29" s="17" t="s">
        <v>1018</v>
      </c>
      <c r="F29" s="18">
        <v>8</v>
      </c>
      <c r="G29" s="18">
        <v>1010</v>
      </c>
      <c r="H29" s="18">
        <v>30</v>
      </c>
      <c r="I29" s="18">
        <f t="shared" si="0"/>
        <v>980</v>
      </c>
      <c r="J29" s="17" t="s">
        <v>140</v>
      </c>
      <c r="K29" s="17" t="s">
        <v>32</v>
      </c>
      <c r="L29" s="17" t="s">
        <v>959</v>
      </c>
      <c r="M29" s="20" t="s">
        <v>58</v>
      </c>
      <c r="N29" s="17"/>
      <c r="O29" s="17"/>
      <c r="P29" s="17"/>
      <c r="Q29" s="17">
        <v>1</v>
      </c>
      <c r="R29" s="19">
        <f t="shared" ref="R29:R31" si="2">H29</f>
        <v>30</v>
      </c>
    </row>
    <row r="30" spans="1:18" customFormat="1" x14ac:dyDescent="0.25">
      <c r="A30" s="17"/>
      <c r="B30" s="17" t="s">
        <v>27</v>
      </c>
      <c r="C30" s="17" t="s">
        <v>1019</v>
      </c>
      <c r="D30" s="17" t="s">
        <v>1020</v>
      </c>
      <c r="E30" s="17" t="s">
        <v>1021</v>
      </c>
      <c r="F30" s="18">
        <v>3</v>
      </c>
      <c r="G30" s="18">
        <v>0</v>
      </c>
      <c r="H30" s="18">
        <v>25</v>
      </c>
      <c r="I30" s="18">
        <f t="shared" si="0"/>
        <v>-25</v>
      </c>
      <c r="J30" s="17" t="s">
        <v>140</v>
      </c>
      <c r="K30" s="17" t="s">
        <v>32</v>
      </c>
      <c r="L30" s="17" t="s">
        <v>959</v>
      </c>
      <c r="M30" s="17"/>
      <c r="N30" s="17"/>
      <c r="O30" s="17"/>
      <c r="P30" s="17"/>
      <c r="Q30" s="17">
        <v>1</v>
      </c>
      <c r="R30" s="19">
        <f t="shared" si="2"/>
        <v>25</v>
      </c>
    </row>
    <row r="31" spans="1:18" s="23" customFormat="1" x14ac:dyDescent="0.25">
      <c r="A31" s="21"/>
      <c r="B31" s="21" t="s">
        <v>27</v>
      </c>
      <c r="C31" s="21" t="s">
        <v>1022</v>
      </c>
      <c r="D31" s="21" t="s">
        <v>1023</v>
      </c>
      <c r="E31" s="21" t="s">
        <v>1024</v>
      </c>
      <c r="F31" s="22">
        <v>7</v>
      </c>
      <c r="G31" s="22">
        <v>0</v>
      </c>
      <c r="H31" s="22">
        <v>30</v>
      </c>
      <c r="I31" s="22">
        <f t="shared" si="0"/>
        <v>-30</v>
      </c>
      <c r="J31" s="21" t="s">
        <v>140</v>
      </c>
      <c r="K31" s="21" t="s">
        <v>32</v>
      </c>
      <c r="L31" s="21" t="s">
        <v>959</v>
      </c>
      <c r="M31" s="21" t="s">
        <v>153</v>
      </c>
      <c r="N31" s="21"/>
      <c r="O31" s="21"/>
      <c r="P31" s="21"/>
      <c r="Q31" s="21">
        <v>1</v>
      </c>
      <c r="R31" s="31">
        <f t="shared" si="2"/>
        <v>30</v>
      </c>
    </row>
    <row r="32" spans="1:18" customFormat="1" x14ac:dyDescent="0.25">
      <c r="A32" s="17"/>
      <c r="B32" s="17" t="s">
        <v>27</v>
      </c>
      <c r="C32" s="17" t="s">
        <v>1025</v>
      </c>
      <c r="D32" s="17" t="s">
        <v>1026</v>
      </c>
      <c r="E32" s="17" t="s">
        <v>1027</v>
      </c>
      <c r="F32" s="18">
        <v>1</v>
      </c>
      <c r="G32" s="18">
        <v>515</v>
      </c>
      <c r="H32" s="18">
        <v>25</v>
      </c>
      <c r="I32" s="18">
        <f t="shared" si="0"/>
        <v>490</v>
      </c>
      <c r="J32" s="17" t="s">
        <v>140</v>
      </c>
      <c r="K32" s="17" t="s">
        <v>32</v>
      </c>
      <c r="L32" s="17" t="s">
        <v>959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1028</v>
      </c>
      <c r="D33" s="17" t="s">
        <v>1029</v>
      </c>
      <c r="E33" s="17" t="s">
        <v>1030</v>
      </c>
      <c r="F33" s="18">
        <v>10</v>
      </c>
      <c r="G33" s="18">
        <v>805</v>
      </c>
      <c r="H33" s="18">
        <v>25</v>
      </c>
      <c r="I33" s="18">
        <f t="shared" si="0"/>
        <v>780</v>
      </c>
      <c r="J33" s="17" t="s">
        <v>140</v>
      </c>
      <c r="K33" s="17" t="s">
        <v>32</v>
      </c>
      <c r="L33" s="17" t="s">
        <v>959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1031</v>
      </c>
      <c r="D34" s="17" t="s">
        <v>1032</v>
      </c>
      <c r="E34" s="17" t="s">
        <v>1033</v>
      </c>
      <c r="F34" s="18">
        <v>7</v>
      </c>
      <c r="G34" s="18">
        <v>620</v>
      </c>
      <c r="H34" s="18">
        <v>30</v>
      </c>
      <c r="I34" s="18">
        <f t="shared" si="0"/>
        <v>590</v>
      </c>
      <c r="J34" s="17" t="s">
        <v>140</v>
      </c>
      <c r="K34" s="17" t="s">
        <v>32</v>
      </c>
      <c r="L34" s="17" t="s">
        <v>959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1034</v>
      </c>
      <c r="D35" s="17" t="s">
        <v>1035</v>
      </c>
      <c r="E35" s="17" t="s">
        <v>1036</v>
      </c>
      <c r="F35" s="17" t="s">
        <v>202</v>
      </c>
      <c r="G35" s="18">
        <v>785</v>
      </c>
      <c r="H35" s="18">
        <v>35</v>
      </c>
      <c r="I35" s="18">
        <f t="shared" si="0"/>
        <v>750</v>
      </c>
      <c r="J35" s="17" t="s">
        <v>140</v>
      </c>
      <c r="K35" s="17" t="s">
        <v>32</v>
      </c>
      <c r="L35" s="17" t="s">
        <v>959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1037</v>
      </c>
      <c r="D36" s="17" t="s">
        <v>1038</v>
      </c>
      <c r="E36" s="17" t="s">
        <v>1039</v>
      </c>
      <c r="F36" s="18">
        <v>8</v>
      </c>
      <c r="G36" s="18">
        <v>1540</v>
      </c>
      <c r="H36" s="18">
        <v>30</v>
      </c>
      <c r="I36" s="18">
        <f t="shared" si="0"/>
        <v>1510</v>
      </c>
      <c r="J36" s="17" t="s">
        <v>140</v>
      </c>
      <c r="K36" s="17" t="s">
        <v>32</v>
      </c>
      <c r="L36" s="17" t="s">
        <v>959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1040</v>
      </c>
      <c r="D37" s="17" t="s">
        <v>1041</v>
      </c>
      <c r="E37" s="17" t="s">
        <v>1042</v>
      </c>
      <c r="F37" s="18">
        <v>7</v>
      </c>
      <c r="G37" s="18">
        <v>0</v>
      </c>
      <c r="H37" s="18">
        <v>30</v>
      </c>
      <c r="I37" s="18">
        <f t="shared" si="0"/>
        <v>-30</v>
      </c>
      <c r="J37" s="17" t="s">
        <v>140</v>
      </c>
      <c r="K37" s="17" t="s">
        <v>32</v>
      </c>
      <c r="L37" s="17" t="s">
        <v>959</v>
      </c>
      <c r="M37" s="17"/>
      <c r="N37" s="17"/>
      <c r="O37" s="17"/>
      <c r="P37" s="17"/>
      <c r="Q37" s="17">
        <v>1</v>
      </c>
      <c r="R37" s="19">
        <f>H37</f>
        <v>30</v>
      </c>
    </row>
    <row r="38" spans="1:18" customFormat="1" x14ac:dyDescent="0.25">
      <c r="A38" s="17"/>
      <c r="B38" s="17" t="s">
        <v>27</v>
      </c>
      <c r="C38" s="17" t="s">
        <v>1043</v>
      </c>
      <c r="D38" s="17" t="s">
        <v>1044</v>
      </c>
      <c r="E38" s="17" t="s">
        <v>1045</v>
      </c>
      <c r="F38" s="18">
        <v>7</v>
      </c>
      <c r="G38" s="18">
        <v>770</v>
      </c>
      <c r="H38" s="18">
        <v>30</v>
      </c>
      <c r="I38" s="18">
        <f t="shared" si="0"/>
        <v>740</v>
      </c>
      <c r="J38" s="17" t="s">
        <v>140</v>
      </c>
      <c r="K38" s="17" t="s">
        <v>32</v>
      </c>
      <c r="L38" s="17" t="s">
        <v>959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1046</v>
      </c>
      <c r="D39" s="17" t="s">
        <v>1047</v>
      </c>
      <c r="E39" s="17" t="s">
        <v>1048</v>
      </c>
      <c r="F39" s="18">
        <v>4</v>
      </c>
      <c r="G39" s="18">
        <v>965</v>
      </c>
      <c r="H39" s="18">
        <v>25</v>
      </c>
      <c r="I39" s="18">
        <f t="shared" si="0"/>
        <v>940</v>
      </c>
      <c r="J39" s="17" t="s">
        <v>140</v>
      </c>
      <c r="K39" s="17" t="s">
        <v>32</v>
      </c>
      <c r="L39" s="17" t="s">
        <v>959</v>
      </c>
      <c r="M39" s="17"/>
      <c r="N39" s="17"/>
      <c r="O39" s="17"/>
      <c r="P39" s="17"/>
      <c r="Q39" s="17">
        <v>1</v>
      </c>
    </row>
    <row r="41" spans="1:18" x14ac:dyDescent="0.25">
      <c r="G41" s="1">
        <f t="shared" ref="G41:R41" si="3">SUBTOTAL(9,G3:G40)</f>
        <v>19115</v>
      </c>
      <c r="H41" s="1">
        <f t="shared" si="3"/>
        <v>1090</v>
      </c>
      <c r="I41" s="1">
        <f t="shared" si="3"/>
        <v>18025</v>
      </c>
      <c r="J41" s="1">
        <f t="shared" si="3"/>
        <v>0</v>
      </c>
      <c r="K41" s="1">
        <f t="shared" si="3"/>
        <v>0</v>
      </c>
      <c r="L41" s="1">
        <f t="shared" si="3"/>
        <v>0</v>
      </c>
      <c r="M41" s="1">
        <f t="shared" si="3"/>
        <v>0</v>
      </c>
      <c r="N41" s="1">
        <f t="shared" si="3"/>
        <v>0</v>
      </c>
      <c r="O41" s="1">
        <f t="shared" si="3"/>
        <v>0</v>
      </c>
      <c r="P41" s="1">
        <f t="shared" si="3"/>
        <v>0</v>
      </c>
      <c r="Q41" s="1">
        <f t="shared" si="3"/>
        <v>37</v>
      </c>
      <c r="R41" s="1">
        <f t="shared" si="3"/>
        <v>350</v>
      </c>
    </row>
    <row r="42" spans="1:18" x14ac:dyDescent="0.25">
      <c r="I42" s="26"/>
    </row>
    <row r="45" spans="1:18" ht="20.25" customHeight="1" x14ac:dyDescent="0.3">
      <c r="H45" s="4" t="s">
        <v>956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18025</v>
      </c>
      <c r="J46" s="8">
        <f>Q41</f>
        <v>37</v>
      </c>
    </row>
    <row r="47" spans="1:18" x14ac:dyDescent="0.25">
      <c r="H47" s="9" t="s">
        <v>18</v>
      </c>
      <c r="I47" s="10">
        <f>R41</f>
        <v>350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18375</v>
      </c>
      <c r="J53" s="16">
        <f>SUM(J46:J50)</f>
        <v>37</v>
      </c>
    </row>
    <row r="55" spans="1:12" x14ac:dyDescent="0.25">
      <c r="A55" s="1" t="s">
        <v>779</v>
      </c>
    </row>
    <row r="56" spans="1:12" x14ac:dyDescent="0.25">
      <c r="A56" s="34" t="s">
        <v>27</v>
      </c>
      <c r="B56" s="34" t="s">
        <v>960</v>
      </c>
      <c r="C56" s="34"/>
      <c r="D56" s="34" t="s">
        <v>469</v>
      </c>
      <c r="E56" s="34" t="s">
        <v>30</v>
      </c>
      <c r="F56" s="35">
        <v>5585</v>
      </c>
      <c r="G56" s="35">
        <v>0</v>
      </c>
      <c r="H56" s="35">
        <f t="shared" ref="H56" si="4">F56-G56</f>
        <v>5585</v>
      </c>
      <c r="I56" s="34" t="s">
        <v>958</v>
      </c>
      <c r="J56" s="34" t="s">
        <v>32</v>
      </c>
      <c r="K56" s="34" t="s">
        <v>959</v>
      </c>
      <c r="L56" s="20" t="s">
        <v>1049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0DC5E-F187-4076-9097-BEEE6C807FB3}">
  <dimension ref="A1:U54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343</v>
      </c>
      <c r="C1" s="1" t="s">
        <v>1051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511</v>
      </c>
      <c r="D3" s="17"/>
      <c r="E3" s="17" t="s">
        <v>512</v>
      </c>
      <c r="F3" s="17" t="s">
        <v>30</v>
      </c>
      <c r="G3" s="18">
        <v>16360</v>
      </c>
      <c r="H3" s="18">
        <v>100</v>
      </c>
      <c r="I3" s="18">
        <f t="shared" ref="I3:I32" si="0">G3-H3</f>
        <v>16260</v>
      </c>
      <c r="J3" s="17" t="s">
        <v>1052</v>
      </c>
      <c r="K3" s="17" t="s">
        <v>32</v>
      </c>
      <c r="L3" s="17" t="s">
        <v>1053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953</v>
      </c>
      <c r="D4" s="17"/>
      <c r="E4" s="17" t="s">
        <v>954</v>
      </c>
      <c r="F4" s="18">
        <v>6</v>
      </c>
      <c r="G4" s="18">
        <v>3320</v>
      </c>
      <c r="H4" s="18">
        <v>40</v>
      </c>
      <c r="I4" s="18">
        <f t="shared" si="0"/>
        <v>3280</v>
      </c>
      <c r="J4" s="17" t="s">
        <v>1052</v>
      </c>
      <c r="K4" s="17" t="s">
        <v>32</v>
      </c>
      <c r="L4" s="17" t="s">
        <v>1053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1054</v>
      </c>
      <c r="D5" s="17" t="s">
        <v>1055</v>
      </c>
      <c r="E5" s="17" t="s">
        <v>1056</v>
      </c>
      <c r="F5" s="17" t="s">
        <v>30</v>
      </c>
      <c r="G5" s="18">
        <v>1890</v>
      </c>
      <c r="H5" s="18">
        <v>30</v>
      </c>
      <c r="I5" s="18">
        <f t="shared" si="0"/>
        <v>1860</v>
      </c>
      <c r="J5" s="17" t="s">
        <v>1052</v>
      </c>
      <c r="K5" s="17" t="s">
        <v>32</v>
      </c>
      <c r="L5" s="17" t="s">
        <v>1053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1057</v>
      </c>
      <c r="D6" s="17" t="s">
        <v>1058</v>
      </c>
      <c r="E6" s="17" t="s">
        <v>1059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1052</v>
      </c>
      <c r="K6" s="17" t="s">
        <v>32</v>
      </c>
      <c r="L6" s="17" t="s">
        <v>1053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1060</v>
      </c>
      <c r="D7" s="17" t="s">
        <v>1061</v>
      </c>
      <c r="E7" s="17" t="s">
        <v>1062</v>
      </c>
      <c r="F7" s="18">
        <v>8</v>
      </c>
      <c r="G7" s="18">
        <v>810</v>
      </c>
      <c r="H7" s="18">
        <v>30</v>
      </c>
      <c r="I7" s="18">
        <f t="shared" si="0"/>
        <v>780</v>
      </c>
      <c r="J7" s="17" t="s">
        <v>1052</v>
      </c>
      <c r="K7" s="17" t="s">
        <v>32</v>
      </c>
      <c r="L7" s="17" t="s">
        <v>1053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1063</v>
      </c>
      <c r="D8" s="17" t="s">
        <v>1064</v>
      </c>
      <c r="E8" s="17" t="s">
        <v>1065</v>
      </c>
      <c r="F8" s="18">
        <v>11</v>
      </c>
      <c r="G8" s="18">
        <v>965</v>
      </c>
      <c r="H8" s="18">
        <v>25</v>
      </c>
      <c r="I8" s="18">
        <f t="shared" si="0"/>
        <v>940</v>
      </c>
      <c r="J8" s="17" t="s">
        <v>1052</v>
      </c>
      <c r="K8" s="17" t="s">
        <v>32</v>
      </c>
      <c r="L8" s="17" t="s">
        <v>1053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1066</v>
      </c>
      <c r="D9" s="17" t="s">
        <v>1067</v>
      </c>
      <c r="E9" s="17" t="s">
        <v>1068</v>
      </c>
      <c r="F9" s="17" t="s">
        <v>51</v>
      </c>
      <c r="G9" s="18">
        <v>925</v>
      </c>
      <c r="H9" s="18">
        <v>35</v>
      </c>
      <c r="I9" s="18">
        <f t="shared" si="0"/>
        <v>890</v>
      </c>
      <c r="J9" s="17" t="s">
        <v>1052</v>
      </c>
      <c r="K9" s="17" t="s">
        <v>32</v>
      </c>
      <c r="L9" s="17" t="s">
        <v>1053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1069</v>
      </c>
      <c r="D10" s="17" t="s">
        <v>1070</v>
      </c>
      <c r="E10" s="17" t="s">
        <v>1071</v>
      </c>
      <c r="F10" s="17" t="s">
        <v>170</v>
      </c>
      <c r="G10" s="18">
        <v>0</v>
      </c>
      <c r="H10" s="18">
        <v>25</v>
      </c>
      <c r="I10" s="18">
        <f t="shared" si="0"/>
        <v>-25</v>
      </c>
      <c r="J10" s="17" t="s">
        <v>1052</v>
      </c>
      <c r="K10" s="17" t="s">
        <v>32</v>
      </c>
      <c r="L10" s="17" t="s">
        <v>1053</v>
      </c>
      <c r="M10" s="17"/>
      <c r="N10" s="17"/>
      <c r="O10" s="17"/>
      <c r="P10" s="17"/>
      <c r="Q10" s="17">
        <v>1</v>
      </c>
      <c r="R10" s="19">
        <f>H10</f>
        <v>25</v>
      </c>
    </row>
    <row r="11" spans="1:18" customFormat="1" x14ac:dyDescent="0.25">
      <c r="A11" s="17"/>
      <c r="B11" s="17" t="s">
        <v>27</v>
      </c>
      <c r="C11" s="17" t="s">
        <v>1072</v>
      </c>
      <c r="D11" s="17" t="s">
        <v>1073</v>
      </c>
      <c r="E11" s="17" t="s">
        <v>1074</v>
      </c>
      <c r="F11" s="18">
        <v>8</v>
      </c>
      <c r="G11" s="18">
        <v>1890</v>
      </c>
      <c r="H11" s="18">
        <v>30</v>
      </c>
      <c r="I11" s="18">
        <f t="shared" si="0"/>
        <v>1860</v>
      </c>
      <c r="J11" s="17" t="s">
        <v>1052</v>
      </c>
      <c r="K11" s="17" t="s">
        <v>32</v>
      </c>
      <c r="L11" s="17" t="s">
        <v>1053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1075</v>
      </c>
      <c r="D12" s="17" t="s">
        <v>1076</v>
      </c>
      <c r="E12" s="17" t="s">
        <v>1077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1052</v>
      </c>
      <c r="K12" s="17" t="s">
        <v>32</v>
      </c>
      <c r="L12" s="17" t="s">
        <v>1053</v>
      </c>
      <c r="M12" s="20" t="s">
        <v>1078</v>
      </c>
      <c r="N12" s="17"/>
      <c r="O12" s="17"/>
      <c r="P12" s="17"/>
      <c r="Q12" s="17">
        <v>1</v>
      </c>
      <c r="R12" s="19">
        <f t="shared" ref="R12:R14" si="1">H12</f>
        <v>30</v>
      </c>
    </row>
    <row r="13" spans="1:18" customFormat="1" x14ac:dyDescent="0.25">
      <c r="A13" s="17"/>
      <c r="B13" s="17" t="s">
        <v>27</v>
      </c>
      <c r="C13" s="17" t="s">
        <v>1079</v>
      </c>
      <c r="D13" s="17" t="s">
        <v>1080</v>
      </c>
      <c r="E13" s="17" t="s">
        <v>1081</v>
      </c>
      <c r="F13" s="18">
        <v>6</v>
      </c>
      <c r="G13" s="18">
        <v>0</v>
      </c>
      <c r="H13" s="18">
        <v>25</v>
      </c>
      <c r="I13" s="18">
        <f t="shared" si="0"/>
        <v>-25</v>
      </c>
      <c r="J13" s="17" t="s">
        <v>1052</v>
      </c>
      <c r="K13" s="17" t="s">
        <v>32</v>
      </c>
      <c r="L13" s="17" t="s">
        <v>1053</v>
      </c>
      <c r="M13" s="17"/>
      <c r="N13" s="17"/>
      <c r="O13" s="17"/>
      <c r="P13" s="17"/>
      <c r="Q13" s="17">
        <v>1</v>
      </c>
      <c r="R13" s="19">
        <f t="shared" si="1"/>
        <v>25</v>
      </c>
    </row>
    <row r="14" spans="1:18" customFormat="1" x14ac:dyDescent="0.25">
      <c r="A14" s="17" t="s">
        <v>26</v>
      </c>
      <c r="B14" s="17" t="s">
        <v>27</v>
      </c>
      <c r="C14" s="17" t="s">
        <v>1082</v>
      </c>
      <c r="D14" s="17"/>
      <c r="E14" s="17" t="s">
        <v>1083</v>
      </c>
      <c r="F14" s="18">
        <v>12</v>
      </c>
      <c r="G14" s="18">
        <v>0</v>
      </c>
      <c r="H14" s="18">
        <v>80</v>
      </c>
      <c r="I14" s="18">
        <f t="shared" si="0"/>
        <v>-80</v>
      </c>
      <c r="J14" s="17" t="s">
        <v>32</v>
      </c>
      <c r="K14" s="17" t="s">
        <v>32</v>
      </c>
      <c r="L14" s="17" t="s">
        <v>1053</v>
      </c>
      <c r="M14" s="17"/>
      <c r="N14" s="17"/>
      <c r="O14" s="17"/>
      <c r="P14" s="17"/>
      <c r="Q14" s="17">
        <v>1</v>
      </c>
      <c r="R14" s="19">
        <f t="shared" si="1"/>
        <v>80</v>
      </c>
    </row>
    <row r="15" spans="1:18" customFormat="1" x14ac:dyDescent="0.25">
      <c r="A15" s="17"/>
      <c r="B15" s="17" t="s">
        <v>27</v>
      </c>
      <c r="C15" s="17" t="s">
        <v>1084</v>
      </c>
      <c r="D15" s="17" t="s">
        <v>1085</v>
      </c>
      <c r="E15" s="17" t="s">
        <v>1086</v>
      </c>
      <c r="F15" s="18">
        <v>9</v>
      </c>
      <c r="G15" s="18">
        <v>1010</v>
      </c>
      <c r="H15" s="18">
        <v>30</v>
      </c>
      <c r="I15" s="18">
        <f t="shared" si="0"/>
        <v>980</v>
      </c>
      <c r="J15" s="17" t="s">
        <v>32</v>
      </c>
      <c r="K15" s="17" t="s">
        <v>32</v>
      </c>
      <c r="L15" s="17" t="s">
        <v>1053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1087</v>
      </c>
      <c r="D16" s="17" t="s">
        <v>1088</v>
      </c>
      <c r="E16" s="17" t="s">
        <v>1089</v>
      </c>
      <c r="F16" s="18">
        <v>9</v>
      </c>
      <c r="G16" s="18">
        <v>1120</v>
      </c>
      <c r="H16" s="18">
        <v>30</v>
      </c>
      <c r="I16" s="18">
        <f t="shared" si="0"/>
        <v>1090</v>
      </c>
      <c r="J16" s="17" t="s">
        <v>32</v>
      </c>
      <c r="K16" s="17" t="s">
        <v>32</v>
      </c>
      <c r="L16" s="17" t="s">
        <v>1053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1090</v>
      </c>
      <c r="D17" s="17" t="s">
        <v>1091</v>
      </c>
      <c r="E17" s="17" t="s">
        <v>101</v>
      </c>
      <c r="F17" s="18">
        <v>12</v>
      </c>
      <c r="G17" s="18">
        <v>0</v>
      </c>
      <c r="H17" s="18">
        <v>40</v>
      </c>
      <c r="I17" s="18">
        <f t="shared" si="0"/>
        <v>-40</v>
      </c>
      <c r="J17" s="17" t="s">
        <v>32</v>
      </c>
      <c r="K17" s="17" t="s">
        <v>32</v>
      </c>
      <c r="L17" s="17" t="s">
        <v>1053</v>
      </c>
      <c r="M17" s="17"/>
      <c r="N17" s="17"/>
      <c r="O17" s="17"/>
      <c r="P17" s="17"/>
      <c r="Q17" s="17">
        <v>1</v>
      </c>
      <c r="R17" s="19">
        <f>H17</f>
        <v>40</v>
      </c>
    </row>
    <row r="18" spans="1:18" customFormat="1" x14ac:dyDescent="0.25">
      <c r="A18" s="17"/>
      <c r="B18" s="17" t="s">
        <v>27</v>
      </c>
      <c r="C18" s="17" t="s">
        <v>1092</v>
      </c>
      <c r="D18" s="17" t="s">
        <v>1093</v>
      </c>
      <c r="E18" s="17" t="s">
        <v>1094</v>
      </c>
      <c r="F18" s="17" t="s">
        <v>71</v>
      </c>
      <c r="G18" s="18">
        <v>770</v>
      </c>
      <c r="H18" s="18">
        <v>30</v>
      </c>
      <c r="I18" s="18">
        <f t="shared" si="0"/>
        <v>740</v>
      </c>
      <c r="J18" s="17" t="s">
        <v>32</v>
      </c>
      <c r="K18" s="17" t="s">
        <v>32</v>
      </c>
      <c r="L18" s="17" t="s">
        <v>1053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1095</v>
      </c>
      <c r="D19" s="17" t="s">
        <v>1096</v>
      </c>
      <c r="E19" s="17" t="s">
        <v>1097</v>
      </c>
      <c r="F19" s="18">
        <v>9</v>
      </c>
      <c r="G19" s="18">
        <v>970</v>
      </c>
      <c r="H19" s="18">
        <v>30</v>
      </c>
      <c r="I19" s="18">
        <f t="shared" si="0"/>
        <v>940</v>
      </c>
      <c r="J19" s="17" t="s">
        <v>32</v>
      </c>
      <c r="K19" s="17" t="s">
        <v>32</v>
      </c>
      <c r="L19" s="17" t="s">
        <v>1053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1098</v>
      </c>
      <c r="D20" s="17" t="s">
        <v>1099</v>
      </c>
      <c r="E20" s="17" t="s">
        <v>1100</v>
      </c>
      <c r="F20" s="17" t="s">
        <v>77</v>
      </c>
      <c r="G20" s="18">
        <v>965</v>
      </c>
      <c r="H20" s="18">
        <v>25</v>
      </c>
      <c r="I20" s="18">
        <f t="shared" si="0"/>
        <v>940</v>
      </c>
      <c r="J20" s="17" t="s">
        <v>32</v>
      </c>
      <c r="K20" s="17" t="s">
        <v>32</v>
      </c>
      <c r="L20" s="17" t="s">
        <v>1053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1101</v>
      </c>
      <c r="D21" s="17" t="s">
        <v>1102</v>
      </c>
      <c r="E21" s="17" t="s">
        <v>1103</v>
      </c>
      <c r="F21" s="17" t="s">
        <v>98</v>
      </c>
      <c r="G21" s="18">
        <v>950</v>
      </c>
      <c r="H21" s="18">
        <v>20</v>
      </c>
      <c r="I21" s="18">
        <f t="shared" si="0"/>
        <v>930</v>
      </c>
      <c r="J21" s="17" t="s">
        <v>32</v>
      </c>
      <c r="K21" s="17" t="s">
        <v>32</v>
      </c>
      <c r="L21" s="17" t="s">
        <v>1053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1104</v>
      </c>
      <c r="D22" s="17" t="s">
        <v>1105</v>
      </c>
      <c r="E22" s="17" t="s">
        <v>1106</v>
      </c>
      <c r="F22" s="17" t="s">
        <v>77</v>
      </c>
      <c r="G22" s="18">
        <v>0</v>
      </c>
      <c r="H22" s="18">
        <v>25</v>
      </c>
      <c r="I22" s="18">
        <f t="shared" si="0"/>
        <v>-25</v>
      </c>
      <c r="J22" s="17" t="s">
        <v>32</v>
      </c>
      <c r="K22" s="17" t="s">
        <v>32</v>
      </c>
      <c r="L22" s="17" t="s">
        <v>1053</v>
      </c>
      <c r="M22" s="17"/>
      <c r="N22" s="17"/>
      <c r="O22" s="17"/>
      <c r="P22" s="17"/>
      <c r="Q22" s="17">
        <v>1</v>
      </c>
      <c r="R22" s="19">
        <f>H22</f>
        <v>25</v>
      </c>
    </row>
    <row r="23" spans="1:18" customFormat="1" x14ac:dyDescent="0.25">
      <c r="A23" s="17" t="s">
        <v>26</v>
      </c>
      <c r="B23" s="17" t="s">
        <v>27</v>
      </c>
      <c r="C23" s="17" t="s">
        <v>1107</v>
      </c>
      <c r="D23" s="17"/>
      <c r="E23" s="17" t="s">
        <v>1108</v>
      </c>
      <c r="F23" s="18">
        <v>4</v>
      </c>
      <c r="G23" s="18">
        <v>30</v>
      </c>
      <c r="H23" s="18">
        <v>30</v>
      </c>
      <c r="I23" s="18">
        <f t="shared" si="0"/>
        <v>0</v>
      </c>
      <c r="J23" s="17" t="s">
        <v>140</v>
      </c>
      <c r="K23" s="17" t="s">
        <v>32</v>
      </c>
      <c r="L23" s="17" t="s">
        <v>1053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1109</v>
      </c>
      <c r="D24" s="17" t="s">
        <v>1110</v>
      </c>
      <c r="E24" s="17" t="s">
        <v>1111</v>
      </c>
      <c r="F24" s="18">
        <v>7</v>
      </c>
      <c r="G24" s="18">
        <v>920</v>
      </c>
      <c r="H24" s="18">
        <v>30</v>
      </c>
      <c r="I24" s="18">
        <f t="shared" si="0"/>
        <v>890</v>
      </c>
      <c r="J24" s="17" t="s">
        <v>140</v>
      </c>
      <c r="K24" s="17" t="s">
        <v>32</v>
      </c>
      <c r="L24" s="17" t="s">
        <v>1053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1112</v>
      </c>
      <c r="D25" s="17" t="s">
        <v>1113</v>
      </c>
      <c r="E25" s="17" t="s">
        <v>1114</v>
      </c>
      <c r="F25" s="18">
        <v>4</v>
      </c>
      <c r="G25" s="18">
        <v>1675</v>
      </c>
      <c r="H25" s="18">
        <v>25</v>
      </c>
      <c r="I25" s="18">
        <f t="shared" si="0"/>
        <v>1650</v>
      </c>
      <c r="J25" s="17" t="s">
        <v>140</v>
      </c>
      <c r="K25" s="17" t="s">
        <v>32</v>
      </c>
      <c r="L25" s="17" t="s">
        <v>1053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1115</v>
      </c>
      <c r="D26" s="17" t="s">
        <v>1116</v>
      </c>
      <c r="E26" s="17" t="s">
        <v>1117</v>
      </c>
      <c r="F26" s="17" t="s">
        <v>51</v>
      </c>
      <c r="G26" s="18">
        <v>975</v>
      </c>
      <c r="H26" s="18">
        <v>35</v>
      </c>
      <c r="I26" s="18">
        <f t="shared" si="0"/>
        <v>940</v>
      </c>
      <c r="J26" s="17" t="s">
        <v>140</v>
      </c>
      <c r="K26" s="17" t="s">
        <v>32</v>
      </c>
      <c r="L26" s="17" t="s">
        <v>1053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1118</v>
      </c>
      <c r="D27" s="17" t="s">
        <v>1119</v>
      </c>
      <c r="E27" s="17" t="s">
        <v>1120</v>
      </c>
      <c r="F27" s="17" t="s">
        <v>130</v>
      </c>
      <c r="G27" s="18">
        <v>805</v>
      </c>
      <c r="H27" s="18">
        <v>25</v>
      </c>
      <c r="I27" s="18">
        <f t="shared" si="0"/>
        <v>780</v>
      </c>
      <c r="J27" s="17" t="s">
        <v>140</v>
      </c>
      <c r="K27" s="17" t="s">
        <v>32</v>
      </c>
      <c r="L27" s="17" t="s">
        <v>1053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1121</v>
      </c>
      <c r="D28" s="17" t="s">
        <v>1122</v>
      </c>
      <c r="E28" s="17" t="s">
        <v>1123</v>
      </c>
      <c r="F28" s="17" t="s">
        <v>202</v>
      </c>
      <c r="G28" s="18">
        <v>0</v>
      </c>
      <c r="H28" s="18">
        <v>35</v>
      </c>
      <c r="I28" s="18">
        <f t="shared" si="0"/>
        <v>-35</v>
      </c>
      <c r="J28" s="17" t="s">
        <v>140</v>
      </c>
      <c r="K28" s="17" t="s">
        <v>32</v>
      </c>
      <c r="L28" s="17" t="s">
        <v>1053</v>
      </c>
      <c r="M28" s="17"/>
      <c r="N28" s="17"/>
      <c r="O28" s="17"/>
      <c r="P28" s="17"/>
      <c r="Q28" s="17">
        <v>1</v>
      </c>
      <c r="R28" s="19">
        <f>H28</f>
        <v>35</v>
      </c>
    </row>
    <row r="29" spans="1:18" customFormat="1" x14ac:dyDescent="0.25">
      <c r="A29" s="17"/>
      <c r="B29" s="17" t="s">
        <v>27</v>
      </c>
      <c r="C29" s="17" t="s">
        <v>1124</v>
      </c>
      <c r="D29" s="17" t="s">
        <v>1125</v>
      </c>
      <c r="E29" s="17" t="s">
        <v>1126</v>
      </c>
      <c r="F29" s="18">
        <v>4</v>
      </c>
      <c r="G29" s="18">
        <v>955</v>
      </c>
      <c r="H29" s="18">
        <v>25</v>
      </c>
      <c r="I29" s="18">
        <f t="shared" si="0"/>
        <v>930</v>
      </c>
      <c r="J29" s="17" t="s">
        <v>140</v>
      </c>
      <c r="K29" s="17" t="s">
        <v>32</v>
      </c>
      <c r="L29" s="17" t="s">
        <v>1053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1127</v>
      </c>
      <c r="D30" s="17" t="s">
        <v>1128</v>
      </c>
      <c r="E30" s="17" t="s">
        <v>1129</v>
      </c>
      <c r="F30" s="18">
        <v>1</v>
      </c>
      <c r="G30" s="18">
        <v>0</v>
      </c>
      <c r="H30" s="18">
        <v>25</v>
      </c>
      <c r="I30" s="18">
        <f t="shared" si="0"/>
        <v>-25</v>
      </c>
      <c r="J30" s="17" t="s">
        <v>140</v>
      </c>
      <c r="K30" s="17" t="s">
        <v>32</v>
      </c>
      <c r="L30" s="17" t="s">
        <v>1053</v>
      </c>
      <c r="M30" s="17"/>
      <c r="N30" s="17"/>
      <c r="O30" s="17"/>
      <c r="P30" s="17"/>
      <c r="Q30" s="17">
        <v>1</v>
      </c>
      <c r="R30" s="19">
        <f t="shared" ref="R30:R32" si="2">H30</f>
        <v>25</v>
      </c>
    </row>
    <row r="31" spans="1:18" customFormat="1" x14ac:dyDescent="0.25">
      <c r="A31" s="17"/>
      <c r="B31" s="17" t="s">
        <v>27</v>
      </c>
      <c r="C31" s="17" t="s">
        <v>1130</v>
      </c>
      <c r="D31" s="17" t="s">
        <v>1131</v>
      </c>
      <c r="E31" s="17" t="s">
        <v>1132</v>
      </c>
      <c r="F31" s="17" t="s">
        <v>130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1053</v>
      </c>
      <c r="M31" s="17"/>
      <c r="N31" s="17"/>
      <c r="O31" s="17"/>
      <c r="P31" s="17"/>
      <c r="Q31" s="17">
        <v>1</v>
      </c>
      <c r="R31" s="19">
        <f t="shared" si="2"/>
        <v>25</v>
      </c>
    </row>
    <row r="32" spans="1:18" customFormat="1" x14ac:dyDescent="0.25">
      <c r="A32" s="17"/>
      <c r="B32" s="17" t="s">
        <v>27</v>
      </c>
      <c r="C32" s="17" t="s">
        <v>1133</v>
      </c>
      <c r="D32" s="17" t="s">
        <v>1134</v>
      </c>
      <c r="E32" s="17" t="s">
        <v>1135</v>
      </c>
      <c r="F32" s="18">
        <v>4</v>
      </c>
      <c r="G32" s="18">
        <v>3770</v>
      </c>
      <c r="H32" s="18">
        <v>35</v>
      </c>
      <c r="I32" s="18">
        <f t="shared" si="0"/>
        <v>3735</v>
      </c>
      <c r="J32" s="17" t="s">
        <v>140</v>
      </c>
      <c r="K32" s="17" t="s">
        <v>32</v>
      </c>
      <c r="L32" s="17" t="s">
        <v>1053</v>
      </c>
      <c r="M32" s="20" t="s">
        <v>58</v>
      </c>
      <c r="N32" s="17"/>
      <c r="O32" s="17"/>
      <c r="P32" s="17"/>
      <c r="Q32" s="17">
        <v>1</v>
      </c>
      <c r="R32" s="19">
        <f t="shared" si="2"/>
        <v>35</v>
      </c>
    </row>
    <row r="34" spans="1:18" x14ac:dyDescent="0.25">
      <c r="G34" s="1">
        <f t="shared" ref="G34:R34" si="3">SUBTOTAL(9,G3:G33)</f>
        <v>41075</v>
      </c>
      <c r="H34" s="1">
        <f t="shared" si="3"/>
        <v>1000</v>
      </c>
      <c r="I34" s="1">
        <f t="shared" si="3"/>
        <v>40075</v>
      </c>
      <c r="J34" s="1">
        <f t="shared" si="3"/>
        <v>0</v>
      </c>
      <c r="K34" s="1">
        <f t="shared" si="3"/>
        <v>0</v>
      </c>
      <c r="L34" s="1">
        <f t="shared" si="3"/>
        <v>0</v>
      </c>
      <c r="M34" s="1">
        <f t="shared" si="3"/>
        <v>0</v>
      </c>
      <c r="N34" s="1">
        <f t="shared" si="3"/>
        <v>0</v>
      </c>
      <c r="O34" s="1">
        <f t="shared" si="3"/>
        <v>0</v>
      </c>
      <c r="P34" s="1">
        <f t="shared" si="3"/>
        <v>0</v>
      </c>
      <c r="Q34" s="1">
        <f t="shared" si="3"/>
        <v>30</v>
      </c>
      <c r="R34" s="1">
        <f t="shared" si="3"/>
        <v>375</v>
      </c>
    </row>
    <row r="35" spans="1:18" x14ac:dyDescent="0.25">
      <c r="I35" s="26">
        <f>-H50</f>
        <v>-420</v>
      </c>
      <c r="J35" s="1" t="s">
        <v>1136</v>
      </c>
    </row>
    <row r="36" spans="1:18" x14ac:dyDescent="0.25">
      <c r="I36" s="26">
        <f>-H54</f>
        <v>-945</v>
      </c>
      <c r="J36" s="1" t="s">
        <v>191</v>
      </c>
    </row>
    <row r="38" spans="1:18" ht="20.25" customHeight="1" x14ac:dyDescent="0.3">
      <c r="H38" s="4" t="s">
        <v>1050</v>
      </c>
      <c r="I38" s="5" t="s">
        <v>15</v>
      </c>
      <c r="J38" s="6" t="s">
        <v>16</v>
      </c>
    </row>
    <row r="39" spans="1:18" ht="15.75" customHeight="1" x14ac:dyDescent="0.25">
      <c r="H39" s="7" t="s">
        <v>17</v>
      </c>
      <c r="I39" s="8">
        <f>SUM(I33:I37)</f>
        <v>38710</v>
      </c>
      <c r="J39" s="8">
        <f>Q34</f>
        <v>30</v>
      </c>
    </row>
    <row r="40" spans="1:18" x14ac:dyDescent="0.25">
      <c r="H40" s="9" t="s">
        <v>18</v>
      </c>
      <c r="I40" s="10">
        <f>R34</f>
        <v>375</v>
      </c>
      <c r="J40" s="11"/>
    </row>
    <row r="41" spans="1:18" x14ac:dyDescent="0.25">
      <c r="H41" s="9" t="s">
        <v>19</v>
      </c>
      <c r="I41" s="10">
        <f>S33</f>
        <v>0</v>
      </c>
      <c r="J41" s="11"/>
    </row>
    <row r="42" spans="1:18" x14ac:dyDescent="0.25">
      <c r="H42" s="9" t="s">
        <v>20</v>
      </c>
      <c r="I42" s="10">
        <f>T33</f>
        <v>0</v>
      </c>
      <c r="J42" s="11"/>
    </row>
    <row r="43" spans="1:18" x14ac:dyDescent="0.25">
      <c r="H43" s="9" t="s">
        <v>21</v>
      </c>
      <c r="I43" s="10">
        <f>U33</f>
        <v>0</v>
      </c>
      <c r="J43" s="11"/>
    </row>
    <row r="44" spans="1:18" ht="15.75" customHeight="1" x14ac:dyDescent="0.25">
      <c r="H44" s="12" t="s">
        <v>22</v>
      </c>
      <c r="I44" s="13"/>
      <c r="J44" s="13"/>
    </row>
    <row r="45" spans="1:18" ht="15.75" customHeight="1" x14ac:dyDescent="0.25">
      <c r="H45" s="14" t="s">
        <v>23</v>
      </c>
      <c r="I45" s="13"/>
      <c r="J45" s="13"/>
    </row>
    <row r="46" spans="1:18" ht="21" customHeight="1" x14ac:dyDescent="0.35">
      <c r="H46" s="15" t="s">
        <v>24</v>
      </c>
      <c r="I46" s="16">
        <f>SUM(I39:I45)</f>
        <v>39085</v>
      </c>
      <c r="J46" s="16">
        <f>SUM(J39:J43)</f>
        <v>30</v>
      </c>
    </row>
    <row r="48" spans="1:18" x14ac:dyDescent="0.25">
      <c r="A48" s="1" t="s">
        <v>184</v>
      </c>
    </row>
    <row r="49" spans="1:21" x14ac:dyDescent="0.25">
      <c r="A49" s="24" t="s">
        <v>27</v>
      </c>
      <c r="B49" s="24" t="s">
        <v>988</v>
      </c>
      <c r="C49" s="24" t="s">
        <v>989</v>
      </c>
      <c r="D49" s="24" t="s">
        <v>990</v>
      </c>
      <c r="E49" s="24" t="s">
        <v>170</v>
      </c>
      <c r="F49" s="25">
        <v>445</v>
      </c>
      <c r="G49" s="25">
        <v>25</v>
      </c>
      <c r="H49" s="25">
        <f t="shared" ref="H49" si="4">F49-G49</f>
        <v>420</v>
      </c>
      <c r="I49" s="24" t="s">
        <v>188</v>
      </c>
      <c r="J49" s="24" t="s">
        <v>32</v>
      </c>
      <c r="K49" s="24" t="s">
        <v>959</v>
      </c>
      <c r="L49" s="24" t="s">
        <v>184</v>
      </c>
    </row>
    <row r="50" spans="1:21" x14ac:dyDescent="0.25">
      <c r="H50" s="26">
        <f>SUM(H49)</f>
        <v>420</v>
      </c>
    </row>
    <row r="51" spans="1:21" x14ac:dyDescent="0.25">
      <c r="A51" s="1" t="s">
        <v>191</v>
      </c>
    </row>
    <row r="52" spans="1:21" s="48" customFormat="1" x14ac:dyDescent="0.25">
      <c r="A52" s="27" t="s">
        <v>27</v>
      </c>
      <c r="B52" s="27" t="s">
        <v>651</v>
      </c>
      <c r="C52" s="27"/>
      <c r="D52" s="27" t="s">
        <v>652</v>
      </c>
      <c r="E52" s="28" t="s">
        <v>130</v>
      </c>
      <c r="F52" s="27">
        <v>30</v>
      </c>
      <c r="G52" s="27">
        <v>0</v>
      </c>
      <c r="H52" s="27">
        <f>F52-G52</f>
        <v>30</v>
      </c>
      <c r="I52" s="24" t="s">
        <v>188</v>
      </c>
      <c r="J52" s="27" t="s">
        <v>32</v>
      </c>
      <c r="K52" s="24" t="s">
        <v>1053</v>
      </c>
      <c r="L52" s="20" t="s">
        <v>1138</v>
      </c>
      <c r="M52" s="1"/>
      <c r="N52" s="1"/>
      <c r="O52" s="1"/>
      <c r="P52" s="1"/>
      <c r="Q52" s="1"/>
      <c r="R52" s="1"/>
      <c r="S52" s="1"/>
      <c r="T52" s="1"/>
      <c r="U52" s="1"/>
    </row>
    <row r="53" spans="1:21" x14ac:dyDescent="0.25">
      <c r="A53" s="27" t="s">
        <v>27</v>
      </c>
      <c r="B53" s="27" t="s">
        <v>766</v>
      </c>
      <c r="C53" s="27" t="s">
        <v>767</v>
      </c>
      <c r="D53" s="27" t="s">
        <v>768</v>
      </c>
      <c r="E53" s="28" t="s">
        <v>130</v>
      </c>
      <c r="F53" s="27">
        <v>915</v>
      </c>
      <c r="G53" s="27">
        <v>0</v>
      </c>
      <c r="H53" s="27">
        <f t="shared" ref="H53" si="5">F53-G53</f>
        <v>915</v>
      </c>
      <c r="I53" s="24" t="s">
        <v>188</v>
      </c>
      <c r="J53" s="27" t="s">
        <v>32</v>
      </c>
      <c r="K53" s="27" t="s">
        <v>672</v>
      </c>
      <c r="L53" s="20" t="s">
        <v>1137</v>
      </c>
    </row>
    <row r="54" spans="1:21" x14ac:dyDescent="0.25">
      <c r="H54" s="26">
        <f>SUM(H52:H53)</f>
        <v>945</v>
      </c>
    </row>
  </sheetData>
  <autoFilter ref="A2:P32" xr:uid="{00000000-0009-0000-0000-000006000000}">
    <sortState xmlns:xlrd2="http://schemas.microsoft.com/office/spreadsheetml/2017/richdata2" ref="A3:P32">
      <sortCondition ref="J2:J32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B7131-59C8-4457-AF9D-BE3A996E544D}">
  <dimension ref="A1:U74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435</v>
      </c>
      <c r="C1" s="1" t="s">
        <v>1139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1141</v>
      </c>
      <c r="D3" s="17"/>
      <c r="E3" s="17" t="s">
        <v>1142</v>
      </c>
      <c r="F3" s="17" t="s">
        <v>30</v>
      </c>
      <c r="G3" s="18">
        <v>40</v>
      </c>
      <c r="H3" s="18">
        <v>40</v>
      </c>
      <c r="I3" s="18">
        <f t="shared" ref="I3:I55" si="0">G3-H3</f>
        <v>0</v>
      </c>
      <c r="J3" s="17" t="s">
        <v>1143</v>
      </c>
      <c r="K3" s="17" t="s">
        <v>32</v>
      </c>
      <c r="L3" s="17" t="s">
        <v>1144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511</v>
      </c>
      <c r="D4" s="17"/>
      <c r="E4" s="17" t="s">
        <v>512</v>
      </c>
      <c r="F4" s="17" t="s">
        <v>30</v>
      </c>
      <c r="G4" s="18">
        <v>8110</v>
      </c>
      <c r="H4" s="18">
        <v>70</v>
      </c>
      <c r="I4" s="18">
        <f t="shared" si="0"/>
        <v>8040</v>
      </c>
      <c r="J4" s="17" t="s">
        <v>1143</v>
      </c>
      <c r="K4" s="17" t="s">
        <v>32</v>
      </c>
      <c r="L4" s="17" t="s">
        <v>1144</v>
      </c>
      <c r="M4" s="17"/>
      <c r="N4" s="17"/>
      <c r="O4" s="17"/>
      <c r="P4" s="17"/>
      <c r="Q4" s="17">
        <v>1</v>
      </c>
    </row>
    <row r="5" spans="1:18" customFormat="1" x14ac:dyDescent="0.25">
      <c r="A5" s="17" t="s">
        <v>26</v>
      </c>
      <c r="B5" s="17" t="s">
        <v>27</v>
      </c>
      <c r="C5" s="17" t="s">
        <v>508</v>
      </c>
      <c r="D5" s="17"/>
      <c r="E5" s="17" t="s">
        <v>509</v>
      </c>
      <c r="F5" s="18">
        <v>6</v>
      </c>
      <c r="G5" s="18">
        <v>0</v>
      </c>
      <c r="H5" s="18">
        <v>30</v>
      </c>
      <c r="I5" s="18">
        <f t="shared" si="0"/>
        <v>-30</v>
      </c>
      <c r="J5" s="17" t="s">
        <v>1143</v>
      </c>
      <c r="K5" s="17" t="s">
        <v>32</v>
      </c>
      <c r="L5" s="17" t="s">
        <v>1144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 t="s">
        <v>26</v>
      </c>
      <c r="B6" s="17" t="s">
        <v>27</v>
      </c>
      <c r="C6" s="17" t="s">
        <v>34</v>
      </c>
      <c r="D6" s="17"/>
      <c r="E6" s="17" t="s">
        <v>35</v>
      </c>
      <c r="F6" s="18">
        <v>6</v>
      </c>
      <c r="G6" s="18">
        <v>0</v>
      </c>
      <c r="H6" s="18">
        <v>30</v>
      </c>
      <c r="I6" s="18">
        <f t="shared" si="0"/>
        <v>-30</v>
      </c>
      <c r="J6" s="17" t="s">
        <v>1143</v>
      </c>
      <c r="K6" s="17" t="s">
        <v>32</v>
      </c>
      <c r="L6" s="17" t="s">
        <v>1144</v>
      </c>
      <c r="M6" s="17"/>
      <c r="N6" s="17"/>
      <c r="O6" s="17"/>
      <c r="P6" s="17"/>
      <c r="Q6" s="17">
        <v>1</v>
      </c>
      <c r="R6" s="19">
        <f t="shared" ref="R6:R7" si="1">H6</f>
        <v>30</v>
      </c>
    </row>
    <row r="7" spans="1:18" customFormat="1" x14ac:dyDescent="0.25">
      <c r="A7" s="17" t="s">
        <v>26</v>
      </c>
      <c r="B7" s="17" t="s">
        <v>27</v>
      </c>
      <c r="C7" s="17" t="s">
        <v>249</v>
      </c>
      <c r="D7" s="17"/>
      <c r="E7" s="17" t="s">
        <v>250</v>
      </c>
      <c r="F7" s="17" t="s">
        <v>30</v>
      </c>
      <c r="G7" s="18">
        <v>0</v>
      </c>
      <c r="H7" s="18">
        <v>50</v>
      </c>
      <c r="I7" s="18">
        <f t="shared" si="0"/>
        <v>-50</v>
      </c>
      <c r="J7" s="17" t="s">
        <v>1143</v>
      </c>
      <c r="K7" s="17" t="s">
        <v>32</v>
      </c>
      <c r="L7" s="17" t="s">
        <v>1144</v>
      </c>
      <c r="M7" s="17"/>
      <c r="N7" s="17"/>
      <c r="O7" s="17"/>
      <c r="P7" s="17"/>
      <c r="Q7" s="17">
        <v>1</v>
      </c>
      <c r="R7" s="19">
        <f t="shared" si="1"/>
        <v>50</v>
      </c>
    </row>
    <row r="8" spans="1:18" customFormat="1" x14ac:dyDescent="0.25">
      <c r="A8" s="17"/>
      <c r="B8" s="17" t="s">
        <v>27</v>
      </c>
      <c r="C8" s="17" t="s">
        <v>1145</v>
      </c>
      <c r="D8" s="17" t="s">
        <v>1146</v>
      </c>
      <c r="E8" s="17" t="s">
        <v>1147</v>
      </c>
      <c r="F8" s="17" t="s">
        <v>30</v>
      </c>
      <c r="G8" s="18">
        <v>820</v>
      </c>
      <c r="H8" s="18">
        <v>30</v>
      </c>
      <c r="I8" s="18">
        <f t="shared" si="0"/>
        <v>790</v>
      </c>
      <c r="J8" s="17" t="s">
        <v>1143</v>
      </c>
      <c r="K8" s="17" t="s">
        <v>32</v>
      </c>
      <c r="L8" s="17" t="s">
        <v>1144</v>
      </c>
      <c r="M8" s="20" t="s">
        <v>386</v>
      </c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1148</v>
      </c>
      <c r="D9" s="17" t="s">
        <v>1149</v>
      </c>
      <c r="E9" s="17" t="s">
        <v>1147</v>
      </c>
      <c r="F9" s="17" t="s">
        <v>30</v>
      </c>
      <c r="G9" s="18">
        <v>620</v>
      </c>
      <c r="H9" s="18">
        <v>0</v>
      </c>
      <c r="I9" s="18">
        <f t="shared" si="0"/>
        <v>620</v>
      </c>
      <c r="J9" s="17" t="s">
        <v>1143</v>
      </c>
      <c r="K9" s="17" t="s">
        <v>32</v>
      </c>
      <c r="L9" s="17" t="s">
        <v>1144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240</v>
      </c>
      <c r="D10" s="17" t="s">
        <v>1150</v>
      </c>
      <c r="E10" s="17" t="s">
        <v>1151</v>
      </c>
      <c r="F10" s="17" t="s">
        <v>170</v>
      </c>
      <c r="G10" s="18">
        <v>915</v>
      </c>
      <c r="H10" s="18">
        <v>25</v>
      </c>
      <c r="I10" s="18">
        <f t="shared" si="0"/>
        <v>890</v>
      </c>
      <c r="J10" s="17" t="s">
        <v>1143</v>
      </c>
      <c r="K10" s="17" t="s">
        <v>32</v>
      </c>
      <c r="L10" s="17" t="s">
        <v>1144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1152</v>
      </c>
      <c r="D11" s="17" t="s">
        <v>1153</v>
      </c>
      <c r="E11" s="17" t="s">
        <v>469</v>
      </c>
      <c r="F11" s="17" t="s">
        <v>30</v>
      </c>
      <c r="G11" s="18">
        <v>900</v>
      </c>
      <c r="H11" s="18">
        <v>30</v>
      </c>
      <c r="I11" s="18">
        <f t="shared" si="0"/>
        <v>870</v>
      </c>
      <c r="J11" s="17" t="s">
        <v>1143</v>
      </c>
      <c r="K11" s="17" t="s">
        <v>32</v>
      </c>
      <c r="L11" s="17" t="s">
        <v>1144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1154</v>
      </c>
      <c r="D12" s="17" t="s">
        <v>1155</v>
      </c>
      <c r="E12" s="17" t="s">
        <v>1156</v>
      </c>
      <c r="F12" s="17" t="s">
        <v>170</v>
      </c>
      <c r="G12" s="18">
        <v>1065</v>
      </c>
      <c r="H12" s="18">
        <v>25</v>
      </c>
      <c r="I12" s="18">
        <f t="shared" si="0"/>
        <v>1040</v>
      </c>
      <c r="J12" s="17" t="s">
        <v>1143</v>
      </c>
      <c r="K12" s="17" t="s">
        <v>32</v>
      </c>
      <c r="L12" s="17" t="s">
        <v>1144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1157</v>
      </c>
      <c r="D13" s="17" t="s">
        <v>1158</v>
      </c>
      <c r="E13" s="17" t="s">
        <v>1159</v>
      </c>
      <c r="F13" s="18">
        <v>8</v>
      </c>
      <c r="G13" s="18">
        <v>970</v>
      </c>
      <c r="H13" s="18">
        <v>30</v>
      </c>
      <c r="I13" s="18">
        <f t="shared" si="0"/>
        <v>940</v>
      </c>
      <c r="J13" s="17" t="s">
        <v>1143</v>
      </c>
      <c r="K13" s="17" t="s">
        <v>32</v>
      </c>
      <c r="L13" s="17" t="s">
        <v>1144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1160</v>
      </c>
      <c r="D14" s="17" t="s">
        <v>1161</v>
      </c>
      <c r="E14" s="17" t="s">
        <v>1162</v>
      </c>
      <c r="F14" s="18">
        <v>8</v>
      </c>
      <c r="G14" s="18">
        <v>970</v>
      </c>
      <c r="H14" s="18">
        <v>30</v>
      </c>
      <c r="I14" s="18">
        <f t="shared" si="0"/>
        <v>940</v>
      </c>
      <c r="J14" s="17" t="s">
        <v>1143</v>
      </c>
      <c r="K14" s="17" t="s">
        <v>32</v>
      </c>
      <c r="L14" s="17" t="s">
        <v>1144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816</v>
      </c>
      <c r="D15" s="17" t="s">
        <v>1163</v>
      </c>
      <c r="E15" s="17" t="s">
        <v>818</v>
      </c>
      <c r="F15" s="17" t="s">
        <v>30</v>
      </c>
      <c r="G15" s="18">
        <v>320</v>
      </c>
      <c r="H15" s="18">
        <v>30</v>
      </c>
      <c r="I15" s="18">
        <f t="shared" si="0"/>
        <v>290</v>
      </c>
      <c r="J15" s="17" t="s">
        <v>1143</v>
      </c>
      <c r="K15" s="17" t="s">
        <v>32</v>
      </c>
      <c r="L15" s="17" t="s">
        <v>1144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1164</v>
      </c>
      <c r="D16" s="17" t="s">
        <v>1165</v>
      </c>
      <c r="E16" s="17" t="s">
        <v>1166</v>
      </c>
      <c r="F16" s="17" t="s">
        <v>170</v>
      </c>
      <c r="G16" s="18">
        <v>1645</v>
      </c>
      <c r="H16" s="18">
        <v>25</v>
      </c>
      <c r="I16" s="18">
        <f t="shared" si="0"/>
        <v>1620</v>
      </c>
      <c r="J16" s="17" t="s">
        <v>1143</v>
      </c>
      <c r="K16" s="17" t="s">
        <v>32</v>
      </c>
      <c r="L16" s="17" t="s">
        <v>1144</v>
      </c>
      <c r="M16" s="17"/>
      <c r="N16" s="17"/>
      <c r="O16" s="17"/>
      <c r="P16" s="17"/>
      <c r="Q16" s="17">
        <v>1</v>
      </c>
    </row>
    <row r="17" spans="1:18" s="23" customFormat="1" x14ac:dyDescent="0.25">
      <c r="A17" s="21"/>
      <c r="B17" s="21" t="s">
        <v>27</v>
      </c>
      <c r="C17" s="21" t="s">
        <v>975</v>
      </c>
      <c r="D17" s="21" t="s">
        <v>1167</v>
      </c>
      <c r="E17" s="21" t="s">
        <v>977</v>
      </c>
      <c r="F17" s="21" t="s">
        <v>170</v>
      </c>
      <c r="G17" s="22">
        <v>25</v>
      </c>
      <c r="H17" s="22">
        <v>25</v>
      </c>
      <c r="I17" s="22">
        <f t="shared" si="0"/>
        <v>0</v>
      </c>
      <c r="J17" s="21" t="s">
        <v>1143</v>
      </c>
      <c r="K17" s="21" t="s">
        <v>32</v>
      </c>
      <c r="L17" s="21" t="s">
        <v>1144</v>
      </c>
      <c r="M17" s="21" t="s">
        <v>153</v>
      </c>
      <c r="N17" s="21"/>
      <c r="O17" s="21"/>
      <c r="P17" s="21"/>
      <c r="Q17" s="21">
        <v>1</v>
      </c>
    </row>
    <row r="18" spans="1:18" customFormat="1" x14ac:dyDescent="0.25">
      <c r="A18" s="17"/>
      <c r="B18" s="17" t="s">
        <v>27</v>
      </c>
      <c r="C18" s="17" t="s">
        <v>1168</v>
      </c>
      <c r="D18" s="17" t="s">
        <v>1169</v>
      </c>
      <c r="E18" s="17" t="s">
        <v>1170</v>
      </c>
      <c r="F18" s="17" t="s">
        <v>30</v>
      </c>
      <c r="G18" s="18">
        <v>920</v>
      </c>
      <c r="H18" s="18">
        <v>30</v>
      </c>
      <c r="I18" s="18">
        <f t="shared" si="0"/>
        <v>890</v>
      </c>
      <c r="J18" s="17" t="s">
        <v>1143</v>
      </c>
      <c r="K18" s="17" t="s">
        <v>32</v>
      </c>
      <c r="L18" s="17" t="s">
        <v>1144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1171</v>
      </c>
      <c r="D19" s="17" t="s">
        <v>1172</v>
      </c>
      <c r="E19" s="17" t="s">
        <v>1173</v>
      </c>
      <c r="F19" s="17" t="s">
        <v>30</v>
      </c>
      <c r="G19" s="18">
        <v>1850</v>
      </c>
      <c r="H19" s="18">
        <v>30</v>
      </c>
      <c r="I19" s="18">
        <f t="shared" si="0"/>
        <v>1820</v>
      </c>
      <c r="J19" s="17" t="s">
        <v>1143</v>
      </c>
      <c r="K19" s="17" t="s">
        <v>32</v>
      </c>
      <c r="L19" s="17" t="s">
        <v>1144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1174</v>
      </c>
      <c r="D20" s="17" t="s">
        <v>1175</v>
      </c>
      <c r="E20" s="17" t="s">
        <v>35</v>
      </c>
      <c r="F20" s="18">
        <v>6</v>
      </c>
      <c r="G20" s="18">
        <v>0</v>
      </c>
      <c r="H20" s="18">
        <v>25</v>
      </c>
      <c r="I20" s="18">
        <f t="shared" si="0"/>
        <v>-25</v>
      </c>
      <c r="J20" s="17" t="s">
        <v>1143</v>
      </c>
      <c r="K20" s="17" t="s">
        <v>32</v>
      </c>
      <c r="L20" s="17" t="s">
        <v>1144</v>
      </c>
      <c r="M20" s="17"/>
      <c r="N20" s="17"/>
      <c r="O20" s="17"/>
      <c r="P20" s="17"/>
      <c r="Q20" s="17">
        <v>1</v>
      </c>
      <c r="R20" s="19">
        <f>H20</f>
        <v>25</v>
      </c>
    </row>
    <row r="21" spans="1:18" customFormat="1" x14ac:dyDescent="0.25">
      <c r="A21" s="17"/>
      <c r="B21" s="17" t="s">
        <v>27</v>
      </c>
      <c r="C21" s="17" t="s">
        <v>1176</v>
      </c>
      <c r="D21" s="17" t="s">
        <v>1177</v>
      </c>
      <c r="E21" s="17" t="s">
        <v>1178</v>
      </c>
      <c r="F21" s="18">
        <v>7</v>
      </c>
      <c r="G21" s="18">
        <v>810</v>
      </c>
      <c r="H21" s="18">
        <v>30</v>
      </c>
      <c r="I21" s="18">
        <f t="shared" si="0"/>
        <v>780</v>
      </c>
      <c r="J21" s="17" t="s">
        <v>1143</v>
      </c>
      <c r="K21" s="17" t="s">
        <v>32</v>
      </c>
      <c r="L21" s="17" t="s">
        <v>1144</v>
      </c>
      <c r="M21" s="17"/>
      <c r="N21" s="17"/>
      <c r="O21" s="17"/>
      <c r="P21" s="17"/>
      <c r="Q21" s="17">
        <v>1</v>
      </c>
    </row>
    <row r="22" spans="1:18" customFormat="1" x14ac:dyDescent="0.25">
      <c r="A22" s="17" t="s">
        <v>26</v>
      </c>
      <c r="B22" s="17" t="s">
        <v>27</v>
      </c>
      <c r="C22" s="17" t="s">
        <v>293</v>
      </c>
      <c r="D22" s="17"/>
      <c r="E22" s="17" t="s">
        <v>294</v>
      </c>
      <c r="F22" s="17" t="s">
        <v>77</v>
      </c>
      <c r="G22" s="18">
        <v>0</v>
      </c>
      <c r="H22" s="18">
        <v>50</v>
      </c>
      <c r="I22" s="18">
        <f t="shared" si="0"/>
        <v>-50</v>
      </c>
      <c r="J22" s="17" t="s">
        <v>32</v>
      </c>
      <c r="K22" s="17" t="s">
        <v>32</v>
      </c>
      <c r="L22" s="17" t="s">
        <v>1144</v>
      </c>
      <c r="M22" s="17"/>
      <c r="N22" s="17"/>
      <c r="O22" s="17"/>
      <c r="P22" s="17"/>
      <c r="Q22" s="17">
        <v>1</v>
      </c>
      <c r="R22" s="19">
        <f t="shared" ref="R22:R25" si="2">H22</f>
        <v>50</v>
      </c>
    </row>
    <row r="23" spans="1:18" customFormat="1" x14ac:dyDescent="0.25">
      <c r="A23" s="17" t="s">
        <v>26</v>
      </c>
      <c r="B23" s="17" t="s">
        <v>27</v>
      </c>
      <c r="C23" s="17" t="s">
        <v>137</v>
      </c>
      <c r="D23" s="17"/>
      <c r="E23" s="17" t="s">
        <v>101</v>
      </c>
      <c r="F23" s="18">
        <v>12</v>
      </c>
      <c r="G23" s="18">
        <v>0</v>
      </c>
      <c r="H23" s="18">
        <v>40</v>
      </c>
      <c r="I23" s="18">
        <f t="shared" si="0"/>
        <v>-40</v>
      </c>
      <c r="J23" s="17" t="s">
        <v>32</v>
      </c>
      <c r="K23" s="17" t="s">
        <v>32</v>
      </c>
      <c r="L23" s="17" t="s">
        <v>1144</v>
      </c>
      <c r="M23" s="17"/>
      <c r="N23" s="17"/>
      <c r="O23" s="17"/>
      <c r="P23" s="17"/>
      <c r="Q23" s="17">
        <v>1</v>
      </c>
      <c r="R23" s="19">
        <f t="shared" si="2"/>
        <v>40</v>
      </c>
    </row>
    <row r="24" spans="1:18" customFormat="1" x14ac:dyDescent="0.25">
      <c r="A24" s="17" t="s">
        <v>26</v>
      </c>
      <c r="B24" s="17" t="s">
        <v>27</v>
      </c>
      <c r="C24" s="17" t="s">
        <v>1179</v>
      </c>
      <c r="D24" s="17"/>
      <c r="E24" s="17" t="s">
        <v>740</v>
      </c>
      <c r="F24" s="18">
        <v>12</v>
      </c>
      <c r="G24" s="18">
        <v>0</v>
      </c>
      <c r="H24" s="18">
        <v>35</v>
      </c>
      <c r="I24" s="18">
        <f t="shared" si="0"/>
        <v>-35</v>
      </c>
      <c r="J24" s="17" t="s">
        <v>32</v>
      </c>
      <c r="K24" s="17" t="s">
        <v>32</v>
      </c>
      <c r="L24" s="17" t="s">
        <v>1144</v>
      </c>
      <c r="M24" s="17"/>
      <c r="N24" s="17"/>
      <c r="O24" s="17"/>
      <c r="P24" s="17"/>
      <c r="Q24" s="17">
        <v>1</v>
      </c>
      <c r="R24" s="19">
        <f t="shared" si="2"/>
        <v>35</v>
      </c>
    </row>
    <row r="25" spans="1:18" customFormat="1" x14ac:dyDescent="0.25">
      <c r="A25" s="17" t="s">
        <v>26</v>
      </c>
      <c r="B25" s="17" t="s">
        <v>27</v>
      </c>
      <c r="C25" s="17" t="s">
        <v>1180</v>
      </c>
      <c r="D25" s="17"/>
      <c r="E25" s="17" t="s">
        <v>101</v>
      </c>
      <c r="F25" s="18">
        <v>12</v>
      </c>
      <c r="G25" s="18">
        <v>0</v>
      </c>
      <c r="H25" s="18">
        <v>80</v>
      </c>
      <c r="I25" s="18">
        <f t="shared" si="0"/>
        <v>-80</v>
      </c>
      <c r="J25" s="17" t="s">
        <v>32</v>
      </c>
      <c r="K25" s="17" t="s">
        <v>32</v>
      </c>
      <c r="L25" s="17" t="s">
        <v>1144</v>
      </c>
      <c r="M25" s="17"/>
      <c r="N25" s="17"/>
      <c r="O25" s="17"/>
      <c r="P25" s="17"/>
      <c r="Q25" s="17">
        <v>1</v>
      </c>
      <c r="R25" s="19">
        <f t="shared" si="2"/>
        <v>80</v>
      </c>
    </row>
    <row r="26" spans="1:18" customFormat="1" x14ac:dyDescent="0.25">
      <c r="A26" s="17"/>
      <c r="B26" s="17" t="s">
        <v>27</v>
      </c>
      <c r="C26" s="17" t="s">
        <v>1181</v>
      </c>
      <c r="D26" s="17" t="s">
        <v>1182</v>
      </c>
      <c r="E26" s="17" t="s">
        <v>1183</v>
      </c>
      <c r="F26" s="17" t="s">
        <v>71</v>
      </c>
      <c r="G26" s="18">
        <v>760</v>
      </c>
      <c r="H26" s="18">
        <v>30</v>
      </c>
      <c r="I26" s="18">
        <f t="shared" si="0"/>
        <v>730</v>
      </c>
      <c r="J26" s="17" t="s">
        <v>32</v>
      </c>
      <c r="K26" s="17" t="s">
        <v>32</v>
      </c>
      <c r="L26" s="17" t="s">
        <v>1144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1184</v>
      </c>
      <c r="D27" s="17" t="s">
        <v>1185</v>
      </c>
      <c r="E27" s="17" t="s">
        <v>1186</v>
      </c>
      <c r="F27" s="18">
        <v>2</v>
      </c>
      <c r="G27" s="18">
        <v>920</v>
      </c>
      <c r="H27" s="18">
        <v>30</v>
      </c>
      <c r="I27" s="18">
        <f t="shared" si="0"/>
        <v>890</v>
      </c>
      <c r="J27" s="17" t="s">
        <v>32</v>
      </c>
      <c r="K27" s="17" t="s">
        <v>32</v>
      </c>
      <c r="L27" s="17" t="s">
        <v>1144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1187</v>
      </c>
      <c r="D28" s="17" t="s">
        <v>1188</v>
      </c>
      <c r="E28" s="17" t="s">
        <v>1189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1144</v>
      </c>
      <c r="M28" s="17"/>
      <c r="N28" s="17"/>
      <c r="O28" s="17"/>
      <c r="P28" s="17"/>
      <c r="Q28" s="17">
        <v>1</v>
      </c>
      <c r="R28" s="19">
        <f>H28</f>
        <v>25</v>
      </c>
    </row>
    <row r="29" spans="1:18" customFormat="1" x14ac:dyDescent="0.25">
      <c r="A29" s="17"/>
      <c r="B29" s="17" t="s">
        <v>27</v>
      </c>
      <c r="C29" s="17" t="s">
        <v>1190</v>
      </c>
      <c r="D29" s="17" t="s">
        <v>1191</v>
      </c>
      <c r="E29" s="17" t="s">
        <v>1192</v>
      </c>
      <c r="F29" s="17" t="s">
        <v>98</v>
      </c>
      <c r="G29" s="18">
        <v>1140</v>
      </c>
      <c r="H29" s="18">
        <v>20</v>
      </c>
      <c r="I29" s="18">
        <f t="shared" si="0"/>
        <v>1120</v>
      </c>
      <c r="J29" s="17" t="s">
        <v>32</v>
      </c>
      <c r="K29" s="17" t="s">
        <v>32</v>
      </c>
      <c r="L29" s="17" t="s">
        <v>1144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1193</v>
      </c>
      <c r="D30" s="17" t="s">
        <v>1194</v>
      </c>
      <c r="E30" s="17" t="s">
        <v>1195</v>
      </c>
      <c r="F30" s="18">
        <v>2</v>
      </c>
      <c r="G30" s="18">
        <v>920</v>
      </c>
      <c r="H30" s="18">
        <v>30</v>
      </c>
      <c r="I30" s="18">
        <f t="shared" si="0"/>
        <v>890</v>
      </c>
      <c r="J30" s="17" t="s">
        <v>32</v>
      </c>
      <c r="K30" s="17" t="s">
        <v>32</v>
      </c>
      <c r="L30" s="17" t="s">
        <v>1144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1196</v>
      </c>
      <c r="D31" s="17" t="s">
        <v>1197</v>
      </c>
      <c r="E31" s="17" t="s">
        <v>1198</v>
      </c>
      <c r="F31" s="17" t="s">
        <v>98</v>
      </c>
      <c r="G31" s="18">
        <v>910</v>
      </c>
      <c r="H31" s="18">
        <v>20</v>
      </c>
      <c r="I31" s="18">
        <f t="shared" si="0"/>
        <v>890</v>
      </c>
      <c r="J31" s="17" t="s">
        <v>32</v>
      </c>
      <c r="K31" s="17" t="s">
        <v>32</v>
      </c>
      <c r="L31" s="17" t="s">
        <v>1144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1199</v>
      </c>
      <c r="D32" s="17" t="s">
        <v>1200</v>
      </c>
      <c r="E32" s="17" t="s">
        <v>1201</v>
      </c>
      <c r="F32" s="17" t="s">
        <v>98</v>
      </c>
      <c r="G32" s="18">
        <v>910</v>
      </c>
      <c r="H32" s="18">
        <v>20</v>
      </c>
      <c r="I32" s="18">
        <f t="shared" si="0"/>
        <v>890</v>
      </c>
      <c r="J32" s="17" t="s">
        <v>32</v>
      </c>
      <c r="K32" s="17" t="s">
        <v>32</v>
      </c>
      <c r="L32" s="17" t="s">
        <v>1144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566</v>
      </c>
      <c r="D33" s="17" t="s">
        <v>1202</v>
      </c>
      <c r="E33" s="17" t="s">
        <v>568</v>
      </c>
      <c r="F33" s="18">
        <v>12</v>
      </c>
      <c r="G33" s="18">
        <v>820</v>
      </c>
      <c r="H33" s="18">
        <v>30</v>
      </c>
      <c r="I33" s="18">
        <f t="shared" si="0"/>
        <v>790</v>
      </c>
      <c r="J33" s="17" t="s">
        <v>32</v>
      </c>
      <c r="K33" s="17" t="s">
        <v>32</v>
      </c>
      <c r="L33" s="17" t="s">
        <v>1144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1203</v>
      </c>
      <c r="D34" s="17" t="s">
        <v>1204</v>
      </c>
      <c r="E34" s="17" t="s">
        <v>1205</v>
      </c>
      <c r="F34" s="17" t="s">
        <v>98</v>
      </c>
      <c r="G34" s="18">
        <v>0</v>
      </c>
      <c r="H34" s="18">
        <v>20</v>
      </c>
      <c r="I34" s="18">
        <f t="shared" si="0"/>
        <v>-20</v>
      </c>
      <c r="J34" s="17" t="s">
        <v>32</v>
      </c>
      <c r="K34" s="17" t="s">
        <v>32</v>
      </c>
      <c r="L34" s="17" t="s">
        <v>1144</v>
      </c>
      <c r="M34" s="17"/>
      <c r="N34" s="17"/>
      <c r="O34" s="17"/>
      <c r="P34" s="17"/>
      <c r="Q34" s="17">
        <v>1</v>
      </c>
      <c r="R34" s="19">
        <f>H34</f>
        <v>20</v>
      </c>
    </row>
    <row r="35" spans="1:18" customFormat="1" x14ac:dyDescent="0.25">
      <c r="A35" s="17"/>
      <c r="B35" s="17" t="s">
        <v>27</v>
      </c>
      <c r="C35" s="17" t="s">
        <v>1206</v>
      </c>
      <c r="D35" s="17" t="s">
        <v>1207</v>
      </c>
      <c r="E35" s="17" t="s">
        <v>1208</v>
      </c>
      <c r="F35" s="17" t="s">
        <v>98</v>
      </c>
      <c r="G35" s="18">
        <v>790</v>
      </c>
      <c r="H35" s="18">
        <v>20</v>
      </c>
      <c r="I35" s="18">
        <f t="shared" si="0"/>
        <v>770</v>
      </c>
      <c r="J35" s="17" t="s">
        <v>32</v>
      </c>
      <c r="K35" s="17" t="s">
        <v>32</v>
      </c>
      <c r="L35" s="17" t="s">
        <v>1144</v>
      </c>
      <c r="M35" s="20" t="s">
        <v>58</v>
      </c>
      <c r="N35" s="17"/>
      <c r="O35" s="17"/>
      <c r="P35" s="17"/>
      <c r="Q35" s="17">
        <v>1</v>
      </c>
      <c r="R35" s="19">
        <f>H35</f>
        <v>20</v>
      </c>
    </row>
    <row r="36" spans="1:18" customFormat="1" x14ac:dyDescent="0.25">
      <c r="A36" s="17"/>
      <c r="B36" s="17" t="s">
        <v>27</v>
      </c>
      <c r="C36" s="17" t="s">
        <v>1209</v>
      </c>
      <c r="D36" s="17" t="s">
        <v>1210</v>
      </c>
      <c r="E36" s="17" t="s">
        <v>1211</v>
      </c>
      <c r="F36" s="18">
        <v>9</v>
      </c>
      <c r="G36" s="18">
        <v>1350</v>
      </c>
      <c r="H36" s="18">
        <v>30</v>
      </c>
      <c r="I36" s="18">
        <f t="shared" si="0"/>
        <v>1320</v>
      </c>
      <c r="J36" s="17" t="s">
        <v>32</v>
      </c>
      <c r="K36" s="17" t="s">
        <v>32</v>
      </c>
      <c r="L36" s="17" t="s">
        <v>1144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575</v>
      </c>
      <c r="D37" s="17" t="s">
        <v>1212</v>
      </c>
      <c r="E37" s="17" t="s">
        <v>577</v>
      </c>
      <c r="F37" s="17" t="s">
        <v>98</v>
      </c>
      <c r="G37" s="18">
        <v>800</v>
      </c>
      <c r="H37" s="18">
        <v>20</v>
      </c>
      <c r="I37" s="18">
        <f t="shared" si="0"/>
        <v>780</v>
      </c>
      <c r="J37" s="17" t="s">
        <v>32</v>
      </c>
      <c r="K37" s="17" t="s">
        <v>32</v>
      </c>
      <c r="L37" s="17" t="s">
        <v>1144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1213</v>
      </c>
      <c r="D38" s="17" t="s">
        <v>1214</v>
      </c>
      <c r="E38" s="17" t="s">
        <v>1215</v>
      </c>
      <c r="F38" s="18">
        <v>1</v>
      </c>
      <c r="G38" s="18">
        <v>0</v>
      </c>
      <c r="H38" s="18">
        <v>25</v>
      </c>
      <c r="I38" s="18">
        <f t="shared" si="0"/>
        <v>-25</v>
      </c>
      <c r="J38" s="17" t="s">
        <v>140</v>
      </c>
      <c r="K38" s="17" t="s">
        <v>32</v>
      </c>
      <c r="L38" s="17" t="s">
        <v>1144</v>
      </c>
      <c r="M38" s="49" t="s">
        <v>1216</v>
      </c>
      <c r="N38" s="17"/>
      <c r="O38" s="17"/>
      <c r="P38" s="17"/>
      <c r="Q38" s="17">
        <v>1</v>
      </c>
      <c r="R38" s="19">
        <f>H38</f>
        <v>25</v>
      </c>
    </row>
    <row r="39" spans="1:18" customFormat="1" x14ac:dyDescent="0.25">
      <c r="A39" s="17"/>
      <c r="B39" s="17" t="s">
        <v>27</v>
      </c>
      <c r="C39" s="17" t="s">
        <v>1217</v>
      </c>
      <c r="D39" s="17" t="s">
        <v>1218</v>
      </c>
      <c r="E39" s="17" t="s">
        <v>1219</v>
      </c>
      <c r="F39" s="17" t="s">
        <v>130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1144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624</v>
      </c>
      <c r="D40" s="17" t="s">
        <v>1220</v>
      </c>
      <c r="E40" s="17" t="s">
        <v>626</v>
      </c>
      <c r="F40" s="17" t="s">
        <v>130</v>
      </c>
      <c r="G40" s="18">
        <v>915</v>
      </c>
      <c r="H40" s="18">
        <v>25</v>
      </c>
      <c r="I40" s="18">
        <f t="shared" si="0"/>
        <v>890</v>
      </c>
      <c r="J40" s="17" t="s">
        <v>140</v>
      </c>
      <c r="K40" s="17" t="s">
        <v>32</v>
      </c>
      <c r="L40" s="17" t="s">
        <v>1144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1221</v>
      </c>
      <c r="D41" s="17" t="s">
        <v>1222</v>
      </c>
      <c r="E41" s="17" t="s">
        <v>1223</v>
      </c>
      <c r="F41" s="18">
        <v>3</v>
      </c>
      <c r="G41" s="18">
        <v>995</v>
      </c>
      <c r="H41" s="18">
        <v>25</v>
      </c>
      <c r="I41" s="18">
        <f t="shared" si="0"/>
        <v>970</v>
      </c>
      <c r="J41" s="17" t="s">
        <v>140</v>
      </c>
      <c r="K41" s="17" t="s">
        <v>32</v>
      </c>
      <c r="L41" s="17" t="s">
        <v>1144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1224</v>
      </c>
      <c r="D42" s="17" t="s">
        <v>1225</v>
      </c>
      <c r="E42" s="17" t="s">
        <v>1226</v>
      </c>
      <c r="F42" s="17" t="s">
        <v>130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1144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1227</v>
      </c>
      <c r="D43" s="17" t="s">
        <v>1228</v>
      </c>
      <c r="E43" s="17" t="s">
        <v>1229</v>
      </c>
      <c r="F43" s="18">
        <v>1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1144</v>
      </c>
      <c r="M43" s="17"/>
      <c r="N43" s="17"/>
      <c r="O43" s="17"/>
      <c r="P43" s="17"/>
      <c r="Q43" s="17">
        <v>1</v>
      </c>
      <c r="R43" s="19">
        <f>H43</f>
        <v>25</v>
      </c>
    </row>
    <row r="44" spans="1:18" customFormat="1" x14ac:dyDescent="0.25">
      <c r="A44" s="17"/>
      <c r="B44" s="17" t="s">
        <v>27</v>
      </c>
      <c r="C44" s="17" t="s">
        <v>1230</v>
      </c>
      <c r="D44" s="17" t="s">
        <v>1231</v>
      </c>
      <c r="E44" s="17" t="s">
        <v>1232</v>
      </c>
      <c r="F44" s="18">
        <v>10</v>
      </c>
      <c r="G44" s="18">
        <v>515</v>
      </c>
      <c r="H44" s="18">
        <v>25</v>
      </c>
      <c r="I44" s="18">
        <f t="shared" si="0"/>
        <v>490</v>
      </c>
      <c r="J44" s="17" t="s">
        <v>140</v>
      </c>
      <c r="K44" s="17" t="s">
        <v>32</v>
      </c>
      <c r="L44" s="17" t="s">
        <v>1144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1233</v>
      </c>
      <c r="D45" s="17" t="s">
        <v>1234</v>
      </c>
      <c r="E45" s="17" t="s">
        <v>1235</v>
      </c>
      <c r="F45" s="17" t="s">
        <v>130</v>
      </c>
      <c r="G45" s="18">
        <v>560</v>
      </c>
      <c r="H45" s="18">
        <v>25</v>
      </c>
      <c r="I45" s="18">
        <f t="shared" si="0"/>
        <v>535</v>
      </c>
      <c r="J45" s="17" t="s">
        <v>140</v>
      </c>
      <c r="K45" s="17" t="s">
        <v>32</v>
      </c>
      <c r="L45" s="17" t="s">
        <v>1144</v>
      </c>
      <c r="M45" s="20" t="s">
        <v>58</v>
      </c>
      <c r="N45" s="17"/>
      <c r="O45" s="17"/>
      <c r="P45" s="17"/>
      <c r="Q45" s="17">
        <v>1</v>
      </c>
      <c r="R45" s="19">
        <f>H45</f>
        <v>25</v>
      </c>
    </row>
    <row r="46" spans="1:18" customFormat="1" x14ac:dyDescent="0.25">
      <c r="A46" s="17"/>
      <c r="B46" s="17" t="s">
        <v>27</v>
      </c>
      <c r="C46" s="17" t="s">
        <v>1236</v>
      </c>
      <c r="D46" s="17" t="s">
        <v>1237</v>
      </c>
      <c r="E46" s="17" t="s">
        <v>1238</v>
      </c>
      <c r="F46" s="18">
        <v>1</v>
      </c>
      <c r="G46" s="18">
        <v>1455</v>
      </c>
      <c r="H46" s="18">
        <v>25</v>
      </c>
      <c r="I46" s="18">
        <f t="shared" si="0"/>
        <v>1430</v>
      </c>
      <c r="J46" s="17" t="s">
        <v>140</v>
      </c>
      <c r="K46" s="17" t="s">
        <v>32</v>
      </c>
      <c r="L46" s="17" t="s">
        <v>1144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1239</v>
      </c>
      <c r="D47" s="17" t="s">
        <v>1240</v>
      </c>
      <c r="E47" s="17" t="s">
        <v>1241</v>
      </c>
      <c r="F47" s="18">
        <v>8</v>
      </c>
      <c r="G47" s="18">
        <v>0</v>
      </c>
      <c r="H47" s="18">
        <v>30</v>
      </c>
      <c r="I47" s="18">
        <f t="shared" si="0"/>
        <v>-30</v>
      </c>
      <c r="J47" s="17" t="s">
        <v>140</v>
      </c>
      <c r="K47" s="17" t="s">
        <v>32</v>
      </c>
      <c r="L47" s="17" t="s">
        <v>1144</v>
      </c>
      <c r="M47" s="17"/>
      <c r="N47" s="17"/>
      <c r="O47" s="17"/>
      <c r="P47" s="17"/>
      <c r="Q47" s="17">
        <v>1</v>
      </c>
      <c r="R47" s="19">
        <f t="shared" ref="R47:R49" si="3">H47</f>
        <v>30</v>
      </c>
    </row>
    <row r="48" spans="1:18" customFormat="1" x14ac:dyDescent="0.25">
      <c r="A48" s="17"/>
      <c r="B48" s="17" t="s">
        <v>27</v>
      </c>
      <c r="C48" s="17" t="s">
        <v>1242</v>
      </c>
      <c r="D48" s="17" t="s">
        <v>1243</v>
      </c>
      <c r="E48" s="17" t="s">
        <v>1244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1144</v>
      </c>
      <c r="M48" s="17"/>
      <c r="N48" s="17"/>
      <c r="O48" s="17"/>
      <c r="P48" s="17"/>
      <c r="Q48" s="17">
        <v>1</v>
      </c>
      <c r="R48" s="19">
        <f t="shared" si="3"/>
        <v>25</v>
      </c>
    </row>
    <row r="49" spans="1:18" customFormat="1" x14ac:dyDescent="0.25">
      <c r="A49" s="17"/>
      <c r="B49" s="17" t="s">
        <v>27</v>
      </c>
      <c r="C49" s="17" t="s">
        <v>1245</v>
      </c>
      <c r="D49" s="17" t="s">
        <v>1246</v>
      </c>
      <c r="E49" s="17" t="s">
        <v>1247</v>
      </c>
      <c r="F49" s="18">
        <v>1</v>
      </c>
      <c r="G49" s="18">
        <v>0</v>
      </c>
      <c r="H49" s="18">
        <v>25</v>
      </c>
      <c r="I49" s="18">
        <f t="shared" si="0"/>
        <v>-25</v>
      </c>
      <c r="J49" s="17" t="s">
        <v>140</v>
      </c>
      <c r="K49" s="17" t="s">
        <v>32</v>
      </c>
      <c r="L49" s="17" t="s">
        <v>1144</v>
      </c>
      <c r="M49" s="17"/>
      <c r="N49" s="17"/>
      <c r="O49" s="17"/>
      <c r="P49" s="17"/>
      <c r="Q49" s="17">
        <v>1</v>
      </c>
      <c r="R49" s="19">
        <f t="shared" si="3"/>
        <v>25</v>
      </c>
    </row>
    <row r="50" spans="1:18" customFormat="1" x14ac:dyDescent="0.25">
      <c r="A50" s="17"/>
      <c r="B50" s="17" t="s">
        <v>27</v>
      </c>
      <c r="C50" s="17" t="s">
        <v>688</v>
      </c>
      <c r="D50" s="17" t="s">
        <v>1248</v>
      </c>
      <c r="E50" s="17" t="s">
        <v>690</v>
      </c>
      <c r="F50" s="17" t="s">
        <v>51</v>
      </c>
      <c r="G50" s="18">
        <v>1115</v>
      </c>
      <c r="H50" s="18">
        <v>35</v>
      </c>
      <c r="I50" s="18">
        <f t="shared" si="0"/>
        <v>1080</v>
      </c>
      <c r="J50" s="17" t="s">
        <v>140</v>
      </c>
      <c r="K50" s="17" t="s">
        <v>32</v>
      </c>
      <c r="L50" s="17" t="s">
        <v>1144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27</v>
      </c>
      <c r="C51" s="17" t="s">
        <v>1249</v>
      </c>
      <c r="D51" s="17" t="s">
        <v>1250</v>
      </c>
      <c r="E51" s="17" t="s">
        <v>1251</v>
      </c>
      <c r="F51" s="18">
        <v>7</v>
      </c>
      <c r="G51" s="18">
        <v>910</v>
      </c>
      <c r="H51" s="18">
        <v>30</v>
      </c>
      <c r="I51" s="18">
        <f t="shared" si="0"/>
        <v>880</v>
      </c>
      <c r="J51" s="17" t="s">
        <v>140</v>
      </c>
      <c r="K51" s="17" t="s">
        <v>32</v>
      </c>
      <c r="L51" s="17" t="s">
        <v>1144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72</v>
      </c>
      <c r="D52" s="17" t="s">
        <v>1252</v>
      </c>
      <c r="E52" s="17" t="s">
        <v>74</v>
      </c>
      <c r="F52" s="18">
        <v>8</v>
      </c>
      <c r="G52" s="18">
        <v>890</v>
      </c>
      <c r="H52" s="18">
        <v>30</v>
      </c>
      <c r="I52" s="18">
        <f t="shared" si="0"/>
        <v>860</v>
      </c>
      <c r="J52" s="17" t="s">
        <v>140</v>
      </c>
      <c r="K52" s="17" t="s">
        <v>32</v>
      </c>
      <c r="L52" s="17" t="s">
        <v>1144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1253</v>
      </c>
      <c r="D53" s="17" t="s">
        <v>1254</v>
      </c>
      <c r="E53" s="17" t="s">
        <v>1255</v>
      </c>
      <c r="F53" s="18">
        <v>10</v>
      </c>
      <c r="G53" s="18">
        <v>3730</v>
      </c>
      <c r="H53" s="18">
        <v>35</v>
      </c>
      <c r="I53" s="18">
        <f t="shared" si="0"/>
        <v>3695</v>
      </c>
      <c r="J53" s="17" t="s">
        <v>140</v>
      </c>
      <c r="K53" s="17" t="s">
        <v>32</v>
      </c>
      <c r="L53" s="17" t="s">
        <v>1144</v>
      </c>
      <c r="M53" s="20" t="s">
        <v>58</v>
      </c>
      <c r="N53" s="17"/>
      <c r="O53" s="17"/>
      <c r="P53" s="17"/>
      <c r="Q53" s="17">
        <v>1</v>
      </c>
      <c r="R53" s="19">
        <f t="shared" ref="R53" si="4">H53</f>
        <v>35</v>
      </c>
    </row>
    <row r="54" spans="1:18" s="30" customFormat="1" x14ac:dyDescent="0.25">
      <c r="A54" s="24"/>
      <c r="B54" s="24" t="s">
        <v>27</v>
      </c>
      <c r="C54" s="24" t="s">
        <v>1256</v>
      </c>
      <c r="D54" s="24" t="s">
        <v>1257</v>
      </c>
      <c r="E54" s="24" t="s">
        <v>1258</v>
      </c>
      <c r="F54" s="24"/>
      <c r="G54" s="25">
        <v>1245</v>
      </c>
      <c r="H54" s="25">
        <v>0</v>
      </c>
      <c r="I54" s="25">
        <f t="shared" si="0"/>
        <v>1245</v>
      </c>
      <c r="J54" s="24" t="s">
        <v>188</v>
      </c>
      <c r="K54" s="24" t="s">
        <v>32</v>
      </c>
      <c r="L54" s="24" t="s">
        <v>1144</v>
      </c>
      <c r="M54" s="24" t="s">
        <v>184</v>
      </c>
      <c r="N54" s="24" t="s">
        <v>660</v>
      </c>
      <c r="O54" s="24"/>
      <c r="P54" s="24" t="s">
        <v>661</v>
      </c>
      <c r="Q54" s="24">
        <v>1</v>
      </c>
    </row>
    <row r="55" spans="1:18" s="30" customFormat="1" x14ac:dyDescent="0.25">
      <c r="A55" s="24"/>
      <c r="B55" s="24" t="s">
        <v>27</v>
      </c>
      <c r="C55" s="24" t="s">
        <v>1259</v>
      </c>
      <c r="D55" s="24" t="s">
        <v>1260</v>
      </c>
      <c r="E55" s="24" t="s">
        <v>1261</v>
      </c>
      <c r="F55" s="24"/>
      <c r="G55" s="25">
        <v>0</v>
      </c>
      <c r="H55" s="25">
        <v>0</v>
      </c>
      <c r="I55" s="25">
        <f t="shared" si="0"/>
        <v>0</v>
      </c>
      <c r="J55" s="24" t="s">
        <v>188</v>
      </c>
      <c r="K55" s="24" t="s">
        <v>32</v>
      </c>
      <c r="L55" s="24" t="s">
        <v>1144</v>
      </c>
      <c r="M55" s="24" t="s">
        <v>184</v>
      </c>
      <c r="N55" s="24" t="s">
        <v>660</v>
      </c>
      <c r="O55" s="24"/>
      <c r="P55" s="24" t="s">
        <v>661</v>
      </c>
      <c r="Q55" s="24">
        <v>1</v>
      </c>
    </row>
    <row r="57" spans="1:18" x14ac:dyDescent="0.25">
      <c r="G57" s="1">
        <f t="shared" ref="G57:R57" si="5">SUBTOTAL(9,G3:G56)</f>
        <v>42445</v>
      </c>
      <c r="H57" s="1">
        <f t="shared" si="5"/>
        <v>1520</v>
      </c>
      <c r="I57" s="1">
        <f t="shared" si="5"/>
        <v>40925</v>
      </c>
      <c r="J57" s="1">
        <f t="shared" si="5"/>
        <v>0</v>
      </c>
      <c r="K57" s="1">
        <f t="shared" si="5"/>
        <v>0</v>
      </c>
      <c r="L57" s="1">
        <f t="shared" si="5"/>
        <v>0</v>
      </c>
      <c r="M57" s="1">
        <f t="shared" si="5"/>
        <v>0</v>
      </c>
      <c r="N57" s="1">
        <f t="shared" si="5"/>
        <v>0</v>
      </c>
      <c r="O57" s="1">
        <f t="shared" si="5"/>
        <v>0</v>
      </c>
      <c r="P57" s="1">
        <f t="shared" si="5"/>
        <v>0</v>
      </c>
      <c r="Q57" s="1">
        <f t="shared" si="5"/>
        <v>53</v>
      </c>
      <c r="R57" s="1">
        <f t="shared" si="5"/>
        <v>620</v>
      </c>
    </row>
    <row r="58" spans="1:18" x14ac:dyDescent="0.25">
      <c r="I58" s="26">
        <f>-H74</f>
        <v>-1245</v>
      </c>
      <c r="J58" s="1" t="s">
        <v>1262</v>
      </c>
    </row>
    <row r="59" spans="1:18" x14ac:dyDescent="0.25">
      <c r="I59" s="26"/>
    </row>
    <row r="61" spans="1:18" ht="20.25" customHeight="1" x14ac:dyDescent="0.3">
      <c r="H61" s="4" t="s">
        <v>1140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39680</v>
      </c>
      <c r="J62" s="8">
        <f>Q57</f>
        <v>53</v>
      </c>
    </row>
    <row r="63" spans="1:18" x14ac:dyDescent="0.25">
      <c r="H63" s="9" t="s">
        <v>18</v>
      </c>
      <c r="I63" s="10">
        <f>R57</f>
        <v>620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21" x14ac:dyDescent="0.25">
      <c r="H65" s="9" t="s">
        <v>20</v>
      </c>
      <c r="I65" s="10">
        <f>T56</f>
        <v>0</v>
      </c>
      <c r="J65" s="11"/>
    </row>
    <row r="66" spans="1:21" x14ac:dyDescent="0.25">
      <c r="H66" s="9" t="s">
        <v>21</v>
      </c>
      <c r="I66" s="10">
        <f>U56</f>
        <v>0</v>
      </c>
      <c r="J66" s="11"/>
    </row>
    <row r="67" spans="1:21" ht="15.75" customHeight="1" x14ac:dyDescent="0.25">
      <c r="H67" s="12" t="s">
        <v>22</v>
      </c>
      <c r="I67" s="13"/>
      <c r="J67" s="13"/>
    </row>
    <row r="68" spans="1:21" ht="15.75" customHeight="1" x14ac:dyDescent="0.25">
      <c r="H68" s="14" t="s">
        <v>23</v>
      </c>
      <c r="I68" s="13"/>
      <c r="J68" s="13"/>
    </row>
    <row r="69" spans="1:21" ht="21" customHeight="1" x14ac:dyDescent="0.35">
      <c r="H69" s="15" t="s">
        <v>24</v>
      </c>
      <c r="I69" s="16">
        <f>SUM(I62:I68)</f>
        <v>40300</v>
      </c>
      <c r="J69" s="16">
        <f>SUM(J62:J66)</f>
        <v>53</v>
      </c>
    </row>
    <row r="71" spans="1:21" x14ac:dyDescent="0.25">
      <c r="A71" s="1" t="s">
        <v>184</v>
      </c>
    </row>
    <row r="72" spans="1:21" x14ac:dyDescent="0.25">
      <c r="A72" s="24" t="s">
        <v>27</v>
      </c>
      <c r="B72" s="24" t="s">
        <v>1256</v>
      </c>
      <c r="C72" s="24" t="s">
        <v>1257</v>
      </c>
      <c r="D72" s="24" t="s">
        <v>1258</v>
      </c>
      <c r="E72" s="24"/>
      <c r="F72" s="25">
        <v>1245</v>
      </c>
      <c r="G72" s="25">
        <v>0</v>
      </c>
      <c r="H72" s="25">
        <f t="shared" ref="H72:H73" si="6">F72-G72</f>
        <v>1245</v>
      </c>
      <c r="I72" s="24" t="s">
        <v>188</v>
      </c>
      <c r="J72" s="24" t="s">
        <v>32</v>
      </c>
      <c r="K72" s="24" t="s">
        <v>1144</v>
      </c>
      <c r="L72" s="24" t="s">
        <v>184</v>
      </c>
    </row>
    <row r="73" spans="1:21" x14ac:dyDescent="0.25">
      <c r="A73" s="24" t="s">
        <v>27</v>
      </c>
      <c r="B73" s="24" t="s">
        <v>1259</v>
      </c>
      <c r="C73" s="24" t="s">
        <v>1260</v>
      </c>
      <c r="D73" s="24" t="s">
        <v>1261</v>
      </c>
      <c r="E73" s="24"/>
      <c r="F73" s="25">
        <v>0</v>
      </c>
      <c r="G73" s="25">
        <v>0</v>
      </c>
      <c r="H73" s="25">
        <f t="shared" si="6"/>
        <v>0</v>
      </c>
      <c r="I73" s="24" t="s">
        <v>188</v>
      </c>
      <c r="J73" s="24" t="s">
        <v>32</v>
      </c>
      <c r="K73" s="24" t="s">
        <v>1144</v>
      </c>
      <c r="L73" s="24" t="s">
        <v>184</v>
      </c>
    </row>
    <row r="74" spans="1:21" s="48" customFormat="1" x14ac:dyDescent="0.25">
      <c r="A74" s="1"/>
      <c r="B74" s="1"/>
      <c r="C74" s="1"/>
      <c r="D74" s="1"/>
      <c r="E74" s="1"/>
      <c r="F74" s="1"/>
      <c r="G74" s="1"/>
      <c r="H74" s="26">
        <f>SUM(H72:H73)</f>
        <v>1245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3E82-62BC-4832-9999-7B73C462A8A7}">
  <dimension ref="A1:U73"/>
  <sheetViews>
    <sheetView topLeftCell="A49" zoomScale="82" zoomScaleNormal="80" workbookViewId="0">
      <selection activeCell="H55" sqref="H5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1263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34</v>
      </c>
      <c r="D3" s="17"/>
      <c r="E3" s="17" t="s">
        <v>35</v>
      </c>
      <c r="F3" s="18">
        <v>6</v>
      </c>
      <c r="G3" s="18">
        <v>0</v>
      </c>
      <c r="H3" s="18">
        <v>30</v>
      </c>
      <c r="I3" s="18">
        <f t="shared" ref="I3:I48" si="0">G3-H3</f>
        <v>-30</v>
      </c>
      <c r="J3" s="17" t="s">
        <v>1264</v>
      </c>
      <c r="K3" s="17" t="s">
        <v>32</v>
      </c>
      <c r="L3" s="17" t="s">
        <v>1265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1266</v>
      </c>
      <c r="D4" s="17"/>
      <c r="E4" s="17" t="s">
        <v>1267</v>
      </c>
      <c r="F4" s="18">
        <v>6</v>
      </c>
      <c r="G4" s="18">
        <v>2845</v>
      </c>
      <c r="H4" s="18">
        <v>35</v>
      </c>
      <c r="I4" s="18">
        <f t="shared" si="0"/>
        <v>2810</v>
      </c>
      <c r="J4" s="17" t="s">
        <v>1264</v>
      </c>
      <c r="K4" s="17" t="s">
        <v>32</v>
      </c>
      <c r="L4" s="17" t="s">
        <v>1265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1268</v>
      </c>
      <c r="D5" s="17" t="s">
        <v>1269</v>
      </c>
      <c r="E5" s="17" t="s">
        <v>1270</v>
      </c>
      <c r="F5" s="17" t="s">
        <v>30</v>
      </c>
      <c r="G5" s="18">
        <v>920</v>
      </c>
      <c r="H5" s="18">
        <v>30</v>
      </c>
      <c r="I5" s="18">
        <f t="shared" si="0"/>
        <v>890</v>
      </c>
      <c r="J5" s="17" t="s">
        <v>1264</v>
      </c>
      <c r="K5" s="17" t="s">
        <v>32</v>
      </c>
      <c r="L5" s="17" t="s">
        <v>1265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1271</v>
      </c>
      <c r="D6" s="17" t="s">
        <v>1272</v>
      </c>
      <c r="E6" s="17" t="s">
        <v>1273</v>
      </c>
      <c r="F6" s="17" t="s">
        <v>51</v>
      </c>
      <c r="G6" s="18">
        <v>925</v>
      </c>
      <c r="H6" s="18">
        <v>35</v>
      </c>
      <c r="I6" s="18">
        <f t="shared" si="0"/>
        <v>890</v>
      </c>
      <c r="J6" s="17" t="s">
        <v>1264</v>
      </c>
      <c r="K6" s="17" t="s">
        <v>32</v>
      </c>
      <c r="L6" s="17" t="s">
        <v>1265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1274</v>
      </c>
      <c r="D7" s="17" t="s">
        <v>1275</v>
      </c>
      <c r="E7" s="17" t="s">
        <v>1276</v>
      </c>
      <c r="F7" s="17" t="s">
        <v>130</v>
      </c>
      <c r="G7" s="18">
        <v>2410</v>
      </c>
      <c r="H7" s="18">
        <v>30</v>
      </c>
      <c r="I7" s="18">
        <f t="shared" si="0"/>
        <v>2380</v>
      </c>
      <c r="J7" s="17" t="s">
        <v>1264</v>
      </c>
      <c r="K7" s="17" t="s">
        <v>32</v>
      </c>
      <c r="L7" s="17" t="s">
        <v>1265</v>
      </c>
      <c r="M7" s="20" t="s">
        <v>58</v>
      </c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1277</v>
      </c>
      <c r="D8" s="17" t="s">
        <v>1278</v>
      </c>
      <c r="E8" s="17" t="s">
        <v>1279</v>
      </c>
      <c r="F8" s="17" t="s">
        <v>80</v>
      </c>
      <c r="G8" s="18">
        <v>0</v>
      </c>
      <c r="H8" s="18">
        <v>35</v>
      </c>
      <c r="I8" s="18">
        <f t="shared" si="0"/>
        <v>-35</v>
      </c>
      <c r="J8" s="17" t="s">
        <v>1264</v>
      </c>
      <c r="K8" s="17" t="s">
        <v>32</v>
      </c>
      <c r="L8" s="17" t="s">
        <v>1265</v>
      </c>
      <c r="M8" s="20" t="s">
        <v>893</v>
      </c>
      <c r="N8" s="17"/>
      <c r="O8" s="17"/>
      <c r="P8" s="17"/>
      <c r="Q8" s="17">
        <v>1</v>
      </c>
      <c r="R8" s="19">
        <f>H8</f>
        <v>35</v>
      </c>
    </row>
    <row r="9" spans="1:18" customFormat="1" x14ac:dyDescent="0.25">
      <c r="A9" s="17"/>
      <c r="B9" s="17" t="s">
        <v>27</v>
      </c>
      <c r="C9" s="17" t="s">
        <v>1280</v>
      </c>
      <c r="D9" s="17" t="s">
        <v>1281</v>
      </c>
      <c r="E9" s="17" t="s">
        <v>1282</v>
      </c>
      <c r="F9" s="18">
        <v>6</v>
      </c>
      <c r="G9" s="18">
        <v>0</v>
      </c>
      <c r="H9" s="18">
        <v>25</v>
      </c>
      <c r="I9" s="18">
        <f t="shared" si="0"/>
        <v>-25</v>
      </c>
      <c r="J9" s="17" t="s">
        <v>1264</v>
      </c>
      <c r="K9" s="17" t="s">
        <v>32</v>
      </c>
      <c r="L9" s="17" t="s">
        <v>1265</v>
      </c>
      <c r="M9" s="17"/>
      <c r="N9" s="17"/>
      <c r="O9" s="17"/>
      <c r="P9" s="17"/>
      <c r="Q9" s="17">
        <v>1</v>
      </c>
    </row>
    <row r="10" spans="1:18" s="47" customFormat="1" x14ac:dyDescent="0.25">
      <c r="A10" s="17"/>
      <c r="B10" s="17" t="s">
        <v>27</v>
      </c>
      <c r="C10" s="17" t="s">
        <v>52</v>
      </c>
      <c r="D10" s="17" t="s">
        <v>1283</v>
      </c>
      <c r="E10" s="17" t="s">
        <v>54</v>
      </c>
      <c r="F10" s="17" t="s">
        <v>30</v>
      </c>
      <c r="G10" s="18">
        <v>960</v>
      </c>
      <c r="H10" s="18">
        <v>30</v>
      </c>
      <c r="I10" s="18">
        <f t="shared" si="0"/>
        <v>930</v>
      </c>
      <c r="J10" s="17" t="s">
        <v>1264</v>
      </c>
      <c r="K10" s="17" t="s">
        <v>32</v>
      </c>
      <c r="L10" s="17" t="s">
        <v>1265</v>
      </c>
      <c r="M10" s="17"/>
      <c r="N10" s="17"/>
      <c r="O10" s="17"/>
      <c r="P10" s="17"/>
      <c r="Q10" s="46">
        <v>1</v>
      </c>
      <c r="R10" s="50">
        <f>H10</f>
        <v>30</v>
      </c>
    </row>
    <row r="11" spans="1:18" customFormat="1" x14ac:dyDescent="0.25">
      <c r="A11" s="17"/>
      <c r="B11" s="17" t="s">
        <v>27</v>
      </c>
      <c r="C11" s="17" t="s">
        <v>1284</v>
      </c>
      <c r="D11" s="17" t="s">
        <v>1285</v>
      </c>
      <c r="E11" s="17" t="s">
        <v>1286</v>
      </c>
      <c r="F11" s="18">
        <v>6</v>
      </c>
      <c r="G11" s="18">
        <v>915</v>
      </c>
      <c r="H11" s="18">
        <v>25</v>
      </c>
      <c r="I11" s="18">
        <f t="shared" si="0"/>
        <v>890</v>
      </c>
      <c r="J11" s="17" t="s">
        <v>1264</v>
      </c>
      <c r="K11" s="17" t="s">
        <v>32</v>
      </c>
      <c r="L11" s="17" t="s">
        <v>1265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1287</v>
      </c>
      <c r="D12" s="17" t="s">
        <v>1288</v>
      </c>
      <c r="E12" s="17" t="s">
        <v>1289</v>
      </c>
      <c r="F12" s="17" t="s">
        <v>51</v>
      </c>
      <c r="G12" s="18">
        <v>885</v>
      </c>
      <c r="H12" s="18">
        <v>35</v>
      </c>
      <c r="I12" s="18">
        <f t="shared" si="0"/>
        <v>850</v>
      </c>
      <c r="J12" s="17" t="s">
        <v>1264</v>
      </c>
      <c r="K12" s="17" t="s">
        <v>32</v>
      </c>
      <c r="L12" s="17" t="s">
        <v>1265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1290</v>
      </c>
      <c r="D13" s="17" t="s">
        <v>1291</v>
      </c>
      <c r="E13" s="17" t="s">
        <v>1292</v>
      </c>
      <c r="F13" s="18">
        <v>7</v>
      </c>
      <c r="G13" s="18">
        <v>1420</v>
      </c>
      <c r="H13" s="18">
        <v>30</v>
      </c>
      <c r="I13" s="18">
        <f t="shared" si="0"/>
        <v>1390</v>
      </c>
      <c r="J13" s="17" t="s">
        <v>1264</v>
      </c>
      <c r="K13" s="17" t="s">
        <v>32</v>
      </c>
      <c r="L13" s="17" t="s">
        <v>1265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1293</v>
      </c>
      <c r="D14" s="17" t="s">
        <v>1294</v>
      </c>
      <c r="E14" s="17" t="s">
        <v>1295</v>
      </c>
      <c r="F14" s="18">
        <v>7</v>
      </c>
      <c r="G14" s="18">
        <v>870</v>
      </c>
      <c r="H14" s="18">
        <v>30</v>
      </c>
      <c r="I14" s="18">
        <f t="shared" si="0"/>
        <v>840</v>
      </c>
      <c r="J14" s="17" t="s">
        <v>1264</v>
      </c>
      <c r="K14" s="17" t="s">
        <v>32</v>
      </c>
      <c r="L14" s="17" t="s">
        <v>1265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1296</v>
      </c>
      <c r="D15" s="17" t="s">
        <v>1297</v>
      </c>
      <c r="E15" s="17" t="s">
        <v>358</v>
      </c>
      <c r="F15" s="17" t="s">
        <v>30</v>
      </c>
      <c r="G15" s="18">
        <v>0</v>
      </c>
      <c r="H15" s="18">
        <v>30</v>
      </c>
      <c r="I15" s="18">
        <f t="shared" si="0"/>
        <v>-30</v>
      </c>
      <c r="J15" s="17" t="s">
        <v>1264</v>
      </c>
      <c r="K15" s="17" t="s">
        <v>32</v>
      </c>
      <c r="L15" s="17" t="s">
        <v>1265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1298</v>
      </c>
      <c r="D16" s="17" t="s">
        <v>1299</v>
      </c>
      <c r="E16" s="17" t="s">
        <v>1300</v>
      </c>
      <c r="F16" s="17" t="s">
        <v>130</v>
      </c>
      <c r="G16" s="18">
        <v>815</v>
      </c>
      <c r="H16" s="18">
        <v>25</v>
      </c>
      <c r="I16" s="18">
        <f t="shared" si="0"/>
        <v>790</v>
      </c>
      <c r="J16" s="17" t="s">
        <v>1264</v>
      </c>
      <c r="K16" s="17" t="s">
        <v>32</v>
      </c>
      <c r="L16" s="17" t="s">
        <v>1265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1301</v>
      </c>
      <c r="D17" s="17" t="s">
        <v>1302</v>
      </c>
      <c r="E17" s="17" t="s">
        <v>1303</v>
      </c>
      <c r="F17" s="18">
        <v>8</v>
      </c>
      <c r="G17" s="18">
        <v>550</v>
      </c>
      <c r="H17" s="18">
        <v>30</v>
      </c>
      <c r="I17" s="18">
        <f t="shared" si="0"/>
        <v>520</v>
      </c>
      <c r="J17" s="17" t="s">
        <v>1264</v>
      </c>
      <c r="K17" s="17" t="s">
        <v>32</v>
      </c>
      <c r="L17" s="17" t="s">
        <v>1265</v>
      </c>
      <c r="M17" s="17"/>
      <c r="N17" s="17"/>
      <c r="O17" s="17"/>
      <c r="P17" s="17"/>
      <c r="Q17" s="17">
        <v>1</v>
      </c>
      <c r="R17" s="19">
        <f>H17</f>
        <v>30</v>
      </c>
    </row>
    <row r="18" spans="1:18" customFormat="1" x14ac:dyDescent="0.25">
      <c r="A18" s="17"/>
      <c r="B18" s="17" t="s">
        <v>27</v>
      </c>
      <c r="C18" s="17" t="s">
        <v>504</v>
      </c>
      <c r="D18" s="17" t="s">
        <v>1304</v>
      </c>
      <c r="E18" s="17" t="s">
        <v>1305</v>
      </c>
      <c r="F18" s="18">
        <v>8</v>
      </c>
      <c r="G18" s="18">
        <v>1850</v>
      </c>
      <c r="H18" s="18">
        <v>30</v>
      </c>
      <c r="I18" s="18">
        <f t="shared" si="0"/>
        <v>1820</v>
      </c>
      <c r="J18" s="17" t="s">
        <v>1264</v>
      </c>
      <c r="K18" s="17" t="s">
        <v>32</v>
      </c>
      <c r="L18" s="17" t="s">
        <v>1265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1306</v>
      </c>
      <c r="D19" s="17" t="s">
        <v>1307</v>
      </c>
      <c r="E19" s="17" t="s">
        <v>1308</v>
      </c>
      <c r="F19" s="17" t="s">
        <v>170</v>
      </c>
      <c r="G19" s="18">
        <v>455</v>
      </c>
      <c r="H19" s="18">
        <v>25</v>
      </c>
      <c r="I19" s="18">
        <f t="shared" si="0"/>
        <v>430</v>
      </c>
      <c r="J19" s="17" t="s">
        <v>1264</v>
      </c>
      <c r="K19" s="17" t="s">
        <v>32</v>
      </c>
      <c r="L19" s="17" t="s">
        <v>1265</v>
      </c>
      <c r="M19" s="17"/>
      <c r="N19" s="17"/>
      <c r="O19" s="17"/>
      <c r="P19" s="17"/>
      <c r="Q19" s="17">
        <v>1</v>
      </c>
      <c r="R19" s="19">
        <f>H19</f>
        <v>25</v>
      </c>
    </row>
    <row r="20" spans="1:18" customFormat="1" x14ac:dyDescent="0.25">
      <c r="A20" s="17" t="s">
        <v>26</v>
      </c>
      <c r="B20" s="17" t="s">
        <v>27</v>
      </c>
      <c r="C20" s="17" t="s">
        <v>735</v>
      </c>
      <c r="D20" s="17"/>
      <c r="E20" s="17" t="s">
        <v>1309</v>
      </c>
      <c r="F20" s="18">
        <v>9</v>
      </c>
      <c r="G20" s="18">
        <v>555</v>
      </c>
      <c r="H20" s="18">
        <v>35</v>
      </c>
      <c r="I20" s="18">
        <f t="shared" si="0"/>
        <v>520</v>
      </c>
      <c r="J20" s="17" t="s">
        <v>32</v>
      </c>
      <c r="K20" s="17" t="s">
        <v>32</v>
      </c>
      <c r="L20" s="17" t="s">
        <v>1265</v>
      </c>
      <c r="M20" s="17"/>
      <c r="N20" s="17"/>
      <c r="O20" s="17"/>
      <c r="P20" s="17"/>
      <c r="Q20" s="17">
        <v>1</v>
      </c>
      <c r="R20" s="19">
        <f>H20</f>
        <v>35</v>
      </c>
    </row>
    <row r="21" spans="1:18" customFormat="1" x14ac:dyDescent="0.25">
      <c r="A21" s="17" t="s">
        <v>26</v>
      </c>
      <c r="B21" s="17" t="s">
        <v>27</v>
      </c>
      <c r="C21" s="17" t="s">
        <v>737</v>
      </c>
      <c r="D21" s="17"/>
      <c r="E21" s="17" t="s">
        <v>738</v>
      </c>
      <c r="F21" s="17" t="s">
        <v>130</v>
      </c>
      <c r="G21" s="18">
        <v>30</v>
      </c>
      <c r="H21" s="18">
        <v>30</v>
      </c>
      <c r="I21" s="18">
        <f t="shared" si="0"/>
        <v>0</v>
      </c>
      <c r="J21" s="17" t="s">
        <v>32</v>
      </c>
      <c r="K21" s="17" t="s">
        <v>32</v>
      </c>
      <c r="L21" s="17" t="s">
        <v>1265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1310</v>
      </c>
      <c r="D22" s="17" t="s">
        <v>1311</v>
      </c>
      <c r="E22" s="17" t="s">
        <v>1312</v>
      </c>
      <c r="F22" s="18">
        <v>9</v>
      </c>
      <c r="G22" s="18">
        <v>820</v>
      </c>
      <c r="H22" s="18">
        <v>30</v>
      </c>
      <c r="I22" s="18">
        <f t="shared" si="0"/>
        <v>790</v>
      </c>
      <c r="J22" s="17" t="s">
        <v>32</v>
      </c>
      <c r="K22" s="17" t="s">
        <v>32</v>
      </c>
      <c r="L22" s="17" t="s">
        <v>1265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1206</v>
      </c>
      <c r="D23" s="21" t="s">
        <v>1313</v>
      </c>
      <c r="E23" s="21" t="s">
        <v>1208</v>
      </c>
      <c r="F23" s="21" t="s">
        <v>98</v>
      </c>
      <c r="G23" s="22">
        <v>0</v>
      </c>
      <c r="H23" s="22">
        <v>20</v>
      </c>
      <c r="I23" s="22">
        <f t="shared" si="0"/>
        <v>-20</v>
      </c>
      <c r="J23" s="21" t="s">
        <v>32</v>
      </c>
      <c r="K23" s="21" t="s">
        <v>32</v>
      </c>
      <c r="L23" s="21" t="s">
        <v>1265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1314</v>
      </c>
      <c r="D24" s="17" t="s">
        <v>1315</v>
      </c>
      <c r="E24" s="17" t="s">
        <v>1316</v>
      </c>
      <c r="F24" s="18">
        <v>12</v>
      </c>
      <c r="G24" s="18">
        <v>0</v>
      </c>
      <c r="H24" s="18">
        <v>30</v>
      </c>
      <c r="I24" s="18">
        <f t="shared" si="0"/>
        <v>-30</v>
      </c>
      <c r="J24" s="17" t="s">
        <v>32</v>
      </c>
      <c r="K24" s="17" t="s">
        <v>32</v>
      </c>
      <c r="L24" s="17" t="s">
        <v>1265</v>
      </c>
      <c r="M24" s="20" t="s">
        <v>386</v>
      </c>
      <c r="N24" s="17"/>
      <c r="O24" s="17"/>
      <c r="P24" s="17"/>
      <c r="Q24" s="17">
        <v>1</v>
      </c>
      <c r="R24" s="19">
        <f t="shared" ref="R24:R26" si="1">H24</f>
        <v>30</v>
      </c>
    </row>
    <row r="25" spans="1:18" customFormat="1" x14ac:dyDescent="0.25">
      <c r="A25" s="17"/>
      <c r="B25" s="17" t="s">
        <v>27</v>
      </c>
      <c r="C25" s="17" t="s">
        <v>1314</v>
      </c>
      <c r="D25" s="17" t="s">
        <v>1317</v>
      </c>
      <c r="E25" s="17" t="s">
        <v>1316</v>
      </c>
      <c r="F25" s="18">
        <v>12</v>
      </c>
      <c r="G25" s="18">
        <v>0</v>
      </c>
      <c r="H25" s="18">
        <v>0</v>
      </c>
      <c r="I25" s="18">
        <f t="shared" si="0"/>
        <v>0</v>
      </c>
      <c r="J25" s="17" t="s">
        <v>32</v>
      </c>
      <c r="K25" s="17" t="s">
        <v>32</v>
      </c>
      <c r="L25" s="17" t="s">
        <v>1265</v>
      </c>
      <c r="M25" s="20" t="s">
        <v>386</v>
      </c>
      <c r="N25" s="17"/>
      <c r="O25" s="17"/>
      <c r="P25" s="17"/>
      <c r="Q25" s="17">
        <v>1</v>
      </c>
      <c r="R25" s="19">
        <f t="shared" si="1"/>
        <v>0</v>
      </c>
    </row>
    <row r="26" spans="1:18" customFormat="1" x14ac:dyDescent="0.25">
      <c r="A26" s="17"/>
      <c r="B26" s="17" t="s">
        <v>27</v>
      </c>
      <c r="C26" s="17" t="s">
        <v>1318</v>
      </c>
      <c r="D26" s="17" t="s">
        <v>1319</v>
      </c>
      <c r="E26" s="17" t="s">
        <v>1320</v>
      </c>
      <c r="F26" s="17" t="s">
        <v>77</v>
      </c>
      <c r="G26" s="18">
        <v>815</v>
      </c>
      <c r="H26" s="18">
        <v>25</v>
      </c>
      <c r="I26" s="18">
        <f t="shared" si="0"/>
        <v>790</v>
      </c>
      <c r="J26" s="17" t="s">
        <v>32</v>
      </c>
      <c r="K26" s="17" t="s">
        <v>32</v>
      </c>
      <c r="L26" s="17" t="s">
        <v>1265</v>
      </c>
      <c r="M26" s="17"/>
      <c r="N26" s="17"/>
      <c r="O26" s="17"/>
      <c r="P26" s="17"/>
      <c r="Q26" s="17">
        <v>1</v>
      </c>
      <c r="R26" s="19">
        <f t="shared" si="1"/>
        <v>25</v>
      </c>
    </row>
    <row r="27" spans="1:18" customFormat="1" x14ac:dyDescent="0.25">
      <c r="A27" s="17"/>
      <c r="B27" s="17" t="s">
        <v>27</v>
      </c>
      <c r="C27" s="17" t="s">
        <v>1321</v>
      </c>
      <c r="D27" s="17" t="s">
        <v>1322</v>
      </c>
      <c r="E27" s="17" t="s">
        <v>1323</v>
      </c>
      <c r="F27" s="17" t="s">
        <v>130</v>
      </c>
      <c r="G27" s="18">
        <v>0</v>
      </c>
      <c r="H27" s="18">
        <v>25</v>
      </c>
      <c r="I27" s="18">
        <f t="shared" si="0"/>
        <v>-25</v>
      </c>
      <c r="J27" s="17" t="s">
        <v>32</v>
      </c>
      <c r="K27" s="17" t="s">
        <v>32</v>
      </c>
      <c r="L27" s="17" t="s">
        <v>1265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1324</v>
      </c>
      <c r="D28" s="17" t="s">
        <v>1325</v>
      </c>
      <c r="E28" s="17" t="s">
        <v>1326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1265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530</v>
      </c>
      <c r="D29" s="17" t="s">
        <v>1327</v>
      </c>
      <c r="E29" s="17" t="s">
        <v>532</v>
      </c>
      <c r="F29" s="18">
        <v>9</v>
      </c>
      <c r="G29" s="18">
        <v>1710</v>
      </c>
      <c r="H29" s="18">
        <v>30</v>
      </c>
      <c r="I29" s="18">
        <f t="shared" si="0"/>
        <v>1680</v>
      </c>
      <c r="J29" s="17" t="s">
        <v>32</v>
      </c>
      <c r="K29" s="17" t="s">
        <v>32</v>
      </c>
      <c r="L29" s="17" t="s">
        <v>1265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1328</v>
      </c>
      <c r="D30" s="17" t="s">
        <v>1329</v>
      </c>
      <c r="E30" s="17" t="s">
        <v>1330</v>
      </c>
      <c r="F30" s="17" t="s">
        <v>71</v>
      </c>
      <c r="G30" s="18">
        <v>2620</v>
      </c>
      <c r="H30" s="18">
        <v>35</v>
      </c>
      <c r="I30" s="18">
        <f t="shared" si="0"/>
        <v>2585</v>
      </c>
      <c r="J30" s="17" t="s">
        <v>32</v>
      </c>
      <c r="K30" s="17" t="s">
        <v>32</v>
      </c>
      <c r="L30" s="17" t="s">
        <v>1265</v>
      </c>
      <c r="M30" s="20" t="s">
        <v>58</v>
      </c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1331</v>
      </c>
      <c r="D31" s="17" t="s">
        <v>1332</v>
      </c>
      <c r="E31" s="17" t="s">
        <v>1333</v>
      </c>
      <c r="F31" s="17" t="s">
        <v>130</v>
      </c>
      <c r="G31" s="18">
        <v>815</v>
      </c>
      <c r="H31" s="18">
        <v>25</v>
      </c>
      <c r="I31" s="18">
        <f t="shared" si="0"/>
        <v>790</v>
      </c>
      <c r="J31" s="17" t="s">
        <v>32</v>
      </c>
      <c r="K31" s="17" t="s">
        <v>32</v>
      </c>
      <c r="L31" s="17" t="s">
        <v>1265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1334</v>
      </c>
      <c r="D32" s="17" t="s">
        <v>1335</v>
      </c>
      <c r="E32" s="17" t="s">
        <v>1336</v>
      </c>
      <c r="F32" s="18">
        <v>12</v>
      </c>
      <c r="G32" s="18">
        <v>0</v>
      </c>
      <c r="H32" s="18">
        <v>40</v>
      </c>
      <c r="I32" s="18">
        <f t="shared" si="0"/>
        <v>-40</v>
      </c>
      <c r="J32" s="17" t="s">
        <v>32</v>
      </c>
      <c r="K32" s="17" t="s">
        <v>32</v>
      </c>
      <c r="L32" s="17" t="s">
        <v>1265</v>
      </c>
      <c r="M32" s="17"/>
      <c r="N32" s="17"/>
      <c r="O32" s="17"/>
      <c r="P32" s="17"/>
      <c r="Q32" s="17">
        <v>1</v>
      </c>
      <c r="R32" s="19">
        <f>H32</f>
        <v>40</v>
      </c>
    </row>
    <row r="33" spans="1:18" customFormat="1" x14ac:dyDescent="0.25">
      <c r="A33" s="17"/>
      <c r="B33" s="17" t="s">
        <v>27</v>
      </c>
      <c r="C33" s="17" t="s">
        <v>1337</v>
      </c>
      <c r="D33" s="17" t="s">
        <v>1338</v>
      </c>
      <c r="E33" s="17" t="s">
        <v>1339</v>
      </c>
      <c r="F33" s="17" t="s">
        <v>77</v>
      </c>
      <c r="G33" s="18">
        <v>785</v>
      </c>
      <c r="H33" s="18">
        <v>25</v>
      </c>
      <c r="I33" s="18">
        <f t="shared" si="0"/>
        <v>760</v>
      </c>
      <c r="J33" s="17" t="s">
        <v>32</v>
      </c>
      <c r="K33" s="17" t="s">
        <v>32</v>
      </c>
      <c r="L33" s="17" t="s">
        <v>1265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1340</v>
      </c>
      <c r="D34" s="17" t="s">
        <v>1341</v>
      </c>
      <c r="E34" s="17" t="s">
        <v>1342</v>
      </c>
      <c r="F34" s="17" t="s">
        <v>98</v>
      </c>
      <c r="G34" s="18">
        <v>810</v>
      </c>
      <c r="H34" s="18">
        <v>20</v>
      </c>
      <c r="I34" s="18">
        <f t="shared" si="0"/>
        <v>790</v>
      </c>
      <c r="J34" s="17" t="s">
        <v>32</v>
      </c>
      <c r="K34" s="17" t="s">
        <v>32</v>
      </c>
      <c r="L34" s="17" t="s">
        <v>1265</v>
      </c>
      <c r="M34" s="17"/>
      <c r="N34" s="17"/>
      <c r="O34" s="17"/>
      <c r="P34" s="17"/>
      <c r="Q34" s="17">
        <v>1</v>
      </c>
      <c r="R34" s="19">
        <f t="shared" ref="R34:R35" si="2">H34</f>
        <v>20</v>
      </c>
    </row>
    <row r="35" spans="1:18" customFormat="1" x14ac:dyDescent="0.25">
      <c r="A35" s="17"/>
      <c r="B35" s="17" t="s">
        <v>27</v>
      </c>
      <c r="C35" s="17" t="s">
        <v>1343</v>
      </c>
      <c r="D35" s="17" t="s">
        <v>1344</v>
      </c>
      <c r="E35" s="17" t="s">
        <v>1345</v>
      </c>
      <c r="F35" s="17" t="s">
        <v>77</v>
      </c>
      <c r="G35" s="18">
        <v>855</v>
      </c>
      <c r="H35" s="18">
        <v>25</v>
      </c>
      <c r="I35" s="18">
        <f t="shared" si="0"/>
        <v>830</v>
      </c>
      <c r="J35" s="17" t="s">
        <v>32</v>
      </c>
      <c r="K35" s="17" t="s">
        <v>32</v>
      </c>
      <c r="L35" s="17" t="s">
        <v>1265</v>
      </c>
      <c r="M35" s="17"/>
      <c r="N35" s="17"/>
      <c r="O35" s="17"/>
      <c r="P35" s="17"/>
      <c r="Q35" s="17">
        <v>1</v>
      </c>
      <c r="R35" s="19">
        <f t="shared" si="2"/>
        <v>25</v>
      </c>
    </row>
    <row r="36" spans="1:18" customFormat="1" x14ac:dyDescent="0.25">
      <c r="A36" s="17" t="s">
        <v>26</v>
      </c>
      <c r="B36" s="17" t="s">
        <v>27</v>
      </c>
      <c r="C36" s="17" t="s">
        <v>1346</v>
      </c>
      <c r="D36" s="17"/>
      <c r="E36" s="17" t="s">
        <v>1347</v>
      </c>
      <c r="F36" s="18">
        <v>4</v>
      </c>
      <c r="G36" s="18">
        <v>40</v>
      </c>
      <c r="H36" s="18">
        <v>40</v>
      </c>
      <c r="I36" s="18">
        <f t="shared" si="0"/>
        <v>0</v>
      </c>
      <c r="J36" s="17" t="s">
        <v>140</v>
      </c>
      <c r="K36" s="17" t="s">
        <v>32</v>
      </c>
      <c r="L36" s="17" t="s">
        <v>1265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1348</v>
      </c>
      <c r="D37" s="17"/>
      <c r="E37" s="17" t="s">
        <v>1349</v>
      </c>
      <c r="F37" s="17" t="s">
        <v>130</v>
      </c>
      <c r="G37" s="18">
        <v>0</v>
      </c>
      <c r="H37" s="18">
        <v>40</v>
      </c>
      <c r="I37" s="18">
        <f t="shared" si="0"/>
        <v>-40</v>
      </c>
      <c r="J37" s="17" t="s">
        <v>140</v>
      </c>
      <c r="K37" s="17" t="s">
        <v>32</v>
      </c>
      <c r="L37" s="17" t="s">
        <v>1265</v>
      </c>
      <c r="M37" s="17"/>
      <c r="N37" s="17"/>
      <c r="O37" s="17"/>
      <c r="P37" s="17"/>
      <c r="Q37" s="17">
        <v>1</v>
      </c>
      <c r="R37" s="19">
        <f t="shared" ref="R37:R38" si="3">H37</f>
        <v>40</v>
      </c>
    </row>
    <row r="38" spans="1:18" customFormat="1" x14ac:dyDescent="0.25">
      <c r="A38" s="17"/>
      <c r="B38" s="17" t="s">
        <v>27</v>
      </c>
      <c r="C38" s="17" t="s">
        <v>1350</v>
      </c>
      <c r="D38" s="17" t="s">
        <v>1351</v>
      </c>
      <c r="E38" s="17" t="s">
        <v>1352</v>
      </c>
      <c r="F38" s="17" t="s">
        <v>166</v>
      </c>
      <c r="G38" s="18">
        <v>810</v>
      </c>
      <c r="H38" s="18">
        <v>20</v>
      </c>
      <c r="I38" s="18">
        <f t="shared" si="0"/>
        <v>790</v>
      </c>
      <c r="J38" s="17" t="s">
        <v>140</v>
      </c>
      <c r="K38" s="17" t="s">
        <v>32</v>
      </c>
      <c r="L38" s="17" t="s">
        <v>1265</v>
      </c>
      <c r="M38" s="17"/>
      <c r="N38" s="17"/>
      <c r="O38" s="17"/>
      <c r="P38" s="17"/>
      <c r="Q38" s="17">
        <v>1</v>
      </c>
      <c r="R38" s="19">
        <f t="shared" si="3"/>
        <v>20</v>
      </c>
    </row>
    <row r="39" spans="1:18" customFormat="1" x14ac:dyDescent="0.25">
      <c r="A39" s="17"/>
      <c r="B39" s="17" t="s">
        <v>27</v>
      </c>
      <c r="C39" s="17" t="s">
        <v>1353</v>
      </c>
      <c r="D39" s="17" t="s">
        <v>1354</v>
      </c>
      <c r="E39" s="17" t="s">
        <v>1355</v>
      </c>
      <c r="F39" s="18">
        <v>10</v>
      </c>
      <c r="G39" s="18">
        <v>815</v>
      </c>
      <c r="H39" s="18">
        <v>25</v>
      </c>
      <c r="I39" s="18">
        <f t="shared" si="0"/>
        <v>790</v>
      </c>
      <c r="J39" s="17" t="s">
        <v>140</v>
      </c>
      <c r="K39" s="17" t="s">
        <v>32</v>
      </c>
      <c r="L39" s="17" t="s">
        <v>1265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1356</v>
      </c>
      <c r="D40" s="17" t="s">
        <v>1357</v>
      </c>
      <c r="E40" s="17" t="s">
        <v>1358</v>
      </c>
      <c r="F40" s="18">
        <v>10</v>
      </c>
      <c r="G40" s="18">
        <v>955</v>
      </c>
      <c r="H40" s="18">
        <v>25</v>
      </c>
      <c r="I40" s="18">
        <f t="shared" si="0"/>
        <v>930</v>
      </c>
      <c r="J40" s="17" t="s">
        <v>140</v>
      </c>
      <c r="K40" s="17" t="s">
        <v>32</v>
      </c>
      <c r="L40" s="17" t="s">
        <v>1265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1359</v>
      </c>
      <c r="D41" s="17" t="s">
        <v>1360</v>
      </c>
      <c r="E41" s="17" t="s">
        <v>1361</v>
      </c>
      <c r="F41" s="17" t="s">
        <v>166</v>
      </c>
      <c r="G41" s="18">
        <v>780</v>
      </c>
      <c r="H41" s="18">
        <v>20</v>
      </c>
      <c r="I41" s="18">
        <f t="shared" si="0"/>
        <v>760</v>
      </c>
      <c r="J41" s="17" t="s">
        <v>140</v>
      </c>
      <c r="K41" s="17" t="s">
        <v>32</v>
      </c>
      <c r="L41" s="17" t="s">
        <v>1265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1362</v>
      </c>
      <c r="D42" s="17" t="s">
        <v>1363</v>
      </c>
      <c r="E42" s="17" t="s">
        <v>1364</v>
      </c>
      <c r="F42" s="18">
        <v>4</v>
      </c>
      <c r="G42" s="18">
        <v>0</v>
      </c>
      <c r="H42" s="18">
        <v>25</v>
      </c>
      <c r="I42" s="18">
        <f t="shared" si="0"/>
        <v>-25</v>
      </c>
      <c r="J42" s="17" t="s">
        <v>140</v>
      </c>
      <c r="K42" s="17" t="s">
        <v>32</v>
      </c>
      <c r="L42" s="17" t="s">
        <v>1265</v>
      </c>
      <c r="M42" s="17"/>
      <c r="N42" s="17"/>
      <c r="O42" s="17"/>
      <c r="P42" s="17"/>
      <c r="Q42" s="17">
        <v>1</v>
      </c>
    </row>
    <row r="43" spans="1:18" s="47" customFormat="1" x14ac:dyDescent="0.25">
      <c r="A43" s="17"/>
      <c r="B43" s="17" t="s">
        <v>27</v>
      </c>
      <c r="C43" s="17" t="s">
        <v>1365</v>
      </c>
      <c r="D43" s="17" t="s">
        <v>1366</v>
      </c>
      <c r="E43" s="17" t="s">
        <v>1367</v>
      </c>
      <c r="F43" s="18">
        <v>4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1265</v>
      </c>
      <c r="M43" s="17"/>
      <c r="N43" s="17"/>
      <c r="O43" s="17"/>
      <c r="P43" s="17"/>
      <c r="Q43" s="46">
        <v>1</v>
      </c>
    </row>
    <row r="44" spans="1:18" customFormat="1" x14ac:dyDescent="0.25">
      <c r="A44" s="17"/>
      <c r="B44" s="17" t="s">
        <v>27</v>
      </c>
      <c r="C44" s="17" t="s">
        <v>1368</v>
      </c>
      <c r="D44" s="17" t="s">
        <v>1369</v>
      </c>
      <c r="E44" s="17" t="s">
        <v>1370</v>
      </c>
      <c r="F44" s="18">
        <v>5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1265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1371</v>
      </c>
      <c r="D45" s="17" t="s">
        <v>1372</v>
      </c>
      <c r="E45" s="17" t="s">
        <v>1373</v>
      </c>
      <c r="F45" s="18">
        <v>10</v>
      </c>
      <c r="G45" s="18">
        <v>605</v>
      </c>
      <c r="H45" s="18">
        <v>25</v>
      </c>
      <c r="I45" s="18">
        <f t="shared" si="0"/>
        <v>580</v>
      </c>
      <c r="J45" s="17" t="s">
        <v>140</v>
      </c>
      <c r="K45" s="17" t="s">
        <v>32</v>
      </c>
      <c r="L45" s="17" t="s">
        <v>1265</v>
      </c>
      <c r="M45" s="17"/>
      <c r="N45" s="17"/>
      <c r="O45" s="17"/>
      <c r="P45" s="17"/>
      <c r="Q45" s="17">
        <v>1</v>
      </c>
    </row>
    <row r="46" spans="1:18" s="23" customFormat="1" x14ac:dyDescent="0.25">
      <c r="A46" s="21"/>
      <c r="B46" s="21" t="s">
        <v>27</v>
      </c>
      <c r="C46" s="21" t="s">
        <v>1112</v>
      </c>
      <c r="D46" s="21" t="s">
        <v>1374</v>
      </c>
      <c r="E46" s="21" t="s">
        <v>1114</v>
      </c>
      <c r="F46" s="22">
        <v>4</v>
      </c>
      <c r="G46" s="22">
        <v>75</v>
      </c>
      <c r="H46" s="22">
        <v>25</v>
      </c>
      <c r="I46" s="22">
        <f t="shared" si="0"/>
        <v>50</v>
      </c>
      <c r="J46" s="21" t="s">
        <v>140</v>
      </c>
      <c r="K46" s="21" t="s">
        <v>32</v>
      </c>
      <c r="L46" s="21" t="s">
        <v>1265</v>
      </c>
      <c r="M46" s="21" t="s">
        <v>153</v>
      </c>
      <c r="N46" s="21"/>
      <c r="O46" s="21"/>
      <c r="P46" s="21"/>
      <c r="Q46" s="21">
        <v>1</v>
      </c>
    </row>
    <row r="47" spans="1:18" customFormat="1" x14ac:dyDescent="0.25">
      <c r="A47" s="17"/>
      <c r="B47" s="17" t="s">
        <v>27</v>
      </c>
      <c r="C47" s="17" t="s">
        <v>1375</v>
      </c>
      <c r="D47" s="17" t="s">
        <v>1376</v>
      </c>
      <c r="E47" s="17" t="s">
        <v>1377</v>
      </c>
      <c r="F47" s="17" t="s">
        <v>130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1265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1378</v>
      </c>
      <c r="D48" s="17" t="s">
        <v>1379</v>
      </c>
      <c r="E48" s="17" t="s">
        <v>1380</v>
      </c>
      <c r="F48" s="18">
        <v>5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1265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s="48" customFormat="1" x14ac:dyDescent="0.25">
      <c r="A49" s="27"/>
      <c r="B49" s="27" t="s">
        <v>27</v>
      </c>
      <c r="C49" s="27" t="s">
        <v>1324</v>
      </c>
      <c r="D49" s="27" t="s">
        <v>1381</v>
      </c>
      <c r="E49" s="27" t="s">
        <v>1326</v>
      </c>
      <c r="F49" s="28" t="s">
        <v>77</v>
      </c>
      <c r="G49" s="27">
        <v>0</v>
      </c>
      <c r="H49" s="27">
        <v>0</v>
      </c>
      <c r="I49" s="27">
        <f>G49-H49</f>
        <v>0</v>
      </c>
      <c r="J49" s="24" t="s">
        <v>188</v>
      </c>
      <c r="K49" s="27" t="s">
        <v>32</v>
      </c>
      <c r="L49" s="27" t="s">
        <v>1265</v>
      </c>
      <c r="M49" s="27" t="s">
        <v>184</v>
      </c>
      <c r="N49" s="27" t="s">
        <v>660</v>
      </c>
      <c r="O49" s="27"/>
      <c r="P49" s="27" t="s">
        <v>661</v>
      </c>
      <c r="Q49" s="27">
        <v>1</v>
      </c>
    </row>
    <row r="51" spans="1:18" x14ac:dyDescent="0.25">
      <c r="G51" s="1">
        <f t="shared" ref="G51:R51" si="4">SUBTOTAL(9,G3:G50)</f>
        <v>30530</v>
      </c>
      <c r="H51" s="1">
        <f t="shared" si="4"/>
        <v>1275</v>
      </c>
      <c r="I51" s="1">
        <f t="shared" si="4"/>
        <v>29255</v>
      </c>
      <c r="J51" s="1">
        <f t="shared" si="4"/>
        <v>0</v>
      </c>
      <c r="K51" s="1">
        <f t="shared" si="4"/>
        <v>0</v>
      </c>
      <c r="L51" s="1">
        <f t="shared" si="4"/>
        <v>0</v>
      </c>
      <c r="M51" s="1">
        <f t="shared" si="4"/>
        <v>0</v>
      </c>
      <c r="N51" s="1">
        <f t="shared" si="4"/>
        <v>0</v>
      </c>
      <c r="O51" s="1">
        <f t="shared" si="4"/>
        <v>0</v>
      </c>
      <c r="P51" s="1">
        <f t="shared" si="4"/>
        <v>0</v>
      </c>
      <c r="Q51" s="1">
        <f t="shared" si="4"/>
        <v>47</v>
      </c>
      <c r="R51" s="1">
        <f t="shared" si="4"/>
        <v>445</v>
      </c>
    </row>
    <row r="52" spans="1:18" x14ac:dyDescent="0.25">
      <c r="I52" s="26">
        <f>-H69</f>
        <v>-1410</v>
      </c>
      <c r="J52" s="1" t="s">
        <v>1382</v>
      </c>
    </row>
    <row r="53" spans="1:18" x14ac:dyDescent="0.25">
      <c r="I53" s="26">
        <f>-H73</f>
        <v>-2420</v>
      </c>
      <c r="J53" s="1" t="s">
        <v>191</v>
      </c>
    </row>
    <row r="55" spans="1:18" ht="20.25" customHeight="1" x14ac:dyDescent="0.3">
      <c r="H55" s="4" t="s">
        <v>1523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25425</v>
      </c>
      <c r="J56" s="8">
        <f>Q51</f>
        <v>47</v>
      </c>
    </row>
    <row r="57" spans="1:18" x14ac:dyDescent="0.25">
      <c r="H57" s="9" t="s">
        <v>18</v>
      </c>
      <c r="I57" s="10">
        <f>R51</f>
        <v>445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25870</v>
      </c>
      <c r="J63" s="16">
        <f>SUM(J56:J60)</f>
        <v>47</v>
      </c>
    </row>
    <row r="65" spans="1:21" x14ac:dyDescent="0.25">
      <c r="A65" s="1" t="s">
        <v>184</v>
      </c>
    </row>
    <row r="66" spans="1:21" x14ac:dyDescent="0.25">
      <c r="A66" s="27" t="s">
        <v>27</v>
      </c>
      <c r="B66" s="27" t="s">
        <v>1324</v>
      </c>
      <c r="C66" s="27" t="s">
        <v>1381</v>
      </c>
      <c r="D66" s="27" t="s">
        <v>1326</v>
      </c>
      <c r="E66" s="28" t="s">
        <v>77</v>
      </c>
      <c r="F66" s="27">
        <v>0</v>
      </c>
      <c r="G66" s="27">
        <v>0</v>
      </c>
      <c r="H66" s="27">
        <f>F66-G66</f>
        <v>0</v>
      </c>
      <c r="I66" s="24" t="s">
        <v>188</v>
      </c>
      <c r="J66" s="27" t="s">
        <v>32</v>
      </c>
      <c r="K66" s="27" t="s">
        <v>1265</v>
      </c>
      <c r="L66" s="27" t="s">
        <v>184</v>
      </c>
    </row>
    <row r="67" spans="1:21" x14ac:dyDescent="0.25">
      <c r="A67" s="24" t="s">
        <v>27</v>
      </c>
      <c r="B67" s="24" t="s">
        <v>1145</v>
      </c>
      <c r="C67" s="24" t="s">
        <v>1146</v>
      </c>
      <c r="D67" s="24" t="s">
        <v>1147</v>
      </c>
      <c r="E67" s="24" t="s">
        <v>30</v>
      </c>
      <c r="F67" s="25">
        <v>820</v>
      </c>
      <c r="G67" s="25">
        <v>30</v>
      </c>
      <c r="H67" s="25">
        <f t="shared" ref="H67" si="5">F67-G67</f>
        <v>790</v>
      </c>
      <c r="I67" s="24" t="s">
        <v>188</v>
      </c>
      <c r="J67" s="24" t="s">
        <v>32</v>
      </c>
      <c r="K67" s="24" t="s">
        <v>1144</v>
      </c>
      <c r="L67" s="24" t="s">
        <v>184</v>
      </c>
    </row>
    <row r="68" spans="1:21" s="48" customFormat="1" x14ac:dyDescent="0.25">
      <c r="A68" s="24" t="s">
        <v>27</v>
      </c>
      <c r="B68" s="24" t="s">
        <v>1148</v>
      </c>
      <c r="C68" s="24" t="s">
        <v>1149</v>
      </c>
      <c r="D68" s="24" t="s">
        <v>1147</v>
      </c>
      <c r="E68" s="24" t="s">
        <v>30</v>
      </c>
      <c r="F68" s="25">
        <v>620</v>
      </c>
      <c r="G68" s="25">
        <v>0</v>
      </c>
      <c r="H68" s="25">
        <f t="shared" ref="H68" si="6">F68-G68</f>
        <v>620</v>
      </c>
      <c r="I68" s="24" t="s">
        <v>188</v>
      </c>
      <c r="J68" s="24" t="s">
        <v>32</v>
      </c>
      <c r="K68" s="24" t="s">
        <v>1144</v>
      </c>
      <c r="L68" s="24" t="s">
        <v>184</v>
      </c>
      <c r="M68" s="1"/>
      <c r="N68" s="1"/>
      <c r="O68" s="1"/>
      <c r="P68" s="1"/>
      <c r="Q68" s="1"/>
      <c r="R68" s="1"/>
      <c r="S68" s="1"/>
      <c r="T68" s="1"/>
      <c r="U68" s="1"/>
    </row>
    <row r="69" spans="1:21" x14ac:dyDescent="0.25">
      <c r="H69" s="26">
        <f>SUM(H66:H68)</f>
        <v>1410</v>
      </c>
    </row>
    <row r="70" spans="1:21" x14ac:dyDescent="0.25">
      <c r="A70" s="1" t="s">
        <v>191</v>
      </c>
    </row>
    <row r="71" spans="1:21" x14ac:dyDescent="0.25">
      <c r="A71" s="24" t="s">
        <v>27</v>
      </c>
      <c r="B71" s="24" t="s">
        <v>1249</v>
      </c>
      <c r="C71" s="24" t="s">
        <v>1250</v>
      </c>
      <c r="D71" s="24" t="s">
        <v>1251</v>
      </c>
      <c r="E71" s="25">
        <v>7</v>
      </c>
      <c r="F71" s="25">
        <v>880</v>
      </c>
      <c r="G71" s="25">
        <v>0</v>
      </c>
      <c r="H71" s="25">
        <f t="shared" ref="H71:H72" si="7">F71-G71</f>
        <v>880</v>
      </c>
      <c r="I71" s="24" t="s">
        <v>188</v>
      </c>
      <c r="J71" s="24" t="s">
        <v>32</v>
      </c>
      <c r="K71" s="24" t="s">
        <v>1144</v>
      </c>
      <c r="L71" s="51" t="s">
        <v>191</v>
      </c>
    </row>
    <row r="72" spans="1:21" x14ac:dyDescent="0.25">
      <c r="A72" s="27" t="s">
        <v>27</v>
      </c>
      <c r="B72" s="27" t="s">
        <v>1037</v>
      </c>
      <c r="C72" s="27" t="s">
        <v>1038</v>
      </c>
      <c r="D72" s="27" t="s">
        <v>1039</v>
      </c>
      <c r="E72" s="28" t="s">
        <v>1383</v>
      </c>
      <c r="F72" s="27">
        <v>1540</v>
      </c>
      <c r="G72" s="27">
        <v>0</v>
      </c>
      <c r="H72" s="27">
        <f t="shared" si="7"/>
        <v>1540</v>
      </c>
      <c r="I72" s="24" t="s">
        <v>188</v>
      </c>
      <c r="J72" s="27" t="s">
        <v>32</v>
      </c>
      <c r="K72" s="27" t="s">
        <v>959</v>
      </c>
      <c r="L72" s="27" t="s">
        <v>191</v>
      </c>
    </row>
    <row r="73" spans="1:21" x14ac:dyDescent="0.25">
      <c r="H73" s="26">
        <f>SUM(H71:H72)</f>
        <v>2420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B8767-B165-400C-BE37-39E101225102}">
  <dimension ref="A1:R83"/>
  <sheetViews>
    <sheetView topLeftCell="A30" zoomScale="82" zoomScaleNormal="80" workbookViewId="0">
      <selection activeCell="H64" sqref="H6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784</v>
      </c>
      <c r="C1" s="1" t="s">
        <v>1384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508</v>
      </c>
      <c r="D3" s="17"/>
      <c r="E3" s="17" t="s">
        <v>509</v>
      </c>
      <c r="F3" s="18">
        <v>6</v>
      </c>
      <c r="G3" s="18">
        <v>40</v>
      </c>
      <c r="H3" s="18">
        <v>40</v>
      </c>
      <c r="I3" s="18">
        <f t="shared" ref="I3:I58" si="0">G3-H3</f>
        <v>0</v>
      </c>
      <c r="J3" s="17" t="s">
        <v>1385</v>
      </c>
      <c r="K3" s="17" t="s">
        <v>32</v>
      </c>
      <c r="L3" s="17" t="s">
        <v>1386</v>
      </c>
      <c r="M3" s="17"/>
      <c r="N3" s="17"/>
      <c r="O3" s="17"/>
      <c r="P3" s="17"/>
      <c r="Q3" s="17">
        <v>1</v>
      </c>
    </row>
    <row r="4" spans="1:18" s="23" customFormat="1" x14ac:dyDescent="0.25">
      <c r="A4" s="21"/>
      <c r="B4" s="21" t="s">
        <v>27</v>
      </c>
      <c r="C4" s="21" t="s">
        <v>1075</v>
      </c>
      <c r="D4" s="21" t="s">
        <v>1387</v>
      </c>
      <c r="E4" s="21" t="s">
        <v>1077</v>
      </c>
      <c r="F4" s="21" t="s">
        <v>30</v>
      </c>
      <c r="G4" s="22">
        <v>30</v>
      </c>
      <c r="H4" s="22">
        <v>30</v>
      </c>
      <c r="I4" s="22">
        <f t="shared" si="0"/>
        <v>0</v>
      </c>
      <c r="J4" s="21" t="s">
        <v>1385</v>
      </c>
      <c r="K4" s="21" t="s">
        <v>32</v>
      </c>
      <c r="L4" s="21" t="s">
        <v>1386</v>
      </c>
      <c r="M4" s="21" t="s">
        <v>153</v>
      </c>
      <c r="N4" s="21"/>
      <c r="O4" s="21"/>
      <c r="P4" s="21"/>
      <c r="Q4" s="21">
        <v>1</v>
      </c>
    </row>
    <row r="5" spans="1:18" customFormat="1" x14ac:dyDescent="0.25">
      <c r="A5" s="17"/>
      <c r="B5" s="17" t="s">
        <v>27</v>
      </c>
      <c r="C5" s="17" t="s">
        <v>1388</v>
      </c>
      <c r="D5" s="17" t="s">
        <v>1389</v>
      </c>
      <c r="E5" s="17" t="s">
        <v>1390</v>
      </c>
      <c r="F5" s="18">
        <v>8</v>
      </c>
      <c r="G5" s="18">
        <v>970</v>
      </c>
      <c r="H5" s="18">
        <v>30</v>
      </c>
      <c r="I5" s="18">
        <f t="shared" si="0"/>
        <v>940</v>
      </c>
      <c r="J5" s="17" t="s">
        <v>1385</v>
      </c>
      <c r="K5" s="17" t="s">
        <v>32</v>
      </c>
      <c r="L5" s="17" t="s">
        <v>1386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1391</v>
      </c>
      <c r="D6" s="17" t="s">
        <v>1392</v>
      </c>
      <c r="E6" s="17" t="s">
        <v>1393</v>
      </c>
      <c r="F6" s="18">
        <v>6</v>
      </c>
      <c r="G6" s="18">
        <v>35</v>
      </c>
      <c r="H6" s="18">
        <v>25</v>
      </c>
      <c r="I6" s="18">
        <f t="shared" si="0"/>
        <v>10</v>
      </c>
      <c r="J6" s="17" t="s">
        <v>1385</v>
      </c>
      <c r="K6" s="17" t="s">
        <v>32</v>
      </c>
      <c r="L6" s="17" t="s">
        <v>1386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1394</v>
      </c>
      <c r="D7" s="17" t="s">
        <v>1395</v>
      </c>
      <c r="E7" s="17" t="s">
        <v>1396</v>
      </c>
      <c r="F7" s="17" t="s">
        <v>30</v>
      </c>
      <c r="G7" s="18">
        <v>880</v>
      </c>
      <c r="H7" s="18">
        <v>30</v>
      </c>
      <c r="I7" s="18">
        <f t="shared" si="0"/>
        <v>850</v>
      </c>
      <c r="J7" s="17" t="s">
        <v>1385</v>
      </c>
      <c r="K7" s="17" t="s">
        <v>32</v>
      </c>
      <c r="L7" s="17" t="s">
        <v>1386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1397</v>
      </c>
      <c r="D8" s="17" t="s">
        <v>1398</v>
      </c>
      <c r="E8" s="17" t="s">
        <v>1399</v>
      </c>
      <c r="F8" s="18">
        <v>8</v>
      </c>
      <c r="G8" s="18">
        <v>960</v>
      </c>
      <c r="H8" s="18">
        <v>30</v>
      </c>
      <c r="I8" s="18">
        <f t="shared" si="0"/>
        <v>930</v>
      </c>
      <c r="J8" s="17" t="s">
        <v>1385</v>
      </c>
      <c r="K8" s="17" t="s">
        <v>32</v>
      </c>
      <c r="L8" s="17" t="s">
        <v>1386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1400</v>
      </c>
      <c r="D9" s="17" t="s">
        <v>1401</v>
      </c>
      <c r="E9" s="17" t="s">
        <v>1402</v>
      </c>
      <c r="F9" s="18">
        <v>9</v>
      </c>
      <c r="G9" s="18">
        <v>1090</v>
      </c>
      <c r="H9" s="18">
        <v>30</v>
      </c>
      <c r="I9" s="18">
        <f t="shared" si="0"/>
        <v>1060</v>
      </c>
      <c r="J9" s="17" t="s">
        <v>1385</v>
      </c>
      <c r="K9" s="17" t="s">
        <v>32</v>
      </c>
      <c r="L9" s="17" t="s">
        <v>1386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1403</v>
      </c>
      <c r="D10" s="17" t="s">
        <v>1404</v>
      </c>
      <c r="E10" s="17" t="s">
        <v>1405</v>
      </c>
      <c r="F10" s="17" t="s">
        <v>170</v>
      </c>
      <c r="G10" s="18">
        <v>815</v>
      </c>
      <c r="H10" s="18">
        <v>25</v>
      </c>
      <c r="I10" s="18">
        <f t="shared" si="0"/>
        <v>790</v>
      </c>
      <c r="J10" s="17" t="s">
        <v>1385</v>
      </c>
      <c r="K10" s="17" t="s">
        <v>32</v>
      </c>
      <c r="L10" s="17" t="s">
        <v>1386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1406</v>
      </c>
      <c r="D11" s="17" t="s">
        <v>1407</v>
      </c>
      <c r="E11" s="17" t="s">
        <v>1408</v>
      </c>
      <c r="F11" s="17" t="s">
        <v>170</v>
      </c>
      <c r="G11" s="18">
        <v>1065</v>
      </c>
      <c r="H11" s="18">
        <v>25</v>
      </c>
      <c r="I11" s="18">
        <f t="shared" si="0"/>
        <v>1040</v>
      </c>
      <c r="J11" s="17" t="s">
        <v>1385</v>
      </c>
      <c r="K11" s="17" t="s">
        <v>32</v>
      </c>
      <c r="L11" s="17" t="s">
        <v>1386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1409</v>
      </c>
      <c r="D12" s="17" t="s">
        <v>1410</v>
      </c>
      <c r="E12" s="17" t="s">
        <v>1411</v>
      </c>
      <c r="F12" s="18">
        <v>8</v>
      </c>
      <c r="G12" s="18">
        <v>1120</v>
      </c>
      <c r="H12" s="18">
        <v>30</v>
      </c>
      <c r="I12" s="18">
        <f t="shared" si="0"/>
        <v>1090</v>
      </c>
      <c r="J12" s="17" t="s">
        <v>1385</v>
      </c>
      <c r="K12" s="17" t="s">
        <v>32</v>
      </c>
      <c r="L12" s="17" t="s">
        <v>1386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226</v>
      </c>
      <c r="D13" s="17" t="s">
        <v>1412</v>
      </c>
      <c r="E13" s="17" t="s">
        <v>1081</v>
      </c>
      <c r="F13" s="18">
        <v>6</v>
      </c>
      <c r="G13" s="18">
        <v>0</v>
      </c>
      <c r="H13" s="18">
        <v>25</v>
      </c>
      <c r="I13" s="18">
        <f t="shared" si="0"/>
        <v>-25</v>
      </c>
      <c r="J13" s="17" t="s">
        <v>1385</v>
      </c>
      <c r="K13" s="17" t="s">
        <v>32</v>
      </c>
      <c r="L13" s="17" t="s">
        <v>1386</v>
      </c>
      <c r="M13" s="17"/>
      <c r="N13" s="17"/>
      <c r="O13" s="17"/>
      <c r="P13" s="17"/>
      <c r="Q13" s="17">
        <v>1</v>
      </c>
      <c r="R13" s="19">
        <f>H13</f>
        <v>25</v>
      </c>
    </row>
    <row r="14" spans="1:18" customFormat="1" x14ac:dyDescent="0.25">
      <c r="A14" s="17"/>
      <c r="B14" s="17" t="s">
        <v>27</v>
      </c>
      <c r="C14" s="17" t="s">
        <v>1413</v>
      </c>
      <c r="D14" s="17" t="s">
        <v>1414</v>
      </c>
      <c r="E14" s="17" t="s">
        <v>1415</v>
      </c>
      <c r="F14" s="17" t="s">
        <v>30</v>
      </c>
      <c r="G14" s="18">
        <v>820</v>
      </c>
      <c r="H14" s="18">
        <v>30</v>
      </c>
      <c r="I14" s="18">
        <f t="shared" si="0"/>
        <v>790</v>
      </c>
      <c r="J14" s="17" t="s">
        <v>1385</v>
      </c>
      <c r="K14" s="17" t="s">
        <v>32</v>
      </c>
      <c r="L14" s="17" t="s">
        <v>1386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1416</v>
      </c>
      <c r="D15" s="17" t="s">
        <v>1417</v>
      </c>
      <c r="E15" s="17" t="s">
        <v>1418</v>
      </c>
      <c r="F15" s="18">
        <v>8</v>
      </c>
      <c r="G15" s="18">
        <v>970</v>
      </c>
      <c r="H15" s="18">
        <v>30</v>
      </c>
      <c r="I15" s="18">
        <f t="shared" si="0"/>
        <v>940</v>
      </c>
      <c r="J15" s="17" t="s">
        <v>1385</v>
      </c>
      <c r="K15" s="17" t="s">
        <v>32</v>
      </c>
      <c r="L15" s="17" t="s">
        <v>1386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338</v>
      </c>
      <c r="D16" s="17" t="s">
        <v>1419</v>
      </c>
      <c r="E16" s="17" t="s">
        <v>1420</v>
      </c>
      <c r="F16" s="17" t="s">
        <v>30</v>
      </c>
      <c r="G16" s="18">
        <v>0</v>
      </c>
      <c r="H16" s="18">
        <v>30</v>
      </c>
      <c r="I16" s="18">
        <f t="shared" si="0"/>
        <v>-30</v>
      </c>
      <c r="J16" s="17" t="s">
        <v>1385</v>
      </c>
      <c r="K16" s="17" t="s">
        <v>32</v>
      </c>
      <c r="L16" s="17" t="s">
        <v>1386</v>
      </c>
      <c r="M16" s="17"/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27</v>
      </c>
      <c r="C17" s="17" t="s">
        <v>1421</v>
      </c>
      <c r="D17" s="17" t="s">
        <v>1422</v>
      </c>
      <c r="E17" s="17" t="s">
        <v>797</v>
      </c>
      <c r="F17" s="18">
        <v>11</v>
      </c>
      <c r="G17" s="18">
        <v>1595</v>
      </c>
      <c r="H17" s="18">
        <v>25</v>
      </c>
      <c r="I17" s="18">
        <f t="shared" si="0"/>
        <v>1570</v>
      </c>
      <c r="J17" s="17" t="s">
        <v>1385</v>
      </c>
      <c r="K17" s="17" t="s">
        <v>32</v>
      </c>
      <c r="L17" s="17" t="s">
        <v>1386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1423</v>
      </c>
      <c r="D18" s="17" t="s">
        <v>1424</v>
      </c>
      <c r="E18" s="17" t="s">
        <v>1425</v>
      </c>
      <c r="F18" s="17" t="s">
        <v>30</v>
      </c>
      <c r="G18" s="18">
        <v>0</v>
      </c>
      <c r="H18" s="18">
        <v>30</v>
      </c>
      <c r="I18" s="18">
        <f t="shared" si="0"/>
        <v>-30</v>
      </c>
      <c r="J18" s="17" t="s">
        <v>1385</v>
      </c>
      <c r="K18" s="17" t="s">
        <v>32</v>
      </c>
      <c r="L18" s="17" t="s">
        <v>1386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1426</v>
      </c>
      <c r="D19" s="17" t="s">
        <v>1427</v>
      </c>
      <c r="E19" s="17" t="s">
        <v>1428</v>
      </c>
      <c r="F19" s="18">
        <v>5</v>
      </c>
      <c r="G19" s="18">
        <v>815</v>
      </c>
      <c r="H19" s="18">
        <v>25</v>
      </c>
      <c r="I19" s="18">
        <f t="shared" si="0"/>
        <v>790</v>
      </c>
      <c r="J19" s="17" t="s">
        <v>1385</v>
      </c>
      <c r="K19" s="17" t="s">
        <v>32</v>
      </c>
      <c r="L19" s="17" t="s">
        <v>1386</v>
      </c>
      <c r="M19" s="17"/>
      <c r="N19" s="17"/>
      <c r="O19" s="17"/>
      <c r="P19" s="17"/>
      <c r="Q19" s="17">
        <v>1</v>
      </c>
    </row>
    <row r="20" spans="1:18" customFormat="1" x14ac:dyDescent="0.25">
      <c r="A20" s="17" t="s">
        <v>26</v>
      </c>
      <c r="B20" s="17" t="s">
        <v>27</v>
      </c>
      <c r="C20" s="17" t="s">
        <v>295</v>
      </c>
      <c r="D20" s="17"/>
      <c r="E20" s="17" t="s">
        <v>296</v>
      </c>
      <c r="F20" s="17" t="s">
        <v>77</v>
      </c>
      <c r="G20" s="18">
        <v>30</v>
      </c>
      <c r="H20" s="18">
        <v>30</v>
      </c>
      <c r="I20" s="18">
        <f t="shared" si="0"/>
        <v>0</v>
      </c>
      <c r="J20" s="17" t="s">
        <v>32</v>
      </c>
      <c r="K20" s="17" t="s">
        <v>32</v>
      </c>
      <c r="L20" s="17" t="s">
        <v>1386</v>
      </c>
      <c r="M20" s="17"/>
      <c r="N20" s="17"/>
      <c r="O20" s="17"/>
      <c r="P20" s="17"/>
      <c r="Q20" s="17">
        <v>1</v>
      </c>
    </row>
    <row r="21" spans="1:18" customFormat="1" x14ac:dyDescent="0.25">
      <c r="A21" s="17" t="s">
        <v>26</v>
      </c>
      <c r="B21" s="17" t="s">
        <v>27</v>
      </c>
      <c r="C21" s="17" t="s">
        <v>293</v>
      </c>
      <c r="D21" s="17"/>
      <c r="E21" s="17" t="s">
        <v>294</v>
      </c>
      <c r="F21" s="17" t="s">
        <v>77</v>
      </c>
      <c r="G21" s="18">
        <v>0</v>
      </c>
      <c r="H21" s="18">
        <v>40</v>
      </c>
      <c r="I21" s="18">
        <f t="shared" si="0"/>
        <v>-40</v>
      </c>
      <c r="J21" s="17" t="s">
        <v>32</v>
      </c>
      <c r="K21" s="17" t="s">
        <v>32</v>
      </c>
      <c r="L21" s="17" t="s">
        <v>1386</v>
      </c>
      <c r="M21" s="17"/>
      <c r="N21" s="17"/>
      <c r="O21" s="17"/>
      <c r="P21" s="17"/>
      <c r="Q21" s="17">
        <v>1</v>
      </c>
      <c r="R21" s="19">
        <f t="shared" ref="R21:R23" si="1">H21</f>
        <v>40</v>
      </c>
    </row>
    <row r="22" spans="1:18" customFormat="1" x14ac:dyDescent="0.25">
      <c r="A22" s="17"/>
      <c r="B22" s="17" t="s">
        <v>27</v>
      </c>
      <c r="C22" s="17" t="s">
        <v>275</v>
      </c>
      <c r="D22" s="17" t="s">
        <v>1429</v>
      </c>
      <c r="E22" s="17" t="s">
        <v>1430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1386</v>
      </c>
      <c r="M22" s="20" t="s">
        <v>386</v>
      </c>
      <c r="N22" s="17"/>
      <c r="O22" s="17"/>
      <c r="P22" s="17"/>
      <c r="Q22" s="17">
        <v>1</v>
      </c>
      <c r="R22" s="19">
        <f t="shared" si="1"/>
        <v>30</v>
      </c>
    </row>
    <row r="23" spans="1:18" customFormat="1" x14ac:dyDescent="0.25">
      <c r="A23" s="17"/>
      <c r="B23" s="17" t="s">
        <v>27</v>
      </c>
      <c r="C23" s="17" t="s">
        <v>275</v>
      </c>
      <c r="D23" s="17" t="s">
        <v>1431</v>
      </c>
      <c r="E23" s="17" t="s">
        <v>1430</v>
      </c>
      <c r="F23" s="18">
        <v>2</v>
      </c>
      <c r="G23" s="18">
        <v>0</v>
      </c>
      <c r="H23" s="18">
        <v>0</v>
      </c>
      <c r="I23" s="18">
        <f t="shared" si="0"/>
        <v>0</v>
      </c>
      <c r="J23" s="17" t="s">
        <v>32</v>
      </c>
      <c r="K23" s="17" t="s">
        <v>32</v>
      </c>
      <c r="L23" s="17" t="s">
        <v>1386</v>
      </c>
      <c r="M23" s="20" t="s">
        <v>386</v>
      </c>
      <c r="N23" s="17"/>
      <c r="O23" s="17"/>
      <c r="P23" s="17"/>
      <c r="Q23" s="17">
        <v>1</v>
      </c>
      <c r="R23" s="19">
        <f t="shared" si="1"/>
        <v>0</v>
      </c>
    </row>
    <row r="24" spans="1:18" customFormat="1" x14ac:dyDescent="0.25">
      <c r="A24" s="17"/>
      <c r="B24" s="17" t="s">
        <v>27</v>
      </c>
      <c r="C24" s="17" t="s">
        <v>716</v>
      </c>
      <c r="D24" s="17" t="s">
        <v>1432</v>
      </c>
      <c r="E24" s="17" t="s">
        <v>1433</v>
      </c>
      <c r="F24" s="18">
        <v>2</v>
      </c>
      <c r="G24" s="18">
        <v>1090</v>
      </c>
      <c r="H24" s="18">
        <v>30</v>
      </c>
      <c r="I24" s="18">
        <f t="shared" si="0"/>
        <v>1060</v>
      </c>
      <c r="J24" s="17" t="s">
        <v>32</v>
      </c>
      <c r="K24" s="17" t="s">
        <v>32</v>
      </c>
      <c r="L24" s="17" t="s">
        <v>1386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1434</v>
      </c>
      <c r="D25" s="17" t="s">
        <v>1435</v>
      </c>
      <c r="E25" s="17" t="s">
        <v>1436</v>
      </c>
      <c r="F25" s="17" t="s">
        <v>77</v>
      </c>
      <c r="G25" s="18">
        <v>945</v>
      </c>
      <c r="H25" s="18">
        <v>25</v>
      </c>
      <c r="I25" s="18">
        <f t="shared" si="0"/>
        <v>920</v>
      </c>
      <c r="J25" s="17" t="s">
        <v>32</v>
      </c>
      <c r="K25" s="17" t="s">
        <v>32</v>
      </c>
      <c r="L25" s="17" t="s">
        <v>1386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1437</v>
      </c>
      <c r="D26" s="17" t="s">
        <v>1438</v>
      </c>
      <c r="E26" s="17" t="s">
        <v>1439</v>
      </c>
      <c r="F26" s="17" t="s">
        <v>98</v>
      </c>
      <c r="G26" s="18">
        <v>910</v>
      </c>
      <c r="H26" s="18">
        <v>20</v>
      </c>
      <c r="I26" s="18">
        <f t="shared" si="0"/>
        <v>890</v>
      </c>
      <c r="J26" s="17" t="s">
        <v>32</v>
      </c>
      <c r="K26" s="17" t="s">
        <v>32</v>
      </c>
      <c r="L26" s="17" t="s">
        <v>1386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1440</v>
      </c>
      <c r="D27" s="17" t="s">
        <v>1441</v>
      </c>
      <c r="E27" s="17" t="s">
        <v>1442</v>
      </c>
      <c r="F27" s="18">
        <v>2</v>
      </c>
      <c r="G27" s="18">
        <v>0</v>
      </c>
      <c r="H27" s="18">
        <v>30</v>
      </c>
      <c r="I27" s="18">
        <f t="shared" si="0"/>
        <v>-30</v>
      </c>
      <c r="J27" s="17" t="s">
        <v>32</v>
      </c>
      <c r="K27" s="17" t="s">
        <v>32</v>
      </c>
      <c r="L27" s="17" t="s">
        <v>1386</v>
      </c>
      <c r="M27" s="17"/>
      <c r="N27" s="17"/>
      <c r="O27" s="17"/>
      <c r="P27" s="17"/>
      <c r="Q27" s="17">
        <v>1</v>
      </c>
      <c r="R27" s="19">
        <f>H27</f>
        <v>30</v>
      </c>
    </row>
    <row r="28" spans="1:18" customFormat="1" x14ac:dyDescent="0.25">
      <c r="A28" s="17"/>
      <c r="B28" s="17" t="s">
        <v>27</v>
      </c>
      <c r="C28" s="17" t="s">
        <v>566</v>
      </c>
      <c r="D28" s="17" t="s">
        <v>1443</v>
      </c>
      <c r="E28" s="17" t="s">
        <v>1444</v>
      </c>
      <c r="F28" s="18">
        <v>12</v>
      </c>
      <c r="G28" s="18">
        <v>1680</v>
      </c>
      <c r="H28" s="18">
        <v>30</v>
      </c>
      <c r="I28" s="18">
        <f t="shared" si="0"/>
        <v>1650</v>
      </c>
      <c r="J28" s="17" t="s">
        <v>32</v>
      </c>
      <c r="K28" s="17" t="s">
        <v>32</v>
      </c>
      <c r="L28" s="17" t="s">
        <v>1386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728</v>
      </c>
      <c r="D29" s="17" t="s">
        <v>1445</v>
      </c>
      <c r="E29" s="17" t="s">
        <v>1446</v>
      </c>
      <c r="F29" s="17" t="s">
        <v>77</v>
      </c>
      <c r="G29" s="18">
        <v>865</v>
      </c>
      <c r="H29" s="18">
        <v>25</v>
      </c>
      <c r="I29" s="18">
        <f t="shared" si="0"/>
        <v>840</v>
      </c>
      <c r="J29" s="17" t="s">
        <v>32</v>
      </c>
      <c r="K29" s="17" t="s">
        <v>32</v>
      </c>
      <c r="L29" s="17" t="s">
        <v>1386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381</v>
      </c>
      <c r="D30" s="17" t="s">
        <v>1447</v>
      </c>
      <c r="E30" s="17" t="s">
        <v>383</v>
      </c>
      <c r="F30" s="17" t="s">
        <v>98</v>
      </c>
      <c r="G30" s="18">
        <v>1410</v>
      </c>
      <c r="H30" s="18">
        <v>20</v>
      </c>
      <c r="I30" s="18">
        <f t="shared" si="0"/>
        <v>1390</v>
      </c>
      <c r="J30" s="17" t="s">
        <v>32</v>
      </c>
      <c r="K30" s="17" t="s">
        <v>32</v>
      </c>
      <c r="L30" s="17" t="s">
        <v>1386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1448</v>
      </c>
      <c r="D31" s="17" t="s">
        <v>1449</v>
      </c>
      <c r="E31" s="17" t="s">
        <v>1450</v>
      </c>
      <c r="F31" s="18">
        <v>12</v>
      </c>
      <c r="G31" s="18">
        <v>0</v>
      </c>
      <c r="H31" s="18">
        <v>30</v>
      </c>
      <c r="I31" s="18">
        <f t="shared" si="0"/>
        <v>-30</v>
      </c>
      <c r="J31" s="17" t="s">
        <v>32</v>
      </c>
      <c r="K31" s="17" t="s">
        <v>32</v>
      </c>
      <c r="L31" s="17" t="s">
        <v>1386</v>
      </c>
      <c r="M31" s="17"/>
      <c r="N31" s="17"/>
      <c r="O31" s="17"/>
      <c r="P31" s="17"/>
      <c r="Q31" s="17">
        <v>1</v>
      </c>
      <c r="R31" s="19">
        <f t="shared" ref="R31:R32" si="2">H31</f>
        <v>30</v>
      </c>
    </row>
    <row r="32" spans="1:18" customFormat="1" x14ac:dyDescent="0.25">
      <c r="A32" s="17" t="s">
        <v>26</v>
      </c>
      <c r="B32" s="17" t="s">
        <v>27</v>
      </c>
      <c r="C32" s="17" t="s">
        <v>1451</v>
      </c>
      <c r="D32" s="17"/>
      <c r="E32" s="17" t="s">
        <v>133</v>
      </c>
      <c r="F32" s="17" t="s">
        <v>77</v>
      </c>
      <c r="G32" s="18">
        <v>0</v>
      </c>
      <c r="H32" s="18">
        <v>50</v>
      </c>
      <c r="I32" s="18">
        <f t="shared" si="0"/>
        <v>-50</v>
      </c>
      <c r="J32" s="17" t="s">
        <v>32</v>
      </c>
      <c r="K32" s="17" t="s">
        <v>32</v>
      </c>
      <c r="L32" s="17" t="s">
        <v>1386</v>
      </c>
      <c r="M32" s="17"/>
      <c r="N32" s="17"/>
      <c r="O32" s="17"/>
      <c r="P32" s="17"/>
      <c r="Q32" s="17">
        <v>1</v>
      </c>
      <c r="R32" s="19">
        <f t="shared" si="2"/>
        <v>50</v>
      </c>
    </row>
    <row r="33" spans="1:18" customFormat="1" x14ac:dyDescent="0.25">
      <c r="A33" s="17"/>
      <c r="B33" s="17" t="s">
        <v>27</v>
      </c>
      <c r="C33" s="17" t="s">
        <v>1452</v>
      </c>
      <c r="D33" s="17" t="s">
        <v>1453</v>
      </c>
      <c r="E33" s="17" t="s">
        <v>1454</v>
      </c>
      <c r="F33" s="17" t="s">
        <v>77</v>
      </c>
      <c r="G33" s="18">
        <v>2510</v>
      </c>
      <c r="H33" s="18">
        <v>30</v>
      </c>
      <c r="I33" s="18">
        <f t="shared" si="0"/>
        <v>2480</v>
      </c>
      <c r="J33" s="17" t="s">
        <v>32</v>
      </c>
      <c r="K33" s="17" t="s">
        <v>32</v>
      </c>
      <c r="L33" s="17" t="s">
        <v>1386</v>
      </c>
      <c r="M33" s="20" t="s">
        <v>58</v>
      </c>
      <c r="N33" s="17"/>
      <c r="O33" s="17"/>
      <c r="P33" s="17"/>
      <c r="Q33" s="17">
        <v>1</v>
      </c>
      <c r="R33" s="19">
        <f>H33</f>
        <v>30</v>
      </c>
    </row>
    <row r="34" spans="1:18" customFormat="1" x14ac:dyDescent="0.25">
      <c r="A34" s="17"/>
      <c r="B34" s="17" t="s">
        <v>27</v>
      </c>
      <c r="C34" s="17" t="s">
        <v>713</v>
      </c>
      <c r="D34" s="17" t="s">
        <v>1455</v>
      </c>
      <c r="E34" s="17" t="s">
        <v>1456</v>
      </c>
      <c r="F34" s="17" t="s">
        <v>130</v>
      </c>
      <c r="G34" s="18">
        <v>1035</v>
      </c>
      <c r="H34" s="18">
        <v>25</v>
      </c>
      <c r="I34" s="18">
        <f t="shared" si="0"/>
        <v>1010</v>
      </c>
      <c r="J34" s="17" t="s">
        <v>32</v>
      </c>
      <c r="K34" s="17" t="s">
        <v>32</v>
      </c>
      <c r="L34" s="17" t="s">
        <v>1386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1457</v>
      </c>
      <c r="D35" s="17" t="s">
        <v>1458</v>
      </c>
      <c r="E35" s="17" t="s">
        <v>1459</v>
      </c>
      <c r="F35" s="17" t="s">
        <v>98</v>
      </c>
      <c r="G35" s="18">
        <v>1540</v>
      </c>
      <c r="H35" s="18">
        <v>20</v>
      </c>
      <c r="I35" s="18">
        <f t="shared" si="0"/>
        <v>1520</v>
      </c>
      <c r="J35" s="17" t="s">
        <v>32</v>
      </c>
      <c r="K35" s="17" t="s">
        <v>32</v>
      </c>
      <c r="L35" s="17" t="s">
        <v>1386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1460</v>
      </c>
      <c r="D36" s="17" t="s">
        <v>1461</v>
      </c>
      <c r="E36" s="17" t="s">
        <v>1462</v>
      </c>
      <c r="F36" s="18">
        <v>12</v>
      </c>
      <c r="G36" s="18">
        <v>0</v>
      </c>
      <c r="H36" s="18">
        <v>30</v>
      </c>
      <c r="I36" s="18">
        <f t="shared" si="0"/>
        <v>-30</v>
      </c>
      <c r="J36" s="17" t="s">
        <v>32</v>
      </c>
      <c r="K36" s="17" t="s">
        <v>32</v>
      </c>
      <c r="L36" s="17" t="s">
        <v>1386</v>
      </c>
      <c r="M36" s="17"/>
      <c r="N36" s="17"/>
      <c r="O36" s="17"/>
      <c r="P36" s="17"/>
      <c r="Q36" s="17">
        <v>1</v>
      </c>
      <c r="R36" s="19">
        <f>H36</f>
        <v>30</v>
      </c>
    </row>
    <row r="37" spans="1:18" customFormat="1" x14ac:dyDescent="0.25">
      <c r="A37" s="17"/>
      <c r="B37" s="17" t="s">
        <v>27</v>
      </c>
      <c r="C37" s="17" t="s">
        <v>1463</v>
      </c>
      <c r="D37" s="17" t="s">
        <v>1464</v>
      </c>
      <c r="E37" s="17" t="s">
        <v>1465</v>
      </c>
      <c r="F37" s="17" t="s">
        <v>98</v>
      </c>
      <c r="G37" s="18">
        <v>1080</v>
      </c>
      <c r="H37" s="18">
        <v>20</v>
      </c>
      <c r="I37" s="18">
        <f t="shared" si="0"/>
        <v>1060</v>
      </c>
      <c r="J37" s="17" t="s">
        <v>32</v>
      </c>
      <c r="K37" s="17" t="s">
        <v>32</v>
      </c>
      <c r="L37" s="17" t="s">
        <v>1386</v>
      </c>
      <c r="M37" s="17"/>
      <c r="N37" s="17"/>
      <c r="O37" s="17"/>
      <c r="P37" s="17"/>
      <c r="Q37" s="17">
        <v>1</v>
      </c>
    </row>
    <row r="38" spans="1:18" customFormat="1" x14ac:dyDescent="0.25">
      <c r="A38" s="17" t="s">
        <v>26</v>
      </c>
      <c r="B38" s="17" t="s">
        <v>27</v>
      </c>
      <c r="C38" s="17" t="s">
        <v>1466</v>
      </c>
      <c r="D38" s="17"/>
      <c r="E38" s="17" t="s">
        <v>738</v>
      </c>
      <c r="F38" s="17" t="s">
        <v>130</v>
      </c>
      <c r="G38" s="18">
        <v>730</v>
      </c>
      <c r="H38" s="18">
        <v>30</v>
      </c>
      <c r="I38" s="18">
        <f t="shared" si="0"/>
        <v>700</v>
      </c>
      <c r="J38" s="17" t="s">
        <v>140</v>
      </c>
      <c r="K38" s="17" t="s">
        <v>32</v>
      </c>
      <c r="L38" s="17" t="s">
        <v>1386</v>
      </c>
      <c r="M38" s="17"/>
      <c r="N38" s="17"/>
      <c r="O38" s="17"/>
      <c r="P38" s="17"/>
      <c r="Q38" s="17">
        <v>1</v>
      </c>
    </row>
    <row r="39" spans="1:18" customFormat="1" x14ac:dyDescent="0.25">
      <c r="A39" s="17" t="s">
        <v>26</v>
      </c>
      <c r="B39" s="17" t="s">
        <v>27</v>
      </c>
      <c r="C39" s="17" t="s">
        <v>651</v>
      </c>
      <c r="D39" s="17"/>
      <c r="E39" s="17" t="s">
        <v>652</v>
      </c>
      <c r="F39" s="17" t="s">
        <v>130</v>
      </c>
      <c r="G39" s="18">
        <v>0</v>
      </c>
      <c r="H39" s="18">
        <v>30</v>
      </c>
      <c r="I39" s="18">
        <f t="shared" si="0"/>
        <v>-30</v>
      </c>
      <c r="J39" s="17" t="s">
        <v>140</v>
      </c>
      <c r="K39" s="17" t="s">
        <v>32</v>
      </c>
      <c r="L39" s="17" t="s">
        <v>1386</v>
      </c>
      <c r="M39" s="17"/>
      <c r="N39" s="17"/>
      <c r="O39" s="17"/>
      <c r="P39" s="17"/>
      <c r="Q39" s="17">
        <v>1</v>
      </c>
      <c r="R39" s="19">
        <f>H39</f>
        <v>30</v>
      </c>
    </row>
    <row r="40" spans="1:18" customFormat="1" x14ac:dyDescent="0.25">
      <c r="A40" s="17"/>
      <c r="B40" s="17" t="s">
        <v>27</v>
      </c>
      <c r="C40" s="17" t="s">
        <v>312</v>
      </c>
      <c r="D40" s="17" t="s">
        <v>1467</v>
      </c>
      <c r="E40" s="17" t="s">
        <v>1468</v>
      </c>
      <c r="F40" s="18">
        <v>1</v>
      </c>
      <c r="G40" s="18">
        <v>815</v>
      </c>
      <c r="H40" s="18">
        <v>25</v>
      </c>
      <c r="I40" s="18">
        <f t="shared" si="0"/>
        <v>790</v>
      </c>
      <c r="J40" s="17" t="s">
        <v>140</v>
      </c>
      <c r="K40" s="17" t="s">
        <v>32</v>
      </c>
      <c r="L40" s="17" t="s">
        <v>1386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1196</v>
      </c>
      <c r="D41" s="17" t="s">
        <v>1469</v>
      </c>
      <c r="E41" s="17" t="s">
        <v>1470</v>
      </c>
      <c r="F41" s="18">
        <v>7</v>
      </c>
      <c r="G41" s="18">
        <v>30</v>
      </c>
      <c r="H41" s="18">
        <v>30</v>
      </c>
      <c r="I41" s="18">
        <f t="shared" si="0"/>
        <v>0</v>
      </c>
      <c r="J41" s="17" t="s">
        <v>140</v>
      </c>
      <c r="K41" s="17" t="s">
        <v>32</v>
      </c>
      <c r="L41" s="17" t="s">
        <v>1386</v>
      </c>
      <c r="M41" s="20" t="s">
        <v>1471</v>
      </c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1472</v>
      </c>
      <c r="D42" s="17" t="s">
        <v>1473</v>
      </c>
      <c r="E42" s="17" t="s">
        <v>1474</v>
      </c>
      <c r="F42" s="18">
        <v>10</v>
      </c>
      <c r="G42" s="18">
        <v>25</v>
      </c>
      <c r="H42" s="18">
        <v>25</v>
      </c>
      <c r="I42" s="18">
        <f t="shared" si="0"/>
        <v>0</v>
      </c>
      <c r="J42" s="17" t="s">
        <v>140</v>
      </c>
      <c r="K42" s="17" t="s">
        <v>32</v>
      </c>
      <c r="L42" s="17" t="s">
        <v>1386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1475</v>
      </c>
      <c r="D43" s="17" t="s">
        <v>1476</v>
      </c>
      <c r="E43" s="17" t="s">
        <v>690</v>
      </c>
      <c r="F43" s="17" t="s">
        <v>51</v>
      </c>
      <c r="G43" s="18">
        <v>2670</v>
      </c>
      <c r="H43" s="18">
        <v>40</v>
      </c>
      <c r="I43" s="18">
        <f t="shared" si="0"/>
        <v>2630</v>
      </c>
      <c r="J43" s="17" t="s">
        <v>140</v>
      </c>
      <c r="K43" s="17" t="s">
        <v>32</v>
      </c>
      <c r="L43" s="17" t="s">
        <v>1386</v>
      </c>
      <c r="M43" s="20" t="s">
        <v>58</v>
      </c>
      <c r="N43" s="17"/>
      <c r="O43" s="17"/>
      <c r="P43" s="17"/>
      <c r="Q43" s="17">
        <v>1</v>
      </c>
      <c r="R43" s="19">
        <f>H43</f>
        <v>40</v>
      </c>
    </row>
    <row r="44" spans="1:18" customFormat="1" x14ac:dyDescent="0.25">
      <c r="A44" s="17"/>
      <c r="B44" s="17" t="s">
        <v>27</v>
      </c>
      <c r="C44" s="17" t="s">
        <v>1477</v>
      </c>
      <c r="D44" s="17" t="s">
        <v>1478</v>
      </c>
      <c r="E44" s="17" t="s">
        <v>1479</v>
      </c>
      <c r="F44" s="18">
        <v>7</v>
      </c>
      <c r="G44" s="18">
        <v>30</v>
      </c>
      <c r="H44" s="18">
        <v>30</v>
      </c>
      <c r="I44" s="18">
        <f t="shared" si="0"/>
        <v>0</v>
      </c>
      <c r="J44" s="17" t="s">
        <v>140</v>
      </c>
      <c r="K44" s="17" t="s">
        <v>32</v>
      </c>
      <c r="L44" s="17" t="s">
        <v>1386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1480</v>
      </c>
      <c r="D45" s="17" t="s">
        <v>1481</v>
      </c>
      <c r="E45" s="17" t="s">
        <v>1482</v>
      </c>
      <c r="F45" s="17" t="s">
        <v>130</v>
      </c>
      <c r="G45" s="18">
        <v>0</v>
      </c>
      <c r="H45" s="18">
        <v>25</v>
      </c>
      <c r="I45" s="18">
        <f t="shared" si="0"/>
        <v>-25</v>
      </c>
      <c r="J45" s="17" t="s">
        <v>140</v>
      </c>
      <c r="K45" s="17" t="s">
        <v>32</v>
      </c>
      <c r="L45" s="17" t="s">
        <v>1386</v>
      </c>
      <c r="M45" s="17"/>
      <c r="N45" s="17"/>
      <c r="O45" s="17"/>
      <c r="P45" s="17"/>
      <c r="Q45" s="17">
        <v>1</v>
      </c>
      <c r="R45" s="19">
        <f>H45</f>
        <v>25</v>
      </c>
    </row>
    <row r="46" spans="1:18" customFormat="1" x14ac:dyDescent="0.25">
      <c r="A46" s="17"/>
      <c r="B46" s="17" t="s">
        <v>27</v>
      </c>
      <c r="C46" s="17" t="s">
        <v>1483</v>
      </c>
      <c r="D46" s="17" t="s">
        <v>1484</v>
      </c>
      <c r="E46" s="17" t="s">
        <v>1485</v>
      </c>
      <c r="F46" s="18">
        <v>8</v>
      </c>
      <c r="G46" s="18">
        <v>1960</v>
      </c>
      <c r="H46" s="18">
        <v>30</v>
      </c>
      <c r="I46" s="18">
        <f t="shared" si="0"/>
        <v>1930</v>
      </c>
      <c r="J46" s="17" t="s">
        <v>140</v>
      </c>
      <c r="K46" s="17" t="s">
        <v>32</v>
      </c>
      <c r="L46" s="17" t="s">
        <v>1386</v>
      </c>
      <c r="M46" s="17"/>
      <c r="N46" s="17"/>
      <c r="O46" s="17"/>
      <c r="P46" s="17"/>
      <c r="Q46" s="17">
        <v>1</v>
      </c>
    </row>
    <row r="47" spans="1:18" s="23" customFormat="1" x14ac:dyDescent="0.25">
      <c r="A47" s="21"/>
      <c r="B47" s="21" t="s">
        <v>27</v>
      </c>
      <c r="C47" s="21" t="s">
        <v>1486</v>
      </c>
      <c r="D47" s="21" t="s">
        <v>1487</v>
      </c>
      <c r="E47" s="21" t="s">
        <v>1488</v>
      </c>
      <c r="F47" s="22">
        <v>8</v>
      </c>
      <c r="G47" s="22">
        <v>30</v>
      </c>
      <c r="H47" s="22">
        <v>30</v>
      </c>
      <c r="I47" s="22">
        <f t="shared" si="0"/>
        <v>0</v>
      </c>
      <c r="J47" s="21" t="s">
        <v>140</v>
      </c>
      <c r="K47" s="21" t="s">
        <v>32</v>
      </c>
      <c r="L47" s="21" t="s">
        <v>1386</v>
      </c>
      <c r="M47" s="21" t="s">
        <v>153</v>
      </c>
      <c r="N47" s="21"/>
      <c r="O47" s="21"/>
      <c r="P47" s="21"/>
      <c r="Q47" s="21">
        <v>1</v>
      </c>
    </row>
    <row r="48" spans="1:18" customFormat="1" x14ac:dyDescent="0.25">
      <c r="A48" s="17"/>
      <c r="B48" s="17" t="s">
        <v>27</v>
      </c>
      <c r="C48" s="17" t="s">
        <v>1489</v>
      </c>
      <c r="D48" s="17" t="s">
        <v>1490</v>
      </c>
      <c r="E48" s="17" t="s">
        <v>1491</v>
      </c>
      <c r="F48" s="17" t="s">
        <v>130</v>
      </c>
      <c r="G48" s="18">
        <v>3380</v>
      </c>
      <c r="H48" s="18">
        <v>35</v>
      </c>
      <c r="I48" s="18">
        <f t="shared" si="0"/>
        <v>3345</v>
      </c>
      <c r="J48" s="17" t="s">
        <v>140</v>
      </c>
      <c r="K48" s="17" t="s">
        <v>32</v>
      </c>
      <c r="L48" s="17" t="s">
        <v>1386</v>
      </c>
      <c r="M48" s="20" t="s">
        <v>58</v>
      </c>
      <c r="N48" s="17"/>
      <c r="O48" s="17"/>
      <c r="P48" s="17"/>
      <c r="Q48" s="17">
        <v>1</v>
      </c>
      <c r="R48" s="19">
        <f>H48</f>
        <v>35</v>
      </c>
    </row>
    <row r="49" spans="1:18" customFormat="1" x14ac:dyDescent="0.25">
      <c r="A49" s="17"/>
      <c r="B49" s="17" t="s">
        <v>27</v>
      </c>
      <c r="C49" s="17" t="s">
        <v>1492</v>
      </c>
      <c r="D49" s="17" t="s">
        <v>1493</v>
      </c>
      <c r="E49" s="17" t="s">
        <v>1494</v>
      </c>
      <c r="F49" s="17" t="s">
        <v>130</v>
      </c>
      <c r="G49" s="18">
        <v>1465</v>
      </c>
      <c r="H49" s="18">
        <v>25</v>
      </c>
      <c r="I49" s="18">
        <f t="shared" si="0"/>
        <v>1440</v>
      </c>
      <c r="J49" s="17" t="s">
        <v>140</v>
      </c>
      <c r="K49" s="17" t="s">
        <v>32</v>
      </c>
      <c r="L49" s="17" t="s">
        <v>1386</v>
      </c>
      <c r="M49" s="17"/>
      <c r="N49" s="17"/>
      <c r="O49" s="17"/>
      <c r="P49" s="17"/>
      <c r="Q49" s="17">
        <v>1</v>
      </c>
    </row>
    <row r="50" spans="1:18" s="23" customFormat="1" x14ac:dyDescent="0.25">
      <c r="A50" s="21"/>
      <c r="B50" s="21" t="s">
        <v>27</v>
      </c>
      <c r="C50" s="21" t="s">
        <v>1121</v>
      </c>
      <c r="D50" s="21" t="s">
        <v>1495</v>
      </c>
      <c r="E50" s="21" t="s">
        <v>1123</v>
      </c>
      <c r="F50" s="21" t="s">
        <v>202</v>
      </c>
      <c r="G50" s="22">
        <v>35</v>
      </c>
      <c r="H50" s="22">
        <v>35</v>
      </c>
      <c r="I50" s="22">
        <f t="shared" si="0"/>
        <v>0</v>
      </c>
      <c r="J50" s="21" t="s">
        <v>140</v>
      </c>
      <c r="K50" s="21" t="s">
        <v>32</v>
      </c>
      <c r="L50" s="21" t="s">
        <v>1386</v>
      </c>
      <c r="M50" s="20" t="s">
        <v>1496</v>
      </c>
      <c r="N50" s="21"/>
      <c r="O50" s="21"/>
      <c r="P50" s="21"/>
      <c r="Q50" s="21">
        <v>1</v>
      </c>
    </row>
    <row r="51" spans="1:18" customFormat="1" x14ac:dyDescent="0.25">
      <c r="A51" s="17"/>
      <c r="B51" s="17" t="s">
        <v>27</v>
      </c>
      <c r="C51" s="17" t="s">
        <v>1497</v>
      </c>
      <c r="D51" s="17" t="s">
        <v>1498</v>
      </c>
      <c r="E51" s="17" t="s">
        <v>1499</v>
      </c>
      <c r="F51" s="18">
        <v>10</v>
      </c>
      <c r="G51" s="18">
        <v>0</v>
      </c>
      <c r="H51" s="18">
        <v>25</v>
      </c>
      <c r="I51" s="18">
        <f t="shared" si="0"/>
        <v>-25</v>
      </c>
      <c r="J51" s="17" t="s">
        <v>140</v>
      </c>
      <c r="K51" s="17" t="s">
        <v>32</v>
      </c>
      <c r="L51" s="17" t="s">
        <v>1386</v>
      </c>
      <c r="M51" s="17"/>
      <c r="N51" s="17"/>
      <c r="O51" s="17"/>
      <c r="P51" s="17"/>
      <c r="Q51" s="17">
        <v>1</v>
      </c>
      <c r="R51" s="19">
        <f>H51</f>
        <v>25</v>
      </c>
    </row>
    <row r="52" spans="1:18" customFormat="1" x14ac:dyDescent="0.25">
      <c r="A52" s="17"/>
      <c r="B52" s="17" t="s">
        <v>27</v>
      </c>
      <c r="C52" s="17" t="s">
        <v>1109</v>
      </c>
      <c r="D52" s="17" t="s">
        <v>1500</v>
      </c>
      <c r="E52" s="17" t="s">
        <v>1111</v>
      </c>
      <c r="F52" s="18">
        <v>7</v>
      </c>
      <c r="G52" s="18">
        <v>1050</v>
      </c>
      <c r="H52" s="18">
        <v>30</v>
      </c>
      <c r="I52" s="18">
        <f t="shared" si="0"/>
        <v>1020</v>
      </c>
      <c r="J52" s="17" t="s">
        <v>140</v>
      </c>
      <c r="K52" s="17" t="s">
        <v>32</v>
      </c>
      <c r="L52" s="17" t="s">
        <v>1386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1501</v>
      </c>
      <c r="D53" s="17" t="s">
        <v>1502</v>
      </c>
      <c r="E53" s="17" t="s">
        <v>1503</v>
      </c>
      <c r="F53" s="17" t="s">
        <v>202</v>
      </c>
      <c r="G53" s="18">
        <v>1795</v>
      </c>
      <c r="H53" s="18">
        <v>35</v>
      </c>
      <c r="I53" s="18">
        <f t="shared" si="0"/>
        <v>1760</v>
      </c>
      <c r="J53" s="17" t="s">
        <v>140</v>
      </c>
      <c r="K53" s="17" t="s">
        <v>32</v>
      </c>
      <c r="L53" s="17" t="s">
        <v>1386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1504</v>
      </c>
      <c r="D54" s="17" t="s">
        <v>1505</v>
      </c>
      <c r="E54" s="17" t="s">
        <v>1506</v>
      </c>
      <c r="F54" s="17" t="s">
        <v>166</v>
      </c>
      <c r="G54" s="18">
        <v>1080</v>
      </c>
      <c r="H54" s="18">
        <v>20</v>
      </c>
      <c r="I54" s="18">
        <f t="shared" si="0"/>
        <v>1060</v>
      </c>
      <c r="J54" s="17" t="s">
        <v>140</v>
      </c>
      <c r="K54" s="17" t="s">
        <v>32</v>
      </c>
      <c r="L54" s="17" t="s">
        <v>1386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1507</v>
      </c>
      <c r="D55" s="17" t="s">
        <v>1508</v>
      </c>
      <c r="E55" s="17" t="s">
        <v>1509</v>
      </c>
      <c r="F55" s="18">
        <v>10</v>
      </c>
      <c r="G55" s="18">
        <v>0</v>
      </c>
      <c r="H55" s="18">
        <v>25</v>
      </c>
      <c r="I55" s="18">
        <f t="shared" si="0"/>
        <v>-25</v>
      </c>
      <c r="J55" s="17" t="s">
        <v>140</v>
      </c>
      <c r="K55" s="17" t="s">
        <v>32</v>
      </c>
      <c r="L55" s="17" t="s">
        <v>1386</v>
      </c>
      <c r="M55" s="17"/>
      <c r="N55" s="17"/>
      <c r="O55" s="17"/>
      <c r="P55" s="17"/>
      <c r="Q55" s="17">
        <v>1</v>
      </c>
      <c r="R55" s="19">
        <f t="shared" ref="R55:R56" si="3">H55</f>
        <v>25</v>
      </c>
    </row>
    <row r="56" spans="1:18" customFormat="1" x14ac:dyDescent="0.25">
      <c r="A56" s="17"/>
      <c r="B56" s="17" t="s">
        <v>27</v>
      </c>
      <c r="C56" s="17" t="s">
        <v>1510</v>
      </c>
      <c r="D56" s="17" t="s">
        <v>1511</v>
      </c>
      <c r="E56" s="17" t="s">
        <v>1512</v>
      </c>
      <c r="F56" s="17" t="s">
        <v>166</v>
      </c>
      <c r="G56" s="18">
        <v>0</v>
      </c>
      <c r="H56" s="18">
        <v>20</v>
      </c>
      <c r="I56" s="18">
        <f t="shared" si="0"/>
        <v>-20</v>
      </c>
      <c r="J56" s="17" t="s">
        <v>140</v>
      </c>
      <c r="K56" s="17" t="s">
        <v>32</v>
      </c>
      <c r="L56" s="17" t="s">
        <v>1386</v>
      </c>
      <c r="M56" s="17"/>
      <c r="N56" s="17"/>
      <c r="O56" s="17"/>
      <c r="P56" s="17"/>
      <c r="Q56" s="17">
        <v>1</v>
      </c>
      <c r="R56" s="19">
        <f t="shared" si="3"/>
        <v>20</v>
      </c>
    </row>
    <row r="57" spans="1:18" s="30" customFormat="1" x14ac:dyDescent="0.25">
      <c r="A57" s="24"/>
      <c r="B57" s="24" t="s">
        <v>27</v>
      </c>
      <c r="C57" s="24" t="s">
        <v>1513</v>
      </c>
      <c r="D57" s="24" t="s">
        <v>1514</v>
      </c>
      <c r="E57" s="24" t="s">
        <v>1515</v>
      </c>
      <c r="F57" s="24" t="s">
        <v>71</v>
      </c>
      <c r="G57" s="25">
        <v>1380</v>
      </c>
      <c r="H57" s="25">
        <v>30</v>
      </c>
      <c r="I57" s="25">
        <f>G57-H57</f>
        <v>1350</v>
      </c>
      <c r="J57" s="24" t="s">
        <v>188</v>
      </c>
      <c r="K57" s="24" t="s">
        <v>32</v>
      </c>
      <c r="L57" s="24" t="s">
        <v>1386</v>
      </c>
      <c r="M57" s="24" t="s">
        <v>184</v>
      </c>
      <c r="N57" s="24" t="s">
        <v>660</v>
      </c>
      <c r="O57" s="24"/>
      <c r="P57" s="24" t="s">
        <v>661</v>
      </c>
      <c r="Q57" s="24">
        <v>1</v>
      </c>
    </row>
    <row r="58" spans="1:18" s="30" customFormat="1" x14ac:dyDescent="0.25">
      <c r="A58" s="24"/>
      <c r="B58" s="24" t="s">
        <v>27</v>
      </c>
      <c r="C58" s="24" t="s">
        <v>1516</v>
      </c>
      <c r="D58" s="24" t="s">
        <v>1517</v>
      </c>
      <c r="E58" s="24" t="s">
        <v>1465</v>
      </c>
      <c r="F58" s="24" t="s">
        <v>98</v>
      </c>
      <c r="G58" s="25">
        <v>1060</v>
      </c>
      <c r="H58" s="25">
        <v>0</v>
      </c>
      <c r="I58" s="25">
        <f t="shared" si="0"/>
        <v>1060</v>
      </c>
      <c r="J58" s="24" t="s">
        <v>188</v>
      </c>
      <c r="K58" s="24" t="s">
        <v>32</v>
      </c>
      <c r="L58" s="24" t="s">
        <v>1386</v>
      </c>
      <c r="M58" s="24" t="s">
        <v>184</v>
      </c>
      <c r="N58" s="24" t="s">
        <v>660</v>
      </c>
      <c r="O58" s="24"/>
      <c r="P58" s="24" t="s">
        <v>661</v>
      </c>
      <c r="Q58" s="24">
        <v>1</v>
      </c>
    </row>
    <row r="60" spans="1:18" x14ac:dyDescent="0.25">
      <c r="G60" s="1">
        <f t="shared" ref="G60:R60" si="4">SUBTOTAL(9,G3:G59)</f>
        <v>41835</v>
      </c>
      <c r="H60" s="1">
        <f t="shared" si="4"/>
        <v>1550</v>
      </c>
      <c r="I60" s="1">
        <f t="shared" si="4"/>
        <v>40285</v>
      </c>
      <c r="J60" s="1">
        <f t="shared" si="4"/>
        <v>0</v>
      </c>
      <c r="K60" s="1">
        <f t="shared" si="4"/>
        <v>0</v>
      </c>
      <c r="L60" s="1">
        <f t="shared" si="4"/>
        <v>0</v>
      </c>
      <c r="M60" s="1">
        <f t="shared" si="4"/>
        <v>0</v>
      </c>
      <c r="N60" s="1">
        <f t="shared" si="4"/>
        <v>0</v>
      </c>
      <c r="O60" s="1">
        <f t="shared" si="4"/>
        <v>0</v>
      </c>
      <c r="P60" s="1">
        <f t="shared" si="4"/>
        <v>0</v>
      </c>
      <c r="Q60" s="1">
        <f t="shared" si="4"/>
        <v>56</v>
      </c>
      <c r="R60" s="1">
        <f t="shared" si="4"/>
        <v>525</v>
      </c>
    </row>
    <row r="61" spans="1:18" x14ac:dyDescent="0.25">
      <c r="I61" s="26">
        <f>-H79</f>
        <v>-6060</v>
      </c>
      <c r="J61" s="1" t="s">
        <v>1519</v>
      </c>
    </row>
    <row r="62" spans="1:18" x14ac:dyDescent="0.25">
      <c r="I62" s="26"/>
    </row>
    <row r="64" spans="1:18" ht="20.25" customHeight="1" x14ac:dyDescent="0.3">
      <c r="H64" s="4" t="s">
        <v>1522</v>
      </c>
      <c r="I64" s="5" t="s">
        <v>15</v>
      </c>
      <c r="J64" s="6" t="s">
        <v>16</v>
      </c>
    </row>
    <row r="65" spans="1:12" ht="15.75" customHeight="1" x14ac:dyDescent="0.25">
      <c r="H65" s="7" t="s">
        <v>17</v>
      </c>
      <c r="I65" s="8">
        <f>SUM(I59:I63)</f>
        <v>34225</v>
      </c>
      <c r="J65" s="8">
        <f>Q60</f>
        <v>56</v>
      </c>
    </row>
    <row r="66" spans="1:12" x14ac:dyDescent="0.25">
      <c r="H66" s="9" t="s">
        <v>18</v>
      </c>
      <c r="I66" s="10">
        <f>R60</f>
        <v>525</v>
      </c>
      <c r="J66" s="11"/>
    </row>
    <row r="67" spans="1:12" x14ac:dyDescent="0.25">
      <c r="H67" s="9" t="s">
        <v>19</v>
      </c>
      <c r="I67" s="10">
        <f>S59</f>
        <v>0</v>
      </c>
      <c r="J67" s="11"/>
    </row>
    <row r="68" spans="1:12" x14ac:dyDescent="0.25">
      <c r="H68" s="9" t="s">
        <v>20</v>
      </c>
      <c r="I68" s="10">
        <f>T59</f>
        <v>0</v>
      </c>
      <c r="J68" s="11"/>
    </row>
    <row r="69" spans="1:12" x14ac:dyDescent="0.25">
      <c r="H69" s="9" t="s">
        <v>21</v>
      </c>
      <c r="I69" s="10">
        <f>U59</f>
        <v>0</v>
      </c>
      <c r="J69" s="11"/>
    </row>
    <row r="70" spans="1:12" ht="15.75" customHeight="1" x14ac:dyDescent="0.25">
      <c r="H70" s="12" t="s">
        <v>22</v>
      </c>
      <c r="I70" s="13"/>
      <c r="J70" s="13"/>
    </row>
    <row r="71" spans="1:12" ht="15.75" customHeight="1" x14ac:dyDescent="0.25">
      <c r="H71" s="14" t="s">
        <v>23</v>
      </c>
      <c r="I71" s="13"/>
      <c r="J71" s="13"/>
    </row>
    <row r="72" spans="1:12" ht="21" customHeight="1" x14ac:dyDescent="0.35">
      <c r="H72" s="15" t="s">
        <v>24</v>
      </c>
      <c r="I72" s="16">
        <f>SUM(I65:I71)</f>
        <v>34750</v>
      </c>
      <c r="J72" s="16">
        <f>SUM(J65:J69)</f>
        <v>56</v>
      </c>
    </row>
    <row r="74" spans="1:12" x14ac:dyDescent="0.25">
      <c r="A74" s="1" t="s">
        <v>184</v>
      </c>
    </row>
    <row r="75" spans="1:12" x14ac:dyDescent="0.25">
      <c r="A75" s="24" t="s">
        <v>27</v>
      </c>
      <c r="B75" s="24" t="s">
        <v>1513</v>
      </c>
      <c r="C75" s="24" t="s">
        <v>1514</v>
      </c>
      <c r="D75" s="24" t="s">
        <v>1515</v>
      </c>
      <c r="E75" s="24" t="s">
        <v>71</v>
      </c>
      <c r="F75" s="25">
        <v>1380</v>
      </c>
      <c r="G75" s="25">
        <v>30</v>
      </c>
      <c r="H75" s="25">
        <f>F75-G75</f>
        <v>1350</v>
      </c>
      <c r="I75" s="24" t="s">
        <v>188</v>
      </c>
      <c r="J75" s="24" t="s">
        <v>32</v>
      </c>
      <c r="K75" s="24" t="s">
        <v>1386</v>
      </c>
      <c r="L75" s="24" t="s">
        <v>184</v>
      </c>
    </row>
    <row r="76" spans="1:12" x14ac:dyDescent="0.25">
      <c r="A76" s="24" t="s">
        <v>27</v>
      </c>
      <c r="B76" s="24" t="s">
        <v>1516</v>
      </c>
      <c r="C76" s="24" t="s">
        <v>1517</v>
      </c>
      <c r="D76" s="24" t="s">
        <v>1465</v>
      </c>
      <c r="E76" s="24" t="s">
        <v>98</v>
      </c>
      <c r="F76" s="25">
        <v>1060</v>
      </c>
      <c r="G76" s="25">
        <v>0</v>
      </c>
      <c r="H76" s="25">
        <f t="shared" ref="H76:H78" si="5">F76-G76</f>
        <v>1060</v>
      </c>
      <c r="I76" s="24" t="s">
        <v>188</v>
      </c>
      <c r="J76" s="24" t="s">
        <v>32</v>
      </c>
      <c r="K76" s="24" t="s">
        <v>1386</v>
      </c>
      <c r="L76" s="24" t="s">
        <v>184</v>
      </c>
    </row>
    <row r="77" spans="1:12" x14ac:dyDescent="0.25">
      <c r="A77" s="27" t="s">
        <v>27</v>
      </c>
      <c r="B77" s="27" t="s">
        <v>1266</v>
      </c>
      <c r="C77" s="27"/>
      <c r="D77" s="27" t="s">
        <v>1267</v>
      </c>
      <c r="E77" s="28" t="s">
        <v>1518</v>
      </c>
      <c r="F77" s="27">
        <v>2845</v>
      </c>
      <c r="G77" s="27">
        <v>35</v>
      </c>
      <c r="H77" s="27">
        <f t="shared" si="5"/>
        <v>2810</v>
      </c>
      <c r="I77" s="24" t="s">
        <v>188</v>
      </c>
      <c r="J77" s="27" t="s">
        <v>32</v>
      </c>
      <c r="K77" s="27" t="s">
        <v>1265</v>
      </c>
      <c r="L77" s="27" t="s">
        <v>184</v>
      </c>
    </row>
    <row r="78" spans="1:12" x14ac:dyDescent="0.25">
      <c r="A78" s="24" t="s">
        <v>27</v>
      </c>
      <c r="B78" s="24" t="s">
        <v>1293</v>
      </c>
      <c r="C78" s="24" t="s">
        <v>1294</v>
      </c>
      <c r="D78" s="24" t="s">
        <v>1295</v>
      </c>
      <c r="E78" s="25">
        <v>7</v>
      </c>
      <c r="F78" s="25">
        <v>870</v>
      </c>
      <c r="G78" s="25">
        <v>30</v>
      </c>
      <c r="H78" s="25">
        <f t="shared" si="5"/>
        <v>840</v>
      </c>
      <c r="I78" s="24" t="s">
        <v>188</v>
      </c>
      <c r="J78" s="24" t="s">
        <v>32</v>
      </c>
      <c r="K78" s="24" t="s">
        <v>1265</v>
      </c>
      <c r="L78" s="24" t="s">
        <v>184</v>
      </c>
    </row>
    <row r="79" spans="1:12" x14ac:dyDescent="0.25">
      <c r="H79" s="26">
        <f>SUM(H75:H78)</f>
        <v>6060</v>
      </c>
    </row>
    <row r="80" spans="1:12" x14ac:dyDescent="0.25">
      <c r="A80" s="1" t="s">
        <v>779</v>
      </c>
    </row>
    <row r="81" spans="1:12" x14ac:dyDescent="0.25">
      <c r="A81" s="27" t="s">
        <v>27</v>
      </c>
      <c r="B81" s="27" t="s">
        <v>1196</v>
      </c>
      <c r="C81" s="27" t="s">
        <v>1469</v>
      </c>
      <c r="D81" s="27" t="s">
        <v>1470</v>
      </c>
      <c r="E81" s="45">
        <v>7</v>
      </c>
      <c r="F81" s="45">
        <v>760</v>
      </c>
      <c r="G81" s="45">
        <v>0</v>
      </c>
      <c r="H81" s="45">
        <f t="shared" ref="H81" si="6">F81-G81</f>
        <v>760</v>
      </c>
      <c r="I81" s="27" t="s">
        <v>140</v>
      </c>
      <c r="J81" s="27" t="s">
        <v>32</v>
      </c>
      <c r="K81" s="27" t="s">
        <v>1386</v>
      </c>
      <c r="L81" s="20" t="s">
        <v>1471</v>
      </c>
    </row>
    <row r="82" spans="1:12" x14ac:dyDescent="0.25">
      <c r="A82" s="27" t="s">
        <v>27</v>
      </c>
      <c r="B82" s="27" t="s">
        <v>1121</v>
      </c>
      <c r="C82" s="27" t="s">
        <v>1495</v>
      </c>
      <c r="D82" s="27" t="s">
        <v>1123</v>
      </c>
      <c r="E82" s="27" t="s">
        <v>202</v>
      </c>
      <c r="F82" s="45">
        <v>840</v>
      </c>
      <c r="G82" s="45">
        <v>0</v>
      </c>
      <c r="H82" s="45">
        <f t="shared" ref="H82" si="7">F82-G82</f>
        <v>840</v>
      </c>
      <c r="I82" s="27" t="s">
        <v>140</v>
      </c>
      <c r="J82" s="27" t="s">
        <v>32</v>
      </c>
      <c r="K82" s="27" t="s">
        <v>1386</v>
      </c>
      <c r="L82" s="20" t="s">
        <v>1520</v>
      </c>
    </row>
    <row r="83" spans="1:12" x14ac:dyDescent="0.25">
      <c r="H83" s="26"/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9E685-B93D-450A-BC55-0D8187ADFC44}">
  <dimension ref="A1:R60"/>
  <sheetViews>
    <sheetView tabSelected="1"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181</v>
      </c>
      <c r="C1" s="1" t="s">
        <v>1524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1271</v>
      </c>
      <c r="D3" s="17" t="s">
        <v>1525</v>
      </c>
      <c r="E3" s="17" t="s">
        <v>1526</v>
      </c>
      <c r="F3" s="17" t="s">
        <v>51</v>
      </c>
      <c r="G3" s="18">
        <v>925</v>
      </c>
      <c r="H3" s="18">
        <v>35</v>
      </c>
      <c r="I3" s="18">
        <f t="shared" ref="I3:I43" si="0">G3-H3</f>
        <v>890</v>
      </c>
      <c r="J3" s="17" t="s">
        <v>1527</v>
      </c>
      <c r="K3" s="17" t="s">
        <v>32</v>
      </c>
      <c r="L3" s="17" t="s">
        <v>1528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1268</v>
      </c>
      <c r="D4" s="17" t="s">
        <v>1529</v>
      </c>
      <c r="E4" s="17" t="s">
        <v>1270</v>
      </c>
      <c r="F4" s="17" t="s">
        <v>30</v>
      </c>
      <c r="G4" s="18">
        <v>0</v>
      </c>
      <c r="H4" s="18">
        <v>30</v>
      </c>
      <c r="I4" s="18">
        <f t="shared" si="0"/>
        <v>-30</v>
      </c>
      <c r="J4" s="17" t="s">
        <v>1527</v>
      </c>
      <c r="K4" s="17" t="s">
        <v>32</v>
      </c>
      <c r="L4" s="17" t="s">
        <v>1528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27</v>
      </c>
      <c r="C5" s="17" t="s">
        <v>1530</v>
      </c>
      <c r="D5" s="17" t="s">
        <v>1531</v>
      </c>
      <c r="E5" s="17" t="s">
        <v>1532</v>
      </c>
      <c r="F5" s="17" t="s">
        <v>80</v>
      </c>
      <c r="G5" s="18">
        <v>875</v>
      </c>
      <c r="H5" s="18">
        <v>35</v>
      </c>
      <c r="I5" s="18">
        <f t="shared" si="0"/>
        <v>840</v>
      </c>
      <c r="J5" s="17" t="s">
        <v>1527</v>
      </c>
      <c r="K5" s="17" t="s">
        <v>32</v>
      </c>
      <c r="L5" s="17" t="s">
        <v>1528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1533</v>
      </c>
      <c r="D6" s="17" t="s">
        <v>1534</v>
      </c>
      <c r="E6" s="17" t="s">
        <v>1535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1527</v>
      </c>
      <c r="K6" s="17" t="s">
        <v>32</v>
      </c>
      <c r="L6" s="17" t="s">
        <v>1528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1536</v>
      </c>
      <c r="D7" s="17" t="s">
        <v>1537</v>
      </c>
      <c r="E7" s="17" t="s">
        <v>1538</v>
      </c>
      <c r="F7" s="17" t="s">
        <v>30</v>
      </c>
      <c r="G7" s="18">
        <v>850</v>
      </c>
      <c r="H7" s="18">
        <v>30</v>
      </c>
      <c r="I7" s="18">
        <f t="shared" si="0"/>
        <v>820</v>
      </c>
      <c r="J7" s="17" t="s">
        <v>1527</v>
      </c>
      <c r="K7" s="17" t="s">
        <v>32</v>
      </c>
      <c r="L7" s="17" t="s">
        <v>1528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1539</v>
      </c>
      <c r="D8" s="17" t="s">
        <v>1540</v>
      </c>
      <c r="E8" s="17" t="s">
        <v>1541</v>
      </c>
      <c r="F8" s="18">
        <v>9</v>
      </c>
      <c r="G8" s="18">
        <v>960</v>
      </c>
      <c r="H8" s="18">
        <v>30</v>
      </c>
      <c r="I8" s="18">
        <f t="shared" si="0"/>
        <v>930</v>
      </c>
      <c r="J8" s="17" t="s">
        <v>1527</v>
      </c>
      <c r="K8" s="17" t="s">
        <v>32</v>
      </c>
      <c r="L8" s="17" t="s">
        <v>1528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1542</v>
      </c>
      <c r="D9" s="17" t="s">
        <v>1543</v>
      </c>
      <c r="E9" s="17" t="s">
        <v>1544</v>
      </c>
      <c r="F9" s="17" t="s">
        <v>51</v>
      </c>
      <c r="G9" s="18">
        <v>0</v>
      </c>
      <c r="H9" s="18">
        <v>35</v>
      </c>
      <c r="I9" s="18">
        <f t="shared" si="0"/>
        <v>-35</v>
      </c>
      <c r="J9" s="17" t="s">
        <v>1527</v>
      </c>
      <c r="K9" s="17" t="s">
        <v>32</v>
      </c>
      <c r="L9" s="17" t="s">
        <v>1528</v>
      </c>
      <c r="M9" s="17"/>
      <c r="N9" s="17"/>
      <c r="O9" s="17"/>
      <c r="P9" s="17"/>
      <c r="Q9" s="17">
        <v>1</v>
      </c>
      <c r="R9" s="19">
        <f t="shared" ref="R9:R11" si="1">H9</f>
        <v>35</v>
      </c>
    </row>
    <row r="10" spans="1:18" customFormat="1" x14ac:dyDescent="0.25">
      <c r="A10" s="17"/>
      <c r="B10" s="17" t="s">
        <v>27</v>
      </c>
      <c r="C10" s="17" t="s">
        <v>1545</v>
      </c>
      <c r="D10" s="17" t="s">
        <v>1546</v>
      </c>
      <c r="E10" s="17" t="s">
        <v>1547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1527</v>
      </c>
      <c r="K10" s="17" t="s">
        <v>32</v>
      </c>
      <c r="L10" s="17" t="s">
        <v>1528</v>
      </c>
      <c r="M10" s="17"/>
      <c r="N10" s="17"/>
      <c r="O10" s="17"/>
      <c r="P10" s="17"/>
      <c r="Q10" s="17">
        <v>1</v>
      </c>
      <c r="R10" s="19">
        <f t="shared" si="1"/>
        <v>30</v>
      </c>
    </row>
    <row r="11" spans="1:18" customFormat="1" x14ac:dyDescent="0.25">
      <c r="A11" s="17"/>
      <c r="B11" s="17" t="s">
        <v>27</v>
      </c>
      <c r="C11" s="17" t="s">
        <v>1548</v>
      </c>
      <c r="D11" s="17" t="s">
        <v>1549</v>
      </c>
      <c r="E11" s="17" t="s">
        <v>1550</v>
      </c>
      <c r="F11" s="17" t="s">
        <v>51</v>
      </c>
      <c r="G11" s="18">
        <v>0</v>
      </c>
      <c r="H11" s="18">
        <v>35</v>
      </c>
      <c r="I11" s="18">
        <f t="shared" si="0"/>
        <v>-35</v>
      </c>
      <c r="J11" s="17" t="s">
        <v>1527</v>
      </c>
      <c r="K11" s="17" t="s">
        <v>32</v>
      </c>
      <c r="L11" s="17" t="s">
        <v>1528</v>
      </c>
      <c r="M11" s="17"/>
      <c r="N11" s="17"/>
      <c r="O11" s="17"/>
      <c r="P11" s="17"/>
      <c r="Q11" s="17">
        <v>1</v>
      </c>
      <c r="R11" s="19">
        <f t="shared" si="1"/>
        <v>35</v>
      </c>
    </row>
    <row r="12" spans="1:18" customFormat="1" x14ac:dyDescent="0.25">
      <c r="A12" s="17" t="s">
        <v>26</v>
      </c>
      <c r="B12" s="17" t="s">
        <v>27</v>
      </c>
      <c r="C12" s="17" t="s">
        <v>511</v>
      </c>
      <c r="D12" s="17"/>
      <c r="E12" s="17" t="s">
        <v>512</v>
      </c>
      <c r="F12" s="17" t="s">
        <v>30</v>
      </c>
      <c r="G12" s="18">
        <v>8350</v>
      </c>
      <c r="H12" s="18">
        <v>70</v>
      </c>
      <c r="I12" s="18">
        <f t="shared" si="0"/>
        <v>8280</v>
      </c>
      <c r="J12" s="17" t="s">
        <v>1527</v>
      </c>
      <c r="K12" s="17" t="s">
        <v>32</v>
      </c>
      <c r="L12" s="17" t="s">
        <v>1528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26</v>
      </c>
      <c r="B13" s="17" t="s">
        <v>27</v>
      </c>
      <c r="C13" s="17" t="s">
        <v>1551</v>
      </c>
      <c r="D13" s="17"/>
      <c r="E13" s="17" t="s">
        <v>35</v>
      </c>
      <c r="F13" s="18">
        <v>6</v>
      </c>
      <c r="G13" s="18">
        <v>0</v>
      </c>
      <c r="H13" s="18">
        <v>30</v>
      </c>
      <c r="I13" s="18">
        <f t="shared" si="0"/>
        <v>-30</v>
      </c>
      <c r="J13" s="17" t="s">
        <v>1527</v>
      </c>
      <c r="K13" s="17" t="s">
        <v>32</v>
      </c>
      <c r="L13" s="17" t="s">
        <v>1528</v>
      </c>
      <c r="M13" s="17"/>
      <c r="N13" s="17"/>
      <c r="O13" s="17"/>
      <c r="P13" s="17"/>
      <c r="Q13" s="17">
        <v>1</v>
      </c>
      <c r="R13" s="19">
        <f t="shared" ref="R13:R14" si="2">H13</f>
        <v>30</v>
      </c>
    </row>
    <row r="14" spans="1:18" customFormat="1" x14ac:dyDescent="0.25">
      <c r="A14" s="17"/>
      <c r="B14" s="17" t="s">
        <v>27</v>
      </c>
      <c r="C14" s="17" t="s">
        <v>1552</v>
      </c>
      <c r="D14" s="17" t="s">
        <v>1553</v>
      </c>
      <c r="E14" s="17" t="s">
        <v>1554</v>
      </c>
      <c r="F14" s="18">
        <v>12</v>
      </c>
      <c r="G14" s="18">
        <v>0</v>
      </c>
      <c r="H14" s="18">
        <v>30</v>
      </c>
      <c r="I14" s="18">
        <f t="shared" si="0"/>
        <v>-30</v>
      </c>
      <c r="J14" s="17" t="s">
        <v>32</v>
      </c>
      <c r="K14" s="17" t="s">
        <v>32</v>
      </c>
      <c r="L14" s="17" t="s">
        <v>1528</v>
      </c>
      <c r="M14" s="17"/>
      <c r="N14" s="17"/>
      <c r="O14" s="17"/>
      <c r="P14" s="17"/>
      <c r="Q14" s="17">
        <v>1</v>
      </c>
      <c r="R14" s="19">
        <f t="shared" si="2"/>
        <v>30</v>
      </c>
    </row>
    <row r="15" spans="1:18" customFormat="1" x14ac:dyDescent="0.25">
      <c r="A15" s="17"/>
      <c r="B15" s="17" t="s">
        <v>27</v>
      </c>
      <c r="C15" s="17" t="s">
        <v>1199</v>
      </c>
      <c r="D15" s="17" t="s">
        <v>1555</v>
      </c>
      <c r="E15" s="17" t="s">
        <v>1556</v>
      </c>
      <c r="F15" s="17" t="s">
        <v>71</v>
      </c>
      <c r="G15" s="18">
        <v>920</v>
      </c>
      <c r="H15" s="18">
        <v>30</v>
      </c>
      <c r="I15" s="18">
        <f t="shared" si="0"/>
        <v>890</v>
      </c>
      <c r="J15" s="17" t="s">
        <v>32</v>
      </c>
      <c r="K15" s="17" t="s">
        <v>32</v>
      </c>
      <c r="L15" s="17" t="s">
        <v>1528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1557</v>
      </c>
      <c r="D16" s="17" t="s">
        <v>1558</v>
      </c>
      <c r="E16" s="17" t="s">
        <v>1559</v>
      </c>
      <c r="F16" s="17" t="s">
        <v>77</v>
      </c>
      <c r="G16" s="18">
        <v>1055</v>
      </c>
      <c r="H16" s="18">
        <v>25</v>
      </c>
      <c r="I16" s="18">
        <f t="shared" si="0"/>
        <v>1030</v>
      </c>
      <c r="J16" s="17" t="s">
        <v>32</v>
      </c>
      <c r="K16" s="17" t="s">
        <v>32</v>
      </c>
      <c r="L16" s="17" t="s">
        <v>1528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1451</v>
      </c>
      <c r="D17" s="17" t="s">
        <v>1560</v>
      </c>
      <c r="E17" s="17" t="s">
        <v>1561</v>
      </c>
      <c r="F17" s="17" t="s">
        <v>77</v>
      </c>
      <c r="G17" s="18">
        <v>0</v>
      </c>
      <c r="H17" s="18">
        <v>25</v>
      </c>
      <c r="I17" s="18">
        <f t="shared" si="0"/>
        <v>-25</v>
      </c>
      <c r="J17" s="17" t="s">
        <v>32</v>
      </c>
      <c r="K17" s="17" t="s">
        <v>32</v>
      </c>
      <c r="L17" s="17" t="s">
        <v>1528</v>
      </c>
      <c r="M17" s="17"/>
      <c r="N17" s="17"/>
      <c r="O17" s="17"/>
      <c r="P17" s="17"/>
      <c r="Q17" s="17">
        <v>1</v>
      </c>
      <c r="R17" s="19">
        <f>H17</f>
        <v>25</v>
      </c>
    </row>
    <row r="18" spans="1:18" s="23" customFormat="1" x14ac:dyDescent="0.25">
      <c r="A18" s="21" t="s">
        <v>26</v>
      </c>
      <c r="B18" s="21" t="s">
        <v>27</v>
      </c>
      <c r="C18" s="21" t="s">
        <v>1562</v>
      </c>
      <c r="D18" s="21"/>
      <c r="E18" s="21" t="s">
        <v>1563</v>
      </c>
      <c r="F18" s="22">
        <v>2</v>
      </c>
      <c r="G18" s="22">
        <v>30</v>
      </c>
      <c r="H18" s="22">
        <v>30</v>
      </c>
      <c r="I18" s="22">
        <f t="shared" si="0"/>
        <v>0</v>
      </c>
      <c r="J18" s="21" t="s">
        <v>32</v>
      </c>
      <c r="K18" s="21" t="s">
        <v>32</v>
      </c>
      <c r="L18" s="21" t="s">
        <v>1528</v>
      </c>
      <c r="M18" s="21" t="s">
        <v>153</v>
      </c>
      <c r="N18" s="21"/>
      <c r="O18" s="21"/>
      <c r="P18" s="21"/>
      <c r="Q18" s="21">
        <v>1</v>
      </c>
    </row>
    <row r="19" spans="1:18" customFormat="1" x14ac:dyDescent="0.25">
      <c r="A19" s="17"/>
      <c r="B19" s="17" t="s">
        <v>27</v>
      </c>
      <c r="C19" s="17" t="s">
        <v>121</v>
      </c>
      <c r="D19" s="17" t="s">
        <v>1564</v>
      </c>
      <c r="E19" s="17" t="s">
        <v>123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1528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1565</v>
      </c>
      <c r="D20" s="17" t="s">
        <v>1566</v>
      </c>
      <c r="E20" s="17" t="s">
        <v>1567</v>
      </c>
      <c r="F20" s="18">
        <v>2</v>
      </c>
      <c r="G20" s="18">
        <v>320</v>
      </c>
      <c r="H20" s="18">
        <v>30</v>
      </c>
      <c r="I20" s="18">
        <f t="shared" si="0"/>
        <v>290</v>
      </c>
      <c r="J20" s="17" t="s">
        <v>32</v>
      </c>
      <c r="K20" s="17" t="s">
        <v>32</v>
      </c>
      <c r="L20" s="17" t="s">
        <v>1528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1568</v>
      </c>
      <c r="D21" s="17" t="s">
        <v>1569</v>
      </c>
      <c r="E21" s="17" t="s">
        <v>1570</v>
      </c>
      <c r="F21" s="18">
        <v>2</v>
      </c>
      <c r="G21" s="18">
        <v>820</v>
      </c>
      <c r="H21" s="18">
        <v>30</v>
      </c>
      <c r="I21" s="18">
        <f t="shared" si="0"/>
        <v>790</v>
      </c>
      <c r="J21" s="17" t="s">
        <v>32</v>
      </c>
      <c r="K21" s="17" t="s">
        <v>32</v>
      </c>
      <c r="L21" s="17" t="s">
        <v>1528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1571</v>
      </c>
      <c r="D22" s="17" t="s">
        <v>1572</v>
      </c>
      <c r="E22" s="17" t="s">
        <v>1573</v>
      </c>
      <c r="F22" s="18">
        <v>2</v>
      </c>
      <c r="G22" s="18">
        <v>870</v>
      </c>
      <c r="H22" s="18">
        <v>30</v>
      </c>
      <c r="I22" s="18">
        <f t="shared" si="0"/>
        <v>840</v>
      </c>
      <c r="J22" s="17" t="s">
        <v>32</v>
      </c>
      <c r="K22" s="17" t="s">
        <v>32</v>
      </c>
      <c r="L22" s="17" t="s">
        <v>1528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1574</v>
      </c>
      <c r="D23" s="17" t="s">
        <v>1575</v>
      </c>
      <c r="E23" s="17" t="s">
        <v>1576</v>
      </c>
      <c r="F23" s="18">
        <v>12</v>
      </c>
      <c r="G23" s="18">
        <v>0</v>
      </c>
      <c r="H23" s="18">
        <v>30</v>
      </c>
      <c r="I23" s="18">
        <f t="shared" si="0"/>
        <v>-30</v>
      </c>
      <c r="J23" s="17" t="s">
        <v>32</v>
      </c>
      <c r="K23" s="17" t="s">
        <v>32</v>
      </c>
      <c r="L23" s="17" t="s">
        <v>1528</v>
      </c>
      <c r="M23" s="17"/>
      <c r="N23" s="17"/>
      <c r="O23" s="17"/>
      <c r="P23" s="17"/>
      <c r="Q23" s="17">
        <v>1</v>
      </c>
      <c r="R23" s="19">
        <f>H23</f>
        <v>30</v>
      </c>
    </row>
    <row r="24" spans="1:18" customFormat="1" x14ac:dyDescent="0.25">
      <c r="A24" s="17"/>
      <c r="B24" s="17" t="s">
        <v>27</v>
      </c>
      <c r="C24" s="17" t="s">
        <v>1577</v>
      </c>
      <c r="D24" s="17" t="s">
        <v>1578</v>
      </c>
      <c r="E24" s="17" t="s">
        <v>1579</v>
      </c>
      <c r="F24" s="17" t="s">
        <v>71</v>
      </c>
      <c r="G24" s="18">
        <v>1890</v>
      </c>
      <c r="H24" s="18">
        <v>30</v>
      </c>
      <c r="I24" s="18">
        <f t="shared" si="0"/>
        <v>1860</v>
      </c>
      <c r="J24" s="17" t="s">
        <v>32</v>
      </c>
      <c r="K24" s="17" t="s">
        <v>32</v>
      </c>
      <c r="L24" s="17" t="s">
        <v>1528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1580</v>
      </c>
      <c r="D25" s="17" t="s">
        <v>1581</v>
      </c>
      <c r="E25" s="17" t="s">
        <v>1582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1528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1583</v>
      </c>
      <c r="D26" s="17" t="s">
        <v>1584</v>
      </c>
      <c r="E26" s="17" t="s">
        <v>1585</v>
      </c>
      <c r="F26" s="17" t="s">
        <v>77</v>
      </c>
      <c r="G26" s="18">
        <v>2810</v>
      </c>
      <c r="H26" s="18">
        <v>30</v>
      </c>
      <c r="I26" s="18">
        <f t="shared" si="0"/>
        <v>2780</v>
      </c>
      <c r="J26" s="17" t="s">
        <v>32</v>
      </c>
      <c r="K26" s="17" t="s">
        <v>32</v>
      </c>
      <c r="L26" s="17" t="s">
        <v>1528</v>
      </c>
      <c r="M26" s="20" t="s">
        <v>58</v>
      </c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1586</v>
      </c>
      <c r="D27" s="17" t="s">
        <v>1587</v>
      </c>
      <c r="E27" s="17" t="s">
        <v>1588</v>
      </c>
      <c r="F27" s="18">
        <v>12</v>
      </c>
      <c r="G27" s="18">
        <v>0</v>
      </c>
      <c r="H27" s="18">
        <v>30</v>
      </c>
      <c r="I27" s="18">
        <f t="shared" si="0"/>
        <v>-30</v>
      </c>
      <c r="J27" s="17" t="s">
        <v>32</v>
      </c>
      <c r="K27" s="17" t="s">
        <v>32</v>
      </c>
      <c r="L27" s="17" t="s">
        <v>1528</v>
      </c>
      <c r="M27" s="17"/>
      <c r="N27" s="17"/>
      <c r="O27" s="17"/>
      <c r="P27" s="17"/>
      <c r="Q27" s="17">
        <v>1</v>
      </c>
      <c r="R27" s="19">
        <f t="shared" ref="R27:R28" si="3">H27</f>
        <v>30</v>
      </c>
    </row>
    <row r="28" spans="1:18" customFormat="1" x14ac:dyDescent="0.25">
      <c r="A28" s="17"/>
      <c r="B28" s="17" t="s">
        <v>27</v>
      </c>
      <c r="C28" s="17" t="s">
        <v>1589</v>
      </c>
      <c r="D28" s="17" t="s">
        <v>1590</v>
      </c>
      <c r="E28" s="17" t="s">
        <v>1591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1528</v>
      </c>
      <c r="M28" s="20" t="s">
        <v>1592</v>
      </c>
      <c r="N28" s="17"/>
      <c r="O28" s="17"/>
      <c r="P28" s="17"/>
      <c r="Q28" s="17">
        <v>1</v>
      </c>
      <c r="R28" s="19">
        <f t="shared" si="3"/>
        <v>25</v>
      </c>
    </row>
    <row r="29" spans="1:18" customFormat="1" x14ac:dyDescent="0.25">
      <c r="A29" s="17"/>
      <c r="B29" s="17" t="s">
        <v>27</v>
      </c>
      <c r="C29" s="17" t="s">
        <v>1593</v>
      </c>
      <c r="D29" s="17" t="s">
        <v>1594</v>
      </c>
      <c r="E29" s="17" t="s">
        <v>1595</v>
      </c>
      <c r="F29" s="18">
        <v>4</v>
      </c>
      <c r="G29" s="18">
        <v>815</v>
      </c>
      <c r="H29" s="18">
        <v>25</v>
      </c>
      <c r="I29" s="18">
        <f t="shared" si="0"/>
        <v>790</v>
      </c>
      <c r="J29" s="17" t="s">
        <v>140</v>
      </c>
      <c r="K29" s="17" t="s">
        <v>32</v>
      </c>
      <c r="L29" s="17" t="s">
        <v>1528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1596</v>
      </c>
      <c r="D30" s="17" t="s">
        <v>1597</v>
      </c>
      <c r="E30" s="17" t="s">
        <v>1598</v>
      </c>
      <c r="F30" s="17" t="s">
        <v>130</v>
      </c>
      <c r="G30" s="18">
        <v>1725</v>
      </c>
      <c r="H30" s="18">
        <v>25</v>
      </c>
      <c r="I30" s="18">
        <f t="shared" si="0"/>
        <v>1700</v>
      </c>
      <c r="J30" s="17" t="s">
        <v>140</v>
      </c>
      <c r="K30" s="17" t="s">
        <v>32</v>
      </c>
      <c r="L30" s="17" t="s">
        <v>1528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1599</v>
      </c>
      <c r="D31" s="17" t="s">
        <v>1600</v>
      </c>
      <c r="E31" s="17" t="s">
        <v>1601</v>
      </c>
      <c r="F31" s="18">
        <v>10</v>
      </c>
      <c r="G31" s="18">
        <v>815</v>
      </c>
      <c r="H31" s="18">
        <v>25</v>
      </c>
      <c r="I31" s="18">
        <f t="shared" si="0"/>
        <v>790</v>
      </c>
      <c r="J31" s="17" t="s">
        <v>140</v>
      </c>
      <c r="K31" s="17" t="s">
        <v>32</v>
      </c>
      <c r="L31" s="17" t="s">
        <v>1528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1602</v>
      </c>
      <c r="D32" s="17" t="s">
        <v>1603</v>
      </c>
      <c r="E32" s="17" t="s">
        <v>1604</v>
      </c>
      <c r="F32" s="18">
        <v>7</v>
      </c>
      <c r="G32" s="18">
        <v>1060</v>
      </c>
      <c r="H32" s="18">
        <v>30</v>
      </c>
      <c r="I32" s="18">
        <f t="shared" si="0"/>
        <v>1030</v>
      </c>
      <c r="J32" s="17" t="s">
        <v>140</v>
      </c>
      <c r="K32" s="17" t="s">
        <v>32</v>
      </c>
      <c r="L32" s="17" t="s">
        <v>1528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1605</v>
      </c>
      <c r="D33" s="17" t="s">
        <v>1606</v>
      </c>
      <c r="E33" s="17" t="s">
        <v>1607</v>
      </c>
      <c r="F33" s="18">
        <v>7</v>
      </c>
      <c r="G33" s="18">
        <v>950</v>
      </c>
      <c r="H33" s="18">
        <v>30</v>
      </c>
      <c r="I33" s="18">
        <f t="shared" si="0"/>
        <v>920</v>
      </c>
      <c r="J33" s="17" t="s">
        <v>140</v>
      </c>
      <c r="K33" s="17" t="s">
        <v>32</v>
      </c>
      <c r="L33" s="17" t="s">
        <v>1528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1608</v>
      </c>
      <c r="D34" s="17" t="s">
        <v>1609</v>
      </c>
      <c r="E34" s="17" t="s">
        <v>1610</v>
      </c>
      <c r="F34" s="18">
        <v>8</v>
      </c>
      <c r="G34" s="18">
        <v>820</v>
      </c>
      <c r="H34" s="18">
        <v>30</v>
      </c>
      <c r="I34" s="18">
        <f t="shared" si="0"/>
        <v>790</v>
      </c>
      <c r="J34" s="17" t="s">
        <v>140</v>
      </c>
      <c r="K34" s="17" t="s">
        <v>32</v>
      </c>
      <c r="L34" s="17" t="s">
        <v>1528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1611</v>
      </c>
      <c r="D35" s="17" t="s">
        <v>1612</v>
      </c>
      <c r="E35" s="17" t="s">
        <v>1613</v>
      </c>
      <c r="F35" s="17" t="s">
        <v>130</v>
      </c>
      <c r="G35" s="18">
        <v>1085</v>
      </c>
      <c r="H35" s="18">
        <v>25</v>
      </c>
      <c r="I35" s="18">
        <f t="shared" si="0"/>
        <v>1060</v>
      </c>
      <c r="J35" s="17" t="s">
        <v>140</v>
      </c>
      <c r="K35" s="17" t="s">
        <v>32</v>
      </c>
      <c r="L35" s="17" t="s">
        <v>1528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1614</v>
      </c>
      <c r="D36" s="17" t="s">
        <v>1615</v>
      </c>
      <c r="E36" s="17" t="s">
        <v>1616</v>
      </c>
      <c r="F36" s="18">
        <v>10</v>
      </c>
      <c r="G36" s="18">
        <v>915</v>
      </c>
      <c r="H36" s="18">
        <v>25</v>
      </c>
      <c r="I36" s="18">
        <f t="shared" si="0"/>
        <v>890</v>
      </c>
      <c r="J36" s="17" t="s">
        <v>140</v>
      </c>
      <c r="K36" s="17" t="s">
        <v>32</v>
      </c>
      <c r="L36" s="17" t="s">
        <v>1528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1617</v>
      </c>
      <c r="D37" s="17" t="s">
        <v>1618</v>
      </c>
      <c r="E37" s="17" t="s">
        <v>1619</v>
      </c>
      <c r="F37" s="18">
        <v>10</v>
      </c>
      <c r="G37" s="18">
        <v>25</v>
      </c>
      <c r="H37" s="18">
        <v>25</v>
      </c>
      <c r="I37" s="18">
        <f t="shared" si="0"/>
        <v>0</v>
      </c>
      <c r="J37" s="17" t="s">
        <v>140</v>
      </c>
      <c r="K37" s="17" t="s">
        <v>32</v>
      </c>
      <c r="L37" s="17" t="s">
        <v>1528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1620</v>
      </c>
      <c r="D38" s="17" t="s">
        <v>1621</v>
      </c>
      <c r="E38" s="17" t="s">
        <v>1622</v>
      </c>
      <c r="F38" s="18">
        <v>10</v>
      </c>
      <c r="G38" s="18">
        <v>1605</v>
      </c>
      <c r="H38" s="18">
        <v>25</v>
      </c>
      <c r="I38" s="18">
        <f t="shared" si="0"/>
        <v>1580</v>
      </c>
      <c r="J38" s="17" t="s">
        <v>140</v>
      </c>
      <c r="K38" s="17" t="s">
        <v>32</v>
      </c>
      <c r="L38" s="17" t="s">
        <v>1528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1623</v>
      </c>
      <c r="D39" s="17" t="s">
        <v>1624</v>
      </c>
      <c r="E39" s="17" t="s">
        <v>1625</v>
      </c>
      <c r="F39" s="18">
        <v>10</v>
      </c>
      <c r="G39" s="18">
        <v>2220</v>
      </c>
      <c r="H39" s="18">
        <v>30</v>
      </c>
      <c r="I39" s="18">
        <f t="shared" si="0"/>
        <v>2190</v>
      </c>
      <c r="J39" s="17" t="s">
        <v>140</v>
      </c>
      <c r="K39" s="17" t="s">
        <v>32</v>
      </c>
      <c r="L39" s="17" t="s">
        <v>1528</v>
      </c>
      <c r="M39" s="20" t="s">
        <v>58</v>
      </c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1626</v>
      </c>
      <c r="D40" s="17" t="s">
        <v>1627</v>
      </c>
      <c r="E40" s="17" t="s">
        <v>1628</v>
      </c>
      <c r="F40" s="17" t="s">
        <v>130</v>
      </c>
      <c r="G40" s="18">
        <v>915</v>
      </c>
      <c r="H40" s="18">
        <v>25</v>
      </c>
      <c r="I40" s="18">
        <f t="shared" si="0"/>
        <v>890</v>
      </c>
      <c r="J40" s="17" t="s">
        <v>140</v>
      </c>
      <c r="K40" s="17" t="s">
        <v>32</v>
      </c>
      <c r="L40" s="17" t="s">
        <v>1528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1629</v>
      </c>
      <c r="D41" s="17" t="s">
        <v>1630</v>
      </c>
      <c r="E41" s="17" t="s">
        <v>1631</v>
      </c>
      <c r="F41" s="18">
        <v>5</v>
      </c>
      <c r="G41" s="18">
        <v>945</v>
      </c>
      <c r="H41" s="18">
        <v>25</v>
      </c>
      <c r="I41" s="18">
        <f t="shared" si="0"/>
        <v>920</v>
      </c>
      <c r="J41" s="17" t="s">
        <v>140</v>
      </c>
      <c r="K41" s="17" t="s">
        <v>32</v>
      </c>
      <c r="L41" s="17" t="s">
        <v>1528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1221</v>
      </c>
      <c r="D42" s="21" t="s">
        <v>1632</v>
      </c>
      <c r="E42" s="21" t="s">
        <v>1633</v>
      </c>
      <c r="F42" s="22">
        <v>3</v>
      </c>
      <c r="G42" s="22">
        <v>0</v>
      </c>
      <c r="H42" s="22">
        <v>25</v>
      </c>
      <c r="I42" s="22">
        <f t="shared" si="0"/>
        <v>-25</v>
      </c>
      <c r="J42" s="21" t="s">
        <v>140</v>
      </c>
      <c r="K42" s="21" t="s">
        <v>32</v>
      </c>
      <c r="L42" s="21" t="s">
        <v>1528</v>
      </c>
      <c r="M42" s="21" t="s">
        <v>153</v>
      </c>
      <c r="N42" s="21"/>
      <c r="O42" s="21"/>
      <c r="P42" s="21"/>
      <c r="Q42" s="21">
        <v>1</v>
      </c>
      <c r="R42" s="31">
        <f>H42</f>
        <v>25</v>
      </c>
    </row>
    <row r="43" spans="1:18" customFormat="1" x14ac:dyDescent="0.25">
      <c r="A43" s="17"/>
      <c r="B43" s="17" t="s">
        <v>27</v>
      </c>
      <c r="C43" s="17" t="s">
        <v>1634</v>
      </c>
      <c r="D43" s="17" t="s">
        <v>1635</v>
      </c>
      <c r="E43" s="17" t="s">
        <v>1636</v>
      </c>
      <c r="F43" s="18">
        <v>1</v>
      </c>
      <c r="G43" s="18">
        <v>695</v>
      </c>
      <c r="H43" s="18">
        <v>25</v>
      </c>
      <c r="I43" s="18">
        <f t="shared" si="0"/>
        <v>670</v>
      </c>
      <c r="J43" s="17" t="s">
        <v>140</v>
      </c>
      <c r="K43" s="17" t="s">
        <v>32</v>
      </c>
      <c r="L43" s="17" t="s">
        <v>1528</v>
      </c>
      <c r="M43" s="17"/>
      <c r="N43" s="17"/>
      <c r="O43" s="17"/>
      <c r="P43" s="17"/>
      <c r="Q43" s="17">
        <v>1</v>
      </c>
    </row>
    <row r="45" spans="1:18" x14ac:dyDescent="0.25">
      <c r="G45" s="1">
        <f>SUBTOTAL(9,G3:G44)</f>
        <v>35265</v>
      </c>
      <c r="H45" s="1">
        <f>SUBTOTAL(9,H3:H44)</f>
        <v>1220</v>
      </c>
      <c r="I45" s="1">
        <f>SUBTOTAL(9,I3:I44)</f>
        <v>34045</v>
      </c>
      <c r="J45" s="1">
        <f>SUBTOTAL(9,J3:J44)</f>
        <v>0</v>
      </c>
      <c r="K45" s="1">
        <f>SUBTOTAL(9,K3:K44)</f>
        <v>0</v>
      </c>
      <c r="L45" s="1">
        <f>SUBTOTAL(9,L3:L44)</f>
        <v>0</v>
      </c>
      <c r="M45" s="1">
        <f>SUBTOTAL(9,M3:M44)</f>
        <v>0</v>
      </c>
      <c r="N45" s="1">
        <f>SUBTOTAL(9,N3:N44)</f>
        <v>0</v>
      </c>
      <c r="O45" s="1">
        <f>SUBTOTAL(9,O3:O44)</f>
        <v>0</v>
      </c>
      <c r="P45" s="1">
        <f>SUBTOTAL(9,P3:P44)</f>
        <v>0</v>
      </c>
      <c r="Q45" s="1">
        <f>SUBTOTAL(9,Q3:Q44)</f>
        <v>41</v>
      </c>
      <c r="R45" s="1">
        <f>SUBTOTAL(9,R3:R44)</f>
        <v>415</v>
      </c>
    </row>
    <row r="46" spans="1:18" x14ac:dyDescent="0.25">
      <c r="I46" s="26"/>
    </row>
    <row r="47" spans="1:18" x14ac:dyDescent="0.25">
      <c r="I47" s="26"/>
    </row>
    <row r="49" spans="1:12" ht="20.25" customHeight="1" x14ac:dyDescent="0.3">
      <c r="H49" s="4" t="s">
        <v>1521</v>
      </c>
      <c r="I49" s="5" t="s">
        <v>15</v>
      </c>
      <c r="J49" s="6" t="s">
        <v>16</v>
      </c>
    </row>
    <row r="50" spans="1:12" ht="15.75" customHeight="1" x14ac:dyDescent="0.25">
      <c r="H50" s="7" t="s">
        <v>17</v>
      </c>
      <c r="I50" s="8">
        <f>SUM(I44:I48)</f>
        <v>34045</v>
      </c>
      <c r="J50" s="8">
        <f>Q45</f>
        <v>41</v>
      </c>
    </row>
    <row r="51" spans="1:12" x14ac:dyDescent="0.25">
      <c r="H51" s="9" t="s">
        <v>18</v>
      </c>
      <c r="I51" s="10">
        <f>R45</f>
        <v>415</v>
      </c>
      <c r="J51" s="11"/>
    </row>
    <row r="52" spans="1:12" x14ac:dyDescent="0.25">
      <c r="H52" s="9" t="s">
        <v>19</v>
      </c>
      <c r="I52" s="10">
        <f>S44</f>
        <v>0</v>
      </c>
      <c r="J52" s="11"/>
    </row>
    <row r="53" spans="1:12" x14ac:dyDescent="0.25">
      <c r="H53" s="9" t="s">
        <v>20</v>
      </c>
      <c r="I53" s="10">
        <f>T44</f>
        <v>0</v>
      </c>
      <c r="J53" s="11"/>
    </row>
    <row r="54" spans="1:12" x14ac:dyDescent="0.25">
      <c r="H54" s="9" t="s">
        <v>21</v>
      </c>
      <c r="I54" s="10">
        <f>U44</f>
        <v>0</v>
      </c>
      <c r="J54" s="11"/>
    </row>
    <row r="55" spans="1:12" ht="15.75" customHeight="1" x14ac:dyDescent="0.25">
      <c r="H55" s="12" t="s">
        <v>22</v>
      </c>
      <c r="I55" s="13"/>
      <c r="J55" s="13"/>
    </row>
    <row r="56" spans="1:12" ht="15.75" customHeight="1" x14ac:dyDescent="0.25">
      <c r="H56" s="14" t="s">
        <v>23</v>
      </c>
      <c r="I56" s="13"/>
      <c r="J56" s="13"/>
    </row>
    <row r="57" spans="1:12" ht="21" customHeight="1" x14ac:dyDescent="0.35">
      <c r="H57" s="15" t="s">
        <v>24</v>
      </c>
      <c r="I57" s="16">
        <f>SUM(I50:I56)</f>
        <v>34460</v>
      </c>
      <c r="J57" s="16">
        <f>SUM(J50:J54)</f>
        <v>41</v>
      </c>
    </row>
    <row r="58" spans="1:12" x14ac:dyDescent="0.25">
      <c r="A58" s="1" t="s">
        <v>779</v>
      </c>
    </row>
    <row r="59" spans="1:12" x14ac:dyDescent="0.25">
      <c r="A59" s="27" t="s">
        <v>27</v>
      </c>
      <c r="B59" s="27" t="s">
        <v>1589</v>
      </c>
      <c r="C59" s="27" t="s">
        <v>1590</v>
      </c>
      <c r="D59" s="27" t="s">
        <v>1591</v>
      </c>
      <c r="E59" s="45" t="s">
        <v>77</v>
      </c>
      <c r="F59" s="45">
        <v>2720</v>
      </c>
      <c r="G59" s="45">
        <v>0</v>
      </c>
      <c r="H59" s="45">
        <f>F59-G59</f>
        <v>2720</v>
      </c>
      <c r="I59" s="27" t="s">
        <v>32</v>
      </c>
      <c r="J59" s="27" t="s">
        <v>32</v>
      </c>
      <c r="K59" s="27" t="s">
        <v>1528</v>
      </c>
      <c r="L59" s="20" t="s">
        <v>1592</v>
      </c>
    </row>
    <row r="60" spans="1:12" x14ac:dyDescent="0.25">
      <c r="H60" s="26"/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1-10</vt:lpstr>
      <vt:lpstr>2-10</vt:lpstr>
      <vt:lpstr>3-10</vt:lpstr>
      <vt:lpstr>5-10</vt:lpstr>
      <vt:lpstr>6-10</vt:lpstr>
      <vt:lpstr>7-10</vt:lpstr>
      <vt:lpstr>8-10</vt:lpstr>
      <vt:lpstr>9-10</vt:lpstr>
      <vt:lpstr>10-10</vt:lpstr>
      <vt:lpstr>12-10</vt:lpstr>
      <vt:lpstr>13-10</vt:lpstr>
      <vt:lpstr>14-10</vt:lpstr>
      <vt:lpstr>15-10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2026-10-16T02:03:38Z</dcterms:modified>
</cp:coreProperties>
</file>