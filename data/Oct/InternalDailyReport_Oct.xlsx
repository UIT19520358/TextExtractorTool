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Oct\"/>
    </mc:Choice>
  </mc:AlternateContent>
  <xr:revisionPtr revIDLastSave="0" documentId="13_ncr:1_{6F73A3AB-A632-4ED7-8414-44F94574C42A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Sheet1" sheetId="23" r:id="rId1"/>
    <sheet name="01-10" sheetId="24" r:id="rId2"/>
    <sheet name="02-10" sheetId="25" r:id="rId3"/>
    <sheet name="03-10" sheetId="26" r:id="rId4"/>
    <sheet name="05-10" sheetId="27" r:id="rId5"/>
    <sheet name="06-10" sheetId="28" r:id="rId6"/>
    <sheet name="07-10" sheetId="29" r:id="rId7"/>
    <sheet name="08-10" sheetId="30" r:id="rId8"/>
  </sheets>
  <definedNames>
    <definedName name="_xlnm._FilterDatabase" localSheetId="1" hidden="1">'01-10'!$A$2:$P$53</definedName>
    <definedName name="_xlnm._FilterDatabase" localSheetId="2" hidden="1">'02-10'!$A$2:$P$50</definedName>
    <definedName name="_xlnm._FilterDatabase" localSheetId="3" hidden="1">'03-10'!$A$2:$P$34</definedName>
    <definedName name="_xlnm._FilterDatabase" localSheetId="4" hidden="1">'05-10'!$A$2:$P$84</definedName>
    <definedName name="_xlnm._FilterDatabase" localSheetId="5" hidden="1">'06-10'!$A$2:$P$47</definedName>
    <definedName name="_xlnm._FilterDatabase" localSheetId="6" hidden="1">'07-10'!$A$2:$P$39</definedName>
    <definedName name="_xlnm._FilterDatabase" localSheetId="7" hidden="1">'08-10'!$A$2:$P$26</definedName>
    <definedName name="_xlnm._FilterDatabase" localSheetId="0" hidden="1">Sheet1!$A$2:$E$28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5" i="30" l="1"/>
  <c r="R23" i="30"/>
  <c r="R18" i="30"/>
  <c r="R17" i="30"/>
  <c r="R14" i="30"/>
  <c r="R3" i="30"/>
  <c r="M49" i="30"/>
  <c r="L49" i="30" s="1"/>
  <c r="M48" i="30"/>
  <c r="M47" i="30"/>
  <c r="M52" i="30" s="1"/>
  <c r="L47" i="30"/>
  <c r="M41" i="30"/>
  <c r="L41" i="30" s="1"/>
  <c r="M40" i="30"/>
  <c r="L40" i="30" s="1"/>
  <c r="M39" i="30"/>
  <c r="M44" i="30" s="1"/>
  <c r="L39" i="30"/>
  <c r="M33" i="30"/>
  <c r="L33" i="30" s="1"/>
  <c r="E33" i="30"/>
  <c r="C33" i="30"/>
  <c r="M32" i="30"/>
  <c r="L32" i="30" s="1"/>
  <c r="M31" i="30"/>
  <c r="M36" i="30" s="1"/>
  <c r="L31" i="30"/>
  <c r="E31" i="30"/>
  <c r="E34" i="30" s="1"/>
  <c r="C31" i="30"/>
  <c r="C34" i="30" s="1"/>
  <c r="C38" i="30" s="1"/>
  <c r="P34" i="30" s="1"/>
  <c r="H30" i="30"/>
  <c r="H29" i="30"/>
  <c r="L48" i="30" s="1"/>
  <c r="Q28" i="30"/>
  <c r="P28" i="30"/>
  <c r="O28" i="30"/>
  <c r="N28" i="30"/>
  <c r="M28" i="30"/>
  <c r="L28" i="30"/>
  <c r="K28" i="30"/>
  <c r="J28" i="30"/>
  <c r="H28" i="30"/>
  <c r="G28" i="30"/>
  <c r="D28" i="30"/>
  <c r="I15" i="30"/>
  <c r="I14" i="30"/>
  <c r="I8" i="30"/>
  <c r="I7" i="30"/>
  <c r="I6" i="30"/>
  <c r="I13" i="30"/>
  <c r="I5" i="30"/>
  <c r="I26" i="30"/>
  <c r="I4" i="30"/>
  <c r="I25" i="30"/>
  <c r="I24" i="30"/>
  <c r="I23" i="30"/>
  <c r="I22" i="30"/>
  <c r="I3" i="30"/>
  <c r="I21" i="30"/>
  <c r="I20" i="30"/>
  <c r="I19" i="30"/>
  <c r="I12" i="30"/>
  <c r="I11" i="30"/>
  <c r="I18" i="30"/>
  <c r="I17" i="30"/>
  <c r="I16" i="30"/>
  <c r="I10" i="30"/>
  <c r="I28" i="30" s="1"/>
  <c r="I9" i="30"/>
  <c r="R14" i="29"/>
  <c r="R4" i="29"/>
  <c r="L52" i="30" l="1"/>
  <c r="P33" i="30" s="1"/>
  <c r="L44" i="30"/>
  <c r="P32" i="30" s="1"/>
  <c r="L36" i="30"/>
  <c r="P31" i="30" s="1"/>
  <c r="R34" i="29"/>
  <c r="R31" i="29"/>
  <c r="R28" i="29"/>
  <c r="R25" i="29"/>
  <c r="R23" i="29"/>
  <c r="R22" i="29"/>
  <c r="R20" i="29"/>
  <c r="R18" i="29"/>
  <c r="R15" i="29"/>
  <c r="R6" i="29"/>
  <c r="R3" i="29"/>
  <c r="R30" i="29"/>
  <c r="R5" i="29"/>
  <c r="M62" i="29"/>
  <c r="L62" i="29" s="1"/>
  <c r="M61" i="29"/>
  <c r="M60" i="29"/>
  <c r="M65" i="29" s="1"/>
  <c r="L60" i="29"/>
  <c r="M54" i="29"/>
  <c r="L54" i="29" s="1"/>
  <c r="M53" i="29"/>
  <c r="L53" i="29" s="1"/>
  <c r="M52" i="29"/>
  <c r="M57" i="29" s="1"/>
  <c r="L52" i="29"/>
  <c r="M46" i="29"/>
  <c r="L46" i="29" s="1"/>
  <c r="E46" i="29"/>
  <c r="C46" i="29"/>
  <c r="M45" i="29"/>
  <c r="L45" i="29" s="1"/>
  <c r="M44" i="29"/>
  <c r="M49" i="29" s="1"/>
  <c r="L44" i="29"/>
  <c r="H44" i="29"/>
  <c r="E44" i="29"/>
  <c r="E47" i="29" s="1"/>
  <c r="H43" i="29"/>
  <c r="H42" i="29"/>
  <c r="L61" i="29" s="1"/>
  <c r="Q41" i="29"/>
  <c r="P41" i="29"/>
  <c r="O41" i="29"/>
  <c r="N41" i="29"/>
  <c r="M41" i="29"/>
  <c r="L41" i="29"/>
  <c r="K41" i="29"/>
  <c r="J41" i="29"/>
  <c r="H41" i="29"/>
  <c r="G41" i="29"/>
  <c r="D41" i="29"/>
  <c r="I25" i="29"/>
  <c r="I24" i="29"/>
  <c r="I23" i="29"/>
  <c r="I13" i="29"/>
  <c r="I12" i="29"/>
  <c r="I39" i="29"/>
  <c r="I11" i="29"/>
  <c r="I38" i="29"/>
  <c r="I37" i="29"/>
  <c r="I10" i="29"/>
  <c r="I36" i="29"/>
  <c r="I35" i="29"/>
  <c r="I22" i="29"/>
  <c r="I34" i="29"/>
  <c r="I33" i="29"/>
  <c r="I9" i="29"/>
  <c r="I8" i="29"/>
  <c r="I7" i="29"/>
  <c r="I32" i="29"/>
  <c r="I21" i="29"/>
  <c r="I20" i="29"/>
  <c r="I31" i="29"/>
  <c r="I19" i="29"/>
  <c r="I30" i="29"/>
  <c r="I29" i="29"/>
  <c r="I18" i="29"/>
  <c r="I6" i="29"/>
  <c r="I17" i="29"/>
  <c r="I5" i="29"/>
  <c r="I4" i="29"/>
  <c r="I28" i="29"/>
  <c r="I16" i="29"/>
  <c r="I3" i="29"/>
  <c r="I15" i="29"/>
  <c r="I27" i="29"/>
  <c r="I14" i="29"/>
  <c r="I26" i="29"/>
  <c r="I45" i="28"/>
  <c r="R45" i="28"/>
  <c r="P35" i="30" l="1"/>
  <c r="C44" i="29"/>
  <c r="C47" i="29" s="1"/>
  <c r="C51" i="29" s="1"/>
  <c r="P47" i="29" s="1"/>
  <c r="I41" i="29"/>
  <c r="L49" i="29"/>
  <c r="P44" i="29" s="1"/>
  <c r="L65" i="29"/>
  <c r="P46" i="29" s="1"/>
  <c r="L57" i="29"/>
  <c r="P45" i="29" s="1"/>
  <c r="R37" i="28"/>
  <c r="I17" i="28"/>
  <c r="I46" i="28"/>
  <c r="P48" i="29" l="1"/>
  <c r="R14" i="28"/>
  <c r="R43" i="28"/>
  <c r="R40" i="28"/>
  <c r="R39" i="28"/>
  <c r="R36" i="28"/>
  <c r="R34" i="28"/>
  <c r="R32" i="28"/>
  <c r="R29" i="28"/>
  <c r="R28" i="28"/>
  <c r="R26" i="28"/>
  <c r="R22" i="28"/>
  <c r="R13" i="28"/>
  <c r="R11" i="28"/>
  <c r="M70" i="28"/>
  <c r="L70" i="28" s="1"/>
  <c r="M69" i="28"/>
  <c r="L69" i="28" s="1"/>
  <c r="M68" i="28"/>
  <c r="M73" i="28" s="1"/>
  <c r="L68" i="28"/>
  <c r="M62" i="28"/>
  <c r="L62" i="28" s="1"/>
  <c r="M61" i="28"/>
  <c r="M60" i="28"/>
  <c r="L60" i="28"/>
  <c r="M54" i="28"/>
  <c r="L54" i="28" s="1"/>
  <c r="E54" i="28"/>
  <c r="M53" i="28"/>
  <c r="M52" i="28"/>
  <c r="M57" i="28" s="1"/>
  <c r="L52" i="28"/>
  <c r="H52" i="28"/>
  <c r="E52" i="28"/>
  <c r="E55" i="28" s="1"/>
  <c r="H51" i="28"/>
  <c r="H50" i="28"/>
  <c r="Q49" i="28"/>
  <c r="P49" i="28"/>
  <c r="O49" i="28"/>
  <c r="N49" i="28"/>
  <c r="M49" i="28"/>
  <c r="L49" i="28"/>
  <c r="K49" i="28"/>
  <c r="J49" i="28"/>
  <c r="H49" i="28"/>
  <c r="G49" i="28"/>
  <c r="D49" i="28"/>
  <c r="I47" i="28"/>
  <c r="I33" i="28"/>
  <c r="I32" i="28"/>
  <c r="I16" i="28"/>
  <c r="I31" i="28"/>
  <c r="I30" i="28"/>
  <c r="I29" i="28"/>
  <c r="I28" i="28"/>
  <c r="I44" i="28"/>
  <c r="I27" i="28"/>
  <c r="I26" i="28"/>
  <c r="I43" i="28"/>
  <c r="I10" i="28"/>
  <c r="I15" i="28"/>
  <c r="I14" i="28"/>
  <c r="I25" i="28"/>
  <c r="I13" i="28"/>
  <c r="I12" i="28"/>
  <c r="I24" i="28"/>
  <c r="I11" i="28"/>
  <c r="I42" i="28"/>
  <c r="I23" i="28"/>
  <c r="I22" i="28"/>
  <c r="I9" i="28"/>
  <c r="I8" i="28"/>
  <c r="I21" i="28"/>
  <c r="I20" i="28"/>
  <c r="I41" i="28"/>
  <c r="I7" i="28"/>
  <c r="I40" i="28"/>
  <c r="I6" i="28"/>
  <c r="I39" i="28"/>
  <c r="I19" i="28"/>
  <c r="I38" i="28"/>
  <c r="I37" i="28"/>
  <c r="I5" i="28"/>
  <c r="I4" i="28"/>
  <c r="I18" i="28"/>
  <c r="I36" i="28"/>
  <c r="I35" i="28"/>
  <c r="I34" i="28"/>
  <c r="I3" i="28"/>
  <c r="R68" i="27"/>
  <c r="R81" i="27"/>
  <c r="R80" i="27"/>
  <c r="R78" i="27"/>
  <c r="R77" i="27"/>
  <c r="R76" i="27"/>
  <c r="R65" i="27"/>
  <c r="R61" i="27"/>
  <c r="R60" i="27"/>
  <c r="R59" i="27"/>
  <c r="R58" i="27"/>
  <c r="R50" i="27"/>
  <c r="R46" i="27"/>
  <c r="R43" i="27"/>
  <c r="R38" i="27"/>
  <c r="R30" i="27"/>
  <c r="R28" i="27"/>
  <c r="R18" i="27"/>
  <c r="R16" i="27"/>
  <c r="R15" i="27"/>
  <c r="R13" i="27"/>
  <c r="R11" i="27"/>
  <c r="R4" i="27"/>
  <c r="M107" i="27"/>
  <c r="L107" i="27" s="1"/>
  <c r="M106" i="27"/>
  <c r="L106" i="27" s="1"/>
  <c r="M105" i="27"/>
  <c r="M110" i="27" s="1"/>
  <c r="L105" i="27"/>
  <c r="M99" i="27"/>
  <c r="L99" i="27" s="1"/>
  <c r="M98" i="27"/>
  <c r="M97" i="27"/>
  <c r="M102" i="27" s="1"/>
  <c r="L97" i="27"/>
  <c r="M91" i="27"/>
  <c r="L91" i="27" s="1"/>
  <c r="E91" i="27"/>
  <c r="M90" i="27"/>
  <c r="L90" i="27" s="1"/>
  <c r="M89" i="27"/>
  <c r="M94" i="27" s="1"/>
  <c r="L89" i="27"/>
  <c r="H89" i="27"/>
  <c r="E89" i="27"/>
  <c r="E92" i="27" s="1"/>
  <c r="H88" i="27"/>
  <c r="H87" i="27"/>
  <c r="L98" i="27" s="1"/>
  <c r="Q86" i="27"/>
  <c r="P86" i="27"/>
  <c r="O86" i="27"/>
  <c r="N86" i="27"/>
  <c r="M86" i="27"/>
  <c r="L86" i="27"/>
  <c r="K86" i="27"/>
  <c r="J86" i="27"/>
  <c r="H86" i="27"/>
  <c r="G86" i="27"/>
  <c r="D86" i="27"/>
  <c r="I31" i="27"/>
  <c r="I82" i="27"/>
  <c r="I81" i="27"/>
  <c r="I30" i="27"/>
  <c r="I29" i="27"/>
  <c r="I58" i="27"/>
  <c r="I28" i="27"/>
  <c r="I27" i="27"/>
  <c r="I80" i="27"/>
  <c r="I79" i="27"/>
  <c r="I57" i="27"/>
  <c r="I56" i="27"/>
  <c r="I78" i="27"/>
  <c r="I26" i="27"/>
  <c r="I55" i="27"/>
  <c r="I54" i="27"/>
  <c r="I77" i="27"/>
  <c r="I25" i="27"/>
  <c r="I24" i="27"/>
  <c r="I76" i="27"/>
  <c r="I23" i="27"/>
  <c r="I53" i="27"/>
  <c r="I52" i="27"/>
  <c r="I75" i="27"/>
  <c r="I22" i="27"/>
  <c r="I21" i="27"/>
  <c r="I51" i="27"/>
  <c r="I20" i="27"/>
  <c r="I19" i="27"/>
  <c r="I74" i="27"/>
  <c r="I50" i="27"/>
  <c r="I18" i="27"/>
  <c r="I17" i="27"/>
  <c r="I49" i="27"/>
  <c r="I48" i="27"/>
  <c r="I16" i="27"/>
  <c r="I47" i="27"/>
  <c r="I73" i="27"/>
  <c r="I72" i="27"/>
  <c r="I15" i="27"/>
  <c r="I14" i="27"/>
  <c r="I46" i="27"/>
  <c r="I13" i="27"/>
  <c r="I45" i="27"/>
  <c r="I71" i="27"/>
  <c r="I84" i="27"/>
  <c r="I70" i="27"/>
  <c r="I44" i="27"/>
  <c r="I43" i="27"/>
  <c r="I69" i="27"/>
  <c r="I12" i="27"/>
  <c r="I83" i="27"/>
  <c r="C91" i="27" s="1"/>
  <c r="I42" i="27"/>
  <c r="I11" i="27"/>
  <c r="I68" i="27"/>
  <c r="I67" i="27"/>
  <c r="I41" i="27"/>
  <c r="I66" i="27"/>
  <c r="I10" i="27"/>
  <c r="I40" i="27"/>
  <c r="I65" i="27"/>
  <c r="I9" i="27"/>
  <c r="I39" i="27"/>
  <c r="I38" i="27"/>
  <c r="I8" i="27"/>
  <c r="I7" i="27"/>
  <c r="I64" i="27"/>
  <c r="I6" i="27"/>
  <c r="I37" i="27"/>
  <c r="I63" i="27"/>
  <c r="I5" i="27"/>
  <c r="I4" i="27"/>
  <c r="I36" i="27"/>
  <c r="I62" i="27"/>
  <c r="I35" i="27"/>
  <c r="I34" i="27"/>
  <c r="I61" i="27"/>
  <c r="I33" i="27"/>
  <c r="I60" i="27"/>
  <c r="I32" i="27"/>
  <c r="I3" i="27"/>
  <c r="C89" i="27" s="1"/>
  <c r="I59" i="27"/>
  <c r="R15" i="26"/>
  <c r="R32" i="26"/>
  <c r="R25" i="26"/>
  <c r="R19" i="26"/>
  <c r="R12" i="26"/>
  <c r="M57" i="26"/>
  <c r="L57" i="26" s="1"/>
  <c r="M56" i="26"/>
  <c r="M55" i="26"/>
  <c r="M60" i="26" s="1"/>
  <c r="L55" i="26"/>
  <c r="M49" i="26"/>
  <c r="L49" i="26" s="1"/>
  <c r="M48" i="26"/>
  <c r="L48" i="26" s="1"/>
  <c r="M47" i="26"/>
  <c r="M52" i="26" s="1"/>
  <c r="L47" i="26"/>
  <c r="M41" i="26"/>
  <c r="L41" i="26" s="1"/>
  <c r="E41" i="26"/>
  <c r="M40" i="26"/>
  <c r="L40" i="26" s="1"/>
  <c r="M39" i="26"/>
  <c r="M44" i="26" s="1"/>
  <c r="L39" i="26"/>
  <c r="H39" i="26"/>
  <c r="E39" i="26"/>
  <c r="E42" i="26" s="1"/>
  <c r="H38" i="26"/>
  <c r="H37" i="26"/>
  <c r="L56" i="26" s="1"/>
  <c r="Q36" i="26"/>
  <c r="P36" i="26"/>
  <c r="O36" i="26"/>
  <c r="N36" i="26"/>
  <c r="M36" i="26"/>
  <c r="L36" i="26"/>
  <c r="K36" i="26"/>
  <c r="J36" i="26"/>
  <c r="H36" i="26"/>
  <c r="G36" i="26"/>
  <c r="D36" i="26"/>
  <c r="I34" i="26"/>
  <c r="C41" i="26" s="1"/>
  <c r="I26" i="26"/>
  <c r="I25" i="26"/>
  <c r="I33" i="26"/>
  <c r="I24" i="26"/>
  <c r="I23" i="26"/>
  <c r="I32" i="26"/>
  <c r="I31" i="26"/>
  <c r="I30" i="26"/>
  <c r="I22" i="26"/>
  <c r="I13" i="26"/>
  <c r="I29" i="26"/>
  <c r="I12" i="26"/>
  <c r="I11" i="26"/>
  <c r="I10" i="26"/>
  <c r="I28" i="26"/>
  <c r="I21" i="26"/>
  <c r="I20" i="26"/>
  <c r="I19" i="26"/>
  <c r="I18" i="26"/>
  <c r="I15" i="26"/>
  <c r="I9" i="26"/>
  <c r="I8" i="26"/>
  <c r="I7" i="26"/>
  <c r="I6" i="26"/>
  <c r="I5" i="26"/>
  <c r="I17" i="26"/>
  <c r="I4" i="26"/>
  <c r="I16" i="26"/>
  <c r="I3" i="26"/>
  <c r="C39" i="26" s="1"/>
  <c r="I14" i="26"/>
  <c r="I27" i="26"/>
  <c r="L55" i="25"/>
  <c r="R48" i="25"/>
  <c r="R44" i="25"/>
  <c r="R41" i="25"/>
  <c r="R40" i="25"/>
  <c r="R35" i="25"/>
  <c r="R33" i="25"/>
  <c r="R28" i="25"/>
  <c r="R24" i="25"/>
  <c r="R21" i="25"/>
  <c r="R19" i="25"/>
  <c r="R14" i="25"/>
  <c r="R11" i="25"/>
  <c r="R10" i="25"/>
  <c r="R7" i="25"/>
  <c r="R5" i="25"/>
  <c r="M74" i="25"/>
  <c r="L74" i="25" s="1"/>
  <c r="M73" i="25"/>
  <c r="L73" i="25" s="1"/>
  <c r="M72" i="25"/>
  <c r="M77" i="25" s="1"/>
  <c r="L72" i="25"/>
  <c r="M66" i="25"/>
  <c r="L66" i="25" s="1"/>
  <c r="M65" i="25"/>
  <c r="L65" i="25" s="1"/>
  <c r="M64" i="25"/>
  <c r="M69" i="25" s="1"/>
  <c r="L64" i="25"/>
  <c r="M57" i="25"/>
  <c r="L57" i="25" s="1"/>
  <c r="E57" i="25"/>
  <c r="M56" i="25"/>
  <c r="M55" i="25"/>
  <c r="M61" i="25" s="1"/>
  <c r="H55" i="25"/>
  <c r="E55" i="25"/>
  <c r="E58" i="25" s="1"/>
  <c r="H54" i="25"/>
  <c r="H53" i="25"/>
  <c r="L56" i="25" s="1"/>
  <c r="Q52" i="25"/>
  <c r="P52" i="25"/>
  <c r="O52" i="25"/>
  <c r="N52" i="25"/>
  <c r="M52" i="25"/>
  <c r="L52" i="25"/>
  <c r="K52" i="25"/>
  <c r="J52" i="25"/>
  <c r="H52" i="25"/>
  <c r="G52" i="25"/>
  <c r="D52" i="25"/>
  <c r="I50" i="25"/>
  <c r="C57" i="25" s="1"/>
  <c r="I19" i="25"/>
  <c r="I36" i="25"/>
  <c r="I35" i="25"/>
  <c r="I34" i="25"/>
  <c r="I33" i="25"/>
  <c r="I32" i="25"/>
  <c r="I49" i="25"/>
  <c r="I48" i="25"/>
  <c r="I47" i="25"/>
  <c r="I46" i="25"/>
  <c r="I18" i="25"/>
  <c r="I17" i="25"/>
  <c r="I31" i="25"/>
  <c r="I30" i="25"/>
  <c r="I29" i="25"/>
  <c r="I45" i="25"/>
  <c r="I28" i="25"/>
  <c r="I27" i="25"/>
  <c r="I16" i="25"/>
  <c r="I26" i="25"/>
  <c r="I15" i="25"/>
  <c r="I44" i="25"/>
  <c r="I14" i="25"/>
  <c r="I13" i="25"/>
  <c r="I12" i="25"/>
  <c r="I25" i="25"/>
  <c r="I11" i="25"/>
  <c r="I24" i="25"/>
  <c r="I10" i="25"/>
  <c r="I9" i="25"/>
  <c r="I43" i="25"/>
  <c r="I42" i="25"/>
  <c r="I8" i="25"/>
  <c r="I41" i="25"/>
  <c r="I7" i="25"/>
  <c r="I23" i="25"/>
  <c r="I40" i="25"/>
  <c r="I39" i="25"/>
  <c r="I6" i="25"/>
  <c r="I22" i="25"/>
  <c r="I38" i="25"/>
  <c r="I37" i="25"/>
  <c r="I5" i="25"/>
  <c r="I21" i="25"/>
  <c r="I20" i="25"/>
  <c r="I4" i="25"/>
  <c r="I3" i="25"/>
  <c r="I55" i="24"/>
  <c r="I53" i="24"/>
  <c r="L61" i="28" l="1"/>
  <c r="L66" i="28" s="1"/>
  <c r="P53" i="28" s="1"/>
  <c r="M66" i="28"/>
  <c r="C52" i="28"/>
  <c r="C54" i="28"/>
  <c r="L53" i="28"/>
  <c r="L57" i="28" s="1"/>
  <c r="P52" i="28" s="1"/>
  <c r="I49" i="28"/>
  <c r="L73" i="28"/>
  <c r="P54" i="28" s="1"/>
  <c r="L94" i="27"/>
  <c r="P89" i="27" s="1"/>
  <c r="L102" i="27"/>
  <c r="P90" i="27" s="1"/>
  <c r="I86" i="27"/>
  <c r="C92" i="27"/>
  <c r="C96" i="27" s="1"/>
  <c r="P92" i="27" s="1"/>
  <c r="L110" i="27"/>
  <c r="P91" i="27" s="1"/>
  <c r="C42" i="26"/>
  <c r="C46" i="26" s="1"/>
  <c r="P42" i="26" s="1"/>
  <c r="I36" i="26"/>
  <c r="L52" i="26"/>
  <c r="P40" i="26" s="1"/>
  <c r="L60" i="26"/>
  <c r="P41" i="26" s="1"/>
  <c r="L44" i="26"/>
  <c r="P39" i="26" s="1"/>
  <c r="C55" i="25"/>
  <c r="C58" i="25" s="1"/>
  <c r="C63" i="25" s="1"/>
  <c r="P58" i="25" s="1"/>
  <c r="I52" i="25"/>
  <c r="L69" i="25"/>
  <c r="P56" i="25" s="1"/>
  <c r="L61" i="25"/>
  <c r="P55" i="25" s="1"/>
  <c r="L77" i="25"/>
  <c r="P57" i="25" s="1"/>
  <c r="M76" i="24"/>
  <c r="R51" i="24"/>
  <c r="R50" i="24"/>
  <c r="R44" i="24"/>
  <c r="R39" i="24"/>
  <c r="R37" i="24"/>
  <c r="R34" i="24"/>
  <c r="R32" i="24"/>
  <c r="R29" i="24"/>
  <c r="R25" i="24"/>
  <c r="R21" i="24"/>
  <c r="R20" i="24"/>
  <c r="R15" i="24"/>
  <c r="R8" i="24"/>
  <c r="R6" i="24"/>
  <c r="R4" i="24"/>
  <c r="R3" i="24"/>
  <c r="R43" i="24"/>
  <c r="R33" i="24"/>
  <c r="R11" i="24"/>
  <c r="C55" i="28" l="1"/>
  <c r="C59" i="28" s="1"/>
  <c r="P55" i="28" s="1"/>
  <c r="P56" i="28" s="1"/>
  <c r="P93" i="27"/>
  <c r="P43" i="26"/>
  <c r="P60" i="25"/>
  <c r="L76" i="24"/>
  <c r="M75" i="24"/>
  <c r="L75" i="24" s="1"/>
  <c r="M74" i="24"/>
  <c r="M79" i="24" s="1"/>
  <c r="L74" i="24"/>
  <c r="M68" i="24"/>
  <c r="L68" i="24" s="1"/>
  <c r="M67" i="24"/>
  <c r="M66" i="24"/>
  <c r="M71" i="24" s="1"/>
  <c r="L66" i="24"/>
  <c r="M60" i="24"/>
  <c r="L60" i="24" s="1"/>
  <c r="E60" i="24"/>
  <c r="M59" i="24"/>
  <c r="L59" i="24" s="1"/>
  <c r="M58" i="24"/>
  <c r="M63" i="24" s="1"/>
  <c r="L58" i="24"/>
  <c r="H58" i="24"/>
  <c r="E58" i="24"/>
  <c r="E61" i="24" s="1"/>
  <c r="H57" i="24"/>
  <c r="H56" i="24"/>
  <c r="Q55" i="24"/>
  <c r="P55" i="24"/>
  <c r="O55" i="24"/>
  <c r="N55" i="24"/>
  <c r="M55" i="24"/>
  <c r="L55" i="24"/>
  <c r="K55" i="24"/>
  <c r="J55" i="24"/>
  <c r="H55" i="24"/>
  <c r="G55" i="24"/>
  <c r="D55" i="24"/>
  <c r="I52" i="24"/>
  <c r="C60" i="24" s="1"/>
  <c r="I51" i="24"/>
  <c r="I37" i="24"/>
  <c r="I50" i="24"/>
  <c r="I49" i="24"/>
  <c r="I36" i="24"/>
  <c r="I16" i="24"/>
  <c r="I15" i="24"/>
  <c r="I14" i="24"/>
  <c r="I13" i="24"/>
  <c r="I35" i="24"/>
  <c r="I12" i="24"/>
  <c r="I34" i="24"/>
  <c r="I48" i="24"/>
  <c r="I33" i="24"/>
  <c r="I32" i="24"/>
  <c r="I11" i="24"/>
  <c r="I10" i="24"/>
  <c r="I31" i="24"/>
  <c r="I47" i="24"/>
  <c r="I46" i="24"/>
  <c r="I9" i="24"/>
  <c r="I30" i="24"/>
  <c r="I45" i="24"/>
  <c r="I8" i="24"/>
  <c r="I7" i="24"/>
  <c r="I29" i="24"/>
  <c r="I28" i="24"/>
  <c r="I44" i="24"/>
  <c r="I43" i="24"/>
  <c r="I27" i="24"/>
  <c r="I26" i="24"/>
  <c r="I42" i="24"/>
  <c r="I25" i="24"/>
  <c r="I24" i="24"/>
  <c r="I41" i="24"/>
  <c r="I6" i="24"/>
  <c r="I23" i="24"/>
  <c r="I40" i="24"/>
  <c r="I5" i="24"/>
  <c r="I22" i="24"/>
  <c r="I21" i="24"/>
  <c r="I20" i="24"/>
  <c r="I39" i="24"/>
  <c r="I19" i="24"/>
  <c r="I4" i="24"/>
  <c r="I18" i="24"/>
  <c r="I17" i="24"/>
  <c r="I3" i="24"/>
  <c r="I38" i="24"/>
  <c r="B16" i="23"/>
  <c r="C26" i="23"/>
  <c r="D19" i="23" a="1"/>
  <c r="D18" i="23" a="1"/>
  <c r="D13" i="23" a="1"/>
  <c r="B14" i="23"/>
  <c r="B18" i="23"/>
  <c r="C14" i="23"/>
  <c r="D24" i="23" a="1"/>
  <c r="C16" i="23"/>
  <c r="D27" i="23" a="1"/>
  <c r="C13" i="23"/>
  <c r="B12" i="23"/>
  <c r="D26" i="23" a="1"/>
  <c r="D28" i="23" a="1"/>
  <c r="D17" i="23" a="1"/>
  <c r="A3" i="23" a="1"/>
  <c r="B25" i="23"/>
  <c r="D16" i="23" a="1"/>
  <c r="C27" i="23"/>
  <c r="C11" i="23"/>
  <c r="C22" i="23"/>
  <c r="B26" i="23"/>
  <c r="C18" i="23"/>
  <c r="D22" i="23" a="1"/>
  <c r="D12" i="23" a="1"/>
  <c r="C12" i="23"/>
  <c r="C25" i="23"/>
  <c r="C24" i="23"/>
  <c r="C15" i="23"/>
  <c r="B27" i="23"/>
  <c r="B24" i="23"/>
  <c r="C19" i="23"/>
  <c r="B20" i="23"/>
  <c r="C9" i="23"/>
  <c r="C28" i="23"/>
  <c r="D25" i="23" a="1"/>
  <c r="D20" i="23" a="1"/>
  <c r="C20" i="23"/>
  <c r="B10" i="23"/>
  <c r="D11" i="23" a="1"/>
  <c r="C23" i="23"/>
  <c r="D15" i="23" a="1"/>
  <c r="D23" i="23" a="1"/>
  <c r="C17" i="23"/>
  <c r="B13" i="23"/>
  <c r="B11" i="23"/>
  <c r="B17" i="23"/>
  <c r="B28" i="23"/>
  <c r="B23" i="23"/>
  <c r="D14" i="23" a="1"/>
  <c r="B22" i="23"/>
  <c r="B19" i="23"/>
  <c r="D21" i="23" a="1"/>
  <c r="C21" i="23"/>
  <c r="B15" i="23"/>
  <c r="C10" i="23"/>
  <c r="B21" i="23"/>
  <c r="D10" i="23" a="1"/>
  <c r="B9" i="23"/>
  <c r="D9" i="23" a="1"/>
  <c r="L67" i="24" l="1"/>
  <c r="C58" i="24"/>
  <c r="C61" i="24" s="1"/>
  <c r="C65" i="24" s="1"/>
  <c r="P61" i="24" s="1"/>
  <c r="L71" i="24"/>
  <c r="P59" i="24" s="1"/>
  <c r="L79" i="24"/>
  <c r="P60" i="24" s="1"/>
  <c r="L63" i="24"/>
  <c r="P58" i="24" s="1"/>
  <c r="D11" i="23"/>
  <c r="E11" i="23" s="1"/>
  <c r="D19" i="23"/>
  <c r="E19" i="23" s="1"/>
  <c r="D14" i="23"/>
  <c r="E14" i="23" s="1"/>
  <c r="D18" i="23"/>
  <c r="E18" i="23" s="1"/>
  <c r="D9" i="23"/>
  <c r="E9" i="23" s="1"/>
  <c r="D16" i="23"/>
  <c r="E16" i="23" s="1"/>
  <c r="D13" i="23"/>
  <c r="E13" i="23" s="1"/>
  <c r="D23" i="23"/>
  <c r="E23" i="23" s="1"/>
  <c r="D27" i="23"/>
  <c r="E27" i="23" s="1"/>
  <c r="D24" i="23"/>
  <c r="E24" i="23" s="1"/>
  <c r="D25" i="23"/>
  <c r="E25" i="23" s="1"/>
  <c r="D26" i="23"/>
  <c r="E26" i="23" s="1"/>
  <c r="D17" i="23"/>
  <c r="E17" i="23" s="1"/>
  <c r="D22" i="23"/>
  <c r="E22" i="23" s="1"/>
  <c r="D28" i="23"/>
  <c r="E28" i="23" s="1"/>
  <c r="D10" i="23"/>
  <c r="E10" i="23" s="1"/>
  <c r="D15" i="23"/>
  <c r="E15" i="23" s="1"/>
  <c r="D20" i="23"/>
  <c r="E20" i="23" s="1"/>
  <c r="D21" i="23"/>
  <c r="E21" i="23" s="1"/>
  <c r="D12" i="23"/>
  <c r="E12" i="23" s="1"/>
  <c r="A3" i="23"/>
  <c r="B5" i="23"/>
  <c r="B6" i="23"/>
  <c r="B7" i="23"/>
  <c r="B4" i="23"/>
  <c r="C6" i="23"/>
  <c r="D7" i="23" a="1"/>
  <c r="D6" i="23" a="1"/>
  <c r="D8" i="23" a="1"/>
  <c r="D4" i="23" a="1"/>
  <c r="B8" i="23"/>
  <c r="C8" i="23"/>
  <c r="D5" i="23" a="1"/>
  <c r="C5" i="23"/>
  <c r="C7" i="23"/>
  <c r="C4" i="23"/>
  <c r="D8" i="23" l="1"/>
  <c r="E8" i="23" s="1"/>
  <c r="D7" i="23"/>
  <c r="E7" i="23" s="1"/>
  <c r="D6" i="23"/>
  <c r="E6" i="23" s="1"/>
  <c r="D5" i="23"/>
  <c r="E5" i="23" s="1"/>
  <c r="D4" i="23"/>
  <c r="E4" i="23" s="1"/>
  <c r="P62" i="24"/>
  <c r="E30" i="23" a="1"/>
  <c r="B3" i="23"/>
  <c r="C3" i="23"/>
  <c r="D3" i="23" a="1"/>
  <c r="E30" i="23" l="1"/>
  <c r="D3" i="23"/>
  <c r="E3" i="23" s="1"/>
  <c r="E29" i="23" s="1"/>
  <c r="E31" i="23" s="1"/>
  <c r="E32" i="23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<sst xmlns="http://schemas.openxmlformats.org/spreadsheetml/2006/main" count="2896" uniqueCount="965">
  <si>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</si>
  <si>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</si>
  <si>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</si>
  <si>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</si>
  <si>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</si>
  <si>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</si>
  <si>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</si>
  <si>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</si>
  <si>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</si>
  <si>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THÁNG 10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</si>
  <si>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</si>
  <si>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</si>
  <si>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</si>
  <si>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</si>
  <si>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</si>
  <si>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</si>
  <si>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</si>
  <si>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</si>
  <si>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</si>
  <si>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</si>
  <si>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</si>
  <si>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</si>
  <si>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</si>
  <si>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</si>
  <si>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</si>
  <si>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</si>
  <si>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hàng sỉ</t>
  </si>
  <si>
    <t>ĐOÀN NGÂN CHÂU</t>
  </si>
  <si>
    <t>VVI EVA</t>
  </si>
  <si>
    <t>141 hùng vương phường 4</t>
  </si>
  <si>
    <t>c.hieu</t>
  </si>
  <si>
    <t>c.cuong</t>
  </si>
  <si>
    <t>01-10-2026</t>
  </si>
  <si>
    <t>Sreynich077697899 (ThyThy Express)</t>
  </si>
  <si>
    <t>428/33 QL1A, Bình Hưng Hoà B</t>
  </si>
  <si>
    <t>binh tan</t>
  </si>
  <si>
    <t>AT 01-10</t>
  </si>
  <si>
    <t>jenny bouti</t>
  </si>
  <si>
    <t>401 Quang trung f10</t>
  </si>
  <si>
    <t>go vap</t>
  </si>
  <si>
    <t>NHUNG HM</t>
  </si>
  <si>
    <t>8/1 nguyễn ảnh thủ,trung Chánh</t>
  </si>
  <si>
    <t>hoc mon</t>
  </si>
  <si>
    <t>MIE</t>
  </si>
  <si>
    <t>275/14B1 Đặng Nguyên Cẩn, Phường Phú Lâm</t>
  </si>
  <si>
    <t>Nhân viên Tiny</t>
  </si>
  <si>
    <t>105 Nguyễn Cơ Thạch F An Lợi Đông</t>
  </si>
  <si>
    <t>Thanh Tuyền</t>
  </si>
  <si>
    <t>HD062701</t>
  </si>
  <si>
    <t>Smiley Apartment 3: 385/16 Nguyễn Trãi, phường Nguyễn Cư Trinh</t>
  </si>
  <si>
    <t>Nhan Thanh Nguyen</t>
  </si>
  <si>
    <t>HD062862</t>
  </si>
  <si>
    <t>688/12:7 quang trung p11</t>
  </si>
  <si>
    <t>Kenny Astomo</t>
  </si>
  <si>
    <t>HD062300</t>
  </si>
  <si>
    <t>259 Vo Nguyen Giap, An Phu, Unit W12.10 West Tower Residence, at Lumiere Riverside Apartment, An Khanh Ward</t>
  </si>
  <si>
    <t>Hannah Ngo</t>
  </si>
  <si>
    <t>HD062869</t>
  </si>
  <si>
    <t>chung cư dream home luxury đường 59 an hội tâp</t>
  </si>
  <si>
    <t>Chang Chang</t>
  </si>
  <si>
    <t>HD062779</t>
  </si>
  <si>
    <t>112-114 võ liêm sơn p4</t>
  </si>
  <si>
    <t>Doan Ngoc Phuong Anh</t>
  </si>
  <si>
    <t>HD062906</t>
  </si>
  <si>
    <t>664/119 Nguyễn Đình Chiểu</t>
  </si>
  <si>
    <t>Phuong Mai</t>
  </si>
  <si>
    <t>HD062738</t>
  </si>
  <si>
    <t>8/7 49b thao dien</t>
  </si>
  <si>
    <t>Tuấn</t>
  </si>
  <si>
    <t>HD062925</t>
  </si>
  <si>
    <t>2225 Phạm Thế Hiển, phường Bình Đông</t>
  </si>
  <si>
    <t>My Ngô</t>
  </si>
  <si>
    <t>HD062876</t>
  </si>
  <si>
    <t>233/17 Nguyễn Trãi . Phường Nguyễn Cư Trinh</t>
  </si>
  <si>
    <t>Thanh Thuy</t>
  </si>
  <si>
    <t>HD062778</t>
  </si>
  <si>
    <t>220/62 Xô viết nghệ tĩnh, phường thành mỹ Tây</t>
  </si>
  <si>
    <t>binh thanh</t>
  </si>
  <si>
    <t>BN182 miki chouchou Fb</t>
  </si>
  <si>
    <t>HD062928</t>
  </si>
  <si>
    <t>163 Đường Trương Thị Hoa, phường Tân Thới Hiệp</t>
  </si>
  <si>
    <t>Hồng Moon</t>
  </si>
  <si>
    <t>HD062793</t>
  </si>
  <si>
    <t>74/12 thạch thị thanh</t>
  </si>
  <si>
    <t>đổi hàng</t>
  </si>
  <si>
    <t>K'bee Saykosi</t>
  </si>
  <si>
    <t>HD062764</t>
  </si>
  <si>
    <t>13 đường 17 kp5 bình chiểu</t>
  </si>
  <si>
    <t>thu duc</t>
  </si>
  <si>
    <t>Jemial Vo</t>
  </si>
  <si>
    <t>HD062860</t>
  </si>
  <si>
    <t>438 phan văn trị, p.hạnh thông</t>
  </si>
  <si>
    <t>Huyền Vân</t>
  </si>
  <si>
    <t>HD062840</t>
  </si>
  <si>
    <t>51 Nguyễn Thị Minh Khai, p. Sài Gòn</t>
  </si>
  <si>
    <t>shop chịu ship</t>
  </si>
  <si>
    <t>Mỹ Linh</t>
  </si>
  <si>
    <t>HD062763</t>
  </si>
  <si>
    <t>538/90 đoàn văn bơ, p14</t>
  </si>
  <si>
    <t>Đậu Đậu</t>
  </si>
  <si>
    <t>HD062785</t>
  </si>
  <si>
    <t>106/4 phan van tri phường 12</t>
  </si>
  <si>
    <t>NGƯỜI NHẬN: xiao yan</t>
  </si>
  <si>
    <t>HD062904</t>
  </si>
  <si>
    <t>22, ĐƯỜNG TÂN THỚI NHẤT 1B, PHƯỜNG ĐÔNG HƯNG THUẬN</t>
  </si>
  <si>
    <t>kh ck shop 1490k</t>
  </si>
  <si>
    <t>Giáng Hương</t>
  </si>
  <si>
    <t>HD062895</t>
  </si>
  <si>
    <t>111 đường số 10 phường 13</t>
  </si>
  <si>
    <t>minh minh( sang sang )</t>
  </si>
  <si>
    <t>HD062870</t>
  </si>
  <si>
    <t>366 tên lửa bình trị đông b</t>
  </si>
  <si>
    <t>Tuyết - fb Annie Lê</t>
  </si>
  <si>
    <t>HD062797</t>
  </si>
  <si>
    <t>5A/3F trần phú phường 4</t>
  </si>
  <si>
    <t>Vi Vân (Website)</t>
  </si>
  <si>
    <t>HD062936</t>
  </si>
  <si>
    <t>30/23B Nguyễn Hữu Cảnh, Thạnh Mỹ Tây</t>
  </si>
  <si>
    <t>Cherry Nguyen</t>
  </si>
  <si>
    <t>HD062377</t>
  </si>
  <si>
    <t>A4/40A2 Tổ 4 ấp 1A đường 1C, xã Vĩnh Lộc B</t>
  </si>
  <si>
    <t>binh chanh</t>
  </si>
  <si>
    <t>Tố Uyên</t>
  </si>
  <si>
    <t>HD062709</t>
  </si>
  <si>
    <t>64/20 cù lao cầu kiệu</t>
  </si>
  <si>
    <t>phu nhuan</t>
  </si>
  <si>
    <t>Phương Nguyên</t>
  </si>
  <si>
    <t>HD062899</t>
  </si>
  <si>
    <t>882 ÂU CƠ, p tân bình</t>
  </si>
  <si>
    <t>tan phu</t>
  </si>
  <si>
    <t>Hoa Ngo</t>
  </si>
  <si>
    <t>HD062710</t>
  </si>
  <si>
    <t>22/14 phan van hon,p.đông hưng thuận (cty phương đông)</t>
  </si>
  <si>
    <t>Đoàn Ngọc</t>
  </si>
  <si>
    <t>HD062843</t>
  </si>
  <si>
    <t>137/2 bình long, bình trị đông</t>
  </si>
  <si>
    <t>Trần Trần</t>
  </si>
  <si>
    <t>HD062689</t>
  </si>
  <si>
    <t>91/21 đường 24 long bình</t>
  </si>
  <si>
    <t>Ngọc Dung (Wendy NZ) fb Ngọc Thu</t>
  </si>
  <si>
    <t>HD062882</t>
  </si>
  <si>
    <t>90/3 Nguyễn Văn Quá, phường Đông Hưng Thuận</t>
  </si>
  <si>
    <t>Nguyễn Thùy Vi</t>
  </si>
  <si>
    <t>HD062780</t>
  </si>
  <si>
    <t>Toà Crest, N11 Metropole Thủ Thiêm, P. An Khánh</t>
  </si>
  <si>
    <t>Giai Kỳ</t>
  </si>
  <si>
    <t>HD062751</t>
  </si>
  <si>
    <t>Win barbershop 46 Lê Thị Riêng Đồ của Quản lí</t>
  </si>
  <si>
    <t>Hồng Ngoan</t>
  </si>
  <si>
    <t>HD062777</t>
  </si>
  <si>
    <t>74/4 Trần Thái Tông . P.15</t>
  </si>
  <si>
    <t>tan binh</t>
  </si>
  <si>
    <t>Nhớ Nhớ</t>
  </si>
  <si>
    <t>HD062857</t>
  </si>
  <si>
    <t>Sài gòn Mia block A đường 9a khu trung sơn bình hưng</t>
  </si>
  <si>
    <t>Khánh Linh - Tùng - Srilanka</t>
  </si>
  <si>
    <t>HD062794</t>
  </si>
  <si>
    <t>403 Tân Sơn, P12</t>
  </si>
  <si>
    <t>Vy Mai</t>
  </si>
  <si>
    <t>HD062761</t>
  </si>
  <si>
    <t>543a trần xuân soạn tân kiểng</t>
  </si>
  <si>
    <t>Na</t>
  </si>
  <si>
    <t>HD062487</t>
  </si>
  <si>
    <t>96a đường 79 tân quy</t>
  </si>
  <si>
    <t>Tran Ngoc Bao Tran</t>
  </si>
  <si>
    <t>HD062676</t>
  </si>
  <si>
    <t>74/13 đường số 6, phường Hiệp Bình (phường Hiệp Bình Chánh cũ)</t>
  </si>
  <si>
    <t>Mai Trinh</t>
  </si>
  <si>
    <t>HD062756</t>
  </si>
  <si>
    <t>32A/40/2G Dương Bá Trạc, Phường Rạch Ông</t>
  </si>
  <si>
    <t>Dang Cam Tu</t>
  </si>
  <si>
    <t>HD062836</t>
  </si>
  <si>
    <t>86a Nguyễn Văn tăng</t>
  </si>
  <si>
    <t>Phạm Minh Nguyệt</t>
  </si>
  <si>
    <t>HD062918</t>
  </si>
  <si>
    <t>88/5g nguyễn khoái</t>
  </si>
  <si>
    <t>Daravin</t>
  </si>
  <si>
    <t>165/82 Nguyễn Thái Bình, Bến Thành, Cozrum home - daisy house</t>
  </si>
  <si>
    <t>Pachara (BN6994)</t>
  </si>
  <si>
    <t>Mr Thế (Zalo: Minh Tuệ)</t>
  </si>
  <si>
    <t>27/5 Quách Văn Tuấn, F12</t>
  </si>
  <si>
    <t>Ngọc Linh</t>
  </si>
  <si>
    <t>HD062349</t>
  </si>
  <si>
    <t>47/5 Phạm Ngọc Thạch, P6</t>
  </si>
  <si>
    <t>luu tra</t>
  </si>
  <si>
    <t>30-09-2026</t>
  </si>
  <si>
    <t>đơn trả</t>
  </si>
  <si>
    <t>x</t>
  </si>
  <si>
    <t>xx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</si>
  <si>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</si>
  <si>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</si>
  <si>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</si>
  <si>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</si>
  <si>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</si>
  <si>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</si>
  <si>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</si>
  <si>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Trừ Ship</t>
  </si>
  <si>
    <t>tiền ship</t>
  </si>
  <si>
    <t>at 01-10</t>
  </si>
  <si>
    <t>Đơn trả &amp; c.khoản</t>
  </si>
  <si>
    <t>tiền lấy</t>
  </si>
  <si>
    <t>Tiền Hàng Hcm</t>
  </si>
  <si>
    <t>1 đơn</t>
  </si>
  <si>
    <t>shop</t>
  </si>
  <si>
    <t>đền đơn</t>
  </si>
  <si>
    <t>đơn cũ ck</t>
  </si>
  <si>
    <t>tổng</t>
  </si>
  <si>
    <t>nợ cũ</t>
  </si>
  <si>
    <t>THANH TOÁN</t>
  </si>
  <si>
    <t>CK Đủ 100%</t>
  </si>
  <si>
    <t>THU 5</t>
  </si>
  <si>
    <t>NGAY 1-10</t>
  </si>
  <si>
    <t>ng nhận (Đức) của c linh</t>
  </si>
  <si>
    <t>HD062603</t>
  </si>
  <si>
    <t>403 Tân Sơn, Phường An Hội Tây</t>
  </si>
  <si>
    <t>Annie Lam</t>
  </si>
  <si>
    <t>HD063230</t>
  </si>
  <si>
    <t>1806/80/9 Huỳnh Tấn Phát</t>
  </si>
  <si>
    <t>nha be</t>
  </si>
  <si>
    <t>AT 02-10</t>
  </si>
  <si>
    <t>02-10-2026</t>
  </si>
  <si>
    <t>An fb Hạnh Xuân</t>
  </si>
  <si>
    <t>HD063017</t>
  </si>
  <si>
    <t>The Horizon Block A, phường Tân Phú</t>
  </si>
  <si>
    <t>Yến Nhi</t>
  </si>
  <si>
    <t>HD063008</t>
  </si>
  <si>
    <t>60B1 Ngô Đức Kế</t>
  </si>
  <si>
    <t>Thảo Nguyên</t>
  </si>
  <si>
    <t>HD062983</t>
  </si>
  <si>
    <t>53 lý thường kiệt phường hạnh thông</t>
  </si>
  <si>
    <t>(chị Hoà) - Note: Hàng anh Hậu (tumsandy)</t>
  </si>
  <si>
    <t>HD063179</t>
  </si>
  <si>
    <t>793/55/10/5 Trần Xuân Soạn, P. Tân Hưng</t>
  </si>
  <si>
    <t>Bạch NhưÝ</t>
  </si>
  <si>
    <t>HD063113</t>
  </si>
  <si>
    <t>145a Nguyễn thái bình p04</t>
  </si>
  <si>
    <t>Huỳnh My</t>
  </si>
  <si>
    <t>HD062987</t>
  </si>
  <si>
    <t>166/20 lý thái tổ p1</t>
  </si>
  <si>
    <t>Kim Thuận</t>
  </si>
  <si>
    <t>HD063111</t>
  </si>
  <si>
    <t>1 bis đường tô ký, phường tân chánh hiệp</t>
  </si>
  <si>
    <t>Thanh Hằng</t>
  </si>
  <si>
    <t>HD063267</t>
  </si>
  <si>
    <t>4 đào trí phường Phú thuận</t>
  </si>
  <si>
    <t>Thảo Thảo - fb Eno Eno</t>
  </si>
  <si>
    <t>HD063137</t>
  </si>
  <si>
    <t>số 4 nguyễn trọng lội, Phường Tân Sơn Nhất</t>
  </si>
  <si>
    <t>lanadothing888</t>
  </si>
  <si>
    <t>HD062679</t>
  </si>
  <si>
    <t>16/2 Thái Thị Nhạn, P. Bảy Hiền (Kho Tân Bình)</t>
  </si>
  <si>
    <t>Lê Thu</t>
  </si>
  <si>
    <t>HD063270</t>
  </si>
  <si>
    <t>180/60A Nguyễn Hữu Cảnh, P thạnh Mỹ Tây</t>
  </si>
  <si>
    <t>Phương Thảo TA</t>
  </si>
  <si>
    <t>HD063050</t>
  </si>
  <si>
    <t>M37/15 Cư Xá Phú Lâm A Phường 12</t>
  </si>
  <si>
    <t>Bee Trần</t>
  </si>
  <si>
    <t>HD063133</t>
  </si>
  <si>
    <t>34/4 tân Hải p Tân bình</t>
  </si>
  <si>
    <t>Jolie Thy</t>
  </si>
  <si>
    <t>HD063117</t>
  </si>
  <si>
    <t>24B Khu phố 79, đường Đông hưng thuận 22, phường Đông Hưng Thuận</t>
  </si>
  <si>
    <t>Nguyet</t>
  </si>
  <si>
    <t>HD063269</t>
  </si>
  <si>
    <t>Tòa nhà lux 6...Vinhomes Golden River (Bason), 2 Nguyễn Hữu Cảnh, P Bến Nghé</t>
  </si>
  <si>
    <t>Triệu Thị Hà</t>
  </si>
  <si>
    <t>HD063119</t>
  </si>
  <si>
    <t>19 tôn thất tùng phường bến thành</t>
  </si>
  <si>
    <t>Ly Huynh</t>
  </si>
  <si>
    <t>HD063142</t>
  </si>
  <si>
    <t>255 tân hòa đông. Phường phú lâm</t>
  </si>
  <si>
    <t>Wasabi</t>
  </si>
  <si>
    <t>HD063019</t>
  </si>
  <si>
    <t>688/23/1C Hương Lộ 2 phường Bình Trị Đông A</t>
  </si>
  <si>
    <t>Hien Hoang</t>
  </si>
  <si>
    <t>HD062965</t>
  </si>
  <si>
    <t>208 nguyễn hữu cảnh p22 - landmark 3</t>
  </si>
  <si>
    <t>Charisa0909</t>
  </si>
  <si>
    <t>HD063210</t>
  </si>
  <si>
    <t>Lê Linh</t>
  </si>
  <si>
    <t>HD063222</t>
  </si>
  <si>
    <t>137/3 Đường số 59, An Hội Tây</t>
  </si>
  <si>
    <t>Tên Khanh</t>
  </si>
  <si>
    <t>HD063042</t>
  </si>
  <si>
    <t>21/2 đường số 1, lý phục man, phường tân thuận (yến house apartment)</t>
  </si>
  <si>
    <t>Enise Quinn</t>
  </si>
  <si>
    <t>HD063138</t>
  </si>
  <si>
    <t>38-04 Toà 12 The The Infiniti Riviera Point by Keppel số 2 Nguyễn Văn Tưởng Tân Mỹ</t>
  </si>
  <si>
    <t>Nguyễn Thị Quỳnh Như</t>
  </si>
  <si>
    <t>HD062973</t>
  </si>
  <si>
    <t>337/21 trần xuân soạn phường Tân Hưng</t>
  </si>
  <si>
    <t>Fb: An An</t>
  </si>
  <si>
    <t>HD063237</t>
  </si>
  <si>
    <t>Cty Thế Long Express 27/5 Quách Văn tuấn, f12</t>
  </si>
  <si>
    <t>Trinh Nguyễn</t>
  </si>
  <si>
    <t>HD063040</t>
  </si>
  <si>
    <t>Block G, Chung cư Eco Green, 39B Nguyễn Văn Linh, Phường Tân Thuận Tây</t>
  </si>
  <si>
    <t>Mi mèo</t>
  </si>
  <si>
    <t>HD063005</t>
  </si>
  <si>
    <t>22, TÂN THỚI NHẤT 1B, Phường Tân Thới Nhất</t>
  </si>
  <si>
    <t>Như Quỳnh</t>
  </si>
  <si>
    <t>HD063084</t>
  </si>
  <si>
    <t>Chung cư ecogreen SG Blook E 39B nguyễn văn linh phường tân thuận tây</t>
  </si>
  <si>
    <t>Khánh Ly</t>
  </si>
  <si>
    <t>HD062979</t>
  </si>
  <si>
    <t>67/1 Đường Số 6, KP4, P. Bình Trưng Tây (P. Bình Trưng mới)</t>
  </si>
  <si>
    <t>Kawalin</t>
  </si>
  <si>
    <t>HD063280</t>
  </si>
  <si>
    <t>Thu Thiem Zeit River tower 1 number T1.08.03, Floor 08, Thu Thiem</t>
  </si>
  <si>
    <t>LE Nguyen Thu Minh</t>
  </si>
  <si>
    <t>HD063196</t>
  </si>
  <si>
    <t>358 nhật tảo p6</t>
  </si>
  <si>
    <t>Bùi Mỹ Tuyền</t>
  </si>
  <si>
    <t>HD063128</t>
  </si>
  <si>
    <t>334/33/1C Chu văn an, phường 12</t>
  </si>
  <si>
    <t>Hồ Minh Hương</t>
  </si>
  <si>
    <t>HD063045</t>
  </si>
  <si>
    <t>127/26 nguyễn tư giản - f12</t>
  </si>
  <si>
    <t>Hồ Thanh Phương</t>
  </si>
  <si>
    <t>HD063214</t>
  </si>
  <si>
    <t>158/56/21 Phạm Văn Chiêu, phường Thông Tây Hội</t>
  </si>
  <si>
    <t>Đào thị hoài thương</t>
  </si>
  <si>
    <t>HD063202</t>
  </si>
  <si>
    <t>211/11A gò xoài, phường bình hưng hòa A</t>
  </si>
  <si>
    <t>Bé Ngọc</t>
  </si>
  <si>
    <t>HD063125</t>
  </si>
  <si>
    <t>Chung cư saigon mia blcok C</t>
  </si>
  <si>
    <t>Yu Mi</t>
  </si>
  <si>
    <t>HD063114</t>
  </si>
  <si>
    <t>346 bến vân đồn ( chung cư gold view ) block a3</t>
  </si>
  <si>
    <t>Lê</t>
  </si>
  <si>
    <t>HD063118</t>
  </si>
  <si>
    <t>39/5 sương nguyệt anh . Phường bến thành</t>
  </si>
  <si>
    <t>Dương - fb Phuong Anh</t>
  </si>
  <si>
    <t>HD063140</t>
  </si>
  <si>
    <t>Cổng Phụ Tòa Nhà Waseco, block c, Đường Huỳnh Lan Khanh, Phường 2</t>
  </si>
  <si>
    <t>Thảo Trần</t>
  </si>
  <si>
    <t>HD063265</t>
  </si>
  <si>
    <t>20 Cộng Hoà, p12 (toà nhà Cộng Hoà garden)</t>
  </si>
  <si>
    <t>Cẩm Tú</t>
  </si>
  <si>
    <t>HD063048</t>
  </si>
  <si>
    <t>chung cư terrace 21 võ trường toản</t>
  </si>
  <si>
    <t>Nguyễn Trương Phương Oanh</t>
  </si>
  <si>
    <t>HD063213</t>
  </si>
  <si>
    <t>125/42/2 Bùi Đình Tuý, phường 14</t>
  </si>
  <si>
    <t>Ly Clara Selena</t>
  </si>
  <si>
    <t>403 tân sơn p12</t>
  </si>
  <si>
    <t>Lê Thảo</t>
  </si>
  <si>
    <t>225 Thống Nhất, An Hội Đông (Trà sữa Tam Hảo)</t>
  </si>
  <si>
    <t>Minh Hai (Zalo: Shirley Woo)</t>
  </si>
  <si>
    <t>17 Street No. 13, Binh Hung Hoa Ward</t>
  </si>
  <si>
    <t>Heng Roza (EV38382)</t>
  </si>
  <si>
    <t>HD062448</t>
  </si>
  <si>
    <t>315/186 Nhuyễn Thị Tú, Phường Bình Hưng Hòa B</t>
  </si>
  <si>
    <t>15k phí Chành Xe</t>
  </si>
  <si>
    <t>at 02-10</t>
  </si>
  <si>
    <t>THU 6</t>
  </si>
  <si>
    <t>NGAY 2-10</t>
  </si>
  <si>
    <t>phí Chành xe</t>
  </si>
  <si>
    <t>Anh Thu Nguyen</t>
  </si>
  <si>
    <t>HD063572</t>
  </si>
  <si>
    <t>230 cao thắng, p12</t>
  </si>
  <si>
    <t>03-10-2026</t>
  </si>
  <si>
    <t>Dung Nguyen</t>
  </si>
  <si>
    <t>HD063559</t>
  </si>
  <si>
    <t>T4 masteri xa lộ hà nội thảo điền</t>
  </si>
  <si>
    <t>Phạm Bích Tuyền</t>
  </si>
  <si>
    <t>HD063401</t>
  </si>
  <si>
    <t>38.đường 39.tân thuận.phường tân thuận</t>
  </si>
  <si>
    <t>AT 03-10</t>
  </si>
  <si>
    <t>Phạm Dung</t>
  </si>
  <si>
    <t>HD063192</t>
  </si>
  <si>
    <t>208 nguyễn hữu cảnh phường 22 chung cư vinhome toà lanmark 5</t>
  </si>
  <si>
    <t>gộp</t>
  </si>
  <si>
    <t>Nguyễn Đặng Kiều My</t>
  </si>
  <si>
    <t>HD063445</t>
  </si>
  <si>
    <t>67/9 đường d9 Tây Thạnh</t>
  </si>
  <si>
    <t>Mỹ Ngọc</t>
  </si>
  <si>
    <t>HD063318</t>
  </si>
  <si>
    <t>242 Nguyễn oanh,phường gò vấp</t>
  </si>
  <si>
    <t>c duyên - fb Hà Túi</t>
  </si>
  <si>
    <t>HD063284</t>
  </si>
  <si>
    <t>15a duong nguyễn hữu thọ Toa t1</t>
  </si>
  <si>
    <t>Người Nhận : FB HƯƠNG THỦY</t>
  </si>
  <si>
    <t>HD062908</t>
  </si>
  <si>
    <t>Số 78 Đường Số 7, P. Bình Hưng Hòa</t>
  </si>
  <si>
    <t>Nguyen Thi Ngoc Anh</t>
  </si>
  <si>
    <t>HD063516</t>
  </si>
  <si>
    <t>385a/7 tân sơn nhì, phú thọ hoà</t>
  </si>
  <si>
    <t>Any Yến</t>
  </si>
  <si>
    <t>HD063552</t>
  </si>
  <si>
    <t>954 nguyễn xiển, phường Long bình</t>
  </si>
  <si>
    <t>HD063383</t>
  </si>
  <si>
    <t>HD063216</t>
  </si>
  <si>
    <t>gộp, shop chịu ship</t>
  </si>
  <si>
    <t>Tuyền Tuyền</t>
  </si>
  <si>
    <t>HD063446</t>
  </si>
  <si>
    <t>340/2 phan huy ích, Phường an hội tây</t>
  </si>
  <si>
    <t>Lê Hiền</t>
  </si>
  <si>
    <t>HD063557</t>
  </si>
  <si>
    <t>677/124/30 Nguyễn Ảnh Thủ, phường Hiệp Thành</t>
  </si>
  <si>
    <t>Huyền Mini</t>
  </si>
  <si>
    <t>HD063454</t>
  </si>
  <si>
    <t>141 tam hà phường tam phú</t>
  </si>
  <si>
    <t>HD063430</t>
  </si>
  <si>
    <t>Jenny Pham</t>
  </si>
  <si>
    <t>HD063577</t>
  </si>
  <si>
    <t>321 Nguyễn Trọng Tuyển</t>
  </si>
  <si>
    <t>Chi Miu</t>
  </si>
  <si>
    <t>HD063289</t>
  </si>
  <si>
    <t>cc Riviera point p tân phú</t>
  </si>
  <si>
    <t>Lê Thơ</t>
  </si>
  <si>
    <t>HD063346</t>
  </si>
  <si>
    <t>793/58/5 trần xuân soạn, phường tân hưng</t>
  </si>
  <si>
    <t>Kaity HG</t>
  </si>
  <si>
    <t>HD063415</t>
  </si>
  <si>
    <t>688/23/1c hương lộ 2, p binh trị đông A</t>
  </si>
  <si>
    <t>Nguyễn Nhi</t>
  </si>
  <si>
    <t>HD063419</t>
  </si>
  <si>
    <t>393/33/5 lê hồng phong p2</t>
  </si>
  <si>
    <t>Nguyễn Kim Ngân</t>
  </si>
  <si>
    <t>HD063590</t>
  </si>
  <si>
    <t>Lavida Plus, Nguyễn Văn Linh, Tân Phong</t>
  </si>
  <si>
    <t>Sophia Le</t>
  </si>
  <si>
    <t>HD063573</t>
  </si>
  <si>
    <t>27/11 Đường số 27, P. Hiệp Bình</t>
  </si>
  <si>
    <t>An Cherry</t>
  </si>
  <si>
    <t>HD063397</t>
  </si>
  <si>
    <t>Lô M Sảnh 2, CC Bàu Cát 2, phường Bảy Hiền</t>
  </si>
  <si>
    <t>Bội M (Giao giờ hành chính)</t>
  </si>
  <si>
    <t>HD063586</t>
  </si>
  <si>
    <t>Số C3 Đường Ba Tháng Hai, phường Vườn Lài (địa chỉ cũ P11)</t>
  </si>
  <si>
    <t>Trần Ngọc Bích</t>
  </si>
  <si>
    <t>HD063555</t>
  </si>
  <si>
    <t>43/3 Cửu Long p2</t>
  </si>
  <si>
    <t>Khánh Vy Đỗ</t>
  </si>
  <si>
    <t>HD063285</t>
  </si>
  <si>
    <t>200 gò dưa tam bình</t>
  </si>
  <si>
    <t>Hân Hoàng (Website)</t>
  </si>
  <si>
    <t>HD063592</t>
  </si>
  <si>
    <t>23/49 Lê Văn Duyệt</t>
  </si>
  <si>
    <t>Duyen Dau</t>
  </si>
  <si>
    <t>HD062729</t>
  </si>
  <si>
    <t>Chung cư lô A ( cầu thang số 5), số 43R Hồ Văn Huê, phường 9</t>
  </si>
  <si>
    <t>Darin</t>
  </si>
  <si>
    <t>624 Lê thị riêng,thới an</t>
  </si>
  <si>
    <t>NT Hải Yến</t>
  </si>
  <si>
    <t>I32 khu dân cư Tân tiến, Tân Thới Hiệp</t>
  </si>
  <si>
    <t>at 03-10</t>
  </si>
  <si>
    <t>THU 7</t>
  </si>
  <si>
    <t>NGAY 3-10</t>
  </si>
  <si>
    <t>Người nhận: tên uyên</t>
  </si>
  <si>
    <t>HD064203</t>
  </si>
  <si>
    <t>Số 2 Tôn Đức Thắng, phường Bến Nghé (Tòa Lux 6 nằm trong khu Ba Son)</t>
  </si>
  <si>
    <t>05-10-2026</t>
  </si>
  <si>
    <t>Nhi Nhi</t>
  </si>
  <si>
    <t>HD063710</t>
  </si>
  <si>
    <t>Giặt Hấp Sấy Tam Phương., Số 08, Đ. Số 10, Phường Tân Hưng</t>
  </si>
  <si>
    <t>AT 05-10</t>
  </si>
  <si>
    <t>Tuyết</t>
  </si>
  <si>
    <t>HD064193</t>
  </si>
  <si>
    <t>E06 Chuông Vàng, phường Cát Lái</t>
  </si>
  <si>
    <t>Alin</t>
  </si>
  <si>
    <t>HD064202</t>
  </si>
  <si>
    <t>71/2/13 Nguyễn Bặc, Phường 3</t>
  </si>
  <si>
    <t>Trang Pham</t>
  </si>
  <si>
    <t>HD063757</t>
  </si>
  <si>
    <t>331/68 Vườn Lài, Phường An Phú Đông</t>
  </si>
  <si>
    <t>C9-YY-LUWE XIN HUI</t>
  </si>
  <si>
    <t>HD063083</t>
  </si>
  <si>
    <t>SAIKO EXPRESS - 29/7 Đường Yên Thế, Phường 2</t>
  </si>
  <si>
    <t>Tran Thu</t>
  </si>
  <si>
    <t>HD064072</t>
  </si>
  <si>
    <t>76/14/6 duong so 7 linh trung</t>
  </si>
  <si>
    <t>Chi chu</t>
  </si>
  <si>
    <t>HD063604</t>
  </si>
  <si>
    <t>61/2a đg 6 Tam phú</t>
  </si>
  <si>
    <t>Sen Tina</t>
  </si>
  <si>
    <t>HD064084</t>
  </si>
  <si>
    <t>37 thích minh nguyệt, Phường 2</t>
  </si>
  <si>
    <t>Phương Phạm</t>
  </si>
  <si>
    <t>HD063965</t>
  </si>
  <si>
    <t>545/16/17 nguyễn xiển</t>
  </si>
  <si>
    <t>Nhận hàng giúp chị phương (ở Úc) fb PhươngMy</t>
  </si>
  <si>
    <t>HD063856</t>
  </si>
  <si>
    <t>22/5b, Đường Xuân Thới Thượng 12 ( Xtt 12 ), Ấp 1, Xã Bà Điểm</t>
  </si>
  <si>
    <t>Elly Nguyễn</t>
  </si>
  <si>
    <t>HD063677</t>
  </si>
  <si>
    <t>21b nguyên thị thập, tân mỹ</t>
  </si>
  <si>
    <t>Như Quỳnh saleweb</t>
  </si>
  <si>
    <t>HD064219</t>
  </si>
  <si>
    <t>66/68, Phổ Quang, Phường 2</t>
  </si>
  <si>
    <t>Tuyền</t>
  </si>
  <si>
    <t>HD064215</t>
  </si>
  <si>
    <t>310 lê quang định phường bình lợi trung</t>
  </si>
  <si>
    <t>Chị My (website)</t>
  </si>
  <si>
    <t>HD064217</t>
  </si>
  <si>
    <t>1287/33/58 Phạm Thế Hiển, P5</t>
  </si>
  <si>
    <t>Bác Sĩ Mỹ</t>
  </si>
  <si>
    <t>HD064188</t>
  </si>
  <si>
    <t>296 phan đình phùng, p cầu kiệu</t>
  </si>
  <si>
    <t>Huỳnh Như</t>
  </si>
  <si>
    <t>HD064058</t>
  </si>
  <si>
    <t>213/20/3 lê đình cẩn, phường tân tạo</t>
  </si>
  <si>
    <t>Hoài Phúc</t>
  </si>
  <si>
    <t>HD063793</t>
  </si>
  <si>
    <t>52, đường 24, P.Long Bình</t>
  </si>
  <si>
    <t>Đinh Hiếu (Web)</t>
  </si>
  <si>
    <t>HD063936</t>
  </si>
  <si>
    <t>79D chung cư Phạm Viết Chánh Lô D</t>
  </si>
  <si>
    <t>Lương Thuý</t>
  </si>
  <si>
    <t>HD064032</t>
  </si>
  <si>
    <t>549/11 lê văn thọ</t>
  </si>
  <si>
    <t>Thu Bui</t>
  </si>
  <si>
    <t>HD063985</t>
  </si>
  <si>
    <t>49 đoàn giỏi phường sơn kỳ</t>
  </si>
  <si>
    <t>Hứa Hồng</t>
  </si>
  <si>
    <t>HD064041</t>
  </si>
  <si>
    <t>290 an dương vuong</t>
  </si>
  <si>
    <t>HD063702</t>
  </si>
  <si>
    <t>242 nguyễn oanh, phường gò vấp</t>
  </si>
  <si>
    <t>Bích Ngân</t>
  </si>
  <si>
    <t>HD064075</t>
  </si>
  <si>
    <t>184/38/49/93 âu dương lân</t>
  </si>
  <si>
    <t>gia linh</t>
  </si>
  <si>
    <t>HD063047</t>
  </si>
  <si>
    <t>tk19/19 nguyen canh chau cau ong lanh</t>
  </si>
  <si>
    <t>HD064179</t>
  </si>
  <si>
    <t>HD064013</t>
  </si>
  <si>
    <t>1 Nguyễn đình chiểu phường, Sài Gòn</t>
  </si>
  <si>
    <t>Arianna Mi Nguyen - Trường Nguyễn</t>
  </si>
  <si>
    <t>HD064172</t>
  </si>
  <si>
    <t>87 A Nguyễn thái bình, tân sơn nhất</t>
  </si>
  <si>
    <t>bảo thu(907)</t>
  </si>
  <si>
    <t>HD064012</t>
  </si>
  <si>
    <t>topaz Elite - block Dragon 2c 122 cao lỗ, chánh hưng</t>
  </si>
  <si>
    <t>Huyền Bún</t>
  </si>
  <si>
    <t>HD064181</t>
  </si>
  <si>
    <t>chung cư Moscow Tower -đường tân thới nhất 17-p.tân</t>
  </si>
  <si>
    <t>Ngọc Ngà</t>
  </si>
  <si>
    <t>HD063976</t>
  </si>
  <si>
    <t>Tecco Felice Tower,hội nghĩa 99,P.Bình cơ</t>
  </si>
  <si>
    <t>tinh</t>
  </si>
  <si>
    <t>hàng tỉnh</t>
  </si>
  <si>
    <t>Tew heng quan ( Minh Hai )</t>
  </si>
  <si>
    <t>HD063857</t>
  </si>
  <si>
    <t>17 Đường Số 13 Bình Hưng Hoà</t>
  </si>
  <si>
    <t>Mẫn Mẫn</t>
  </si>
  <si>
    <t>HD064025</t>
  </si>
  <si>
    <t>39bis hoa cúc -p7</t>
  </si>
  <si>
    <t>Nguyen Hoa</t>
  </si>
  <si>
    <t>HD064133</t>
  </si>
  <si>
    <t>54 Nguyễn trung Nguyệt, P bình trưng</t>
  </si>
  <si>
    <t>Nguyễn Thị Hoài</t>
  </si>
  <si>
    <t>HD064201</t>
  </si>
  <si>
    <t>252/62/25 phạm văn chiêu</t>
  </si>
  <si>
    <t>Khánh Vy</t>
  </si>
  <si>
    <t>HD064154</t>
  </si>
  <si>
    <t>8a sông thương p2</t>
  </si>
  <si>
    <t>vĩnh thủy</t>
  </si>
  <si>
    <t>HD064162</t>
  </si>
  <si>
    <t>tim homes 3 đường số 39 khu đô thị mỹ gia vĩnh thái nha trang khánh hòa</t>
  </si>
  <si>
    <t>Cẩm Hiền Nguyễn</t>
  </si>
  <si>
    <t>HD063728</t>
  </si>
  <si>
    <t>466 Nguyễn Kiệm, phường Đức Nhuận</t>
  </si>
  <si>
    <t>Như Ngọc</t>
  </si>
  <si>
    <t>HD063849</t>
  </si>
  <si>
    <t>85/7A đường 30 khu phố 2 phường cát lái</t>
  </si>
  <si>
    <t>Anh Quỳnh</t>
  </si>
  <si>
    <t>HD064074</t>
  </si>
  <si>
    <t>E15/1T4 ấp 5, Vĩnh Lộc A</t>
  </si>
  <si>
    <t>Lam</t>
  </si>
  <si>
    <t>HD063673</t>
  </si>
  <si>
    <t>47/ 24/38 bùi đình tuỷ p14 phòng 440 để bve</t>
  </si>
  <si>
    <t>zng_200</t>
  </si>
  <si>
    <t>HD063835</t>
  </si>
  <si>
    <t>76 phú thọ hoà phường phú thọ hòa</t>
  </si>
  <si>
    <t>Huyền Papy</t>
  </si>
  <si>
    <t>HD064170</t>
  </si>
  <si>
    <t>254/8/7A âu cơ p9</t>
  </si>
  <si>
    <t>ng nhận Midu</t>
  </si>
  <si>
    <t>HD063795</t>
  </si>
  <si>
    <t>416/71/3 nguyễn đình chiểu, p4</t>
  </si>
  <si>
    <t>Lan Anh</t>
  </si>
  <si>
    <t>HD063974</t>
  </si>
  <si>
    <t>Chung cư Millennlum - 132 Bến Văn Đồn, Khánh Hội</t>
  </si>
  <si>
    <t>Thanh Ngân fb Ngoc Nhi</t>
  </si>
  <si>
    <t>HD064150</t>
  </si>
  <si>
    <t>Công Ty Gumac, 313/15, Hẻm 313 Đường Phan Huy Ích, Phường 14</t>
  </si>
  <si>
    <t>Trần Bảo Hân (inst tranbaohan17)</t>
  </si>
  <si>
    <t>HD063598</t>
  </si>
  <si>
    <t>E4/25a đường Nguyễn Hữu Trí, khu phố 5, xã Tân Nhựt</t>
  </si>
  <si>
    <t>Xuka Nguyen</t>
  </si>
  <si>
    <t>HD064123</t>
  </si>
  <si>
    <t>39p/9 go cat long truong</t>
  </si>
  <si>
    <t>Minh Thư</t>
  </si>
  <si>
    <t>HD063868</t>
  </si>
  <si>
    <t>6/24 tân chánh hiệp 36, p trung mỹ tây</t>
  </si>
  <si>
    <t>Ngọc Trinh</t>
  </si>
  <si>
    <t>HD064099</t>
  </si>
  <si>
    <t>793/49 villa 10 Trần xuân soạn tân hưng</t>
  </si>
  <si>
    <t>HD063782</t>
  </si>
  <si>
    <t>Ashley Khin</t>
  </si>
  <si>
    <t>HD063602</t>
  </si>
  <si>
    <t>BS16A, Oasis zone, Vinhome Grand Park</t>
  </si>
  <si>
    <t>HD063706</t>
  </si>
  <si>
    <t>Nhiên An</t>
  </si>
  <si>
    <t>HD064059</t>
  </si>
  <si>
    <t>321 an dương vương chung cư khang điền block B</t>
  </si>
  <si>
    <t>lý hán thành fb na tây</t>
  </si>
  <si>
    <t>HD063851</t>
  </si>
  <si>
    <t>85/6 bình tây, phường 1</t>
  </si>
  <si>
    <t>Nguyễn Yến Nhi</t>
  </si>
  <si>
    <t>HD063694</t>
  </si>
  <si>
    <t>Vinhomes grand park - p long bình - toà gh3B</t>
  </si>
  <si>
    <t>Thanh Hương-sale</t>
  </si>
  <si>
    <t>HD063889</t>
  </si>
  <si>
    <t>616 hưng phú, phường hưng phú</t>
  </si>
  <si>
    <t>Thu Huong</t>
  </si>
  <si>
    <t>HD063875</t>
  </si>
  <si>
    <t>cổng1 chung cư Emerald số 2- N4 Tân Sơn Nhì</t>
  </si>
  <si>
    <t>Nguyễn Biết</t>
  </si>
  <si>
    <t>HD064135</t>
  </si>
  <si>
    <t>2/17a quách văn tuấn, p12</t>
  </si>
  <si>
    <t>Kim Nhi</t>
  </si>
  <si>
    <t>HD064080</t>
  </si>
  <si>
    <t>71/1/1 Nguyễn Văn Thương Phường Thạnh Mỹ Tây</t>
  </si>
  <si>
    <t>Ngô Khánh Ngọc</t>
  </si>
  <si>
    <t>HD063855</t>
  </si>
  <si>
    <t>Trung cư Safira Khang điền 454 Đ. Võ Chí Công, Phường Long Trường</t>
  </si>
  <si>
    <t>Chi Trương</t>
  </si>
  <si>
    <t>HD063127</t>
  </si>
  <si>
    <t>38 đường 9A KDC trung sơn X.bình hưng</t>
  </si>
  <si>
    <t>Bee Út Nguyễn</t>
  </si>
  <si>
    <t>HD063729</t>
  </si>
  <si>
    <t>Block B chung cư copac 12 tôn đản phường xóm chiếu Căn 15b8</t>
  </si>
  <si>
    <t>Tran Tuyet Nhi @eiraatran</t>
  </si>
  <si>
    <t>HD064149</t>
  </si>
  <si>
    <t>A2/9 khu phố 1 thị trấn Tân Túc</t>
  </si>
  <si>
    <t>Bình An sale</t>
  </si>
  <si>
    <t>HD063885</t>
  </si>
  <si>
    <t>269 âu dương lân phương chánh hưng</t>
  </si>
  <si>
    <t>Thảo Vy</t>
  </si>
  <si>
    <t>HD063759</t>
  </si>
  <si>
    <t>59/20 Nguyễn Bỉnh Khiêm, Tân Định</t>
  </si>
  <si>
    <t>Bùi Bình</t>
  </si>
  <si>
    <t>HD064118</t>
  </si>
  <si>
    <t>67/2/26 đường số 5</t>
  </si>
  <si>
    <t>Ly Thu Huyen</t>
  </si>
  <si>
    <t>HD063714</t>
  </si>
  <si>
    <t>One verandah 2 bát nàn p cát lái</t>
  </si>
  <si>
    <t>HD063896</t>
  </si>
  <si>
    <t>Thảo Phương</t>
  </si>
  <si>
    <t>HD064003</t>
  </si>
  <si>
    <t>482/15/31 điện biên phủ p11</t>
  </si>
  <si>
    <t>Chu Châu</t>
  </si>
  <si>
    <t>HD063709</t>
  </si>
  <si>
    <t>160/7 bùi đình tuý p12</t>
  </si>
  <si>
    <t>THƯƠNG 1994</t>
  </si>
  <si>
    <t>Tòa Bs10, Vinhome Grand Park</t>
  </si>
  <si>
    <t>TOM AG</t>
  </si>
  <si>
    <t>12 HỒ VĂN HUÊ PHƯỜNG 9</t>
  </si>
  <si>
    <t>SU ANH</t>
  </si>
  <si>
    <t>72/5 Giải Phóng, Tân Sơn Nhất</t>
  </si>
  <si>
    <t>BELLA TRẦN</t>
  </si>
  <si>
    <t>66 đường 17, phường Bình Phú</t>
  </si>
  <si>
    <t>275/14B1 Đặng Nguyên Cần, Phường Phú Lâm</t>
  </si>
  <si>
    <t>Jenny Bouti</t>
  </si>
  <si>
    <t>33/1 Đường số 4, Phường Bình Hưng Hòa</t>
  </si>
  <si>
    <t>Võ Thị Tuyết Nhung</t>
  </si>
  <si>
    <t>66 đường 17, phường bình phú</t>
  </si>
  <si>
    <t>Thu Trương</t>
  </si>
  <si>
    <t>159/43/5 Đường Bạch Đằng, phường Tân Sơn Hòa</t>
  </si>
  <si>
    <t>Elly Duyên</t>
  </si>
  <si>
    <t>HD064095</t>
  </si>
  <si>
    <t>200 đường 9A Bình Hưng</t>
  </si>
  <si>
    <t>at 05-10</t>
  </si>
  <si>
    <t>THU 2</t>
  </si>
  <si>
    <t>NGAY 5-10</t>
  </si>
  <si>
    <t>MC Sanita Mao (MV01908)</t>
  </si>
  <si>
    <t>HD064524</t>
  </si>
  <si>
    <t>209 Phạm Ngũ Lão, Bến Thành - Phòng 504</t>
  </si>
  <si>
    <t>06-10-2026</t>
  </si>
  <si>
    <t>Huỳnh Trinh</t>
  </si>
  <si>
    <t>HD064580</t>
  </si>
  <si>
    <t>11 đường 19e,Bình trị đông B</t>
  </si>
  <si>
    <t>AT 06-10</t>
  </si>
  <si>
    <t>Kha Kha</t>
  </si>
  <si>
    <t>HD064323</t>
  </si>
  <si>
    <t>8a/6c2 thái văng lung phường bến nghé</t>
  </si>
  <si>
    <t>Chanboramey 015738168</t>
  </si>
  <si>
    <t>HD064538</t>
  </si>
  <si>
    <t>160/14 Đ, Cống Quỳnh, Bến Thành</t>
  </si>
  <si>
    <t>Võ thị như xuyến (Web)</t>
  </si>
  <si>
    <t>HD064506</t>
  </si>
  <si>
    <t>Gs25 20 Cộng hoà garden</t>
  </si>
  <si>
    <t>Linh P Pham (SALE WEB)</t>
  </si>
  <si>
    <t>HD064519</t>
  </si>
  <si>
    <t>Landmark 5, Vinhomes Central Park, Thạnh Mỹ Tây</t>
  </si>
  <si>
    <t>Thu Thủy</t>
  </si>
  <si>
    <t>HD064315</t>
  </si>
  <si>
    <t>Sunrie city tháp W2 tân hưng</t>
  </si>
  <si>
    <t>Kim Phương-không hộp</t>
  </si>
  <si>
    <t>HD063872</t>
  </si>
  <si>
    <t>88 cách mạng, phường phú thọ hòa</t>
  </si>
  <si>
    <t>Huyen Dinh Thu</t>
  </si>
  <si>
    <t>HD064272</t>
  </si>
  <si>
    <t>152/22 Thành Thái, Phường 12</t>
  </si>
  <si>
    <t>kh ck shop 885k</t>
  </si>
  <si>
    <t>Đặng Mỹ Phương</t>
  </si>
  <si>
    <t>HD064395</t>
  </si>
  <si>
    <t>18/24P Trần Quang Diệu. P14</t>
  </si>
  <si>
    <t>HD064533</t>
  </si>
  <si>
    <t>Khánh Nguyên ( ig dulcie_33 )</t>
  </si>
  <si>
    <t>HD064540</t>
  </si>
  <si>
    <t>21 Bành Văn Trân, P Tân Hòa</t>
  </si>
  <si>
    <t>Thu Ella</t>
  </si>
  <si>
    <t>HD064321</t>
  </si>
  <si>
    <t>toà w2, sunrise central,25 nguyễn hữu thọ</t>
  </si>
  <si>
    <t>Kiều Thii Duyên</t>
  </si>
  <si>
    <t>HD064528</t>
  </si>
  <si>
    <t>Cty Thế Long Express 27/5 Quách Văn Tuấn, P12</t>
  </si>
  <si>
    <t>Kim Kim</t>
  </si>
  <si>
    <t>HD064307</t>
  </si>
  <si>
    <t>206 Tây Thạnh, P Tây Thạnh</t>
  </si>
  <si>
    <t>Laurent</t>
  </si>
  <si>
    <t>HD064510</t>
  </si>
  <si>
    <t>54 Đường Bạch Vân Phường An Đông hoặc Phường 5</t>
  </si>
  <si>
    <t>Huyền Trâm</t>
  </si>
  <si>
    <t>HD064299</t>
  </si>
  <si>
    <t>237/33/32N phạm văn chiêu f14</t>
  </si>
  <si>
    <t>Diệu Quyên</t>
  </si>
  <si>
    <t>HD064339</t>
  </si>
  <si>
    <t>242/20 phạm văn bạch p15</t>
  </si>
  <si>
    <t>Ruby Nguyen</t>
  </si>
  <si>
    <t>HD064515</t>
  </si>
  <si>
    <t>56 dạ nam f2</t>
  </si>
  <si>
    <t>Minơ - Angela Ngọc Nữ</t>
  </si>
  <si>
    <t>HD064397</t>
  </si>
  <si>
    <t>chung cư Sài Gòn Mia - lock A ) 200 đường số 9A- xã bình hưng</t>
  </si>
  <si>
    <t>Lê Nguyễn Thái Hà</t>
  </si>
  <si>
    <t>HD064366</t>
  </si>
  <si>
    <t>Empire city Linden ressidence Mai Chí Thọ Thủ Thiêm</t>
  </si>
  <si>
    <t>Nancy</t>
  </si>
  <si>
    <t>HD064311</t>
  </si>
  <si>
    <t>Tòa OS5 (16.05) Opus One, Vinhomes Grand Park, phường Long Bình</t>
  </si>
  <si>
    <t>Thúy Nguyên</t>
  </si>
  <si>
    <t>HD064386</t>
  </si>
  <si>
    <t>36/11 chử đồng tử p7</t>
  </si>
  <si>
    <t>HD064523</t>
  </si>
  <si>
    <t>Trần Quốc Thịnh ( đồ của Nhàn )</t>
  </si>
  <si>
    <t>HD064293</t>
  </si>
  <si>
    <t>41B1 Đặng Thuỳ Trâm, Phường Bình Lợi Trung</t>
  </si>
  <si>
    <t>Hoai Khanh Vu</t>
  </si>
  <si>
    <t>HD064169</t>
  </si>
  <si>
    <t>2805/20/40 pham the hien p7</t>
  </si>
  <si>
    <t>Chloe Vo</t>
  </si>
  <si>
    <t>HD064588</t>
  </si>
  <si>
    <t>677/20 Kinh Dương Vương, p. An Lạc</t>
  </si>
  <si>
    <t>Kim Thư</t>
  </si>
  <si>
    <t>HD064577</t>
  </si>
  <si>
    <t>297/30/1 phan huy ích, phường an hội tây</t>
  </si>
  <si>
    <t>huy phạm fb Lena Nguyen</t>
  </si>
  <si>
    <t>HD064509</t>
  </si>
  <si>
    <t>3 đỗ thừa luông, phường phú thọ hòa</t>
  </si>
  <si>
    <t>người nhận Tâm mini</t>
  </si>
  <si>
    <t>HD064244</t>
  </si>
  <si>
    <t>202B, HOÀNG VĂN THỤ PHƯỜNG 9</t>
  </si>
  <si>
    <t>Hằng Lê</t>
  </si>
  <si>
    <t>HD064260</t>
  </si>
  <si>
    <t>số 9 Nguyễn Chí Thanh P9</t>
  </si>
  <si>
    <t>Nguyễn Bảo Trang</t>
  </si>
  <si>
    <t>HD064329</t>
  </si>
  <si>
    <t>778/32/29q1 Thống Nhất p15</t>
  </si>
  <si>
    <t>HD064508</t>
  </si>
  <si>
    <t>Valencia</t>
  </si>
  <si>
    <t>HD064490</t>
  </si>
  <si>
    <t>Nicecy Ben Thanh Hotel 261 - 265 Le Thanh Ton Street, Ben Thanh Ward</t>
  </si>
  <si>
    <t>Nguyễn Thuý Vy</t>
  </si>
  <si>
    <t>HD064543</t>
  </si>
  <si>
    <t>63/44 đường số 8 khu phố 1 phường linh xuân</t>
  </si>
  <si>
    <t>thương 1994</t>
  </si>
  <si>
    <t>Tòa Bs10,vinhome grand park</t>
  </si>
  <si>
    <t>Hoà Lê</t>
  </si>
  <si>
    <t>số 42/43 - 45 Nguyễn Minh Hoàng, phường 12</t>
  </si>
  <si>
    <t>kha</t>
  </si>
  <si>
    <t>22 tân thới nhất 1b tân thới nhất</t>
  </si>
  <si>
    <t>at 06-10</t>
  </si>
  <si>
    <t>THU 3</t>
  </si>
  <si>
    <t>NGAY 6-10</t>
  </si>
  <si>
    <t>thu thêm cod 980k</t>
  </si>
  <si>
    <t>137/2 bình long, bình trị đông, bình tân</t>
  </si>
  <si>
    <t>grab 40k</t>
  </si>
  <si>
    <t>grab</t>
  </si>
  <si>
    <t>Tu Tu</t>
  </si>
  <si>
    <t>HD064689</t>
  </si>
  <si>
    <t>466/39 le van sy f 14</t>
  </si>
  <si>
    <t>07-10-2026</t>
  </si>
  <si>
    <t>Nguyễn Thị Thuỳ Trang</t>
  </si>
  <si>
    <t>HD064608</t>
  </si>
  <si>
    <t>41A Huỳnh Tịnh của p19</t>
  </si>
  <si>
    <t>Ngọc Ánh</t>
  </si>
  <si>
    <t>HD064642</t>
  </si>
  <si>
    <t>2/21 phan thúc duyện</t>
  </si>
  <si>
    <t>BN6352</t>
  </si>
  <si>
    <t>HD064708</t>
  </si>
  <si>
    <t>Tú Oanh - fb Không Nói Xâm</t>
  </si>
  <si>
    <t>HD064593</t>
  </si>
  <si>
    <t>69 Dương Đình Nghệ P8</t>
  </si>
  <si>
    <t>AT 07-10</t>
  </si>
  <si>
    <t>Đinh Thị Thu Hà</t>
  </si>
  <si>
    <t>HD064612</t>
  </si>
  <si>
    <t>176/1 Nguyễn Văn Thương, P. Thạnh Mỹ Tây</t>
  </si>
  <si>
    <t>HD064640</t>
  </si>
  <si>
    <t>mỹ huyền</t>
  </si>
  <si>
    <t>HD064774</t>
  </si>
  <si>
    <t>hẻm 2581/27 ấp4 đường huỳnh tấn phát, xã phú xuân</t>
  </si>
  <si>
    <t>Sang - fb Ivy Thụy Pham sale</t>
  </si>
  <si>
    <t>HD064668</t>
  </si>
  <si>
    <t>349/175 Lê Đại Hành Phường Phú Thọ</t>
  </si>
  <si>
    <t>Doan Ngoc Anh Thu</t>
  </si>
  <si>
    <t>HD064813</t>
  </si>
  <si>
    <t>Chung cư homyland2, 307 Nguyễn duy trinh, bình trưng</t>
  </si>
  <si>
    <t>Sea</t>
  </si>
  <si>
    <t>HD064748</t>
  </si>
  <si>
    <t>32/16a đường số 6, P. BHHA</t>
  </si>
  <si>
    <t>Thu Ba DS</t>
  </si>
  <si>
    <t>HD064675</t>
  </si>
  <si>
    <t>395 Bùi Đình Tuý, p14</t>
  </si>
  <si>
    <t>Nhi Nguyễn</t>
  </si>
  <si>
    <t>HD064789</t>
  </si>
  <si>
    <t>128 Hồng Hà, Phường 9</t>
  </si>
  <si>
    <t>chị Thu Dương</t>
  </si>
  <si>
    <t>HD064786</t>
  </si>
  <si>
    <t>158 đào duy anh, P. đức nhuận</t>
  </si>
  <si>
    <t>Linh Dịu Dàng</t>
  </si>
  <si>
    <t>HD064810</t>
  </si>
  <si>
    <t>362/22 lê đức thọ an nhơn</t>
  </si>
  <si>
    <t>Kelly Phan</t>
  </si>
  <si>
    <t>HD064673</t>
  </si>
  <si>
    <t>240/6A lê thánh tôn bến thành</t>
  </si>
  <si>
    <t>Huỳnh Anh</t>
  </si>
  <si>
    <t>HD064778</t>
  </si>
  <si>
    <t>Angelica Lumiere, Vinhome Grand Park, Phường long bình</t>
  </si>
  <si>
    <t>Chip Chip</t>
  </si>
  <si>
    <t>HD064771</t>
  </si>
  <si>
    <t>71/16 thới an 16</t>
  </si>
  <si>
    <t>Trần Thu Hường</t>
  </si>
  <si>
    <t>HD064655</t>
  </si>
  <si>
    <t>124/28 nguyễn văn cừ, p.cầu ông lãnh</t>
  </si>
  <si>
    <t>Vũ Hồng Ly</t>
  </si>
  <si>
    <t>HD064734</t>
  </si>
  <si>
    <t>240/29, Hiệp Thành 13, P Tân Thới Hiệp</t>
  </si>
  <si>
    <t>Cin Vo</t>
  </si>
  <si>
    <t>HD064606</t>
  </si>
  <si>
    <t>268 bà hom p14</t>
  </si>
  <si>
    <t>Bông Bông</t>
  </si>
  <si>
    <t>HD064666</t>
  </si>
  <si>
    <t>Saicon riverside complex (block C1) Số 4 đào trí phú thuận</t>
  </si>
  <si>
    <t>Thu Pham</t>
  </si>
  <si>
    <t>HD064657</t>
  </si>
  <si>
    <t>chung cư Terra Royal 280 nam kỳ khởi nghĩa, phường võ thị sáu</t>
  </si>
  <si>
    <t>HD064688</t>
  </si>
  <si>
    <t>sldraalvinaa_</t>
  </si>
  <si>
    <t>HD064502</t>
  </si>
  <si>
    <t>1 Đường Số 15 Villa 01 David, An Khánh</t>
  </si>
  <si>
    <t>My My</t>
  </si>
  <si>
    <t>HD064651</t>
  </si>
  <si>
    <t>CC TOPAZ ELITE PHOENIX 1A</t>
  </si>
  <si>
    <t>Trang Nguyen</t>
  </si>
  <si>
    <t>HD064597</t>
  </si>
  <si>
    <t>Bệnh viện 1A - lý thường kiệt</t>
  </si>
  <si>
    <t>Ngọc Ngân</t>
  </si>
  <si>
    <t>HD064793</t>
  </si>
  <si>
    <t>87 duong so 79, tan quy</t>
  </si>
  <si>
    <t>Kim Chúc</t>
  </si>
  <si>
    <t>HD064725</t>
  </si>
  <si>
    <t>Hẻm 18B/73 Nguyễn thị minh khai đakao</t>
  </si>
  <si>
    <t>Chi Linh</t>
  </si>
  <si>
    <t>HD064709</t>
  </si>
  <si>
    <t>813 Trần Xuân Soạn</t>
  </si>
  <si>
    <t>Nghi</t>
  </si>
  <si>
    <t>HD064749</t>
  </si>
  <si>
    <t>62 Nguyễn Văn Yến, p Tân Thới Hoà</t>
  </si>
  <si>
    <t>Tranie Phan</t>
  </si>
  <si>
    <t>HD064600</t>
  </si>
  <si>
    <t>1041/19/7 Trần Xuân Soạn</t>
  </si>
  <si>
    <t>Lê Thị Minh Phượng</t>
  </si>
  <si>
    <t>HD064664</t>
  </si>
  <si>
    <t>101/20 đường số 9 phường bình hưng hòa</t>
  </si>
  <si>
    <t>Chau Nguyen</t>
  </si>
  <si>
    <t>HD064811</t>
  </si>
  <si>
    <t>2555 QL1A Phường Tân Hưng Thuận</t>
  </si>
  <si>
    <t>MINZZY</t>
  </si>
  <si>
    <t>XE TOÀN THẮNG VỀ CÀ PHÊ PHONG LONG THÀNH ĐỒNG NAI</t>
  </si>
  <si>
    <t>HOANG ANH</t>
  </si>
  <si>
    <t>385/4 quang trung p go vap</t>
  </si>
  <si>
    <t>vi hồ</t>
  </si>
  <si>
    <t>Nhà xe Minh Quốc</t>
  </si>
  <si>
    <t>at 07-10</t>
  </si>
  <si>
    <t>THU 4</t>
  </si>
  <si>
    <t>NGAY 7-10</t>
  </si>
  <si>
    <t>kh ck shop 825k</t>
  </si>
  <si>
    <t>kh ck shop 730k</t>
  </si>
  <si>
    <t>kh ck shop 1340k</t>
  </si>
  <si>
    <t>Lữ Hạnh Hoàng Châu</t>
  </si>
  <si>
    <t>HD064950</t>
  </si>
  <si>
    <t>17 mai chí thọ phường an khánh New city - toa hawai 1</t>
  </si>
  <si>
    <t>08-10-2026</t>
  </si>
  <si>
    <t>HD065026</t>
  </si>
  <si>
    <t>208 nguyễn hữu cảnh phường 22 chung cư vinhome tòa lanmark 5</t>
  </si>
  <si>
    <t>Bonnie Ya</t>
  </si>
  <si>
    <t>HD065049</t>
  </si>
  <si>
    <t>932A1 Trường Sa, P. Nhiêu Lộc (ngay tiệm cafe giặt sấy Mộc - lên lầu 1 là tới studio)</t>
  </si>
  <si>
    <t>Lin (Zalo)</t>
  </si>
  <si>
    <t>HD064959</t>
  </si>
  <si>
    <t>9 Đ. Nguyễn Trường Tộ, Xóm Chiếu</t>
  </si>
  <si>
    <t>mimi (giao cho lễ tân báo hàng của Mimi)</t>
  </si>
  <si>
    <t>HD065007</t>
  </si>
  <si>
    <t>339/24B Đ. Lê Văn Sỹ, Phường 13</t>
  </si>
  <si>
    <t>Phạm Huỳnh Duyên</t>
  </si>
  <si>
    <t>HD065071</t>
  </si>
  <si>
    <t>439/97/12 tân thới hiệp 21</t>
  </si>
  <si>
    <t>Như Ý Nguyễn</t>
  </si>
  <si>
    <t>4 Đào Trí, P. Phú Thuận</t>
  </si>
  <si>
    <t>Khánh Hòa</t>
  </si>
  <si>
    <t>HD064924</t>
  </si>
  <si>
    <t>Ship đến saigon royal 9 Đ. Nguyễn Trường Tộ, Xóm Chiếu</t>
  </si>
  <si>
    <t>Bảy nhận dùm My Trà</t>
  </si>
  <si>
    <t>HD065006</t>
  </si>
  <si>
    <t>32 đường 85 tân hưng</t>
  </si>
  <si>
    <t>HD065035</t>
  </si>
  <si>
    <t>SS3164-Mr.skill) SS Cargo Shipping (cờn dư 715k)</t>
  </si>
  <si>
    <t>HD064963</t>
  </si>
  <si>
    <t>674 đường số 2, Phường 13</t>
  </si>
  <si>
    <t>AT 08-10</t>
  </si>
  <si>
    <t>Trang Nguyễn</t>
  </si>
  <si>
    <t>HD064863</t>
  </si>
  <si>
    <t>76 Cù Lao</t>
  </si>
  <si>
    <t>Linh Phùng</t>
  </si>
  <si>
    <t>HD065046</t>
  </si>
  <si>
    <t>491/24/22 nguyễn đình chiểu p2</t>
  </si>
  <si>
    <t>Ngô thị Thu Thủy - fb Minh Minh Ng</t>
  </si>
  <si>
    <t>HD064954</t>
  </si>
  <si>
    <t>174/50 Lý chính Thắng.Phường Xuân Hòa</t>
  </si>
  <si>
    <t>Trang Hồ Vĩnh Như</t>
  </si>
  <si>
    <t>HD064899</t>
  </si>
  <si>
    <t>35 đặng đức thuật, chung cư RIVERPARK PREMIER Block A, P. Tân Hưng</t>
  </si>
  <si>
    <t>Khánh Vân</t>
  </si>
  <si>
    <t>HD064868</t>
  </si>
  <si>
    <t>77/39 Kinh Dương Vương F12</t>
  </si>
  <si>
    <t>Trang Angels</t>
  </si>
  <si>
    <t>HD064874</t>
  </si>
  <si>
    <t>nhà 20 đường 2B phường Tân mỹ</t>
  </si>
  <si>
    <t>Hanna Bui</t>
  </si>
  <si>
    <t>HD064941</t>
  </si>
  <si>
    <t>9B duong 16A Pbinh Hưng hòa A</t>
  </si>
  <si>
    <t>số 42/43-45 Nguyễn Minh Hoàng, phường 12</t>
  </si>
  <si>
    <t>TUYẾT NHI ZL2</t>
  </si>
  <si>
    <t>170F Tân Hoà Đông f14</t>
  </si>
  <si>
    <t>Em Na</t>
  </si>
  <si>
    <t>16/2 THÁI THỊ NHẠN P10</t>
  </si>
  <si>
    <t>at 08-10</t>
  </si>
  <si>
    <t>NGAY 8-10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</si>
</sst>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 applyBorder="0"/>
    <xf numFmtId="0" fontId="3" fillId="0" borderId="0"/>
    <xf numFmtId="0" fontId="2" fillId="0" borderId="0"/>
    <xf numFmtId="0" fontId="8" fillId="0" borderId="0" applyBorder="0"/>
  </cellStyleXfs>
  <cellXfs count="49">
    <xf numFmtId="0" fontId="0" fillId="0" borderId="0" xfId="0"/>
    <xf numFmtId="0" fontId="2" fillId="0" borderId="0" xfId="2"/>
    <xf numFmtId="0" fontId="2" fillId="2" borderId="1" xfId="0" applyFont="1" applyFill="1" applyBorder="1"/>
    <xf numFmtId="49" fontId="2" fillId="0" borderId="1" xfId="0" applyNumberFormat="1" applyFont="1" applyBorder="1"/>
    <xf numFmtId="0" fontId="2" fillId="0" borderId="1" xfId="0" applyFont="1" applyBorder="1"/>
    <xf numFmtId="0" fontId="2" fillId="3" borderId="0" xfId="0" applyFont="1" applyFill="1"/>
    <xf numFmtId="0" fontId="2" fillId="0" borderId="1" xfId="0" applyFont="1" applyBorder="1" applyAlignment="1">
      <alignment wrapText="1"/>
    </xf>
    <xf numFmtId="0" fontId="1" fillId="0" borderId="0" xfId="2" applyFont="1"/>
    <xf numFmtId="3" fontId="0" fillId="0" borderId="0" xfId="0" applyNumberFormat="1"/>
    <xf numFmtId="0" fontId="4" fillId="5" borderId="0" xfId="0" applyFont="1" applyFill="1"/>
    <xf numFmtId="0" fontId="4" fillId="0" borderId="0" xfId="0" applyFont="1"/>
    <xf numFmtId="0" fontId="4" fillId="6" borderId="0" xfId="0" applyFont="1" applyFill="1"/>
    <xf numFmtId="0" fontId="0" fillId="5" borderId="0" xfId="0" applyFill="1"/>
    <xf numFmtId="0" fontId="5" fillId="0" borderId="0" xfId="0" applyFont="1"/>
    <xf numFmtId="0" fontId="5" fillId="0" borderId="0" xfId="0" applyFont="1" applyAlignment="1">
      <alignment horizontal="left"/>
    </xf>
    <xf numFmtId="0" fontId="0" fillId="7" borderId="0" xfId="0" applyFill="1"/>
    <xf numFmtId="0" fontId="4" fillId="8" borderId="0" xfId="0" applyFont="1" applyFill="1"/>
    <xf numFmtId="0" fontId="6" fillId="0" borderId="0" xfId="0" applyFont="1"/>
    <xf numFmtId="49" fontId="0" fillId="0" borderId="0" xfId="0" applyNumberFormat="1"/>
    <xf numFmtId="0" fontId="4" fillId="4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5" fillId="0" borderId="1" xfId="0" applyFont="1" applyBorder="1"/>
    <xf numFmtId="0" fontId="5" fillId="2" borderId="1" xfId="0" applyFont="1" applyFill="1" applyBorder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3" fontId="5" fillId="0" borderId="1" xfId="0" applyNumberFormat="1" applyFont="1" applyBorder="1"/>
    <xf numFmtId="0" fontId="5" fillId="0" borderId="0" xfId="0" applyFont="1" applyAlignment="1">
      <alignment horizontal="right"/>
    </xf>
    <xf numFmtId="0" fontId="7" fillId="10" borderId="0" xfId="0" applyFont="1" applyFill="1"/>
    <xf numFmtId="0" fontId="7" fillId="10" borderId="1" xfId="0" applyFont="1" applyFill="1" applyBorder="1"/>
    <xf numFmtId="49" fontId="7" fillId="10" borderId="1" xfId="0" applyNumberFormat="1" applyFont="1" applyFill="1" applyBorder="1"/>
    <xf numFmtId="0" fontId="5" fillId="0" borderId="0" xfId="3" applyFont="1"/>
    <xf numFmtId="0" fontId="5" fillId="0" borderId="0" xfId="3" applyFont="1" applyAlignment="1">
      <alignment horizontal="right"/>
    </xf>
    <xf numFmtId="3" fontId="0" fillId="9" borderId="0" xfId="0" applyNumberFormat="1" applyFill="1"/>
    <xf numFmtId="0" fontId="9" fillId="10" borderId="1" xfId="0" applyFont="1" applyFill="1" applyBorder="1"/>
    <xf numFmtId="49" fontId="9" fillId="10" borderId="1" xfId="0" applyNumberFormat="1" applyFont="1" applyFill="1" applyBorder="1"/>
    <xf numFmtId="0" fontId="10" fillId="10" borderId="1" xfId="0" applyFont="1" applyFill="1" applyBorder="1"/>
    <xf numFmtId="0" fontId="10" fillId="10" borderId="0" xfId="0" applyFont="1" applyFill="1"/>
    <xf numFmtId="0" fontId="11" fillId="10" borderId="1" xfId="0" applyFont="1" applyFill="1" applyBorder="1"/>
    <xf numFmtId="3" fontId="11" fillId="10" borderId="1" xfId="0" applyNumberFormat="1" applyFont="1" applyFill="1" applyBorder="1"/>
    <xf numFmtId="0" fontId="7" fillId="2" borderId="0" xfId="0" applyFont="1" applyFill="1"/>
    <xf numFmtId="3" fontId="10" fillId="10" borderId="0" xfId="0" applyNumberFormat="1" applyFont="1" applyFill="1"/>
    <xf numFmtId="0" fontId="5" fillId="11" borderId="1" xfId="0" applyFont="1" applyFill="1" applyBorder="1"/>
    <xf numFmtId="0" fontId="0" fillId="0" borderId="0" xfId="0"/>
    <xf numFmtId="0" fontId="4" fillId="5" borderId="0" xfId="0" applyFont="1" applyFill="1"/>
    <xf numFmtId="0" fontId="4" fillId="0" borderId="0" xfId="0" applyFont="1"/>
    <xf numFmtId="0" fontId="0" fillId="5" borderId="0" xfId="0" applyFill="1"/>
    <xf numFmtId="0" fontId="5" fillId="0" borderId="0" xfId="0" applyFont="1"/>
  </cellXfs>
  <cellStyles count="4">
    <cellStyle name="Normal" xfId="0" builtinId="0"/>
    <cellStyle name="Normal 2" xfId="1" xr:uid="{DB72F213-3AF7-4618-B5B3-4068D3F972D7}"/>
    <cellStyle name="Normal 2 2" xfId="2" xr:uid="{8826C004-3536-47DC-882F-67739F870812}"/>
    <cellStyle name="Normal 3" xfId="3" xr:uid="{6B69A4DB-51B0-4F28-A3AB-910990F70865}"/>
  </cellStyles>
  <dxfs count="1"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ECF96-0A18-485A-9A4F-1733820EBBD9}">
  <sheetPr>
    <tabColor rgb="FF00B050"/>
  </sheetPr>
  <dimension ref="A1:E32"/>
  <sheetViews>
    <sheetView workbookViewId="0"/>
  </sheetViews>
  <sheetFormatPr defaultColWidth="9.140625" defaultRowHeight="15" x14ac:dyDescent="0.25"/>
  <cols>
    <col min="1" max="1" width="14.28515625" style="1" bestFit="1" customWidth="1"/>
    <col min="2" max="2" width="13.28515625" style="1" bestFit="1" customWidth="1"/>
    <col min="3" max="3" width="11.7109375" style="1" bestFit="1" customWidth="1"/>
    <col min="4" max="4" width="17.5703125" style="1" bestFit="1" customWidth="1"/>
    <col min="5" max="5" width="15.85546875" style="1" bestFit="1" customWidth="1"/>
    <col min="6" max="6" width="9.140625" style="1" customWidth="1"/>
    <col min="7" max="16384" width="9.140625" style="1"/>
  </cols>
  <sheetData>
    <row r="1" spans="1:5" x14ac:dyDescent="0.25">
      <c r="A1" s="7" t="s">
        <v>9</v>
      </c>
      <c r="B1" s="1">
        <v>2026</v>
      </c>
    </row>
    <row r="2" spans="1:5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</row>
    <row r="3" spans="1:5" x14ac:dyDescent="0.25">
      <c r="A3" s="6" t="str" cm="1">
        <f t="array" aca="1" ref="A3:A9" ca="1">_xlfn.LET(
    _xlpm.start,DATE(B1,--_xlfn.TEXTAFTER(A1," "),1),
    _xlpm.d,_xlfn._xlws.FILTER(
        _xlfn.SEQUENCE(DAY(EOMONTH(_xlpm.start,0)),,_xlpm.start),
        WEEKDAY(_xlfn.SEQUENCE(DAY(EOMONTH(_xlpm.start,0)),,_xlpm.start),2)&lt;&gt;7
    ),
    _xlpm.x,TEXT(_xlpm.d,"dd-mm"),
    _xlpm.result,_xlfn.DROP(
        _xlfn.REDUCE("",_xlpm.x,_xlfn.LAMBDA(_xlpm.a,_xlpm.s,
            _xlfn.VSTACK(
                _xlpm.a,
                IF(ISREF(INDIRECT("'"&amp;_xlpm.s&amp;"'!A1")),_xlpm.s,""),
                IF(ISREF(INDIRECT("'"&amp;_xlpm.s&amp;"_Morning'!A1")),_xlpm.s&amp;"_Morning",""),
                IF(ISREF(INDIRECT("'"&amp;_xlpm.s&amp;"_Night'!A1")),_xlpm.s&amp;"_Night","")
            )
        )),
        1
    ),
    _xlfn._xlws.FILTER(_xlpm.result,_xlpm.result&lt;&gt;"")
)</f>
        <v>01-10</v>
      </c>
      <c r="B3" s="4">
        <f ca="1">IFERROR(COUNTIF(INDIRECT("'"&amp;A3&amp;"'!L3:L200"),LEFT(A3,FIND("_",A3&amp;"_")-1)&amp;"-"&amp;B$1),0)</f>
        <v>49</v>
      </c>
      <c r="C3" s="4">
        <f ca="1">IFERROR(COUNTIF(INDIRECT("'"&amp;A3&amp;"'!M3:M200"),"*gộp*")/2,0)</f>
        <v>0</v>
      </c>
      <c r="D3" s="4" cm="1">
        <f t="array" aca="1" ref="D3" ca="1">IFERROR(SUM(COUNTIF(INDIRECT("'"&amp;A3&amp;"'!M3:M200"),{"*đơn trả*","*hàng tỉnh*"})),0)</f>
        <v>1</v>
      </c>
      <c r="E3" s="4">
        <f t="shared" ref="E3:E28" ca="1" si="0">B3-C3-D3</f>
        <v>48</v>
      </c>
    </row>
    <row r="4" spans="1:5" x14ac:dyDescent="0.25">
      <c r="A4" s="3" t="str">
        <f ca="1"/>
        <v>02-10</v>
      </c>
      <c r="B4" s="4">
        <f t="shared" ref="B4:B28" ca="1" si="1">IFERROR(COUNTIF(INDIRECT("'"&amp;A4&amp;"'!L3:L200"),LEFT(A4,FIND("_",A4&amp;"_")-1)&amp;"-"&amp;B$1),0)</f>
        <v>47</v>
      </c>
      <c r="C4" s="4">
        <f t="shared" ref="C4:C28" ca="1" si="2">IFERROR(COUNTIF(INDIRECT("'"&amp;A4&amp;"'!M3:M200"),"*gộp*")/2,0)</f>
        <v>0</v>
      </c>
      <c r="D4" s="4" cm="1">
        <f t="array" aca="1" ref="D4" ca="1">IFERROR(SUM(COUNTIF(INDIRECT("'"&amp;A4&amp;"'!M3:M200"),{"*đơn trả*","*hàng tỉnh*"})),0)</f>
        <v>0</v>
      </c>
      <c r="E4" s="4">
        <f t="shared" ca="1" si="0"/>
        <v>47</v>
      </c>
    </row>
    <row r="5" spans="1:5" x14ac:dyDescent="0.25">
      <c r="A5" s="3" t="str">
        <f ca="1"/>
        <v>03-10</v>
      </c>
      <c r="B5" s="4">
        <f t="shared" ca="1" si="1"/>
        <v>31</v>
      </c>
      <c r="C5" s="4">
        <f t="shared" ca="1" si="2"/>
        <v>1</v>
      </c>
      <c r="D5" s="4" cm="1">
        <f t="array" aca="1" ref="D5" ca="1">IFERROR(SUM(COUNTIF(INDIRECT("'"&amp;A5&amp;"'!M3:M200"),{"*đơn trả*","*hàng tỉnh*"})),0)</f>
        <v>1</v>
      </c>
      <c r="E5" s="4">
        <f t="shared" ca="1" si="0"/>
        <v>29</v>
      </c>
    </row>
    <row r="6" spans="1:5" x14ac:dyDescent="0.25">
      <c r="A6" s="3" t="str">
        <f ca="1"/>
        <v>05-10</v>
      </c>
      <c r="B6" s="4">
        <f t="shared" ca="1" si="1"/>
        <v>82</v>
      </c>
      <c r="C6" s="4">
        <f t="shared" ca="1" si="2"/>
        <v>1</v>
      </c>
      <c r="D6" s="4" cm="1">
        <f t="array" aca="1" ref="D6" ca="1">IFERROR(SUM(COUNTIF(INDIRECT("'"&amp;A6&amp;"'!M3:M200"),{"*đơn trả*","*hàng tỉnh*"})),0)</f>
        <v>2</v>
      </c>
      <c r="E6" s="4">
        <f t="shared" ca="1" si="0"/>
        <v>79</v>
      </c>
    </row>
    <row r="7" spans="1:5" x14ac:dyDescent="0.25">
      <c r="A7" s="3" t="str">
        <f ca="1"/>
        <v>06-10</v>
      </c>
      <c r="B7" s="4">
        <f t="shared" ca="1" si="1"/>
        <v>43</v>
      </c>
      <c r="C7" s="4">
        <f t="shared" ca="1" si="2"/>
        <v>1</v>
      </c>
      <c r="D7" s="4" cm="1">
        <f t="array" aca="1" ref="D7" ca="1">IFERROR(SUM(COUNTIF(INDIRECT("'"&amp;A7&amp;"'!M3:M200"),{"*đơn trả*","*hàng tỉnh*"})),0)</f>
        <v>1</v>
      </c>
      <c r="E7" s="4">
        <f t="shared" ca="1" si="0"/>
        <v>41</v>
      </c>
    </row>
    <row r="8" spans="1:5" x14ac:dyDescent="0.25">
      <c r="A8" s="3" t="str">
        <f ca="1"/>
        <v>07-10</v>
      </c>
      <c r="B8" s="4">
        <f t="shared" ca="1" si="1"/>
        <v>37</v>
      </c>
      <c r="C8" s="4">
        <f t="shared" ca="1" si="2"/>
        <v>1</v>
      </c>
      <c r="D8" s="4" cm="1">
        <f t="array" aca="1" ref="D8" ca="1">IFERROR(SUM(COUNTIF(INDIRECT("'"&amp;A8&amp;"'!M3:M200"),{"*đơn trả*","*hàng tỉnh*"})),0)</f>
        <v>0</v>
      </c>
      <c r="E8" s="4">
        <f t="shared" ca="1" si="0"/>
        <v>36</v>
      </c>
    </row>
    <row r="9" spans="1:5" x14ac:dyDescent="0.25">
      <c r="A9" s="3" t="str">
        <f ca="1"/>
        <v>08-10</v>
      </c>
      <c r="B9" s="4">
        <f t="shared" ca="1" si="1"/>
        <v>24</v>
      </c>
      <c r="C9" s="4">
        <f t="shared" ca="1" si="2"/>
        <v>0</v>
      </c>
      <c r="D9" s="4" cm="1">
        <f t="array" aca="1" ref="D9" ca="1">IFERROR(SUM(COUNTIF(INDIRECT("'"&amp;A9&amp;"'!M3:M200"),{"*đơn trả*","*hàng tỉnh*"})),0)</f>
        <v>0</v>
      </c>
      <c r="E9" s="4">
        <f t="shared" ca="1" si="0"/>
        <v>24</v>
      </c>
    </row>
    <row r="10" spans="1:5" x14ac:dyDescent="0.25">
      <c r="A10" s="3"/>
      <c r="B10" s="4">
        <f t="shared" ca="1" si="1"/>
        <v>0</v>
      </c>
      <c r="C10" s="4">
        <f t="shared" ca="1" si="2"/>
        <v>0</v>
      </c>
      <c r="D10" s="4" cm="1">
        <f t="array" aca="1" ref="D10" ca="1">IFERROR(SUM(COUNTIF(INDIRECT("'"&amp;A10&amp;"'!M3:M200"),{"*đơn trả*","*hàng tỉnh*"})),0)</f>
        <v>0</v>
      </c>
      <c r="E10" s="4">
        <f t="shared" ca="1" si="0"/>
        <v>0</v>
      </c>
    </row>
    <row r="11" spans="1:5" x14ac:dyDescent="0.25">
      <c r="A11" s="3"/>
      <c r="B11" s="4">
        <f t="shared" ca="1" si="1"/>
        <v>0</v>
      </c>
      <c r="C11" s="4">
        <f t="shared" ca="1" si="2"/>
        <v>0</v>
      </c>
      <c r="D11" s="4" cm="1">
        <f t="array" aca="1" ref="D11" ca="1">IFERROR(SUM(COUNTIF(INDIRECT("'"&amp;A11&amp;"'!M3:M200"),{"*đơn trả*","*hàng tỉnh*"})),0)</f>
        <v>0</v>
      </c>
      <c r="E11" s="4">
        <f t="shared" ca="1" si="0"/>
        <v>0</v>
      </c>
    </row>
    <row r="12" spans="1:5" x14ac:dyDescent="0.25">
      <c r="A12" s="3"/>
      <c r="B12" s="4">
        <f t="shared" ca="1" si="1"/>
        <v>0</v>
      </c>
      <c r="C12" s="4">
        <f t="shared" ca="1" si="2"/>
        <v>0</v>
      </c>
      <c r="D12" s="4" cm="1">
        <f t="array" aca="1" ref="D12" ca="1">IFERROR(SUM(COUNTIF(INDIRECT("'"&amp;A12&amp;"'!M3:M200"),{"*đơn trả*","*hàng tỉnh*"})),0)</f>
        <v>0</v>
      </c>
      <c r="E12" s="4">
        <f t="shared" ca="1" si="0"/>
        <v>0</v>
      </c>
    </row>
    <row r="13" spans="1:5" x14ac:dyDescent="0.25">
      <c r="A13" s="3"/>
      <c r="B13" s="4">
        <f t="shared" ca="1" si="1"/>
        <v>0</v>
      </c>
      <c r="C13" s="4">
        <f t="shared" ca="1" si="2"/>
        <v>0</v>
      </c>
      <c r="D13" s="4" cm="1">
        <f t="array" aca="1" ref="D13" ca="1">IFERROR(SUM(COUNTIF(INDIRECT("'"&amp;A13&amp;"'!M3:M200"),{"*đơn trả*","*hàng tỉnh*"})),0)</f>
        <v>0</v>
      </c>
      <c r="E13" s="4">
        <f t="shared" ca="1" si="0"/>
        <v>0</v>
      </c>
    </row>
    <row r="14" spans="1:5" x14ac:dyDescent="0.25">
      <c r="A14" s="3"/>
      <c r="B14" s="4">
        <f t="shared" ca="1" si="1"/>
        <v>0</v>
      </c>
      <c r="C14" s="4">
        <f t="shared" ca="1" si="2"/>
        <v>0</v>
      </c>
      <c r="D14" s="4" cm="1">
        <f t="array" aca="1" ref="D14" ca="1">IFERROR(SUM(COUNTIF(INDIRECT("'"&amp;A14&amp;"'!M3:M200"),{"*đơn trả*","*hàng tỉnh*"})),0)</f>
        <v>0</v>
      </c>
      <c r="E14" s="4">
        <f t="shared" ca="1" si="0"/>
        <v>0</v>
      </c>
    </row>
    <row r="15" spans="1:5" x14ac:dyDescent="0.25">
      <c r="A15" s="3"/>
      <c r="B15" s="4">
        <f t="shared" ca="1" si="1"/>
        <v>0</v>
      </c>
      <c r="C15" s="4">
        <f t="shared" ca="1" si="2"/>
        <v>0</v>
      </c>
      <c r="D15" s="4" cm="1">
        <f t="array" aca="1" ref="D15" ca="1">IFERROR(SUM(COUNTIF(INDIRECT("'"&amp;A15&amp;"'!M3:M200"),{"*đơn trả*","*hàng tỉnh*"})),0)</f>
        <v>0</v>
      </c>
      <c r="E15" s="4">
        <f t="shared" ca="1" si="0"/>
        <v>0</v>
      </c>
    </row>
    <row r="16" spans="1:5" x14ac:dyDescent="0.25">
      <c r="A16" s="3"/>
      <c r="B16" s="4">
        <f t="shared" ca="1" si="1"/>
        <v>0</v>
      </c>
      <c r="C16" s="4">
        <f t="shared" ca="1" si="2"/>
        <v>0</v>
      </c>
      <c r="D16" s="4" cm="1">
        <f t="array" aca="1" ref="D16" ca="1">IFERROR(SUM(COUNTIF(INDIRECT("'"&amp;A16&amp;"'!M3:M200"),{"*đơn trả*","*hàng tỉnh*"})),0)</f>
        <v>0</v>
      </c>
      <c r="E16" s="4">
        <f t="shared" ca="1" si="0"/>
        <v>0</v>
      </c>
    </row>
    <row r="17" spans="1:5" x14ac:dyDescent="0.25">
      <c r="A17" s="3"/>
      <c r="B17" s="4">
        <f t="shared" ca="1" si="1"/>
        <v>0</v>
      </c>
      <c r="C17" s="4">
        <f t="shared" ca="1" si="2"/>
        <v>0</v>
      </c>
      <c r="D17" s="4" cm="1">
        <f t="array" aca="1" ref="D17" ca="1">IFERROR(SUM(COUNTIF(INDIRECT("'"&amp;A17&amp;"'!M3:M200"),{"*đơn trả*","*hàng tỉnh*"})),0)</f>
        <v>0</v>
      </c>
      <c r="E17" s="4">
        <f t="shared" ca="1" si="0"/>
        <v>0</v>
      </c>
    </row>
    <row r="18" spans="1:5" x14ac:dyDescent="0.25">
      <c r="A18" s="3"/>
      <c r="B18" s="4">
        <f t="shared" ca="1" si="1"/>
        <v>0</v>
      </c>
      <c r="C18" s="4">
        <f t="shared" ca="1" si="2"/>
        <v>0</v>
      </c>
      <c r="D18" s="4" cm="1">
        <f t="array" aca="1" ref="D18" ca="1">IFERROR(SUM(COUNTIF(INDIRECT("'"&amp;A18&amp;"'!M3:M200"),{"*đơn trả*","*hàng tỉnh*"})),0)</f>
        <v>0</v>
      </c>
      <c r="E18" s="4">
        <f t="shared" ca="1" si="0"/>
        <v>0</v>
      </c>
    </row>
    <row r="19" spans="1:5" x14ac:dyDescent="0.25">
      <c r="A19" s="3"/>
      <c r="B19" s="4">
        <f t="shared" ca="1" si="1"/>
        <v>0</v>
      </c>
      <c r="C19" s="4">
        <f t="shared" ca="1" si="2"/>
        <v>0</v>
      </c>
      <c r="D19" s="4" cm="1">
        <f t="array" aca="1" ref="D19" ca="1">IFERROR(SUM(COUNTIF(INDIRECT("'"&amp;A19&amp;"'!M3:M200"),{"*đơn trả*","*hàng tỉnh*"})),0)</f>
        <v>0</v>
      </c>
      <c r="E19" s="4">
        <f t="shared" ca="1" si="0"/>
        <v>0</v>
      </c>
    </row>
    <row r="20" spans="1:5" x14ac:dyDescent="0.25">
      <c r="A20" s="3"/>
      <c r="B20" s="4">
        <f t="shared" ca="1" si="1"/>
        <v>0</v>
      </c>
      <c r="C20" s="4">
        <f t="shared" ca="1" si="2"/>
        <v>0</v>
      </c>
      <c r="D20" s="4" cm="1">
        <f t="array" aca="1" ref="D20" ca="1">IFERROR(SUM(COUNTIF(INDIRECT("'"&amp;A20&amp;"'!M3:M200"),{"*đơn trả*","*hàng tỉnh*"})),0)</f>
        <v>0</v>
      </c>
      <c r="E20" s="4">
        <f t="shared" ca="1" si="0"/>
        <v>0</v>
      </c>
    </row>
    <row r="21" spans="1:5" x14ac:dyDescent="0.25">
      <c r="A21" s="3"/>
      <c r="B21" s="4">
        <f t="shared" ca="1" si="1"/>
        <v>0</v>
      </c>
      <c r="C21" s="4">
        <f t="shared" ca="1" si="2"/>
        <v>0</v>
      </c>
      <c r="D21" s="4" cm="1">
        <f t="array" aca="1" ref="D21" ca="1">IFERROR(SUM(COUNTIF(INDIRECT("'"&amp;A21&amp;"'!M3:M200"),{"*đơn trả*","*hàng tỉnh*"})),0)</f>
        <v>0</v>
      </c>
      <c r="E21" s="4">
        <f t="shared" ca="1" si="0"/>
        <v>0</v>
      </c>
    </row>
    <row r="22" spans="1:5" x14ac:dyDescent="0.25">
      <c r="A22" s="3"/>
      <c r="B22" s="4">
        <f t="shared" ca="1" si="1"/>
        <v>0</v>
      </c>
      <c r="C22" s="4">
        <f t="shared" ca="1" si="2"/>
        <v>0</v>
      </c>
      <c r="D22" s="4" cm="1">
        <f t="array" aca="1" ref="D22" ca="1">IFERROR(SUM(COUNTIF(INDIRECT("'"&amp;A22&amp;"'!M3:M200"),{"*đơn trả*","*hàng tỉnh*"})),0)</f>
        <v>0</v>
      </c>
      <c r="E22" s="4">
        <f t="shared" ca="1" si="0"/>
        <v>0</v>
      </c>
    </row>
    <row r="23" spans="1:5" x14ac:dyDescent="0.25">
      <c r="A23" s="3"/>
      <c r="B23" s="4">
        <f t="shared" ca="1" si="1"/>
        <v>0</v>
      </c>
      <c r="C23" s="4">
        <f t="shared" ca="1" si="2"/>
        <v>0</v>
      </c>
      <c r="D23" s="4" cm="1">
        <f t="array" aca="1" ref="D23" ca="1">IFERROR(SUM(COUNTIF(INDIRECT("'"&amp;A23&amp;"'!M3:M200"),{"*đơn trả*","*hàng tỉnh*"})),0)</f>
        <v>0</v>
      </c>
      <c r="E23" s="4">
        <f t="shared" ca="1" si="0"/>
        <v>0</v>
      </c>
    </row>
    <row r="24" spans="1:5" x14ac:dyDescent="0.25">
      <c r="A24" s="3"/>
      <c r="B24" s="4">
        <f t="shared" ca="1" si="1"/>
        <v>0</v>
      </c>
      <c r="C24" s="4">
        <f t="shared" ca="1" si="2"/>
        <v>0</v>
      </c>
      <c r="D24" s="4" cm="1">
        <f t="array" aca="1" ref="D24" ca="1">IFERROR(SUM(COUNTIF(INDIRECT("'"&amp;A24&amp;"'!M3:M200"),{"*đơn trả*","*hàng tỉnh*"})),0)</f>
        <v>0</v>
      </c>
      <c r="E24" s="4">
        <f t="shared" ca="1" si="0"/>
        <v>0</v>
      </c>
    </row>
    <row r="25" spans="1:5" x14ac:dyDescent="0.25">
      <c r="A25" s="3"/>
      <c r="B25" s="4">
        <f t="shared" ca="1" si="1"/>
        <v>0</v>
      </c>
      <c r="C25" s="4">
        <f t="shared" ca="1" si="2"/>
        <v>0</v>
      </c>
      <c r="D25" s="4" cm="1">
        <f t="array" aca="1" ref="D25" ca="1">IFERROR(SUM(COUNTIF(INDIRECT("'"&amp;A25&amp;"'!M3:M200"),{"*đơn trả*","*hàng tỉnh*"})),0)</f>
        <v>0</v>
      </c>
      <c r="E25" s="4">
        <f t="shared" ca="1" si="0"/>
        <v>0</v>
      </c>
    </row>
    <row r="26" spans="1:5" x14ac:dyDescent="0.25">
      <c r="A26" s="3"/>
      <c r="B26" s="4">
        <f t="shared" ca="1" si="1"/>
        <v>0</v>
      </c>
      <c r="C26" s="4">
        <f t="shared" ca="1" si="2"/>
        <v>0</v>
      </c>
      <c r="D26" s="4" cm="1">
        <f t="array" aca="1" ref="D26" ca="1">IFERROR(SUM(COUNTIF(INDIRECT("'"&amp;A26&amp;"'!M3:M200"),{"*đơn trả*","*hàng tỉnh*"})),0)</f>
        <v>0</v>
      </c>
      <c r="E26" s="4">
        <f t="shared" ca="1" si="0"/>
        <v>0</v>
      </c>
    </row>
    <row r="27" spans="1:5" x14ac:dyDescent="0.25">
      <c r="A27" s="3"/>
      <c r="B27" s="4">
        <f t="shared" ca="1" si="1"/>
        <v>0</v>
      </c>
      <c r="C27" s="4">
        <f t="shared" ca="1" si="2"/>
        <v>0</v>
      </c>
      <c r="D27" s="4" cm="1">
        <f t="array" aca="1" ref="D27" ca="1">IFERROR(SUM(COUNTIF(INDIRECT("'"&amp;A27&amp;"'!M3:M200"),{"*đơn trả*","*hàng tỉnh*"})),0)</f>
        <v>0</v>
      </c>
      <c r="E27" s="4">
        <f t="shared" ca="1" si="0"/>
        <v>0</v>
      </c>
    </row>
    <row r="28" spans="1:5" x14ac:dyDescent="0.25">
      <c r="A28" s="3"/>
      <c r="B28" s="4">
        <f t="shared" ca="1" si="1"/>
        <v>0</v>
      </c>
      <c r="C28" s="4">
        <f t="shared" ca="1" si="2"/>
        <v>0</v>
      </c>
      <c r="D28" s="4" cm="1">
        <f t="array" aca="1" ref="D28" ca="1">IFERROR(SUM(COUNTIF(INDIRECT("'"&amp;A28&amp;"'!M3:M200"),{"*đơn trả*","*hàng tỉnh*"})),0)</f>
        <v>0</v>
      </c>
      <c r="E28" s="4">
        <f t="shared" ca="1" si="0"/>
        <v>0</v>
      </c>
    </row>
    <row r="29" spans="1:5" x14ac:dyDescent="0.25">
      <c r="D29" s="5" t="s">
        <v>5</v>
      </c>
      <c r="E29" s="5">
        <f ca="1">SUBTOTAL(9,E3:E28)</f>
        <v>304</v>
      </c>
    </row>
    <row r="30" spans="1:5" x14ac:dyDescent="0.25">
      <c r="D30" s="5" t="s">
        <v>6</v>
      </c>
      <c r="E30" s="5" cm="1">
        <f t="array" aca="1" ref="E30" ca="1">SUMPRODUCT(
    IFERROR(
        SUMIF(
            INDIRECT("'"&amp;A3:A28&amp;"'!O:O"),
            "tổng",
            INDIRECT("'"&amp;A3:A28&amp;"'!P:P")
        ),
    0)
)</f>
        <v>1348</v>
      </c>
    </row>
    <row r="31" spans="1:5" x14ac:dyDescent="0.25">
      <c r="D31" s="5" t="s">
        <v>7</v>
      </c>
      <c r="E31" s="5">
        <f ca="1">-E29*2</f>
        <v>-608</v>
      </c>
    </row>
    <row r="32" spans="1:5" x14ac:dyDescent="0.25">
      <c r="D32" s="5" t="s">
        <v>8</v>
      </c>
      <c r="E32" s="5">
        <f ca="1">SUBTOTAL(9,E30:E31)</f>
        <v>740</v>
      </c>
    </row>
  </sheetData>
  <autoFilter ref="A2:E28" xr:uid="{00000000-0009-0000-0000-000000000000}"/>
  <conditionalFormatting sqref="C3:D28">
    <cfRule type="expression" dxfId="0" priority="1">
      <formula>C3&lt;&gt;0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6CB45-EB05-466D-8279-D2B4A4A5C5B4}">
  <dimension ref="A1:R79"/>
  <sheetViews>
    <sheetView zoomScale="90" zoomScaleNormal="90" workbookViewId="0"/>
  </sheetViews>
  <sheetFormatPr defaultRowHeight="15" x14ac:dyDescent="0.25"/>
  <cols>
    <col min="1" max="1" width="12.7109375" customWidth="1"/>
    <col min="2" max="2" width="9" customWidth="1"/>
    <col min="3" max="3" width="33.7109375" customWidth="1"/>
    <col min="4" max="4" width="9.85546875" customWidth="1"/>
    <col min="5" max="5" width="104.140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6.28515625" bestFit="1" customWidth="1"/>
    <col min="14" max="14" width="9.7109375" customWidth="1"/>
    <col min="15" max="15" width="10.42578125" customWidth="1"/>
    <col min="16" max="16" width="7.28515625" bestFit="1" customWidth="1"/>
  </cols>
  <sheetData>
    <row r="1" spans="1:18" x14ac:dyDescent="0.25">
      <c r="B1" s="17" t="s">
        <v>210</v>
      </c>
      <c r="C1" s="17" t="s">
        <v>211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 t="s">
        <v>26</v>
      </c>
      <c r="B3" s="20" t="s">
        <v>27</v>
      </c>
      <c r="C3" s="20" t="s">
        <v>33</v>
      </c>
      <c r="D3" s="20"/>
      <c r="E3" s="20" t="s">
        <v>34</v>
      </c>
      <c r="F3" s="20" t="s">
        <v>35</v>
      </c>
      <c r="G3" s="21">
        <v>0</v>
      </c>
      <c r="H3" s="21">
        <v>35</v>
      </c>
      <c r="I3" s="21">
        <f t="shared" ref="I3:I34" si="0">G3-H3</f>
        <v>-35</v>
      </c>
      <c r="J3" s="20" t="s">
        <v>36</v>
      </c>
      <c r="K3" s="20" t="s">
        <v>31</v>
      </c>
      <c r="L3" s="20" t="s">
        <v>32</v>
      </c>
      <c r="M3" s="20"/>
      <c r="N3" s="20"/>
      <c r="O3" s="20"/>
      <c r="P3" s="20"/>
      <c r="Q3" s="20">
        <v>1</v>
      </c>
      <c r="R3" s="8">
        <f t="shared" ref="R3:R4" si="1">H3</f>
        <v>35</v>
      </c>
    </row>
    <row r="4" spans="1:18" x14ac:dyDescent="0.25">
      <c r="A4" s="20" t="s">
        <v>26</v>
      </c>
      <c r="B4" s="20" t="s">
        <v>27</v>
      </c>
      <c r="C4" s="20" t="s">
        <v>43</v>
      </c>
      <c r="D4" s="20"/>
      <c r="E4" s="20" t="s">
        <v>44</v>
      </c>
      <c r="F4" s="21">
        <v>6</v>
      </c>
      <c r="G4" s="21">
        <v>0</v>
      </c>
      <c r="H4" s="21">
        <v>30</v>
      </c>
      <c r="I4" s="21">
        <f t="shared" si="0"/>
        <v>-30</v>
      </c>
      <c r="J4" s="20" t="s">
        <v>36</v>
      </c>
      <c r="K4" s="20" t="s">
        <v>31</v>
      </c>
      <c r="L4" s="20" t="s">
        <v>32</v>
      </c>
      <c r="M4" s="20"/>
      <c r="N4" s="20"/>
      <c r="O4" s="20"/>
      <c r="P4" s="20"/>
      <c r="Q4" s="20">
        <v>1</v>
      </c>
      <c r="R4" s="8">
        <f t="shared" si="1"/>
        <v>30</v>
      </c>
    </row>
    <row r="5" spans="1:18" x14ac:dyDescent="0.25">
      <c r="A5" s="20"/>
      <c r="B5" s="20" t="s">
        <v>27</v>
      </c>
      <c r="C5" s="20" t="s">
        <v>59</v>
      </c>
      <c r="D5" s="20" t="s">
        <v>60</v>
      </c>
      <c r="E5" s="20" t="s">
        <v>61</v>
      </c>
      <c r="F5" s="21">
        <v>8</v>
      </c>
      <c r="G5" s="21">
        <v>920</v>
      </c>
      <c r="H5" s="21">
        <v>30</v>
      </c>
      <c r="I5" s="21">
        <f t="shared" si="0"/>
        <v>890</v>
      </c>
      <c r="J5" s="20" t="s">
        <v>36</v>
      </c>
      <c r="K5" s="20" t="s">
        <v>31</v>
      </c>
      <c r="L5" s="20" t="s">
        <v>32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27</v>
      </c>
      <c r="C6" s="20" t="s">
        <v>68</v>
      </c>
      <c r="D6" s="20" t="s">
        <v>69</v>
      </c>
      <c r="E6" s="20" t="s">
        <v>70</v>
      </c>
      <c r="F6" s="21">
        <v>8</v>
      </c>
      <c r="G6" s="21">
        <v>0</v>
      </c>
      <c r="H6" s="21">
        <v>30</v>
      </c>
      <c r="I6" s="21">
        <f t="shared" si="0"/>
        <v>-30</v>
      </c>
      <c r="J6" s="20" t="s">
        <v>36</v>
      </c>
      <c r="K6" s="20" t="s">
        <v>31</v>
      </c>
      <c r="L6" s="20" t="s">
        <v>32</v>
      </c>
      <c r="M6" s="20"/>
      <c r="N6" s="20"/>
      <c r="O6" s="20"/>
      <c r="P6" s="20"/>
      <c r="Q6" s="20">
        <v>1</v>
      </c>
      <c r="R6" s="8">
        <f>H6</f>
        <v>30</v>
      </c>
    </row>
    <row r="7" spans="1:18" x14ac:dyDescent="0.25">
      <c r="A7" s="20"/>
      <c r="B7" s="20" t="s">
        <v>27</v>
      </c>
      <c r="C7" s="20" t="s">
        <v>106</v>
      </c>
      <c r="D7" s="20" t="s">
        <v>107</v>
      </c>
      <c r="E7" s="20" t="s">
        <v>108</v>
      </c>
      <c r="F7" s="21">
        <v>6</v>
      </c>
      <c r="G7" s="21">
        <v>755</v>
      </c>
      <c r="H7" s="21">
        <v>25</v>
      </c>
      <c r="I7" s="21">
        <f t="shared" si="0"/>
        <v>730</v>
      </c>
      <c r="J7" s="20" t="s">
        <v>36</v>
      </c>
      <c r="K7" s="20" t="s">
        <v>31</v>
      </c>
      <c r="L7" s="20" t="s">
        <v>32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109</v>
      </c>
      <c r="D8" s="20" t="s">
        <v>110</v>
      </c>
      <c r="E8" s="20" t="s">
        <v>111</v>
      </c>
      <c r="F8" s="20" t="s">
        <v>35</v>
      </c>
      <c r="G8" s="21">
        <v>0</v>
      </c>
      <c r="H8" s="21">
        <v>30</v>
      </c>
      <c r="I8" s="21">
        <f t="shared" si="0"/>
        <v>-30</v>
      </c>
      <c r="J8" s="20" t="s">
        <v>36</v>
      </c>
      <c r="K8" s="20" t="s">
        <v>31</v>
      </c>
      <c r="L8" s="20" t="s">
        <v>32</v>
      </c>
      <c r="M8" s="20"/>
      <c r="N8" s="20"/>
      <c r="O8" s="20"/>
      <c r="P8" s="20"/>
      <c r="Q8" s="20">
        <v>1</v>
      </c>
      <c r="R8" s="8">
        <f>H8</f>
        <v>30</v>
      </c>
    </row>
    <row r="9" spans="1:18" x14ac:dyDescent="0.25">
      <c r="A9" s="20"/>
      <c r="B9" s="20" t="s">
        <v>27</v>
      </c>
      <c r="C9" s="20" t="s">
        <v>118</v>
      </c>
      <c r="D9" s="20" t="s">
        <v>119</v>
      </c>
      <c r="E9" s="20" t="s">
        <v>120</v>
      </c>
      <c r="F9" s="20" t="s">
        <v>121</v>
      </c>
      <c r="G9" s="21">
        <v>525</v>
      </c>
      <c r="H9" s="21">
        <v>35</v>
      </c>
      <c r="I9" s="21">
        <f t="shared" si="0"/>
        <v>490</v>
      </c>
      <c r="J9" s="20" t="s">
        <v>36</v>
      </c>
      <c r="K9" s="20" t="s">
        <v>31</v>
      </c>
      <c r="L9" s="20" t="s">
        <v>32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133</v>
      </c>
      <c r="D10" s="20" t="s">
        <v>134</v>
      </c>
      <c r="E10" s="20" t="s">
        <v>135</v>
      </c>
      <c r="F10" s="20" t="s">
        <v>35</v>
      </c>
      <c r="G10" s="21">
        <v>1970</v>
      </c>
      <c r="H10" s="21">
        <v>30</v>
      </c>
      <c r="I10" s="21">
        <f t="shared" si="0"/>
        <v>1940</v>
      </c>
      <c r="J10" s="20" t="s">
        <v>36</v>
      </c>
      <c r="K10" s="20" t="s">
        <v>31</v>
      </c>
      <c r="L10" s="20" t="s">
        <v>32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27</v>
      </c>
      <c r="C11" s="20" t="s">
        <v>136</v>
      </c>
      <c r="D11" s="20" t="s">
        <v>137</v>
      </c>
      <c r="E11" s="20" t="s">
        <v>138</v>
      </c>
      <c r="F11" s="21">
        <v>9</v>
      </c>
      <c r="G11" s="21">
        <v>1800</v>
      </c>
      <c r="H11" s="21">
        <v>30</v>
      </c>
      <c r="I11" s="21">
        <f t="shared" si="0"/>
        <v>1770</v>
      </c>
      <c r="J11" s="20" t="s">
        <v>36</v>
      </c>
      <c r="K11" s="20" t="s">
        <v>31</v>
      </c>
      <c r="L11" s="20" t="s">
        <v>32</v>
      </c>
      <c r="M11" s="23" t="s">
        <v>95</v>
      </c>
      <c r="N11" s="20"/>
      <c r="O11" s="20"/>
      <c r="P11" s="20"/>
      <c r="Q11" s="20">
        <v>1</v>
      </c>
      <c r="R11" s="8">
        <f>H11</f>
        <v>30</v>
      </c>
    </row>
    <row r="12" spans="1:18" x14ac:dyDescent="0.25">
      <c r="A12" s="20"/>
      <c r="B12" s="20" t="s">
        <v>27</v>
      </c>
      <c r="C12" s="20" t="s">
        <v>152</v>
      </c>
      <c r="D12" s="20" t="s">
        <v>153</v>
      </c>
      <c r="E12" s="20" t="s">
        <v>154</v>
      </c>
      <c r="F12" s="20" t="s">
        <v>121</v>
      </c>
      <c r="G12" s="21">
        <v>995</v>
      </c>
      <c r="H12" s="21">
        <v>35</v>
      </c>
      <c r="I12" s="21">
        <f t="shared" si="0"/>
        <v>960</v>
      </c>
      <c r="J12" s="20" t="s">
        <v>36</v>
      </c>
      <c r="K12" s="20" t="s">
        <v>31</v>
      </c>
      <c r="L12" s="20" t="s">
        <v>32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158</v>
      </c>
      <c r="D13" s="20" t="s">
        <v>159</v>
      </c>
      <c r="E13" s="20" t="s">
        <v>160</v>
      </c>
      <c r="F13" s="21">
        <v>7</v>
      </c>
      <c r="G13" s="21">
        <v>620</v>
      </c>
      <c r="H13" s="21">
        <v>30</v>
      </c>
      <c r="I13" s="21">
        <f t="shared" si="0"/>
        <v>590</v>
      </c>
      <c r="J13" s="20" t="s">
        <v>36</v>
      </c>
      <c r="K13" s="20" t="s">
        <v>31</v>
      </c>
      <c r="L13" s="20" t="s">
        <v>32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27</v>
      </c>
      <c r="C14" s="20" t="s">
        <v>161</v>
      </c>
      <c r="D14" s="20" t="s">
        <v>162</v>
      </c>
      <c r="E14" s="20" t="s">
        <v>163</v>
      </c>
      <c r="F14" s="21">
        <v>7</v>
      </c>
      <c r="G14" s="21">
        <v>490</v>
      </c>
      <c r="H14" s="21">
        <v>30</v>
      </c>
      <c r="I14" s="21">
        <f t="shared" si="0"/>
        <v>460</v>
      </c>
      <c r="J14" s="20" t="s">
        <v>36</v>
      </c>
      <c r="K14" s="20" t="s">
        <v>31</v>
      </c>
      <c r="L14" s="20" t="s">
        <v>32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27</v>
      </c>
      <c r="C15" s="20" t="s">
        <v>164</v>
      </c>
      <c r="D15" s="20" t="s">
        <v>165</v>
      </c>
      <c r="E15" s="20" t="s">
        <v>166</v>
      </c>
      <c r="F15" s="20" t="s">
        <v>88</v>
      </c>
      <c r="G15" s="21">
        <v>0</v>
      </c>
      <c r="H15" s="21">
        <v>30</v>
      </c>
      <c r="I15" s="21">
        <f t="shared" si="0"/>
        <v>-30</v>
      </c>
      <c r="J15" s="20" t="s">
        <v>36</v>
      </c>
      <c r="K15" s="20" t="s">
        <v>31</v>
      </c>
      <c r="L15" s="20" t="s">
        <v>32</v>
      </c>
      <c r="M15" s="20"/>
      <c r="N15" s="20"/>
      <c r="O15" s="20"/>
      <c r="P15" s="20"/>
      <c r="Q15" s="20">
        <v>1</v>
      </c>
      <c r="R15" s="8">
        <f>H15</f>
        <v>30</v>
      </c>
    </row>
    <row r="16" spans="1:18" x14ac:dyDescent="0.25">
      <c r="A16" s="20"/>
      <c r="B16" s="20" t="s">
        <v>27</v>
      </c>
      <c r="C16" s="20" t="s">
        <v>167</v>
      </c>
      <c r="D16" s="20" t="s">
        <v>168</v>
      </c>
      <c r="E16" s="20" t="s">
        <v>169</v>
      </c>
      <c r="F16" s="21">
        <v>8</v>
      </c>
      <c r="G16" s="21">
        <v>30</v>
      </c>
      <c r="H16" s="21">
        <v>30</v>
      </c>
      <c r="I16" s="21">
        <f t="shared" si="0"/>
        <v>0</v>
      </c>
      <c r="J16" s="20" t="s">
        <v>36</v>
      </c>
      <c r="K16" s="20" t="s">
        <v>31</v>
      </c>
      <c r="L16" s="20" t="s">
        <v>32</v>
      </c>
      <c r="M16" s="20"/>
      <c r="N16" s="20"/>
      <c r="O16" s="20"/>
      <c r="P16" s="20"/>
      <c r="Q16" s="20">
        <v>1</v>
      </c>
    </row>
    <row r="17" spans="1:18" x14ac:dyDescent="0.25">
      <c r="A17" s="20" t="s">
        <v>26</v>
      </c>
      <c r="B17" s="20" t="s">
        <v>27</v>
      </c>
      <c r="C17" s="20" t="s">
        <v>37</v>
      </c>
      <c r="D17" s="20"/>
      <c r="E17" s="20" t="s">
        <v>38</v>
      </c>
      <c r="F17" s="20" t="s">
        <v>39</v>
      </c>
      <c r="G17" s="21">
        <v>3250</v>
      </c>
      <c r="H17" s="21">
        <v>30</v>
      </c>
      <c r="I17" s="21">
        <f t="shared" si="0"/>
        <v>3220</v>
      </c>
      <c r="J17" s="20" t="s">
        <v>31</v>
      </c>
      <c r="K17" s="20" t="s">
        <v>31</v>
      </c>
      <c r="L17" s="20" t="s">
        <v>32</v>
      </c>
      <c r="M17" s="20"/>
      <c r="N17" s="20"/>
      <c r="O17" s="20"/>
      <c r="P17" s="20"/>
      <c r="Q17" s="20">
        <v>1</v>
      </c>
    </row>
    <row r="18" spans="1:18" x14ac:dyDescent="0.25">
      <c r="A18" s="20" t="s">
        <v>26</v>
      </c>
      <c r="B18" s="20" t="s">
        <v>27</v>
      </c>
      <c r="C18" s="20" t="s">
        <v>40</v>
      </c>
      <c r="D18" s="20"/>
      <c r="E18" s="20" t="s">
        <v>41</v>
      </c>
      <c r="F18" s="20" t="s">
        <v>42</v>
      </c>
      <c r="G18" s="21">
        <v>3030</v>
      </c>
      <c r="H18" s="21">
        <v>40</v>
      </c>
      <c r="I18" s="21">
        <f t="shared" si="0"/>
        <v>2990</v>
      </c>
      <c r="J18" s="20" t="s">
        <v>31</v>
      </c>
      <c r="K18" s="20" t="s">
        <v>31</v>
      </c>
      <c r="L18" s="20" t="s">
        <v>32</v>
      </c>
      <c r="M18" s="20"/>
      <c r="N18" s="20"/>
      <c r="O18" s="20"/>
      <c r="P18" s="20"/>
      <c r="Q18" s="20">
        <v>1</v>
      </c>
    </row>
    <row r="19" spans="1:18" x14ac:dyDescent="0.25">
      <c r="A19" s="20" t="s">
        <v>26</v>
      </c>
      <c r="B19" s="20" t="s">
        <v>27</v>
      </c>
      <c r="C19" s="20" t="s">
        <v>45</v>
      </c>
      <c r="D19" s="20"/>
      <c r="E19" s="20" t="s">
        <v>46</v>
      </c>
      <c r="F19" s="21">
        <v>2</v>
      </c>
      <c r="G19" s="21">
        <v>35</v>
      </c>
      <c r="H19" s="21">
        <v>35</v>
      </c>
      <c r="I19" s="21">
        <f t="shared" si="0"/>
        <v>0</v>
      </c>
      <c r="J19" s="20" t="s">
        <v>31</v>
      </c>
      <c r="K19" s="20" t="s">
        <v>31</v>
      </c>
      <c r="L19" s="20" t="s">
        <v>32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27</v>
      </c>
      <c r="C20" s="20" t="s">
        <v>50</v>
      </c>
      <c r="D20" s="20" t="s">
        <v>51</v>
      </c>
      <c r="E20" s="20" t="s">
        <v>52</v>
      </c>
      <c r="F20" s="20" t="s">
        <v>39</v>
      </c>
      <c r="G20" s="21">
        <v>0</v>
      </c>
      <c r="H20" s="21">
        <v>25</v>
      </c>
      <c r="I20" s="21">
        <f t="shared" si="0"/>
        <v>-25</v>
      </c>
      <c r="J20" s="20" t="s">
        <v>31</v>
      </c>
      <c r="K20" s="20" t="s">
        <v>31</v>
      </c>
      <c r="L20" s="20" t="s">
        <v>32</v>
      </c>
      <c r="M20" s="20"/>
      <c r="N20" s="20"/>
      <c r="O20" s="20"/>
      <c r="P20" s="20"/>
      <c r="Q20" s="20">
        <v>1</v>
      </c>
      <c r="R20" s="8">
        <f t="shared" ref="R20:R21" si="2">H20</f>
        <v>25</v>
      </c>
    </row>
    <row r="21" spans="1:18" x14ac:dyDescent="0.25">
      <c r="A21" s="20"/>
      <c r="B21" s="20" t="s">
        <v>27</v>
      </c>
      <c r="C21" s="20" t="s">
        <v>53</v>
      </c>
      <c r="D21" s="20" t="s">
        <v>54</v>
      </c>
      <c r="E21" s="20" t="s">
        <v>55</v>
      </c>
      <c r="F21" s="21">
        <v>2</v>
      </c>
      <c r="G21" s="21">
        <v>0</v>
      </c>
      <c r="H21" s="21">
        <v>30</v>
      </c>
      <c r="I21" s="21">
        <f t="shared" si="0"/>
        <v>-30</v>
      </c>
      <c r="J21" s="20" t="s">
        <v>31</v>
      </c>
      <c r="K21" s="20" t="s">
        <v>31</v>
      </c>
      <c r="L21" s="20" t="s">
        <v>32</v>
      </c>
      <c r="M21" s="20"/>
      <c r="N21" s="20"/>
      <c r="O21" s="20"/>
      <c r="P21" s="20"/>
      <c r="Q21" s="20">
        <v>1</v>
      </c>
      <c r="R21" s="8">
        <f t="shared" si="2"/>
        <v>30</v>
      </c>
    </row>
    <row r="22" spans="1:18" x14ac:dyDescent="0.25">
      <c r="A22" s="20"/>
      <c r="B22" s="20" t="s">
        <v>27</v>
      </c>
      <c r="C22" s="20" t="s">
        <v>56</v>
      </c>
      <c r="D22" s="20" t="s">
        <v>57</v>
      </c>
      <c r="E22" s="20" t="s">
        <v>58</v>
      </c>
      <c r="F22" s="20" t="s">
        <v>39</v>
      </c>
      <c r="G22" s="21">
        <v>565</v>
      </c>
      <c r="H22" s="21">
        <v>25</v>
      </c>
      <c r="I22" s="21">
        <f t="shared" si="0"/>
        <v>540</v>
      </c>
      <c r="J22" s="20" t="s">
        <v>31</v>
      </c>
      <c r="K22" s="20" t="s">
        <v>31</v>
      </c>
      <c r="L22" s="20" t="s">
        <v>32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27</v>
      </c>
      <c r="C23" s="20" t="s">
        <v>65</v>
      </c>
      <c r="D23" s="20" t="s">
        <v>66</v>
      </c>
      <c r="E23" s="20" t="s">
        <v>67</v>
      </c>
      <c r="F23" s="21">
        <v>2</v>
      </c>
      <c r="G23" s="21">
        <v>990</v>
      </c>
      <c r="H23" s="21">
        <v>30</v>
      </c>
      <c r="I23" s="21">
        <f t="shared" si="0"/>
        <v>960</v>
      </c>
      <c r="J23" s="20" t="s">
        <v>31</v>
      </c>
      <c r="K23" s="20" t="s">
        <v>31</v>
      </c>
      <c r="L23" s="20" t="s">
        <v>32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27</v>
      </c>
      <c r="C24" s="20" t="s">
        <v>74</v>
      </c>
      <c r="D24" s="20" t="s">
        <v>75</v>
      </c>
      <c r="E24" s="20" t="s">
        <v>76</v>
      </c>
      <c r="F24" s="20" t="s">
        <v>77</v>
      </c>
      <c r="G24" s="21">
        <v>880</v>
      </c>
      <c r="H24" s="21">
        <v>20</v>
      </c>
      <c r="I24" s="21">
        <f t="shared" si="0"/>
        <v>860</v>
      </c>
      <c r="J24" s="20" t="s">
        <v>31</v>
      </c>
      <c r="K24" s="20" t="s">
        <v>31</v>
      </c>
      <c r="L24" s="20" t="s">
        <v>32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27</v>
      </c>
      <c r="C25" s="20" t="s">
        <v>78</v>
      </c>
      <c r="D25" s="20" t="s">
        <v>79</v>
      </c>
      <c r="E25" s="20" t="s">
        <v>80</v>
      </c>
      <c r="F25" s="21">
        <v>12</v>
      </c>
      <c r="G25" s="21">
        <v>0</v>
      </c>
      <c r="H25" s="21">
        <v>30</v>
      </c>
      <c r="I25" s="21">
        <f t="shared" si="0"/>
        <v>-30</v>
      </c>
      <c r="J25" s="20" t="s">
        <v>31</v>
      </c>
      <c r="K25" s="20" t="s">
        <v>31</v>
      </c>
      <c r="L25" s="20" t="s">
        <v>32</v>
      </c>
      <c r="M25" s="20"/>
      <c r="N25" s="20"/>
      <c r="O25" s="20"/>
      <c r="P25" s="20"/>
      <c r="Q25" s="20">
        <v>1</v>
      </c>
      <c r="R25" s="8">
        <f>H25</f>
        <v>30</v>
      </c>
    </row>
    <row r="26" spans="1:18" x14ac:dyDescent="0.25">
      <c r="A26" s="20"/>
      <c r="B26" s="20" t="s">
        <v>27</v>
      </c>
      <c r="C26" s="20" t="s">
        <v>85</v>
      </c>
      <c r="D26" s="20" t="s">
        <v>86</v>
      </c>
      <c r="E26" s="20" t="s">
        <v>87</v>
      </c>
      <c r="F26" s="20" t="s">
        <v>88</v>
      </c>
      <c r="G26" s="21">
        <v>990</v>
      </c>
      <c r="H26" s="21">
        <v>30</v>
      </c>
      <c r="I26" s="21">
        <f t="shared" si="0"/>
        <v>960</v>
      </c>
      <c r="J26" s="20" t="s">
        <v>31</v>
      </c>
      <c r="K26" s="20" t="s">
        <v>31</v>
      </c>
      <c r="L26" s="20" t="s">
        <v>32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27</v>
      </c>
      <c r="C27" s="20" t="s">
        <v>89</v>
      </c>
      <c r="D27" s="20" t="s">
        <v>90</v>
      </c>
      <c r="E27" s="20" t="s">
        <v>91</v>
      </c>
      <c r="F27" s="20" t="s">
        <v>39</v>
      </c>
      <c r="G27" s="21">
        <v>645</v>
      </c>
      <c r="H27" s="21">
        <v>25</v>
      </c>
      <c r="I27" s="21">
        <f t="shared" si="0"/>
        <v>620</v>
      </c>
      <c r="J27" s="20" t="s">
        <v>31</v>
      </c>
      <c r="K27" s="20" t="s">
        <v>31</v>
      </c>
      <c r="L27" s="20" t="s">
        <v>32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99</v>
      </c>
      <c r="D28" s="20" t="s">
        <v>100</v>
      </c>
      <c r="E28" s="20" t="s">
        <v>101</v>
      </c>
      <c r="F28" s="20" t="s">
        <v>77</v>
      </c>
      <c r="G28" s="21">
        <v>710</v>
      </c>
      <c r="H28" s="21">
        <v>20</v>
      </c>
      <c r="I28" s="21">
        <f t="shared" si="0"/>
        <v>690</v>
      </c>
      <c r="J28" s="20" t="s">
        <v>31</v>
      </c>
      <c r="K28" s="20" t="s">
        <v>31</v>
      </c>
      <c r="L28" s="20" t="s">
        <v>32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27</v>
      </c>
      <c r="C29" s="20" t="s">
        <v>102</v>
      </c>
      <c r="D29" s="20" t="s">
        <v>103</v>
      </c>
      <c r="E29" s="20" t="s">
        <v>104</v>
      </c>
      <c r="F29" s="21">
        <v>12</v>
      </c>
      <c r="G29" s="21">
        <v>0</v>
      </c>
      <c r="H29" s="21">
        <v>30</v>
      </c>
      <c r="I29" s="21">
        <f t="shared" si="0"/>
        <v>-30</v>
      </c>
      <c r="J29" s="20" t="s">
        <v>31</v>
      </c>
      <c r="K29" s="20" t="s">
        <v>31</v>
      </c>
      <c r="L29" s="20" t="s">
        <v>32</v>
      </c>
      <c r="M29" s="23" t="s">
        <v>105</v>
      </c>
      <c r="N29" s="20"/>
      <c r="O29" s="20"/>
      <c r="P29" s="20"/>
      <c r="Q29" s="20">
        <v>1</v>
      </c>
      <c r="R29" s="8">
        <f>H29</f>
        <v>30</v>
      </c>
    </row>
    <row r="30" spans="1:18" x14ac:dyDescent="0.25">
      <c r="A30" s="20"/>
      <c r="B30" s="20" t="s">
        <v>27</v>
      </c>
      <c r="C30" s="20" t="s">
        <v>115</v>
      </c>
      <c r="D30" s="20" t="s">
        <v>116</v>
      </c>
      <c r="E30" s="20" t="s">
        <v>117</v>
      </c>
      <c r="F30" s="20" t="s">
        <v>77</v>
      </c>
      <c r="G30" s="21">
        <v>790</v>
      </c>
      <c r="H30" s="21">
        <v>20</v>
      </c>
      <c r="I30" s="21">
        <f t="shared" si="0"/>
        <v>770</v>
      </c>
      <c r="J30" s="20" t="s">
        <v>31</v>
      </c>
      <c r="K30" s="20" t="s">
        <v>31</v>
      </c>
      <c r="L30" s="20" t="s">
        <v>32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27</v>
      </c>
      <c r="C31" s="20" t="s">
        <v>130</v>
      </c>
      <c r="D31" s="20" t="s">
        <v>131</v>
      </c>
      <c r="E31" s="20" t="s">
        <v>132</v>
      </c>
      <c r="F31" s="21">
        <v>12</v>
      </c>
      <c r="G31" s="21">
        <v>820</v>
      </c>
      <c r="H31" s="21">
        <v>30</v>
      </c>
      <c r="I31" s="21">
        <f t="shared" si="0"/>
        <v>790</v>
      </c>
      <c r="J31" s="20" t="s">
        <v>31</v>
      </c>
      <c r="K31" s="20" t="s">
        <v>31</v>
      </c>
      <c r="L31" s="20" t="s">
        <v>32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27</v>
      </c>
      <c r="C32" s="20" t="s">
        <v>139</v>
      </c>
      <c r="D32" s="20" t="s">
        <v>140</v>
      </c>
      <c r="E32" s="20" t="s">
        <v>141</v>
      </c>
      <c r="F32" s="21">
        <v>12</v>
      </c>
      <c r="G32" s="21">
        <v>0</v>
      </c>
      <c r="H32" s="21">
        <v>30</v>
      </c>
      <c r="I32" s="21">
        <f t="shared" si="0"/>
        <v>-30</v>
      </c>
      <c r="J32" s="20" t="s">
        <v>31</v>
      </c>
      <c r="K32" s="20" t="s">
        <v>31</v>
      </c>
      <c r="L32" s="20" t="s">
        <v>32</v>
      </c>
      <c r="M32" s="20"/>
      <c r="N32" s="20"/>
      <c r="O32" s="20"/>
      <c r="P32" s="20"/>
      <c r="Q32" s="20">
        <v>1</v>
      </c>
      <c r="R32" s="8">
        <f>H32</f>
        <v>30</v>
      </c>
    </row>
    <row r="33" spans="1:18" x14ac:dyDescent="0.25">
      <c r="A33" s="20"/>
      <c r="B33" s="20" t="s">
        <v>27</v>
      </c>
      <c r="C33" s="20" t="s">
        <v>142</v>
      </c>
      <c r="D33" s="20" t="s">
        <v>143</v>
      </c>
      <c r="E33" s="20" t="s">
        <v>144</v>
      </c>
      <c r="F33" s="21">
        <v>2</v>
      </c>
      <c r="G33" s="21">
        <v>2380</v>
      </c>
      <c r="H33" s="21">
        <v>35</v>
      </c>
      <c r="I33" s="21">
        <f t="shared" si="0"/>
        <v>2345</v>
      </c>
      <c r="J33" s="20" t="s">
        <v>31</v>
      </c>
      <c r="K33" s="20" t="s">
        <v>31</v>
      </c>
      <c r="L33" s="20" t="s">
        <v>32</v>
      </c>
      <c r="M33" s="23" t="s">
        <v>95</v>
      </c>
      <c r="N33" s="20"/>
      <c r="O33" s="20"/>
      <c r="P33" s="20"/>
      <c r="Q33" s="20">
        <v>1</v>
      </c>
      <c r="R33" s="8">
        <f>H33</f>
        <v>35</v>
      </c>
    </row>
    <row r="34" spans="1:18" x14ac:dyDescent="0.25">
      <c r="A34" s="20"/>
      <c r="B34" s="20" t="s">
        <v>27</v>
      </c>
      <c r="C34" s="20" t="s">
        <v>148</v>
      </c>
      <c r="D34" s="20" t="s">
        <v>149</v>
      </c>
      <c r="E34" s="20" t="s">
        <v>150</v>
      </c>
      <c r="F34" s="20" t="s">
        <v>151</v>
      </c>
      <c r="G34" s="21">
        <v>0</v>
      </c>
      <c r="H34" s="21">
        <v>25</v>
      </c>
      <c r="I34" s="21">
        <f t="shared" si="0"/>
        <v>-25</v>
      </c>
      <c r="J34" s="20" t="s">
        <v>31</v>
      </c>
      <c r="K34" s="20" t="s">
        <v>31</v>
      </c>
      <c r="L34" s="20" t="s">
        <v>32</v>
      </c>
      <c r="M34" s="20"/>
      <c r="N34" s="20"/>
      <c r="O34" s="20"/>
      <c r="P34" s="20"/>
      <c r="Q34" s="20">
        <v>1</v>
      </c>
      <c r="R34" s="8">
        <f>H34</f>
        <v>25</v>
      </c>
    </row>
    <row r="35" spans="1:18" x14ac:dyDescent="0.25">
      <c r="A35" s="20"/>
      <c r="B35" s="20" t="s">
        <v>27</v>
      </c>
      <c r="C35" s="20" t="s">
        <v>155</v>
      </c>
      <c r="D35" s="20" t="s">
        <v>156</v>
      </c>
      <c r="E35" s="20" t="s">
        <v>157</v>
      </c>
      <c r="F35" s="20" t="s">
        <v>39</v>
      </c>
      <c r="G35" s="21">
        <v>985</v>
      </c>
      <c r="H35" s="21">
        <v>25</v>
      </c>
      <c r="I35" s="21">
        <f t="shared" ref="I35:I53" si="3">G35-H35</f>
        <v>960</v>
      </c>
      <c r="J35" s="20" t="s">
        <v>31</v>
      </c>
      <c r="K35" s="20" t="s">
        <v>31</v>
      </c>
      <c r="L35" s="20" t="s">
        <v>32</v>
      </c>
      <c r="M35" s="20"/>
      <c r="N35" s="20"/>
      <c r="O35" s="20"/>
      <c r="P35" s="20"/>
      <c r="Q35" s="20">
        <v>1</v>
      </c>
    </row>
    <row r="36" spans="1:18" x14ac:dyDescent="0.25">
      <c r="A36" s="20"/>
      <c r="B36" s="20" t="s">
        <v>27</v>
      </c>
      <c r="C36" s="20" t="s">
        <v>170</v>
      </c>
      <c r="D36" s="20" t="s">
        <v>171</v>
      </c>
      <c r="E36" s="20" t="s">
        <v>172</v>
      </c>
      <c r="F36" s="21">
        <v>9</v>
      </c>
      <c r="G36" s="21">
        <v>1610</v>
      </c>
      <c r="H36" s="21">
        <v>30</v>
      </c>
      <c r="I36" s="21">
        <f t="shared" si="3"/>
        <v>1580</v>
      </c>
      <c r="J36" s="20" t="s">
        <v>31</v>
      </c>
      <c r="K36" s="20" t="s">
        <v>31</v>
      </c>
      <c r="L36" s="20" t="s">
        <v>32</v>
      </c>
      <c r="M36" s="20"/>
      <c r="N36" s="20"/>
      <c r="O36" s="20"/>
      <c r="P36" s="20"/>
      <c r="Q36" s="20">
        <v>1</v>
      </c>
    </row>
    <row r="37" spans="1:18" x14ac:dyDescent="0.25">
      <c r="A37" s="20" t="s">
        <v>26</v>
      </c>
      <c r="B37" s="20" t="s">
        <v>27</v>
      </c>
      <c r="C37" s="20" t="s">
        <v>178</v>
      </c>
      <c r="D37" s="20"/>
      <c r="E37" s="20" t="s">
        <v>80</v>
      </c>
      <c r="F37" s="21">
        <v>12</v>
      </c>
      <c r="G37" s="21">
        <v>0</v>
      </c>
      <c r="H37" s="21">
        <v>40</v>
      </c>
      <c r="I37" s="21">
        <f t="shared" si="3"/>
        <v>-40</v>
      </c>
      <c r="J37" s="20" t="s">
        <v>31</v>
      </c>
      <c r="K37" s="20" t="s">
        <v>31</v>
      </c>
      <c r="L37" s="20" t="s">
        <v>32</v>
      </c>
      <c r="M37" s="20"/>
      <c r="N37" s="20"/>
      <c r="O37" s="20"/>
      <c r="P37" s="20"/>
      <c r="Q37" s="20">
        <v>1</v>
      </c>
      <c r="R37" s="8">
        <f>H37</f>
        <v>40</v>
      </c>
    </row>
    <row r="38" spans="1:18" x14ac:dyDescent="0.25">
      <c r="A38" s="20" t="s">
        <v>26</v>
      </c>
      <c r="B38" s="20" t="s">
        <v>27</v>
      </c>
      <c r="C38" s="20" t="s">
        <v>28</v>
      </c>
      <c r="D38" s="20"/>
      <c r="E38" s="20" t="s">
        <v>29</v>
      </c>
      <c r="F38" s="21">
        <v>5</v>
      </c>
      <c r="G38" s="21">
        <v>1290</v>
      </c>
      <c r="H38" s="21">
        <v>30</v>
      </c>
      <c r="I38" s="21">
        <f t="shared" si="3"/>
        <v>1260</v>
      </c>
      <c r="J38" s="20" t="s">
        <v>30</v>
      </c>
      <c r="K38" s="20" t="s">
        <v>31</v>
      </c>
      <c r="L38" s="20" t="s">
        <v>32</v>
      </c>
      <c r="M38" s="20"/>
      <c r="N38" s="20"/>
      <c r="O38" s="20"/>
      <c r="P38" s="20"/>
      <c r="Q38" s="20">
        <v>1</v>
      </c>
    </row>
    <row r="39" spans="1:18" x14ac:dyDescent="0.25">
      <c r="A39" s="20"/>
      <c r="B39" s="20" t="s">
        <v>27</v>
      </c>
      <c r="C39" s="20" t="s">
        <v>47</v>
      </c>
      <c r="D39" s="20" t="s">
        <v>48</v>
      </c>
      <c r="E39" s="20" t="s">
        <v>49</v>
      </c>
      <c r="F39" s="21">
        <v>1</v>
      </c>
      <c r="G39" s="21">
        <v>0</v>
      </c>
      <c r="H39" s="21">
        <v>25</v>
      </c>
      <c r="I39" s="21">
        <f t="shared" si="3"/>
        <v>-25</v>
      </c>
      <c r="J39" s="20" t="s">
        <v>30</v>
      </c>
      <c r="K39" s="20" t="s">
        <v>31</v>
      </c>
      <c r="L39" s="20" t="s">
        <v>32</v>
      </c>
      <c r="M39" s="20"/>
      <c r="N39" s="20"/>
      <c r="O39" s="20"/>
      <c r="P39" s="20"/>
      <c r="Q39" s="20">
        <v>1</v>
      </c>
      <c r="R39" s="8">
        <f>H39</f>
        <v>25</v>
      </c>
    </row>
    <row r="40" spans="1:18" x14ac:dyDescent="0.25">
      <c r="A40" s="20"/>
      <c r="B40" s="20" t="s">
        <v>27</v>
      </c>
      <c r="C40" s="20" t="s">
        <v>62</v>
      </c>
      <c r="D40" s="20" t="s">
        <v>63</v>
      </c>
      <c r="E40" s="20" t="s">
        <v>64</v>
      </c>
      <c r="F40" s="21">
        <v>3</v>
      </c>
      <c r="G40" s="21">
        <v>1745</v>
      </c>
      <c r="H40" s="21">
        <v>25</v>
      </c>
      <c r="I40" s="21">
        <f t="shared" si="3"/>
        <v>1720</v>
      </c>
      <c r="J40" s="20" t="s">
        <v>30</v>
      </c>
      <c r="K40" s="20" t="s">
        <v>31</v>
      </c>
      <c r="L40" s="20" t="s">
        <v>32</v>
      </c>
      <c r="M40" s="20"/>
      <c r="N40" s="20"/>
      <c r="O40" s="20"/>
      <c r="P40" s="20"/>
      <c r="Q40" s="20">
        <v>1</v>
      </c>
    </row>
    <row r="41" spans="1:18" x14ac:dyDescent="0.25">
      <c r="A41" s="20"/>
      <c r="B41" s="20" t="s">
        <v>27</v>
      </c>
      <c r="C41" s="20" t="s">
        <v>71</v>
      </c>
      <c r="D41" s="20" t="s">
        <v>72</v>
      </c>
      <c r="E41" s="20" t="s">
        <v>73</v>
      </c>
      <c r="F41" s="21">
        <v>1</v>
      </c>
      <c r="G41" s="21">
        <v>755</v>
      </c>
      <c r="H41" s="21">
        <v>25</v>
      </c>
      <c r="I41" s="21">
        <f t="shared" si="3"/>
        <v>730</v>
      </c>
      <c r="J41" s="20" t="s">
        <v>30</v>
      </c>
      <c r="K41" s="20" t="s">
        <v>31</v>
      </c>
      <c r="L41" s="20" t="s">
        <v>32</v>
      </c>
      <c r="M41" s="20"/>
      <c r="N41" s="20"/>
      <c r="O41" s="20"/>
      <c r="P41" s="20"/>
      <c r="Q41" s="20">
        <v>1</v>
      </c>
    </row>
    <row r="42" spans="1:18" s="26" customFormat="1" x14ac:dyDescent="0.25">
      <c r="A42" s="24"/>
      <c r="B42" s="24" t="s">
        <v>27</v>
      </c>
      <c r="C42" s="24" t="s">
        <v>81</v>
      </c>
      <c r="D42" s="24" t="s">
        <v>82</v>
      </c>
      <c r="E42" s="24" t="s">
        <v>83</v>
      </c>
      <c r="F42" s="25">
        <v>1</v>
      </c>
      <c r="G42" s="25">
        <v>25</v>
      </c>
      <c r="H42" s="25">
        <v>25</v>
      </c>
      <c r="I42" s="25">
        <f t="shared" si="3"/>
        <v>0</v>
      </c>
      <c r="J42" s="24" t="s">
        <v>30</v>
      </c>
      <c r="K42" s="24" t="s">
        <v>31</v>
      </c>
      <c r="L42" s="24" t="s">
        <v>32</v>
      </c>
      <c r="M42" s="24" t="s">
        <v>84</v>
      </c>
      <c r="N42" s="24"/>
      <c r="O42" s="24"/>
      <c r="P42" s="24"/>
      <c r="Q42" s="24">
        <v>1</v>
      </c>
    </row>
    <row r="43" spans="1:18" x14ac:dyDescent="0.25">
      <c r="A43" s="20"/>
      <c r="B43" s="20" t="s">
        <v>27</v>
      </c>
      <c r="C43" s="20" t="s">
        <v>92</v>
      </c>
      <c r="D43" s="20" t="s">
        <v>93</v>
      </c>
      <c r="E43" s="20" t="s">
        <v>94</v>
      </c>
      <c r="F43" s="21">
        <v>1</v>
      </c>
      <c r="G43" s="21">
        <v>2820</v>
      </c>
      <c r="H43" s="21">
        <v>30</v>
      </c>
      <c r="I43" s="21">
        <f t="shared" si="3"/>
        <v>2790</v>
      </c>
      <c r="J43" s="20" t="s">
        <v>30</v>
      </c>
      <c r="K43" s="20" t="s">
        <v>31</v>
      </c>
      <c r="L43" s="20" t="s">
        <v>32</v>
      </c>
      <c r="M43" s="23" t="s">
        <v>95</v>
      </c>
      <c r="N43" s="20"/>
      <c r="O43" s="20"/>
      <c r="P43" s="20"/>
      <c r="Q43" s="20">
        <v>1</v>
      </c>
      <c r="R43" s="8">
        <f>H43</f>
        <v>30</v>
      </c>
    </row>
    <row r="44" spans="1:18" x14ac:dyDescent="0.25">
      <c r="A44" s="20"/>
      <c r="B44" s="20" t="s">
        <v>27</v>
      </c>
      <c r="C44" s="20" t="s">
        <v>96</v>
      </c>
      <c r="D44" s="20" t="s">
        <v>97</v>
      </c>
      <c r="E44" s="20" t="s">
        <v>98</v>
      </c>
      <c r="F44" s="21">
        <v>4</v>
      </c>
      <c r="G44" s="21">
        <v>0</v>
      </c>
      <c r="H44" s="21">
        <v>25</v>
      </c>
      <c r="I44" s="21">
        <f t="shared" si="3"/>
        <v>-25</v>
      </c>
      <c r="J44" s="20" t="s">
        <v>30</v>
      </c>
      <c r="K44" s="20" t="s">
        <v>31</v>
      </c>
      <c r="L44" s="20" t="s">
        <v>32</v>
      </c>
      <c r="M44" s="20"/>
      <c r="N44" s="20"/>
      <c r="O44" s="20"/>
      <c r="P44" s="20"/>
      <c r="Q44" s="20">
        <v>1</v>
      </c>
      <c r="R44" s="8">
        <f>H44</f>
        <v>25</v>
      </c>
    </row>
    <row r="45" spans="1:18" x14ac:dyDescent="0.25">
      <c r="A45" s="20"/>
      <c r="B45" s="20" t="s">
        <v>27</v>
      </c>
      <c r="C45" s="20" t="s">
        <v>112</v>
      </c>
      <c r="D45" s="20" t="s">
        <v>113</v>
      </c>
      <c r="E45" s="20" t="s">
        <v>114</v>
      </c>
      <c r="F45" s="21">
        <v>5</v>
      </c>
      <c r="G45" s="21">
        <v>675</v>
      </c>
      <c r="H45" s="21">
        <v>25</v>
      </c>
      <c r="I45" s="21">
        <f t="shared" si="3"/>
        <v>650</v>
      </c>
      <c r="J45" s="20" t="s">
        <v>30</v>
      </c>
      <c r="K45" s="20" t="s">
        <v>31</v>
      </c>
      <c r="L45" s="20" t="s">
        <v>32</v>
      </c>
      <c r="M45" s="20"/>
      <c r="N45" s="20"/>
      <c r="O45" s="20"/>
      <c r="P45" s="20"/>
      <c r="Q45" s="20">
        <v>1</v>
      </c>
    </row>
    <row r="46" spans="1:18" x14ac:dyDescent="0.25">
      <c r="A46" s="20"/>
      <c r="B46" s="20" t="s">
        <v>27</v>
      </c>
      <c r="C46" s="20" t="s">
        <v>122</v>
      </c>
      <c r="D46" s="20" t="s">
        <v>123</v>
      </c>
      <c r="E46" s="20" t="s">
        <v>124</v>
      </c>
      <c r="F46" s="20" t="s">
        <v>125</v>
      </c>
      <c r="G46" s="21">
        <v>980</v>
      </c>
      <c r="H46" s="21">
        <v>20</v>
      </c>
      <c r="I46" s="21">
        <f t="shared" si="3"/>
        <v>960</v>
      </c>
      <c r="J46" s="20" t="s">
        <v>30</v>
      </c>
      <c r="K46" s="20" t="s">
        <v>31</v>
      </c>
      <c r="L46" s="20" t="s">
        <v>32</v>
      </c>
      <c r="M46" s="20"/>
      <c r="N46" s="20"/>
      <c r="O46" s="20"/>
      <c r="P46" s="20"/>
      <c r="Q46" s="20">
        <v>1</v>
      </c>
    </row>
    <row r="47" spans="1:18" x14ac:dyDescent="0.25">
      <c r="A47" s="20"/>
      <c r="B47" s="20" t="s">
        <v>27</v>
      </c>
      <c r="C47" s="20" t="s">
        <v>126</v>
      </c>
      <c r="D47" s="20" t="s">
        <v>127</v>
      </c>
      <c r="E47" s="20" t="s">
        <v>128</v>
      </c>
      <c r="F47" s="20" t="s">
        <v>129</v>
      </c>
      <c r="G47" s="21">
        <v>815</v>
      </c>
      <c r="H47" s="21">
        <v>25</v>
      </c>
      <c r="I47" s="21">
        <f t="shared" si="3"/>
        <v>790</v>
      </c>
      <c r="J47" s="20" t="s">
        <v>30</v>
      </c>
      <c r="K47" s="20" t="s">
        <v>31</v>
      </c>
      <c r="L47" s="20" t="s">
        <v>32</v>
      </c>
      <c r="M47" s="20"/>
      <c r="N47" s="20"/>
      <c r="O47" s="20"/>
      <c r="P47" s="20"/>
      <c r="Q47" s="20">
        <v>1</v>
      </c>
    </row>
    <row r="48" spans="1:18" x14ac:dyDescent="0.25">
      <c r="A48" s="20"/>
      <c r="B48" s="20" t="s">
        <v>27</v>
      </c>
      <c r="C48" s="20" t="s">
        <v>145</v>
      </c>
      <c r="D48" s="20" t="s">
        <v>146</v>
      </c>
      <c r="E48" s="20" t="s">
        <v>147</v>
      </c>
      <c r="F48" s="21">
        <v>1</v>
      </c>
      <c r="G48" s="21">
        <v>985</v>
      </c>
      <c r="H48" s="21">
        <v>25</v>
      </c>
      <c r="I48" s="21">
        <f t="shared" si="3"/>
        <v>960</v>
      </c>
      <c r="J48" s="20" t="s">
        <v>30</v>
      </c>
      <c r="K48" s="20" t="s">
        <v>31</v>
      </c>
      <c r="L48" s="20" t="s">
        <v>32</v>
      </c>
      <c r="M48" s="20"/>
      <c r="N48" s="20"/>
      <c r="O48" s="20"/>
      <c r="P48" s="20"/>
      <c r="Q48" s="20">
        <v>1</v>
      </c>
    </row>
    <row r="49" spans="1:18" x14ac:dyDescent="0.25">
      <c r="A49" s="20"/>
      <c r="B49" s="20" t="s">
        <v>27</v>
      </c>
      <c r="C49" s="20" t="s">
        <v>173</v>
      </c>
      <c r="D49" s="20" t="s">
        <v>174</v>
      </c>
      <c r="E49" s="20" t="s">
        <v>175</v>
      </c>
      <c r="F49" s="21">
        <v>1</v>
      </c>
      <c r="G49" s="21">
        <v>1005</v>
      </c>
      <c r="H49" s="21">
        <v>25</v>
      </c>
      <c r="I49" s="21">
        <f t="shared" si="3"/>
        <v>980</v>
      </c>
      <c r="J49" s="20" t="s">
        <v>30</v>
      </c>
      <c r="K49" s="20" t="s">
        <v>31</v>
      </c>
      <c r="L49" s="20" t="s">
        <v>32</v>
      </c>
      <c r="M49" s="20"/>
      <c r="N49" s="20"/>
      <c r="O49" s="20"/>
      <c r="P49" s="20"/>
      <c r="Q49" s="20">
        <v>1</v>
      </c>
    </row>
    <row r="50" spans="1:18" x14ac:dyDescent="0.25">
      <c r="A50" s="20" t="s">
        <v>26</v>
      </c>
      <c r="B50" s="20" t="s">
        <v>27</v>
      </c>
      <c r="C50" s="20" t="s">
        <v>176</v>
      </c>
      <c r="D50" s="20"/>
      <c r="E50" s="20" t="s">
        <v>177</v>
      </c>
      <c r="F50" s="21">
        <v>1</v>
      </c>
      <c r="G50" s="21">
        <v>0</v>
      </c>
      <c r="H50" s="21">
        <v>30</v>
      </c>
      <c r="I50" s="21">
        <f t="shared" si="3"/>
        <v>-30</v>
      </c>
      <c r="J50" s="20" t="s">
        <v>30</v>
      </c>
      <c r="K50" s="20" t="s">
        <v>30</v>
      </c>
      <c r="L50" s="20" t="s">
        <v>32</v>
      </c>
      <c r="M50" s="20"/>
      <c r="N50" s="20"/>
      <c r="O50" s="20"/>
      <c r="P50" s="20"/>
      <c r="Q50" s="20">
        <v>1</v>
      </c>
      <c r="R50" s="8">
        <f t="shared" ref="R50:R51" si="4">H50</f>
        <v>30</v>
      </c>
    </row>
    <row r="51" spans="1:18" x14ac:dyDescent="0.25">
      <c r="A51" s="20" t="s">
        <v>26</v>
      </c>
      <c r="B51" s="20" t="s">
        <v>27</v>
      </c>
      <c r="C51" s="20" t="s">
        <v>179</v>
      </c>
      <c r="D51" s="20"/>
      <c r="E51" s="20" t="s">
        <v>180</v>
      </c>
      <c r="F51" s="20" t="s">
        <v>151</v>
      </c>
      <c r="G51" s="21">
        <v>0</v>
      </c>
      <c r="H51" s="21">
        <v>30</v>
      </c>
      <c r="I51" s="21">
        <f t="shared" si="3"/>
        <v>-30</v>
      </c>
      <c r="J51" s="20" t="s">
        <v>30</v>
      </c>
      <c r="K51" s="20" t="s">
        <v>31</v>
      </c>
      <c r="L51" s="20" t="s">
        <v>32</v>
      </c>
      <c r="M51" s="20"/>
      <c r="N51" s="20"/>
      <c r="O51" s="20"/>
      <c r="P51" s="20"/>
      <c r="Q51" s="20">
        <v>1</v>
      </c>
      <c r="R51" s="8">
        <f t="shared" si="4"/>
        <v>30</v>
      </c>
    </row>
    <row r="52" spans="1:18" s="13" customFormat="1" x14ac:dyDescent="0.25">
      <c r="A52" s="22"/>
      <c r="B52" s="22" t="s">
        <v>27</v>
      </c>
      <c r="C52" s="22" t="s">
        <v>181</v>
      </c>
      <c r="D52" s="22" t="s">
        <v>182</v>
      </c>
      <c r="E52" s="22" t="s">
        <v>183</v>
      </c>
      <c r="F52" s="27">
        <v>3</v>
      </c>
      <c r="G52" s="27">
        <v>815</v>
      </c>
      <c r="H52" s="27">
        <v>25</v>
      </c>
      <c r="I52" s="27">
        <f t="shared" si="3"/>
        <v>790</v>
      </c>
      <c r="J52" s="22" t="s">
        <v>184</v>
      </c>
      <c r="K52" s="22" t="s">
        <v>31</v>
      </c>
      <c r="L52" s="22" t="s">
        <v>185</v>
      </c>
      <c r="M52" s="22" t="s">
        <v>186</v>
      </c>
      <c r="N52" s="22" t="s">
        <v>187</v>
      </c>
      <c r="O52" s="22" t="s">
        <v>187</v>
      </c>
      <c r="P52" s="22" t="s">
        <v>188</v>
      </c>
      <c r="Q52" s="22">
        <v>1</v>
      </c>
    </row>
    <row r="53" spans="1:18" s="29" customFormat="1" x14ac:dyDescent="0.25">
      <c r="A53" s="30"/>
      <c r="B53" s="30" t="s">
        <v>27</v>
      </c>
      <c r="C53" s="30" t="s">
        <v>212</v>
      </c>
      <c r="D53" s="30" t="s">
        <v>213</v>
      </c>
      <c r="E53" s="30" t="s">
        <v>214</v>
      </c>
      <c r="F53" s="31" t="s">
        <v>39</v>
      </c>
      <c r="G53" s="30">
        <v>695</v>
      </c>
      <c r="H53" s="30">
        <v>0</v>
      </c>
      <c r="I53" s="30">
        <f t="shared" si="3"/>
        <v>695</v>
      </c>
      <c r="J53" s="22" t="s">
        <v>184</v>
      </c>
      <c r="K53" s="30" t="s">
        <v>31</v>
      </c>
      <c r="L53" s="30" t="s">
        <v>185</v>
      </c>
      <c r="M53" s="30" t="s">
        <v>205</v>
      </c>
      <c r="N53" s="30" t="s">
        <v>187</v>
      </c>
      <c r="O53" s="30" t="s">
        <v>187</v>
      </c>
      <c r="P53" s="30" t="s">
        <v>188</v>
      </c>
      <c r="Q53" s="30">
        <v>1</v>
      </c>
    </row>
    <row r="55" spans="1:18" x14ac:dyDescent="0.25">
      <c r="D55" s="9">
        <f>COUNTA(D3:D53)</f>
        <v>42</v>
      </c>
      <c r="G55" s="9">
        <f t="shared" ref="G55:Q55" si="5">SUBTOTAL(9,G3:G53)</f>
        <v>38390</v>
      </c>
      <c r="H55" s="9">
        <f t="shared" si="5"/>
        <v>1425</v>
      </c>
      <c r="I55" s="9">
        <f>SUBTOTAL(9,I3:I53)</f>
        <v>36965</v>
      </c>
      <c r="J55" s="9">
        <f t="shared" si="5"/>
        <v>0</v>
      </c>
      <c r="K55" s="9">
        <f t="shared" si="5"/>
        <v>0</v>
      </c>
      <c r="L55" s="9">
        <f t="shared" si="5"/>
        <v>0</v>
      </c>
      <c r="M55" s="9">
        <f t="shared" si="5"/>
        <v>0</v>
      </c>
      <c r="N55" s="9">
        <f t="shared" si="5"/>
        <v>0</v>
      </c>
      <c r="O55" s="9">
        <f t="shared" si="5"/>
        <v>0</v>
      </c>
      <c r="P55" s="9">
        <f t="shared" si="5"/>
        <v>0</v>
      </c>
      <c r="Q55" s="9">
        <f t="shared" si="5"/>
        <v>51</v>
      </c>
    </row>
    <row r="56" spans="1:18" x14ac:dyDescent="0.25">
      <c r="H56">
        <f>-7*17</f>
        <v>-119</v>
      </c>
    </row>
    <row r="57" spans="1:18" x14ac:dyDescent="0.25">
      <c r="A57" s="9" t="s">
        <v>27</v>
      </c>
      <c r="C57" s="46" t="s">
        <v>189</v>
      </c>
      <c r="D57" s="46"/>
      <c r="E57" s="10" t="s">
        <v>190</v>
      </c>
      <c r="H57">
        <f>-5*25</f>
        <v>-125</v>
      </c>
      <c r="K57" s="11" t="s">
        <v>30</v>
      </c>
      <c r="L57" s="11" t="s">
        <v>191</v>
      </c>
      <c r="M57" s="11" t="s">
        <v>190</v>
      </c>
      <c r="O57" s="10" t="s">
        <v>192</v>
      </c>
    </row>
    <row r="58" spans="1:18" x14ac:dyDescent="0.25">
      <c r="A58" t="s">
        <v>32</v>
      </c>
      <c r="B58" s="12" t="s">
        <v>193</v>
      </c>
      <c r="C58" s="47">
        <f>SUMIFS(I$3:I$53,B$3:B$53,A$57,L$3:L$53,A$58)</f>
        <v>35480</v>
      </c>
      <c r="D58" s="47"/>
      <c r="E58" s="12">
        <f>SUMIFS(Q$3:Q$53,B$3:B$53,A$57,L$3:L$53,A$58)</f>
        <v>49</v>
      </c>
      <c r="F58" t="s">
        <v>194</v>
      </c>
      <c r="H58">
        <f>-2*30</f>
        <v>-60</v>
      </c>
      <c r="K58" t="s">
        <v>195</v>
      </c>
      <c r="L58">
        <f>SUMIFS(G$3:G$53,J$3:J$53,K$57)</f>
        <v>11095</v>
      </c>
      <c r="M58">
        <f>SUMIFS(Q$3:Q$53,J$3:J$53,K$57)-INT(COUNTIFS(J$3:J$53,K$57,M$3:M$53,"*gộp*")/2)</f>
        <v>14</v>
      </c>
      <c r="O58" t="s">
        <v>30</v>
      </c>
      <c r="P58">
        <f>L63</f>
        <v>10003</v>
      </c>
    </row>
    <row r="59" spans="1:18" x14ac:dyDescent="0.25">
      <c r="B59" s="13" t="s">
        <v>196</v>
      </c>
      <c r="C59" s="48">
        <v>0</v>
      </c>
      <c r="D59" s="48"/>
      <c r="K59" t="s">
        <v>197</v>
      </c>
      <c r="L59">
        <f>-SUMIFS(H$3:H$53,J$3:J$53,K$57)+M59*5</f>
        <v>-295</v>
      </c>
      <c r="M59">
        <f>SUMIFS(Q$3:Q$53,J$3:J$53,K$57)-INT(COUNTIFS(J$3:J$53,K$57,M$3:M$53,"*gộp*")/2)</f>
        <v>14</v>
      </c>
      <c r="O59" t="s">
        <v>198</v>
      </c>
      <c r="P59">
        <f>L71</f>
        <v>7801</v>
      </c>
    </row>
    <row r="60" spans="1:18" x14ac:dyDescent="0.25">
      <c r="B60" s="13" t="s">
        <v>199</v>
      </c>
      <c r="C60" s="48">
        <f>-SUMIFS(I$3:I$53,B$3:B$53,A$57,P$3:P$53,"xx",N$3:N$53,"x")</f>
        <v>-1485</v>
      </c>
      <c r="D60" s="48"/>
      <c r="E60" s="13">
        <f>SUMIFS(Q$3:Q$53,B$3:B$53,A$57,P$3:P$53,"xx",N$3:N$53,"x")</f>
        <v>2</v>
      </c>
      <c r="K60" t="s">
        <v>200</v>
      </c>
      <c r="L60">
        <f>-M60*2</f>
        <v>-2</v>
      </c>
      <c r="M60">
        <f>COUNTIFS(K$3:K$53,K$57,L$3:L$53,A$58)-(COUNTIFS(K$3:K$53,K$57,M$3:M$53,"*gộp*")/2)-COUNTIFS(K$3:K$53,K$57,M$3:M$53,"*đơn trả*")-COUNTIFS(K$3:K$53,K$57,M$3:M$53,"*hàng tỉnh*")</f>
        <v>1</v>
      </c>
      <c r="O60" t="s">
        <v>31</v>
      </c>
      <c r="P60">
        <f>L79</f>
        <v>16391</v>
      </c>
    </row>
    <row r="61" spans="1:18" x14ac:dyDescent="0.25">
      <c r="B61" s="10" t="s">
        <v>201</v>
      </c>
      <c r="C61" s="46">
        <f>SUBTOTAL(9,C58:C60)</f>
        <v>33995</v>
      </c>
      <c r="D61" s="46"/>
      <c r="E61">
        <f>E58</f>
        <v>49</v>
      </c>
      <c r="K61" s="14" t="s">
        <v>186</v>
      </c>
      <c r="L61" s="28">
        <v>-795</v>
      </c>
      <c r="M61" s="28" t="s">
        <v>202</v>
      </c>
      <c r="O61" t="s">
        <v>203</v>
      </c>
      <c r="P61">
        <f>-C65</f>
        <v>-33995</v>
      </c>
    </row>
    <row r="62" spans="1:18" x14ac:dyDescent="0.25">
      <c r="B62" s="13" t="s">
        <v>204</v>
      </c>
      <c r="C62" s="44"/>
      <c r="D62" s="44"/>
      <c r="K62" s="13" t="s">
        <v>205</v>
      </c>
      <c r="O62" s="10" t="s">
        <v>206</v>
      </c>
      <c r="P62" s="10">
        <f>SUBTOTAL(9,P58:P61)</f>
        <v>200</v>
      </c>
    </row>
    <row r="63" spans="1:18" x14ac:dyDescent="0.25">
      <c r="B63" s="15" t="s">
        <v>207</v>
      </c>
      <c r="C63" s="44"/>
      <c r="D63" s="44"/>
      <c r="L63" s="16">
        <f>SUBTOTAL(9,L58:L62)</f>
        <v>10003</v>
      </c>
      <c r="M63" s="16">
        <f>M58</f>
        <v>14</v>
      </c>
    </row>
    <row r="65" spans="2:13" x14ac:dyDescent="0.25">
      <c r="B65" s="9" t="s">
        <v>208</v>
      </c>
      <c r="C65" s="45">
        <f>C61+C62+C63</f>
        <v>33995</v>
      </c>
      <c r="D65" s="45"/>
      <c r="E65" s="9" t="s">
        <v>209</v>
      </c>
      <c r="K65" s="11" t="s">
        <v>36</v>
      </c>
      <c r="L65" s="11" t="s">
        <v>191</v>
      </c>
      <c r="M65" s="11" t="s">
        <v>190</v>
      </c>
    </row>
    <row r="66" spans="2:13" x14ac:dyDescent="0.25">
      <c r="K66" t="s">
        <v>195</v>
      </c>
      <c r="L66">
        <f>SUMIFS(G$3:G$53,J$3:J$53,K$65)</f>
        <v>8105</v>
      </c>
      <c r="M66">
        <f>SUMIFS(Q$3:Q$53,J$3:J$53,K$65)-INT(COUNTIFS(J$3:J$53,K$65,M$3:M$53,"*gộp*")/2)</f>
        <v>14</v>
      </c>
    </row>
    <row r="67" spans="2:13" x14ac:dyDescent="0.25">
      <c r="K67" t="s">
        <v>197</v>
      </c>
      <c r="L67">
        <f>SUM(H56:H58)</f>
        <v>-304</v>
      </c>
      <c r="M67">
        <f>SUMIFS(Q$3:Q$53,J$3:J$53,K$65)-INT(COUNTIFS(J$3:J$53,K$65,M$3:M$53,"*gộp*")/2)</f>
        <v>14</v>
      </c>
    </row>
    <row r="68" spans="2:13" x14ac:dyDescent="0.25">
      <c r="K68" t="s">
        <v>200</v>
      </c>
      <c r="L68">
        <f>-M68*2</f>
        <v>0</v>
      </c>
      <c r="M68">
        <f>COUNTIFS(K$3:K$53,K$65,L$3:L$53,A$58)-(COUNTIFS(K$3:K$53,K$65,M$3:M$53,"*gộp*")/2)-COUNTIFS(K$3:K$53,K$65,M$3:M$53,"*đơn trả*")-COUNTIFS(K$3:K$53,K$65,M$3:M$53,"*hàng tỉnh*")</f>
        <v>0</v>
      </c>
    </row>
    <row r="69" spans="2:13" x14ac:dyDescent="0.25">
      <c r="K69" s="14" t="s">
        <v>186</v>
      </c>
    </row>
    <row r="70" spans="2:13" x14ac:dyDescent="0.25">
      <c r="K70" s="13" t="s">
        <v>205</v>
      </c>
    </row>
    <row r="71" spans="2:13" x14ac:dyDescent="0.25">
      <c r="L71" s="16">
        <f>SUBTOTAL(9,L66:L70)</f>
        <v>7801</v>
      </c>
      <c r="M71" s="16">
        <f>M66</f>
        <v>14</v>
      </c>
    </row>
    <row r="73" spans="2:13" x14ac:dyDescent="0.25">
      <c r="K73" s="11" t="s">
        <v>31</v>
      </c>
      <c r="L73" s="11" t="s">
        <v>191</v>
      </c>
      <c r="M73" s="11" t="s">
        <v>190</v>
      </c>
    </row>
    <row r="74" spans="2:13" x14ac:dyDescent="0.25">
      <c r="K74" t="s">
        <v>195</v>
      </c>
      <c r="L74">
        <f>SUMIFS(G$3:G$53,J$3:J$53,K$73)</f>
        <v>17680</v>
      </c>
      <c r="M74">
        <f>SUMIFS(Q$3:Q$53,J$3:J$53,K$73)-INT(COUNTIFS(J$3:J$53,K$73,M$3:M$53,"*gộp*")/2)</f>
        <v>21</v>
      </c>
    </row>
    <row r="75" spans="2:13" x14ac:dyDescent="0.25">
      <c r="K75" t="s">
        <v>197</v>
      </c>
      <c r="L75">
        <f>-SUMIFS(H$3:H$53,J$3:J$53,K$73)+M75*5</f>
        <v>-500</v>
      </c>
      <c r="M75">
        <f>SUMIFS(Q$3:Q$53,J$3:J$53,K$73)-INT(COUNTIFS(J$3:J$53,K$73,M$3:M$53,"*gộp*")/2)</f>
        <v>21</v>
      </c>
    </row>
    <row r="76" spans="2:13" x14ac:dyDescent="0.25">
      <c r="K76" t="s">
        <v>200</v>
      </c>
      <c r="L76">
        <f>-M76*2</f>
        <v>-94</v>
      </c>
      <c r="M76">
        <f>COUNTIFS(K$3:K$53,K$73,L$3:L$53,A$58)-(COUNTIFS(K$3:K$53,K$73,M$3:M$53,"*gộp*")/2)-COUNTIFS(K$3:K$53,K$73,M$3:M$53,"*đơn trả*")-COUNTIFS(K$3:K$53,K$73,M$3:M$53,"*hàng tỉnh*")</f>
        <v>47</v>
      </c>
    </row>
    <row r="77" spans="2:13" x14ac:dyDescent="0.25">
      <c r="K77" s="14" t="s">
        <v>186</v>
      </c>
      <c r="L77" s="28">
        <v>-695</v>
      </c>
      <c r="M77" s="28" t="s">
        <v>202</v>
      </c>
    </row>
    <row r="78" spans="2:13" x14ac:dyDescent="0.25">
      <c r="K78" s="13" t="s">
        <v>205</v>
      </c>
    </row>
    <row r="79" spans="2:13" x14ac:dyDescent="0.25">
      <c r="L79" s="16">
        <f>SUBTOTAL(9,L74:L78)</f>
        <v>16391</v>
      </c>
      <c r="M79" s="16">
        <f>M74</f>
        <v>21</v>
      </c>
    </row>
  </sheetData>
  <autoFilter ref="A2:P53" xr:uid="{00000000-0009-0000-0000-000000000000}">
    <sortState xmlns:xlrd2="http://schemas.microsoft.com/office/spreadsheetml/2017/richdata2" ref="A3:P53">
      <sortCondition ref="J2:J53"/>
    </sortState>
  </autoFilter>
  <mergeCells count="8">
    <mergeCell ref="C63:D63"/>
    <mergeCell ref="C65:D65"/>
    <mergeCell ref="C57:D57"/>
    <mergeCell ref="C58:D58"/>
    <mergeCell ref="C59:D59"/>
    <mergeCell ref="C60:D60"/>
    <mergeCell ref="C61:D61"/>
    <mergeCell ref="C62:D62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68318-3155-4240-8428-E512CEE2A56F}">
  <dimension ref="A1:R77"/>
  <sheetViews>
    <sheetView zoomScale="90" zoomScaleNormal="90" workbookViewId="0"/>
  </sheetViews>
  <sheetFormatPr defaultRowHeight="15" x14ac:dyDescent="0.25"/>
  <cols>
    <col min="1" max="1" width="12.7109375" customWidth="1"/>
    <col min="2" max="2" width="9" customWidth="1"/>
    <col min="3" max="3" width="39.28515625" customWidth="1"/>
    <col min="4" max="4" width="9.85546875" customWidth="1"/>
    <col min="5" max="5" width="76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6.28515625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357</v>
      </c>
      <c r="C1" s="17" t="s">
        <v>358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215</v>
      </c>
      <c r="D3" s="20" t="s">
        <v>216</v>
      </c>
      <c r="E3" s="20" t="s">
        <v>217</v>
      </c>
      <c r="F3" s="20" t="s">
        <v>218</v>
      </c>
      <c r="G3" s="21">
        <v>995</v>
      </c>
      <c r="H3" s="21">
        <v>35</v>
      </c>
      <c r="I3" s="21">
        <f t="shared" ref="I3:I50" si="0">G3-H3</f>
        <v>960</v>
      </c>
      <c r="J3" s="20" t="s">
        <v>219</v>
      </c>
      <c r="K3" s="20" t="s">
        <v>31</v>
      </c>
      <c r="L3" s="20" t="s">
        <v>220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27</v>
      </c>
      <c r="C4" s="20" t="s">
        <v>221</v>
      </c>
      <c r="D4" s="20" t="s">
        <v>222</v>
      </c>
      <c r="E4" s="20" t="s">
        <v>223</v>
      </c>
      <c r="F4" s="21">
        <v>7</v>
      </c>
      <c r="G4" s="21">
        <v>1380</v>
      </c>
      <c r="H4" s="21">
        <v>30</v>
      </c>
      <c r="I4" s="21">
        <f t="shared" si="0"/>
        <v>1350</v>
      </c>
      <c r="J4" s="20" t="s">
        <v>219</v>
      </c>
      <c r="K4" s="20" t="s">
        <v>31</v>
      </c>
      <c r="L4" s="20" t="s">
        <v>220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27</v>
      </c>
      <c r="C5" s="20" t="s">
        <v>230</v>
      </c>
      <c r="D5" s="20" t="s">
        <v>231</v>
      </c>
      <c r="E5" s="20" t="s">
        <v>232</v>
      </c>
      <c r="F5" s="21">
        <v>7</v>
      </c>
      <c r="G5" s="21">
        <v>0</v>
      </c>
      <c r="H5" s="21">
        <v>30</v>
      </c>
      <c r="I5" s="21">
        <f t="shared" si="0"/>
        <v>-30</v>
      </c>
      <c r="J5" s="20" t="s">
        <v>219</v>
      </c>
      <c r="K5" s="20" t="s">
        <v>31</v>
      </c>
      <c r="L5" s="20" t="s">
        <v>220</v>
      </c>
      <c r="M5" s="20"/>
      <c r="N5" s="20"/>
      <c r="O5" s="20"/>
      <c r="P5" s="20"/>
      <c r="Q5" s="20">
        <v>1</v>
      </c>
      <c r="R5" s="8">
        <f>H5</f>
        <v>30</v>
      </c>
    </row>
    <row r="6" spans="1:18" x14ac:dyDescent="0.25">
      <c r="A6" s="20"/>
      <c r="B6" s="20" t="s">
        <v>27</v>
      </c>
      <c r="C6" s="20" t="s">
        <v>242</v>
      </c>
      <c r="D6" s="20" t="s">
        <v>243</v>
      </c>
      <c r="E6" s="20" t="s">
        <v>244</v>
      </c>
      <c r="F6" s="21">
        <v>7</v>
      </c>
      <c r="G6" s="21">
        <v>520</v>
      </c>
      <c r="H6" s="21">
        <v>30</v>
      </c>
      <c r="I6" s="21">
        <f t="shared" si="0"/>
        <v>490</v>
      </c>
      <c r="J6" s="20" t="s">
        <v>219</v>
      </c>
      <c r="K6" s="20" t="s">
        <v>31</v>
      </c>
      <c r="L6" s="20" t="s">
        <v>220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27</v>
      </c>
      <c r="C7" s="20" t="s">
        <v>254</v>
      </c>
      <c r="D7" s="20" t="s">
        <v>255</v>
      </c>
      <c r="E7" s="20" t="s">
        <v>256</v>
      </c>
      <c r="F7" s="21">
        <v>6</v>
      </c>
      <c r="G7" s="21">
        <v>0</v>
      </c>
      <c r="H7" s="21">
        <v>25</v>
      </c>
      <c r="I7" s="21">
        <f t="shared" si="0"/>
        <v>-25</v>
      </c>
      <c r="J7" s="20" t="s">
        <v>219</v>
      </c>
      <c r="K7" s="20" t="s">
        <v>31</v>
      </c>
      <c r="L7" s="20" t="s">
        <v>220</v>
      </c>
      <c r="M7" s="20"/>
      <c r="N7" s="20"/>
      <c r="O7" s="20"/>
      <c r="P7" s="20"/>
      <c r="Q7" s="20">
        <v>1</v>
      </c>
      <c r="R7" s="8">
        <f>H7</f>
        <v>25</v>
      </c>
    </row>
    <row r="8" spans="1:18" x14ac:dyDescent="0.25">
      <c r="A8" s="20"/>
      <c r="B8" s="20" t="s">
        <v>27</v>
      </c>
      <c r="C8" s="20" t="s">
        <v>260</v>
      </c>
      <c r="D8" s="20" t="s">
        <v>261</v>
      </c>
      <c r="E8" s="20" t="s">
        <v>262</v>
      </c>
      <c r="F8" s="21">
        <v>12</v>
      </c>
      <c r="G8" s="21">
        <v>460</v>
      </c>
      <c r="H8" s="21">
        <v>30</v>
      </c>
      <c r="I8" s="21">
        <f t="shared" si="0"/>
        <v>430</v>
      </c>
      <c r="J8" s="20" t="s">
        <v>219</v>
      </c>
      <c r="K8" s="20" t="s">
        <v>31</v>
      </c>
      <c r="L8" s="20" t="s">
        <v>220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269</v>
      </c>
      <c r="D9" s="20" t="s">
        <v>270</v>
      </c>
      <c r="E9" s="20" t="s">
        <v>271</v>
      </c>
      <c r="F9" s="21">
        <v>6</v>
      </c>
      <c r="G9" s="21">
        <v>25</v>
      </c>
      <c r="H9" s="21">
        <v>25</v>
      </c>
      <c r="I9" s="21">
        <f t="shared" si="0"/>
        <v>0</v>
      </c>
      <c r="J9" s="20" t="s">
        <v>219</v>
      </c>
      <c r="K9" s="20" t="s">
        <v>31</v>
      </c>
      <c r="L9" s="20" t="s">
        <v>220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272</v>
      </c>
      <c r="D10" s="20" t="s">
        <v>273</v>
      </c>
      <c r="E10" s="20" t="s">
        <v>274</v>
      </c>
      <c r="F10" s="20" t="s">
        <v>35</v>
      </c>
      <c r="G10" s="21">
        <v>0</v>
      </c>
      <c r="H10" s="21">
        <v>30</v>
      </c>
      <c r="I10" s="21">
        <f t="shared" si="0"/>
        <v>-30</v>
      </c>
      <c r="J10" s="20" t="s">
        <v>219</v>
      </c>
      <c r="K10" s="20" t="s">
        <v>31</v>
      </c>
      <c r="L10" s="20" t="s">
        <v>220</v>
      </c>
      <c r="M10" s="20"/>
      <c r="N10" s="20"/>
      <c r="O10" s="20"/>
      <c r="P10" s="20"/>
      <c r="Q10" s="20">
        <v>1</v>
      </c>
      <c r="R10" s="8">
        <f t="shared" ref="R10:R11" si="1">H10</f>
        <v>30</v>
      </c>
    </row>
    <row r="11" spans="1:18" x14ac:dyDescent="0.25">
      <c r="A11" s="20"/>
      <c r="B11" s="20" t="s">
        <v>27</v>
      </c>
      <c r="C11" s="20" t="s">
        <v>278</v>
      </c>
      <c r="D11" s="20" t="s">
        <v>279</v>
      </c>
      <c r="E11" s="20" t="s">
        <v>44</v>
      </c>
      <c r="F11" s="21">
        <v>6</v>
      </c>
      <c r="G11" s="21">
        <v>0</v>
      </c>
      <c r="H11" s="21">
        <v>25</v>
      </c>
      <c r="I11" s="21">
        <f t="shared" si="0"/>
        <v>-25</v>
      </c>
      <c r="J11" s="20" t="s">
        <v>219</v>
      </c>
      <c r="K11" s="20" t="s">
        <v>31</v>
      </c>
      <c r="L11" s="20" t="s">
        <v>220</v>
      </c>
      <c r="M11" s="20"/>
      <c r="N11" s="20"/>
      <c r="O11" s="20"/>
      <c r="P11" s="20"/>
      <c r="Q11" s="20">
        <v>1</v>
      </c>
      <c r="R11" s="8">
        <f t="shared" si="1"/>
        <v>25</v>
      </c>
    </row>
    <row r="12" spans="1:18" x14ac:dyDescent="0.25">
      <c r="A12" s="20"/>
      <c r="B12" s="20" t="s">
        <v>27</v>
      </c>
      <c r="C12" s="20" t="s">
        <v>283</v>
      </c>
      <c r="D12" s="20" t="s">
        <v>284</v>
      </c>
      <c r="E12" s="20" t="s">
        <v>285</v>
      </c>
      <c r="F12" s="21">
        <v>7</v>
      </c>
      <c r="G12" s="21">
        <v>520</v>
      </c>
      <c r="H12" s="21">
        <v>30</v>
      </c>
      <c r="I12" s="21">
        <f t="shared" si="0"/>
        <v>490</v>
      </c>
      <c r="J12" s="20" t="s">
        <v>219</v>
      </c>
      <c r="K12" s="20" t="s">
        <v>31</v>
      </c>
      <c r="L12" s="20" t="s">
        <v>220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286</v>
      </c>
      <c r="D13" s="20" t="s">
        <v>287</v>
      </c>
      <c r="E13" s="20" t="s">
        <v>288</v>
      </c>
      <c r="F13" s="21">
        <v>7</v>
      </c>
      <c r="G13" s="21">
        <v>700</v>
      </c>
      <c r="H13" s="21">
        <v>30</v>
      </c>
      <c r="I13" s="21">
        <f t="shared" si="0"/>
        <v>670</v>
      </c>
      <c r="J13" s="20" t="s">
        <v>219</v>
      </c>
      <c r="K13" s="20" t="s">
        <v>31</v>
      </c>
      <c r="L13" s="20" t="s">
        <v>220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27</v>
      </c>
      <c r="C14" s="20" t="s">
        <v>289</v>
      </c>
      <c r="D14" s="20" t="s">
        <v>290</v>
      </c>
      <c r="E14" s="20" t="s">
        <v>291</v>
      </c>
      <c r="F14" s="21">
        <v>7</v>
      </c>
      <c r="G14" s="21">
        <v>0</v>
      </c>
      <c r="H14" s="21">
        <v>30</v>
      </c>
      <c r="I14" s="21">
        <f t="shared" si="0"/>
        <v>-30</v>
      </c>
      <c r="J14" s="20" t="s">
        <v>219</v>
      </c>
      <c r="K14" s="20" t="s">
        <v>31</v>
      </c>
      <c r="L14" s="20" t="s">
        <v>220</v>
      </c>
      <c r="M14" s="20"/>
      <c r="N14" s="20"/>
      <c r="O14" s="20"/>
      <c r="P14" s="20"/>
      <c r="Q14" s="20">
        <v>1</v>
      </c>
      <c r="R14" s="8">
        <f>H14</f>
        <v>30</v>
      </c>
    </row>
    <row r="15" spans="1:18" x14ac:dyDescent="0.25">
      <c r="A15" s="20"/>
      <c r="B15" s="20" t="s">
        <v>27</v>
      </c>
      <c r="C15" s="20" t="s">
        <v>295</v>
      </c>
      <c r="D15" s="20" t="s">
        <v>296</v>
      </c>
      <c r="E15" s="20" t="s">
        <v>297</v>
      </c>
      <c r="F15" s="21">
        <v>7</v>
      </c>
      <c r="G15" s="21">
        <v>990</v>
      </c>
      <c r="H15" s="21">
        <v>30</v>
      </c>
      <c r="I15" s="21">
        <f t="shared" si="0"/>
        <v>960</v>
      </c>
      <c r="J15" s="20" t="s">
        <v>219</v>
      </c>
      <c r="K15" s="20" t="s">
        <v>31</v>
      </c>
      <c r="L15" s="20" t="s">
        <v>220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27</v>
      </c>
      <c r="C16" s="20" t="s">
        <v>301</v>
      </c>
      <c r="D16" s="20" t="s">
        <v>302</v>
      </c>
      <c r="E16" s="20" t="s">
        <v>303</v>
      </c>
      <c r="F16" s="21">
        <v>7</v>
      </c>
      <c r="G16" s="21">
        <v>600</v>
      </c>
      <c r="H16" s="21">
        <v>30</v>
      </c>
      <c r="I16" s="21">
        <f t="shared" si="0"/>
        <v>570</v>
      </c>
      <c r="J16" s="20" t="s">
        <v>219</v>
      </c>
      <c r="K16" s="20" t="s">
        <v>31</v>
      </c>
      <c r="L16" s="20" t="s">
        <v>220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27</v>
      </c>
      <c r="C17" s="20" t="s">
        <v>322</v>
      </c>
      <c r="D17" s="20" t="s">
        <v>323</v>
      </c>
      <c r="E17" s="20" t="s">
        <v>324</v>
      </c>
      <c r="F17" s="20" t="s">
        <v>35</v>
      </c>
      <c r="G17" s="21">
        <v>770</v>
      </c>
      <c r="H17" s="21">
        <v>30</v>
      </c>
      <c r="I17" s="21">
        <f t="shared" si="0"/>
        <v>740</v>
      </c>
      <c r="J17" s="20" t="s">
        <v>219</v>
      </c>
      <c r="K17" s="20" t="s">
        <v>31</v>
      </c>
      <c r="L17" s="20" t="s">
        <v>220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27</v>
      </c>
      <c r="C18" s="20" t="s">
        <v>325</v>
      </c>
      <c r="D18" s="20" t="s">
        <v>326</v>
      </c>
      <c r="E18" s="20" t="s">
        <v>327</v>
      </c>
      <c r="F18" s="20" t="s">
        <v>121</v>
      </c>
      <c r="G18" s="21">
        <v>825</v>
      </c>
      <c r="H18" s="21">
        <v>35</v>
      </c>
      <c r="I18" s="21">
        <f t="shared" si="0"/>
        <v>790</v>
      </c>
      <c r="J18" s="20" t="s">
        <v>219</v>
      </c>
      <c r="K18" s="20" t="s">
        <v>31</v>
      </c>
      <c r="L18" s="20" t="s">
        <v>220</v>
      </c>
      <c r="M18" s="20"/>
      <c r="N18" s="20"/>
      <c r="O18" s="20"/>
      <c r="P18" s="20"/>
      <c r="Q18" s="20">
        <v>1</v>
      </c>
    </row>
    <row r="19" spans="1:18" x14ac:dyDescent="0.25">
      <c r="A19" s="20" t="s">
        <v>26</v>
      </c>
      <c r="B19" s="20" t="s">
        <v>27</v>
      </c>
      <c r="C19" s="20" t="s">
        <v>350</v>
      </c>
      <c r="D19" s="20"/>
      <c r="E19" s="20" t="s">
        <v>351</v>
      </c>
      <c r="F19" s="20" t="s">
        <v>35</v>
      </c>
      <c r="G19" s="21">
        <v>0</v>
      </c>
      <c r="H19" s="21">
        <v>35</v>
      </c>
      <c r="I19" s="21">
        <f t="shared" si="0"/>
        <v>-35</v>
      </c>
      <c r="J19" s="20" t="s">
        <v>219</v>
      </c>
      <c r="K19" s="20" t="s">
        <v>31</v>
      </c>
      <c r="L19" s="20" t="s">
        <v>220</v>
      </c>
      <c r="M19" s="20"/>
      <c r="N19" s="20"/>
      <c r="O19" s="20"/>
      <c r="P19" s="20"/>
      <c r="Q19" s="20">
        <v>1</v>
      </c>
      <c r="R19" s="8">
        <f>H19</f>
        <v>35</v>
      </c>
    </row>
    <row r="20" spans="1:18" x14ac:dyDescent="0.25">
      <c r="A20" s="20"/>
      <c r="B20" s="20" t="s">
        <v>27</v>
      </c>
      <c r="C20" s="20" t="s">
        <v>224</v>
      </c>
      <c r="D20" s="20" t="s">
        <v>225</v>
      </c>
      <c r="E20" s="20" t="s">
        <v>226</v>
      </c>
      <c r="F20" s="20" t="s">
        <v>77</v>
      </c>
      <c r="G20" s="21">
        <v>1170</v>
      </c>
      <c r="H20" s="21">
        <v>20</v>
      </c>
      <c r="I20" s="21">
        <f t="shared" si="0"/>
        <v>1150</v>
      </c>
      <c r="J20" s="20" t="s">
        <v>31</v>
      </c>
      <c r="K20" s="20" t="s">
        <v>31</v>
      </c>
      <c r="L20" s="20" t="s">
        <v>220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27</v>
      </c>
      <c r="C21" s="20" t="s">
        <v>227</v>
      </c>
      <c r="D21" s="20" t="s">
        <v>228</v>
      </c>
      <c r="E21" s="20" t="s">
        <v>229</v>
      </c>
      <c r="F21" s="20" t="s">
        <v>39</v>
      </c>
      <c r="G21" s="21">
        <v>0</v>
      </c>
      <c r="H21" s="21">
        <v>25</v>
      </c>
      <c r="I21" s="21">
        <f t="shared" si="0"/>
        <v>-25</v>
      </c>
      <c r="J21" s="20" t="s">
        <v>31</v>
      </c>
      <c r="K21" s="20" t="s">
        <v>31</v>
      </c>
      <c r="L21" s="20" t="s">
        <v>220</v>
      </c>
      <c r="M21" s="20"/>
      <c r="N21" s="20"/>
      <c r="O21" s="20"/>
      <c r="P21" s="20"/>
      <c r="Q21" s="20">
        <v>1</v>
      </c>
      <c r="R21" s="8">
        <f>H21</f>
        <v>25</v>
      </c>
    </row>
    <row r="22" spans="1:18" x14ac:dyDescent="0.25">
      <c r="A22" s="20"/>
      <c r="B22" s="20" t="s">
        <v>27</v>
      </c>
      <c r="C22" s="20" t="s">
        <v>239</v>
      </c>
      <c r="D22" s="20" t="s">
        <v>240</v>
      </c>
      <c r="E22" s="20" t="s">
        <v>241</v>
      </c>
      <c r="F22" s="21">
        <v>12</v>
      </c>
      <c r="G22" s="21">
        <v>920</v>
      </c>
      <c r="H22" s="21">
        <v>30</v>
      </c>
      <c r="I22" s="21">
        <f t="shared" si="0"/>
        <v>890</v>
      </c>
      <c r="J22" s="20" t="s">
        <v>31</v>
      </c>
      <c r="K22" s="20" t="s">
        <v>31</v>
      </c>
      <c r="L22" s="20" t="s">
        <v>220</v>
      </c>
      <c r="M22" s="20"/>
      <c r="N22" s="20"/>
      <c r="O22" s="20"/>
      <c r="P22" s="20"/>
      <c r="Q22" s="20">
        <v>1</v>
      </c>
    </row>
    <row r="23" spans="1:18" s="26" customFormat="1" x14ac:dyDescent="0.25">
      <c r="A23" s="24"/>
      <c r="B23" s="24" t="s">
        <v>27</v>
      </c>
      <c r="C23" s="24" t="s">
        <v>251</v>
      </c>
      <c r="D23" s="24" t="s">
        <v>252</v>
      </c>
      <c r="E23" s="24" t="s">
        <v>253</v>
      </c>
      <c r="F23" s="24" t="s">
        <v>77</v>
      </c>
      <c r="G23" s="25">
        <v>20</v>
      </c>
      <c r="H23" s="25">
        <v>20</v>
      </c>
      <c r="I23" s="25">
        <f t="shared" si="0"/>
        <v>0</v>
      </c>
      <c r="J23" s="24" t="s">
        <v>31</v>
      </c>
      <c r="K23" s="24" t="s">
        <v>31</v>
      </c>
      <c r="L23" s="24" t="s">
        <v>220</v>
      </c>
      <c r="M23" s="24" t="s">
        <v>84</v>
      </c>
      <c r="N23" s="24"/>
      <c r="O23" s="24"/>
      <c r="P23" s="24"/>
      <c r="Q23" s="24">
        <v>1</v>
      </c>
    </row>
    <row r="24" spans="1:18" x14ac:dyDescent="0.25">
      <c r="A24" s="20"/>
      <c r="B24" s="20" t="s">
        <v>27</v>
      </c>
      <c r="C24" s="20" t="s">
        <v>275</v>
      </c>
      <c r="D24" s="20" t="s">
        <v>276</v>
      </c>
      <c r="E24" s="20" t="s">
        <v>277</v>
      </c>
      <c r="F24" s="20" t="s">
        <v>77</v>
      </c>
      <c r="G24" s="21">
        <v>0</v>
      </c>
      <c r="H24" s="21">
        <v>20</v>
      </c>
      <c r="I24" s="21">
        <f t="shared" si="0"/>
        <v>-20</v>
      </c>
      <c r="J24" s="20" t="s">
        <v>31</v>
      </c>
      <c r="K24" s="20" t="s">
        <v>31</v>
      </c>
      <c r="L24" s="20" t="s">
        <v>220</v>
      </c>
      <c r="M24" s="20"/>
      <c r="N24" s="20"/>
      <c r="O24" s="20"/>
      <c r="P24" s="20"/>
      <c r="Q24" s="20">
        <v>1</v>
      </c>
      <c r="R24" s="8">
        <f>H24</f>
        <v>20</v>
      </c>
    </row>
    <row r="25" spans="1:18" x14ac:dyDescent="0.25">
      <c r="A25" s="20"/>
      <c r="B25" s="20" t="s">
        <v>27</v>
      </c>
      <c r="C25" s="20" t="s">
        <v>280</v>
      </c>
      <c r="D25" s="20" t="s">
        <v>281</v>
      </c>
      <c r="E25" s="20" t="s">
        <v>282</v>
      </c>
      <c r="F25" s="20" t="s">
        <v>39</v>
      </c>
      <c r="G25" s="21">
        <v>805</v>
      </c>
      <c r="H25" s="21">
        <v>25</v>
      </c>
      <c r="I25" s="21">
        <f t="shared" si="0"/>
        <v>780</v>
      </c>
      <c r="J25" s="20" t="s">
        <v>31</v>
      </c>
      <c r="K25" s="20" t="s">
        <v>31</v>
      </c>
      <c r="L25" s="20" t="s">
        <v>220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27</v>
      </c>
      <c r="C26" s="20" t="s">
        <v>298</v>
      </c>
      <c r="D26" s="20" t="s">
        <v>299</v>
      </c>
      <c r="E26" s="20" t="s">
        <v>300</v>
      </c>
      <c r="F26" s="21">
        <v>12</v>
      </c>
      <c r="G26" s="21">
        <v>1970</v>
      </c>
      <c r="H26" s="21">
        <v>30</v>
      </c>
      <c r="I26" s="21">
        <f t="shared" si="0"/>
        <v>1940</v>
      </c>
      <c r="J26" s="20" t="s">
        <v>31</v>
      </c>
      <c r="K26" s="20" t="s">
        <v>31</v>
      </c>
      <c r="L26" s="20" t="s">
        <v>220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27</v>
      </c>
      <c r="C27" s="20" t="s">
        <v>304</v>
      </c>
      <c r="D27" s="20" t="s">
        <v>305</v>
      </c>
      <c r="E27" s="20" t="s">
        <v>306</v>
      </c>
      <c r="F27" s="21">
        <v>2</v>
      </c>
      <c r="G27" s="21">
        <v>820</v>
      </c>
      <c r="H27" s="21">
        <v>30</v>
      </c>
      <c r="I27" s="21">
        <f t="shared" si="0"/>
        <v>790</v>
      </c>
      <c r="J27" s="20" t="s">
        <v>31</v>
      </c>
      <c r="K27" s="20" t="s">
        <v>31</v>
      </c>
      <c r="L27" s="20" t="s">
        <v>220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307</v>
      </c>
      <c r="D28" s="20" t="s">
        <v>308</v>
      </c>
      <c r="E28" s="20" t="s">
        <v>309</v>
      </c>
      <c r="F28" s="21">
        <v>2</v>
      </c>
      <c r="G28" s="21">
        <v>0</v>
      </c>
      <c r="H28" s="21">
        <v>30</v>
      </c>
      <c r="I28" s="21">
        <f t="shared" si="0"/>
        <v>-30</v>
      </c>
      <c r="J28" s="20" t="s">
        <v>31</v>
      </c>
      <c r="K28" s="20" t="s">
        <v>31</v>
      </c>
      <c r="L28" s="20" t="s">
        <v>220</v>
      </c>
      <c r="M28" s="20"/>
      <c r="N28" s="20"/>
      <c r="O28" s="20"/>
      <c r="P28" s="20"/>
      <c r="Q28" s="20">
        <v>1</v>
      </c>
      <c r="R28" s="8">
        <f>H28</f>
        <v>30</v>
      </c>
    </row>
    <row r="29" spans="1:18" x14ac:dyDescent="0.25">
      <c r="A29" s="20"/>
      <c r="B29" s="20" t="s">
        <v>27</v>
      </c>
      <c r="C29" s="20" t="s">
        <v>313</v>
      </c>
      <c r="D29" s="20" t="s">
        <v>314</v>
      </c>
      <c r="E29" s="20" t="s">
        <v>315</v>
      </c>
      <c r="F29" s="20" t="s">
        <v>77</v>
      </c>
      <c r="G29" s="21">
        <v>750</v>
      </c>
      <c r="H29" s="21">
        <v>20</v>
      </c>
      <c r="I29" s="21">
        <f t="shared" si="0"/>
        <v>730</v>
      </c>
      <c r="J29" s="20" t="s">
        <v>31</v>
      </c>
      <c r="K29" s="20" t="s">
        <v>31</v>
      </c>
      <c r="L29" s="20" t="s">
        <v>220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27</v>
      </c>
      <c r="C30" s="20" t="s">
        <v>316</v>
      </c>
      <c r="D30" s="20" t="s">
        <v>317</v>
      </c>
      <c r="E30" s="20" t="s">
        <v>318</v>
      </c>
      <c r="F30" s="20" t="s">
        <v>39</v>
      </c>
      <c r="G30" s="21">
        <v>755</v>
      </c>
      <c r="H30" s="21">
        <v>25</v>
      </c>
      <c r="I30" s="21">
        <f t="shared" si="0"/>
        <v>730</v>
      </c>
      <c r="J30" s="20" t="s">
        <v>31</v>
      </c>
      <c r="K30" s="20" t="s">
        <v>31</v>
      </c>
      <c r="L30" s="20" t="s">
        <v>220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27</v>
      </c>
      <c r="C31" s="20" t="s">
        <v>319</v>
      </c>
      <c r="D31" s="20" t="s">
        <v>320</v>
      </c>
      <c r="E31" s="20" t="s">
        <v>321</v>
      </c>
      <c r="F31" s="20" t="s">
        <v>39</v>
      </c>
      <c r="G31" s="21">
        <v>915</v>
      </c>
      <c r="H31" s="21">
        <v>25</v>
      </c>
      <c r="I31" s="21">
        <f t="shared" si="0"/>
        <v>890</v>
      </c>
      <c r="J31" s="20" t="s">
        <v>31</v>
      </c>
      <c r="K31" s="20" t="s">
        <v>31</v>
      </c>
      <c r="L31" s="20" t="s">
        <v>220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27</v>
      </c>
      <c r="C32" s="20" t="s">
        <v>340</v>
      </c>
      <c r="D32" s="20" t="s">
        <v>341</v>
      </c>
      <c r="E32" s="20" t="s">
        <v>342</v>
      </c>
      <c r="F32" s="21">
        <v>2</v>
      </c>
      <c r="G32" s="21">
        <v>1020</v>
      </c>
      <c r="H32" s="21">
        <v>30</v>
      </c>
      <c r="I32" s="21">
        <f t="shared" si="0"/>
        <v>990</v>
      </c>
      <c r="J32" s="20" t="s">
        <v>31</v>
      </c>
      <c r="K32" s="20" t="s">
        <v>31</v>
      </c>
      <c r="L32" s="20" t="s">
        <v>220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27</v>
      </c>
      <c r="C33" s="20" t="s">
        <v>343</v>
      </c>
      <c r="D33" s="20" t="s">
        <v>344</v>
      </c>
      <c r="E33" s="20" t="s">
        <v>345</v>
      </c>
      <c r="F33" s="20" t="s">
        <v>77</v>
      </c>
      <c r="G33" s="21">
        <v>0</v>
      </c>
      <c r="H33" s="21">
        <v>20</v>
      </c>
      <c r="I33" s="21">
        <f t="shared" si="0"/>
        <v>-20</v>
      </c>
      <c r="J33" s="20" t="s">
        <v>31</v>
      </c>
      <c r="K33" s="20" t="s">
        <v>31</v>
      </c>
      <c r="L33" s="20" t="s">
        <v>220</v>
      </c>
      <c r="M33" s="20"/>
      <c r="N33" s="20"/>
      <c r="O33" s="20"/>
      <c r="P33" s="20"/>
      <c r="Q33" s="20">
        <v>1</v>
      </c>
      <c r="R33" s="8">
        <f>H33</f>
        <v>20</v>
      </c>
    </row>
    <row r="34" spans="1:18" x14ac:dyDescent="0.25">
      <c r="A34" s="20" t="s">
        <v>26</v>
      </c>
      <c r="B34" s="20" t="s">
        <v>27</v>
      </c>
      <c r="C34" s="20" t="s">
        <v>37</v>
      </c>
      <c r="D34" s="20"/>
      <c r="E34" s="20" t="s">
        <v>38</v>
      </c>
      <c r="F34" s="20" t="s">
        <v>39</v>
      </c>
      <c r="G34" s="21">
        <v>8510</v>
      </c>
      <c r="H34" s="21">
        <v>30</v>
      </c>
      <c r="I34" s="21">
        <f t="shared" si="0"/>
        <v>8480</v>
      </c>
      <c r="J34" s="20" t="s">
        <v>31</v>
      </c>
      <c r="K34" s="20" t="s">
        <v>31</v>
      </c>
      <c r="L34" s="20" t="s">
        <v>220</v>
      </c>
      <c r="M34" s="20"/>
      <c r="N34" s="20"/>
      <c r="O34" s="20"/>
      <c r="P34" s="20"/>
      <c r="Q34" s="20">
        <v>1</v>
      </c>
    </row>
    <row r="35" spans="1:18" x14ac:dyDescent="0.25">
      <c r="A35" s="20" t="s">
        <v>26</v>
      </c>
      <c r="B35" s="20" t="s">
        <v>27</v>
      </c>
      <c r="C35" s="20" t="s">
        <v>346</v>
      </c>
      <c r="D35" s="20"/>
      <c r="E35" s="20" t="s">
        <v>347</v>
      </c>
      <c r="F35" s="20" t="s">
        <v>39</v>
      </c>
      <c r="G35" s="21">
        <v>0</v>
      </c>
      <c r="H35" s="21">
        <v>30</v>
      </c>
      <c r="I35" s="21">
        <f t="shared" si="0"/>
        <v>-30</v>
      </c>
      <c r="J35" s="20" t="s">
        <v>31</v>
      </c>
      <c r="K35" s="20" t="s">
        <v>31</v>
      </c>
      <c r="L35" s="20" t="s">
        <v>220</v>
      </c>
      <c r="M35" s="20"/>
      <c r="N35" s="20"/>
      <c r="O35" s="20"/>
      <c r="P35" s="20"/>
      <c r="Q35" s="20">
        <v>1</v>
      </c>
      <c r="R35" s="8">
        <f>H35</f>
        <v>30</v>
      </c>
    </row>
    <row r="36" spans="1:18" x14ac:dyDescent="0.25">
      <c r="A36" s="20" t="s">
        <v>26</v>
      </c>
      <c r="B36" s="20" t="s">
        <v>27</v>
      </c>
      <c r="C36" s="20" t="s">
        <v>348</v>
      </c>
      <c r="D36" s="20"/>
      <c r="E36" s="20" t="s">
        <v>349</v>
      </c>
      <c r="F36" s="20" t="s">
        <v>39</v>
      </c>
      <c r="G36" s="21">
        <v>30</v>
      </c>
      <c r="H36" s="21">
        <v>30</v>
      </c>
      <c r="I36" s="21">
        <f t="shared" si="0"/>
        <v>0</v>
      </c>
      <c r="J36" s="20" t="s">
        <v>31</v>
      </c>
      <c r="K36" s="20" t="s">
        <v>31</v>
      </c>
      <c r="L36" s="20" t="s">
        <v>220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27</v>
      </c>
      <c r="C37" s="20" t="s">
        <v>233</v>
      </c>
      <c r="D37" s="20" t="s">
        <v>234</v>
      </c>
      <c r="E37" s="20" t="s">
        <v>235</v>
      </c>
      <c r="F37" s="20" t="s">
        <v>151</v>
      </c>
      <c r="G37" s="21">
        <v>815</v>
      </c>
      <c r="H37" s="21">
        <v>25</v>
      </c>
      <c r="I37" s="21">
        <f t="shared" si="0"/>
        <v>790</v>
      </c>
      <c r="J37" s="20" t="s">
        <v>30</v>
      </c>
      <c r="K37" s="20" t="s">
        <v>31</v>
      </c>
      <c r="L37" s="20" t="s">
        <v>220</v>
      </c>
      <c r="M37" s="20"/>
      <c r="N37" s="20"/>
      <c r="O37" s="20"/>
      <c r="P37" s="20"/>
      <c r="Q37" s="20">
        <v>1</v>
      </c>
    </row>
    <row r="38" spans="1:18" x14ac:dyDescent="0.25">
      <c r="A38" s="20"/>
      <c r="B38" s="20" t="s">
        <v>27</v>
      </c>
      <c r="C38" s="20" t="s">
        <v>236</v>
      </c>
      <c r="D38" s="20" t="s">
        <v>237</v>
      </c>
      <c r="E38" s="20" t="s">
        <v>238</v>
      </c>
      <c r="F38" s="21">
        <v>3</v>
      </c>
      <c r="G38" s="21">
        <v>815</v>
      </c>
      <c r="H38" s="21">
        <v>25</v>
      </c>
      <c r="I38" s="21">
        <f t="shared" si="0"/>
        <v>790</v>
      </c>
      <c r="J38" s="20" t="s">
        <v>30</v>
      </c>
      <c r="K38" s="20" t="s">
        <v>31</v>
      </c>
      <c r="L38" s="20" t="s">
        <v>220</v>
      </c>
      <c r="M38" s="20"/>
      <c r="N38" s="20"/>
      <c r="O38" s="20"/>
      <c r="P38" s="20"/>
      <c r="Q38" s="20">
        <v>1</v>
      </c>
    </row>
    <row r="39" spans="1:18" x14ac:dyDescent="0.25">
      <c r="A39" s="20"/>
      <c r="B39" s="20" t="s">
        <v>27</v>
      </c>
      <c r="C39" s="20" t="s">
        <v>245</v>
      </c>
      <c r="D39" s="20" t="s">
        <v>246</v>
      </c>
      <c r="E39" s="20" t="s">
        <v>247</v>
      </c>
      <c r="F39" s="20" t="s">
        <v>151</v>
      </c>
      <c r="G39" s="21">
        <v>1685</v>
      </c>
      <c r="H39" s="21">
        <v>25</v>
      </c>
      <c r="I39" s="21">
        <f t="shared" si="0"/>
        <v>1660</v>
      </c>
      <c r="J39" s="20" t="s">
        <v>30</v>
      </c>
      <c r="K39" s="20" t="s">
        <v>31</v>
      </c>
      <c r="L39" s="20" t="s">
        <v>220</v>
      </c>
      <c r="M39" s="20"/>
      <c r="N39" s="20"/>
      <c r="O39" s="20"/>
      <c r="P39" s="20"/>
      <c r="Q39" s="20">
        <v>1</v>
      </c>
    </row>
    <row r="40" spans="1:18" x14ac:dyDescent="0.25">
      <c r="A40" s="20"/>
      <c r="B40" s="20" t="s">
        <v>27</v>
      </c>
      <c r="C40" s="20" t="s">
        <v>248</v>
      </c>
      <c r="D40" s="20" t="s">
        <v>249</v>
      </c>
      <c r="E40" s="20" t="s">
        <v>250</v>
      </c>
      <c r="F40" s="20" t="s">
        <v>151</v>
      </c>
      <c r="G40" s="21">
        <v>0</v>
      </c>
      <c r="H40" s="21">
        <v>25</v>
      </c>
      <c r="I40" s="21">
        <f t="shared" si="0"/>
        <v>-25</v>
      </c>
      <c r="J40" s="20" t="s">
        <v>30</v>
      </c>
      <c r="K40" s="20" t="s">
        <v>31</v>
      </c>
      <c r="L40" s="20" t="s">
        <v>220</v>
      </c>
      <c r="M40" s="20"/>
      <c r="N40" s="20"/>
      <c r="O40" s="20"/>
      <c r="P40" s="20"/>
      <c r="Q40" s="20">
        <v>1</v>
      </c>
      <c r="R40" s="8">
        <f t="shared" ref="R40:R41" si="2">H40</f>
        <v>25</v>
      </c>
    </row>
    <row r="41" spans="1:18" x14ac:dyDescent="0.25">
      <c r="A41" s="20"/>
      <c r="B41" s="20" t="s">
        <v>27</v>
      </c>
      <c r="C41" s="20" t="s">
        <v>257</v>
      </c>
      <c r="D41" s="20" t="s">
        <v>258</v>
      </c>
      <c r="E41" s="20" t="s">
        <v>259</v>
      </c>
      <c r="F41" s="20" t="s">
        <v>151</v>
      </c>
      <c r="G41" s="21">
        <v>0</v>
      </c>
      <c r="H41" s="21">
        <v>25</v>
      </c>
      <c r="I41" s="21">
        <f t="shared" si="0"/>
        <v>-25</v>
      </c>
      <c r="J41" s="20" t="s">
        <v>30</v>
      </c>
      <c r="K41" s="20" t="s">
        <v>31</v>
      </c>
      <c r="L41" s="20" t="s">
        <v>220</v>
      </c>
      <c r="M41" s="20"/>
      <c r="N41" s="20"/>
      <c r="O41" s="20"/>
      <c r="P41" s="20"/>
      <c r="Q41" s="20">
        <v>1</v>
      </c>
      <c r="R41" s="8">
        <f t="shared" si="2"/>
        <v>25</v>
      </c>
    </row>
    <row r="42" spans="1:18" x14ac:dyDescent="0.25">
      <c r="A42" s="20"/>
      <c r="B42" s="20" t="s">
        <v>27</v>
      </c>
      <c r="C42" s="20" t="s">
        <v>263</v>
      </c>
      <c r="D42" s="20" t="s">
        <v>264</v>
      </c>
      <c r="E42" s="20" t="s">
        <v>265</v>
      </c>
      <c r="F42" s="21">
        <v>1</v>
      </c>
      <c r="G42" s="21">
        <v>815</v>
      </c>
      <c r="H42" s="21">
        <v>25</v>
      </c>
      <c r="I42" s="21">
        <f t="shared" si="0"/>
        <v>790</v>
      </c>
      <c r="J42" s="20" t="s">
        <v>30</v>
      </c>
      <c r="K42" s="20" t="s">
        <v>31</v>
      </c>
      <c r="L42" s="20" t="s">
        <v>220</v>
      </c>
      <c r="M42" s="20"/>
      <c r="N42" s="20"/>
      <c r="O42" s="20"/>
      <c r="P42" s="20"/>
      <c r="Q42" s="20">
        <v>1</v>
      </c>
    </row>
    <row r="43" spans="1:18" x14ac:dyDescent="0.25">
      <c r="A43" s="20"/>
      <c r="B43" s="20" t="s">
        <v>27</v>
      </c>
      <c r="C43" s="20" t="s">
        <v>266</v>
      </c>
      <c r="D43" s="20" t="s">
        <v>267</v>
      </c>
      <c r="E43" s="20" t="s">
        <v>268</v>
      </c>
      <c r="F43" s="21">
        <v>1</v>
      </c>
      <c r="G43" s="21">
        <v>815</v>
      </c>
      <c r="H43" s="21">
        <v>25</v>
      </c>
      <c r="I43" s="21">
        <f t="shared" si="0"/>
        <v>790</v>
      </c>
      <c r="J43" s="20" t="s">
        <v>30</v>
      </c>
      <c r="K43" s="20" t="s">
        <v>31</v>
      </c>
      <c r="L43" s="20" t="s">
        <v>220</v>
      </c>
      <c r="M43" s="20"/>
      <c r="N43" s="20"/>
      <c r="O43" s="20"/>
      <c r="P43" s="20"/>
      <c r="Q43" s="20">
        <v>1</v>
      </c>
    </row>
    <row r="44" spans="1:18" x14ac:dyDescent="0.25">
      <c r="A44" s="20"/>
      <c r="B44" s="20" t="s">
        <v>27</v>
      </c>
      <c r="C44" s="20" t="s">
        <v>292</v>
      </c>
      <c r="D44" s="20" t="s">
        <v>293</v>
      </c>
      <c r="E44" s="20" t="s">
        <v>294</v>
      </c>
      <c r="F44" s="20" t="s">
        <v>151</v>
      </c>
      <c r="G44" s="21">
        <v>0</v>
      </c>
      <c r="H44" s="21">
        <v>25</v>
      </c>
      <c r="I44" s="21">
        <f t="shared" si="0"/>
        <v>-25</v>
      </c>
      <c r="J44" s="20" t="s">
        <v>30</v>
      </c>
      <c r="K44" s="20" t="s">
        <v>31</v>
      </c>
      <c r="L44" s="20" t="s">
        <v>220</v>
      </c>
      <c r="M44" s="20"/>
      <c r="N44" s="20"/>
      <c r="O44" s="20"/>
      <c r="P44" s="20"/>
      <c r="Q44" s="20">
        <v>1</v>
      </c>
      <c r="R44" s="8">
        <f>H44</f>
        <v>25</v>
      </c>
    </row>
    <row r="45" spans="1:18" x14ac:dyDescent="0.25">
      <c r="A45" s="20"/>
      <c r="B45" s="20" t="s">
        <v>27</v>
      </c>
      <c r="C45" s="20" t="s">
        <v>310</v>
      </c>
      <c r="D45" s="20" t="s">
        <v>311</v>
      </c>
      <c r="E45" s="20" t="s">
        <v>312</v>
      </c>
      <c r="F45" s="21">
        <v>10</v>
      </c>
      <c r="G45" s="21">
        <v>815</v>
      </c>
      <c r="H45" s="21">
        <v>25</v>
      </c>
      <c r="I45" s="21">
        <f t="shared" si="0"/>
        <v>790</v>
      </c>
      <c r="J45" s="20" t="s">
        <v>30</v>
      </c>
      <c r="K45" s="20" t="s">
        <v>31</v>
      </c>
      <c r="L45" s="20" t="s">
        <v>220</v>
      </c>
      <c r="M45" s="20"/>
      <c r="N45" s="20"/>
      <c r="O45" s="20"/>
      <c r="P45" s="20"/>
      <c r="Q45" s="20">
        <v>1</v>
      </c>
    </row>
    <row r="46" spans="1:18" x14ac:dyDescent="0.25">
      <c r="A46" s="20"/>
      <c r="B46" s="20" t="s">
        <v>27</v>
      </c>
      <c r="C46" s="20" t="s">
        <v>328</v>
      </c>
      <c r="D46" s="20" t="s">
        <v>329</v>
      </c>
      <c r="E46" s="20" t="s">
        <v>330</v>
      </c>
      <c r="F46" s="21">
        <v>4</v>
      </c>
      <c r="G46" s="21">
        <v>755</v>
      </c>
      <c r="H46" s="21">
        <v>25</v>
      </c>
      <c r="I46" s="21">
        <f t="shared" si="0"/>
        <v>730</v>
      </c>
      <c r="J46" s="20" t="s">
        <v>30</v>
      </c>
      <c r="K46" s="20" t="s">
        <v>31</v>
      </c>
      <c r="L46" s="20" t="s">
        <v>220</v>
      </c>
      <c r="M46" s="20"/>
      <c r="N46" s="20"/>
      <c r="O46" s="20"/>
      <c r="P46" s="20"/>
      <c r="Q46" s="20">
        <v>1</v>
      </c>
    </row>
    <row r="47" spans="1:18" x14ac:dyDescent="0.25">
      <c r="A47" s="20"/>
      <c r="B47" s="20" t="s">
        <v>27</v>
      </c>
      <c r="C47" s="20" t="s">
        <v>331</v>
      </c>
      <c r="D47" s="20" t="s">
        <v>332</v>
      </c>
      <c r="E47" s="20" t="s">
        <v>333</v>
      </c>
      <c r="F47" s="21">
        <v>1</v>
      </c>
      <c r="G47" s="21">
        <v>1635</v>
      </c>
      <c r="H47" s="21">
        <v>25</v>
      </c>
      <c r="I47" s="21">
        <f t="shared" si="0"/>
        <v>1610</v>
      </c>
      <c r="J47" s="20" t="s">
        <v>30</v>
      </c>
      <c r="K47" s="20" t="s">
        <v>31</v>
      </c>
      <c r="L47" s="20" t="s">
        <v>220</v>
      </c>
      <c r="M47" s="20"/>
      <c r="N47" s="20"/>
      <c r="O47" s="20"/>
      <c r="P47" s="20"/>
      <c r="Q47" s="20">
        <v>1</v>
      </c>
    </row>
    <row r="48" spans="1:18" x14ac:dyDescent="0.25">
      <c r="A48" s="20"/>
      <c r="B48" s="20" t="s">
        <v>27</v>
      </c>
      <c r="C48" s="20" t="s">
        <v>334</v>
      </c>
      <c r="D48" s="20" t="s">
        <v>335</v>
      </c>
      <c r="E48" s="20" t="s">
        <v>336</v>
      </c>
      <c r="F48" s="20" t="s">
        <v>151</v>
      </c>
      <c r="G48" s="21">
        <v>0</v>
      </c>
      <c r="H48" s="21">
        <v>25</v>
      </c>
      <c r="I48" s="21">
        <f t="shared" si="0"/>
        <v>-25</v>
      </c>
      <c r="J48" s="20" t="s">
        <v>30</v>
      </c>
      <c r="K48" s="20" t="s">
        <v>31</v>
      </c>
      <c r="L48" s="20" t="s">
        <v>220</v>
      </c>
      <c r="M48" s="20"/>
      <c r="N48" s="20"/>
      <c r="O48" s="20"/>
      <c r="P48" s="20"/>
      <c r="Q48" s="20">
        <v>1</v>
      </c>
      <c r="R48" s="8">
        <f>H48</f>
        <v>25</v>
      </c>
    </row>
    <row r="49" spans="1:17" x14ac:dyDescent="0.25">
      <c r="A49" s="20"/>
      <c r="B49" s="20" t="s">
        <v>27</v>
      </c>
      <c r="C49" s="20" t="s">
        <v>337</v>
      </c>
      <c r="D49" s="20" t="s">
        <v>338</v>
      </c>
      <c r="E49" s="20" t="s">
        <v>339</v>
      </c>
      <c r="F49" s="20" t="s">
        <v>151</v>
      </c>
      <c r="G49" s="21">
        <v>815</v>
      </c>
      <c r="H49" s="21">
        <v>25</v>
      </c>
      <c r="I49" s="21">
        <f t="shared" si="0"/>
        <v>790</v>
      </c>
      <c r="J49" s="20" t="s">
        <v>30</v>
      </c>
      <c r="K49" s="20" t="s">
        <v>31</v>
      </c>
      <c r="L49" s="20" t="s">
        <v>220</v>
      </c>
      <c r="M49" s="20"/>
      <c r="N49" s="20"/>
      <c r="O49" s="20"/>
      <c r="P49" s="20"/>
      <c r="Q49" s="20">
        <v>1</v>
      </c>
    </row>
    <row r="50" spans="1:17" s="13" customFormat="1" x14ac:dyDescent="0.25">
      <c r="A50" s="22"/>
      <c r="B50" s="22" t="s">
        <v>27</v>
      </c>
      <c r="C50" s="22" t="s">
        <v>352</v>
      </c>
      <c r="D50" s="22" t="s">
        <v>353</v>
      </c>
      <c r="E50" s="22" t="s">
        <v>354</v>
      </c>
      <c r="F50" s="22" t="s">
        <v>35</v>
      </c>
      <c r="G50" s="27">
        <v>15</v>
      </c>
      <c r="H50" s="27">
        <v>0</v>
      </c>
      <c r="I50" s="27">
        <f t="shared" si="0"/>
        <v>15</v>
      </c>
      <c r="J50" s="22" t="s">
        <v>184</v>
      </c>
      <c r="K50" s="22" t="s">
        <v>31</v>
      </c>
      <c r="L50" s="22" t="s">
        <v>185</v>
      </c>
      <c r="M50" s="22" t="s">
        <v>355</v>
      </c>
      <c r="N50" s="22" t="s">
        <v>187</v>
      </c>
      <c r="O50" s="22" t="s">
        <v>187</v>
      </c>
      <c r="P50" s="22" t="s">
        <v>188</v>
      </c>
      <c r="Q50" s="22">
        <v>1</v>
      </c>
    </row>
    <row r="52" spans="1:17" x14ac:dyDescent="0.25">
      <c r="D52" s="9">
        <f>COUNTA(D3:D50)</f>
        <v>44</v>
      </c>
      <c r="G52" s="9">
        <f t="shared" ref="G52:Q52" si="3">SUBTOTAL(9,G3:G50)</f>
        <v>34450</v>
      </c>
      <c r="H52" s="9">
        <f t="shared" si="3"/>
        <v>1275</v>
      </c>
      <c r="I52" s="9">
        <f t="shared" si="3"/>
        <v>33175</v>
      </c>
      <c r="J52" s="9">
        <f t="shared" si="3"/>
        <v>0</v>
      </c>
      <c r="K52" s="9">
        <f t="shared" si="3"/>
        <v>0</v>
      </c>
      <c r="L52" s="9">
        <f t="shared" si="3"/>
        <v>0</v>
      </c>
      <c r="M52" s="9">
        <f t="shared" si="3"/>
        <v>0</v>
      </c>
      <c r="N52" s="9">
        <f t="shared" si="3"/>
        <v>0</v>
      </c>
      <c r="O52" s="9">
        <f t="shared" si="3"/>
        <v>0</v>
      </c>
      <c r="P52" s="9">
        <f t="shared" si="3"/>
        <v>0</v>
      </c>
      <c r="Q52" s="9">
        <f t="shared" si="3"/>
        <v>48</v>
      </c>
    </row>
    <row r="53" spans="1:17" x14ac:dyDescent="0.25">
      <c r="H53">
        <f>-11*17</f>
        <v>-187</v>
      </c>
    </row>
    <row r="54" spans="1:17" x14ac:dyDescent="0.25">
      <c r="A54" s="9" t="s">
        <v>27</v>
      </c>
      <c r="C54" s="46" t="s">
        <v>189</v>
      </c>
      <c r="D54" s="46"/>
      <c r="E54" s="10" t="s">
        <v>190</v>
      </c>
      <c r="H54">
        <f>-4*25</f>
        <v>-100</v>
      </c>
      <c r="K54" s="11" t="s">
        <v>219</v>
      </c>
      <c r="L54" s="11" t="s">
        <v>191</v>
      </c>
      <c r="M54" s="11" t="s">
        <v>190</v>
      </c>
      <c r="O54" s="10" t="s">
        <v>192</v>
      </c>
    </row>
    <row r="55" spans="1:17" x14ac:dyDescent="0.25">
      <c r="A55" t="s">
        <v>220</v>
      </c>
      <c r="B55" s="12" t="s">
        <v>193</v>
      </c>
      <c r="C55" s="47">
        <f>SUMIFS(I$3:I$50,B$3:B$50,A$54,L$3:L$50,A$55)</f>
        <v>33160</v>
      </c>
      <c r="D55" s="47"/>
      <c r="E55" s="12">
        <f>SUMIFS(Q$3:Q$50,B$3:B$50,A$54,L$3:L$50,A$55)</f>
        <v>47</v>
      </c>
      <c r="F55" t="s">
        <v>194</v>
      </c>
      <c r="H55">
        <f>-2*30</f>
        <v>-60</v>
      </c>
      <c r="K55" t="s">
        <v>195</v>
      </c>
      <c r="L55">
        <f>SUMIFS(G$3:G$50,J$3:J$50,K$54)</f>
        <v>7785</v>
      </c>
      <c r="M55">
        <f>SUMIFS(Q$3:Q$50,J$3:J$50,K$54)-INT(COUNTIFS(J$3:J$50,K$54,M$3:M$50,"*gộp*")/2)</f>
        <v>17</v>
      </c>
      <c r="O55" t="s">
        <v>356</v>
      </c>
      <c r="P55">
        <f>L61</f>
        <v>7423</v>
      </c>
    </row>
    <row r="56" spans="1:17" x14ac:dyDescent="0.25">
      <c r="B56" s="13" t="s">
        <v>196</v>
      </c>
      <c r="C56" s="48">
        <v>0</v>
      </c>
      <c r="D56" s="48"/>
      <c r="K56" t="s">
        <v>197</v>
      </c>
      <c r="L56">
        <f>SUM(H53:H55)</f>
        <v>-347</v>
      </c>
      <c r="M56">
        <f>SUMIFS(Q$3:Q$50,J$3:J$50,K$54)-INT(COUNTIFS(J$3:J$50,K$54,M$3:M$50,"*gộp*")/2)</f>
        <v>17</v>
      </c>
      <c r="O56" t="s">
        <v>31</v>
      </c>
      <c r="P56">
        <f>L69</f>
        <v>17236</v>
      </c>
    </row>
    <row r="57" spans="1:17" x14ac:dyDescent="0.25">
      <c r="B57" s="13" t="s">
        <v>199</v>
      </c>
      <c r="C57" s="48">
        <f>-SUMIFS(I$3:I$50,B$3:B$50,A$54,P$3:P$50,"xx",N$3:N$50,"x")</f>
        <v>-15</v>
      </c>
      <c r="D57" s="48"/>
      <c r="E57" s="13">
        <f>SUMIFS(Q$3:Q$50,B$3:B$50,A$54,P$3:P$50,"xx",N$3:N$50,"x")</f>
        <v>1</v>
      </c>
      <c r="K57" t="s">
        <v>200</v>
      </c>
      <c r="L57">
        <f>-M57*2</f>
        <v>0</v>
      </c>
      <c r="M57">
        <f>COUNTIFS(K$3:K$50,K$54,L$3:L$50,A$55)-(COUNTIFS(K$3:K$50,K$54,M$3:M$50,"*gộp*")/2)-COUNTIFS(K$3:K$50,K$54,M$3:M$50,"*đơn trả*")-COUNTIFS(K$3:K$50,K$54,M$3:M$50,"*hàng tỉnh*")</f>
        <v>0</v>
      </c>
      <c r="O57" t="s">
        <v>30</v>
      </c>
      <c r="P57">
        <f>L77</f>
        <v>8705</v>
      </c>
    </row>
    <row r="58" spans="1:17" x14ac:dyDescent="0.25">
      <c r="B58" s="10" t="s">
        <v>201</v>
      </c>
      <c r="C58" s="46">
        <f>SUBTOTAL(9,C55:C57)</f>
        <v>33145</v>
      </c>
      <c r="D58" s="46"/>
      <c r="E58">
        <f>E55</f>
        <v>47</v>
      </c>
      <c r="K58" s="14" t="s">
        <v>186</v>
      </c>
      <c r="O58" t="s">
        <v>203</v>
      </c>
      <c r="P58">
        <f>-C63</f>
        <v>-33145</v>
      </c>
    </row>
    <row r="59" spans="1:17" x14ac:dyDescent="0.25">
      <c r="B59" s="10"/>
      <c r="C59" s="10"/>
      <c r="D59" s="10"/>
      <c r="K59" s="32" t="s">
        <v>359</v>
      </c>
      <c r="L59" s="33">
        <v>-15</v>
      </c>
      <c r="M59" s="33" t="s">
        <v>202</v>
      </c>
    </row>
    <row r="60" spans="1:17" x14ac:dyDescent="0.25">
      <c r="B60" s="13" t="s">
        <v>204</v>
      </c>
      <c r="C60" s="44"/>
      <c r="D60" s="44"/>
      <c r="K60" s="13" t="s">
        <v>205</v>
      </c>
      <c r="O60" s="10" t="s">
        <v>206</v>
      </c>
      <c r="P60" s="10">
        <f>SUBTOTAL(9,P55:P58)</f>
        <v>219</v>
      </c>
    </row>
    <row r="61" spans="1:17" x14ac:dyDescent="0.25">
      <c r="B61" s="15" t="s">
        <v>207</v>
      </c>
      <c r="C61" s="44"/>
      <c r="D61" s="44"/>
      <c r="L61" s="16">
        <f>SUBTOTAL(9,L55:L60)</f>
        <v>7423</v>
      </c>
      <c r="M61" s="16">
        <f>M55</f>
        <v>17</v>
      </c>
    </row>
    <row r="63" spans="1:17" x14ac:dyDescent="0.25">
      <c r="B63" s="9" t="s">
        <v>208</v>
      </c>
      <c r="C63" s="45">
        <f>C58+C60+C61</f>
        <v>33145</v>
      </c>
      <c r="D63" s="45"/>
      <c r="E63" s="9" t="s">
        <v>209</v>
      </c>
      <c r="K63" s="11" t="s">
        <v>31</v>
      </c>
      <c r="L63" s="11" t="s">
        <v>191</v>
      </c>
      <c r="M63" s="11" t="s">
        <v>190</v>
      </c>
    </row>
    <row r="64" spans="1:17" x14ac:dyDescent="0.25">
      <c r="K64" t="s">
        <v>195</v>
      </c>
      <c r="L64">
        <f>SUMIFS(G$3:G$50,J$3:J$50,K$63)</f>
        <v>17685</v>
      </c>
      <c r="M64">
        <f>SUMIFS(Q$3:Q$50,J$3:J$50,K$63)-INT(COUNTIFS(J$3:J$50,K$63,M$3:M$50,"*gộp*")/2)</f>
        <v>17</v>
      </c>
    </row>
    <row r="65" spans="11:13" x14ac:dyDescent="0.25">
      <c r="K65" t="s">
        <v>197</v>
      </c>
      <c r="L65">
        <f>-SUMIFS(H$3:H$50,J$3:J$50,K$63)+M65*5</f>
        <v>-355</v>
      </c>
      <c r="M65">
        <f>SUMIFS(Q$3:Q$50,J$3:J$50,K$63)-INT(COUNTIFS(J$3:J$50,K$63,M$3:M$50,"*gộp*")/2)</f>
        <v>17</v>
      </c>
    </row>
    <row r="66" spans="11:13" x14ac:dyDescent="0.25">
      <c r="K66" t="s">
        <v>200</v>
      </c>
      <c r="L66">
        <f>-M66*2</f>
        <v>-94</v>
      </c>
      <c r="M66">
        <f>COUNTIFS(K$3:K$50,K$63,L$3:L$50,A$55)-(COUNTIFS(K$3:K$50,K$63,M$3:M$50,"*gộp*")/2)-COUNTIFS(K$3:K$50,K$63,M$3:M$50,"*đơn trả*")-COUNTIFS(K$3:K$50,K$63,M$3:M$50,"*hàng tỉnh*")</f>
        <v>47</v>
      </c>
    </row>
    <row r="67" spans="11:13" x14ac:dyDescent="0.25">
      <c r="K67" s="14" t="s">
        <v>186</v>
      </c>
    </row>
    <row r="68" spans="11:13" x14ac:dyDescent="0.25">
      <c r="K68" s="13" t="s">
        <v>205</v>
      </c>
    </row>
    <row r="69" spans="11:13" x14ac:dyDescent="0.25">
      <c r="L69" s="16">
        <f>SUBTOTAL(9,L64:L68)</f>
        <v>17236</v>
      </c>
      <c r="M69" s="16">
        <f>M64</f>
        <v>17</v>
      </c>
    </row>
    <row r="71" spans="11:13" x14ac:dyDescent="0.25">
      <c r="K71" s="11" t="s">
        <v>30</v>
      </c>
      <c r="L71" s="11" t="s">
        <v>191</v>
      </c>
      <c r="M71" s="11" t="s">
        <v>190</v>
      </c>
    </row>
    <row r="72" spans="11:13" x14ac:dyDescent="0.25">
      <c r="K72" t="s">
        <v>195</v>
      </c>
      <c r="L72">
        <f>SUMIFS(G$3:G$50,J$3:J$50,K$71)</f>
        <v>8965</v>
      </c>
      <c r="M72">
        <f>SUMIFS(Q$3:Q$50,J$3:J$50,K$71)-INT(COUNTIFS(J$3:J$50,K$71,M$3:M$50,"*gộp*")/2)</f>
        <v>13</v>
      </c>
    </row>
    <row r="73" spans="11:13" x14ac:dyDescent="0.25">
      <c r="K73" t="s">
        <v>197</v>
      </c>
      <c r="L73">
        <f>-SUMIFS(H$3:H$50,J$3:J$50,K$71)+M73*5</f>
        <v>-260</v>
      </c>
      <c r="M73">
        <f>SUMIFS(Q$3:Q$50,J$3:J$50,K$71)-INT(COUNTIFS(J$3:J$50,K$71,M$3:M$50,"*gộp*")/2)</f>
        <v>13</v>
      </c>
    </row>
    <row r="74" spans="11:13" x14ac:dyDescent="0.25">
      <c r="K74" t="s">
        <v>200</v>
      </c>
      <c r="L74">
        <f>-M74*2</f>
        <v>0</v>
      </c>
      <c r="M74">
        <f>COUNTIFS(K$3:K$50,K$71,L$3:L$50,A$55)-(COUNTIFS(K$3:K$50,K$71,M$3:M$50,"*gộp*")/2)-COUNTIFS(K$3:K$50,K$71,M$3:M$50,"*đơn trả*")-COUNTIFS(K$3:K$50,K$71,M$3:M$50,"*hàng tỉnh*")</f>
        <v>0</v>
      </c>
    </row>
    <row r="75" spans="11:13" x14ac:dyDescent="0.25">
      <c r="K75" s="14" t="s">
        <v>186</v>
      </c>
    </row>
    <row r="76" spans="11:13" x14ac:dyDescent="0.25">
      <c r="K76" s="13" t="s">
        <v>205</v>
      </c>
    </row>
    <row r="77" spans="11:13" x14ac:dyDescent="0.25">
      <c r="L77" s="16">
        <f>SUBTOTAL(9,L72:L76)</f>
        <v>8705</v>
      </c>
      <c r="M77" s="16">
        <f>M72</f>
        <v>13</v>
      </c>
    </row>
  </sheetData>
  <autoFilter ref="A2:P50" xr:uid="{00000000-0009-0000-0000-000000000000}">
    <sortState xmlns:xlrd2="http://schemas.microsoft.com/office/spreadsheetml/2017/richdata2" ref="A3:P50">
      <sortCondition ref="J2:J50"/>
    </sortState>
  </autoFilter>
  <mergeCells count="8">
    <mergeCell ref="C61:D61"/>
    <mergeCell ref="C63:D63"/>
    <mergeCell ref="C54:D54"/>
    <mergeCell ref="C55:D55"/>
    <mergeCell ref="C56:D56"/>
    <mergeCell ref="C57:D57"/>
    <mergeCell ref="C58:D58"/>
    <mergeCell ref="C60:D60"/>
  </mergeCells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736DE-4AED-4F91-BA6B-514A90A3B3DB}">
  <dimension ref="A1:R60"/>
  <sheetViews>
    <sheetView workbookViewId="0"/>
  </sheetViews>
  <sheetFormatPr defaultRowHeight="15" x14ac:dyDescent="0.25"/>
  <cols>
    <col min="1" max="1" width="12.7109375" customWidth="1"/>
    <col min="2" max="2" width="9.42578125" customWidth="1"/>
    <col min="3" max="3" width="28.42578125" customWidth="1"/>
    <col min="4" max="4" width="9.85546875" customWidth="1"/>
    <col min="5" max="5" width="60.71093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42578125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0" t="s">
        <v>450</v>
      </c>
      <c r="C1" s="10" t="s">
        <v>451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367</v>
      </c>
      <c r="D3" s="20" t="s">
        <v>368</v>
      </c>
      <c r="E3" s="20" t="s">
        <v>369</v>
      </c>
      <c r="F3" s="21">
        <v>7</v>
      </c>
      <c r="G3" s="21">
        <v>460</v>
      </c>
      <c r="H3" s="21">
        <v>30</v>
      </c>
      <c r="I3" s="21">
        <f t="shared" ref="I3:I34" si="0">G3-H3</f>
        <v>430</v>
      </c>
      <c r="J3" s="20" t="s">
        <v>370</v>
      </c>
      <c r="K3" s="20" t="s">
        <v>31</v>
      </c>
      <c r="L3" s="20" t="s">
        <v>363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27</v>
      </c>
      <c r="C4" s="20" t="s">
        <v>375</v>
      </c>
      <c r="D4" s="20" t="s">
        <v>376</v>
      </c>
      <c r="E4" s="20" t="s">
        <v>377</v>
      </c>
      <c r="F4" s="20" t="s">
        <v>129</v>
      </c>
      <c r="G4" s="21">
        <v>755</v>
      </c>
      <c r="H4" s="21">
        <v>25</v>
      </c>
      <c r="I4" s="21">
        <f t="shared" si="0"/>
        <v>730</v>
      </c>
      <c r="J4" s="20" t="s">
        <v>370</v>
      </c>
      <c r="K4" s="20" t="s">
        <v>31</v>
      </c>
      <c r="L4" s="20" t="s">
        <v>363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27</v>
      </c>
      <c r="C5" s="20" t="s">
        <v>381</v>
      </c>
      <c r="D5" s="20" t="s">
        <v>382</v>
      </c>
      <c r="E5" s="20" t="s">
        <v>383</v>
      </c>
      <c r="F5" s="20" t="s">
        <v>218</v>
      </c>
      <c r="G5" s="21">
        <v>815</v>
      </c>
      <c r="H5" s="21">
        <v>35</v>
      </c>
      <c r="I5" s="21">
        <f t="shared" si="0"/>
        <v>780</v>
      </c>
      <c r="J5" s="20" t="s">
        <v>370</v>
      </c>
      <c r="K5" s="20" t="s">
        <v>31</v>
      </c>
      <c r="L5" s="20" t="s">
        <v>363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27</v>
      </c>
      <c r="C6" s="20" t="s">
        <v>384</v>
      </c>
      <c r="D6" s="20" t="s">
        <v>385</v>
      </c>
      <c r="E6" s="20" t="s">
        <v>386</v>
      </c>
      <c r="F6" s="20" t="s">
        <v>35</v>
      </c>
      <c r="G6" s="21">
        <v>860</v>
      </c>
      <c r="H6" s="21">
        <v>30</v>
      </c>
      <c r="I6" s="21">
        <f t="shared" si="0"/>
        <v>830</v>
      </c>
      <c r="J6" s="20" t="s">
        <v>370</v>
      </c>
      <c r="K6" s="20" t="s">
        <v>31</v>
      </c>
      <c r="L6" s="20" t="s">
        <v>363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27</v>
      </c>
      <c r="C7" s="20" t="s">
        <v>387</v>
      </c>
      <c r="D7" s="20" t="s">
        <v>388</v>
      </c>
      <c r="E7" s="20" t="s">
        <v>389</v>
      </c>
      <c r="F7" s="20" t="s">
        <v>129</v>
      </c>
      <c r="G7" s="21">
        <v>765</v>
      </c>
      <c r="H7" s="21">
        <v>25</v>
      </c>
      <c r="I7" s="21">
        <f t="shared" si="0"/>
        <v>740</v>
      </c>
      <c r="J7" s="20" t="s">
        <v>370</v>
      </c>
      <c r="K7" s="20" t="s">
        <v>31</v>
      </c>
      <c r="L7" s="20" t="s">
        <v>363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390</v>
      </c>
      <c r="D8" s="20" t="s">
        <v>391</v>
      </c>
      <c r="E8" s="20" t="s">
        <v>392</v>
      </c>
      <c r="F8" s="21">
        <v>9</v>
      </c>
      <c r="G8" s="21">
        <v>750</v>
      </c>
      <c r="H8" s="21">
        <v>30</v>
      </c>
      <c r="I8" s="21">
        <f t="shared" si="0"/>
        <v>720</v>
      </c>
      <c r="J8" s="20" t="s">
        <v>370</v>
      </c>
      <c r="K8" s="20" t="s">
        <v>31</v>
      </c>
      <c r="L8" s="20" t="s">
        <v>363</v>
      </c>
      <c r="M8" s="20"/>
      <c r="N8" s="20"/>
      <c r="O8" s="20"/>
      <c r="P8" s="20"/>
      <c r="Q8" s="20">
        <v>1</v>
      </c>
    </row>
    <row r="9" spans="1:18" s="26" customFormat="1" x14ac:dyDescent="0.25">
      <c r="A9" s="24"/>
      <c r="B9" s="24" t="s">
        <v>27</v>
      </c>
      <c r="C9" s="24" t="s">
        <v>133</v>
      </c>
      <c r="D9" s="24" t="s">
        <v>393</v>
      </c>
      <c r="E9" s="24" t="s">
        <v>135</v>
      </c>
      <c r="F9" s="24" t="s">
        <v>35</v>
      </c>
      <c r="G9" s="25">
        <v>30</v>
      </c>
      <c r="H9" s="25">
        <v>30</v>
      </c>
      <c r="I9" s="25">
        <f t="shared" si="0"/>
        <v>0</v>
      </c>
      <c r="J9" s="24" t="s">
        <v>370</v>
      </c>
      <c r="K9" s="24" t="s">
        <v>31</v>
      </c>
      <c r="L9" s="24" t="s">
        <v>363</v>
      </c>
      <c r="M9" s="24" t="s">
        <v>84</v>
      </c>
      <c r="N9" s="24"/>
      <c r="O9" s="24"/>
      <c r="P9" s="24"/>
      <c r="Q9" s="24">
        <v>1</v>
      </c>
    </row>
    <row r="10" spans="1:18" x14ac:dyDescent="0.25">
      <c r="A10" s="20"/>
      <c r="B10" s="20" t="s">
        <v>27</v>
      </c>
      <c r="C10" s="20" t="s">
        <v>409</v>
      </c>
      <c r="D10" s="20" t="s">
        <v>410</v>
      </c>
      <c r="E10" s="20" t="s">
        <v>411</v>
      </c>
      <c r="F10" s="21">
        <v>7</v>
      </c>
      <c r="G10" s="21">
        <v>810</v>
      </c>
      <c r="H10" s="21">
        <v>30</v>
      </c>
      <c r="I10" s="21">
        <f t="shared" si="0"/>
        <v>780</v>
      </c>
      <c r="J10" s="20" t="s">
        <v>370</v>
      </c>
      <c r="K10" s="20" t="s">
        <v>31</v>
      </c>
      <c r="L10" s="20" t="s">
        <v>363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27</v>
      </c>
      <c r="C11" s="20" t="s">
        <v>412</v>
      </c>
      <c r="D11" s="20" t="s">
        <v>413</v>
      </c>
      <c r="E11" s="20" t="s">
        <v>414</v>
      </c>
      <c r="F11" s="21">
        <v>7</v>
      </c>
      <c r="G11" s="21">
        <v>600</v>
      </c>
      <c r="H11" s="21">
        <v>30</v>
      </c>
      <c r="I11" s="21">
        <f t="shared" si="0"/>
        <v>570</v>
      </c>
      <c r="J11" s="20" t="s">
        <v>370</v>
      </c>
      <c r="K11" s="20" t="s">
        <v>31</v>
      </c>
      <c r="L11" s="20" t="s">
        <v>363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27</v>
      </c>
      <c r="C12" s="20" t="s">
        <v>415</v>
      </c>
      <c r="D12" s="20" t="s">
        <v>416</v>
      </c>
      <c r="E12" s="20" t="s">
        <v>417</v>
      </c>
      <c r="F12" s="20" t="s">
        <v>35</v>
      </c>
      <c r="G12" s="21">
        <v>0</v>
      </c>
      <c r="H12" s="21">
        <v>30</v>
      </c>
      <c r="I12" s="21">
        <f t="shared" si="0"/>
        <v>-30</v>
      </c>
      <c r="J12" s="20" t="s">
        <v>370</v>
      </c>
      <c r="K12" s="20" t="s">
        <v>31</v>
      </c>
      <c r="L12" s="20" t="s">
        <v>363</v>
      </c>
      <c r="M12" s="20"/>
      <c r="N12" s="20"/>
      <c r="O12" s="20"/>
      <c r="P12" s="20"/>
      <c r="Q12" s="20">
        <v>1</v>
      </c>
      <c r="R12" s="8">
        <f>H12</f>
        <v>30</v>
      </c>
    </row>
    <row r="13" spans="1:18" x14ac:dyDescent="0.25">
      <c r="A13" s="20"/>
      <c r="B13" s="20" t="s">
        <v>27</v>
      </c>
      <c r="C13" s="20" t="s">
        <v>421</v>
      </c>
      <c r="D13" s="20" t="s">
        <v>422</v>
      </c>
      <c r="E13" s="20" t="s">
        <v>423</v>
      </c>
      <c r="F13" s="21">
        <v>7</v>
      </c>
      <c r="G13" s="21">
        <v>1010</v>
      </c>
      <c r="H13" s="21">
        <v>30</v>
      </c>
      <c r="I13" s="21">
        <f t="shared" si="0"/>
        <v>980</v>
      </c>
      <c r="J13" s="20" t="s">
        <v>370</v>
      </c>
      <c r="K13" s="20" t="s">
        <v>31</v>
      </c>
      <c r="L13" s="20" t="s">
        <v>363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27</v>
      </c>
      <c r="C14" s="20" t="s">
        <v>364</v>
      </c>
      <c r="D14" s="20" t="s">
        <v>365</v>
      </c>
      <c r="E14" s="20" t="s">
        <v>366</v>
      </c>
      <c r="F14" s="21">
        <v>2</v>
      </c>
      <c r="G14" s="21">
        <v>820</v>
      </c>
      <c r="H14" s="21">
        <v>30</v>
      </c>
      <c r="I14" s="21">
        <f t="shared" si="0"/>
        <v>790</v>
      </c>
      <c r="J14" s="20" t="s">
        <v>31</v>
      </c>
      <c r="K14" s="20" t="s">
        <v>31</v>
      </c>
      <c r="L14" s="20" t="s">
        <v>363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27</v>
      </c>
      <c r="C15" s="20" t="s">
        <v>371</v>
      </c>
      <c r="D15" s="20" t="s">
        <v>394</v>
      </c>
      <c r="E15" s="20" t="s">
        <v>373</v>
      </c>
      <c r="F15" s="20" t="s">
        <v>77</v>
      </c>
      <c r="G15" s="21">
        <v>2670</v>
      </c>
      <c r="H15" s="21">
        <v>30</v>
      </c>
      <c r="I15" s="21">
        <f t="shared" si="0"/>
        <v>2640</v>
      </c>
      <c r="J15" s="20" t="s">
        <v>31</v>
      </c>
      <c r="K15" s="20" t="s">
        <v>31</v>
      </c>
      <c r="L15" s="20" t="s">
        <v>363</v>
      </c>
      <c r="M15" s="23" t="s">
        <v>395</v>
      </c>
      <c r="N15" s="20"/>
      <c r="O15" s="20"/>
      <c r="P15" s="20"/>
      <c r="Q15" s="20">
        <v>1</v>
      </c>
      <c r="R15" s="8">
        <f>H15</f>
        <v>30</v>
      </c>
    </row>
    <row r="16" spans="1:18" x14ac:dyDescent="0.25">
      <c r="A16" s="20"/>
      <c r="B16" s="20" t="s">
        <v>27</v>
      </c>
      <c r="C16" s="20" t="s">
        <v>371</v>
      </c>
      <c r="D16" s="20" t="s">
        <v>372</v>
      </c>
      <c r="E16" s="20" t="s">
        <v>373</v>
      </c>
      <c r="F16" s="20" t="s">
        <v>77</v>
      </c>
      <c r="G16" s="21">
        <v>840</v>
      </c>
      <c r="H16" s="21">
        <v>0</v>
      </c>
      <c r="I16" s="21">
        <f t="shared" si="0"/>
        <v>840</v>
      </c>
      <c r="J16" s="20" t="s">
        <v>31</v>
      </c>
      <c r="K16" s="20" t="s">
        <v>31</v>
      </c>
      <c r="L16" s="20" t="s">
        <v>363</v>
      </c>
      <c r="M16" s="23" t="s">
        <v>374</v>
      </c>
      <c r="N16" s="20"/>
      <c r="O16" s="20"/>
      <c r="P16" s="20"/>
      <c r="Q16" s="20">
        <v>1</v>
      </c>
    </row>
    <row r="17" spans="1:18" x14ac:dyDescent="0.25">
      <c r="A17" s="20"/>
      <c r="B17" s="20" t="s">
        <v>27</v>
      </c>
      <c r="C17" s="20" t="s">
        <v>378</v>
      </c>
      <c r="D17" s="20" t="s">
        <v>379</v>
      </c>
      <c r="E17" s="20" t="s">
        <v>380</v>
      </c>
      <c r="F17" s="20" t="s">
        <v>39</v>
      </c>
      <c r="G17" s="21">
        <v>915</v>
      </c>
      <c r="H17" s="21">
        <v>25</v>
      </c>
      <c r="I17" s="21">
        <f t="shared" si="0"/>
        <v>890</v>
      </c>
      <c r="J17" s="20" t="s">
        <v>31</v>
      </c>
      <c r="K17" s="20" t="s">
        <v>31</v>
      </c>
      <c r="L17" s="20" t="s">
        <v>363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27</v>
      </c>
      <c r="C18" s="20" t="s">
        <v>396</v>
      </c>
      <c r="D18" s="20" t="s">
        <v>397</v>
      </c>
      <c r="E18" s="20" t="s">
        <v>398</v>
      </c>
      <c r="F18" s="20" t="s">
        <v>39</v>
      </c>
      <c r="G18" s="21">
        <v>25</v>
      </c>
      <c r="H18" s="21">
        <v>25</v>
      </c>
      <c r="I18" s="21">
        <f t="shared" si="0"/>
        <v>0</v>
      </c>
      <c r="J18" s="20" t="s">
        <v>31</v>
      </c>
      <c r="K18" s="20" t="s">
        <v>31</v>
      </c>
      <c r="L18" s="20" t="s">
        <v>363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27</v>
      </c>
      <c r="C19" s="20" t="s">
        <v>399</v>
      </c>
      <c r="D19" s="20" t="s">
        <v>400</v>
      </c>
      <c r="E19" s="20" t="s">
        <v>401</v>
      </c>
      <c r="F19" s="21">
        <v>12</v>
      </c>
      <c r="G19" s="21">
        <v>0</v>
      </c>
      <c r="H19" s="21">
        <v>30</v>
      </c>
      <c r="I19" s="21">
        <f t="shared" si="0"/>
        <v>-30</v>
      </c>
      <c r="J19" s="20" t="s">
        <v>31</v>
      </c>
      <c r="K19" s="20" t="s">
        <v>31</v>
      </c>
      <c r="L19" s="20" t="s">
        <v>363</v>
      </c>
      <c r="M19" s="20"/>
      <c r="N19" s="20"/>
      <c r="O19" s="20"/>
      <c r="P19" s="20"/>
      <c r="Q19" s="20">
        <v>1</v>
      </c>
      <c r="R19" s="8">
        <f>H19</f>
        <v>30</v>
      </c>
    </row>
    <row r="20" spans="1:18" x14ac:dyDescent="0.25">
      <c r="A20" s="20"/>
      <c r="B20" s="20" t="s">
        <v>27</v>
      </c>
      <c r="C20" s="20" t="s">
        <v>402</v>
      </c>
      <c r="D20" s="20" t="s">
        <v>403</v>
      </c>
      <c r="E20" s="20" t="s">
        <v>404</v>
      </c>
      <c r="F20" s="20" t="s">
        <v>88</v>
      </c>
      <c r="G20" s="21">
        <v>810</v>
      </c>
      <c r="H20" s="21">
        <v>30</v>
      </c>
      <c r="I20" s="21">
        <f t="shared" si="0"/>
        <v>780</v>
      </c>
      <c r="J20" s="20" t="s">
        <v>31</v>
      </c>
      <c r="K20" s="20" t="s">
        <v>31</v>
      </c>
      <c r="L20" s="20" t="s">
        <v>363</v>
      </c>
      <c r="M20" s="20"/>
      <c r="N20" s="20"/>
      <c r="O20" s="20"/>
      <c r="P20" s="20"/>
      <c r="Q20" s="20">
        <v>1</v>
      </c>
    </row>
    <row r="21" spans="1:18" s="26" customFormat="1" x14ac:dyDescent="0.25">
      <c r="A21" s="24"/>
      <c r="B21" s="24" t="s">
        <v>27</v>
      </c>
      <c r="C21" s="24" t="s">
        <v>74</v>
      </c>
      <c r="D21" s="24" t="s">
        <v>405</v>
      </c>
      <c r="E21" s="24" t="s">
        <v>76</v>
      </c>
      <c r="F21" s="24" t="s">
        <v>77</v>
      </c>
      <c r="G21" s="25">
        <v>20</v>
      </c>
      <c r="H21" s="25">
        <v>20</v>
      </c>
      <c r="I21" s="25">
        <f t="shared" si="0"/>
        <v>0</v>
      </c>
      <c r="J21" s="24" t="s">
        <v>31</v>
      </c>
      <c r="K21" s="24" t="s">
        <v>31</v>
      </c>
      <c r="L21" s="24" t="s">
        <v>363</v>
      </c>
      <c r="M21" s="24" t="s">
        <v>84</v>
      </c>
      <c r="N21" s="24"/>
      <c r="O21" s="24"/>
      <c r="P21" s="24"/>
      <c r="Q21" s="24">
        <v>1</v>
      </c>
    </row>
    <row r="22" spans="1:18" x14ac:dyDescent="0.25">
      <c r="A22" s="20"/>
      <c r="B22" s="20" t="s">
        <v>27</v>
      </c>
      <c r="C22" s="20" t="s">
        <v>424</v>
      </c>
      <c r="D22" s="20" t="s">
        <v>425</v>
      </c>
      <c r="E22" s="20" t="s">
        <v>426</v>
      </c>
      <c r="F22" s="20" t="s">
        <v>88</v>
      </c>
      <c r="G22" s="21">
        <v>2000</v>
      </c>
      <c r="H22" s="21">
        <v>30</v>
      </c>
      <c r="I22" s="21">
        <f t="shared" si="0"/>
        <v>1970</v>
      </c>
      <c r="J22" s="20" t="s">
        <v>31</v>
      </c>
      <c r="K22" s="20" t="s">
        <v>31</v>
      </c>
      <c r="L22" s="20" t="s">
        <v>363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27</v>
      </c>
      <c r="C23" s="20" t="s">
        <v>436</v>
      </c>
      <c r="D23" s="20" t="s">
        <v>437</v>
      </c>
      <c r="E23" s="20" t="s">
        <v>438</v>
      </c>
      <c r="F23" s="20" t="s">
        <v>88</v>
      </c>
      <c r="G23" s="21">
        <v>1010</v>
      </c>
      <c r="H23" s="21">
        <v>30</v>
      </c>
      <c r="I23" s="21">
        <f t="shared" si="0"/>
        <v>980</v>
      </c>
      <c r="J23" s="20" t="s">
        <v>31</v>
      </c>
      <c r="K23" s="20" t="s">
        <v>31</v>
      </c>
      <c r="L23" s="20" t="s">
        <v>363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27</v>
      </c>
      <c r="C24" s="20" t="s">
        <v>439</v>
      </c>
      <c r="D24" s="20" t="s">
        <v>440</v>
      </c>
      <c r="E24" s="20" t="s">
        <v>441</v>
      </c>
      <c r="F24" s="20" t="s">
        <v>77</v>
      </c>
      <c r="G24" s="21">
        <v>750</v>
      </c>
      <c r="H24" s="21">
        <v>20</v>
      </c>
      <c r="I24" s="21">
        <f t="shared" si="0"/>
        <v>730</v>
      </c>
      <c r="J24" s="20" t="s">
        <v>31</v>
      </c>
      <c r="K24" s="20" t="s">
        <v>31</v>
      </c>
      <c r="L24" s="20" t="s">
        <v>363</v>
      </c>
      <c r="M24" s="20"/>
      <c r="N24" s="20"/>
      <c r="O24" s="20"/>
      <c r="P24" s="20"/>
      <c r="Q24" s="20">
        <v>1</v>
      </c>
    </row>
    <row r="25" spans="1:18" x14ac:dyDescent="0.25">
      <c r="A25" s="20" t="s">
        <v>26</v>
      </c>
      <c r="B25" s="20" t="s">
        <v>27</v>
      </c>
      <c r="C25" s="20" t="s">
        <v>445</v>
      </c>
      <c r="D25" s="20"/>
      <c r="E25" s="20" t="s">
        <v>446</v>
      </c>
      <c r="F25" s="21">
        <v>12</v>
      </c>
      <c r="G25" s="21">
        <v>0</v>
      </c>
      <c r="H25" s="21">
        <v>35</v>
      </c>
      <c r="I25" s="21">
        <f t="shared" si="0"/>
        <v>-35</v>
      </c>
      <c r="J25" s="20" t="s">
        <v>31</v>
      </c>
      <c r="K25" s="20" t="s">
        <v>31</v>
      </c>
      <c r="L25" s="20" t="s">
        <v>363</v>
      </c>
      <c r="M25" s="20"/>
      <c r="N25" s="20"/>
      <c r="O25" s="20"/>
      <c r="P25" s="20"/>
      <c r="Q25" s="20">
        <v>1</v>
      </c>
      <c r="R25" s="8">
        <f>H25</f>
        <v>35</v>
      </c>
    </row>
    <row r="26" spans="1:18" x14ac:dyDescent="0.25">
      <c r="A26" s="20" t="s">
        <v>26</v>
      </c>
      <c r="B26" s="20" t="s">
        <v>27</v>
      </c>
      <c r="C26" s="20" t="s">
        <v>447</v>
      </c>
      <c r="D26" s="20"/>
      <c r="E26" s="20" t="s">
        <v>448</v>
      </c>
      <c r="F26" s="21">
        <v>12</v>
      </c>
      <c r="G26" s="21">
        <v>35</v>
      </c>
      <c r="H26" s="21">
        <v>35</v>
      </c>
      <c r="I26" s="21">
        <f t="shared" si="0"/>
        <v>0</v>
      </c>
      <c r="J26" s="20" t="s">
        <v>31</v>
      </c>
      <c r="K26" s="20" t="s">
        <v>31</v>
      </c>
      <c r="L26" s="20" t="s">
        <v>363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27</v>
      </c>
      <c r="C27" s="20" t="s">
        <v>360</v>
      </c>
      <c r="D27" s="20" t="s">
        <v>361</v>
      </c>
      <c r="E27" s="20" t="s">
        <v>362</v>
      </c>
      <c r="F27" s="21">
        <v>10</v>
      </c>
      <c r="G27" s="21">
        <v>455</v>
      </c>
      <c r="H27" s="21">
        <v>25</v>
      </c>
      <c r="I27" s="21">
        <f t="shared" si="0"/>
        <v>430</v>
      </c>
      <c r="J27" s="20" t="s">
        <v>30</v>
      </c>
      <c r="K27" s="20" t="s">
        <v>31</v>
      </c>
      <c r="L27" s="20" t="s">
        <v>363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406</v>
      </c>
      <c r="D28" s="20" t="s">
        <v>407</v>
      </c>
      <c r="E28" s="20" t="s">
        <v>408</v>
      </c>
      <c r="F28" s="20" t="s">
        <v>125</v>
      </c>
      <c r="G28" s="21">
        <v>810</v>
      </c>
      <c r="H28" s="21">
        <v>20</v>
      </c>
      <c r="I28" s="21">
        <f t="shared" si="0"/>
        <v>790</v>
      </c>
      <c r="J28" s="20" t="s">
        <v>30</v>
      </c>
      <c r="K28" s="20" t="s">
        <v>31</v>
      </c>
      <c r="L28" s="20" t="s">
        <v>363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27</v>
      </c>
      <c r="C29" s="20" t="s">
        <v>418</v>
      </c>
      <c r="D29" s="20" t="s">
        <v>419</v>
      </c>
      <c r="E29" s="20" t="s">
        <v>420</v>
      </c>
      <c r="F29" s="21">
        <v>10</v>
      </c>
      <c r="G29" s="21">
        <v>885</v>
      </c>
      <c r="H29" s="21">
        <v>25</v>
      </c>
      <c r="I29" s="21">
        <f t="shared" si="0"/>
        <v>860</v>
      </c>
      <c r="J29" s="20" t="s">
        <v>30</v>
      </c>
      <c r="K29" s="20" t="s">
        <v>31</v>
      </c>
      <c r="L29" s="20" t="s">
        <v>363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27</v>
      </c>
      <c r="C30" s="20" t="s">
        <v>427</v>
      </c>
      <c r="D30" s="20" t="s">
        <v>428</v>
      </c>
      <c r="E30" s="20" t="s">
        <v>429</v>
      </c>
      <c r="F30" s="20" t="s">
        <v>151</v>
      </c>
      <c r="G30" s="21">
        <v>485</v>
      </c>
      <c r="H30" s="21">
        <v>25</v>
      </c>
      <c r="I30" s="21">
        <f t="shared" si="0"/>
        <v>460</v>
      </c>
      <c r="J30" s="20" t="s">
        <v>30</v>
      </c>
      <c r="K30" s="20" t="s">
        <v>31</v>
      </c>
      <c r="L30" s="20" t="s">
        <v>363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27</v>
      </c>
      <c r="C31" s="20" t="s">
        <v>430</v>
      </c>
      <c r="D31" s="20" t="s">
        <v>431</v>
      </c>
      <c r="E31" s="20" t="s">
        <v>432</v>
      </c>
      <c r="F31" s="21">
        <v>10</v>
      </c>
      <c r="G31" s="21">
        <v>0</v>
      </c>
      <c r="H31" s="21">
        <v>25</v>
      </c>
      <c r="I31" s="21">
        <f t="shared" si="0"/>
        <v>-25</v>
      </c>
      <c r="J31" s="20" t="s">
        <v>30</v>
      </c>
      <c r="K31" s="20" t="s">
        <v>31</v>
      </c>
      <c r="L31" s="20" t="s">
        <v>363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27</v>
      </c>
      <c r="C32" s="20" t="s">
        <v>433</v>
      </c>
      <c r="D32" s="20" t="s">
        <v>434</v>
      </c>
      <c r="E32" s="20" t="s">
        <v>435</v>
      </c>
      <c r="F32" s="20" t="s">
        <v>151</v>
      </c>
      <c r="G32" s="21">
        <v>745</v>
      </c>
      <c r="H32" s="21">
        <v>25</v>
      </c>
      <c r="I32" s="21">
        <f t="shared" si="0"/>
        <v>720</v>
      </c>
      <c r="J32" s="20" t="s">
        <v>30</v>
      </c>
      <c r="K32" s="20" t="s">
        <v>31</v>
      </c>
      <c r="L32" s="20" t="s">
        <v>363</v>
      </c>
      <c r="M32" s="20"/>
      <c r="N32" s="20"/>
      <c r="O32" s="20"/>
      <c r="P32" s="20"/>
      <c r="Q32" s="20">
        <v>1</v>
      </c>
      <c r="R32" s="8">
        <f>H32</f>
        <v>25</v>
      </c>
    </row>
    <row r="33" spans="1:17" x14ac:dyDescent="0.25">
      <c r="A33" s="20"/>
      <c r="B33" s="20" t="s">
        <v>27</v>
      </c>
      <c r="C33" s="20" t="s">
        <v>442</v>
      </c>
      <c r="D33" s="20" t="s">
        <v>443</v>
      </c>
      <c r="E33" s="20" t="s">
        <v>444</v>
      </c>
      <c r="F33" s="20" t="s">
        <v>125</v>
      </c>
      <c r="G33" s="21">
        <v>940</v>
      </c>
      <c r="H33" s="21">
        <v>20</v>
      </c>
      <c r="I33" s="21">
        <f t="shared" si="0"/>
        <v>920</v>
      </c>
      <c r="J33" s="20" t="s">
        <v>30</v>
      </c>
      <c r="K33" s="20" t="s">
        <v>31</v>
      </c>
      <c r="L33" s="20" t="s">
        <v>363</v>
      </c>
      <c r="M33" s="20"/>
      <c r="N33" s="20"/>
      <c r="O33" s="20"/>
      <c r="P33" s="20"/>
      <c r="Q33" s="20">
        <v>1</v>
      </c>
    </row>
    <row r="34" spans="1:17" s="13" customFormat="1" x14ac:dyDescent="0.25">
      <c r="A34" s="22"/>
      <c r="B34" s="22" t="s">
        <v>27</v>
      </c>
      <c r="C34" s="22" t="s">
        <v>313</v>
      </c>
      <c r="D34" s="22" t="s">
        <v>314</v>
      </c>
      <c r="E34" s="22" t="s">
        <v>315</v>
      </c>
      <c r="F34" s="22" t="s">
        <v>77</v>
      </c>
      <c r="G34" s="27">
        <v>750</v>
      </c>
      <c r="H34" s="27">
        <v>20</v>
      </c>
      <c r="I34" s="27">
        <f t="shared" si="0"/>
        <v>730</v>
      </c>
      <c r="J34" s="22" t="s">
        <v>184</v>
      </c>
      <c r="K34" s="22" t="s">
        <v>31</v>
      </c>
      <c r="L34" s="22" t="s">
        <v>220</v>
      </c>
      <c r="M34" s="22" t="s">
        <v>186</v>
      </c>
      <c r="N34" s="22" t="s">
        <v>187</v>
      </c>
      <c r="O34" s="22" t="s">
        <v>187</v>
      </c>
      <c r="P34" s="22" t="s">
        <v>188</v>
      </c>
      <c r="Q34" s="22">
        <v>1</v>
      </c>
    </row>
    <row r="36" spans="1:17" x14ac:dyDescent="0.25">
      <c r="D36" s="9">
        <f>COUNTA(D3:D34)</f>
        <v>30</v>
      </c>
      <c r="G36" s="9">
        <f t="shared" ref="G36:Q36" si="1">SUBTOTAL(9,G3:G34)</f>
        <v>21820</v>
      </c>
      <c r="H36" s="9">
        <f t="shared" si="1"/>
        <v>850</v>
      </c>
      <c r="I36" s="9">
        <f t="shared" si="1"/>
        <v>20970</v>
      </c>
      <c r="J36" s="9">
        <f t="shared" si="1"/>
        <v>0</v>
      </c>
      <c r="K36" s="9">
        <f t="shared" si="1"/>
        <v>0</v>
      </c>
      <c r="L36" s="9">
        <f t="shared" si="1"/>
        <v>0</v>
      </c>
      <c r="M36" s="9">
        <f t="shared" si="1"/>
        <v>0</v>
      </c>
      <c r="N36" s="9">
        <f t="shared" si="1"/>
        <v>0</v>
      </c>
      <c r="O36" s="9">
        <f t="shared" si="1"/>
        <v>0</v>
      </c>
      <c r="P36" s="9">
        <f t="shared" si="1"/>
        <v>0</v>
      </c>
      <c r="Q36" s="9">
        <f t="shared" si="1"/>
        <v>32</v>
      </c>
    </row>
    <row r="37" spans="1:17" x14ac:dyDescent="0.25">
      <c r="H37">
        <f>-6*17</f>
        <v>-102</v>
      </c>
    </row>
    <row r="38" spans="1:17" x14ac:dyDescent="0.25">
      <c r="A38" s="9" t="s">
        <v>27</v>
      </c>
      <c r="C38" s="46" t="s">
        <v>189</v>
      </c>
      <c r="D38" s="46"/>
      <c r="E38" s="10" t="s">
        <v>190</v>
      </c>
      <c r="H38">
        <f>-4*25</f>
        <v>-100</v>
      </c>
      <c r="K38" s="11" t="s">
        <v>30</v>
      </c>
      <c r="L38" s="11" t="s">
        <v>191</v>
      </c>
      <c r="M38" s="11" t="s">
        <v>190</v>
      </c>
      <c r="O38" s="10" t="s">
        <v>192</v>
      </c>
    </row>
    <row r="39" spans="1:17" x14ac:dyDescent="0.25">
      <c r="A39" t="s">
        <v>363</v>
      </c>
      <c r="B39" s="12" t="s">
        <v>193</v>
      </c>
      <c r="C39" s="47">
        <f>SUMIFS(I$3:I$34,B$3:B$34,A$38,L$3:L$34,A$39)</f>
        <v>20240</v>
      </c>
      <c r="D39" s="47"/>
      <c r="E39" s="12">
        <f>SUMIFS(Q$3:Q$34,B$3:B$34,A$38,L$3:L$34,A$39)</f>
        <v>31</v>
      </c>
      <c r="F39" t="s">
        <v>194</v>
      </c>
      <c r="H39">
        <f>-1*30</f>
        <v>-30</v>
      </c>
      <c r="K39" t="s">
        <v>195</v>
      </c>
      <c r="L39">
        <f>SUMIFS(G$3:G$34,J$3:J$34,K$38)</f>
        <v>4320</v>
      </c>
      <c r="M39">
        <f>SUMIFS(Q$3:Q$34,J$3:J$34,K$38)-INT(COUNTIFS(J$3:J$34,K$38,M$3:M$34,"*gộp*")/2)</f>
        <v>7</v>
      </c>
      <c r="O39" t="s">
        <v>30</v>
      </c>
      <c r="P39">
        <f>L44</f>
        <v>4190</v>
      </c>
    </row>
    <row r="40" spans="1:17" x14ac:dyDescent="0.25">
      <c r="B40" s="13" t="s">
        <v>196</v>
      </c>
      <c r="C40" s="48">
        <v>0</v>
      </c>
      <c r="D40" s="48"/>
      <c r="K40" t="s">
        <v>197</v>
      </c>
      <c r="L40">
        <f>-SUMIFS(H$3:H$34,J$3:J$34,K$38)+M40*5</f>
        <v>-130</v>
      </c>
      <c r="M40">
        <f>SUMIFS(Q$3:Q$34,J$3:J$34,K$38)-INT(COUNTIFS(J$3:J$34,K$38,M$3:M$34,"*gộp*")/2)</f>
        <v>7</v>
      </c>
      <c r="O40" t="s">
        <v>31</v>
      </c>
      <c r="P40">
        <f>L52</f>
        <v>8822</v>
      </c>
    </row>
    <row r="41" spans="1:17" x14ac:dyDescent="0.25">
      <c r="B41" s="13" t="s">
        <v>199</v>
      </c>
      <c r="C41" s="48">
        <f>-SUMIFS(I$3:I$34,B$3:B$34,A$38,P$3:P$34,"xx",N$3:N$34,"x")</f>
        <v>-730</v>
      </c>
      <c r="D41" s="48"/>
      <c r="E41" s="13">
        <f>SUMIFS(Q$3:Q$34,B$3:B$34,A$38,P$3:P$34,"xx",N$3:N$34,"x")</f>
        <v>1</v>
      </c>
      <c r="K41" t="s">
        <v>200</v>
      </c>
      <c r="L41">
        <f>-M41*2</f>
        <v>0</v>
      </c>
      <c r="M41">
        <f>COUNTIFS(K$3:K$34,K$38,L$3:L$34,A$39)-(COUNTIFS(K$3:K$34,K$38,M$3:M$34,"*gộp*")/2)-COUNTIFS(K$3:K$34,K$38,M$3:M$34,"*đơn trả*")-COUNTIFS(K$3:K$34,K$38,M$3:M$34,"*hàng tỉnh*")</f>
        <v>0</v>
      </c>
      <c r="O41" t="s">
        <v>449</v>
      </c>
      <c r="P41">
        <f>L60</f>
        <v>6623</v>
      </c>
    </row>
    <row r="42" spans="1:17" x14ac:dyDescent="0.25">
      <c r="B42" s="10" t="s">
        <v>201</v>
      </c>
      <c r="C42" s="46">
        <f>SUBTOTAL(9,C39:C41)</f>
        <v>19510</v>
      </c>
      <c r="D42" s="46"/>
      <c r="E42">
        <f>E39</f>
        <v>31</v>
      </c>
      <c r="K42" s="14" t="s">
        <v>186</v>
      </c>
      <c r="O42" t="s">
        <v>203</v>
      </c>
      <c r="P42">
        <f>-C46</f>
        <v>-19510</v>
      </c>
    </row>
    <row r="43" spans="1:17" x14ac:dyDescent="0.25">
      <c r="B43" s="13" t="s">
        <v>204</v>
      </c>
      <c r="C43" s="44"/>
      <c r="D43" s="44"/>
      <c r="K43" s="13" t="s">
        <v>205</v>
      </c>
      <c r="O43" s="10" t="s">
        <v>206</v>
      </c>
      <c r="P43" s="10">
        <f>SUBTOTAL(9,P39:P42)</f>
        <v>125</v>
      </c>
    </row>
    <row r="44" spans="1:17" x14ac:dyDescent="0.25">
      <c r="B44" s="15" t="s">
        <v>207</v>
      </c>
      <c r="C44" s="44"/>
      <c r="D44" s="44"/>
      <c r="L44" s="16">
        <f>SUBTOTAL(9,L39:L43)</f>
        <v>4190</v>
      </c>
      <c r="M44" s="16">
        <f>M39</f>
        <v>7</v>
      </c>
    </row>
    <row r="46" spans="1:17" x14ac:dyDescent="0.25">
      <c r="B46" s="9" t="s">
        <v>208</v>
      </c>
      <c r="C46" s="45">
        <f>C42+C43+C44</f>
        <v>19510</v>
      </c>
      <c r="D46" s="45"/>
      <c r="E46" s="9" t="s">
        <v>209</v>
      </c>
      <c r="K46" s="11" t="s">
        <v>31</v>
      </c>
      <c r="L46" s="11" t="s">
        <v>191</v>
      </c>
      <c r="M46" s="11" t="s">
        <v>190</v>
      </c>
    </row>
    <row r="47" spans="1:17" x14ac:dyDescent="0.25">
      <c r="K47" t="s">
        <v>195</v>
      </c>
      <c r="L47">
        <f>SUMIFS(G$3:G$34,J$3:J$34,K$46)</f>
        <v>9895</v>
      </c>
      <c r="M47">
        <f>SUMIFS(Q$3:Q$34,J$3:J$34,K$46)-INT(COUNTIFS(J$3:J$34,K$46,M$3:M$34,"*gộp*")/2)</f>
        <v>12</v>
      </c>
    </row>
    <row r="48" spans="1:17" x14ac:dyDescent="0.25">
      <c r="K48" t="s">
        <v>197</v>
      </c>
      <c r="L48">
        <f>-SUMIFS(H$3:H$34,J$3:J$34,K$46)+M48*5</f>
        <v>-280</v>
      </c>
      <c r="M48">
        <f>SUMIFS(Q$3:Q$34,J$3:J$34,K$46)-INT(COUNTIFS(J$3:J$34,K$46,M$3:M$34,"*gộp*")/2)</f>
        <v>12</v>
      </c>
    </row>
    <row r="49" spans="11:13" x14ac:dyDescent="0.25">
      <c r="K49" t="s">
        <v>200</v>
      </c>
      <c r="L49">
        <f>-M49*2</f>
        <v>-58</v>
      </c>
      <c r="M49">
        <f>COUNTIFS(K$3:K$34,K$46,L$3:L$34,A$39)-(COUNTIFS(K$3:K$34,K$46,M$3:M$34,"*gộp*")/2)-COUNTIFS(K$3:K$34,K$46,M$3:M$34,"*đơn trả*")-COUNTIFS(K$3:K$34,K$46,M$3:M$34,"*hàng tỉnh*")</f>
        <v>29</v>
      </c>
    </row>
    <row r="50" spans="11:13" x14ac:dyDescent="0.25">
      <c r="K50" s="14" t="s">
        <v>186</v>
      </c>
      <c r="L50" s="28">
        <v>-735</v>
      </c>
      <c r="M50" s="28" t="s">
        <v>202</v>
      </c>
    </row>
    <row r="51" spans="11:13" x14ac:dyDescent="0.25">
      <c r="K51" s="13" t="s">
        <v>205</v>
      </c>
    </row>
    <row r="52" spans="11:13" x14ac:dyDescent="0.25">
      <c r="L52" s="16">
        <f>SUBTOTAL(9,L47:L51)</f>
        <v>8822</v>
      </c>
      <c r="M52" s="16">
        <f>M47</f>
        <v>12</v>
      </c>
    </row>
    <row r="54" spans="11:13" x14ac:dyDescent="0.25">
      <c r="K54" s="11" t="s">
        <v>370</v>
      </c>
      <c r="L54" s="11" t="s">
        <v>191</v>
      </c>
      <c r="M54" s="11" t="s">
        <v>190</v>
      </c>
    </row>
    <row r="55" spans="11:13" x14ac:dyDescent="0.25">
      <c r="K55" t="s">
        <v>195</v>
      </c>
      <c r="L55">
        <f>SUMIFS(G$3:G$34,J$3:J$34,K$54)</f>
        <v>6855</v>
      </c>
      <c r="M55">
        <f>SUMIFS(Q$3:Q$34,J$3:J$34,K$54)-INT(COUNTIFS(J$3:J$34,K$54,M$3:M$34,"*gộp*")/2)</f>
        <v>11</v>
      </c>
    </row>
    <row r="56" spans="11:13" x14ac:dyDescent="0.25">
      <c r="K56" t="s">
        <v>197</v>
      </c>
      <c r="L56">
        <f>SUM(H37:H39)</f>
        <v>-232</v>
      </c>
      <c r="M56">
        <f>SUMIFS(Q$3:Q$34,J$3:J$34,K$54)-INT(COUNTIFS(J$3:J$34,K$54,M$3:M$34,"*gộp*")/2)</f>
        <v>11</v>
      </c>
    </row>
    <row r="57" spans="11:13" x14ac:dyDescent="0.25">
      <c r="K57" t="s">
        <v>200</v>
      </c>
      <c r="L57">
        <f>-M57*2</f>
        <v>0</v>
      </c>
      <c r="M57">
        <f>COUNTIFS(K$3:K$34,K$54,L$3:L$34,A$39)-(COUNTIFS(K$3:K$34,K$54,M$3:M$34,"*gộp*")/2)-COUNTIFS(K$3:K$34,K$54,M$3:M$34,"*đơn trả*")-COUNTIFS(K$3:K$34,K$54,M$3:M$34,"*hàng tỉnh*")</f>
        <v>0</v>
      </c>
    </row>
    <row r="58" spans="11:13" x14ac:dyDescent="0.25">
      <c r="K58" s="14" t="s">
        <v>186</v>
      </c>
    </row>
    <row r="59" spans="11:13" x14ac:dyDescent="0.25">
      <c r="K59" s="13" t="s">
        <v>205</v>
      </c>
    </row>
    <row r="60" spans="11:13" x14ac:dyDescent="0.25">
      <c r="L60" s="16">
        <f>SUBTOTAL(9,L55:L59)</f>
        <v>6623</v>
      </c>
      <c r="M60" s="16">
        <f>M55</f>
        <v>11</v>
      </c>
    </row>
  </sheetData>
  <autoFilter ref="A2:P34" xr:uid="{00000000-0009-0000-0000-000000000000}">
    <sortState xmlns:xlrd2="http://schemas.microsoft.com/office/spreadsheetml/2017/richdata2" ref="A3:P34">
      <sortCondition ref="J2:J34"/>
    </sortState>
  </autoFilter>
  <mergeCells count="8">
    <mergeCell ref="C44:D44"/>
    <mergeCell ref="C46:D46"/>
    <mergeCell ref="C38:D38"/>
    <mergeCell ref="C39:D39"/>
    <mergeCell ref="C40:D40"/>
    <mergeCell ref="C41:D41"/>
    <mergeCell ref="C42:D42"/>
    <mergeCell ref="C43:D43"/>
  </mergeCells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B4CFA-8732-45F2-953E-E08C3EE86CE3}">
  <dimension ref="A1:R110"/>
  <sheetViews>
    <sheetView zoomScale="90" zoomScaleNormal="90" workbookViewId="0"/>
  </sheetViews>
  <sheetFormatPr defaultRowHeight="15" x14ac:dyDescent="0.25"/>
  <cols>
    <col min="1" max="1" width="12.7109375" customWidth="1"/>
    <col min="2" max="2" width="8.7109375" customWidth="1"/>
    <col min="3" max="3" width="44.42578125" customWidth="1"/>
    <col min="4" max="4" width="9.85546875" customWidth="1"/>
    <col min="5" max="5" width="67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678</v>
      </c>
      <c r="C1" s="17" t="s">
        <v>679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456</v>
      </c>
      <c r="D3" s="20" t="s">
        <v>457</v>
      </c>
      <c r="E3" s="20" t="s">
        <v>458</v>
      </c>
      <c r="F3" s="21">
        <v>7</v>
      </c>
      <c r="G3" s="21">
        <v>780</v>
      </c>
      <c r="H3" s="21">
        <v>30</v>
      </c>
      <c r="I3" s="21">
        <f t="shared" ref="I3:I34" si="0">G3-H3</f>
        <v>750</v>
      </c>
      <c r="J3" s="20" t="s">
        <v>459</v>
      </c>
      <c r="K3" s="20" t="s">
        <v>31</v>
      </c>
      <c r="L3" s="20" t="s">
        <v>455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27</v>
      </c>
      <c r="C4" s="20" t="s">
        <v>484</v>
      </c>
      <c r="D4" s="20" t="s">
        <v>485</v>
      </c>
      <c r="E4" s="20" t="s">
        <v>486</v>
      </c>
      <c r="F4" s="20" t="s">
        <v>42</v>
      </c>
      <c r="G4" s="21">
        <v>0</v>
      </c>
      <c r="H4" s="21">
        <v>35</v>
      </c>
      <c r="I4" s="21">
        <f t="shared" si="0"/>
        <v>-35</v>
      </c>
      <c r="J4" s="20" t="s">
        <v>459</v>
      </c>
      <c r="K4" s="20" t="s">
        <v>31</v>
      </c>
      <c r="L4" s="20" t="s">
        <v>455</v>
      </c>
      <c r="M4" s="20"/>
      <c r="N4" s="20"/>
      <c r="O4" s="20"/>
      <c r="P4" s="20"/>
      <c r="Q4" s="20">
        <v>1</v>
      </c>
      <c r="R4" s="8">
        <f>H4</f>
        <v>35</v>
      </c>
    </row>
    <row r="5" spans="1:18" x14ac:dyDescent="0.25">
      <c r="A5" s="20"/>
      <c r="B5" s="20" t="s">
        <v>27</v>
      </c>
      <c r="C5" s="20" t="s">
        <v>487</v>
      </c>
      <c r="D5" s="20" t="s">
        <v>488</v>
      </c>
      <c r="E5" s="20" t="s">
        <v>489</v>
      </c>
      <c r="F5" s="21">
        <v>7</v>
      </c>
      <c r="G5" s="21">
        <v>850</v>
      </c>
      <c r="H5" s="21">
        <v>30</v>
      </c>
      <c r="I5" s="21">
        <f t="shared" si="0"/>
        <v>820</v>
      </c>
      <c r="J5" s="20" t="s">
        <v>459</v>
      </c>
      <c r="K5" s="20" t="s">
        <v>31</v>
      </c>
      <c r="L5" s="20" t="s">
        <v>455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27</v>
      </c>
      <c r="C6" s="20" t="s">
        <v>496</v>
      </c>
      <c r="D6" s="20" t="s">
        <v>497</v>
      </c>
      <c r="E6" s="20" t="s">
        <v>498</v>
      </c>
      <c r="F6" s="21">
        <v>8</v>
      </c>
      <c r="G6" s="21">
        <v>550</v>
      </c>
      <c r="H6" s="21">
        <v>30</v>
      </c>
      <c r="I6" s="21">
        <f t="shared" si="0"/>
        <v>520</v>
      </c>
      <c r="J6" s="20" t="s">
        <v>459</v>
      </c>
      <c r="K6" s="20" t="s">
        <v>31</v>
      </c>
      <c r="L6" s="20" t="s">
        <v>455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27</v>
      </c>
      <c r="C7" s="20" t="s">
        <v>502</v>
      </c>
      <c r="D7" s="20" t="s">
        <v>503</v>
      </c>
      <c r="E7" s="20" t="s">
        <v>504</v>
      </c>
      <c r="F7" s="20" t="s">
        <v>35</v>
      </c>
      <c r="G7" s="21">
        <v>490</v>
      </c>
      <c r="H7" s="21">
        <v>30</v>
      </c>
      <c r="I7" s="21">
        <f t="shared" si="0"/>
        <v>460</v>
      </c>
      <c r="J7" s="20" t="s">
        <v>459</v>
      </c>
      <c r="K7" s="20" t="s">
        <v>31</v>
      </c>
      <c r="L7" s="20" t="s">
        <v>455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505</v>
      </c>
      <c r="D8" s="20" t="s">
        <v>506</v>
      </c>
      <c r="E8" s="20" t="s">
        <v>507</v>
      </c>
      <c r="F8" s="21">
        <v>9</v>
      </c>
      <c r="G8" s="21">
        <v>550</v>
      </c>
      <c r="H8" s="21">
        <v>30</v>
      </c>
      <c r="I8" s="21">
        <f t="shared" si="0"/>
        <v>520</v>
      </c>
      <c r="J8" s="20" t="s">
        <v>459</v>
      </c>
      <c r="K8" s="20" t="s">
        <v>31</v>
      </c>
      <c r="L8" s="20" t="s">
        <v>455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514</v>
      </c>
      <c r="D9" s="20" t="s">
        <v>515</v>
      </c>
      <c r="E9" s="20" t="s">
        <v>516</v>
      </c>
      <c r="F9" s="20" t="s">
        <v>129</v>
      </c>
      <c r="G9" s="21">
        <v>455</v>
      </c>
      <c r="H9" s="21">
        <v>25</v>
      </c>
      <c r="I9" s="21">
        <f t="shared" si="0"/>
        <v>430</v>
      </c>
      <c r="J9" s="20" t="s">
        <v>459</v>
      </c>
      <c r="K9" s="20" t="s">
        <v>31</v>
      </c>
      <c r="L9" s="20" t="s">
        <v>455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522</v>
      </c>
      <c r="D10" s="20" t="s">
        <v>523</v>
      </c>
      <c r="E10" s="20" t="s">
        <v>524</v>
      </c>
      <c r="F10" s="21">
        <v>8</v>
      </c>
      <c r="G10" s="21">
        <v>550</v>
      </c>
      <c r="H10" s="21">
        <v>30</v>
      </c>
      <c r="I10" s="21">
        <f t="shared" si="0"/>
        <v>520</v>
      </c>
      <c r="J10" s="20" t="s">
        <v>459</v>
      </c>
      <c r="K10" s="20" t="s">
        <v>31</v>
      </c>
      <c r="L10" s="20" t="s">
        <v>455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27</v>
      </c>
      <c r="C11" s="20" t="s">
        <v>534</v>
      </c>
      <c r="D11" s="20" t="s">
        <v>535</v>
      </c>
      <c r="E11" s="20" t="s">
        <v>536</v>
      </c>
      <c r="F11" s="21">
        <v>8</v>
      </c>
      <c r="G11" s="21">
        <v>0</v>
      </c>
      <c r="H11" s="21">
        <v>30</v>
      </c>
      <c r="I11" s="21">
        <f t="shared" si="0"/>
        <v>-30</v>
      </c>
      <c r="J11" s="20" t="s">
        <v>459</v>
      </c>
      <c r="K11" s="20" t="s">
        <v>31</v>
      </c>
      <c r="L11" s="20" t="s">
        <v>455</v>
      </c>
      <c r="M11" s="20"/>
      <c r="N11" s="20"/>
      <c r="O11" s="20"/>
      <c r="P11" s="20"/>
      <c r="Q11" s="20">
        <v>1</v>
      </c>
      <c r="R11" s="8">
        <f>H11</f>
        <v>30</v>
      </c>
    </row>
    <row r="12" spans="1:18" x14ac:dyDescent="0.25">
      <c r="A12" s="20"/>
      <c r="B12" s="20" t="s">
        <v>27</v>
      </c>
      <c r="C12" s="20" t="s">
        <v>545</v>
      </c>
      <c r="D12" s="20" t="s">
        <v>546</v>
      </c>
      <c r="E12" s="20" t="s">
        <v>547</v>
      </c>
      <c r="F12" s="20" t="s">
        <v>35</v>
      </c>
      <c r="G12" s="21">
        <v>770</v>
      </c>
      <c r="H12" s="21">
        <v>30</v>
      </c>
      <c r="I12" s="21">
        <f t="shared" si="0"/>
        <v>740</v>
      </c>
      <c r="J12" s="20" t="s">
        <v>459</v>
      </c>
      <c r="K12" s="20" t="s">
        <v>31</v>
      </c>
      <c r="L12" s="20" t="s">
        <v>455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569</v>
      </c>
      <c r="D13" s="20" t="s">
        <v>570</v>
      </c>
      <c r="E13" s="20" t="s">
        <v>571</v>
      </c>
      <c r="F13" s="20" t="s">
        <v>121</v>
      </c>
      <c r="G13" s="21">
        <v>0</v>
      </c>
      <c r="H13" s="21">
        <v>35</v>
      </c>
      <c r="I13" s="21">
        <f t="shared" si="0"/>
        <v>-35</v>
      </c>
      <c r="J13" s="20" t="s">
        <v>459</v>
      </c>
      <c r="K13" s="20" t="s">
        <v>31</v>
      </c>
      <c r="L13" s="20" t="s">
        <v>455</v>
      </c>
      <c r="M13" s="20"/>
      <c r="N13" s="20"/>
      <c r="O13" s="20"/>
      <c r="P13" s="20"/>
      <c r="Q13" s="20">
        <v>1</v>
      </c>
      <c r="R13" s="8">
        <f>H13</f>
        <v>35</v>
      </c>
    </row>
    <row r="14" spans="1:18" x14ac:dyDescent="0.25">
      <c r="A14" s="20"/>
      <c r="B14" s="20" t="s">
        <v>27</v>
      </c>
      <c r="C14" s="20" t="s">
        <v>575</v>
      </c>
      <c r="D14" s="20" t="s">
        <v>576</v>
      </c>
      <c r="E14" s="20" t="s">
        <v>577</v>
      </c>
      <c r="F14" s="20" t="s">
        <v>129</v>
      </c>
      <c r="G14" s="21">
        <v>545</v>
      </c>
      <c r="H14" s="21">
        <v>25</v>
      </c>
      <c r="I14" s="21">
        <f t="shared" si="0"/>
        <v>520</v>
      </c>
      <c r="J14" s="20" t="s">
        <v>459</v>
      </c>
      <c r="K14" s="20" t="s">
        <v>31</v>
      </c>
      <c r="L14" s="20" t="s">
        <v>455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27</v>
      </c>
      <c r="C15" s="20" t="s">
        <v>578</v>
      </c>
      <c r="D15" s="20" t="s">
        <v>579</v>
      </c>
      <c r="E15" s="20" t="s">
        <v>580</v>
      </c>
      <c r="F15" s="20" t="s">
        <v>151</v>
      </c>
      <c r="G15" s="21">
        <v>0</v>
      </c>
      <c r="H15" s="21">
        <v>25</v>
      </c>
      <c r="I15" s="21">
        <f t="shared" si="0"/>
        <v>-25</v>
      </c>
      <c r="J15" s="20" t="s">
        <v>459</v>
      </c>
      <c r="K15" s="20" t="s">
        <v>31</v>
      </c>
      <c r="L15" s="20" t="s">
        <v>455</v>
      </c>
      <c r="M15" s="20"/>
      <c r="N15" s="20"/>
      <c r="O15" s="20"/>
      <c r="P15" s="20"/>
      <c r="Q15" s="20">
        <v>1</v>
      </c>
      <c r="R15" s="8">
        <f t="shared" ref="R15:R16" si="1">H15</f>
        <v>25</v>
      </c>
    </row>
    <row r="16" spans="1:18" x14ac:dyDescent="0.25">
      <c r="A16" s="20"/>
      <c r="B16" s="20" t="s">
        <v>27</v>
      </c>
      <c r="C16" s="20" t="s">
        <v>590</v>
      </c>
      <c r="D16" s="20" t="s">
        <v>591</v>
      </c>
      <c r="E16" s="20" t="s">
        <v>592</v>
      </c>
      <c r="F16" s="20" t="s">
        <v>121</v>
      </c>
      <c r="G16" s="21">
        <v>0</v>
      </c>
      <c r="H16" s="21">
        <v>35</v>
      </c>
      <c r="I16" s="21">
        <f t="shared" si="0"/>
        <v>-35</v>
      </c>
      <c r="J16" s="20" t="s">
        <v>459</v>
      </c>
      <c r="K16" s="20" t="s">
        <v>31</v>
      </c>
      <c r="L16" s="20" t="s">
        <v>455</v>
      </c>
      <c r="M16" s="20"/>
      <c r="N16" s="20"/>
      <c r="O16" s="20"/>
      <c r="P16" s="20"/>
      <c r="Q16" s="20">
        <v>1</v>
      </c>
      <c r="R16" s="8">
        <f t="shared" si="1"/>
        <v>35</v>
      </c>
    </row>
    <row r="17" spans="1:18" x14ac:dyDescent="0.25">
      <c r="A17" s="20"/>
      <c r="B17" s="20" t="s">
        <v>27</v>
      </c>
      <c r="C17" s="20" t="s">
        <v>599</v>
      </c>
      <c r="D17" s="20" t="s">
        <v>600</v>
      </c>
      <c r="E17" s="20" t="s">
        <v>601</v>
      </c>
      <c r="F17" s="21">
        <v>7</v>
      </c>
      <c r="G17" s="21">
        <v>1870</v>
      </c>
      <c r="H17" s="21">
        <v>30</v>
      </c>
      <c r="I17" s="21">
        <f t="shared" si="0"/>
        <v>1840</v>
      </c>
      <c r="J17" s="20" t="s">
        <v>459</v>
      </c>
      <c r="K17" s="20" t="s">
        <v>31</v>
      </c>
      <c r="L17" s="20" t="s">
        <v>455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27</v>
      </c>
      <c r="C18" s="20" t="s">
        <v>242</v>
      </c>
      <c r="D18" s="20" t="s">
        <v>602</v>
      </c>
      <c r="E18" s="20" t="s">
        <v>244</v>
      </c>
      <c r="F18" s="21">
        <v>7</v>
      </c>
      <c r="G18" s="21">
        <v>0</v>
      </c>
      <c r="H18" s="21">
        <v>30</v>
      </c>
      <c r="I18" s="21">
        <f t="shared" si="0"/>
        <v>-30</v>
      </c>
      <c r="J18" s="20" t="s">
        <v>459</v>
      </c>
      <c r="K18" s="20" t="s">
        <v>31</v>
      </c>
      <c r="L18" s="20" t="s">
        <v>455</v>
      </c>
      <c r="M18" s="20"/>
      <c r="N18" s="20"/>
      <c r="O18" s="20"/>
      <c r="P18" s="20"/>
      <c r="Q18" s="20">
        <v>1</v>
      </c>
      <c r="R18" s="8">
        <f>H18</f>
        <v>30</v>
      </c>
    </row>
    <row r="19" spans="1:18" x14ac:dyDescent="0.25">
      <c r="A19" s="20"/>
      <c r="B19" s="20" t="s">
        <v>27</v>
      </c>
      <c r="C19" s="20" t="s">
        <v>607</v>
      </c>
      <c r="D19" s="20" t="s">
        <v>608</v>
      </c>
      <c r="E19" s="20" t="s">
        <v>609</v>
      </c>
      <c r="F19" s="20" t="s">
        <v>35</v>
      </c>
      <c r="G19" s="21">
        <v>1040</v>
      </c>
      <c r="H19" s="21">
        <v>30</v>
      </c>
      <c r="I19" s="21">
        <f t="shared" si="0"/>
        <v>1010</v>
      </c>
      <c r="J19" s="20" t="s">
        <v>459</v>
      </c>
      <c r="K19" s="20" t="s">
        <v>31</v>
      </c>
      <c r="L19" s="20" t="s">
        <v>455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27</v>
      </c>
      <c r="C20" s="20" t="s">
        <v>610</v>
      </c>
      <c r="D20" s="20" t="s">
        <v>611</v>
      </c>
      <c r="E20" s="20" t="s">
        <v>612</v>
      </c>
      <c r="F20" s="21">
        <v>6</v>
      </c>
      <c r="G20" s="21">
        <v>1465</v>
      </c>
      <c r="H20" s="21">
        <v>25</v>
      </c>
      <c r="I20" s="21">
        <f t="shared" si="0"/>
        <v>1440</v>
      </c>
      <c r="J20" s="20" t="s">
        <v>459</v>
      </c>
      <c r="K20" s="20" t="s">
        <v>31</v>
      </c>
      <c r="L20" s="20" t="s">
        <v>455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27</v>
      </c>
      <c r="C21" s="20" t="s">
        <v>616</v>
      </c>
      <c r="D21" s="20" t="s">
        <v>617</v>
      </c>
      <c r="E21" s="20" t="s">
        <v>618</v>
      </c>
      <c r="F21" s="21">
        <v>8</v>
      </c>
      <c r="G21" s="21">
        <v>750</v>
      </c>
      <c r="H21" s="21">
        <v>30</v>
      </c>
      <c r="I21" s="21">
        <f t="shared" si="0"/>
        <v>720</v>
      </c>
      <c r="J21" s="20" t="s">
        <v>459</v>
      </c>
      <c r="K21" s="20" t="s">
        <v>31</v>
      </c>
      <c r="L21" s="20" t="s">
        <v>455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27</v>
      </c>
      <c r="C22" s="20" t="s">
        <v>619</v>
      </c>
      <c r="D22" s="20" t="s">
        <v>620</v>
      </c>
      <c r="E22" s="20" t="s">
        <v>621</v>
      </c>
      <c r="F22" s="20" t="s">
        <v>129</v>
      </c>
      <c r="G22" s="21">
        <v>545</v>
      </c>
      <c r="H22" s="21">
        <v>25</v>
      </c>
      <c r="I22" s="21">
        <f t="shared" si="0"/>
        <v>520</v>
      </c>
      <c r="J22" s="20" t="s">
        <v>459</v>
      </c>
      <c r="K22" s="20" t="s">
        <v>31</v>
      </c>
      <c r="L22" s="20" t="s">
        <v>455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27</v>
      </c>
      <c r="C23" s="20" t="s">
        <v>631</v>
      </c>
      <c r="D23" s="20" t="s">
        <v>632</v>
      </c>
      <c r="E23" s="20" t="s">
        <v>633</v>
      </c>
      <c r="F23" s="20" t="s">
        <v>121</v>
      </c>
      <c r="G23" s="21">
        <v>995</v>
      </c>
      <c r="H23" s="21">
        <v>35</v>
      </c>
      <c r="I23" s="21">
        <f t="shared" si="0"/>
        <v>960</v>
      </c>
      <c r="J23" s="20" t="s">
        <v>459</v>
      </c>
      <c r="K23" s="20" t="s">
        <v>31</v>
      </c>
      <c r="L23" s="20" t="s">
        <v>455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27</v>
      </c>
      <c r="C24" s="20" t="s">
        <v>637</v>
      </c>
      <c r="D24" s="20" t="s">
        <v>638</v>
      </c>
      <c r="E24" s="20" t="s">
        <v>639</v>
      </c>
      <c r="F24" s="20" t="s">
        <v>121</v>
      </c>
      <c r="G24" s="21">
        <v>915</v>
      </c>
      <c r="H24" s="21">
        <v>35</v>
      </c>
      <c r="I24" s="21">
        <f t="shared" si="0"/>
        <v>880</v>
      </c>
      <c r="J24" s="20" t="s">
        <v>459</v>
      </c>
      <c r="K24" s="20" t="s">
        <v>31</v>
      </c>
      <c r="L24" s="20" t="s">
        <v>455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27</v>
      </c>
      <c r="C25" s="20" t="s">
        <v>640</v>
      </c>
      <c r="D25" s="20" t="s">
        <v>641</v>
      </c>
      <c r="E25" s="20" t="s">
        <v>642</v>
      </c>
      <c r="F25" s="21">
        <v>8</v>
      </c>
      <c r="G25" s="21">
        <v>800</v>
      </c>
      <c r="H25" s="21">
        <v>30</v>
      </c>
      <c r="I25" s="21">
        <f t="shared" si="0"/>
        <v>770</v>
      </c>
      <c r="J25" s="20" t="s">
        <v>459</v>
      </c>
      <c r="K25" s="20" t="s">
        <v>31</v>
      </c>
      <c r="L25" s="20" t="s">
        <v>455</v>
      </c>
      <c r="M25" s="23" t="s">
        <v>374</v>
      </c>
      <c r="N25" s="20"/>
      <c r="O25" s="20"/>
      <c r="P25" s="20"/>
      <c r="Q25" s="20">
        <v>1</v>
      </c>
    </row>
    <row r="26" spans="1:18" x14ac:dyDescent="0.25">
      <c r="A26" s="20"/>
      <c r="B26" s="20" t="s">
        <v>27</v>
      </c>
      <c r="C26" s="20" t="s">
        <v>640</v>
      </c>
      <c r="D26" s="20" t="s">
        <v>652</v>
      </c>
      <c r="E26" s="20" t="s">
        <v>642</v>
      </c>
      <c r="F26" s="21">
        <v>8</v>
      </c>
      <c r="G26" s="21">
        <v>520</v>
      </c>
      <c r="H26" s="21">
        <v>0</v>
      </c>
      <c r="I26" s="21">
        <f t="shared" si="0"/>
        <v>520</v>
      </c>
      <c r="J26" s="20" t="s">
        <v>459</v>
      </c>
      <c r="K26" s="20" t="s">
        <v>31</v>
      </c>
      <c r="L26" s="20" t="s">
        <v>455</v>
      </c>
      <c r="M26" s="23" t="s">
        <v>374</v>
      </c>
      <c r="N26" s="20"/>
      <c r="O26" s="20"/>
      <c r="P26" s="20"/>
      <c r="Q26" s="20">
        <v>1</v>
      </c>
    </row>
    <row r="27" spans="1:18" x14ac:dyDescent="0.25">
      <c r="A27" s="20" t="s">
        <v>26</v>
      </c>
      <c r="B27" s="20" t="s">
        <v>27</v>
      </c>
      <c r="C27" s="20" t="s">
        <v>665</v>
      </c>
      <c r="D27" s="20"/>
      <c r="E27" s="20" t="s">
        <v>666</v>
      </c>
      <c r="F27" s="21">
        <v>6</v>
      </c>
      <c r="G27" s="21">
        <v>35</v>
      </c>
      <c r="H27" s="21">
        <v>35</v>
      </c>
      <c r="I27" s="21">
        <f t="shared" si="0"/>
        <v>0</v>
      </c>
      <c r="J27" s="20" t="s">
        <v>459</v>
      </c>
      <c r="K27" s="20" t="s">
        <v>31</v>
      </c>
      <c r="L27" s="20" t="s">
        <v>455</v>
      </c>
      <c r="M27" s="20"/>
      <c r="N27" s="20"/>
      <c r="O27" s="20"/>
      <c r="P27" s="20"/>
      <c r="Q27" s="20">
        <v>1</v>
      </c>
    </row>
    <row r="28" spans="1:18" x14ac:dyDescent="0.25">
      <c r="A28" s="20" t="s">
        <v>26</v>
      </c>
      <c r="B28" s="20" t="s">
        <v>27</v>
      </c>
      <c r="C28" s="20" t="s">
        <v>43</v>
      </c>
      <c r="D28" s="20"/>
      <c r="E28" s="20" t="s">
        <v>667</v>
      </c>
      <c r="F28" s="21">
        <v>6</v>
      </c>
      <c r="G28" s="21">
        <v>0</v>
      </c>
      <c r="H28" s="21">
        <v>30</v>
      </c>
      <c r="I28" s="21">
        <f t="shared" si="0"/>
        <v>-30</v>
      </c>
      <c r="J28" s="20" t="s">
        <v>459</v>
      </c>
      <c r="K28" s="20" t="s">
        <v>31</v>
      </c>
      <c r="L28" s="20" t="s">
        <v>455</v>
      </c>
      <c r="M28" s="20"/>
      <c r="N28" s="20"/>
      <c r="O28" s="20"/>
      <c r="P28" s="20"/>
      <c r="Q28" s="20">
        <v>1</v>
      </c>
      <c r="R28" s="8">
        <f>H28</f>
        <v>30</v>
      </c>
    </row>
    <row r="29" spans="1:18" x14ac:dyDescent="0.25">
      <c r="A29" s="20" t="s">
        <v>26</v>
      </c>
      <c r="B29" s="20" t="s">
        <v>27</v>
      </c>
      <c r="C29" s="20" t="s">
        <v>668</v>
      </c>
      <c r="D29" s="20"/>
      <c r="E29" s="20" t="s">
        <v>669</v>
      </c>
      <c r="F29" s="20" t="s">
        <v>35</v>
      </c>
      <c r="G29" s="21">
        <v>5610</v>
      </c>
      <c r="H29" s="21">
        <v>50</v>
      </c>
      <c r="I29" s="21">
        <f t="shared" si="0"/>
        <v>5560</v>
      </c>
      <c r="J29" s="20" t="s">
        <v>459</v>
      </c>
      <c r="K29" s="20" t="s">
        <v>31</v>
      </c>
      <c r="L29" s="20" t="s">
        <v>455</v>
      </c>
      <c r="M29" s="20"/>
      <c r="N29" s="20"/>
      <c r="O29" s="20"/>
      <c r="P29" s="20"/>
      <c r="Q29" s="20">
        <v>1</v>
      </c>
    </row>
    <row r="30" spans="1:18" x14ac:dyDescent="0.25">
      <c r="A30" s="20" t="s">
        <v>26</v>
      </c>
      <c r="B30" s="20" t="s">
        <v>27</v>
      </c>
      <c r="C30" s="20" t="s">
        <v>670</v>
      </c>
      <c r="D30" s="20"/>
      <c r="E30" s="20" t="s">
        <v>671</v>
      </c>
      <c r="F30" s="21">
        <v>6</v>
      </c>
      <c r="G30" s="21">
        <v>0</v>
      </c>
      <c r="H30" s="21">
        <v>30</v>
      </c>
      <c r="I30" s="21">
        <f t="shared" si="0"/>
        <v>-30</v>
      </c>
      <c r="J30" s="20" t="s">
        <v>459</v>
      </c>
      <c r="K30" s="20" t="s">
        <v>31</v>
      </c>
      <c r="L30" s="20" t="s">
        <v>455</v>
      </c>
      <c r="M30" s="20"/>
      <c r="N30" s="20"/>
      <c r="O30" s="20"/>
      <c r="P30" s="20"/>
      <c r="Q30" s="20">
        <v>1</v>
      </c>
      <c r="R30" s="8">
        <f>H30</f>
        <v>30</v>
      </c>
    </row>
    <row r="31" spans="1:18" x14ac:dyDescent="0.25">
      <c r="A31" s="20"/>
      <c r="B31" s="20" t="s">
        <v>27</v>
      </c>
      <c r="C31" s="20" t="s">
        <v>674</v>
      </c>
      <c r="D31" s="20" t="s">
        <v>675</v>
      </c>
      <c r="E31" s="20" t="s">
        <v>676</v>
      </c>
      <c r="F31" s="20" t="s">
        <v>121</v>
      </c>
      <c r="G31" s="21">
        <v>395</v>
      </c>
      <c r="H31" s="21">
        <v>35</v>
      </c>
      <c r="I31" s="21">
        <f t="shared" si="0"/>
        <v>360</v>
      </c>
      <c r="J31" s="20" t="s">
        <v>459</v>
      </c>
      <c r="K31" s="20" t="s">
        <v>31</v>
      </c>
      <c r="L31" s="20" t="s">
        <v>455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27</v>
      </c>
      <c r="C32" s="20" t="s">
        <v>460</v>
      </c>
      <c r="D32" s="20" t="s">
        <v>461</v>
      </c>
      <c r="E32" s="20" t="s">
        <v>462</v>
      </c>
      <c r="F32" s="21">
        <v>2</v>
      </c>
      <c r="G32" s="21">
        <v>950</v>
      </c>
      <c r="H32" s="21">
        <v>30</v>
      </c>
      <c r="I32" s="21">
        <f t="shared" si="0"/>
        <v>920</v>
      </c>
      <c r="J32" s="20" t="s">
        <v>31</v>
      </c>
      <c r="K32" s="20" t="s">
        <v>31</v>
      </c>
      <c r="L32" s="20" t="s">
        <v>455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27</v>
      </c>
      <c r="C33" s="20" t="s">
        <v>466</v>
      </c>
      <c r="D33" s="20" t="s">
        <v>467</v>
      </c>
      <c r="E33" s="20" t="s">
        <v>468</v>
      </c>
      <c r="F33" s="21">
        <v>12</v>
      </c>
      <c r="G33" s="21">
        <v>950</v>
      </c>
      <c r="H33" s="21">
        <v>30</v>
      </c>
      <c r="I33" s="21">
        <f t="shared" si="0"/>
        <v>920</v>
      </c>
      <c r="J33" s="20" t="s">
        <v>31</v>
      </c>
      <c r="K33" s="20" t="s">
        <v>31</v>
      </c>
      <c r="L33" s="20" t="s">
        <v>455</v>
      </c>
      <c r="M33" s="20"/>
      <c r="N33" s="20"/>
      <c r="O33" s="20"/>
      <c r="P33" s="20"/>
      <c r="Q33" s="20">
        <v>1</v>
      </c>
    </row>
    <row r="34" spans="1:18" x14ac:dyDescent="0.25">
      <c r="A34" s="20"/>
      <c r="B34" s="20" t="s">
        <v>27</v>
      </c>
      <c r="C34" s="20" t="s">
        <v>472</v>
      </c>
      <c r="D34" s="20" t="s">
        <v>473</v>
      </c>
      <c r="E34" s="20" t="s">
        <v>474</v>
      </c>
      <c r="F34" s="20" t="s">
        <v>88</v>
      </c>
      <c r="G34" s="21">
        <v>520</v>
      </c>
      <c r="H34" s="21">
        <v>30</v>
      </c>
      <c r="I34" s="21">
        <f t="shared" si="0"/>
        <v>490</v>
      </c>
      <c r="J34" s="20" t="s">
        <v>31</v>
      </c>
      <c r="K34" s="20" t="s">
        <v>31</v>
      </c>
      <c r="L34" s="20" t="s">
        <v>455</v>
      </c>
      <c r="M34" s="20"/>
      <c r="N34" s="20"/>
      <c r="O34" s="20"/>
      <c r="P34" s="20"/>
      <c r="Q34" s="20">
        <v>1</v>
      </c>
    </row>
    <row r="35" spans="1:18" x14ac:dyDescent="0.25">
      <c r="A35" s="20"/>
      <c r="B35" s="20" t="s">
        <v>27</v>
      </c>
      <c r="C35" s="20" t="s">
        <v>475</v>
      </c>
      <c r="D35" s="20" t="s">
        <v>476</v>
      </c>
      <c r="E35" s="20" t="s">
        <v>477</v>
      </c>
      <c r="F35" s="20" t="s">
        <v>88</v>
      </c>
      <c r="G35" s="21">
        <v>800</v>
      </c>
      <c r="H35" s="21">
        <v>30</v>
      </c>
      <c r="I35" s="21">
        <f t="shared" ref="I35:I66" si="2">G35-H35</f>
        <v>770</v>
      </c>
      <c r="J35" s="20" t="s">
        <v>31</v>
      </c>
      <c r="K35" s="20" t="s">
        <v>31</v>
      </c>
      <c r="L35" s="20" t="s">
        <v>455</v>
      </c>
      <c r="M35" s="20"/>
      <c r="N35" s="20"/>
      <c r="O35" s="20"/>
      <c r="P35" s="20"/>
      <c r="Q35" s="20">
        <v>1</v>
      </c>
    </row>
    <row r="36" spans="1:18" x14ac:dyDescent="0.25">
      <c r="A36" s="20"/>
      <c r="B36" s="20" t="s">
        <v>27</v>
      </c>
      <c r="C36" s="20" t="s">
        <v>481</v>
      </c>
      <c r="D36" s="20" t="s">
        <v>482</v>
      </c>
      <c r="E36" s="20" t="s">
        <v>483</v>
      </c>
      <c r="F36" s="21">
        <v>9</v>
      </c>
      <c r="G36" s="21">
        <v>1600</v>
      </c>
      <c r="H36" s="21">
        <v>30</v>
      </c>
      <c r="I36" s="21">
        <f t="shared" si="2"/>
        <v>1570</v>
      </c>
      <c r="J36" s="20" t="s">
        <v>31</v>
      </c>
      <c r="K36" s="20" t="s">
        <v>31</v>
      </c>
      <c r="L36" s="20" t="s">
        <v>455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27</v>
      </c>
      <c r="C37" s="20" t="s">
        <v>493</v>
      </c>
      <c r="D37" s="20" t="s">
        <v>494</v>
      </c>
      <c r="E37" s="20" t="s">
        <v>495</v>
      </c>
      <c r="F37" s="20" t="s">
        <v>77</v>
      </c>
      <c r="G37" s="21">
        <v>910</v>
      </c>
      <c r="H37" s="21">
        <v>20</v>
      </c>
      <c r="I37" s="21">
        <f t="shared" si="2"/>
        <v>890</v>
      </c>
      <c r="J37" s="20" t="s">
        <v>31</v>
      </c>
      <c r="K37" s="20" t="s">
        <v>31</v>
      </c>
      <c r="L37" s="20" t="s">
        <v>455</v>
      </c>
      <c r="M37" s="20"/>
      <c r="N37" s="20"/>
      <c r="O37" s="20"/>
      <c r="P37" s="20"/>
      <c r="Q37" s="20">
        <v>1</v>
      </c>
    </row>
    <row r="38" spans="1:18" x14ac:dyDescent="0.25">
      <c r="A38" s="20"/>
      <c r="B38" s="20" t="s">
        <v>27</v>
      </c>
      <c r="C38" s="20" t="s">
        <v>508</v>
      </c>
      <c r="D38" s="20" t="s">
        <v>509</v>
      </c>
      <c r="E38" s="20" t="s">
        <v>510</v>
      </c>
      <c r="F38" s="20" t="s">
        <v>77</v>
      </c>
      <c r="G38" s="21">
        <v>0</v>
      </c>
      <c r="H38" s="21">
        <v>20</v>
      </c>
      <c r="I38" s="21">
        <f t="shared" si="2"/>
        <v>-20</v>
      </c>
      <c r="J38" s="20" t="s">
        <v>31</v>
      </c>
      <c r="K38" s="20" t="s">
        <v>31</v>
      </c>
      <c r="L38" s="20" t="s">
        <v>455</v>
      </c>
      <c r="M38" s="20"/>
      <c r="N38" s="20"/>
      <c r="O38" s="20"/>
      <c r="P38" s="20"/>
      <c r="Q38" s="20">
        <v>1</v>
      </c>
      <c r="R38" s="8">
        <f>H38</f>
        <v>20</v>
      </c>
    </row>
    <row r="39" spans="1:18" x14ac:dyDescent="0.25">
      <c r="A39" s="20"/>
      <c r="B39" s="20" t="s">
        <v>27</v>
      </c>
      <c r="C39" s="20" t="s">
        <v>511</v>
      </c>
      <c r="D39" s="20" t="s">
        <v>512</v>
      </c>
      <c r="E39" s="20" t="s">
        <v>513</v>
      </c>
      <c r="F39" s="20" t="s">
        <v>39</v>
      </c>
      <c r="G39" s="21">
        <v>1435</v>
      </c>
      <c r="H39" s="21">
        <v>25</v>
      </c>
      <c r="I39" s="21">
        <f t="shared" si="2"/>
        <v>1410</v>
      </c>
      <c r="J39" s="20" t="s">
        <v>31</v>
      </c>
      <c r="K39" s="20" t="s">
        <v>31</v>
      </c>
      <c r="L39" s="20" t="s">
        <v>455</v>
      </c>
      <c r="M39" s="20"/>
      <c r="N39" s="20"/>
      <c r="O39" s="20"/>
      <c r="P39" s="20"/>
      <c r="Q39" s="20">
        <v>1</v>
      </c>
    </row>
    <row r="40" spans="1:18" x14ac:dyDescent="0.25">
      <c r="A40" s="20"/>
      <c r="B40" s="20" t="s">
        <v>27</v>
      </c>
      <c r="C40" s="20" t="s">
        <v>378</v>
      </c>
      <c r="D40" s="20" t="s">
        <v>520</v>
      </c>
      <c r="E40" s="20" t="s">
        <v>521</v>
      </c>
      <c r="F40" s="20" t="s">
        <v>39</v>
      </c>
      <c r="G40" s="21">
        <v>115</v>
      </c>
      <c r="H40" s="21">
        <v>25</v>
      </c>
      <c r="I40" s="21">
        <f t="shared" si="2"/>
        <v>90</v>
      </c>
      <c r="J40" s="20" t="s">
        <v>31</v>
      </c>
      <c r="K40" s="20" t="s">
        <v>31</v>
      </c>
      <c r="L40" s="20" t="s">
        <v>455</v>
      </c>
      <c r="M40" s="20"/>
      <c r="N40" s="20"/>
      <c r="O40" s="20"/>
      <c r="P40" s="20"/>
      <c r="Q40" s="20">
        <v>1</v>
      </c>
    </row>
    <row r="41" spans="1:18" s="26" customFormat="1" x14ac:dyDescent="0.25">
      <c r="A41" s="24"/>
      <c r="B41" s="24" t="s">
        <v>27</v>
      </c>
      <c r="C41" s="24" t="s">
        <v>371</v>
      </c>
      <c r="D41" s="24" t="s">
        <v>528</v>
      </c>
      <c r="E41" s="24" t="s">
        <v>373</v>
      </c>
      <c r="F41" s="24" t="s">
        <v>77</v>
      </c>
      <c r="G41" s="25">
        <v>1370</v>
      </c>
      <c r="H41" s="25">
        <v>20</v>
      </c>
      <c r="I41" s="25">
        <f t="shared" si="2"/>
        <v>1350</v>
      </c>
      <c r="J41" s="24" t="s">
        <v>31</v>
      </c>
      <c r="K41" s="24" t="s">
        <v>31</v>
      </c>
      <c r="L41" s="24" t="s">
        <v>455</v>
      </c>
      <c r="M41" s="24" t="s">
        <v>84</v>
      </c>
      <c r="N41" s="24"/>
      <c r="O41" s="24"/>
      <c r="P41" s="24"/>
      <c r="Q41" s="24">
        <v>1</v>
      </c>
    </row>
    <row r="42" spans="1:18" x14ac:dyDescent="0.25">
      <c r="A42" s="20"/>
      <c r="B42" s="20" t="s">
        <v>27</v>
      </c>
      <c r="C42" s="20" t="s">
        <v>537</v>
      </c>
      <c r="D42" s="20" t="s">
        <v>538</v>
      </c>
      <c r="E42" s="20" t="s">
        <v>539</v>
      </c>
      <c r="F42" s="21">
        <v>12</v>
      </c>
      <c r="G42" s="21">
        <v>1570</v>
      </c>
      <c r="H42" s="21">
        <v>30</v>
      </c>
      <c r="I42" s="21">
        <f t="shared" si="2"/>
        <v>1540</v>
      </c>
      <c r="J42" s="20" t="s">
        <v>31</v>
      </c>
      <c r="K42" s="20" t="s">
        <v>31</v>
      </c>
      <c r="L42" s="20" t="s">
        <v>455</v>
      </c>
      <c r="M42" s="20"/>
      <c r="N42" s="20"/>
      <c r="O42" s="20"/>
      <c r="P42" s="20"/>
      <c r="Q42" s="20">
        <v>1</v>
      </c>
    </row>
    <row r="43" spans="1:18" x14ac:dyDescent="0.25">
      <c r="A43" s="20"/>
      <c r="B43" s="20" t="s">
        <v>27</v>
      </c>
      <c r="C43" s="20" t="s">
        <v>551</v>
      </c>
      <c r="D43" s="20" t="s">
        <v>552</v>
      </c>
      <c r="E43" s="20" t="s">
        <v>553</v>
      </c>
      <c r="F43" s="21">
        <v>2</v>
      </c>
      <c r="G43" s="21">
        <v>0</v>
      </c>
      <c r="H43" s="21">
        <v>30</v>
      </c>
      <c r="I43" s="21">
        <f t="shared" si="2"/>
        <v>-30</v>
      </c>
      <c r="J43" s="20" t="s">
        <v>31</v>
      </c>
      <c r="K43" s="20" t="s">
        <v>31</v>
      </c>
      <c r="L43" s="20" t="s">
        <v>455</v>
      </c>
      <c r="M43" s="20"/>
      <c r="N43" s="20"/>
      <c r="O43" s="20"/>
      <c r="P43" s="20"/>
      <c r="Q43" s="20">
        <v>1</v>
      </c>
      <c r="R43" s="8">
        <f>H43</f>
        <v>30</v>
      </c>
    </row>
    <row r="44" spans="1:18" x14ac:dyDescent="0.25">
      <c r="A44" s="20"/>
      <c r="B44" s="20" t="s">
        <v>27</v>
      </c>
      <c r="C44" s="20" t="s">
        <v>554</v>
      </c>
      <c r="D44" s="20" t="s">
        <v>555</v>
      </c>
      <c r="E44" s="20" t="s">
        <v>556</v>
      </c>
      <c r="F44" s="20" t="s">
        <v>39</v>
      </c>
      <c r="G44" s="21">
        <v>805</v>
      </c>
      <c r="H44" s="21">
        <v>25</v>
      </c>
      <c r="I44" s="21">
        <f t="shared" si="2"/>
        <v>780</v>
      </c>
      <c r="J44" s="20" t="s">
        <v>31</v>
      </c>
      <c r="K44" s="20" t="s">
        <v>31</v>
      </c>
      <c r="L44" s="20" t="s">
        <v>455</v>
      </c>
      <c r="M44" s="20"/>
      <c r="N44" s="20"/>
      <c r="O44" s="20"/>
      <c r="P44" s="20"/>
      <c r="Q44" s="20">
        <v>1</v>
      </c>
    </row>
    <row r="45" spans="1:18" x14ac:dyDescent="0.25">
      <c r="A45" s="20"/>
      <c r="B45" s="20" t="s">
        <v>27</v>
      </c>
      <c r="C45" s="20" t="s">
        <v>566</v>
      </c>
      <c r="D45" s="20" t="s">
        <v>567</v>
      </c>
      <c r="E45" s="20" t="s">
        <v>568</v>
      </c>
      <c r="F45" s="21">
        <v>2</v>
      </c>
      <c r="G45" s="21">
        <v>450</v>
      </c>
      <c r="H45" s="21">
        <v>30</v>
      </c>
      <c r="I45" s="21">
        <f t="shared" si="2"/>
        <v>420</v>
      </c>
      <c r="J45" s="20" t="s">
        <v>31</v>
      </c>
      <c r="K45" s="20" t="s">
        <v>31</v>
      </c>
      <c r="L45" s="20" t="s">
        <v>455</v>
      </c>
      <c r="M45" s="20"/>
      <c r="N45" s="20"/>
      <c r="O45" s="20"/>
      <c r="P45" s="20"/>
      <c r="Q45" s="20">
        <v>1</v>
      </c>
    </row>
    <row r="46" spans="1:18" x14ac:dyDescent="0.25">
      <c r="A46" s="20"/>
      <c r="B46" s="20" t="s">
        <v>27</v>
      </c>
      <c r="C46" s="20" t="s">
        <v>572</v>
      </c>
      <c r="D46" s="20" t="s">
        <v>573</v>
      </c>
      <c r="E46" s="20" t="s">
        <v>574</v>
      </c>
      <c r="F46" s="20" t="s">
        <v>77</v>
      </c>
      <c r="G46" s="21">
        <v>0</v>
      </c>
      <c r="H46" s="21">
        <v>20</v>
      </c>
      <c r="I46" s="21">
        <f t="shared" si="2"/>
        <v>-20</v>
      </c>
      <c r="J46" s="20" t="s">
        <v>31</v>
      </c>
      <c r="K46" s="20" t="s">
        <v>31</v>
      </c>
      <c r="L46" s="20" t="s">
        <v>455</v>
      </c>
      <c r="M46" s="20"/>
      <c r="N46" s="20"/>
      <c r="O46" s="20"/>
      <c r="P46" s="20"/>
      <c r="Q46" s="20">
        <v>1</v>
      </c>
      <c r="R46" s="8">
        <f>H46</f>
        <v>20</v>
      </c>
    </row>
    <row r="47" spans="1:18" x14ac:dyDescent="0.25">
      <c r="A47" s="20"/>
      <c r="B47" s="20" t="s">
        <v>27</v>
      </c>
      <c r="C47" s="20" t="s">
        <v>587</v>
      </c>
      <c r="D47" s="20" t="s">
        <v>588</v>
      </c>
      <c r="E47" s="20" t="s">
        <v>589</v>
      </c>
      <c r="F47" s="20" t="s">
        <v>39</v>
      </c>
      <c r="G47" s="21">
        <v>845</v>
      </c>
      <c r="H47" s="21">
        <v>25</v>
      </c>
      <c r="I47" s="21">
        <f t="shared" si="2"/>
        <v>820</v>
      </c>
      <c r="J47" s="20" t="s">
        <v>31</v>
      </c>
      <c r="K47" s="20" t="s">
        <v>31</v>
      </c>
      <c r="L47" s="20" t="s">
        <v>455</v>
      </c>
      <c r="M47" s="20"/>
      <c r="N47" s="20"/>
      <c r="O47" s="20"/>
      <c r="P47" s="20"/>
      <c r="Q47" s="20">
        <v>1</v>
      </c>
    </row>
    <row r="48" spans="1:18" x14ac:dyDescent="0.25">
      <c r="A48" s="20"/>
      <c r="B48" s="20" t="s">
        <v>27</v>
      </c>
      <c r="C48" s="20" t="s">
        <v>593</v>
      </c>
      <c r="D48" s="20" t="s">
        <v>594</v>
      </c>
      <c r="E48" s="20" t="s">
        <v>595</v>
      </c>
      <c r="F48" s="21">
        <v>9</v>
      </c>
      <c r="G48" s="21">
        <v>690</v>
      </c>
      <c r="H48" s="21">
        <v>30</v>
      </c>
      <c r="I48" s="21">
        <f t="shared" si="2"/>
        <v>660</v>
      </c>
      <c r="J48" s="20" t="s">
        <v>31</v>
      </c>
      <c r="K48" s="20" t="s">
        <v>31</v>
      </c>
      <c r="L48" s="20" t="s">
        <v>455</v>
      </c>
      <c r="M48" s="20"/>
      <c r="N48" s="20"/>
      <c r="O48" s="20"/>
      <c r="P48" s="20"/>
      <c r="Q48" s="20">
        <v>1</v>
      </c>
    </row>
    <row r="49" spans="1:18" x14ac:dyDescent="0.25">
      <c r="A49" s="20"/>
      <c r="B49" s="20" t="s">
        <v>27</v>
      </c>
      <c r="C49" s="20" t="s">
        <v>596</v>
      </c>
      <c r="D49" s="20" t="s">
        <v>597</v>
      </c>
      <c r="E49" s="20" t="s">
        <v>598</v>
      </c>
      <c r="F49" s="21">
        <v>12</v>
      </c>
      <c r="G49" s="21">
        <v>780</v>
      </c>
      <c r="H49" s="21">
        <v>30</v>
      </c>
      <c r="I49" s="21">
        <f t="shared" si="2"/>
        <v>750</v>
      </c>
      <c r="J49" s="20" t="s">
        <v>31</v>
      </c>
      <c r="K49" s="20" t="s">
        <v>31</v>
      </c>
      <c r="L49" s="20" t="s">
        <v>455</v>
      </c>
      <c r="M49" s="20"/>
      <c r="N49" s="20"/>
      <c r="O49" s="20"/>
      <c r="P49" s="20"/>
      <c r="Q49" s="20">
        <v>1</v>
      </c>
    </row>
    <row r="50" spans="1:18" x14ac:dyDescent="0.25">
      <c r="A50" s="20"/>
      <c r="B50" s="20" t="s">
        <v>27</v>
      </c>
      <c r="C50" s="20" t="s">
        <v>603</v>
      </c>
      <c r="D50" s="20" t="s">
        <v>604</v>
      </c>
      <c r="E50" s="20" t="s">
        <v>605</v>
      </c>
      <c r="F50" s="21">
        <v>9</v>
      </c>
      <c r="G50" s="21">
        <v>0</v>
      </c>
      <c r="H50" s="21">
        <v>30</v>
      </c>
      <c r="I50" s="21">
        <f t="shared" si="2"/>
        <v>-30</v>
      </c>
      <c r="J50" s="20" t="s">
        <v>31</v>
      </c>
      <c r="K50" s="20" t="s">
        <v>31</v>
      </c>
      <c r="L50" s="20" t="s">
        <v>455</v>
      </c>
      <c r="M50" s="20"/>
      <c r="N50" s="20"/>
      <c r="O50" s="20"/>
      <c r="P50" s="20"/>
      <c r="Q50" s="20">
        <v>1</v>
      </c>
      <c r="R50" s="8">
        <f>H50</f>
        <v>30</v>
      </c>
    </row>
    <row r="51" spans="1:18" x14ac:dyDescent="0.25">
      <c r="A51" s="20"/>
      <c r="B51" s="20" t="s">
        <v>27</v>
      </c>
      <c r="C51" s="20" t="s">
        <v>613</v>
      </c>
      <c r="D51" s="20" t="s">
        <v>614</v>
      </c>
      <c r="E51" s="20" t="s">
        <v>615</v>
      </c>
      <c r="F51" s="21">
        <v>9</v>
      </c>
      <c r="G51" s="21">
        <v>1350</v>
      </c>
      <c r="H51" s="21">
        <v>30</v>
      </c>
      <c r="I51" s="21">
        <f t="shared" si="2"/>
        <v>1320</v>
      </c>
      <c r="J51" s="20" t="s">
        <v>31</v>
      </c>
      <c r="K51" s="20" t="s">
        <v>31</v>
      </c>
      <c r="L51" s="20" t="s">
        <v>455</v>
      </c>
      <c r="M51" s="20"/>
      <c r="N51" s="20"/>
      <c r="O51" s="20"/>
      <c r="P51" s="20"/>
      <c r="Q51" s="20">
        <v>1</v>
      </c>
    </row>
    <row r="52" spans="1:18" x14ac:dyDescent="0.25">
      <c r="A52" s="20"/>
      <c r="B52" s="20" t="s">
        <v>27</v>
      </c>
      <c r="C52" s="20" t="s">
        <v>625</v>
      </c>
      <c r="D52" s="20" t="s">
        <v>626</v>
      </c>
      <c r="E52" s="20" t="s">
        <v>627</v>
      </c>
      <c r="F52" s="20" t="s">
        <v>77</v>
      </c>
      <c r="G52" s="21">
        <v>900</v>
      </c>
      <c r="H52" s="21">
        <v>20</v>
      </c>
      <c r="I52" s="21">
        <f t="shared" si="2"/>
        <v>880</v>
      </c>
      <c r="J52" s="20" t="s">
        <v>31</v>
      </c>
      <c r="K52" s="20" t="s">
        <v>31</v>
      </c>
      <c r="L52" s="20" t="s">
        <v>455</v>
      </c>
      <c r="M52" s="20"/>
      <c r="N52" s="20"/>
      <c r="O52" s="20"/>
      <c r="P52" s="20"/>
      <c r="Q52" s="20">
        <v>1</v>
      </c>
    </row>
    <row r="53" spans="1:18" x14ac:dyDescent="0.25">
      <c r="A53" s="20"/>
      <c r="B53" s="20" t="s">
        <v>27</v>
      </c>
      <c r="C53" s="20" t="s">
        <v>628</v>
      </c>
      <c r="D53" s="20" t="s">
        <v>629</v>
      </c>
      <c r="E53" s="20" t="s">
        <v>630</v>
      </c>
      <c r="F53" s="21">
        <v>9</v>
      </c>
      <c r="G53" s="21">
        <v>1380</v>
      </c>
      <c r="H53" s="21">
        <v>30</v>
      </c>
      <c r="I53" s="21">
        <f t="shared" si="2"/>
        <v>1350</v>
      </c>
      <c r="J53" s="20" t="s">
        <v>31</v>
      </c>
      <c r="K53" s="20" t="s">
        <v>31</v>
      </c>
      <c r="L53" s="20" t="s">
        <v>455</v>
      </c>
      <c r="M53" s="20"/>
      <c r="N53" s="20"/>
      <c r="O53" s="20"/>
      <c r="P53" s="20"/>
      <c r="Q53" s="20">
        <v>1</v>
      </c>
    </row>
    <row r="54" spans="1:18" x14ac:dyDescent="0.25">
      <c r="A54" s="20"/>
      <c r="B54" s="20" t="s">
        <v>27</v>
      </c>
      <c r="C54" s="20" t="s">
        <v>646</v>
      </c>
      <c r="D54" s="20" t="s">
        <v>647</v>
      </c>
      <c r="E54" s="20" t="s">
        <v>648</v>
      </c>
      <c r="F54" s="20" t="s">
        <v>39</v>
      </c>
      <c r="G54" s="21">
        <v>865</v>
      </c>
      <c r="H54" s="21">
        <v>25</v>
      </c>
      <c r="I54" s="21">
        <f t="shared" si="2"/>
        <v>840</v>
      </c>
      <c r="J54" s="20" t="s">
        <v>31</v>
      </c>
      <c r="K54" s="20" t="s">
        <v>31</v>
      </c>
      <c r="L54" s="20" t="s">
        <v>455</v>
      </c>
      <c r="M54" s="20"/>
      <c r="N54" s="20"/>
      <c r="O54" s="20"/>
      <c r="P54" s="20"/>
      <c r="Q54" s="20">
        <v>1</v>
      </c>
    </row>
    <row r="55" spans="1:18" x14ac:dyDescent="0.25">
      <c r="A55" s="20"/>
      <c r="B55" s="20" t="s">
        <v>27</v>
      </c>
      <c r="C55" s="20" t="s">
        <v>649</v>
      </c>
      <c r="D55" s="20" t="s">
        <v>650</v>
      </c>
      <c r="E55" s="20" t="s">
        <v>651</v>
      </c>
      <c r="F55" s="21">
        <v>2</v>
      </c>
      <c r="G55" s="21">
        <v>780</v>
      </c>
      <c r="H55" s="21">
        <v>30</v>
      </c>
      <c r="I55" s="21">
        <f t="shared" si="2"/>
        <v>750</v>
      </c>
      <c r="J55" s="20" t="s">
        <v>31</v>
      </c>
      <c r="K55" s="20" t="s">
        <v>31</v>
      </c>
      <c r="L55" s="20" t="s">
        <v>455</v>
      </c>
      <c r="M55" s="20"/>
      <c r="N55" s="20"/>
      <c r="O55" s="20"/>
      <c r="P55" s="20"/>
      <c r="Q55" s="20">
        <v>1</v>
      </c>
    </row>
    <row r="56" spans="1:18" x14ac:dyDescent="0.25">
      <c r="A56" s="20"/>
      <c r="B56" s="20" t="s">
        <v>27</v>
      </c>
      <c r="C56" s="20" t="s">
        <v>656</v>
      </c>
      <c r="D56" s="20" t="s">
        <v>657</v>
      </c>
      <c r="E56" s="20" t="s">
        <v>658</v>
      </c>
      <c r="F56" s="20" t="s">
        <v>77</v>
      </c>
      <c r="G56" s="21">
        <v>740</v>
      </c>
      <c r="H56" s="21">
        <v>20</v>
      </c>
      <c r="I56" s="21">
        <f t="shared" si="2"/>
        <v>720</v>
      </c>
      <c r="J56" s="20" t="s">
        <v>31</v>
      </c>
      <c r="K56" s="20" t="s">
        <v>31</v>
      </c>
      <c r="L56" s="20" t="s">
        <v>455</v>
      </c>
      <c r="M56" s="20"/>
      <c r="N56" s="20"/>
      <c r="O56" s="20"/>
      <c r="P56" s="20"/>
      <c r="Q56" s="20">
        <v>1</v>
      </c>
    </row>
    <row r="57" spans="1:18" x14ac:dyDescent="0.25">
      <c r="A57" s="20" t="s">
        <v>26</v>
      </c>
      <c r="B57" s="20" t="s">
        <v>27</v>
      </c>
      <c r="C57" s="20" t="s">
        <v>659</v>
      </c>
      <c r="D57" s="20"/>
      <c r="E57" s="20" t="s">
        <v>660</v>
      </c>
      <c r="F57" s="21">
        <v>9</v>
      </c>
      <c r="G57" s="21">
        <v>455</v>
      </c>
      <c r="H57" s="21">
        <v>35</v>
      </c>
      <c r="I57" s="21">
        <f t="shared" si="2"/>
        <v>420</v>
      </c>
      <c r="J57" s="20" t="s">
        <v>31</v>
      </c>
      <c r="K57" s="20" t="s">
        <v>31</v>
      </c>
      <c r="L57" s="20" t="s">
        <v>455</v>
      </c>
      <c r="M57" s="20"/>
      <c r="N57" s="20"/>
      <c r="O57" s="20"/>
      <c r="P57" s="20"/>
      <c r="Q57" s="20">
        <v>1</v>
      </c>
    </row>
    <row r="58" spans="1:18" x14ac:dyDescent="0.25">
      <c r="A58" s="20" t="s">
        <v>26</v>
      </c>
      <c r="B58" s="20" t="s">
        <v>27</v>
      </c>
      <c r="C58" s="20" t="s">
        <v>445</v>
      </c>
      <c r="D58" s="20"/>
      <c r="E58" s="20" t="s">
        <v>446</v>
      </c>
      <c r="F58" s="21">
        <v>12</v>
      </c>
      <c r="G58" s="21">
        <v>0</v>
      </c>
      <c r="H58" s="21">
        <v>35</v>
      </c>
      <c r="I58" s="21">
        <f t="shared" si="2"/>
        <v>-35</v>
      </c>
      <c r="J58" s="20" t="s">
        <v>31</v>
      </c>
      <c r="K58" s="20" t="s">
        <v>31</v>
      </c>
      <c r="L58" s="20" t="s">
        <v>455</v>
      </c>
      <c r="M58" s="20"/>
      <c r="N58" s="20"/>
      <c r="O58" s="20"/>
      <c r="P58" s="20"/>
      <c r="Q58" s="20">
        <v>1</v>
      </c>
      <c r="R58" s="8">
        <f t="shared" ref="R58:R61" si="3">H58</f>
        <v>35</v>
      </c>
    </row>
    <row r="59" spans="1:18" x14ac:dyDescent="0.25">
      <c r="A59" s="20"/>
      <c r="B59" s="20" t="s">
        <v>27</v>
      </c>
      <c r="C59" s="20" t="s">
        <v>452</v>
      </c>
      <c r="D59" s="20" t="s">
        <v>453</v>
      </c>
      <c r="E59" s="20" t="s">
        <v>454</v>
      </c>
      <c r="F59" s="21">
        <v>1</v>
      </c>
      <c r="G59" s="21">
        <v>0</v>
      </c>
      <c r="H59" s="21">
        <v>25</v>
      </c>
      <c r="I59" s="21">
        <f t="shared" si="2"/>
        <v>-25</v>
      </c>
      <c r="J59" s="20" t="s">
        <v>30</v>
      </c>
      <c r="K59" s="20" t="s">
        <v>31</v>
      </c>
      <c r="L59" s="20" t="s">
        <v>455</v>
      </c>
      <c r="M59" s="20"/>
      <c r="N59" s="20"/>
      <c r="O59" s="20"/>
      <c r="P59" s="20"/>
      <c r="Q59" s="20">
        <v>1</v>
      </c>
      <c r="R59" s="8">
        <f t="shared" si="3"/>
        <v>25</v>
      </c>
    </row>
    <row r="60" spans="1:18" x14ac:dyDescent="0.25">
      <c r="A60" s="20"/>
      <c r="B60" s="20" t="s">
        <v>27</v>
      </c>
      <c r="C60" s="20" t="s">
        <v>463</v>
      </c>
      <c r="D60" s="20" t="s">
        <v>464</v>
      </c>
      <c r="E60" s="20" t="s">
        <v>465</v>
      </c>
      <c r="F60" s="20" t="s">
        <v>151</v>
      </c>
      <c r="G60" s="21">
        <v>0</v>
      </c>
      <c r="H60" s="21">
        <v>25</v>
      </c>
      <c r="I60" s="21">
        <f t="shared" si="2"/>
        <v>-25</v>
      </c>
      <c r="J60" s="20" t="s">
        <v>30</v>
      </c>
      <c r="K60" s="20" t="s">
        <v>31</v>
      </c>
      <c r="L60" s="20" t="s">
        <v>455</v>
      </c>
      <c r="M60" s="20"/>
      <c r="N60" s="20"/>
      <c r="O60" s="20"/>
      <c r="P60" s="20"/>
      <c r="Q60" s="20">
        <v>1</v>
      </c>
      <c r="R60" s="8">
        <f t="shared" si="3"/>
        <v>25</v>
      </c>
    </row>
    <row r="61" spans="1:18" x14ac:dyDescent="0.25">
      <c r="A61" s="20"/>
      <c r="B61" s="20" t="s">
        <v>27</v>
      </c>
      <c r="C61" s="20" t="s">
        <v>469</v>
      </c>
      <c r="D61" s="20" t="s">
        <v>470</v>
      </c>
      <c r="E61" s="20" t="s">
        <v>471</v>
      </c>
      <c r="F61" s="20" t="s">
        <v>151</v>
      </c>
      <c r="G61" s="21">
        <v>0</v>
      </c>
      <c r="H61" s="21">
        <v>25</v>
      </c>
      <c r="I61" s="21">
        <f t="shared" si="2"/>
        <v>-25</v>
      </c>
      <c r="J61" s="20" t="s">
        <v>30</v>
      </c>
      <c r="K61" s="20" t="s">
        <v>31</v>
      </c>
      <c r="L61" s="20" t="s">
        <v>455</v>
      </c>
      <c r="M61" s="20"/>
      <c r="N61" s="20"/>
      <c r="O61" s="20"/>
      <c r="P61" s="20"/>
      <c r="Q61" s="20">
        <v>1</v>
      </c>
      <c r="R61" s="8">
        <f t="shared" si="3"/>
        <v>25</v>
      </c>
    </row>
    <row r="62" spans="1:18" x14ac:dyDescent="0.25">
      <c r="A62" s="20"/>
      <c r="B62" s="20" t="s">
        <v>27</v>
      </c>
      <c r="C62" s="20" t="s">
        <v>478</v>
      </c>
      <c r="D62" s="20" t="s">
        <v>479</v>
      </c>
      <c r="E62" s="20" t="s">
        <v>480</v>
      </c>
      <c r="F62" s="20" t="s">
        <v>151</v>
      </c>
      <c r="G62" s="21">
        <v>455</v>
      </c>
      <c r="H62" s="21">
        <v>25</v>
      </c>
      <c r="I62" s="21">
        <f t="shared" si="2"/>
        <v>430</v>
      </c>
      <c r="J62" s="20" t="s">
        <v>30</v>
      </c>
      <c r="K62" s="20" t="s">
        <v>31</v>
      </c>
      <c r="L62" s="20" t="s">
        <v>455</v>
      </c>
      <c r="M62" s="20"/>
      <c r="N62" s="20"/>
      <c r="O62" s="20"/>
      <c r="P62" s="20"/>
      <c r="Q62" s="20">
        <v>1</v>
      </c>
    </row>
    <row r="63" spans="1:18" x14ac:dyDescent="0.25">
      <c r="A63" s="20"/>
      <c r="B63" s="20" t="s">
        <v>27</v>
      </c>
      <c r="C63" s="20" t="s">
        <v>490</v>
      </c>
      <c r="D63" s="20" t="s">
        <v>491</v>
      </c>
      <c r="E63" s="20" t="s">
        <v>492</v>
      </c>
      <c r="F63" s="20" t="s">
        <v>151</v>
      </c>
      <c r="G63" s="21">
        <v>905</v>
      </c>
      <c r="H63" s="21">
        <v>25</v>
      </c>
      <c r="I63" s="21">
        <f t="shared" si="2"/>
        <v>880</v>
      </c>
      <c r="J63" s="20" t="s">
        <v>30</v>
      </c>
      <c r="K63" s="20" t="s">
        <v>31</v>
      </c>
      <c r="L63" s="20" t="s">
        <v>455</v>
      </c>
      <c r="M63" s="20"/>
      <c r="N63" s="20"/>
      <c r="O63" s="20"/>
      <c r="P63" s="20"/>
      <c r="Q63" s="20">
        <v>1</v>
      </c>
    </row>
    <row r="64" spans="1:18" x14ac:dyDescent="0.25">
      <c r="A64" s="20"/>
      <c r="B64" s="20" t="s">
        <v>27</v>
      </c>
      <c r="C64" s="20" t="s">
        <v>499</v>
      </c>
      <c r="D64" s="20" t="s">
        <v>500</v>
      </c>
      <c r="E64" s="20" t="s">
        <v>501</v>
      </c>
      <c r="F64" s="20" t="s">
        <v>125</v>
      </c>
      <c r="G64" s="21">
        <v>810</v>
      </c>
      <c r="H64" s="21">
        <v>20</v>
      </c>
      <c r="I64" s="21">
        <f t="shared" si="2"/>
        <v>790</v>
      </c>
      <c r="J64" s="20" t="s">
        <v>30</v>
      </c>
      <c r="K64" s="20" t="s">
        <v>31</v>
      </c>
      <c r="L64" s="20" t="s">
        <v>455</v>
      </c>
      <c r="M64" s="20"/>
      <c r="N64" s="20"/>
      <c r="O64" s="20"/>
      <c r="P64" s="20"/>
      <c r="Q64" s="20">
        <v>1</v>
      </c>
    </row>
    <row r="65" spans="1:18" x14ac:dyDescent="0.25">
      <c r="A65" s="20"/>
      <c r="B65" s="20" t="s">
        <v>27</v>
      </c>
      <c r="C65" s="20" t="s">
        <v>517</v>
      </c>
      <c r="D65" s="20" t="s">
        <v>518</v>
      </c>
      <c r="E65" s="20" t="s">
        <v>519</v>
      </c>
      <c r="F65" s="21">
        <v>5</v>
      </c>
      <c r="G65" s="21">
        <v>0</v>
      </c>
      <c r="H65" s="21">
        <v>25</v>
      </c>
      <c r="I65" s="21">
        <f t="shared" si="2"/>
        <v>-25</v>
      </c>
      <c r="J65" s="20" t="s">
        <v>30</v>
      </c>
      <c r="K65" s="20" t="s">
        <v>31</v>
      </c>
      <c r="L65" s="20" t="s">
        <v>455</v>
      </c>
      <c r="M65" s="20"/>
      <c r="N65" s="20"/>
      <c r="O65" s="20"/>
      <c r="P65" s="20"/>
      <c r="Q65" s="20">
        <v>1</v>
      </c>
      <c r="R65" s="8">
        <f>H65</f>
        <v>25</v>
      </c>
    </row>
    <row r="66" spans="1:18" x14ac:dyDescent="0.25">
      <c r="A66" s="20"/>
      <c r="B66" s="20" t="s">
        <v>27</v>
      </c>
      <c r="C66" s="20" t="s">
        <v>525</v>
      </c>
      <c r="D66" s="20" t="s">
        <v>526</v>
      </c>
      <c r="E66" s="20" t="s">
        <v>527</v>
      </c>
      <c r="F66" s="21">
        <v>1</v>
      </c>
      <c r="G66" s="21">
        <v>815</v>
      </c>
      <c r="H66" s="21">
        <v>25</v>
      </c>
      <c r="I66" s="21">
        <f t="shared" si="2"/>
        <v>790</v>
      </c>
      <c r="J66" s="20" t="s">
        <v>30</v>
      </c>
      <c r="K66" s="20" t="s">
        <v>31</v>
      </c>
      <c r="L66" s="20" t="s">
        <v>455</v>
      </c>
      <c r="M66" s="20"/>
      <c r="N66" s="20"/>
      <c r="O66" s="20"/>
      <c r="P66" s="20"/>
      <c r="Q66" s="20">
        <v>1</v>
      </c>
    </row>
    <row r="67" spans="1:18" x14ac:dyDescent="0.25">
      <c r="A67" s="20"/>
      <c r="B67" s="20" t="s">
        <v>27</v>
      </c>
      <c r="C67" s="20" t="s">
        <v>514</v>
      </c>
      <c r="D67" s="20" t="s">
        <v>529</v>
      </c>
      <c r="E67" s="20" t="s">
        <v>530</v>
      </c>
      <c r="F67" s="21">
        <v>1</v>
      </c>
      <c r="G67" s="21">
        <v>1015</v>
      </c>
      <c r="H67" s="21">
        <v>25</v>
      </c>
      <c r="I67" s="21">
        <f t="shared" ref="I67:I84" si="4">G67-H67</f>
        <v>990</v>
      </c>
      <c r="J67" s="20" t="s">
        <v>30</v>
      </c>
      <c r="K67" s="20" t="s">
        <v>31</v>
      </c>
      <c r="L67" s="20" t="s">
        <v>455</v>
      </c>
      <c r="M67" s="20"/>
      <c r="N67" s="20"/>
      <c r="O67" s="20"/>
      <c r="P67" s="20"/>
      <c r="Q67" s="20">
        <v>1</v>
      </c>
    </row>
    <row r="68" spans="1:18" x14ac:dyDescent="0.25">
      <c r="A68" s="20"/>
      <c r="B68" s="20" t="s">
        <v>27</v>
      </c>
      <c r="C68" s="20" t="s">
        <v>531</v>
      </c>
      <c r="D68" s="20" t="s">
        <v>532</v>
      </c>
      <c r="E68" s="20" t="s">
        <v>533</v>
      </c>
      <c r="F68" s="20" t="s">
        <v>151</v>
      </c>
      <c r="G68" s="21">
        <v>3360</v>
      </c>
      <c r="H68" s="21">
        <v>35</v>
      </c>
      <c r="I68" s="21">
        <f t="shared" si="4"/>
        <v>3325</v>
      </c>
      <c r="J68" s="20" t="s">
        <v>30</v>
      </c>
      <c r="K68" s="20" t="s">
        <v>31</v>
      </c>
      <c r="L68" s="20" t="s">
        <v>455</v>
      </c>
      <c r="M68" s="23" t="s">
        <v>95</v>
      </c>
      <c r="N68" s="20"/>
      <c r="O68" s="20"/>
      <c r="P68" s="20"/>
      <c r="Q68" s="20">
        <v>1</v>
      </c>
      <c r="R68" s="8">
        <f>H68</f>
        <v>35</v>
      </c>
    </row>
    <row r="69" spans="1:18" x14ac:dyDescent="0.25">
      <c r="A69" s="20"/>
      <c r="B69" s="20" t="s">
        <v>27</v>
      </c>
      <c r="C69" s="20" t="s">
        <v>548</v>
      </c>
      <c r="D69" s="20" t="s">
        <v>549</v>
      </c>
      <c r="E69" s="20" t="s">
        <v>550</v>
      </c>
      <c r="F69" s="20" t="s">
        <v>125</v>
      </c>
      <c r="G69" s="21">
        <v>1690</v>
      </c>
      <c r="H69" s="21">
        <v>20</v>
      </c>
      <c r="I69" s="21">
        <f t="shared" si="4"/>
        <v>1670</v>
      </c>
      <c r="J69" s="20" t="s">
        <v>30</v>
      </c>
      <c r="K69" s="20" t="s">
        <v>31</v>
      </c>
      <c r="L69" s="20" t="s">
        <v>455</v>
      </c>
      <c r="M69" s="20"/>
      <c r="N69" s="20"/>
      <c r="O69" s="20"/>
      <c r="P69" s="20"/>
      <c r="Q69" s="20">
        <v>1</v>
      </c>
    </row>
    <row r="70" spans="1:18" x14ac:dyDescent="0.25">
      <c r="A70" s="20"/>
      <c r="B70" s="20" t="s">
        <v>27</v>
      </c>
      <c r="C70" s="20" t="s">
        <v>557</v>
      </c>
      <c r="D70" s="20" t="s">
        <v>558</v>
      </c>
      <c r="E70" s="20" t="s">
        <v>559</v>
      </c>
      <c r="F70" s="20" t="s">
        <v>151</v>
      </c>
      <c r="G70" s="21">
        <v>1375</v>
      </c>
      <c r="H70" s="21">
        <v>25</v>
      </c>
      <c r="I70" s="21">
        <f t="shared" si="4"/>
        <v>1350</v>
      </c>
      <c r="J70" s="20" t="s">
        <v>30</v>
      </c>
      <c r="K70" s="20" t="s">
        <v>31</v>
      </c>
      <c r="L70" s="20" t="s">
        <v>455</v>
      </c>
      <c r="M70" s="20"/>
      <c r="N70" s="20"/>
      <c r="O70" s="20"/>
      <c r="P70" s="20"/>
      <c r="Q70" s="20">
        <v>1</v>
      </c>
    </row>
    <row r="71" spans="1:18" x14ac:dyDescent="0.25">
      <c r="A71" s="20"/>
      <c r="B71" s="20" t="s">
        <v>27</v>
      </c>
      <c r="C71" s="20" t="s">
        <v>563</v>
      </c>
      <c r="D71" s="20" t="s">
        <v>564</v>
      </c>
      <c r="E71" s="20" t="s">
        <v>565</v>
      </c>
      <c r="F71" s="20" t="s">
        <v>125</v>
      </c>
      <c r="G71" s="21">
        <v>980</v>
      </c>
      <c r="H71" s="21">
        <v>20</v>
      </c>
      <c r="I71" s="21">
        <f t="shared" si="4"/>
        <v>960</v>
      </c>
      <c r="J71" s="20" t="s">
        <v>30</v>
      </c>
      <c r="K71" s="20" t="s">
        <v>31</v>
      </c>
      <c r="L71" s="20" t="s">
        <v>455</v>
      </c>
      <c r="M71" s="20"/>
      <c r="N71" s="20"/>
      <c r="O71" s="20"/>
      <c r="P71" s="20"/>
      <c r="Q71" s="20">
        <v>1</v>
      </c>
    </row>
    <row r="72" spans="1:18" x14ac:dyDescent="0.25">
      <c r="A72" s="20"/>
      <c r="B72" s="20" t="s">
        <v>27</v>
      </c>
      <c r="C72" s="20" t="s">
        <v>581</v>
      </c>
      <c r="D72" s="20" t="s">
        <v>582</v>
      </c>
      <c r="E72" s="20" t="s">
        <v>583</v>
      </c>
      <c r="F72" s="21">
        <v>3</v>
      </c>
      <c r="G72" s="21">
        <v>1705</v>
      </c>
      <c r="H72" s="21">
        <v>25</v>
      </c>
      <c r="I72" s="21">
        <f t="shared" si="4"/>
        <v>1680</v>
      </c>
      <c r="J72" s="20" t="s">
        <v>30</v>
      </c>
      <c r="K72" s="20" t="s">
        <v>31</v>
      </c>
      <c r="L72" s="20" t="s">
        <v>455</v>
      </c>
      <c r="M72" s="20"/>
      <c r="N72" s="20"/>
      <c r="O72" s="20"/>
      <c r="P72" s="20"/>
      <c r="Q72" s="20">
        <v>1</v>
      </c>
    </row>
    <row r="73" spans="1:18" x14ac:dyDescent="0.25">
      <c r="A73" s="20"/>
      <c r="B73" s="20" t="s">
        <v>27</v>
      </c>
      <c r="C73" s="20" t="s">
        <v>584</v>
      </c>
      <c r="D73" s="20" t="s">
        <v>585</v>
      </c>
      <c r="E73" s="20" t="s">
        <v>586</v>
      </c>
      <c r="F73" s="21">
        <v>4</v>
      </c>
      <c r="G73" s="21">
        <v>815</v>
      </c>
      <c r="H73" s="21">
        <v>25</v>
      </c>
      <c r="I73" s="21">
        <f t="shared" si="4"/>
        <v>790</v>
      </c>
      <c r="J73" s="20" t="s">
        <v>30</v>
      </c>
      <c r="K73" s="20" t="s">
        <v>31</v>
      </c>
      <c r="L73" s="20" t="s">
        <v>455</v>
      </c>
      <c r="M73" s="20"/>
      <c r="N73" s="20"/>
      <c r="O73" s="20"/>
      <c r="P73" s="20"/>
      <c r="Q73" s="20">
        <v>1</v>
      </c>
    </row>
    <row r="74" spans="1:18" x14ac:dyDescent="0.25">
      <c r="A74" s="20"/>
      <c r="B74" s="20" t="s">
        <v>27</v>
      </c>
      <c r="C74" s="20" t="s">
        <v>499</v>
      </c>
      <c r="D74" s="20" t="s">
        <v>606</v>
      </c>
      <c r="E74" s="20" t="s">
        <v>501</v>
      </c>
      <c r="F74" s="20" t="s">
        <v>125</v>
      </c>
      <c r="G74" s="21">
        <v>750</v>
      </c>
      <c r="H74" s="21">
        <v>20</v>
      </c>
      <c r="I74" s="21">
        <f t="shared" si="4"/>
        <v>730</v>
      </c>
      <c r="J74" s="20" t="s">
        <v>30</v>
      </c>
      <c r="K74" s="20" t="s">
        <v>31</v>
      </c>
      <c r="L74" s="20" t="s">
        <v>455</v>
      </c>
      <c r="M74" s="20"/>
      <c r="N74" s="20"/>
      <c r="O74" s="20"/>
      <c r="P74" s="20"/>
      <c r="Q74" s="20">
        <v>1</v>
      </c>
    </row>
    <row r="75" spans="1:18" x14ac:dyDescent="0.25">
      <c r="A75" s="20"/>
      <c r="B75" s="20" t="s">
        <v>27</v>
      </c>
      <c r="C75" s="20" t="s">
        <v>622</v>
      </c>
      <c r="D75" s="20" t="s">
        <v>623</v>
      </c>
      <c r="E75" s="20" t="s">
        <v>624</v>
      </c>
      <c r="F75" s="20" t="s">
        <v>151</v>
      </c>
      <c r="G75" s="21">
        <v>745</v>
      </c>
      <c r="H75" s="21">
        <v>25</v>
      </c>
      <c r="I75" s="21">
        <f t="shared" si="4"/>
        <v>720</v>
      </c>
      <c r="J75" s="20" t="s">
        <v>30</v>
      </c>
      <c r="K75" s="20" t="s">
        <v>31</v>
      </c>
      <c r="L75" s="20" t="s">
        <v>455</v>
      </c>
      <c r="M75" s="20"/>
      <c r="N75" s="20"/>
      <c r="O75" s="20"/>
      <c r="P75" s="20"/>
      <c r="Q75" s="20">
        <v>1</v>
      </c>
    </row>
    <row r="76" spans="1:18" x14ac:dyDescent="0.25">
      <c r="A76" s="20"/>
      <c r="B76" s="20" t="s">
        <v>27</v>
      </c>
      <c r="C76" s="20" t="s">
        <v>634</v>
      </c>
      <c r="D76" s="20" t="s">
        <v>635</v>
      </c>
      <c r="E76" s="20" t="s">
        <v>636</v>
      </c>
      <c r="F76" s="21">
        <v>4</v>
      </c>
      <c r="G76" s="21">
        <v>0</v>
      </c>
      <c r="H76" s="21">
        <v>25</v>
      </c>
      <c r="I76" s="21">
        <f t="shared" si="4"/>
        <v>-25</v>
      </c>
      <c r="J76" s="20" t="s">
        <v>30</v>
      </c>
      <c r="K76" s="20" t="s">
        <v>31</v>
      </c>
      <c r="L76" s="20" t="s">
        <v>455</v>
      </c>
      <c r="M76" s="20"/>
      <c r="N76" s="20"/>
      <c r="O76" s="20"/>
      <c r="P76" s="20"/>
      <c r="Q76" s="20">
        <v>1</v>
      </c>
      <c r="R76" s="8">
        <f t="shared" ref="R76:R78" si="5">H76</f>
        <v>25</v>
      </c>
    </row>
    <row r="77" spans="1:18" x14ac:dyDescent="0.25">
      <c r="A77" s="20"/>
      <c r="B77" s="20" t="s">
        <v>27</v>
      </c>
      <c r="C77" s="20" t="s">
        <v>643</v>
      </c>
      <c r="D77" s="20" t="s">
        <v>644</v>
      </c>
      <c r="E77" s="20" t="s">
        <v>645</v>
      </c>
      <c r="F77" s="21">
        <v>1</v>
      </c>
      <c r="G77" s="21">
        <v>0</v>
      </c>
      <c r="H77" s="21">
        <v>25</v>
      </c>
      <c r="I77" s="21">
        <f t="shared" si="4"/>
        <v>-25</v>
      </c>
      <c r="J77" s="20" t="s">
        <v>30</v>
      </c>
      <c r="K77" s="20" t="s">
        <v>31</v>
      </c>
      <c r="L77" s="20" t="s">
        <v>455</v>
      </c>
      <c r="M77" s="20"/>
      <c r="N77" s="20"/>
      <c r="O77" s="20"/>
      <c r="P77" s="20"/>
      <c r="Q77" s="20">
        <v>1</v>
      </c>
      <c r="R77" s="8">
        <f t="shared" si="5"/>
        <v>25</v>
      </c>
    </row>
    <row r="78" spans="1:18" x14ac:dyDescent="0.25">
      <c r="A78" s="20"/>
      <c r="B78" s="20" t="s">
        <v>27</v>
      </c>
      <c r="C78" s="20" t="s">
        <v>653</v>
      </c>
      <c r="D78" s="20" t="s">
        <v>654</v>
      </c>
      <c r="E78" s="20" t="s">
        <v>655</v>
      </c>
      <c r="F78" s="21">
        <v>10</v>
      </c>
      <c r="G78" s="21">
        <v>0</v>
      </c>
      <c r="H78" s="21">
        <v>25</v>
      </c>
      <c r="I78" s="21">
        <f t="shared" si="4"/>
        <v>-25</v>
      </c>
      <c r="J78" s="20" t="s">
        <v>30</v>
      </c>
      <c r="K78" s="20" t="s">
        <v>31</v>
      </c>
      <c r="L78" s="20" t="s">
        <v>455</v>
      </c>
      <c r="M78" s="20"/>
      <c r="N78" s="20"/>
      <c r="O78" s="20"/>
      <c r="P78" s="20"/>
      <c r="Q78" s="20">
        <v>1</v>
      </c>
      <c r="R78" s="8">
        <f t="shared" si="5"/>
        <v>25</v>
      </c>
    </row>
    <row r="79" spans="1:18" x14ac:dyDescent="0.25">
      <c r="A79" s="20" t="s">
        <v>26</v>
      </c>
      <c r="B79" s="20" t="s">
        <v>27</v>
      </c>
      <c r="C79" s="20" t="s">
        <v>661</v>
      </c>
      <c r="D79" s="20"/>
      <c r="E79" s="20" t="s">
        <v>662</v>
      </c>
      <c r="F79" s="20" t="s">
        <v>125</v>
      </c>
      <c r="G79" s="21">
        <v>25</v>
      </c>
      <c r="H79" s="21">
        <v>25</v>
      </c>
      <c r="I79" s="21">
        <f t="shared" si="4"/>
        <v>0</v>
      </c>
      <c r="J79" s="20" t="s">
        <v>30</v>
      </c>
      <c r="K79" s="20" t="s">
        <v>31</v>
      </c>
      <c r="L79" s="20" t="s">
        <v>455</v>
      </c>
      <c r="M79" s="20"/>
      <c r="N79" s="20"/>
      <c r="O79" s="20"/>
      <c r="P79" s="20"/>
      <c r="Q79" s="20">
        <v>1</v>
      </c>
    </row>
    <row r="80" spans="1:18" x14ac:dyDescent="0.25">
      <c r="A80" s="20" t="s">
        <v>26</v>
      </c>
      <c r="B80" s="20" t="s">
        <v>27</v>
      </c>
      <c r="C80" s="20" t="s">
        <v>663</v>
      </c>
      <c r="D80" s="20"/>
      <c r="E80" s="20" t="s">
        <v>664</v>
      </c>
      <c r="F80" s="20" t="s">
        <v>151</v>
      </c>
      <c r="G80" s="21">
        <v>0</v>
      </c>
      <c r="H80" s="21">
        <v>30</v>
      </c>
      <c r="I80" s="21">
        <f t="shared" si="4"/>
        <v>-30</v>
      </c>
      <c r="J80" s="20" t="s">
        <v>30</v>
      </c>
      <c r="K80" s="20" t="s">
        <v>31</v>
      </c>
      <c r="L80" s="20" t="s">
        <v>455</v>
      </c>
      <c r="M80" s="20"/>
      <c r="N80" s="20"/>
      <c r="O80" s="20"/>
      <c r="P80" s="20"/>
      <c r="Q80" s="20">
        <v>1</v>
      </c>
      <c r="R80" s="8">
        <f t="shared" ref="R80:R81" si="6">H80</f>
        <v>30</v>
      </c>
    </row>
    <row r="81" spans="1:18" x14ac:dyDescent="0.25">
      <c r="A81" s="20" t="s">
        <v>26</v>
      </c>
      <c r="B81" s="20" t="s">
        <v>27</v>
      </c>
      <c r="C81" s="20" t="s">
        <v>672</v>
      </c>
      <c r="D81" s="20"/>
      <c r="E81" s="20" t="s">
        <v>673</v>
      </c>
      <c r="F81" s="20" t="s">
        <v>151</v>
      </c>
      <c r="G81" s="21">
        <v>0</v>
      </c>
      <c r="H81" s="21">
        <v>30</v>
      </c>
      <c r="I81" s="21">
        <f t="shared" si="4"/>
        <v>-30</v>
      </c>
      <c r="J81" s="20" t="s">
        <v>30</v>
      </c>
      <c r="K81" s="20" t="s">
        <v>31</v>
      </c>
      <c r="L81" s="20" t="s">
        <v>455</v>
      </c>
      <c r="M81" s="20"/>
      <c r="N81" s="20"/>
      <c r="O81" s="20"/>
      <c r="P81" s="20"/>
      <c r="Q81" s="20">
        <v>1</v>
      </c>
      <c r="R81" s="8">
        <f t="shared" si="6"/>
        <v>30</v>
      </c>
    </row>
    <row r="82" spans="1:18" x14ac:dyDescent="0.25">
      <c r="A82" s="20" t="s">
        <v>26</v>
      </c>
      <c r="B82" s="20" t="s">
        <v>27</v>
      </c>
      <c r="C82" s="20" t="s">
        <v>672</v>
      </c>
      <c r="D82" s="20"/>
      <c r="E82" s="20" t="s">
        <v>673</v>
      </c>
      <c r="F82" s="20" t="s">
        <v>151</v>
      </c>
      <c r="G82" s="21">
        <v>1820</v>
      </c>
      <c r="H82" s="21">
        <v>30</v>
      </c>
      <c r="I82" s="21">
        <f t="shared" si="4"/>
        <v>1790</v>
      </c>
      <c r="J82" s="20" t="s">
        <v>30</v>
      </c>
      <c r="K82" s="20" t="s">
        <v>30</v>
      </c>
      <c r="L82" s="20" t="s">
        <v>455</v>
      </c>
      <c r="M82" s="20"/>
      <c r="N82" s="20"/>
      <c r="O82" s="20"/>
      <c r="P82" s="20"/>
      <c r="Q82" s="20">
        <v>1</v>
      </c>
    </row>
    <row r="83" spans="1:18" s="13" customFormat="1" x14ac:dyDescent="0.25">
      <c r="A83" s="22"/>
      <c r="B83" s="22" t="s">
        <v>27</v>
      </c>
      <c r="C83" s="22" t="s">
        <v>540</v>
      </c>
      <c r="D83" s="22" t="s">
        <v>541</v>
      </c>
      <c r="E83" s="22" t="s">
        <v>542</v>
      </c>
      <c r="F83" s="22" t="s">
        <v>543</v>
      </c>
      <c r="G83" s="27">
        <v>1680</v>
      </c>
      <c r="H83" s="27">
        <v>0</v>
      </c>
      <c r="I83" s="27">
        <f t="shared" si="4"/>
        <v>1680</v>
      </c>
      <c r="J83" s="22" t="s">
        <v>184</v>
      </c>
      <c r="K83" s="22" t="s">
        <v>31</v>
      </c>
      <c r="L83" s="22" t="s">
        <v>455</v>
      </c>
      <c r="M83" s="22" t="s">
        <v>544</v>
      </c>
      <c r="N83" s="22" t="s">
        <v>187</v>
      </c>
      <c r="O83" s="22"/>
      <c r="P83" s="22" t="s">
        <v>188</v>
      </c>
      <c r="Q83" s="22">
        <v>1</v>
      </c>
    </row>
    <row r="84" spans="1:18" s="13" customFormat="1" x14ac:dyDescent="0.25">
      <c r="A84" s="22"/>
      <c r="B84" s="22" t="s">
        <v>27</v>
      </c>
      <c r="C84" s="22" t="s">
        <v>560</v>
      </c>
      <c r="D84" s="22" t="s">
        <v>561</v>
      </c>
      <c r="E84" s="22" t="s">
        <v>562</v>
      </c>
      <c r="F84" s="22" t="s">
        <v>543</v>
      </c>
      <c r="G84" s="27">
        <v>1810</v>
      </c>
      <c r="H84" s="27">
        <v>0</v>
      </c>
      <c r="I84" s="27">
        <f t="shared" si="4"/>
        <v>1810</v>
      </c>
      <c r="J84" s="22" t="s">
        <v>184</v>
      </c>
      <c r="K84" s="22" t="s">
        <v>31</v>
      </c>
      <c r="L84" s="22" t="s">
        <v>455</v>
      </c>
      <c r="M84" s="22" t="s">
        <v>544</v>
      </c>
      <c r="N84" s="22" t="s">
        <v>187</v>
      </c>
      <c r="O84" s="22"/>
      <c r="P84" s="22" t="s">
        <v>188</v>
      </c>
      <c r="Q84" s="22">
        <v>1</v>
      </c>
    </row>
    <row r="86" spans="1:18" x14ac:dyDescent="0.25">
      <c r="D86" s="9">
        <f>COUNTA(D3:D84)</f>
        <v>72</v>
      </c>
      <c r="G86" s="9">
        <f t="shared" ref="G86:Q86" si="7">SUBTOTAL(9,G3:G84)</f>
        <v>61495</v>
      </c>
      <c r="H86" s="9">
        <f t="shared" si="7"/>
        <v>2210</v>
      </c>
      <c r="I86" s="9">
        <f t="shared" si="7"/>
        <v>59285</v>
      </c>
      <c r="J86" s="9">
        <f t="shared" si="7"/>
        <v>0</v>
      </c>
      <c r="K86" s="9">
        <f t="shared" si="7"/>
        <v>0</v>
      </c>
      <c r="L86" s="9">
        <f t="shared" si="7"/>
        <v>0</v>
      </c>
      <c r="M86" s="9">
        <f t="shared" si="7"/>
        <v>0</v>
      </c>
      <c r="N86" s="9">
        <f t="shared" si="7"/>
        <v>0</v>
      </c>
      <c r="O86" s="9">
        <f t="shared" si="7"/>
        <v>0</v>
      </c>
      <c r="P86" s="9">
        <f t="shared" si="7"/>
        <v>0</v>
      </c>
      <c r="Q86" s="9">
        <f t="shared" si="7"/>
        <v>82</v>
      </c>
    </row>
    <row r="87" spans="1:18" x14ac:dyDescent="0.25">
      <c r="H87">
        <f>-17*17</f>
        <v>-289</v>
      </c>
    </row>
    <row r="88" spans="1:18" x14ac:dyDescent="0.25">
      <c r="A88" s="9" t="s">
        <v>27</v>
      </c>
      <c r="C88" s="46" t="s">
        <v>189</v>
      </c>
      <c r="D88" s="46"/>
      <c r="E88" s="10" t="s">
        <v>190</v>
      </c>
      <c r="H88">
        <f>-5*25</f>
        <v>-125</v>
      </c>
      <c r="K88" s="11" t="s">
        <v>30</v>
      </c>
      <c r="L88" s="11" t="s">
        <v>191</v>
      </c>
      <c r="M88" s="11" t="s">
        <v>190</v>
      </c>
      <c r="O88" s="10" t="s">
        <v>192</v>
      </c>
    </row>
    <row r="89" spans="1:18" x14ac:dyDescent="0.25">
      <c r="A89" t="s">
        <v>455</v>
      </c>
      <c r="B89" s="12" t="s">
        <v>193</v>
      </c>
      <c r="C89" s="47">
        <f>SUMIFS(I$3:I$84,B$3:B$84,A$88,L$3:L$84,A$89)</f>
        <v>59285</v>
      </c>
      <c r="D89" s="47"/>
      <c r="E89" s="12">
        <f>SUMIFS(Q$3:Q$84,B$3:B$84,A$88,L$3:L$84,A$89)</f>
        <v>82</v>
      </c>
      <c r="F89" t="s">
        <v>194</v>
      </c>
      <c r="H89">
        <f>-6*30</f>
        <v>-180</v>
      </c>
      <c r="K89" t="s">
        <v>195</v>
      </c>
      <c r="L89">
        <f>SUMIFS(G$3:G$84,J$3:J$84,K$88)</f>
        <v>17265</v>
      </c>
      <c r="M89">
        <f>SUMIFS(Q$3:Q$84,J$3:J$84,K$88)-INT(COUNTIFS(J$3:J$84,K$88,M$3:M$84,"*gộp*")/2)</f>
        <v>24</v>
      </c>
      <c r="O89" t="s">
        <v>30</v>
      </c>
      <c r="P89">
        <f>L94</f>
        <v>16778</v>
      </c>
    </row>
    <row r="90" spans="1:18" x14ac:dyDescent="0.25">
      <c r="B90" s="13" t="s">
        <v>196</v>
      </c>
      <c r="C90" s="48">
        <v>0</v>
      </c>
      <c r="D90" s="48"/>
      <c r="K90" t="s">
        <v>197</v>
      </c>
      <c r="L90">
        <f>-SUMIFS(H$3:H$84,J$3:J$84,K$88)+M90*5</f>
        <v>-485</v>
      </c>
      <c r="M90">
        <f>SUMIFS(Q$3:Q$84,J$3:J$84,K$88)-INT(COUNTIFS(J$3:J$84,K$88,M$3:M$84,"*gộp*")/2)</f>
        <v>24</v>
      </c>
      <c r="O90" t="s">
        <v>677</v>
      </c>
      <c r="P90">
        <f>L102</f>
        <v>19886</v>
      </c>
    </row>
    <row r="91" spans="1:18" x14ac:dyDescent="0.25">
      <c r="B91" s="13" t="s">
        <v>199</v>
      </c>
      <c r="C91" s="48">
        <f>-SUMIFS(I$3:I$84,B$3:B$84,A$88,P$3:P$84,"xx",N$3:N$84,"x")</f>
        <v>-3490</v>
      </c>
      <c r="D91" s="48"/>
      <c r="E91" s="13">
        <f>SUMIFS(Q$3:Q$84,B$3:B$84,A$88,P$3:P$84,"xx",N$3:N$84,"x")</f>
        <v>2</v>
      </c>
      <c r="K91" t="s">
        <v>200</v>
      </c>
      <c r="L91">
        <f>-M91*2</f>
        <v>-2</v>
      </c>
      <c r="M91">
        <f>COUNTIFS(K$3:K$84,K$88,L$3:L$84,A$89)-(COUNTIFS(K$3:K$84,K$88,M$3:M$84,"*gộp*")/2)-COUNTIFS(K$3:K$84,K$88,M$3:M$84,"*đơn trả*")-COUNTIFS(K$3:K$84,K$88,M$3:M$84,"*hàng tỉnh*")</f>
        <v>1</v>
      </c>
      <c r="O91" t="s">
        <v>31</v>
      </c>
      <c r="P91">
        <f>L110</f>
        <v>19504</v>
      </c>
    </row>
    <row r="92" spans="1:18" x14ac:dyDescent="0.25">
      <c r="B92" s="10" t="s">
        <v>201</v>
      </c>
      <c r="C92" s="46">
        <f>SUBTOTAL(9,C89:C91)</f>
        <v>55795</v>
      </c>
      <c r="D92" s="46"/>
      <c r="E92">
        <f>E89</f>
        <v>82</v>
      </c>
      <c r="K92" s="14" t="s">
        <v>186</v>
      </c>
      <c r="O92" t="s">
        <v>203</v>
      </c>
      <c r="P92">
        <f>-C96</f>
        <v>-55795</v>
      </c>
    </row>
    <row r="93" spans="1:18" x14ac:dyDescent="0.25">
      <c r="B93" s="13" t="s">
        <v>204</v>
      </c>
      <c r="C93" s="44"/>
      <c r="D93" s="44"/>
      <c r="K93" s="13" t="s">
        <v>205</v>
      </c>
      <c r="O93" s="10" t="s">
        <v>206</v>
      </c>
      <c r="P93" s="10">
        <f>SUBTOTAL(9,P89:P92)</f>
        <v>373</v>
      </c>
    </row>
    <row r="94" spans="1:18" x14ac:dyDescent="0.25">
      <c r="B94" s="15" t="s">
        <v>207</v>
      </c>
      <c r="C94" s="44"/>
      <c r="D94" s="44"/>
      <c r="L94" s="16">
        <f>SUBTOTAL(9,L89:L93)</f>
        <v>16778</v>
      </c>
      <c r="M94" s="16">
        <f>M89</f>
        <v>24</v>
      </c>
    </row>
    <row r="96" spans="1:18" x14ac:dyDescent="0.25">
      <c r="B96" s="9" t="s">
        <v>208</v>
      </c>
      <c r="C96" s="45">
        <f>C92+C93+C94</f>
        <v>55795</v>
      </c>
      <c r="D96" s="45"/>
      <c r="E96" s="9" t="s">
        <v>209</v>
      </c>
      <c r="K96" s="11" t="s">
        <v>459</v>
      </c>
      <c r="L96" s="11" t="s">
        <v>191</v>
      </c>
      <c r="M96" s="11" t="s">
        <v>190</v>
      </c>
    </row>
    <row r="97" spans="11:13" x14ac:dyDescent="0.25">
      <c r="K97" t="s">
        <v>195</v>
      </c>
      <c r="L97">
        <f>SUMIFS(G$3:G$84,J$3:J$84,K$96)</f>
        <v>20480</v>
      </c>
      <c r="M97">
        <f>SUMIFS(Q$3:Q$84,J$3:J$84,K$96)-INT(COUNTIFS(J$3:J$84,K$96,M$3:M$84,"*gộp*")/2)</f>
        <v>28</v>
      </c>
    </row>
    <row r="98" spans="11:13" x14ac:dyDescent="0.25">
      <c r="K98" t="s">
        <v>197</v>
      </c>
      <c r="L98">
        <f>SUM(H87:H89)</f>
        <v>-594</v>
      </c>
      <c r="M98">
        <f>SUMIFS(Q$3:Q$84,J$3:J$84,K$96)-INT(COUNTIFS(J$3:J$84,K$96,M$3:M$84,"*gộp*")/2)</f>
        <v>28</v>
      </c>
    </row>
    <row r="99" spans="11:13" x14ac:dyDescent="0.25">
      <c r="K99" t="s">
        <v>200</v>
      </c>
      <c r="L99">
        <f>-M99*2</f>
        <v>0</v>
      </c>
      <c r="M99">
        <f>COUNTIFS(K$3:K$84,K$96,L$3:L$84,A$89)-(COUNTIFS(K$3:K$84,K$96,M$3:M$84,"*gộp*")/2)-COUNTIFS(K$3:K$84,K$96,M$3:M$84,"*đơn trả*")-COUNTIFS(K$3:K$84,K$96,M$3:M$84,"*hàng tỉnh*")</f>
        <v>0</v>
      </c>
    </row>
    <row r="100" spans="11:13" x14ac:dyDescent="0.25">
      <c r="K100" s="14" t="s">
        <v>186</v>
      </c>
    </row>
    <row r="101" spans="11:13" x14ac:dyDescent="0.25">
      <c r="K101" s="13" t="s">
        <v>205</v>
      </c>
    </row>
    <row r="102" spans="11:13" x14ac:dyDescent="0.25">
      <c r="L102" s="16">
        <f>SUBTOTAL(9,L97:L101)</f>
        <v>19886</v>
      </c>
      <c r="M102" s="16">
        <f>M97</f>
        <v>28</v>
      </c>
    </row>
    <row r="104" spans="11:13" x14ac:dyDescent="0.25">
      <c r="K104" s="11" t="s">
        <v>31</v>
      </c>
      <c r="L104" s="11" t="s">
        <v>191</v>
      </c>
      <c r="M104" s="11" t="s">
        <v>190</v>
      </c>
    </row>
    <row r="105" spans="11:13" x14ac:dyDescent="0.25">
      <c r="K105" t="s">
        <v>195</v>
      </c>
      <c r="L105">
        <f>SUMIFS(G$3:G$84,J$3:J$84,K$104)</f>
        <v>20260</v>
      </c>
      <c r="M105">
        <f>SUMIFS(Q$3:Q$84,J$3:J$84,K$104)-INT(COUNTIFS(J$3:J$84,K$104,M$3:M$84,"*gộp*")/2)</f>
        <v>27</v>
      </c>
    </row>
    <row r="106" spans="11:13" x14ac:dyDescent="0.25">
      <c r="K106" t="s">
        <v>197</v>
      </c>
      <c r="L106">
        <f>-SUMIFS(H$3:H$84,J$3:J$84,K$104)+M106*5</f>
        <v>-600</v>
      </c>
      <c r="M106">
        <f>SUMIFS(Q$3:Q$84,J$3:J$84,K$104)-INT(COUNTIFS(J$3:J$84,K$104,M$3:M$84,"*gộp*")/2)</f>
        <v>27</v>
      </c>
    </row>
    <row r="107" spans="11:13" x14ac:dyDescent="0.25">
      <c r="K107" t="s">
        <v>200</v>
      </c>
      <c r="L107">
        <f>-M107*2</f>
        <v>-156</v>
      </c>
      <c r="M107">
        <f>COUNTIFS(K$3:K$84,K$104,L$3:L$84,A$89)-(COUNTIFS(K$3:K$84,K$104,M$3:M$84,"*gộp*")/2)-COUNTIFS(K$3:K$84,K$104,M$3:M$84,"*đơn trả*")-COUNTIFS(K$3:K$84,K$104,M$3:M$84,"*hàng tỉnh*")</f>
        <v>78</v>
      </c>
    </row>
    <row r="108" spans="11:13" x14ac:dyDescent="0.25">
      <c r="K108" s="14" t="s">
        <v>186</v>
      </c>
    </row>
    <row r="109" spans="11:13" x14ac:dyDescent="0.25">
      <c r="K109" s="13" t="s">
        <v>205</v>
      </c>
    </row>
    <row r="110" spans="11:13" x14ac:dyDescent="0.25">
      <c r="L110" s="16">
        <f>SUBTOTAL(9,L105:L109)</f>
        <v>19504</v>
      </c>
      <c r="M110" s="16">
        <f>M105</f>
        <v>27</v>
      </c>
    </row>
  </sheetData>
  <autoFilter ref="A2:P84" xr:uid="{00000000-0009-0000-0000-000000000000}">
    <sortState xmlns:xlrd2="http://schemas.microsoft.com/office/spreadsheetml/2017/richdata2" ref="A3:P84">
      <sortCondition ref="J2:J84"/>
    </sortState>
  </autoFilter>
  <mergeCells count="8">
    <mergeCell ref="C94:D94"/>
    <mergeCell ref="C96:D96"/>
    <mergeCell ref="C88:D88"/>
    <mergeCell ref="C89:D89"/>
    <mergeCell ref="C90:D90"/>
    <mergeCell ref="C91:D91"/>
    <mergeCell ref="C92:D92"/>
    <mergeCell ref="C93:D93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D1FEC-A517-49C8-AC95-60B437845D8D}">
  <dimension ref="A1:R73"/>
  <sheetViews>
    <sheetView workbookViewId="0"/>
  </sheetViews>
  <sheetFormatPr defaultRowHeight="15" x14ac:dyDescent="0.25"/>
  <cols>
    <col min="1" max="1" width="12.7109375" customWidth="1"/>
    <col min="2" max="2" width="9.42578125" customWidth="1"/>
    <col min="3" max="3" width="29.7109375" customWidth="1"/>
    <col min="4" max="4" width="9.85546875" customWidth="1"/>
    <col min="5" max="5" width="6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7.42578125" bestFit="1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789</v>
      </c>
      <c r="C1" s="17" t="s">
        <v>790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684</v>
      </c>
      <c r="D3" s="20" t="s">
        <v>685</v>
      </c>
      <c r="E3" s="20" t="s">
        <v>686</v>
      </c>
      <c r="F3" s="20" t="s">
        <v>35</v>
      </c>
      <c r="G3" s="21">
        <v>1020</v>
      </c>
      <c r="H3" s="21">
        <v>30</v>
      </c>
      <c r="I3" s="21">
        <f t="shared" ref="I3:I47" si="0">G3-H3</f>
        <v>990</v>
      </c>
      <c r="J3" s="20" t="s">
        <v>687</v>
      </c>
      <c r="K3" s="20" t="s">
        <v>31</v>
      </c>
      <c r="L3" s="20" t="s">
        <v>683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27</v>
      </c>
      <c r="C4" s="20" t="s">
        <v>700</v>
      </c>
      <c r="D4" s="20" t="s">
        <v>701</v>
      </c>
      <c r="E4" s="20" t="s">
        <v>702</v>
      </c>
      <c r="F4" s="21">
        <v>7</v>
      </c>
      <c r="G4" s="21">
        <v>950</v>
      </c>
      <c r="H4" s="21">
        <v>30</v>
      </c>
      <c r="I4" s="21">
        <f t="shared" si="0"/>
        <v>920</v>
      </c>
      <c r="J4" s="20" t="s">
        <v>687</v>
      </c>
      <c r="K4" s="20" t="s">
        <v>31</v>
      </c>
      <c r="L4" s="20" t="s">
        <v>683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27</v>
      </c>
      <c r="C5" s="20" t="s">
        <v>703</v>
      </c>
      <c r="D5" s="20" t="s">
        <v>704</v>
      </c>
      <c r="E5" s="20" t="s">
        <v>705</v>
      </c>
      <c r="F5" s="20" t="s">
        <v>129</v>
      </c>
      <c r="G5" s="21">
        <v>775</v>
      </c>
      <c r="H5" s="21">
        <v>25</v>
      </c>
      <c r="I5" s="21">
        <f t="shared" si="0"/>
        <v>750</v>
      </c>
      <c r="J5" s="20" t="s">
        <v>687</v>
      </c>
      <c r="K5" s="20" t="s">
        <v>31</v>
      </c>
      <c r="L5" s="20" t="s">
        <v>683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27</v>
      </c>
      <c r="C6" s="20" t="s">
        <v>717</v>
      </c>
      <c r="D6" s="20" t="s">
        <v>718</v>
      </c>
      <c r="E6" s="20" t="s">
        <v>719</v>
      </c>
      <c r="F6" s="21">
        <v>7</v>
      </c>
      <c r="G6" s="21">
        <v>870</v>
      </c>
      <c r="H6" s="21">
        <v>30</v>
      </c>
      <c r="I6" s="21">
        <f t="shared" si="0"/>
        <v>840</v>
      </c>
      <c r="J6" s="20" t="s">
        <v>687</v>
      </c>
      <c r="K6" s="20" t="s">
        <v>31</v>
      </c>
      <c r="L6" s="20" t="s">
        <v>683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27</v>
      </c>
      <c r="C7" s="20" t="s">
        <v>723</v>
      </c>
      <c r="D7" s="20" t="s">
        <v>724</v>
      </c>
      <c r="E7" s="20" t="s">
        <v>725</v>
      </c>
      <c r="F7" s="20" t="s">
        <v>129</v>
      </c>
      <c r="G7" s="21">
        <v>865</v>
      </c>
      <c r="H7" s="21">
        <v>25</v>
      </c>
      <c r="I7" s="21">
        <f t="shared" si="0"/>
        <v>840</v>
      </c>
      <c r="J7" s="20" t="s">
        <v>687</v>
      </c>
      <c r="K7" s="20" t="s">
        <v>31</v>
      </c>
      <c r="L7" s="20" t="s">
        <v>683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735</v>
      </c>
      <c r="D8" s="20" t="s">
        <v>736</v>
      </c>
      <c r="E8" s="20" t="s">
        <v>737</v>
      </c>
      <c r="F8" s="21">
        <v>8</v>
      </c>
      <c r="G8" s="21">
        <v>780</v>
      </c>
      <c r="H8" s="21">
        <v>30</v>
      </c>
      <c r="I8" s="21">
        <f t="shared" si="0"/>
        <v>750</v>
      </c>
      <c r="J8" s="20" t="s">
        <v>687</v>
      </c>
      <c r="K8" s="20" t="s">
        <v>31</v>
      </c>
      <c r="L8" s="20" t="s">
        <v>683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738</v>
      </c>
      <c r="D9" s="20" t="s">
        <v>739</v>
      </c>
      <c r="E9" s="20" t="s">
        <v>740</v>
      </c>
      <c r="F9" s="20" t="s">
        <v>121</v>
      </c>
      <c r="G9" s="21">
        <v>955</v>
      </c>
      <c r="H9" s="21">
        <v>35</v>
      </c>
      <c r="I9" s="21">
        <f t="shared" si="0"/>
        <v>920</v>
      </c>
      <c r="J9" s="20" t="s">
        <v>687</v>
      </c>
      <c r="K9" s="20" t="s">
        <v>31</v>
      </c>
      <c r="L9" s="20" t="s">
        <v>683</v>
      </c>
      <c r="M9" s="23" t="s">
        <v>374</v>
      </c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738</v>
      </c>
      <c r="D10" s="20" t="s">
        <v>739</v>
      </c>
      <c r="E10" s="20" t="s">
        <v>740</v>
      </c>
      <c r="F10" s="20" t="s">
        <v>121</v>
      </c>
      <c r="G10" s="21">
        <v>590</v>
      </c>
      <c r="H10" s="21">
        <v>0</v>
      </c>
      <c r="I10" s="21">
        <f t="shared" si="0"/>
        <v>590</v>
      </c>
      <c r="J10" s="20" t="s">
        <v>687</v>
      </c>
      <c r="K10" s="20" t="s">
        <v>31</v>
      </c>
      <c r="L10" s="20" t="s">
        <v>683</v>
      </c>
      <c r="M10" s="23" t="s">
        <v>374</v>
      </c>
      <c r="N10" s="20"/>
      <c r="O10" s="20"/>
      <c r="P10" s="20"/>
      <c r="Q10" s="20">
        <v>1</v>
      </c>
    </row>
    <row r="11" spans="1:18" s="26" customFormat="1" x14ac:dyDescent="0.25">
      <c r="A11" s="24"/>
      <c r="B11" s="24" t="s">
        <v>27</v>
      </c>
      <c r="C11" s="24" t="s">
        <v>607</v>
      </c>
      <c r="D11" s="24" t="s">
        <v>750</v>
      </c>
      <c r="E11" s="24" t="s">
        <v>609</v>
      </c>
      <c r="F11" s="24" t="s">
        <v>35</v>
      </c>
      <c r="G11" s="25">
        <v>0</v>
      </c>
      <c r="H11" s="25">
        <v>30</v>
      </c>
      <c r="I11" s="25">
        <f t="shared" si="0"/>
        <v>-30</v>
      </c>
      <c r="J11" s="24" t="s">
        <v>687</v>
      </c>
      <c r="K11" s="24" t="s">
        <v>31</v>
      </c>
      <c r="L11" s="24" t="s">
        <v>683</v>
      </c>
      <c r="M11" s="24" t="s">
        <v>84</v>
      </c>
      <c r="N11" s="24"/>
      <c r="O11" s="24"/>
      <c r="P11" s="24"/>
      <c r="Q11" s="24">
        <v>1</v>
      </c>
      <c r="R11" s="34">
        <f>H11</f>
        <v>30</v>
      </c>
    </row>
    <row r="12" spans="1:18" x14ac:dyDescent="0.25">
      <c r="A12" s="20"/>
      <c r="B12" s="20" t="s">
        <v>27</v>
      </c>
      <c r="C12" s="20" t="s">
        <v>754</v>
      </c>
      <c r="D12" s="20" t="s">
        <v>755</v>
      </c>
      <c r="E12" s="20" t="s">
        <v>756</v>
      </c>
      <c r="F12" s="21">
        <v>8</v>
      </c>
      <c r="G12" s="21">
        <v>520</v>
      </c>
      <c r="H12" s="21">
        <v>30</v>
      </c>
      <c r="I12" s="21">
        <f t="shared" si="0"/>
        <v>490</v>
      </c>
      <c r="J12" s="20" t="s">
        <v>687</v>
      </c>
      <c r="K12" s="20" t="s">
        <v>31</v>
      </c>
      <c r="L12" s="20" t="s">
        <v>683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757</v>
      </c>
      <c r="D13" s="20" t="s">
        <v>758</v>
      </c>
      <c r="E13" s="20" t="s">
        <v>759</v>
      </c>
      <c r="F13" s="20" t="s">
        <v>35</v>
      </c>
      <c r="G13" s="21">
        <v>0</v>
      </c>
      <c r="H13" s="21">
        <v>30</v>
      </c>
      <c r="I13" s="21">
        <f t="shared" si="0"/>
        <v>-30</v>
      </c>
      <c r="J13" s="20" t="s">
        <v>687</v>
      </c>
      <c r="K13" s="20" t="s">
        <v>31</v>
      </c>
      <c r="L13" s="20" t="s">
        <v>683</v>
      </c>
      <c r="M13" s="20"/>
      <c r="N13" s="20"/>
      <c r="O13" s="20"/>
      <c r="P13" s="20"/>
      <c r="Q13" s="20">
        <v>1</v>
      </c>
      <c r="R13" s="8">
        <f>H13</f>
        <v>30</v>
      </c>
    </row>
    <row r="14" spans="1:18" x14ac:dyDescent="0.25">
      <c r="A14" s="20"/>
      <c r="B14" s="20" t="s">
        <v>27</v>
      </c>
      <c r="C14" s="20" t="s">
        <v>763</v>
      </c>
      <c r="D14" s="20" t="s">
        <v>764</v>
      </c>
      <c r="E14" s="20" t="s">
        <v>765</v>
      </c>
      <c r="F14" s="20" t="s">
        <v>129</v>
      </c>
      <c r="G14" s="21">
        <v>1000</v>
      </c>
      <c r="H14" s="21">
        <v>25</v>
      </c>
      <c r="I14" s="21">
        <f t="shared" si="0"/>
        <v>975</v>
      </c>
      <c r="J14" s="20" t="s">
        <v>687</v>
      </c>
      <c r="K14" s="20" t="s">
        <v>31</v>
      </c>
      <c r="L14" s="20" t="s">
        <v>683</v>
      </c>
      <c r="M14" s="23" t="s">
        <v>95</v>
      </c>
      <c r="N14" s="20"/>
      <c r="O14" s="20"/>
      <c r="P14" s="20"/>
      <c r="Q14" s="20">
        <v>1</v>
      </c>
      <c r="R14" s="8">
        <f>H14</f>
        <v>25</v>
      </c>
    </row>
    <row r="15" spans="1:18" x14ac:dyDescent="0.25">
      <c r="A15" s="20"/>
      <c r="B15" s="20" t="s">
        <v>27</v>
      </c>
      <c r="C15" s="20" t="s">
        <v>766</v>
      </c>
      <c r="D15" s="20" t="s">
        <v>767</v>
      </c>
      <c r="E15" s="20" t="s">
        <v>768</v>
      </c>
      <c r="F15" s="20" t="s">
        <v>35</v>
      </c>
      <c r="G15" s="21">
        <v>1020</v>
      </c>
      <c r="H15" s="21">
        <v>30</v>
      </c>
      <c r="I15" s="21">
        <f t="shared" si="0"/>
        <v>990</v>
      </c>
      <c r="J15" s="20" t="s">
        <v>687</v>
      </c>
      <c r="K15" s="20" t="s">
        <v>31</v>
      </c>
      <c r="L15" s="20" t="s">
        <v>683</v>
      </c>
      <c r="M15" s="20"/>
      <c r="N15" s="20"/>
      <c r="O15" s="20"/>
      <c r="P15" s="20"/>
      <c r="Q15" s="20">
        <v>1</v>
      </c>
    </row>
    <row r="16" spans="1:18" x14ac:dyDescent="0.25">
      <c r="A16" s="20" t="s">
        <v>26</v>
      </c>
      <c r="B16" s="20" t="s">
        <v>27</v>
      </c>
      <c r="C16" s="20" t="s">
        <v>668</v>
      </c>
      <c r="D16" s="20"/>
      <c r="E16" s="20" t="s">
        <v>669</v>
      </c>
      <c r="F16" s="20" t="s">
        <v>35</v>
      </c>
      <c r="G16" s="21">
        <v>2380</v>
      </c>
      <c r="H16" s="21">
        <v>40</v>
      </c>
      <c r="I16" s="21">
        <f t="shared" si="0"/>
        <v>2340</v>
      </c>
      <c r="J16" s="20" t="s">
        <v>687</v>
      </c>
      <c r="K16" s="20" t="s">
        <v>31</v>
      </c>
      <c r="L16" s="20" t="s">
        <v>683</v>
      </c>
      <c r="M16" s="20"/>
      <c r="N16" s="20"/>
      <c r="O16" s="20"/>
      <c r="P16" s="20"/>
      <c r="Q16" s="20">
        <v>1</v>
      </c>
    </row>
    <row r="17" spans="1:18" x14ac:dyDescent="0.25">
      <c r="A17" s="35"/>
      <c r="B17" s="35" t="s">
        <v>27</v>
      </c>
      <c r="C17" s="35" t="s">
        <v>133</v>
      </c>
      <c r="D17" s="35" t="s">
        <v>393</v>
      </c>
      <c r="E17" s="35" t="s">
        <v>792</v>
      </c>
      <c r="F17" s="36"/>
      <c r="G17" s="35">
        <v>980</v>
      </c>
      <c r="H17" s="35">
        <v>0</v>
      </c>
      <c r="I17" s="35">
        <f t="shared" si="0"/>
        <v>980</v>
      </c>
      <c r="J17" s="35" t="s">
        <v>687</v>
      </c>
      <c r="K17" s="35"/>
      <c r="L17" s="35" t="s">
        <v>683</v>
      </c>
      <c r="M17" s="35" t="s">
        <v>791</v>
      </c>
      <c r="N17" s="35"/>
      <c r="O17" s="35"/>
      <c r="P17" s="35"/>
      <c r="Q17" s="20">
        <v>1</v>
      </c>
    </row>
    <row r="18" spans="1:18" x14ac:dyDescent="0.25">
      <c r="A18" s="20"/>
      <c r="B18" s="20" t="s">
        <v>27</v>
      </c>
      <c r="C18" s="20" t="s">
        <v>697</v>
      </c>
      <c r="D18" s="20" t="s">
        <v>698</v>
      </c>
      <c r="E18" s="20" t="s">
        <v>699</v>
      </c>
      <c r="F18" s="20" t="s">
        <v>77</v>
      </c>
      <c r="G18" s="21">
        <v>900</v>
      </c>
      <c r="H18" s="21">
        <v>20</v>
      </c>
      <c r="I18" s="21">
        <f t="shared" si="0"/>
        <v>880</v>
      </c>
      <c r="J18" s="20" t="s">
        <v>31</v>
      </c>
      <c r="K18" s="20" t="s">
        <v>31</v>
      </c>
      <c r="L18" s="20" t="s">
        <v>683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27</v>
      </c>
      <c r="C19" s="20" t="s">
        <v>475</v>
      </c>
      <c r="D19" s="20" t="s">
        <v>713</v>
      </c>
      <c r="E19" s="20" t="s">
        <v>477</v>
      </c>
      <c r="F19" s="20" t="s">
        <v>88</v>
      </c>
      <c r="G19" s="21">
        <v>910</v>
      </c>
      <c r="H19" s="21">
        <v>30</v>
      </c>
      <c r="I19" s="21">
        <f t="shared" si="0"/>
        <v>880</v>
      </c>
      <c r="J19" s="20" t="s">
        <v>31</v>
      </c>
      <c r="K19" s="20" t="s">
        <v>31</v>
      </c>
      <c r="L19" s="20" t="s">
        <v>683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27</v>
      </c>
      <c r="C20" s="20" t="s">
        <v>729</v>
      </c>
      <c r="D20" s="20" t="s">
        <v>730</v>
      </c>
      <c r="E20" s="20" t="s">
        <v>731</v>
      </c>
      <c r="F20" s="20" t="s">
        <v>39</v>
      </c>
      <c r="G20" s="21">
        <v>1015</v>
      </c>
      <c r="H20" s="21">
        <v>25</v>
      </c>
      <c r="I20" s="21">
        <f t="shared" si="0"/>
        <v>990</v>
      </c>
      <c r="J20" s="20" t="s">
        <v>31</v>
      </c>
      <c r="K20" s="20" t="s">
        <v>31</v>
      </c>
      <c r="L20" s="20" t="s">
        <v>683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27</v>
      </c>
      <c r="C21" s="20" t="s">
        <v>732</v>
      </c>
      <c r="D21" s="20" t="s">
        <v>733</v>
      </c>
      <c r="E21" s="20" t="s">
        <v>734</v>
      </c>
      <c r="F21" s="20" t="s">
        <v>151</v>
      </c>
      <c r="G21" s="21">
        <v>1265</v>
      </c>
      <c r="H21" s="21">
        <v>25</v>
      </c>
      <c r="I21" s="21">
        <f t="shared" si="0"/>
        <v>1240</v>
      </c>
      <c r="J21" s="20" t="s">
        <v>31</v>
      </c>
      <c r="K21" s="20" t="s">
        <v>31</v>
      </c>
      <c r="L21" s="20" t="s">
        <v>683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27</v>
      </c>
      <c r="C22" s="20" t="s">
        <v>741</v>
      </c>
      <c r="D22" s="20" t="s">
        <v>742</v>
      </c>
      <c r="E22" s="20" t="s">
        <v>743</v>
      </c>
      <c r="F22" s="21">
        <v>2</v>
      </c>
      <c r="G22" s="21">
        <v>1020</v>
      </c>
      <c r="H22" s="21">
        <v>30</v>
      </c>
      <c r="I22" s="21">
        <f t="shared" si="0"/>
        <v>990</v>
      </c>
      <c r="J22" s="20" t="s">
        <v>31</v>
      </c>
      <c r="K22" s="20" t="s">
        <v>31</v>
      </c>
      <c r="L22" s="20" t="s">
        <v>683</v>
      </c>
      <c r="M22" s="20"/>
      <c r="N22" s="20"/>
      <c r="O22" s="20"/>
      <c r="P22" s="20"/>
      <c r="Q22" s="20">
        <v>1</v>
      </c>
      <c r="R22" s="8">
        <f>H22</f>
        <v>30</v>
      </c>
    </row>
    <row r="23" spans="1:18" x14ac:dyDescent="0.25">
      <c r="A23" s="20"/>
      <c r="B23" s="20" t="s">
        <v>27</v>
      </c>
      <c r="C23" s="20" t="s">
        <v>744</v>
      </c>
      <c r="D23" s="20" t="s">
        <v>745</v>
      </c>
      <c r="E23" s="20" t="s">
        <v>746</v>
      </c>
      <c r="F23" s="21">
        <v>9</v>
      </c>
      <c r="G23" s="21">
        <v>0</v>
      </c>
      <c r="H23" s="21">
        <v>30</v>
      </c>
      <c r="I23" s="21">
        <f t="shared" si="0"/>
        <v>-30</v>
      </c>
      <c r="J23" s="20" t="s">
        <v>31</v>
      </c>
      <c r="K23" s="20" t="s">
        <v>31</v>
      </c>
      <c r="L23" s="20" t="s">
        <v>683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27</v>
      </c>
      <c r="C24" s="20" t="s">
        <v>751</v>
      </c>
      <c r="D24" s="20" t="s">
        <v>752</v>
      </c>
      <c r="E24" s="20" t="s">
        <v>753</v>
      </c>
      <c r="F24" s="20" t="s">
        <v>77</v>
      </c>
      <c r="G24" s="21">
        <v>860</v>
      </c>
      <c r="H24" s="21">
        <v>20</v>
      </c>
      <c r="I24" s="21">
        <f t="shared" si="0"/>
        <v>840</v>
      </c>
      <c r="J24" s="20" t="s">
        <v>31</v>
      </c>
      <c r="K24" s="20" t="s">
        <v>31</v>
      </c>
      <c r="L24" s="20" t="s">
        <v>683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27</v>
      </c>
      <c r="C25" s="20" t="s">
        <v>760</v>
      </c>
      <c r="D25" s="20" t="s">
        <v>761</v>
      </c>
      <c r="E25" s="20" t="s">
        <v>762</v>
      </c>
      <c r="F25" s="20" t="s">
        <v>39</v>
      </c>
      <c r="G25" s="21">
        <v>25</v>
      </c>
      <c r="H25" s="21">
        <v>25</v>
      </c>
      <c r="I25" s="21">
        <f t="shared" si="0"/>
        <v>0</v>
      </c>
      <c r="J25" s="20" t="s">
        <v>31</v>
      </c>
      <c r="K25" s="20" t="s">
        <v>31</v>
      </c>
      <c r="L25" s="20" t="s">
        <v>683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27</v>
      </c>
      <c r="C26" s="20" t="s">
        <v>772</v>
      </c>
      <c r="D26" s="20" t="s">
        <v>773</v>
      </c>
      <c r="E26" s="20" t="s">
        <v>774</v>
      </c>
      <c r="F26" s="20" t="s">
        <v>39</v>
      </c>
      <c r="G26" s="21">
        <v>1015</v>
      </c>
      <c r="H26" s="21">
        <v>25</v>
      </c>
      <c r="I26" s="21">
        <f t="shared" si="0"/>
        <v>990</v>
      </c>
      <c r="J26" s="20" t="s">
        <v>31</v>
      </c>
      <c r="K26" s="20" t="s">
        <v>31</v>
      </c>
      <c r="L26" s="20" t="s">
        <v>683</v>
      </c>
      <c r="M26" s="20"/>
      <c r="N26" s="20"/>
      <c r="O26" s="20"/>
      <c r="P26" s="20"/>
      <c r="Q26" s="20">
        <v>1</v>
      </c>
      <c r="R26" s="8">
        <f>H26</f>
        <v>25</v>
      </c>
    </row>
    <row r="27" spans="1:18" x14ac:dyDescent="0.25">
      <c r="A27" s="20"/>
      <c r="B27" s="20" t="s">
        <v>27</v>
      </c>
      <c r="C27" s="20" t="s">
        <v>227</v>
      </c>
      <c r="D27" s="20" t="s">
        <v>775</v>
      </c>
      <c r="E27" s="20" t="s">
        <v>229</v>
      </c>
      <c r="F27" s="20" t="s">
        <v>39</v>
      </c>
      <c r="G27" s="21">
        <v>0</v>
      </c>
      <c r="H27" s="21">
        <v>25</v>
      </c>
      <c r="I27" s="21">
        <f t="shared" si="0"/>
        <v>-25</v>
      </c>
      <c r="J27" s="20" t="s">
        <v>31</v>
      </c>
      <c r="K27" s="20" t="s">
        <v>31</v>
      </c>
      <c r="L27" s="20" t="s">
        <v>683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779</v>
      </c>
      <c r="D28" s="20" t="s">
        <v>780</v>
      </c>
      <c r="E28" s="20" t="s">
        <v>781</v>
      </c>
      <c r="F28" s="20" t="s">
        <v>88</v>
      </c>
      <c r="G28" s="21">
        <v>870</v>
      </c>
      <c r="H28" s="21">
        <v>30</v>
      </c>
      <c r="I28" s="21">
        <f t="shared" si="0"/>
        <v>840</v>
      </c>
      <c r="J28" s="20" t="s">
        <v>31</v>
      </c>
      <c r="K28" s="20" t="s">
        <v>31</v>
      </c>
      <c r="L28" s="20" t="s">
        <v>683</v>
      </c>
      <c r="M28" s="20"/>
      <c r="N28" s="20"/>
      <c r="O28" s="20"/>
      <c r="P28" s="20"/>
      <c r="Q28" s="20">
        <v>1</v>
      </c>
      <c r="R28" s="8">
        <f t="shared" ref="R28:R29" si="1">H28</f>
        <v>30</v>
      </c>
    </row>
    <row r="29" spans="1:18" x14ac:dyDescent="0.25">
      <c r="A29" s="20" t="s">
        <v>26</v>
      </c>
      <c r="B29" s="20" t="s">
        <v>27</v>
      </c>
      <c r="C29" s="20" t="s">
        <v>179</v>
      </c>
      <c r="D29" s="20"/>
      <c r="E29" s="20" t="s">
        <v>180</v>
      </c>
      <c r="F29" s="20" t="s">
        <v>151</v>
      </c>
      <c r="G29" s="21">
        <v>0</v>
      </c>
      <c r="H29" s="21">
        <v>30</v>
      </c>
      <c r="I29" s="21">
        <f t="shared" si="0"/>
        <v>-30</v>
      </c>
      <c r="J29" s="20" t="s">
        <v>31</v>
      </c>
      <c r="K29" s="20" t="s">
        <v>31</v>
      </c>
      <c r="L29" s="20" t="s">
        <v>683</v>
      </c>
      <c r="M29" s="20"/>
      <c r="N29" s="20"/>
      <c r="O29" s="20"/>
      <c r="P29" s="20"/>
      <c r="Q29" s="20">
        <v>1</v>
      </c>
      <c r="R29" s="8">
        <f t="shared" si="1"/>
        <v>30</v>
      </c>
    </row>
    <row r="30" spans="1:18" x14ac:dyDescent="0.25">
      <c r="A30" s="20" t="s">
        <v>26</v>
      </c>
      <c r="B30" s="20" t="s">
        <v>27</v>
      </c>
      <c r="C30" s="20" t="s">
        <v>346</v>
      </c>
      <c r="D30" s="20"/>
      <c r="E30" s="20" t="s">
        <v>347</v>
      </c>
      <c r="F30" s="20" t="s">
        <v>39</v>
      </c>
      <c r="G30" s="21">
        <v>0</v>
      </c>
      <c r="H30" s="21">
        <v>30</v>
      </c>
      <c r="I30" s="21">
        <f t="shared" si="0"/>
        <v>-30</v>
      </c>
      <c r="J30" s="20" t="s">
        <v>31</v>
      </c>
      <c r="K30" s="20" t="s">
        <v>31</v>
      </c>
      <c r="L30" s="20" t="s">
        <v>683</v>
      </c>
      <c r="M30" s="20"/>
      <c r="N30" s="20"/>
      <c r="O30" s="20"/>
      <c r="P30" s="20"/>
      <c r="Q30" s="20">
        <v>1</v>
      </c>
    </row>
    <row r="31" spans="1:18" x14ac:dyDescent="0.25">
      <c r="A31" s="20" t="s">
        <v>26</v>
      </c>
      <c r="B31" s="20" t="s">
        <v>27</v>
      </c>
      <c r="C31" s="20" t="s">
        <v>782</v>
      </c>
      <c r="D31" s="20"/>
      <c r="E31" s="20" t="s">
        <v>783</v>
      </c>
      <c r="F31" s="21">
        <v>9</v>
      </c>
      <c r="G31" s="21">
        <v>925</v>
      </c>
      <c r="H31" s="21">
        <v>35</v>
      </c>
      <c r="I31" s="21">
        <f t="shared" si="0"/>
        <v>890</v>
      </c>
      <c r="J31" s="20" t="s">
        <v>31</v>
      </c>
      <c r="K31" s="20" t="s">
        <v>31</v>
      </c>
      <c r="L31" s="20" t="s">
        <v>683</v>
      </c>
      <c r="M31" s="20"/>
      <c r="N31" s="20"/>
      <c r="O31" s="20"/>
      <c r="P31" s="20"/>
      <c r="Q31" s="20">
        <v>1</v>
      </c>
    </row>
    <row r="32" spans="1:18" x14ac:dyDescent="0.25">
      <c r="A32" s="20" t="s">
        <v>26</v>
      </c>
      <c r="B32" s="20" t="s">
        <v>27</v>
      </c>
      <c r="C32" s="20" t="s">
        <v>784</v>
      </c>
      <c r="D32" s="20"/>
      <c r="E32" s="20" t="s">
        <v>785</v>
      </c>
      <c r="F32" s="20" t="s">
        <v>151</v>
      </c>
      <c r="G32" s="21">
        <v>30</v>
      </c>
      <c r="H32" s="21">
        <v>30</v>
      </c>
      <c r="I32" s="21">
        <f t="shared" si="0"/>
        <v>0</v>
      </c>
      <c r="J32" s="20" t="s">
        <v>31</v>
      </c>
      <c r="K32" s="20" t="s">
        <v>31</v>
      </c>
      <c r="L32" s="20" t="s">
        <v>683</v>
      </c>
      <c r="M32" s="20"/>
      <c r="N32" s="20"/>
      <c r="O32" s="20"/>
      <c r="P32" s="20"/>
      <c r="Q32" s="20">
        <v>1</v>
      </c>
      <c r="R32" s="8">
        <f>H32</f>
        <v>30</v>
      </c>
    </row>
    <row r="33" spans="1:18" x14ac:dyDescent="0.25">
      <c r="A33" s="20" t="s">
        <v>26</v>
      </c>
      <c r="B33" s="20" t="s">
        <v>27</v>
      </c>
      <c r="C33" s="20" t="s">
        <v>786</v>
      </c>
      <c r="D33" s="20"/>
      <c r="E33" s="20" t="s">
        <v>787</v>
      </c>
      <c r="F33" s="21">
        <v>12</v>
      </c>
      <c r="G33" s="21">
        <v>0</v>
      </c>
      <c r="H33" s="21">
        <v>35</v>
      </c>
      <c r="I33" s="21">
        <f t="shared" si="0"/>
        <v>-35</v>
      </c>
      <c r="J33" s="20" t="s">
        <v>31</v>
      </c>
      <c r="K33" s="20" t="s">
        <v>31</v>
      </c>
      <c r="L33" s="20" t="s">
        <v>683</v>
      </c>
      <c r="M33" s="20"/>
      <c r="N33" s="20"/>
      <c r="O33" s="20"/>
      <c r="P33" s="20"/>
      <c r="Q33" s="20">
        <v>1</v>
      </c>
    </row>
    <row r="34" spans="1:18" x14ac:dyDescent="0.25">
      <c r="A34" s="20"/>
      <c r="B34" s="20" t="s">
        <v>27</v>
      </c>
      <c r="C34" s="20" t="s">
        <v>688</v>
      </c>
      <c r="D34" s="20" t="s">
        <v>689</v>
      </c>
      <c r="E34" s="20" t="s">
        <v>690</v>
      </c>
      <c r="F34" s="21">
        <v>1</v>
      </c>
      <c r="G34" s="21">
        <v>855</v>
      </c>
      <c r="H34" s="21">
        <v>25</v>
      </c>
      <c r="I34" s="21">
        <f t="shared" si="0"/>
        <v>830</v>
      </c>
      <c r="J34" s="20" t="s">
        <v>30</v>
      </c>
      <c r="K34" s="20" t="s">
        <v>31</v>
      </c>
      <c r="L34" s="20" t="s">
        <v>683</v>
      </c>
      <c r="M34" s="20"/>
      <c r="N34" s="20"/>
      <c r="O34" s="20"/>
      <c r="P34" s="20"/>
      <c r="Q34" s="20">
        <v>1</v>
      </c>
      <c r="R34" s="8">
        <f>H34</f>
        <v>25</v>
      </c>
    </row>
    <row r="35" spans="1:18" x14ac:dyDescent="0.25">
      <c r="A35" s="20"/>
      <c r="B35" s="20" t="s">
        <v>27</v>
      </c>
      <c r="C35" s="20" t="s">
        <v>691</v>
      </c>
      <c r="D35" s="20" t="s">
        <v>692</v>
      </c>
      <c r="E35" s="20" t="s">
        <v>693</v>
      </c>
      <c r="F35" s="21">
        <v>1</v>
      </c>
      <c r="G35" s="21">
        <v>0</v>
      </c>
      <c r="H35" s="21">
        <v>25</v>
      </c>
      <c r="I35" s="21">
        <f t="shared" si="0"/>
        <v>-25</v>
      </c>
      <c r="J35" s="20" t="s">
        <v>30</v>
      </c>
      <c r="K35" s="20" t="s">
        <v>31</v>
      </c>
      <c r="L35" s="20" t="s">
        <v>683</v>
      </c>
      <c r="M35" s="20"/>
      <c r="N35" s="20"/>
      <c r="O35" s="20"/>
      <c r="P35" s="20"/>
      <c r="Q35" s="20">
        <v>1</v>
      </c>
    </row>
    <row r="36" spans="1:18" x14ac:dyDescent="0.25">
      <c r="A36" s="20"/>
      <c r="B36" s="20" t="s">
        <v>27</v>
      </c>
      <c r="C36" s="20" t="s">
        <v>694</v>
      </c>
      <c r="D36" s="20" t="s">
        <v>695</v>
      </c>
      <c r="E36" s="20" t="s">
        <v>696</v>
      </c>
      <c r="F36" s="20" t="s">
        <v>151</v>
      </c>
      <c r="G36" s="21">
        <v>815</v>
      </c>
      <c r="H36" s="21">
        <v>25</v>
      </c>
      <c r="I36" s="21">
        <f t="shared" si="0"/>
        <v>790</v>
      </c>
      <c r="J36" s="20" t="s">
        <v>30</v>
      </c>
      <c r="K36" s="20" t="s">
        <v>31</v>
      </c>
      <c r="L36" s="20" t="s">
        <v>683</v>
      </c>
      <c r="M36" s="20"/>
      <c r="N36" s="20"/>
      <c r="O36" s="20"/>
      <c r="P36" s="20"/>
      <c r="Q36" s="20">
        <v>1</v>
      </c>
      <c r="R36" s="8">
        <f>H36</f>
        <v>25</v>
      </c>
    </row>
    <row r="37" spans="1:18" x14ac:dyDescent="0.25">
      <c r="A37" s="20"/>
      <c r="B37" s="20" t="s">
        <v>27</v>
      </c>
      <c r="C37" s="20" t="s">
        <v>706</v>
      </c>
      <c r="D37" s="20" t="s">
        <v>707</v>
      </c>
      <c r="E37" s="20" t="s">
        <v>708</v>
      </c>
      <c r="F37" s="21">
        <v>10</v>
      </c>
      <c r="G37" s="21">
        <v>0</v>
      </c>
      <c r="H37" s="21">
        <v>25</v>
      </c>
      <c r="I37" s="21">
        <f t="shared" si="0"/>
        <v>-25</v>
      </c>
      <c r="J37" s="20" t="s">
        <v>30</v>
      </c>
      <c r="K37" s="20" t="s">
        <v>31</v>
      </c>
      <c r="L37" s="20" t="s">
        <v>683</v>
      </c>
      <c r="M37" s="23" t="s">
        <v>709</v>
      </c>
      <c r="N37" s="20"/>
      <c r="O37" s="20"/>
      <c r="P37" s="20"/>
      <c r="Q37" s="20">
        <v>1</v>
      </c>
      <c r="R37" s="8">
        <f>H37</f>
        <v>25</v>
      </c>
    </row>
    <row r="38" spans="1:18" x14ac:dyDescent="0.25">
      <c r="A38" s="20"/>
      <c r="B38" s="20" t="s">
        <v>27</v>
      </c>
      <c r="C38" s="20" t="s">
        <v>710</v>
      </c>
      <c r="D38" s="20" t="s">
        <v>711</v>
      </c>
      <c r="E38" s="20" t="s">
        <v>712</v>
      </c>
      <c r="F38" s="21">
        <v>3</v>
      </c>
      <c r="G38" s="21">
        <v>865</v>
      </c>
      <c r="H38" s="21">
        <v>25</v>
      </c>
      <c r="I38" s="21">
        <f t="shared" si="0"/>
        <v>840</v>
      </c>
      <c r="J38" s="20" t="s">
        <v>30</v>
      </c>
      <c r="K38" s="20" t="s">
        <v>31</v>
      </c>
      <c r="L38" s="20" t="s">
        <v>683</v>
      </c>
      <c r="M38" s="20"/>
      <c r="N38" s="20"/>
      <c r="O38" s="20"/>
      <c r="P38" s="20"/>
      <c r="Q38" s="20">
        <v>1</v>
      </c>
    </row>
    <row r="39" spans="1:18" x14ac:dyDescent="0.25">
      <c r="A39" s="20"/>
      <c r="B39" s="20" t="s">
        <v>27</v>
      </c>
      <c r="C39" s="20" t="s">
        <v>714</v>
      </c>
      <c r="D39" s="20" t="s">
        <v>715</v>
      </c>
      <c r="E39" s="20" t="s">
        <v>716</v>
      </c>
      <c r="F39" s="20" t="s">
        <v>151</v>
      </c>
      <c r="G39" s="21">
        <v>945</v>
      </c>
      <c r="H39" s="21">
        <v>25</v>
      </c>
      <c r="I39" s="21">
        <f t="shared" si="0"/>
        <v>920</v>
      </c>
      <c r="J39" s="20" t="s">
        <v>30</v>
      </c>
      <c r="K39" s="20" t="s">
        <v>31</v>
      </c>
      <c r="L39" s="20" t="s">
        <v>683</v>
      </c>
      <c r="M39" s="20"/>
      <c r="N39" s="20"/>
      <c r="O39" s="20"/>
      <c r="P39" s="20"/>
      <c r="Q39" s="20">
        <v>1</v>
      </c>
      <c r="R39" s="8">
        <f t="shared" ref="R39:R40" si="2">H39</f>
        <v>25</v>
      </c>
    </row>
    <row r="40" spans="1:18" x14ac:dyDescent="0.25">
      <c r="A40" s="20"/>
      <c r="B40" s="20" t="s">
        <v>27</v>
      </c>
      <c r="C40" s="20" t="s">
        <v>720</v>
      </c>
      <c r="D40" s="20" t="s">
        <v>721</v>
      </c>
      <c r="E40" s="20" t="s">
        <v>722</v>
      </c>
      <c r="F40" s="20" t="s">
        <v>151</v>
      </c>
      <c r="G40" s="21">
        <v>0</v>
      </c>
      <c r="H40" s="21">
        <v>25</v>
      </c>
      <c r="I40" s="21">
        <f t="shared" si="0"/>
        <v>-25</v>
      </c>
      <c r="J40" s="20" t="s">
        <v>30</v>
      </c>
      <c r="K40" s="20" t="s">
        <v>31</v>
      </c>
      <c r="L40" s="20" t="s">
        <v>683</v>
      </c>
      <c r="M40" s="20"/>
      <c r="N40" s="20"/>
      <c r="O40" s="20"/>
      <c r="P40" s="20"/>
      <c r="Q40" s="20">
        <v>1</v>
      </c>
      <c r="R40" s="8">
        <f t="shared" si="2"/>
        <v>25</v>
      </c>
    </row>
    <row r="41" spans="1:18" x14ac:dyDescent="0.25">
      <c r="A41" s="20"/>
      <c r="B41" s="20" t="s">
        <v>27</v>
      </c>
      <c r="C41" s="20" t="s">
        <v>726</v>
      </c>
      <c r="D41" s="20" t="s">
        <v>727</v>
      </c>
      <c r="E41" s="20" t="s">
        <v>728</v>
      </c>
      <c r="F41" s="21">
        <v>5</v>
      </c>
      <c r="G41" s="21">
        <v>0</v>
      </c>
      <c r="H41" s="21">
        <v>25</v>
      </c>
      <c r="I41" s="21">
        <f t="shared" si="0"/>
        <v>-25</v>
      </c>
      <c r="J41" s="20" t="s">
        <v>30</v>
      </c>
      <c r="K41" s="20" t="s">
        <v>31</v>
      </c>
      <c r="L41" s="20" t="s">
        <v>683</v>
      </c>
      <c r="M41" s="20"/>
      <c r="N41" s="20"/>
      <c r="O41" s="20"/>
      <c r="P41" s="20"/>
      <c r="Q41" s="20">
        <v>1</v>
      </c>
    </row>
    <row r="42" spans="1:18" x14ac:dyDescent="0.25">
      <c r="A42" s="20"/>
      <c r="B42" s="20" t="s">
        <v>27</v>
      </c>
      <c r="C42" s="20" t="s">
        <v>747</v>
      </c>
      <c r="D42" s="20" t="s">
        <v>748</v>
      </c>
      <c r="E42" s="20" t="s">
        <v>749</v>
      </c>
      <c r="F42" s="20" t="s">
        <v>151</v>
      </c>
      <c r="G42" s="21">
        <v>915</v>
      </c>
      <c r="H42" s="21">
        <v>25</v>
      </c>
      <c r="I42" s="21">
        <f t="shared" si="0"/>
        <v>890</v>
      </c>
      <c r="J42" s="20" t="s">
        <v>30</v>
      </c>
      <c r="K42" s="20" t="s">
        <v>31</v>
      </c>
      <c r="L42" s="20" t="s">
        <v>683</v>
      </c>
      <c r="M42" s="20"/>
      <c r="N42" s="20"/>
      <c r="O42" s="20"/>
      <c r="P42" s="20"/>
      <c r="Q42" s="20">
        <v>1</v>
      </c>
    </row>
    <row r="43" spans="1:18" x14ac:dyDescent="0.25">
      <c r="A43" s="20"/>
      <c r="B43" s="20" t="s">
        <v>27</v>
      </c>
      <c r="C43" s="20" t="s">
        <v>769</v>
      </c>
      <c r="D43" s="20" t="s">
        <v>770</v>
      </c>
      <c r="E43" s="20" t="s">
        <v>771</v>
      </c>
      <c r="F43" s="21">
        <v>5</v>
      </c>
      <c r="G43" s="21">
        <v>1345</v>
      </c>
      <c r="H43" s="21">
        <v>25</v>
      </c>
      <c r="I43" s="21">
        <f t="shared" si="0"/>
        <v>1320</v>
      </c>
      <c r="J43" s="20" t="s">
        <v>30</v>
      </c>
      <c r="K43" s="20" t="s">
        <v>31</v>
      </c>
      <c r="L43" s="20" t="s">
        <v>683</v>
      </c>
      <c r="M43" s="20"/>
      <c r="N43" s="20"/>
      <c r="O43" s="20"/>
      <c r="P43" s="20"/>
      <c r="Q43" s="20">
        <v>1</v>
      </c>
      <c r="R43" s="8">
        <f>H43</f>
        <v>25</v>
      </c>
    </row>
    <row r="44" spans="1:18" s="13" customFormat="1" x14ac:dyDescent="0.25">
      <c r="A44" s="20"/>
      <c r="B44" s="20" t="s">
        <v>27</v>
      </c>
      <c r="C44" s="20" t="s">
        <v>776</v>
      </c>
      <c r="D44" s="20" t="s">
        <v>777</v>
      </c>
      <c r="E44" s="20" t="s">
        <v>778</v>
      </c>
      <c r="F44" s="21">
        <v>1</v>
      </c>
      <c r="G44" s="21">
        <v>0</v>
      </c>
      <c r="H44" s="21">
        <v>25</v>
      </c>
      <c r="I44" s="21">
        <f t="shared" si="0"/>
        <v>-25</v>
      </c>
      <c r="J44" s="20" t="s">
        <v>30</v>
      </c>
      <c r="K44" s="20" t="s">
        <v>31</v>
      </c>
      <c r="L44" s="20" t="s">
        <v>683</v>
      </c>
      <c r="M44" s="20"/>
      <c r="N44" s="20"/>
      <c r="O44" s="20"/>
      <c r="P44" s="20"/>
      <c r="Q44" s="20">
        <v>1</v>
      </c>
    </row>
    <row r="45" spans="1:18" s="38" customFormat="1" x14ac:dyDescent="0.25">
      <c r="A45" s="39"/>
      <c r="B45" s="39" t="s">
        <v>27</v>
      </c>
      <c r="C45" s="39" t="s">
        <v>680</v>
      </c>
      <c r="D45" s="39" t="s">
        <v>681</v>
      </c>
      <c r="E45" s="39" t="s">
        <v>682</v>
      </c>
      <c r="F45" s="40">
        <v>1</v>
      </c>
      <c r="G45" s="40">
        <v>0</v>
      </c>
      <c r="H45" s="40">
        <v>40</v>
      </c>
      <c r="I45" s="40">
        <f t="shared" si="0"/>
        <v>-40</v>
      </c>
      <c r="J45" s="39"/>
      <c r="K45" s="39" t="s">
        <v>31</v>
      </c>
      <c r="L45" s="39" t="s">
        <v>683</v>
      </c>
      <c r="M45" s="41" t="s">
        <v>793</v>
      </c>
      <c r="N45" s="39"/>
      <c r="O45" s="39"/>
      <c r="P45" s="39"/>
      <c r="Q45" s="37">
        <v>1</v>
      </c>
      <c r="R45" s="42">
        <f>H45</f>
        <v>40</v>
      </c>
    </row>
    <row r="46" spans="1:18" s="29" customFormat="1" x14ac:dyDescent="0.25">
      <c r="A46" s="30"/>
      <c r="B46" s="30" t="s">
        <v>27</v>
      </c>
      <c r="C46" s="30" t="s">
        <v>584</v>
      </c>
      <c r="D46" s="30" t="s">
        <v>585</v>
      </c>
      <c r="E46" s="30" t="s">
        <v>586</v>
      </c>
      <c r="F46" s="30">
        <v>4</v>
      </c>
      <c r="G46" s="30">
        <v>815</v>
      </c>
      <c r="H46" s="30">
        <v>0</v>
      </c>
      <c r="I46" s="30">
        <f t="shared" si="0"/>
        <v>815</v>
      </c>
      <c r="J46" s="22" t="s">
        <v>184</v>
      </c>
      <c r="K46" s="30" t="s">
        <v>31</v>
      </c>
      <c r="L46" s="30" t="s">
        <v>455</v>
      </c>
      <c r="M46" s="30" t="s">
        <v>205</v>
      </c>
      <c r="N46" s="30" t="s">
        <v>187</v>
      </c>
      <c r="O46" s="30" t="s">
        <v>187</v>
      </c>
      <c r="P46" s="30" t="s">
        <v>188</v>
      </c>
      <c r="Q46" s="30">
        <v>1</v>
      </c>
    </row>
    <row r="47" spans="1:18" s="13" customFormat="1" x14ac:dyDescent="0.25">
      <c r="A47" s="22"/>
      <c r="B47" s="22" t="s">
        <v>27</v>
      </c>
      <c r="C47" s="22" t="s">
        <v>581</v>
      </c>
      <c r="D47" s="22" t="s">
        <v>582</v>
      </c>
      <c r="E47" s="22" t="s">
        <v>583</v>
      </c>
      <c r="F47" s="27">
        <v>3</v>
      </c>
      <c r="G47" s="27">
        <v>1705</v>
      </c>
      <c r="H47" s="27">
        <v>25</v>
      </c>
      <c r="I47" s="27">
        <f t="shared" si="0"/>
        <v>1680</v>
      </c>
      <c r="J47" s="22" t="s">
        <v>184</v>
      </c>
      <c r="K47" s="22" t="s">
        <v>31</v>
      </c>
      <c r="L47" s="22" t="s">
        <v>455</v>
      </c>
      <c r="M47" s="22" t="s">
        <v>186</v>
      </c>
      <c r="N47" s="22" t="s">
        <v>187</v>
      </c>
      <c r="O47" s="22" t="s">
        <v>187</v>
      </c>
      <c r="P47" s="22" t="s">
        <v>188</v>
      </c>
      <c r="Q47" s="22">
        <v>1</v>
      </c>
    </row>
    <row r="49" spans="1:17" x14ac:dyDescent="0.25">
      <c r="D49" s="9">
        <f>COUNTA(D3:D47)</f>
        <v>39</v>
      </c>
      <c r="G49" s="9">
        <f t="shared" ref="G49:Q49" si="3">SUBTOTAL(9,G3:G47)</f>
        <v>29800</v>
      </c>
      <c r="H49" s="9">
        <f t="shared" si="3"/>
        <v>1175</v>
      </c>
      <c r="I49" s="9">
        <f t="shared" si="3"/>
        <v>28625</v>
      </c>
      <c r="J49" s="9">
        <f t="shared" si="3"/>
        <v>0</v>
      </c>
      <c r="K49" s="9">
        <f t="shared" si="3"/>
        <v>0</v>
      </c>
      <c r="L49" s="9">
        <f t="shared" si="3"/>
        <v>0</v>
      </c>
      <c r="M49" s="9">
        <f t="shared" si="3"/>
        <v>0</v>
      </c>
      <c r="N49" s="9">
        <f t="shared" si="3"/>
        <v>0</v>
      </c>
      <c r="O49" s="9">
        <f t="shared" si="3"/>
        <v>0</v>
      </c>
      <c r="P49" s="9">
        <f t="shared" si="3"/>
        <v>0</v>
      </c>
      <c r="Q49" s="9">
        <f t="shared" si="3"/>
        <v>45</v>
      </c>
    </row>
    <row r="50" spans="1:17" x14ac:dyDescent="0.25">
      <c r="H50">
        <f>-7*17</f>
        <v>-119</v>
      </c>
    </row>
    <row r="51" spans="1:17" x14ac:dyDescent="0.25">
      <c r="A51" s="9" t="s">
        <v>27</v>
      </c>
      <c r="C51" s="46" t="s">
        <v>189</v>
      </c>
      <c r="D51" s="46"/>
      <c r="E51" s="10" t="s">
        <v>190</v>
      </c>
      <c r="H51">
        <f>-5*25</f>
        <v>-125</v>
      </c>
      <c r="K51" s="11" t="s">
        <v>687</v>
      </c>
      <c r="L51" s="11" t="s">
        <v>191</v>
      </c>
      <c r="M51" s="11" t="s">
        <v>190</v>
      </c>
      <c r="O51" s="10" t="s">
        <v>192</v>
      </c>
    </row>
    <row r="52" spans="1:17" x14ac:dyDescent="0.25">
      <c r="A52" t="s">
        <v>683</v>
      </c>
      <c r="B52" s="12" t="s">
        <v>193</v>
      </c>
      <c r="C52" s="47">
        <f>SUMIFS(I$3:I$47,B$3:B$47,A$51,L$3:L$47,A$52)</f>
        <v>26130</v>
      </c>
      <c r="D52" s="47"/>
      <c r="E52" s="12">
        <f>SUMIFS(Q$3:Q$47,B$3:B$47,A$51,L$3:L$47,A$52)</f>
        <v>43</v>
      </c>
      <c r="F52" t="s">
        <v>194</v>
      </c>
      <c r="H52">
        <f>-1*30</f>
        <v>-30</v>
      </c>
      <c r="K52" t="s">
        <v>195</v>
      </c>
      <c r="L52">
        <f>SUMIFS(G$3:G$47,J$3:J$47,K$51)</f>
        <v>12705</v>
      </c>
      <c r="M52">
        <f>SUMIFS(Q$3:Q$47,J$3:J$47,K$51)-INT(COUNTIFS(J$3:J$47,K$51,M$3:M$47,"*gộp*")/2)</f>
        <v>14</v>
      </c>
      <c r="O52" t="s">
        <v>788</v>
      </c>
      <c r="P52">
        <f>L57</f>
        <v>12431</v>
      </c>
    </row>
    <row r="53" spans="1:17" x14ac:dyDescent="0.25">
      <c r="B53" s="13" t="s">
        <v>196</v>
      </c>
      <c r="C53" s="48">
        <v>0</v>
      </c>
      <c r="D53" s="48"/>
      <c r="K53" t="s">
        <v>197</v>
      </c>
      <c r="L53">
        <f>SUM(H50:H52)</f>
        <v>-274</v>
      </c>
      <c r="M53">
        <f>SUMIFS(Q$3:Q$47,J$3:J$47,K$51)-INT(COUNTIFS(J$3:J$47,K$51,M$3:M$47,"*gộp*")/2)</f>
        <v>14</v>
      </c>
      <c r="O53" t="s">
        <v>30</v>
      </c>
      <c r="P53">
        <f>L66</f>
        <v>2980</v>
      </c>
    </row>
    <row r="54" spans="1:17" x14ac:dyDescent="0.25">
      <c r="B54" s="13" t="s">
        <v>199</v>
      </c>
      <c r="C54" s="48">
        <f>-SUMIFS(I$3:I$47,B$3:B$47,A$51,P$3:P$47,"xx",N$3:N$47,"x")</f>
        <v>-2495</v>
      </c>
      <c r="D54" s="48"/>
      <c r="E54" s="13">
        <f>SUMIFS(Q$3:Q$47,B$3:B$47,A$51,P$3:P$47,"xx",N$3:N$47,"x")</f>
        <v>2</v>
      </c>
      <c r="K54" t="s">
        <v>200</v>
      </c>
      <c r="L54">
        <f>-M54*2</f>
        <v>0</v>
      </c>
      <c r="M54">
        <f>COUNTIFS(K$3:K$47,K$51,L$3:L$47,A$52)-(COUNTIFS(K$3:K$47,K$51,M$3:M$47,"*gộp*")/2)-COUNTIFS(K$3:K$47,K$51,M$3:M$47,"*đơn trả*")-COUNTIFS(K$3:K$47,K$51,M$3:M$47,"*hàng tỉnh*")</f>
        <v>0</v>
      </c>
      <c r="O54" t="s">
        <v>31</v>
      </c>
      <c r="P54">
        <f>L73</f>
        <v>8390</v>
      </c>
    </row>
    <row r="55" spans="1:17" x14ac:dyDescent="0.25">
      <c r="B55" s="10" t="s">
        <v>201</v>
      </c>
      <c r="C55" s="46">
        <f>SUBTOTAL(9,C52:C54)</f>
        <v>23635</v>
      </c>
      <c r="D55" s="46"/>
      <c r="E55">
        <f>E52</f>
        <v>43</v>
      </c>
      <c r="K55" s="14" t="s">
        <v>186</v>
      </c>
      <c r="O55" t="s">
        <v>203</v>
      </c>
      <c r="P55">
        <f>-C59</f>
        <v>-23635</v>
      </c>
    </row>
    <row r="56" spans="1:17" x14ac:dyDescent="0.25">
      <c r="B56" s="13" t="s">
        <v>204</v>
      </c>
      <c r="C56" s="44"/>
      <c r="D56" s="44"/>
      <c r="K56" s="13" t="s">
        <v>205</v>
      </c>
      <c r="O56" s="10" t="s">
        <v>206</v>
      </c>
      <c r="P56" s="10">
        <f>SUBTOTAL(9,P52:P55)</f>
        <v>166</v>
      </c>
    </row>
    <row r="57" spans="1:17" x14ac:dyDescent="0.25">
      <c r="B57" s="15" t="s">
        <v>207</v>
      </c>
      <c r="C57" s="44"/>
      <c r="D57" s="44"/>
      <c r="L57" s="16">
        <f>SUBTOTAL(9,L52:L56)</f>
        <v>12431</v>
      </c>
      <c r="M57" s="16">
        <f>M52</f>
        <v>14</v>
      </c>
    </row>
    <row r="59" spans="1:17" x14ac:dyDescent="0.25">
      <c r="B59" s="9" t="s">
        <v>208</v>
      </c>
      <c r="C59" s="45">
        <f>C55+C56+C57</f>
        <v>23635</v>
      </c>
      <c r="D59" s="45"/>
      <c r="E59" s="9" t="s">
        <v>209</v>
      </c>
      <c r="K59" s="11" t="s">
        <v>30</v>
      </c>
      <c r="L59" s="11" t="s">
        <v>191</v>
      </c>
      <c r="M59" s="11" t="s">
        <v>190</v>
      </c>
    </row>
    <row r="60" spans="1:17" x14ac:dyDescent="0.25">
      <c r="K60" t="s">
        <v>195</v>
      </c>
      <c r="L60">
        <f>SUMIFS(G$3:G$47,J$3:J$47,K$59)</f>
        <v>5740</v>
      </c>
      <c r="M60">
        <f>SUMIFS(Q$3:Q$47,J$3:J$47,K$59)-INT(COUNTIFS(J$3:J$47,K$59,M$3:M$47,"*gộp*")/2)</f>
        <v>11</v>
      </c>
    </row>
    <row r="61" spans="1:17" x14ac:dyDescent="0.25">
      <c r="K61" t="s">
        <v>197</v>
      </c>
      <c r="L61">
        <f>-SUMIFS(H$3:H$47,J$3:J$47,K$59)+M61*5</f>
        <v>-220</v>
      </c>
      <c r="M61">
        <f>SUMIFS(Q$3:Q$47,J$3:J$47,K$59)-INT(COUNTIFS(J$3:J$47,K$59,M$3:M$47,"*gộp*")/2)</f>
        <v>11</v>
      </c>
    </row>
    <row r="62" spans="1:17" x14ac:dyDescent="0.25">
      <c r="K62" t="s">
        <v>200</v>
      </c>
      <c r="L62">
        <f>-M62*2</f>
        <v>0</v>
      </c>
      <c r="M62">
        <f>COUNTIFS(K$3:K$47,K$59,L$3:L$47,A$52)-(COUNTIFS(K$3:K$47,K$59,M$3:M$47,"*gộp*")/2)-COUNTIFS(K$3:K$47,K$59,M$3:M$47,"*đơn trả*")-COUNTIFS(K$3:K$47,K$59,M$3:M$47,"*hàng tỉnh*")</f>
        <v>0</v>
      </c>
    </row>
    <row r="63" spans="1:17" x14ac:dyDescent="0.25">
      <c r="K63" s="14" t="s">
        <v>186</v>
      </c>
      <c r="L63" s="28">
        <v>-1685</v>
      </c>
      <c r="M63" s="28" t="s">
        <v>202</v>
      </c>
    </row>
    <row r="64" spans="1:17" x14ac:dyDescent="0.25">
      <c r="K64" s="13" t="s">
        <v>205</v>
      </c>
      <c r="L64" s="28">
        <v>-815</v>
      </c>
      <c r="M64" s="28" t="s">
        <v>202</v>
      </c>
    </row>
    <row r="65" spans="11:13" x14ac:dyDescent="0.25">
      <c r="K65" s="13" t="s">
        <v>794</v>
      </c>
      <c r="L65" s="28">
        <v>-40</v>
      </c>
      <c r="M65" s="28" t="s">
        <v>202</v>
      </c>
    </row>
    <row r="66" spans="11:13" x14ac:dyDescent="0.25">
      <c r="L66" s="16">
        <f>SUBTOTAL(9,L60:L65)</f>
        <v>2980</v>
      </c>
      <c r="M66" s="16">
        <f>M61</f>
        <v>11</v>
      </c>
    </row>
    <row r="67" spans="11:13" x14ac:dyDescent="0.25">
      <c r="K67" s="11" t="s">
        <v>31</v>
      </c>
      <c r="L67" s="11" t="s">
        <v>191</v>
      </c>
      <c r="M67" s="11" t="s">
        <v>190</v>
      </c>
    </row>
    <row r="68" spans="11:13" x14ac:dyDescent="0.25">
      <c r="K68" t="s">
        <v>195</v>
      </c>
      <c r="L68">
        <f>SUMIFS(G$3:G$47,J$3:J$47,K$67)</f>
        <v>8835</v>
      </c>
      <c r="M68">
        <f>SUMIFS(Q$3:Q$47,J$3:J$47,K$67)-INT(COUNTIFS(J$3:J$47,K$67,M$3:M$47,"*gộp*")/2)</f>
        <v>16</v>
      </c>
    </row>
    <row r="69" spans="11:13" x14ac:dyDescent="0.25">
      <c r="K69" t="s">
        <v>197</v>
      </c>
      <c r="L69">
        <f>-SUMIFS(H$3:H$47,J$3:J$47,K$67)+M69*5</f>
        <v>-365</v>
      </c>
      <c r="M69">
        <f>SUMIFS(Q$3:Q$47,J$3:J$47,K$67)-INT(COUNTIFS(J$3:J$47,K$67,M$3:M$47,"*gộp*")/2)</f>
        <v>16</v>
      </c>
    </row>
    <row r="70" spans="11:13" x14ac:dyDescent="0.25">
      <c r="K70" t="s">
        <v>200</v>
      </c>
      <c r="L70">
        <f>-M70*2</f>
        <v>-80</v>
      </c>
      <c r="M70">
        <f>COUNTIFS(K$3:K$47,K$67,L$3:L$47,A$52)-(COUNTIFS(K$3:K$47,K$67,M$3:M$47,"*gộp*")/2)-COUNTIFS(K$3:K$47,K$67,M$3:M$47,"*đơn trả*")-COUNTIFS(K$3:K$47,K$67,M$3:M$47,"*hàng tỉnh*")</f>
        <v>40</v>
      </c>
    </row>
    <row r="71" spans="11:13" x14ac:dyDescent="0.25">
      <c r="K71" s="14" t="s">
        <v>186</v>
      </c>
    </row>
    <row r="72" spans="11:13" x14ac:dyDescent="0.25">
      <c r="K72" s="13" t="s">
        <v>205</v>
      </c>
    </row>
    <row r="73" spans="11:13" x14ac:dyDescent="0.25">
      <c r="L73" s="16">
        <f>SUBTOTAL(9,L68:L72)</f>
        <v>8390</v>
      </c>
      <c r="M73" s="16">
        <f>M68</f>
        <v>16</v>
      </c>
    </row>
  </sheetData>
  <autoFilter ref="A2:P47" xr:uid="{00000000-0009-0000-0000-000000000000}">
    <sortState xmlns:xlrd2="http://schemas.microsoft.com/office/spreadsheetml/2017/richdata2" ref="A3:P47">
      <sortCondition ref="J2:J47"/>
    </sortState>
  </autoFilter>
  <mergeCells count="8">
    <mergeCell ref="C57:D57"/>
    <mergeCell ref="C59:D59"/>
    <mergeCell ref="C51:D51"/>
    <mergeCell ref="C52:D52"/>
    <mergeCell ref="C53:D53"/>
    <mergeCell ref="C54:D54"/>
    <mergeCell ref="C55:D55"/>
    <mergeCell ref="C56:D56"/>
  </mergeCells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9BF44-8EF7-4971-A5A2-1BCEF6DB9F6C}">
  <dimension ref="A1:R65"/>
  <sheetViews>
    <sheetView workbookViewId="0"/>
  </sheetViews>
  <sheetFormatPr defaultRowHeight="15" x14ac:dyDescent="0.25"/>
  <cols>
    <col min="1" max="1" width="12.7109375" customWidth="1"/>
    <col min="2" max="2" width="9.140625" customWidth="1"/>
    <col min="3" max="3" width="26.28515625" customWidth="1"/>
    <col min="4" max="4" width="9.85546875" customWidth="1"/>
    <col min="5" max="5" width="58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901</v>
      </c>
      <c r="C1" s="17" t="s">
        <v>902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807</v>
      </c>
      <c r="D3" s="20" t="s">
        <v>808</v>
      </c>
      <c r="E3" s="20" t="s">
        <v>809</v>
      </c>
      <c r="F3" s="21">
        <v>11</v>
      </c>
      <c r="G3" s="21">
        <v>0</v>
      </c>
      <c r="H3" s="21">
        <v>25</v>
      </c>
      <c r="I3" s="21">
        <f t="shared" ref="I3:I39" si="0">G3-H3</f>
        <v>-25</v>
      </c>
      <c r="J3" s="20" t="s">
        <v>810</v>
      </c>
      <c r="K3" s="20" t="s">
        <v>31</v>
      </c>
      <c r="L3" s="20" t="s">
        <v>798</v>
      </c>
      <c r="M3" s="20"/>
      <c r="N3" s="20"/>
      <c r="O3" s="20"/>
      <c r="P3" s="20"/>
      <c r="Q3" s="20">
        <v>1</v>
      </c>
      <c r="R3" s="8">
        <f>H3</f>
        <v>25</v>
      </c>
    </row>
    <row r="4" spans="1:18" x14ac:dyDescent="0.25">
      <c r="A4" s="20"/>
      <c r="B4" s="20" t="s">
        <v>27</v>
      </c>
      <c r="C4" s="20" t="s">
        <v>815</v>
      </c>
      <c r="D4" s="20" t="s">
        <v>816</v>
      </c>
      <c r="E4" s="20" t="s">
        <v>817</v>
      </c>
      <c r="F4" s="20" t="s">
        <v>218</v>
      </c>
      <c r="G4" s="21">
        <v>0</v>
      </c>
      <c r="H4" s="21">
        <v>35</v>
      </c>
      <c r="I4" s="21">
        <f t="shared" si="0"/>
        <v>-35</v>
      </c>
      <c r="J4" s="20" t="s">
        <v>810</v>
      </c>
      <c r="K4" s="20" t="s">
        <v>31</v>
      </c>
      <c r="L4" s="20" t="s">
        <v>798</v>
      </c>
      <c r="M4" s="23" t="s">
        <v>903</v>
      </c>
      <c r="N4" s="20"/>
      <c r="O4" s="20"/>
      <c r="P4" s="20"/>
      <c r="Q4" s="20">
        <v>1</v>
      </c>
      <c r="R4" s="8">
        <f>H4</f>
        <v>35</v>
      </c>
    </row>
    <row r="5" spans="1:18" x14ac:dyDescent="0.25">
      <c r="A5" s="20"/>
      <c r="B5" s="20" t="s">
        <v>27</v>
      </c>
      <c r="C5" s="20" t="s">
        <v>818</v>
      </c>
      <c r="D5" s="20" t="s">
        <v>819</v>
      </c>
      <c r="E5" s="20" t="s">
        <v>820</v>
      </c>
      <c r="F5" s="21">
        <v>11</v>
      </c>
      <c r="G5" s="21">
        <v>3780</v>
      </c>
      <c r="H5" s="21">
        <v>35</v>
      </c>
      <c r="I5" s="21">
        <f t="shared" si="0"/>
        <v>3745</v>
      </c>
      <c r="J5" s="20" t="s">
        <v>810</v>
      </c>
      <c r="K5" s="20" t="s">
        <v>31</v>
      </c>
      <c r="L5" s="20" t="s">
        <v>798</v>
      </c>
      <c r="M5" s="23" t="s">
        <v>95</v>
      </c>
      <c r="N5" s="20"/>
      <c r="O5" s="20"/>
      <c r="P5" s="20"/>
      <c r="Q5" s="20">
        <v>1</v>
      </c>
      <c r="R5" s="8">
        <f>H5</f>
        <v>35</v>
      </c>
    </row>
    <row r="6" spans="1:18" x14ac:dyDescent="0.25">
      <c r="A6" s="20"/>
      <c r="B6" s="20" t="s">
        <v>27</v>
      </c>
      <c r="C6" s="20" t="s">
        <v>824</v>
      </c>
      <c r="D6" s="20" t="s">
        <v>825</v>
      </c>
      <c r="E6" s="20" t="s">
        <v>826</v>
      </c>
      <c r="F6" s="20" t="s">
        <v>35</v>
      </c>
      <c r="G6" s="21">
        <v>0</v>
      </c>
      <c r="H6" s="21">
        <v>30</v>
      </c>
      <c r="I6" s="21">
        <f t="shared" si="0"/>
        <v>-30</v>
      </c>
      <c r="J6" s="20" t="s">
        <v>810</v>
      </c>
      <c r="K6" s="20" t="s">
        <v>31</v>
      </c>
      <c r="L6" s="20" t="s">
        <v>798</v>
      </c>
      <c r="M6" s="20"/>
      <c r="N6" s="20"/>
      <c r="O6" s="20"/>
      <c r="P6" s="20"/>
      <c r="Q6" s="20">
        <v>1</v>
      </c>
      <c r="R6" s="8">
        <f>H6</f>
        <v>30</v>
      </c>
    </row>
    <row r="7" spans="1:18" x14ac:dyDescent="0.25">
      <c r="A7" s="20"/>
      <c r="B7" s="20" t="s">
        <v>27</v>
      </c>
      <c r="C7" s="20" t="s">
        <v>851</v>
      </c>
      <c r="D7" s="20" t="s">
        <v>852</v>
      </c>
      <c r="E7" s="20" t="s">
        <v>853</v>
      </c>
      <c r="F7" s="21">
        <v>12</v>
      </c>
      <c r="G7" s="21">
        <v>1380</v>
      </c>
      <c r="H7" s="21">
        <v>30</v>
      </c>
      <c r="I7" s="21">
        <f t="shared" si="0"/>
        <v>1350</v>
      </c>
      <c r="J7" s="20" t="s">
        <v>810</v>
      </c>
      <c r="K7" s="20" t="s">
        <v>31</v>
      </c>
      <c r="L7" s="20" t="s">
        <v>798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854</v>
      </c>
      <c r="D8" s="20" t="s">
        <v>855</v>
      </c>
      <c r="E8" s="20" t="s">
        <v>856</v>
      </c>
      <c r="F8" s="21">
        <v>6</v>
      </c>
      <c r="G8" s="21">
        <v>865</v>
      </c>
      <c r="H8" s="21">
        <v>25</v>
      </c>
      <c r="I8" s="21">
        <f t="shared" si="0"/>
        <v>840</v>
      </c>
      <c r="J8" s="20" t="s">
        <v>810</v>
      </c>
      <c r="K8" s="20" t="s">
        <v>31</v>
      </c>
      <c r="L8" s="20" t="s">
        <v>798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857</v>
      </c>
      <c r="D9" s="20" t="s">
        <v>858</v>
      </c>
      <c r="E9" s="20" t="s">
        <v>859</v>
      </c>
      <c r="F9" s="21">
        <v>7</v>
      </c>
      <c r="G9" s="21">
        <v>910</v>
      </c>
      <c r="H9" s="21">
        <v>30</v>
      </c>
      <c r="I9" s="21">
        <f t="shared" si="0"/>
        <v>880</v>
      </c>
      <c r="J9" s="20" t="s">
        <v>810</v>
      </c>
      <c r="K9" s="20" t="s">
        <v>31</v>
      </c>
      <c r="L9" s="20" t="s">
        <v>798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873</v>
      </c>
      <c r="D10" s="20" t="s">
        <v>874</v>
      </c>
      <c r="E10" s="20" t="s">
        <v>875</v>
      </c>
      <c r="F10" s="21">
        <v>7</v>
      </c>
      <c r="G10" s="21">
        <v>850</v>
      </c>
      <c r="H10" s="21">
        <v>30</v>
      </c>
      <c r="I10" s="21">
        <f t="shared" si="0"/>
        <v>820</v>
      </c>
      <c r="J10" s="20" t="s">
        <v>810</v>
      </c>
      <c r="K10" s="20" t="s">
        <v>31</v>
      </c>
      <c r="L10" s="20" t="s">
        <v>798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27</v>
      </c>
      <c r="C11" s="20" t="s">
        <v>882</v>
      </c>
      <c r="D11" s="20" t="s">
        <v>883</v>
      </c>
      <c r="E11" s="20" t="s">
        <v>884</v>
      </c>
      <c r="F11" s="20" t="s">
        <v>129</v>
      </c>
      <c r="G11" s="21">
        <v>915</v>
      </c>
      <c r="H11" s="21">
        <v>25</v>
      </c>
      <c r="I11" s="21">
        <f t="shared" si="0"/>
        <v>890</v>
      </c>
      <c r="J11" s="20" t="s">
        <v>810</v>
      </c>
      <c r="K11" s="20" t="s">
        <v>31</v>
      </c>
      <c r="L11" s="20" t="s">
        <v>798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27</v>
      </c>
      <c r="C12" s="20" t="s">
        <v>888</v>
      </c>
      <c r="D12" s="20" t="s">
        <v>889</v>
      </c>
      <c r="E12" s="20" t="s">
        <v>890</v>
      </c>
      <c r="F12" s="20" t="s">
        <v>35</v>
      </c>
      <c r="G12" s="21">
        <v>1410</v>
      </c>
      <c r="H12" s="21">
        <v>30</v>
      </c>
      <c r="I12" s="21">
        <f t="shared" si="0"/>
        <v>1380</v>
      </c>
      <c r="J12" s="20" t="s">
        <v>810</v>
      </c>
      <c r="K12" s="20" t="s">
        <v>31</v>
      </c>
      <c r="L12" s="20" t="s">
        <v>798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891</v>
      </c>
      <c r="D13" s="20" t="s">
        <v>892</v>
      </c>
      <c r="E13" s="20" t="s">
        <v>893</v>
      </c>
      <c r="F13" s="21">
        <v>12</v>
      </c>
      <c r="G13" s="21">
        <v>490</v>
      </c>
      <c r="H13" s="21">
        <v>30</v>
      </c>
      <c r="I13" s="21">
        <f t="shared" si="0"/>
        <v>460</v>
      </c>
      <c r="J13" s="20" t="s">
        <v>810</v>
      </c>
      <c r="K13" s="20" t="s">
        <v>31</v>
      </c>
      <c r="L13" s="20" t="s">
        <v>798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27</v>
      </c>
      <c r="C14" s="20" t="s">
        <v>799</v>
      </c>
      <c r="D14" s="20" t="s">
        <v>800</v>
      </c>
      <c r="E14" s="20" t="s">
        <v>801</v>
      </c>
      <c r="F14" s="20" t="s">
        <v>77</v>
      </c>
      <c r="G14" s="21">
        <v>0</v>
      </c>
      <c r="H14" s="21">
        <v>20</v>
      </c>
      <c r="I14" s="21">
        <f t="shared" si="0"/>
        <v>-20</v>
      </c>
      <c r="J14" s="20" t="s">
        <v>31</v>
      </c>
      <c r="K14" s="20" t="s">
        <v>31</v>
      </c>
      <c r="L14" s="20" t="s">
        <v>798</v>
      </c>
      <c r="M14" s="23" t="s">
        <v>905</v>
      </c>
      <c r="N14" s="20"/>
      <c r="O14" s="20"/>
      <c r="P14" s="20"/>
      <c r="Q14" s="20">
        <v>1</v>
      </c>
      <c r="R14" s="8">
        <f>H14</f>
        <v>20</v>
      </c>
    </row>
    <row r="15" spans="1:18" x14ac:dyDescent="0.25">
      <c r="A15" s="20"/>
      <c r="B15" s="20" t="s">
        <v>27</v>
      </c>
      <c r="C15" s="20" t="s">
        <v>805</v>
      </c>
      <c r="D15" s="20" t="s">
        <v>806</v>
      </c>
      <c r="E15" s="20" t="s">
        <v>80</v>
      </c>
      <c r="F15" s="21">
        <v>12</v>
      </c>
      <c r="G15" s="21">
        <v>0</v>
      </c>
      <c r="H15" s="21">
        <v>30</v>
      </c>
      <c r="I15" s="21">
        <f t="shared" si="0"/>
        <v>-30</v>
      </c>
      <c r="J15" s="20" t="s">
        <v>31</v>
      </c>
      <c r="K15" s="20" t="s">
        <v>31</v>
      </c>
      <c r="L15" s="20" t="s">
        <v>798</v>
      </c>
      <c r="M15" s="20"/>
      <c r="N15" s="20"/>
      <c r="O15" s="20"/>
      <c r="P15" s="20"/>
      <c r="Q15" s="20">
        <v>1</v>
      </c>
      <c r="R15" s="8">
        <f>H15</f>
        <v>30</v>
      </c>
    </row>
    <row r="16" spans="1:18" x14ac:dyDescent="0.25">
      <c r="A16" s="20"/>
      <c r="B16" s="20" t="s">
        <v>27</v>
      </c>
      <c r="C16" s="20" t="s">
        <v>811</v>
      </c>
      <c r="D16" s="20" t="s">
        <v>812</v>
      </c>
      <c r="E16" s="20" t="s">
        <v>813</v>
      </c>
      <c r="F16" s="20" t="s">
        <v>77</v>
      </c>
      <c r="G16" s="21">
        <v>1010</v>
      </c>
      <c r="H16" s="21">
        <v>20</v>
      </c>
      <c r="I16" s="21">
        <f t="shared" si="0"/>
        <v>990</v>
      </c>
      <c r="J16" s="20" t="s">
        <v>31</v>
      </c>
      <c r="K16" s="20" t="s">
        <v>31</v>
      </c>
      <c r="L16" s="20" t="s">
        <v>798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27</v>
      </c>
      <c r="C17" s="20" t="s">
        <v>821</v>
      </c>
      <c r="D17" s="20" t="s">
        <v>822</v>
      </c>
      <c r="E17" s="20" t="s">
        <v>823</v>
      </c>
      <c r="F17" s="21">
        <v>2</v>
      </c>
      <c r="G17" s="21">
        <v>820</v>
      </c>
      <c r="H17" s="21">
        <v>30</v>
      </c>
      <c r="I17" s="21">
        <f t="shared" si="0"/>
        <v>790</v>
      </c>
      <c r="J17" s="20" t="s">
        <v>31</v>
      </c>
      <c r="K17" s="20" t="s">
        <v>31</v>
      </c>
      <c r="L17" s="20" t="s">
        <v>798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27</v>
      </c>
      <c r="C18" s="20" t="s">
        <v>827</v>
      </c>
      <c r="D18" s="20" t="s">
        <v>828</v>
      </c>
      <c r="E18" s="20" t="s">
        <v>829</v>
      </c>
      <c r="F18" s="20" t="s">
        <v>77</v>
      </c>
      <c r="G18" s="21">
        <v>0</v>
      </c>
      <c r="H18" s="21">
        <v>20</v>
      </c>
      <c r="I18" s="21">
        <f t="shared" si="0"/>
        <v>-20</v>
      </c>
      <c r="J18" s="20" t="s">
        <v>31</v>
      </c>
      <c r="K18" s="20" t="s">
        <v>31</v>
      </c>
      <c r="L18" s="20" t="s">
        <v>798</v>
      </c>
      <c r="M18" s="20"/>
      <c r="N18" s="20"/>
      <c r="O18" s="20"/>
      <c r="P18" s="20"/>
      <c r="Q18" s="20">
        <v>1</v>
      </c>
      <c r="R18" s="8">
        <f>H18</f>
        <v>20</v>
      </c>
    </row>
    <row r="19" spans="1:18" x14ac:dyDescent="0.25">
      <c r="A19" s="20"/>
      <c r="B19" s="20" t="s">
        <v>27</v>
      </c>
      <c r="C19" s="20" t="s">
        <v>836</v>
      </c>
      <c r="D19" s="20" t="s">
        <v>837</v>
      </c>
      <c r="E19" s="20" t="s">
        <v>838</v>
      </c>
      <c r="F19" s="20" t="s">
        <v>39</v>
      </c>
      <c r="G19" s="21">
        <v>1485</v>
      </c>
      <c r="H19" s="21">
        <v>25</v>
      </c>
      <c r="I19" s="21">
        <f t="shared" si="0"/>
        <v>1460</v>
      </c>
      <c r="J19" s="20" t="s">
        <v>31</v>
      </c>
      <c r="K19" s="20" t="s">
        <v>31</v>
      </c>
      <c r="L19" s="20" t="s">
        <v>798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27</v>
      </c>
      <c r="C20" s="20" t="s">
        <v>842</v>
      </c>
      <c r="D20" s="20" t="s">
        <v>843</v>
      </c>
      <c r="E20" s="20" t="s">
        <v>844</v>
      </c>
      <c r="F20" s="21">
        <v>9</v>
      </c>
      <c r="G20" s="21">
        <v>0</v>
      </c>
      <c r="H20" s="21">
        <v>30</v>
      </c>
      <c r="I20" s="21">
        <f t="shared" si="0"/>
        <v>-30</v>
      </c>
      <c r="J20" s="20" t="s">
        <v>31</v>
      </c>
      <c r="K20" s="20" t="s">
        <v>31</v>
      </c>
      <c r="L20" s="20" t="s">
        <v>798</v>
      </c>
      <c r="M20" s="20"/>
      <c r="N20" s="20"/>
      <c r="O20" s="20"/>
      <c r="P20" s="20"/>
      <c r="Q20" s="20">
        <v>1</v>
      </c>
      <c r="R20" s="8">
        <f>H20</f>
        <v>30</v>
      </c>
    </row>
    <row r="21" spans="1:18" x14ac:dyDescent="0.25">
      <c r="A21" s="20"/>
      <c r="B21" s="20" t="s">
        <v>27</v>
      </c>
      <c r="C21" s="20" t="s">
        <v>845</v>
      </c>
      <c r="D21" s="20" t="s">
        <v>846</v>
      </c>
      <c r="E21" s="20" t="s">
        <v>847</v>
      </c>
      <c r="F21" s="21">
        <v>12</v>
      </c>
      <c r="G21" s="21">
        <v>1710</v>
      </c>
      <c r="H21" s="21">
        <v>30</v>
      </c>
      <c r="I21" s="21">
        <f t="shared" si="0"/>
        <v>1680</v>
      </c>
      <c r="J21" s="20" t="s">
        <v>31</v>
      </c>
      <c r="K21" s="20" t="s">
        <v>31</v>
      </c>
      <c r="L21" s="20" t="s">
        <v>798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27</v>
      </c>
      <c r="C22" s="20" t="s">
        <v>864</v>
      </c>
      <c r="D22" s="20" t="s">
        <v>865</v>
      </c>
      <c r="E22" s="20" t="s">
        <v>866</v>
      </c>
      <c r="F22" s="21">
        <v>2</v>
      </c>
      <c r="G22" s="21">
        <v>0</v>
      </c>
      <c r="H22" s="21">
        <v>30</v>
      </c>
      <c r="I22" s="21">
        <f t="shared" si="0"/>
        <v>-30</v>
      </c>
      <c r="J22" s="20" t="s">
        <v>31</v>
      </c>
      <c r="K22" s="20" t="s">
        <v>31</v>
      </c>
      <c r="L22" s="20" t="s">
        <v>798</v>
      </c>
      <c r="M22" s="20"/>
      <c r="N22" s="20"/>
      <c r="O22" s="20"/>
      <c r="P22" s="20"/>
      <c r="Q22" s="20">
        <v>1</v>
      </c>
      <c r="R22" s="8">
        <f t="shared" ref="R22:R23" si="1">H22</f>
        <v>30</v>
      </c>
    </row>
    <row r="23" spans="1:18" x14ac:dyDescent="0.25">
      <c r="A23" s="20" t="s">
        <v>26</v>
      </c>
      <c r="B23" s="20" t="s">
        <v>27</v>
      </c>
      <c r="C23" s="20" t="s">
        <v>894</v>
      </c>
      <c r="D23" s="20"/>
      <c r="E23" s="20" t="s">
        <v>895</v>
      </c>
      <c r="F23" s="20" t="s">
        <v>77</v>
      </c>
      <c r="G23" s="21">
        <v>0</v>
      </c>
      <c r="H23" s="21">
        <v>25</v>
      </c>
      <c r="I23" s="21">
        <f t="shared" si="0"/>
        <v>-25</v>
      </c>
      <c r="J23" s="20" t="s">
        <v>31</v>
      </c>
      <c r="K23" s="20" t="s">
        <v>31</v>
      </c>
      <c r="L23" s="20" t="s">
        <v>798</v>
      </c>
      <c r="M23" s="20"/>
      <c r="N23" s="20"/>
      <c r="O23" s="20"/>
      <c r="P23" s="20"/>
      <c r="Q23" s="20">
        <v>1</v>
      </c>
      <c r="R23" s="8">
        <f t="shared" si="1"/>
        <v>25</v>
      </c>
    </row>
    <row r="24" spans="1:18" x14ac:dyDescent="0.25">
      <c r="A24" s="20" t="s">
        <v>26</v>
      </c>
      <c r="B24" s="20" t="s">
        <v>27</v>
      </c>
      <c r="C24" s="20" t="s">
        <v>896</v>
      </c>
      <c r="D24" s="20"/>
      <c r="E24" s="20" t="s">
        <v>897</v>
      </c>
      <c r="F24" s="20" t="s">
        <v>39</v>
      </c>
      <c r="G24" s="21">
        <v>30</v>
      </c>
      <c r="H24" s="21">
        <v>30</v>
      </c>
      <c r="I24" s="21">
        <f t="shared" si="0"/>
        <v>0</v>
      </c>
      <c r="J24" s="20" t="s">
        <v>31</v>
      </c>
      <c r="K24" s="20" t="s">
        <v>31</v>
      </c>
      <c r="L24" s="20" t="s">
        <v>798</v>
      </c>
      <c r="M24" s="20"/>
      <c r="N24" s="20"/>
      <c r="O24" s="20"/>
      <c r="P24" s="20"/>
      <c r="Q24" s="20">
        <v>1</v>
      </c>
    </row>
    <row r="25" spans="1:18" x14ac:dyDescent="0.25">
      <c r="A25" s="20" t="s">
        <v>26</v>
      </c>
      <c r="B25" s="20" t="s">
        <v>27</v>
      </c>
      <c r="C25" s="20" t="s">
        <v>898</v>
      </c>
      <c r="D25" s="20"/>
      <c r="E25" s="20" t="s">
        <v>899</v>
      </c>
      <c r="F25" s="20" t="s">
        <v>151</v>
      </c>
      <c r="G25" s="21">
        <v>0</v>
      </c>
      <c r="H25" s="21">
        <v>40</v>
      </c>
      <c r="I25" s="21">
        <f t="shared" si="0"/>
        <v>-40</v>
      </c>
      <c r="J25" s="20" t="s">
        <v>31</v>
      </c>
      <c r="K25" s="20" t="s">
        <v>31</v>
      </c>
      <c r="L25" s="20" t="s">
        <v>798</v>
      </c>
      <c r="M25" s="20"/>
      <c r="N25" s="20"/>
      <c r="O25" s="20"/>
      <c r="P25" s="20"/>
      <c r="Q25" s="20">
        <v>1</v>
      </c>
      <c r="R25" s="8">
        <f>H25</f>
        <v>40</v>
      </c>
    </row>
    <row r="26" spans="1:18" x14ac:dyDescent="0.25">
      <c r="A26" s="20"/>
      <c r="B26" s="20" t="s">
        <v>27</v>
      </c>
      <c r="C26" s="20" t="s">
        <v>795</v>
      </c>
      <c r="D26" s="20" t="s">
        <v>796</v>
      </c>
      <c r="E26" s="20" t="s">
        <v>797</v>
      </c>
      <c r="F26" s="21">
        <v>3</v>
      </c>
      <c r="G26" s="21">
        <v>1765</v>
      </c>
      <c r="H26" s="21">
        <v>25</v>
      </c>
      <c r="I26" s="21">
        <f t="shared" si="0"/>
        <v>1740</v>
      </c>
      <c r="J26" s="20" t="s">
        <v>30</v>
      </c>
      <c r="K26" s="20" t="s">
        <v>31</v>
      </c>
      <c r="L26" s="20" t="s">
        <v>798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27</v>
      </c>
      <c r="C27" s="20" t="s">
        <v>802</v>
      </c>
      <c r="D27" s="20" t="s">
        <v>803</v>
      </c>
      <c r="E27" s="20" t="s">
        <v>804</v>
      </c>
      <c r="F27" s="20" t="s">
        <v>151</v>
      </c>
      <c r="G27" s="21">
        <v>365</v>
      </c>
      <c r="H27" s="21">
        <v>25</v>
      </c>
      <c r="I27" s="21">
        <f t="shared" si="0"/>
        <v>340</v>
      </c>
      <c r="J27" s="20" t="s">
        <v>30</v>
      </c>
      <c r="K27" s="20" t="s">
        <v>31</v>
      </c>
      <c r="L27" s="20" t="s">
        <v>798</v>
      </c>
      <c r="M27" s="23" t="s">
        <v>374</v>
      </c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802</v>
      </c>
      <c r="D28" s="20" t="s">
        <v>814</v>
      </c>
      <c r="E28" s="20" t="s">
        <v>804</v>
      </c>
      <c r="F28" s="20" t="s">
        <v>151</v>
      </c>
      <c r="G28" s="21">
        <v>0</v>
      </c>
      <c r="H28" s="21">
        <v>0</v>
      </c>
      <c r="I28" s="21">
        <f t="shared" si="0"/>
        <v>0</v>
      </c>
      <c r="J28" s="20" t="s">
        <v>30</v>
      </c>
      <c r="K28" s="20" t="s">
        <v>31</v>
      </c>
      <c r="L28" s="20" t="s">
        <v>798</v>
      </c>
      <c r="M28" s="23" t="s">
        <v>374</v>
      </c>
      <c r="N28" s="20"/>
      <c r="O28" s="20"/>
      <c r="P28" s="20"/>
      <c r="Q28" s="20">
        <v>1</v>
      </c>
      <c r="R28" s="8">
        <f>H28</f>
        <v>0</v>
      </c>
    </row>
    <row r="29" spans="1:18" x14ac:dyDescent="0.25">
      <c r="A29" s="20"/>
      <c r="B29" s="20" t="s">
        <v>27</v>
      </c>
      <c r="C29" s="20" t="s">
        <v>830</v>
      </c>
      <c r="D29" s="20" t="s">
        <v>831</v>
      </c>
      <c r="E29" s="20" t="s">
        <v>832</v>
      </c>
      <c r="F29" s="20" t="s">
        <v>125</v>
      </c>
      <c r="G29" s="21">
        <v>480</v>
      </c>
      <c r="H29" s="21">
        <v>20</v>
      </c>
      <c r="I29" s="21">
        <f t="shared" si="0"/>
        <v>460</v>
      </c>
      <c r="J29" s="20" t="s">
        <v>30</v>
      </c>
      <c r="K29" s="20" t="s">
        <v>31</v>
      </c>
      <c r="L29" s="20" t="s">
        <v>798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27</v>
      </c>
      <c r="C30" s="20" t="s">
        <v>833</v>
      </c>
      <c r="D30" s="20" t="s">
        <v>834</v>
      </c>
      <c r="E30" s="20" t="s">
        <v>835</v>
      </c>
      <c r="F30" s="20" t="s">
        <v>125</v>
      </c>
      <c r="G30" s="21">
        <v>4520</v>
      </c>
      <c r="H30" s="21">
        <v>35</v>
      </c>
      <c r="I30" s="21">
        <f t="shared" si="0"/>
        <v>4485</v>
      </c>
      <c r="J30" s="20" t="s">
        <v>30</v>
      </c>
      <c r="K30" s="20" t="s">
        <v>31</v>
      </c>
      <c r="L30" s="20" t="s">
        <v>798</v>
      </c>
      <c r="M30" s="23" t="s">
        <v>95</v>
      </c>
      <c r="N30" s="20"/>
      <c r="O30" s="20"/>
      <c r="P30" s="20"/>
      <c r="Q30" s="20">
        <v>1</v>
      </c>
      <c r="R30" s="8">
        <f>H30</f>
        <v>35</v>
      </c>
    </row>
    <row r="31" spans="1:18" x14ac:dyDescent="0.25">
      <c r="A31" s="20"/>
      <c r="B31" s="20" t="s">
        <v>27</v>
      </c>
      <c r="C31" s="20" t="s">
        <v>839</v>
      </c>
      <c r="D31" s="20" t="s">
        <v>840</v>
      </c>
      <c r="E31" s="20" t="s">
        <v>841</v>
      </c>
      <c r="F31" s="21">
        <v>1</v>
      </c>
      <c r="G31" s="21">
        <v>0</v>
      </c>
      <c r="H31" s="21">
        <v>25</v>
      </c>
      <c r="I31" s="21">
        <f t="shared" si="0"/>
        <v>-25</v>
      </c>
      <c r="J31" s="20" t="s">
        <v>30</v>
      </c>
      <c r="K31" s="20" t="s">
        <v>31</v>
      </c>
      <c r="L31" s="20" t="s">
        <v>798</v>
      </c>
      <c r="M31" s="20"/>
      <c r="N31" s="20"/>
      <c r="O31" s="20"/>
      <c r="P31" s="20"/>
      <c r="Q31" s="20">
        <v>1</v>
      </c>
      <c r="R31" s="8">
        <f>H31</f>
        <v>25</v>
      </c>
    </row>
    <row r="32" spans="1:18" x14ac:dyDescent="0.25">
      <c r="A32" s="20"/>
      <c r="B32" s="20" t="s">
        <v>27</v>
      </c>
      <c r="C32" s="20" t="s">
        <v>848</v>
      </c>
      <c r="D32" s="20" t="s">
        <v>849</v>
      </c>
      <c r="E32" s="20" t="s">
        <v>850</v>
      </c>
      <c r="F32" s="21">
        <v>1</v>
      </c>
      <c r="G32" s="21">
        <v>1015</v>
      </c>
      <c r="H32" s="21">
        <v>25</v>
      </c>
      <c r="I32" s="21">
        <f t="shared" si="0"/>
        <v>990</v>
      </c>
      <c r="J32" s="20" t="s">
        <v>30</v>
      </c>
      <c r="K32" s="20" t="s">
        <v>31</v>
      </c>
      <c r="L32" s="20" t="s">
        <v>798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27</v>
      </c>
      <c r="C33" s="20" t="s">
        <v>860</v>
      </c>
      <c r="D33" s="20" t="s">
        <v>861</v>
      </c>
      <c r="E33" s="20" t="s">
        <v>862</v>
      </c>
      <c r="F33" s="21">
        <v>3</v>
      </c>
      <c r="G33" s="21">
        <v>1315</v>
      </c>
      <c r="H33" s="21">
        <v>25</v>
      </c>
      <c r="I33" s="21">
        <f t="shared" si="0"/>
        <v>1290</v>
      </c>
      <c r="J33" s="20" t="s">
        <v>30</v>
      </c>
      <c r="K33" s="20" t="s">
        <v>31</v>
      </c>
      <c r="L33" s="20" t="s">
        <v>798</v>
      </c>
      <c r="M33" s="20"/>
      <c r="N33" s="20"/>
      <c r="O33" s="20"/>
      <c r="P33" s="20"/>
      <c r="Q33" s="20">
        <v>1</v>
      </c>
    </row>
    <row r="34" spans="1:18" s="26" customFormat="1" x14ac:dyDescent="0.25">
      <c r="A34" s="24"/>
      <c r="B34" s="24" t="s">
        <v>27</v>
      </c>
      <c r="C34" s="24" t="s">
        <v>710</v>
      </c>
      <c r="D34" s="24" t="s">
        <v>863</v>
      </c>
      <c r="E34" s="24" t="s">
        <v>712</v>
      </c>
      <c r="F34" s="25">
        <v>3</v>
      </c>
      <c r="G34" s="25">
        <v>0</v>
      </c>
      <c r="H34" s="25">
        <v>25</v>
      </c>
      <c r="I34" s="25">
        <f t="shared" si="0"/>
        <v>-25</v>
      </c>
      <c r="J34" s="24" t="s">
        <v>30</v>
      </c>
      <c r="K34" s="24" t="s">
        <v>31</v>
      </c>
      <c r="L34" s="24" t="s">
        <v>798</v>
      </c>
      <c r="M34" s="24" t="s">
        <v>84</v>
      </c>
      <c r="N34" s="24"/>
      <c r="O34" s="24"/>
      <c r="P34" s="24"/>
      <c r="Q34" s="24">
        <v>1</v>
      </c>
      <c r="R34" s="34">
        <f>H34</f>
        <v>25</v>
      </c>
    </row>
    <row r="35" spans="1:18" x14ac:dyDescent="0.25">
      <c r="A35" s="20"/>
      <c r="B35" s="20" t="s">
        <v>27</v>
      </c>
      <c r="C35" s="20" t="s">
        <v>867</v>
      </c>
      <c r="D35" s="20" t="s">
        <v>868</v>
      </c>
      <c r="E35" s="20" t="s">
        <v>869</v>
      </c>
      <c r="F35" s="21">
        <v>7</v>
      </c>
      <c r="G35" s="21">
        <v>890</v>
      </c>
      <c r="H35" s="21">
        <v>30</v>
      </c>
      <c r="I35" s="21">
        <f t="shared" si="0"/>
        <v>860</v>
      </c>
      <c r="J35" s="20" t="s">
        <v>30</v>
      </c>
      <c r="K35" s="20" t="s">
        <v>31</v>
      </c>
      <c r="L35" s="20" t="s">
        <v>798</v>
      </c>
      <c r="M35" s="20"/>
      <c r="N35" s="20"/>
      <c r="O35" s="20"/>
      <c r="P35" s="20"/>
      <c r="Q35" s="20">
        <v>1</v>
      </c>
    </row>
    <row r="36" spans="1:18" x14ac:dyDescent="0.25">
      <c r="A36" s="20"/>
      <c r="B36" s="20" t="s">
        <v>27</v>
      </c>
      <c r="C36" s="20" t="s">
        <v>870</v>
      </c>
      <c r="D36" s="20" t="s">
        <v>871</v>
      </c>
      <c r="E36" s="20" t="s">
        <v>872</v>
      </c>
      <c r="F36" s="20" t="s">
        <v>151</v>
      </c>
      <c r="G36" s="21">
        <v>515</v>
      </c>
      <c r="H36" s="21">
        <v>25</v>
      </c>
      <c r="I36" s="21">
        <f t="shared" si="0"/>
        <v>490</v>
      </c>
      <c r="J36" s="20" t="s">
        <v>30</v>
      </c>
      <c r="K36" s="20" t="s">
        <v>31</v>
      </c>
      <c r="L36" s="20" t="s">
        <v>798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27</v>
      </c>
      <c r="C37" s="20" t="s">
        <v>876</v>
      </c>
      <c r="D37" s="20" t="s">
        <v>877</v>
      </c>
      <c r="E37" s="20" t="s">
        <v>878</v>
      </c>
      <c r="F37" s="21">
        <v>1</v>
      </c>
      <c r="G37" s="21">
        <v>905</v>
      </c>
      <c r="H37" s="21">
        <v>25</v>
      </c>
      <c r="I37" s="21">
        <f t="shared" si="0"/>
        <v>880</v>
      </c>
      <c r="J37" s="20" t="s">
        <v>30</v>
      </c>
      <c r="K37" s="20" t="s">
        <v>31</v>
      </c>
      <c r="L37" s="20" t="s">
        <v>798</v>
      </c>
      <c r="M37" s="20"/>
      <c r="N37" s="20"/>
      <c r="O37" s="20"/>
      <c r="P37" s="20"/>
      <c r="Q37" s="20">
        <v>1</v>
      </c>
    </row>
    <row r="38" spans="1:18" s="26" customFormat="1" x14ac:dyDescent="0.25">
      <c r="A38" s="24"/>
      <c r="B38" s="24" t="s">
        <v>27</v>
      </c>
      <c r="C38" s="24" t="s">
        <v>879</v>
      </c>
      <c r="D38" s="24" t="s">
        <v>880</v>
      </c>
      <c r="E38" s="24" t="s">
        <v>881</v>
      </c>
      <c r="F38" s="25">
        <v>7</v>
      </c>
      <c r="G38" s="25">
        <v>30</v>
      </c>
      <c r="H38" s="25">
        <v>30</v>
      </c>
      <c r="I38" s="25">
        <f t="shared" si="0"/>
        <v>0</v>
      </c>
      <c r="J38" s="24" t="s">
        <v>30</v>
      </c>
      <c r="K38" s="24" t="s">
        <v>31</v>
      </c>
      <c r="L38" s="24" t="s">
        <v>798</v>
      </c>
      <c r="M38" s="24" t="s">
        <v>84</v>
      </c>
      <c r="N38" s="24"/>
      <c r="O38" s="24"/>
      <c r="P38" s="24"/>
      <c r="Q38" s="24">
        <v>1</v>
      </c>
    </row>
    <row r="39" spans="1:18" x14ac:dyDescent="0.25">
      <c r="A39" s="20"/>
      <c r="B39" s="20" t="s">
        <v>27</v>
      </c>
      <c r="C39" s="20" t="s">
        <v>885</v>
      </c>
      <c r="D39" s="20" t="s">
        <v>886</v>
      </c>
      <c r="E39" s="20" t="s">
        <v>887</v>
      </c>
      <c r="F39" s="21">
        <v>7</v>
      </c>
      <c r="G39" s="21">
        <v>30</v>
      </c>
      <c r="H39" s="21">
        <v>30</v>
      </c>
      <c r="I39" s="21">
        <f t="shared" si="0"/>
        <v>0</v>
      </c>
      <c r="J39" s="20" t="s">
        <v>30</v>
      </c>
      <c r="K39" s="20" t="s">
        <v>31</v>
      </c>
      <c r="L39" s="20" t="s">
        <v>798</v>
      </c>
      <c r="M39" s="43" t="s">
        <v>904</v>
      </c>
      <c r="N39" s="20"/>
      <c r="O39" s="20"/>
      <c r="P39" s="20"/>
      <c r="Q39" s="20">
        <v>1</v>
      </c>
    </row>
    <row r="41" spans="1:18" x14ac:dyDescent="0.25">
      <c r="D41" s="9">
        <f>COUNTA(D3:D39)</f>
        <v>34</v>
      </c>
      <c r="G41" s="9">
        <f t="shared" ref="G41:Q41" si="2">SUBTOTAL(9,G3:G39)</f>
        <v>27485</v>
      </c>
      <c r="H41" s="9">
        <f t="shared" si="2"/>
        <v>1000</v>
      </c>
      <c r="I41" s="9">
        <f t="shared" si="2"/>
        <v>26485</v>
      </c>
      <c r="J41" s="9">
        <f t="shared" si="2"/>
        <v>0</v>
      </c>
      <c r="K41" s="9">
        <f t="shared" si="2"/>
        <v>0</v>
      </c>
      <c r="L41" s="9">
        <f t="shared" si="2"/>
        <v>0</v>
      </c>
      <c r="M41" s="9">
        <f t="shared" si="2"/>
        <v>0</v>
      </c>
      <c r="N41" s="9">
        <f t="shared" si="2"/>
        <v>0</v>
      </c>
      <c r="O41" s="9">
        <f t="shared" si="2"/>
        <v>0</v>
      </c>
      <c r="P41" s="9">
        <f t="shared" si="2"/>
        <v>0</v>
      </c>
      <c r="Q41" s="9">
        <f t="shared" si="2"/>
        <v>37</v>
      </c>
    </row>
    <row r="42" spans="1:18" x14ac:dyDescent="0.25">
      <c r="H42">
        <f>-6*17</f>
        <v>-102</v>
      </c>
    </row>
    <row r="43" spans="1:18" x14ac:dyDescent="0.25">
      <c r="A43" s="9" t="s">
        <v>27</v>
      </c>
      <c r="C43" s="46" t="s">
        <v>189</v>
      </c>
      <c r="D43" s="46"/>
      <c r="E43" s="10" t="s">
        <v>190</v>
      </c>
      <c r="H43">
        <f>-4*25</f>
        <v>-100</v>
      </c>
      <c r="K43" s="11" t="s">
        <v>30</v>
      </c>
      <c r="L43" s="11" t="s">
        <v>191</v>
      </c>
      <c r="M43" s="11" t="s">
        <v>190</v>
      </c>
      <c r="O43" s="10" t="s">
        <v>192</v>
      </c>
    </row>
    <row r="44" spans="1:18" x14ac:dyDescent="0.25">
      <c r="A44" t="s">
        <v>798</v>
      </c>
      <c r="B44" s="12" t="s">
        <v>193</v>
      </c>
      <c r="C44" s="47">
        <f>SUMIFS(I$3:I$39,B$3:B$39,A$43,L$3:L$39,A$44)</f>
        <v>26485</v>
      </c>
      <c r="D44" s="47"/>
      <c r="E44" s="12">
        <f>SUMIFS(Q$3:Q$39,B$3:B$39,A$43,L$3:L$39,A$44)</f>
        <v>37</v>
      </c>
      <c r="F44" t="s">
        <v>194</v>
      </c>
      <c r="H44">
        <f>-1*30</f>
        <v>-30</v>
      </c>
      <c r="K44" t="s">
        <v>195</v>
      </c>
      <c r="L44">
        <f>SUMIFS(G$3:G$39,J$3:J$39,K$43)</f>
        <v>11830</v>
      </c>
      <c r="M44">
        <f>SUMIFS(Q$3:Q$39,J$3:J$39,K$43)-INT(COUNTIFS(J$3:J$39,K$43,M$3:M$39,"*gộp*")/2)</f>
        <v>13</v>
      </c>
      <c r="O44" t="s">
        <v>30</v>
      </c>
      <c r="P44">
        <f>L49</f>
        <v>11550</v>
      </c>
    </row>
    <row r="45" spans="1:18" x14ac:dyDescent="0.25">
      <c r="B45" s="13" t="s">
        <v>196</v>
      </c>
      <c r="C45" s="48">
        <v>0</v>
      </c>
      <c r="D45" s="48"/>
      <c r="K45" t="s">
        <v>197</v>
      </c>
      <c r="L45">
        <f>-SUMIFS(H$3:H$39,J$3:J$39,K$43)+M45*5</f>
        <v>-280</v>
      </c>
      <c r="M45">
        <f>SUMIFS(Q$3:Q$39,J$3:J$39,K$43)-INT(COUNTIFS(J$3:J$39,K$43,M$3:M$39,"*gộp*")/2)</f>
        <v>13</v>
      </c>
      <c r="O45" t="s">
        <v>31</v>
      </c>
      <c r="P45">
        <f>L57</f>
        <v>4713</v>
      </c>
    </row>
    <row r="46" spans="1:18" x14ac:dyDescent="0.25">
      <c r="B46" s="13" t="s">
        <v>199</v>
      </c>
      <c r="C46" s="48">
        <f>-SUMIFS(I$3:I$39,B$3:B$39,A$43,P$3:P$39,"xx",N$3:N$39,"x")</f>
        <v>0</v>
      </c>
      <c r="D46" s="48"/>
      <c r="E46" s="13">
        <f>SUMIFS(Q$3:Q$39,B$3:B$39,A$43,P$3:P$39,"xx",N$3:N$39,"x")</f>
        <v>0</v>
      </c>
      <c r="K46" t="s">
        <v>200</v>
      </c>
      <c r="L46">
        <f>-M46*2</f>
        <v>0</v>
      </c>
      <c r="M46">
        <f>COUNTIFS(K$3:K$39,K$43,L$3:L$39,A$44)-(COUNTIFS(K$3:K$39,K$43,M$3:M$39,"*gộp*")/2)-COUNTIFS(K$3:K$39,K$43,M$3:M$39,"*đơn trả*")-COUNTIFS(K$3:K$39,K$43,M$3:M$39,"*hàng tỉnh*")</f>
        <v>0</v>
      </c>
      <c r="O46" t="s">
        <v>900</v>
      </c>
      <c r="P46">
        <f>L65</f>
        <v>10368</v>
      </c>
    </row>
    <row r="47" spans="1:18" x14ac:dyDescent="0.25">
      <c r="B47" s="10" t="s">
        <v>201</v>
      </c>
      <c r="C47" s="46">
        <f>SUBTOTAL(9,C44:C46)</f>
        <v>26485</v>
      </c>
      <c r="D47" s="46"/>
      <c r="E47">
        <f>E44</f>
        <v>37</v>
      </c>
      <c r="K47" s="14" t="s">
        <v>186</v>
      </c>
      <c r="O47" t="s">
        <v>203</v>
      </c>
      <c r="P47">
        <f>-C51</f>
        <v>-26485</v>
      </c>
    </row>
    <row r="48" spans="1:18" x14ac:dyDescent="0.25">
      <c r="B48" s="13" t="s">
        <v>204</v>
      </c>
      <c r="C48" s="44"/>
      <c r="D48" s="44"/>
      <c r="K48" s="13" t="s">
        <v>205</v>
      </c>
      <c r="O48" s="10" t="s">
        <v>206</v>
      </c>
      <c r="P48" s="10">
        <f>SUBTOTAL(9,P44:P47)</f>
        <v>146</v>
      </c>
    </row>
    <row r="49" spans="2:13" x14ac:dyDescent="0.25">
      <c r="B49" s="15" t="s">
        <v>207</v>
      </c>
      <c r="C49" s="44"/>
      <c r="D49" s="44"/>
      <c r="L49" s="16">
        <f>SUBTOTAL(9,L44:L48)</f>
        <v>11550</v>
      </c>
      <c r="M49" s="16">
        <f>M44</f>
        <v>13</v>
      </c>
    </row>
    <row r="51" spans="2:13" x14ac:dyDescent="0.25">
      <c r="B51" s="9" t="s">
        <v>208</v>
      </c>
      <c r="C51" s="45">
        <f>C47+C48+C49</f>
        <v>26485</v>
      </c>
      <c r="D51" s="45"/>
      <c r="E51" s="9" t="s">
        <v>209</v>
      </c>
      <c r="K51" s="11" t="s">
        <v>31</v>
      </c>
      <c r="L51" s="11" t="s">
        <v>191</v>
      </c>
      <c r="M51" s="11" t="s">
        <v>190</v>
      </c>
    </row>
    <row r="52" spans="2:13" x14ac:dyDescent="0.25">
      <c r="K52" t="s">
        <v>195</v>
      </c>
      <c r="L52">
        <f>SUMIFS(G$3:G$39,J$3:J$39,K$51)</f>
        <v>5055</v>
      </c>
      <c r="M52">
        <f>SUMIFS(Q$3:Q$39,J$3:J$39,K$51)-INT(COUNTIFS(J$3:J$39,K$51,M$3:M$39,"*gộp*")/2)</f>
        <v>12</v>
      </c>
    </row>
    <row r="53" spans="2:13" x14ac:dyDescent="0.25">
      <c r="K53" t="s">
        <v>197</v>
      </c>
      <c r="L53">
        <f>-SUMIFS(H$3:H$39,J$3:J$39,K$51)+M53*5</f>
        <v>-270</v>
      </c>
      <c r="M53">
        <f>SUMIFS(Q$3:Q$39,J$3:J$39,K$51)-INT(COUNTIFS(J$3:J$39,K$51,M$3:M$39,"*gộp*")/2)</f>
        <v>12</v>
      </c>
    </row>
    <row r="54" spans="2:13" x14ac:dyDescent="0.25">
      <c r="K54" t="s">
        <v>200</v>
      </c>
      <c r="L54">
        <f>-M54*2</f>
        <v>-72</v>
      </c>
      <c r="M54">
        <f>COUNTIFS(K$3:K$39,K$51,L$3:L$39,A$44)-(COUNTIFS(K$3:K$39,K$51,M$3:M$39,"*gộp*")/2)-COUNTIFS(K$3:K$39,K$51,M$3:M$39,"*đơn trả*")-COUNTIFS(K$3:K$39,K$51,M$3:M$39,"*hàng tỉnh*")</f>
        <v>36</v>
      </c>
    </row>
    <row r="55" spans="2:13" x14ac:dyDescent="0.25">
      <c r="K55" s="14" t="s">
        <v>186</v>
      </c>
    </row>
    <row r="56" spans="2:13" x14ac:dyDescent="0.25">
      <c r="K56" s="13" t="s">
        <v>205</v>
      </c>
    </row>
    <row r="57" spans="2:13" x14ac:dyDescent="0.25">
      <c r="L57" s="16">
        <f>SUBTOTAL(9,L52:L56)</f>
        <v>4713</v>
      </c>
      <c r="M57" s="16">
        <f>M52</f>
        <v>12</v>
      </c>
    </row>
    <row r="59" spans="2:13" x14ac:dyDescent="0.25">
      <c r="K59" s="11" t="s">
        <v>810</v>
      </c>
      <c r="L59" s="11" t="s">
        <v>191</v>
      </c>
      <c r="M59" s="11" t="s">
        <v>190</v>
      </c>
    </row>
    <row r="60" spans="2:13" x14ac:dyDescent="0.25">
      <c r="K60" t="s">
        <v>195</v>
      </c>
      <c r="L60">
        <f>SUMIFS(G$3:G$39,J$3:J$39,K$59)</f>
        <v>10600</v>
      </c>
      <c r="M60">
        <f>SUMIFS(Q$3:Q$39,J$3:J$39,K$59)-INT(COUNTIFS(J$3:J$39,K$59,M$3:M$39,"*gộp*")/2)</f>
        <v>11</v>
      </c>
    </row>
    <row r="61" spans="2:13" x14ac:dyDescent="0.25">
      <c r="K61" t="s">
        <v>197</v>
      </c>
      <c r="L61">
        <f>SUM(H42:H44)</f>
        <v>-232</v>
      </c>
      <c r="M61">
        <f>SUMIFS(Q$3:Q$39,J$3:J$39,K$59)-INT(COUNTIFS(J$3:J$39,K$59,M$3:M$39,"*gộp*")/2)</f>
        <v>11</v>
      </c>
    </row>
    <row r="62" spans="2:13" x14ac:dyDescent="0.25">
      <c r="K62" t="s">
        <v>200</v>
      </c>
      <c r="L62">
        <f>-M62*2</f>
        <v>0</v>
      </c>
      <c r="M62">
        <f>COUNTIFS(K$3:K$39,K$59,L$3:L$39,A$44)-(COUNTIFS(K$3:K$39,K$59,M$3:M$39,"*gộp*")/2)-COUNTIFS(K$3:K$39,K$59,M$3:M$39,"*đơn trả*")-COUNTIFS(K$3:K$39,K$59,M$3:M$39,"*hàng tỉnh*")</f>
        <v>0</v>
      </c>
    </row>
    <row r="63" spans="2:13" x14ac:dyDescent="0.25">
      <c r="K63" s="14" t="s">
        <v>186</v>
      </c>
    </row>
    <row r="64" spans="2:13" x14ac:dyDescent="0.25">
      <c r="K64" s="13" t="s">
        <v>205</v>
      </c>
    </row>
    <row r="65" spans="12:13" x14ac:dyDescent="0.25">
      <c r="L65" s="16">
        <f>SUBTOTAL(9,L60:L64)</f>
        <v>10368</v>
      </c>
      <c r="M65" s="16">
        <f>M60</f>
        <v>11</v>
      </c>
    </row>
  </sheetData>
  <autoFilter ref="A2:P39" xr:uid="{00000000-0009-0000-0000-000000000000}">
    <sortState xmlns:xlrd2="http://schemas.microsoft.com/office/spreadsheetml/2017/richdata2" ref="A3:P39">
      <sortCondition ref="J2:J39"/>
    </sortState>
  </autoFilter>
  <mergeCells count="8">
    <mergeCell ref="C49:D49"/>
    <mergeCell ref="C51:D51"/>
    <mergeCell ref="C43:D43"/>
    <mergeCell ref="C44:D44"/>
    <mergeCell ref="C45:D45"/>
    <mergeCell ref="C46:D46"/>
    <mergeCell ref="C47:D47"/>
    <mergeCell ref="C48:D48"/>
  </mergeCells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FBE9-456A-42BA-958B-C36BDB39B97A}">
  <dimension ref="A1:R52"/>
  <sheetViews>
    <sheetView tabSelected="1" workbookViewId="0">
      <selection activeCell="K25" sqref="K25"/>
    </sheetView>
  </sheetViews>
  <sheetFormatPr defaultRowHeight="15" x14ac:dyDescent="0.25"/>
  <cols>
    <col min="1" max="1" width="12.7109375" customWidth="1"/>
    <col min="2" max="2" width="9" customWidth="1"/>
    <col min="3" max="3" width="44.42578125" customWidth="1"/>
    <col min="4" max="4" width="9.85546875" customWidth="1"/>
    <col min="5" max="5" width="74.5703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210</v>
      </c>
      <c r="C1" s="17" t="s">
        <v>964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933</v>
      </c>
      <c r="D3" s="20" t="s">
        <v>934</v>
      </c>
      <c r="E3" s="20" t="s">
        <v>935</v>
      </c>
      <c r="F3" s="21">
        <v>6</v>
      </c>
      <c r="G3" s="21">
        <v>0</v>
      </c>
      <c r="H3" s="21">
        <v>25</v>
      </c>
      <c r="I3" s="21">
        <f>G3-H3</f>
        <v>-25</v>
      </c>
      <c r="J3" s="20" t="s">
        <v>936</v>
      </c>
      <c r="K3" s="20" t="s">
        <v>31</v>
      </c>
      <c r="L3" s="20" t="s">
        <v>909</v>
      </c>
      <c r="M3" s="20"/>
      <c r="N3" s="20"/>
      <c r="O3" s="20"/>
      <c r="P3" s="20"/>
      <c r="Q3" s="20">
        <v>1</v>
      </c>
      <c r="R3" s="8">
        <f>H3</f>
        <v>25</v>
      </c>
    </row>
    <row r="4" spans="1:18" x14ac:dyDescent="0.25">
      <c r="A4" s="20"/>
      <c r="B4" s="20" t="s">
        <v>27</v>
      </c>
      <c r="C4" s="20" t="s">
        <v>949</v>
      </c>
      <c r="D4" s="20" t="s">
        <v>950</v>
      </c>
      <c r="E4" s="20" t="s">
        <v>951</v>
      </c>
      <c r="F4" s="21">
        <v>6</v>
      </c>
      <c r="G4" s="21">
        <v>1105</v>
      </c>
      <c r="H4" s="21">
        <v>25</v>
      </c>
      <c r="I4" s="21">
        <f>G4-H4</f>
        <v>1080</v>
      </c>
      <c r="J4" s="20" t="s">
        <v>936</v>
      </c>
      <c r="K4" s="20" t="s">
        <v>31</v>
      </c>
      <c r="L4" s="20" t="s">
        <v>909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27</v>
      </c>
      <c r="C5" s="20" t="s">
        <v>955</v>
      </c>
      <c r="D5" s="20" t="s">
        <v>956</v>
      </c>
      <c r="E5" s="20" t="s">
        <v>957</v>
      </c>
      <c r="F5" s="20" t="s">
        <v>35</v>
      </c>
      <c r="G5" s="21">
        <v>1120</v>
      </c>
      <c r="H5" s="21">
        <v>30</v>
      </c>
      <c r="I5" s="21">
        <f>G5-H5</f>
        <v>1090</v>
      </c>
      <c r="J5" s="20" t="s">
        <v>936</v>
      </c>
      <c r="K5" s="20" t="s">
        <v>31</v>
      </c>
      <c r="L5" s="20" t="s">
        <v>909</v>
      </c>
      <c r="M5" s="20"/>
      <c r="N5" s="20"/>
      <c r="O5" s="20"/>
      <c r="P5" s="20"/>
      <c r="Q5" s="20">
        <v>1</v>
      </c>
    </row>
    <row r="6" spans="1:18" x14ac:dyDescent="0.25">
      <c r="A6" s="20" t="s">
        <v>26</v>
      </c>
      <c r="B6" s="20" t="s">
        <v>27</v>
      </c>
      <c r="C6" s="20" t="s">
        <v>668</v>
      </c>
      <c r="D6" s="20"/>
      <c r="E6" s="20" t="s">
        <v>669</v>
      </c>
      <c r="F6" s="20" t="s">
        <v>35</v>
      </c>
      <c r="G6" s="21">
        <v>2355</v>
      </c>
      <c r="H6" s="21">
        <v>35</v>
      </c>
      <c r="I6" s="21">
        <f>G6-H6</f>
        <v>2320</v>
      </c>
      <c r="J6" s="20" t="s">
        <v>936</v>
      </c>
      <c r="K6" s="20" t="s">
        <v>31</v>
      </c>
      <c r="L6" s="20" t="s">
        <v>909</v>
      </c>
      <c r="M6" s="20"/>
      <c r="N6" s="20"/>
      <c r="O6" s="20"/>
      <c r="P6" s="20"/>
      <c r="Q6" s="20">
        <v>1</v>
      </c>
    </row>
    <row r="7" spans="1:18" x14ac:dyDescent="0.25">
      <c r="A7" s="20" t="s">
        <v>26</v>
      </c>
      <c r="B7" s="20" t="s">
        <v>27</v>
      </c>
      <c r="C7" s="20" t="s">
        <v>959</v>
      </c>
      <c r="D7" s="20"/>
      <c r="E7" s="20" t="s">
        <v>960</v>
      </c>
      <c r="F7" s="21">
        <v>6</v>
      </c>
      <c r="G7" s="21">
        <v>7030</v>
      </c>
      <c r="H7" s="21">
        <v>50</v>
      </c>
      <c r="I7" s="21">
        <f>G7-H7</f>
        <v>6980</v>
      </c>
      <c r="J7" s="20" t="s">
        <v>936</v>
      </c>
      <c r="K7" s="20" t="s">
        <v>31</v>
      </c>
      <c r="L7" s="20" t="s">
        <v>909</v>
      </c>
      <c r="M7" s="20"/>
      <c r="N7" s="20"/>
      <c r="O7" s="20"/>
      <c r="P7" s="20"/>
      <c r="Q7" s="20">
        <v>1</v>
      </c>
    </row>
    <row r="8" spans="1:18" x14ac:dyDescent="0.25">
      <c r="A8" s="20" t="s">
        <v>26</v>
      </c>
      <c r="B8" s="20" t="s">
        <v>27</v>
      </c>
      <c r="C8" s="20" t="s">
        <v>665</v>
      </c>
      <c r="D8" s="20"/>
      <c r="E8" s="20" t="s">
        <v>666</v>
      </c>
      <c r="F8" s="21">
        <v>6</v>
      </c>
      <c r="G8" s="21">
        <v>30</v>
      </c>
      <c r="H8" s="21">
        <v>30</v>
      </c>
      <c r="I8" s="21">
        <f>G8-H8</f>
        <v>0</v>
      </c>
      <c r="J8" s="20" t="s">
        <v>936</v>
      </c>
      <c r="K8" s="20" t="s">
        <v>31</v>
      </c>
      <c r="L8" s="20" t="s">
        <v>909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906</v>
      </c>
      <c r="D9" s="20" t="s">
        <v>907</v>
      </c>
      <c r="E9" s="20" t="s">
        <v>908</v>
      </c>
      <c r="F9" s="21">
        <v>2</v>
      </c>
      <c r="G9" s="21">
        <v>920</v>
      </c>
      <c r="H9" s="21">
        <v>30</v>
      </c>
      <c r="I9" s="21">
        <f>G9-H9</f>
        <v>890</v>
      </c>
      <c r="J9" s="20" t="s">
        <v>31</v>
      </c>
      <c r="K9" s="20" t="s">
        <v>31</v>
      </c>
      <c r="L9" s="20" t="s">
        <v>909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371</v>
      </c>
      <c r="D10" s="20" t="s">
        <v>910</v>
      </c>
      <c r="E10" s="20" t="s">
        <v>911</v>
      </c>
      <c r="F10" s="20" t="s">
        <v>77</v>
      </c>
      <c r="G10" s="21">
        <v>940</v>
      </c>
      <c r="H10" s="21">
        <v>20</v>
      </c>
      <c r="I10" s="21">
        <f>G10-H10</f>
        <v>920</v>
      </c>
      <c r="J10" s="20" t="s">
        <v>31</v>
      </c>
      <c r="K10" s="20" t="s">
        <v>31</v>
      </c>
      <c r="L10" s="20" t="s">
        <v>909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27</v>
      </c>
      <c r="C11" s="20" t="s">
        <v>921</v>
      </c>
      <c r="D11" s="20" t="s">
        <v>922</v>
      </c>
      <c r="E11" s="20" t="s">
        <v>923</v>
      </c>
      <c r="F11" s="21">
        <v>12</v>
      </c>
      <c r="G11" s="21">
        <v>790</v>
      </c>
      <c r="H11" s="21">
        <v>30</v>
      </c>
      <c r="I11" s="21">
        <f>G11-H11</f>
        <v>760</v>
      </c>
      <c r="J11" s="20" t="s">
        <v>31</v>
      </c>
      <c r="K11" s="20" t="s">
        <v>31</v>
      </c>
      <c r="L11" s="20" t="s">
        <v>909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27</v>
      </c>
      <c r="C12" s="20" t="s">
        <v>924</v>
      </c>
      <c r="D12" s="20"/>
      <c r="E12" s="20" t="s">
        <v>925</v>
      </c>
      <c r="F12" s="21">
        <v>7</v>
      </c>
      <c r="G12" s="21">
        <v>30</v>
      </c>
      <c r="H12" s="21">
        <v>30</v>
      </c>
      <c r="I12" s="21">
        <f>G12-H12</f>
        <v>0</v>
      </c>
      <c r="J12" s="20" t="s">
        <v>31</v>
      </c>
      <c r="K12" s="20" t="s">
        <v>31</v>
      </c>
      <c r="L12" s="20" t="s">
        <v>909</v>
      </c>
      <c r="M12" s="20" t="s">
        <v>84</v>
      </c>
      <c r="N12" s="20"/>
      <c r="O12" s="20"/>
      <c r="P12" s="20"/>
      <c r="Q12" s="20">
        <v>1</v>
      </c>
    </row>
    <row r="13" spans="1:18" x14ac:dyDescent="0.25">
      <c r="A13" s="20" t="s">
        <v>26</v>
      </c>
      <c r="B13" s="20" t="s">
        <v>27</v>
      </c>
      <c r="C13" s="20" t="s">
        <v>784</v>
      </c>
      <c r="D13" s="20"/>
      <c r="E13" s="20" t="s">
        <v>958</v>
      </c>
      <c r="F13" s="20" t="s">
        <v>151</v>
      </c>
      <c r="G13" s="21">
        <v>30</v>
      </c>
      <c r="H13" s="21">
        <v>30</v>
      </c>
      <c r="I13" s="21">
        <f>G13-H13</f>
        <v>0</v>
      </c>
      <c r="J13" s="20" t="s">
        <v>31</v>
      </c>
      <c r="K13" s="20" t="s">
        <v>31</v>
      </c>
      <c r="L13" s="20" t="s">
        <v>909</v>
      </c>
      <c r="M13" s="20"/>
      <c r="N13" s="20"/>
      <c r="O13" s="20"/>
      <c r="P13" s="20"/>
      <c r="Q13" s="20">
        <v>1</v>
      </c>
    </row>
    <row r="14" spans="1:18" x14ac:dyDescent="0.25">
      <c r="A14" s="20" t="s">
        <v>26</v>
      </c>
      <c r="B14" s="20" t="s">
        <v>27</v>
      </c>
      <c r="C14" s="20" t="s">
        <v>961</v>
      </c>
      <c r="D14" s="20"/>
      <c r="E14" s="20" t="s">
        <v>962</v>
      </c>
      <c r="F14" s="20" t="s">
        <v>151</v>
      </c>
      <c r="G14" s="21">
        <v>0</v>
      </c>
      <c r="H14" s="21">
        <v>40</v>
      </c>
      <c r="I14" s="21">
        <f>G14-H14</f>
        <v>-40</v>
      </c>
      <c r="J14" s="20" t="s">
        <v>31</v>
      </c>
      <c r="K14" s="20" t="s">
        <v>31</v>
      </c>
      <c r="L14" s="20" t="s">
        <v>909</v>
      </c>
      <c r="M14" s="20"/>
      <c r="N14" s="20"/>
      <c r="O14" s="20"/>
      <c r="P14" s="20"/>
      <c r="Q14" s="20">
        <v>1</v>
      </c>
      <c r="R14" s="8">
        <f>H14</f>
        <v>40</v>
      </c>
    </row>
    <row r="15" spans="1:18" x14ac:dyDescent="0.25">
      <c r="A15" s="20" t="s">
        <v>26</v>
      </c>
      <c r="B15" s="20" t="s">
        <v>27</v>
      </c>
      <c r="C15" s="20" t="s">
        <v>40</v>
      </c>
      <c r="D15" s="20"/>
      <c r="E15" s="20" t="s">
        <v>41</v>
      </c>
      <c r="F15" s="20" t="s">
        <v>42</v>
      </c>
      <c r="G15" s="21">
        <v>4710</v>
      </c>
      <c r="H15" s="21">
        <v>50</v>
      </c>
      <c r="I15" s="21">
        <f>G15-H15</f>
        <v>4660</v>
      </c>
      <c r="J15" s="20" t="s">
        <v>31</v>
      </c>
      <c r="K15" s="20" t="s">
        <v>31</v>
      </c>
      <c r="L15" s="20" t="s">
        <v>909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27</v>
      </c>
      <c r="C16" s="20" t="s">
        <v>912</v>
      </c>
      <c r="D16" s="20" t="s">
        <v>913</v>
      </c>
      <c r="E16" s="20" t="s">
        <v>914</v>
      </c>
      <c r="F16" s="21">
        <v>3</v>
      </c>
      <c r="G16" s="21">
        <v>945</v>
      </c>
      <c r="H16" s="21">
        <v>25</v>
      </c>
      <c r="I16" s="21">
        <f>G16-H16</f>
        <v>920</v>
      </c>
      <c r="J16" s="20" t="s">
        <v>30</v>
      </c>
      <c r="K16" s="20" t="s">
        <v>31</v>
      </c>
      <c r="L16" s="20" t="s">
        <v>909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27</v>
      </c>
      <c r="C17" s="20" t="s">
        <v>915</v>
      </c>
      <c r="D17" s="20" t="s">
        <v>916</v>
      </c>
      <c r="E17" s="20" t="s">
        <v>917</v>
      </c>
      <c r="F17" s="21">
        <v>4</v>
      </c>
      <c r="G17" s="21">
        <v>0</v>
      </c>
      <c r="H17" s="21">
        <v>25</v>
      </c>
      <c r="I17" s="21">
        <f>G17-H17</f>
        <v>-25</v>
      </c>
      <c r="J17" s="20" t="s">
        <v>30</v>
      </c>
      <c r="K17" s="20" t="s">
        <v>31</v>
      </c>
      <c r="L17" s="20" t="s">
        <v>909</v>
      </c>
      <c r="M17" s="20"/>
      <c r="N17" s="20"/>
      <c r="O17" s="20"/>
      <c r="P17" s="20"/>
      <c r="Q17" s="20">
        <v>1</v>
      </c>
      <c r="R17" s="8">
        <f t="shared" ref="R17:R18" si="0">H17</f>
        <v>25</v>
      </c>
    </row>
    <row r="18" spans="1:18" x14ac:dyDescent="0.25">
      <c r="A18" s="20"/>
      <c r="B18" s="20" t="s">
        <v>27</v>
      </c>
      <c r="C18" s="20" t="s">
        <v>918</v>
      </c>
      <c r="D18" s="20" t="s">
        <v>919</v>
      </c>
      <c r="E18" s="20" t="s">
        <v>920</v>
      </c>
      <c r="F18" s="21">
        <v>3</v>
      </c>
      <c r="G18" s="21">
        <v>0</v>
      </c>
      <c r="H18" s="21">
        <v>25</v>
      </c>
      <c r="I18" s="21">
        <f>G18-H18</f>
        <v>-25</v>
      </c>
      <c r="J18" s="20" t="s">
        <v>30</v>
      </c>
      <c r="K18" s="20" t="s">
        <v>31</v>
      </c>
      <c r="L18" s="20" t="s">
        <v>909</v>
      </c>
      <c r="M18" s="20"/>
      <c r="N18" s="20"/>
      <c r="O18" s="20"/>
      <c r="P18" s="20"/>
      <c r="Q18" s="20">
        <v>1</v>
      </c>
      <c r="R18" s="8">
        <f t="shared" si="0"/>
        <v>25</v>
      </c>
    </row>
    <row r="19" spans="1:18" x14ac:dyDescent="0.25">
      <c r="A19" s="20"/>
      <c r="B19" s="20" t="s">
        <v>27</v>
      </c>
      <c r="C19" s="20" t="s">
        <v>926</v>
      </c>
      <c r="D19" s="20" t="s">
        <v>927</v>
      </c>
      <c r="E19" s="20" t="s">
        <v>928</v>
      </c>
      <c r="F19" s="21">
        <v>4</v>
      </c>
      <c r="G19" s="21">
        <v>485</v>
      </c>
      <c r="H19" s="21">
        <v>25</v>
      </c>
      <c r="I19" s="21">
        <f>G19-H19</f>
        <v>460</v>
      </c>
      <c r="J19" s="20" t="s">
        <v>30</v>
      </c>
      <c r="K19" s="20" t="s">
        <v>31</v>
      </c>
      <c r="L19" s="20" t="s">
        <v>909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27</v>
      </c>
      <c r="C20" s="20" t="s">
        <v>929</v>
      </c>
      <c r="D20" s="20" t="s">
        <v>930</v>
      </c>
      <c r="E20" s="20" t="s">
        <v>931</v>
      </c>
      <c r="F20" s="21">
        <v>7</v>
      </c>
      <c r="G20" s="21">
        <v>800</v>
      </c>
      <c r="H20" s="21">
        <v>30</v>
      </c>
      <c r="I20" s="21">
        <f>G20-H20</f>
        <v>770</v>
      </c>
      <c r="J20" s="20" t="s">
        <v>30</v>
      </c>
      <c r="K20" s="20" t="s">
        <v>31</v>
      </c>
      <c r="L20" s="20" t="s">
        <v>909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27</v>
      </c>
      <c r="C21" s="20" t="s">
        <v>487</v>
      </c>
      <c r="D21" s="20" t="s">
        <v>932</v>
      </c>
      <c r="E21" s="20" t="s">
        <v>489</v>
      </c>
      <c r="F21" s="21">
        <v>7</v>
      </c>
      <c r="G21" s="21">
        <v>490</v>
      </c>
      <c r="H21" s="21">
        <v>30</v>
      </c>
      <c r="I21" s="21">
        <f>G21-H21</f>
        <v>460</v>
      </c>
      <c r="J21" s="20" t="s">
        <v>30</v>
      </c>
      <c r="K21" s="20" t="s">
        <v>31</v>
      </c>
      <c r="L21" s="20" t="s">
        <v>909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27</v>
      </c>
      <c r="C22" s="20" t="s">
        <v>937</v>
      </c>
      <c r="D22" s="20" t="s">
        <v>938</v>
      </c>
      <c r="E22" s="20" t="s">
        <v>939</v>
      </c>
      <c r="F22" s="20" t="s">
        <v>125</v>
      </c>
      <c r="G22" s="21">
        <v>810</v>
      </c>
      <c r="H22" s="21">
        <v>20</v>
      </c>
      <c r="I22" s="21">
        <f>G22-H22</f>
        <v>790</v>
      </c>
      <c r="J22" s="20" t="s">
        <v>30</v>
      </c>
      <c r="K22" s="20" t="s">
        <v>31</v>
      </c>
      <c r="L22" s="20" t="s">
        <v>909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27</v>
      </c>
      <c r="C23" s="20" t="s">
        <v>940</v>
      </c>
      <c r="D23" s="20" t="s">
        <v>941</v>
      </c>
      <c r="E23" s="20" t="s">
        <v>942</v>
      </c>
      <c r="F23" s="21">
        <v>3</v>
      </c>
      <c r="G23" s="21">
        <v>0</v>
      </c>
      <c r="H23" s="21">
        <v>25</v>
      </c>
      <c r="I23" s="21">
        <f>G23-H23</f>
        <v>-25</v>
      </c>
      <c r="J23" s="20" t="s">
        <v>30</v>
      </c>
      <c r="K23" s="20" t="s">
        <v>31</v>
      </c>
      <c r="L23" s="20" t="s">
        <v>909</v>
      </c>
      <c r="M23" s="20"/>
      <c r="N23" s="20"/>
      <c r="O23" s="20"/>
      <c r="P23" s="20"/>
      <c r="Q23" s="20">
        <v>1</v>
      </c>
      <c r="R23" s="8">
        <f>H23</f>
        <v>25</v>
      </c>
    </row>
    <row r="24" spans="1:18" x14ac:dyDescent="0.25">
      <c r="A24" s="20"/>
      <c r="B24" s="20" t="s">
        <v>27</v>
      </c>
      <c r="C24" s="20" t="s">
        <v>943</v>
      </c>
      <c r="D24" s="20" t="s">
        <v>944</v>
      </c>
      <c r="E24" s="20" t="s">
        <v>945</v>
      </c>
      <c r="F24" s="21">
        <v>3</v>
      </c>
      <c r="G24" s="21">
        <v>815</v>
      </c>
      <c r="H24" s="21">
        <v>25</v>
      </c>
      <c r="I24" s="21">
        <f>G24-H24</f>
        <v>790</v>
      </c>
      <c r="J24" s="20" t="s">
        <v>30</v>
      </c>
      <c r="K24" s="20" t="s">
        <v>31</v>
      </c>
      <c r="L24" s="20" t="s">
        <v>909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27</v>
      </c>
      <c r="C25" s="20" t="s">
        <v>946</v>
      </c>
      <c r="D25" s="20" t="s">
        <v>947</v>
      </c>
      <c r="E25" s="20" t="s">
        <v>948</v>
      </c>
      <c r="F25" s="21">
        <v>7</v>
      </c>
      <c r="G25" s="21">
        <v>0</v>
      </c>
      <c r="H25" s="21">
        <v>30</v>
      </c>
      <c r="I25" s="21">
        <f>G25-H25</f>
        <v>-30</v>
      </c>
      <c r="J25" s="20" t="s">
        <v>30</v>
      </c>
      <c r="K25" s="20" t="s">
        <v>31</v>
      </c>
      <c r="L25" s="20" t="s">
        <v>909</v>
      </c>
      <c r="M25" s="20"/>
      <c r="N25" s="20"/>
      <c r="O25" s="20"/>
      <c r="P25" s="20"/>
      <c r="Q25" s="20">
        <v>1</v>
      </c>
      <c r="R25" s="8">
        <f>H25</f>
        <v>30</v>
      </c>
    </row>
    <row r="26" spans="1:18" x14ac:dyDescent="0.25">
      <c r="A26" s="20"/>
      <c r="B26" s="20" t="s">
        <v>27</v>
      </c>
      <c r="C26" s="20" t="s">
        <v>952</v>
      </c>
      <c r="D26" s="20" t="s">
        <v>953</v>
      </c>
      <c r="E26" s="20" t="s">
        <v>954</v>
      </c>
      <c r="F26" s="21">
        <v>7</v>
      </c>
      <c r="G26" s="21">
        <v>650</v>
      </c>
      <c r="H26" s="21">
        <v>30</v>
      </c>
      <c r="I26" s="21">
        <f>G26-H26</f>
        <v>620</v>
      </c>
      <c r="J26" s="20" t="s">
        <v>30</v>
      </c>
      <c r="K26" s="20" t="s">
        <v>31</v>
      </c>
      <c r="L26" s="20" t="s">
        <v>909</v>
      </c>
      <c r="M26" s="20"/>
      <c r="N26" s="20"/>
      <c r="O26" s="20"/>
      <c r="P26" s="20"/>
      <c r="Q26" s="20">
        <v>1</v>
      </c>
    </row>
    <row r="28" spans="1:18" x14ac:dyDescent="0.25">
      <c r="D28" s="9">
        <f>COUNTA(D3:D26)</f>
        <v>17</v>
      </c>
      <c r="G28" s="9">
        <f t="shared" ref="G28:Q28" si="1">SUBTOTAL(9,G3:G26)</f>
        <v>24055</v>
      </c>
      <c r="H28" s="9">
        <f t="shared" si="1"/>
        <v>715</v>
      </c>
      <c r="I28" s="9">
        <f t="shared" si="1"/>
        <v>23340</v>
      </c>
      <c r="J28" s="9">
        <f t="shared" si="1"/>
        <v>0</v>
      </c>
      <c r="K28" s="9">
        <f t="shared" si="1"/>
        <v>0</v>
      </c>
      <c r="L28" s="9">
        <f t="shared" si="1"/>
        <v>0</v>
      </c>
      <c r="M28" s="9">
        <f t="shared" si="1"/>
        <v>0</v>
      </c>
      <c r="N28" s="9">
        <f t="shared" si="1"/>
        <v>0</v>
      </c>
      <c r="O28" s="9">
        <f t="shared" si="1"/>
        <v>0</v>
      </c>
      <c r="P28" s="9">
        <f t="shared" si="1"/>
        <v>0</v>
      </c>
      <c r="Q28" s="9">
        <f t="shared" si="1"/>
        <v>24</v>
      </c>
    </row>
    <row r="29" spans="1:18" x14ac:dyDescent="0.25">
      <c r="H29">
        <f>-4*17</f>
        <v>-68</v>
      </c>
    </row>
    <row r="30" spans="1:18" x14ac:dyDescent="0.25">
      <c r="A30" s="9" t="s">
        <v>27</v>
      </c>
      <c r="C30" s="46" t="s">
        <v>189</v>
      </c>
      <c r="D30" s="46"/>
      <c r="E30" s="10" t="s">
        <v>190</v>
      </c>
      <c r="H30">
        <f>-2*25</f>
        <v>-50</v>
      </c>
      <c r="K30" s="11" t="s">
        <v>31</v>
      </c>
      <c r="L30" s="11" t="s">
        <v>191</v>
      </c>
      <c r="M30" s="11" t="s">
        <v>190</v>
      </c>
      <c r="O30" s="10" t="s">
        <v>192</v>
      </c>
    </row>
    <row r="31" spans="1:18" x14ac:dyDescent="0.25">
      <c r="A31" t="s">
        <v>909</v>
      </c>
      <c r="B31" s="12" t="s">
        <v>193</v>
      </c>
      <c r="C31" s="47">
        <f>SUMIFS(I$3:I$26,B$3:B$26,A$30,L$3:L$26,A$31)</f>
        <v>23340</v>
      </c>
      <c r="D31" s="47"/>
      <c r="E31" s="12">
        <f>SUMIFS(Q$3:Q$26,B$3:B$26,A$30,L$3:L$26,A$31)</f>
        <v>24</v>
      </c>
      <c r="F31" t="s">
        <v>194</v>
      </c>
      <c r="K31" t="s">
        <v>195</v>
      </c>
      <c r="L31">
        <f>SUMIFS(G$3:G$26,J$3:J$26,K$30)</f>
        <v>7420</v>
      </c>
      <c r="M31">
        <f>SUMIFS(Q$3:Q$26,J$3:J$26,K$30)-INT(COUNTIFS(J$3:J$26,K$30,M$3:M$26,"*gộp*")/2)</f>
        <v>7</v>
      </c>
      <c r="O31" t="s">
        <v>31</v>
      </c>
      <c r="P31">
        <f>L36</f>
        <v>7177</v>
      </c>
    </row>
    <row r="32" spans="1:18" x14ac:dyDescent="0.25">
      <c r="B32" s="13" t="s">
        <v>196</v>
      </c>
      <c r="C32" s="48">
        <v>0</v>
      </c>
      <c r="D32" s="48"/>
      <c r="K32" t="s">
        <v>197</v>
      </c>
      <c r="L32">
        <f>-SUMIFS(H$3:H$26,J$3:J$26,K$30)+M32*5</f>
        <v>-195</v>
      </c>
      <c r="M32">
        <f>SUMIFS(Q$3:Q$26,J$3:J$26,K$30)-INT(COUNTIFS(J$3:J$26,K$30,M$3:M$26,"*gộp*")/2)</f>
        <v>7</v>
      </c>
      <c r="O32" t="s">
        <v>30</v>
      </c>
      <c r="P32">
        <f>L44</f>
        <v>4760</v>
      </c>
    </row>
    <row r="33" spans="2:16" x14ac:dyDescent="0.25">
      <c r="B33" s="13" t="s">
        <v>199</v>
      </c>
      <c r="C33" s="48">
        <f>-SUMIFS(I$3:I$26,B$3:B$26,A$30,P$3:P$26,"xx",N$3:N$26,"x")</f>
        <v>0</v>
      </c>
      <c r="D33" s="48"/>
      <c r="E33" s="13">
        <f>SUMIFS(Q$3:Q$26,B$3:B$26,A$30,P$3:P$26,"xx",N$3:N$26,"x")</f>
        <v>0</v>
      </c>
      <c r="K33" t="s">
        <v>200</v>
      </c>
      <c r="L33">
        <f>-M33*2</f>
        <v>-48</v>
      </c>
      <c r="M33">
        <f>COUNTIFS(K$3:K$26,K$30,L$3:L$26,A$31)-(COUNTIFS(K$3:K$26,K$30,M$3:M$26,"*gộp*")/2)-COUNTIFS(K$3:K$26,K$30,M$3:M$26,"*đơn trả*")-COUNTIFS(K$3:K$26,K$30,M$3:M$26,"*hàng tỉnh*")</f>
        <v>24</v>
      </c>
      <c r="O33" t="s">
        <v>963</v>
      </c>
      <c r="P33">
        <f>L52</f>
        <v>11522</v>
      </c>
    </row>
    <row r="34" spans="2:16" x14ac:dyDescent="0.25">
      <c r="B34" s="10" t="s">
        <v>201</v>
      </c>
      <c r="C34" s="46">
        <f>SUBTOTAL(9,C31:C33)</f>
        <v>23340</v>
      </c>
      <c r="D34" s="46"/>
      <c r="E34">
        <f>E31</f>
        <v>24</v>
      </c>
      <c r="K34" s="14" t="s">
        <v>186</v>
      </c>
      <c r="O34" t="s">
        <v>203</v>
      </c>
      <c r="P34">
        <f>-C38</f>
        <v>-23340</v>
      </c>
    </row>
    <row r="35" spans="2:16" x14ac:dyDescent="0.25">
      <c r="B35" s="13" t="s">
        <v>204</v>
      </c>
      <c r="C35" s="44"/>
      <c r="D35" s="44"/>
      <c r="K35" s="13" t="s">
        <v>205</v>
      </c>
      <c r="O35" s="10" t="s">
        <v>206</v>
      </c>
      <c r="P35" s="10">
        <f>SUBTOTAL(9,P31:P34)</f>
        <v>119</v>
      </c>
    </row>
    <row r="36" spans="2:16" x14ac:dyDescent="0.25">
      <c r="B36" s="15" t="s">
        <v>207</v>
      </c>
      <c r="C36" s="44"/>
      <c r="D36" s="44"/>
      <c r="L36" s="16">
        <f>SUBTOTAL(9,L31:L35)</f>
        <v>7177</v>
      </c>
      <c r="M36" s="16">
        <f>M31</f>
        <v>7</v>
      </c>
    </row>
    <row r="38" spans="2:16" x14ac:dyDescent="0.25">
      <c r="B38" s="9" t="s">
        <v>208</v>
      </c>
      <c r="C38" s="45">
        <f>C34+C35+C36</f>
        <v>23340</v>
      </c>
      <c r="D38" s="45"/>
      <c r="E38" s="9" t="s">
        <v>209</v>
      </c>
      <c r="K38" s="11" t="s">
        <v>30</v>
      </c>
      <c r="L38" s="11" t="s">
        <v>191</v>
      </c>
      <c r="M38" s="11" t="s">
        <v>190</v>
      </c>
    </row>
    <row r="39" spans="2:16" x14ac:dyDescent="0.25">
      <c r="K39" t="s">
        <v>195</v>
      </c>
      <c r="L39">
        <f>SUMIFS(G$3:G$26,J$3:J$26,K$38)</f>
        <v>4995</v>
      </c>
      <c r="M39">
        <f>SUMIFS(Q$3:Q$26,J$3:J$26,K$38)-INT(COUNTIFS(J$3:J$26,K$38,M$3:M$26,"*gộp*")/2)</f>
        <v>11</v>
      </c>
    </row>
    <row r="40" spans="2:16" x14ac:dyDescent="0.25">
      <c r="K40" t="s">
        <v>197</v>
      </c>
      <c r="L40">
        <f>-SUMIFS(H$3:H$26,J$3:J$26,K$38)+M40*5</f>
        <v>-235</v>
      </c>
      <c r="M40">
        <f>SUMIFS(Q$3:Q$26,J$3:J$26,K$38)-INT(COUNTIFS(J$3:J$26,K$38,M$3:M$26,"*gộp*")/2)</f>
        <v>11</v>
      </c>
    </row>
    <row r="41" spans="2:16" x14ac:dyDescent="0.25">
      <c r="K41" t="s">
        <v>200</v>
      </c>
      <c r="L41">
        <f>-M41*2</f>
        <v>0</v>
      </c>
      <c r="M41">
        <f>COUNTIFS(K$3:K$26,K$38,L$3:L$26,A$31)-(COUNTIFS(K$3:K$26,K$38,M$3:M$26,"*gộp*")/2)-COUNTIFS(K$3:K$26,K$38,M$3:M$26,"*đơn trả*")-COUNTIFS(K$3:K$26,K$38,M$3:M$26,"*hàng tỉnh*")</f>
        <v>0</v>
      </c>
    </row>
    <row r="42" spans="2:16" x14ac:dyDescent="0.25">
      <c r="K42" s="14" t="s">
        <v>186</v>
      </c>
    </row>
    <row r="43" spans="2:16" x14ac:dyDescent="0.25">
      <c r="K43" s="13" t="s">
        <v>205</v>
      </c>
    </row>
    <row r="44" spans="2:16" x14ac:dyDescent="0.25">
      <c r="L44" s="16">
        <f>SUBTOTAL(9,L39:L43)</f>
        <v>4760</v>
      </c>
      <c r="M44" s="16">
        <f>M39</f>
        <v>11</v>
      </c>
    </row>
    <row r="46" spans="2:16" x14ac:dyDescent="0.25">
      <c r="K46" s="11" t="s">
        <v>936</v>
      </c>
      <c r="L46" s="11" t="s">
        <v>191</v>
      </c>
      <c r="M46" s="11" t="s">
        <v>190</v>
      </c>
    </row>
    <row r="47" spans="2:16" x14ac:dyDescent="0.25">
      <c r="K47" t="s">
        <v>195</v>
      </c>
      <c r="L47">
        <f>SUMIFS(G$3:G$26,J$3:J$26,K$46)</f>
        <v>11640</v>
      </c>
      <c r="M47">
        <f>SUMIFS(Q$3:Q$26,J$3:J$26,K$46)-INT(COUNTIFS(J$3:J$26,K$46,M$3:M$26,"*gộp*")/2)</f>
        <v>6</v>
      </c>
    </row>
    <row r="48" spans="2:16" x14ac:dyDescent="0.25">
      <c r="K48" t="s">
        <v>197</v>
      </c>
      <c r="L48">
        <f>SUM(H29:H30)</f>
        <v>-118</v>
      </c>
      <c r="M48">
        <f>SUMIFS(Q$3:Q$26,J$3:J$26,K$46)-INT(COUNTIFS(J$3:J$26,K$46,M$3:M$26,"*gộp*")/2)</f>
        <v>6</v>
      </c>
    </row>
    <row r="49" spans="11:13" x14ac:dyDescent="0.25">
      <c r="K49" t="s">
        <v>200</v>
      </c>
      <c r="L49">
        <f>-M49*2</f>
        <v>0</v>
      </c>
      <c r="M49">
        <f>COUNTIFS(K$3:K$26,K$46,L$3:L$26,A$31)-(COUNTIFS(K$3:K$26,K$46,M$3:M$26,"*gộp*")/2)-COUNTIFS(K$3:K$26,K$46,M$3:M$26,"*đơn trả*")-COUNTIFS(K$3:K$26,K$46,M$3:M$26,"*hàng tỉnh*")</f>
        <v>0</v>
      </c>
    </row>
    <row r="50" spans="11:13" x14ac:dyDescent="0.25">
      <c r="K50" s="14" t="s">
        <v>186</v>
      </c>
    </row>
    <row r="51" spans="11:13" x14ac:dyDescent="0.25">
      <c r="K51" s="13" t="s">
        <v>205</v>
      </c>
    </row>
    <row r="52" spans="11:13" x14ac:dyDescent="0.25">
      <c r="L52" s="16">
        <f>SUBTOTAL(9,L47:L51)</f>
        <v>11522</v>
      </c>
      <c r="M52" s="16">
        <f>M47</f>
        <v>6</v>
      </c>
    </row>
  </sheetData>
  <autoFilter ref="A2:P26" xr:uid="{00000000-0009-0000-0000-000000000000}">
    <sortState xmlns:xlrd2="http://schemas.microsoft.com/office/spreadsheetml/2017/richdata2" ref="A3:P26">
      <sortCondition ref="J2:J26"/>
    </sortState>
  </autoFilter>
  <mergeCells count="8">
    <mergeCell ref="C36:D36"/>
    <mergeCell ref="C38:D38"/>
    <mergeCell ref="C30:D30"/>
    <mergeCell ref="C31:D31"/>
    <mergeCell ref="C32:D32"/>
    <mergeCell ref="C33:D33"/>
    <mergeCell ref="C34:D34"/>
    <mergeCell ref="C35:D35"/>
  </mergeCells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01-10</vt:lpstr>
      <vt:lpstr>02-10</vt:lpstr>
      <vt:lpstr>03-10</vt:lpstr>
      <vt:lpstr>05-10</vt:lpstr>
      <vt:lpstr>06-10</vt:lpstr>
      <vt:lpstr>07-10</vt:lpstr>
      <vt:lpstr>08-10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2026-10-08T08:04:44Z</dcterms:modified>
</cp:coreProperties>
</file>