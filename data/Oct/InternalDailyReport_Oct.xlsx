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40C046F6-7BC3-4544-A595-BD982D1D058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" i="29" l="1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C44" i="29" l="1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B13" i="23"/>
  <c r="D16" i="23" a="1"/>
  <c r="B19" i="23"/>
  <c r="B12" i="23"/>
  <c r="D25" i="23" a="1"/>
  <c r="C13" i="23"/>
  <c r="D24" i="23" a="1"/>
  <c r="B14" i="23"/>
  <c r="C15" i="23"/>
  <c r="D27" i="23" a="1"/>
  <c r="B26" i="23"/>
  <c r="D19" i="23" a="1"/>
  <c r="D11" i="23" a="1"/>
  <c r="D26" i="23" a="1"/>
  <c r="B21" i="23"/>
  <c r="C11" i="23"/>
  <c r="C19" i="23"/>
  <c r="C24" i="23"/>
  <c r="B24" i="23"/>
  <c r="C12" i="23"/>
  <c r="D28" i="23" a="1"/>
  <c r="D13" i="23" a="1"/>
  <c r="D23" i="23" a="1"/>
  <c r="C18" i="23"/>
  <c r="B23" i="23"/>
  <c r="D22" i="23" a="1"/>
  <c r="D9" i="23" a="1"/>
  <c r="B27" i="23"/>
  <c r="D12" i="23" a="1"/>
  <c r="B16" i="23"/>
  <c r="B11" i="23"/>
  <c r="B10" i="23"/>
  <c r="D10" i="23" a="1"/>
  <c r="C22" i="23"/>
  <c r="B20" i="23"/>
  <c r="D20" i="23" a="1"/>
  <c r="B9" i="23"/>
  <c r="B28" i="23"/>
  <c r="D15" i="23" a="1"/>
  <c r="B18" i="23"/>
  <c r="D21" i="23" a="1"/>
  <c r="C26" i="23"/>
  <c r="C14" i="23"/>
  <c r="C21" i="23"/>
  <c r="B17" i="23"/>
  <c r="B22" i="23"/>
  <c r="C28" i="23"/>
  <c r="D14" i="23" a="1"/>
  <c r="C27" i="23"/>
  <c r="C10" i="23"/>
  <c r="D18" i="23" a="1"/>
  <c r="C23" i="23"/>
  <c r="B15" i="23"/>
  <c r="C25" i="23"/>
  <c r="B25" i="23"/>
  <c r="C20" i="23"/>
  <c r="C9" i="23"/>
  <c r="C17" i="23"/>
  <c r="A3" i="23" a="1"/>
  <c r="C16" i="23"/>
  <c r="D17" i="23" a="1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1" i="23"/>
  <c r="E11" i="23" s="1"/>
  <c r="D19" i="23"/>
  <c r="E19" i="23" s="1"/>
  <c r="D14" i="23"/>
  <c r="E14" i="23" s="1"/>
  <c r="D18" i="23"/>
  <c r="E18" i="23" s="1"/>
  <c r="D9" i="23"/>
  <c r="E9" i="23" s="1"/>
  <c r="D16" i="23"/>
  <c r="E16" i="23" s="1"/>
  <c r="D13" i="23"/>
  <c r="E13" i="23" s="1"/>
  <c r="D23" i="23"/>
  <c r="E23" i="23" s="1"/>
  <c r="D27" i="23"/>
  <c r="E27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10" i="23"/>
  <c r="E10" i="23" s="1"/>
  <c r="D15" i="23"/>
  <c r="E15" i="23" s="1"/>
  <c r="D20" i="23"/>
  <c r="E20" i="23" s="1"/>
  <c r="D21" i="23"/>
  <c r="E21" i="23" s="1"/>
  <c r="D12" i="23"/>
  <c r="E12" i="23" s="1"/>
  <c r="A3" i="23"/>
  <c r="C8" i="23"/>
  <c r="D6" i="23" a="1"/>
  <c r="C6" i="23"/>
  <c r="D5" i="23" a="1"/>
  <c r="B8" i="23"/>
  <c r="D4" i="23" a="1"/>
  <c r="B5" i="23"/>
  <c r="B4" i="23"/>
  <c r="D8" i="23" a="1"/>
  <c r="B7" i="23"/>
  <c r="C4" i="23"/>
  <c r="D7" i="23" a="1"/>
  <c r="B6" i="23"/>
  <c r="C7" i="23"/>
  <c r="C5" i="23"/>
  <c r="D8" i="23" l="1"/>
  <c r="E8" i="23" s="1"/>
  <c r="D7" i="23"/>
  <c r="E7" i="23" s="1"/>
  <c r="D6" i="23"/>
  <c r="E6" i="23" s="1"/>
  <c r="D5" i="23"/>
  <c r="E5" i="23" s="1"/>
  <c r="D4" i="23"/>
  <c r="E4" i="23" s="1"/>
  <c r="P62" i="24"/>
  <c r="B3" i="23"/>
  <c r="E30" i="23" a="1"/>
  <c r="D3" i="23" a="1"/>
  <c r="C3" i="23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<sst xmlns="http://schemas.openxmlformats.org/spreadsheetml/2006/main" count="2657" uniqueCount="903">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</sst>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48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8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/>
      <c r="B9" s="4">
        <f t="shared" ca="1" si="1"/>
        <v>0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0</v>
      </c>
      <c r="E9" s="4">
        <f t="shared" ca="1" si="0"/>
        <v>0</v>
      </c>
    </row>
    <row r="10" spans="1:5" x14ac:dyDescent="0.25">
      <c r="A10" s="3"/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0</v>
      </c>
    </row>
    <row r="11" spans="1:5" x14ac:dyDescent="0.25">
      <c r="A11" s="3"/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0</v>
      </c>
      <c r="E11" s="4">
        <f t="shared" ca="1" si="0"/>
        <v>0</v>
      </c>
    </row>
    <row r="12" spans="1:5" x14ac:dyDescent="0.25">
      <c r="A12" s="3"/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IFERROR(SUM(COUNTIF(INDIRECT("'"&amp;A12&amp;"'!M3:M200"),{"*đơn trả*","*hàng tỉnh*"})),0)</f>
        <v>0</v>
      </c>
      <c r="E12" s="4">
        <f t="shared" ca="1" si="0"/>
        <v>0</v>
      </c>
    </row>
    <row r="13" spans="1:5" x14ac:dyDescent="0.25">
      <c r="A13" s="3"/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IFERROR(SUM(COUNTIF(INDIRECT("'"&amp;A13&amp;"'!M3:M200"),{"*đơn trả*","*hàng tỉnh*"})),0)</f>
        <v>0</v>
      </c>
      <c r="E13" s="4">
        <f t="shared" ca="1" si="0"/>
        <v>0</v>
      </c>
    </row>
    <row r="14" spans="1:5" x14ac:dyDescent="0.25">
      <c r="A14" s="3"/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IFERROR(SUM(COUNTIF(INDIRECT("'"&amp;A14&amp;"'!M3:M200"),{"*đơn trả*","*hàng tỉnh*"})),0)</f>
        <v>0</v>
      </c>
      <c r="E14" s="4">
        <f t="shared" ca="1" si="0"/>
        <v>0</v>
      </c>
    </row>
    <row r="15" spans="1:5" x14ac:dyDescent="0.25">
      <c r="A15" s="3"/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0</v>
      </c>
    </row>
    <row r="16" spans="1:5" x14ac:dyDescent="0.25">
      <c r="A16" s="3"/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0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280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1229</v>
      </c>
    </row>
    <row r="31" spans="1:5" x14ac:dyDescent="0.25">
      <c r="D31" s="5" t="s">
        <v>7</v>
      </c>
      <c r="E31" s="5">
        <f ca="1">-E29*2</f>
        <v>-560</v>
      </c>
    </row>
    <row r="32" spans="1:5" x14ac:dyDescent="0.25">
      <c r="D32" s="5" t="s">
        <v>8</v>
      </c>
      <c r="E32" s="5">
        <f ca="1">SUBTOTAL(9,E30:E31)</f>
        <v>669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topLeftCell="A48" zoomScale="90" zoomScaleNormal="90" workbookViewId="0">
      <selection activeCell="M79" activeCellId="3" sqref="B3:B51 M63 M71 M79"/>
    </sheetView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45" t="s">
        <v>189</v>
      </c>
      <c r="D57" s="45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46">
        <f>SUMIFS(I$3:I$53,B$3:B$53,A$57,L$3:L$53,A$58)</f>
        <v>35480</v>
      </c>
      <c r="D58" s="46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47">
        <v>0</v>
      </c>
      <c r="D59" s="47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47">
        <f>-SUMIFS(I$3:I$53,B$3:B$53,A$57,P$3:P$53,"xx",N$3:N$53,"x")</f>
        <v>-1485</v>
      </c>
      <c r="D60" s="47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45">
        <f>SUBTOTAL(9,C58:C60)</f>
        <v>33995</v>
      </c>
      <c r="D61" s="45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3"/>
      <c r="D62" s="43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3"/>
      <c r="D63" s="43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44">
        <f>C61+C62+C63</f>
        <v>33995</v>
      </c>
      <c r="D65" s="44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45" t="s">
        <v>189</v>
      </c>
      <c r="D54" s="45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46">
        <f>SUMIFS(I$3:I$50,B$3:B$50,A$54,L$3:L$50,A$55)</f>
        <v>33160</v>
      </c>
      <c r="D55" s="46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47">
        <v>0</v>
      </c>
      <c r="D56" s="47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47">
        <f>-SUMIFS(I$3:I$50,B$3:B$50,A$54,P$3:P$50,"xx",N$3:N$50,"x")</f>
        <v>-15</v>
      </c>
      <c r="D57" s="47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45">
        <f>SUBTOTAL(9,C55:C57)</f>
        <v>33145</v>
      </c>
      <c r="D58" s="45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3"/>
      <c r="D60" s="43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3"/>
      <c r="D61" s="43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44">
        <f>C58+C60+C61</f>
        <v>33145</v>
      </c>
      <c r="D63" s="44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45" t="s">
        <v>189</v>
      </c>
      <c r="D38" s="45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46">
        <f>SUMIFS(I$3:I$34,B$3:B$34,A$38,L$3:L$34,A$39)</f>
        <v>20240</v>
      </c>
      <c r="D39" s="46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47">
        <v>0</v>
      </c>
      <c r="D40" s="47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47">
        <f>-SUMIFS(I$3:I$34,B$3:B$34,A$38,P$3:P$34,"xx",N$3:N$34,"x")</f>
        <v>-730</v>
      </c>
      <c r="D41" s="47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45">
        <f>SUBTOTAL(9,C39:C41)</f>
        <v>19510</v>
      </c>
      <c r="D42" s="45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3"/>
      <c r="D43" s="43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3"/>
      <c r="D44" s="43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44">
        <f>C42+C43+C44</f>
        <v>19510</v>
      </c>
      <c r="D46" s="44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45" t="s">
        <v>189</v>
      </c>
      <c r="D88" s="45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46">
        <f>SUMIFS(I$3:I$84,B$3:B$84,A$88,L$3:L$84,A$89)</f>
        <v>59285</v>
      </c>
      <c r="D89" s="46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47">
        <v>0</v>
      </c>
      <c r="D90" s="47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47">
        <f>-SUMIFS(I$3:I$84,B$3:B$84,A$88,P$3:P$84,"xx",N$3:N$84,"x")</f>
        <v>-3490</v>
      </c>
      <c r="D91" s="47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45">
        <f>SUBTOTAL(9,C89:C91)</f>
        <v>55795</v>
      </c>
      <c r="D92" s="45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3"/>
      <c r="D93" s="43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3"/>
      <c r="D94" s="43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44">
        <f>C92+C93+C94</f>
        <v>55795</v>
      </c>
      <c r="D96" s="44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45" t="s">
        <v>189</v>
      </c>
      <c r="D51" s="45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46">
        <f>SUMIFS(I$3:I$47,B$3:B$47,A$51,L$3:L$47,A$52)</f>
        <v>26130</v>
      </c>
      <c r="D52" s="46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47">
        <v>0</v>
      </c>
      <c r="D53" s="47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47">
        <f>-SUMIFS(I$3:I$47,B$3:B$47,A$51,P$3:P$47,"xx",N$3:N$47,"x")</f>
        <v>-2495</v>
      </c>
      <c r="D54" s="47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45">
        <f>SUBTOTAL(9,C52:C54)</f>
        <v>23635</v>
      </c>
      <c r="D55" s="45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3"/>
      <c r="D56" s="43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3"/>
      <c r="D57" s="43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44">
        <f>C55+C56+C57</f>
        <v>23635</v>
      </c>
      <c r="D59" s="44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tabSelected="1"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825</v>
      </c>
      <c r="H4" s="21">
        <v>35</v>
      </c>
      <c r="I4" s="21">
        <f t="shared" si="0"/>
        <v>790</v>
      </c>
      <c r="J4" s="20" t="s">
        <v>810</v>
      </c>
      <c r="K4" s="20" t="s">
        <v>31</v>
      </c>
      <c r="L4" s="20" t="s">
        <v>798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1340</v>
      </c>
      <c r="H14" s="21">
        <v>20</v>
      </c>
      <c r="I14" s="21">
        <f t="shared" si="0"/>
        <v>1320</v>
      </c>
      <c r="J14" s="20" t="s">
        <v>31</v>
      </c>
      <c r="K14" s="20" t="s">
        <v>31</v>
      </c>
      <c r="L14" s="20" t="s">
        <v>798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760</v>
      </c>
      <c r="H39" s="21">
        <v>30</v>
      </c>
      <c r="I39" s="21">
        <f t="shared" si="0"/>
        <v>730</v>
      </c>
      <c r="J39" s="20" t="s">
        <v>30</v>
      </c>
      <c r="K39" s="20" t="s">
        <v>31</v>
      </c>
      <c r="L39" s="20" t="s">
        <v>798</v>
      </c>
      <c r="M39" s="20"/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30380</v>
      </c>
      <c r="H41" s="9">
        <f t="shared" si="2"/>
        <v>1000</v>
      </c>
      <c r="I41" s="9">
        <f t="shared" si="2"/>
        <v>29380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45" t="s">
        <v>189</v>
      </c>
      <c r="D43" s="45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46">
        <f>SUMIFS(I$3:I$39,B$3:B$39,A$43,L$3:L$39,A$44)</f>
        <v>29380</v>
      </c>
      <c r="D44" s="46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12560</v>
      </c>
      <c r="M44">
        <f>SUMIFS(Q$3:Q$39,J$3:J$39,K$43)-INT(COUNTIFS(J$3:J$39,K$43,M$3:M$39,"*gộp*")/2)</f>
        <v>13</v>
      </c>
      <c r="O44" t="s">
        <v>30</v>
      </c>
      <c r="P44">
        <f>L49</f>
        <v>12280</v>
      </c>
    </row>
    <row r="45" spans="1:18" x14ac:dyDescent="0.25">
      <c r="B45" s="13" t="s">
        <v>196</v>
      </c>
      <c r="C45" s="47">
        <v>0</v>
      </c>
      <c r="D45" s="47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6053</v>
      </c>
    </row>
    <row r="46" spans="1:18" x14ac:dyDescent="0.25">
      <c r="B46" s="13" t="s">
        <v>199</v>
      </c>
      <c r="C46" s="47">
        <f>-SUMIFS(I$3:I$39,B$3:B$39,A$43,P$3:P$39,"xx",N$3:N$39,"x")</f>
        <v>0</v>
      </c>
      <c r="D46" s="47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11193</v>
      </c>
    </row>
    <row r="47" spans="1:18" x14ac:dyDescent="0.25">
      <c r="B47" s="10" t="s">
        <v>201</v>
      </c>
      <c r="C47" s="45">
        <f>SUBTOTAL(9,C44:C46)</f>
        <v>29380</v>
      </c>
      <c r="D47" s="45"/>
      <c r="E47">
        <f>E44</f>
        <v>37</v>
      </c>
      <c r="K47" s="14" t="s">
        <v>186</v>
      </c>
      <c r="O47" t="s">
        <v>203</v>
      </c>
      <c r="P47">
        <f>-C51</f>
        <v>-29380</v>
      </c>
    </row>
    <row r="48" spans="1:18" x14ac:dyDescent="0.25">
      <c r="B48" s="13" t="s">
        <v>204</v>
      </c>
      <c r="C48" s="43"/>
      <c r="D48" s="43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43"/>
      <c r="D49" s="43"/>
      <c r="L49" s="16">
        <f>SUBTOTAL(9,L44:L48)</f>
        <v>12280</v>
      </c>
      <c r="M49" s="16">
        <f>M44</f>
        <v>13</v>
      </c>
    </row>
    <row r="51" spans="2:13" x14ac:dyDescent="0.25">
      <c r="B51" s="9" t="s">
        <v>208</v>
      </c>
      <c r="C51" s="44">
        <f>C47+C48+C49</f>
        <v>29380</v>
      </c>
      <c r="D51" s="44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6395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6053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11425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11193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01-10</vt:lpstr>
      <vt:lpstr>02-10</vt:lpstr>
      <vt:lpstr>03-10</vt:lpstr>
      <vt:lpstr>05-10</vt:lpstr>
      <vt:lpstr>06-10</vt:lpstr>
      <vt:lpstr>07-10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2026-10-08T02:08:02Z</dcterms:modified>
</cp:coreProperties>
</file>