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FE4F8127-132A-41D5-9146-2828FEA5E497}" xr6:coauthVersionLast="47" xr6:coauthVersionMax="47" xr10:uidLastSave="{00000000-0000-0000-0000-000000000000}"/>
  <bookViews>
    <workbookView xWindow="-120" yWindow="-120" windowWidth="29040" windowHeight="15720" activeTab="14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  <sheet name="08-10" sheetId="30" r:id="rId8"/>
    <sheet name="09-10" sheetId="31" r:id="rId9"/>
    <sheet name="10-10" sheetId="32" r:id="rId10"/>
    <sheet name="12-10" sheetId="33" r:id="rId11"/>
    <sheet name="13-10" sheetId="34" r:id="rId12"/>
    <sheet name="14-10" sheetId="35" r:id="rId13"/>
    <sheet name="15-10" sheetId="36" r:id="rId14"/>
    <sheet name="16-10" sheetId="37" r:id="rId15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7" hidden="1">'08-10'!$A$2:$P$26</definedName>
    <definedName name="_xlnm._FilterDatabase" localSheetId="8" hidden="1">'09-10'!$A$2:$P$39</definedName>
    <definedName name="_xlnm._FilterDatabase" localSheetId="9" hidden="1">'10-10'!$A$2:$P$35</definedName>
    <definedName name="_xlnm._FilterDatabase" localSheetId="10" hidden="1">'12-10'!$A$2:$P$55</definedName>
    <definedName name="_xlnm._FilterDatabase" localSheetId="11" hidden="1">'13-10'!$A$2:$P$53</definedName>
    <definedName name="_xlnm._FilterDatabase" localSheetId="12" hidden="1">'14-10'!$A$2:$P$60</definedName>
    <definedName name="_xlnm._FilterDatabase" localSheetId="13" hidden="1">'15-10'!$A$2:$P$43</definedName>
    <definedName name="_xlnm._FilterDatabase" localSheetId="14" hidden="1">'16-10'!$A$2:$P$48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37" l="1"/>
  <c r="R10" i="37"/>
  <c r="R48" i="37"/>
  <c r="R47" i="37"/>
  <c r="R45" i="37"/>
  <c r="R39" i="37"/>
  <c r="R38" i="37"/>
  <c r="R33" i="37"/>
  <c r="R32" i="37"/>
  <c r="R31" i="37"/>
  <c r="R30" i="37"/>
  <c r="R21" i="37"/>
  <c r="R19" i="37"/>
  <c r="R18" i="37"/>
  <c r="R17" i="37"/>
  <c r="R16" i="37"/>
  <c r="R15" i="37"/>
  <c r="R3" i="37"/>
  <c r="M71" i="37"/>
  <c r="L71" i="37" s="1"/>
  <c r="M70" i="37"/>
  <c r="L70" i="37" s="1"/>
  <c r="M69" i="37"/>
  <c r="M74" i="37" s="1"/>
  <c r="L69" i="37"/>
  <c r="M63" i="37"/>
  <c r="L63" i="37" s="1"/>
  <c r="M62" i="37"/>
  <c r="M61" i="37"/>
  <c r="M66" i="37" s="1"/>
  <c r="L61" i="37"/>
  <c r="M55" i="37"/>
  <c r="L55" i="37" s="1"/>
  <c r="E55" i="37"/>
  <c r="C55" i="37"/>
  <c r="M54" i="37"/>
  <c r="L54" i="37" s="1"/>
  <c r="M53" i="37"/>
  <c r="M58" i="37" s="1"/>
  <c r="L53" i="37"/>
  <c r="H53" i="37"/>
  <c r="E53" i="37"/>
  <c r="E56" i="37" s="1"/>
  <c r="H52" i="37"/>
  <c r="H51" i="37"/>
  <c r="Q50" i="37"/>
  <c r="P50" i="37"/>
  <c r="O50" i="37"/>
  <c r="N50" i="37"/>
  <c r="M50" i="37"/>
  <c r="L50" i="37"/>
  <c r="K50" i="37"/>
  <c r="J50" i="37"/>
  <c r="H50" i="37"/>
  <c r="G50" i="37"/>
  <c r="D50" i="37"/>
  <c r="I48" i="37"/>
  <c r="I47" i="37"/>
  <c r="I32" i="37"/>
  <c r="I17" i="37"/>
  <c r="I31" i="37"/>
  <c r="I16" i="37"/>
  <c r="I46" i="37"/>
  <c r="I15" i="37"/>
  <c r="I14" i="37"/>
  <c r="I30" i="37"/>
  <c r="I25" i="37"/>
  <c r="I29" i="37"/>
  <c r="I28" i="37"/>
  <c r="I45" i="37"/>
  <c r="I27" i="37"/>
  <c r="I44" i="37"/>
  <c r="I13" i="37"/>
  <c r="I12" i="37"/>
  <c r="I43" i="37"/>
  <c r="I26" i="37"/>
  <c r="I11" i="37"/>
  <c r="I10" i="37"/>
  <c r="I9" i="37"/>
  <c r="I24" i="37"/>
  <c r="I42" i="37"/>
  <c r="I41" i="37"/>
  <c r="I40" i="37"/>
  <c r="I39" i="37"/>
  <c r="I38" i="37"/>
  <c r="I23" i="37"/>
  <c r="I8" i="37"/>
  <c r="I37" i="37"/>
  <c r="I7" i="37"/>
  <c r="I36" i="37"/>
  <c r="I35" i="37"/>
  <c r="I6" i="37"/>
  <c r="I34" i="37"/>
  <c r="I22" i="37"/>
  <c r="I5" i="37"/>
  <c r="I21" i="37"/>
  <c r="I33" i="37"/>
  <c r="I4" i="37"/>
  <c r="I20" i="37"/>
  <c r="I19" i="37"/>
  <c r="I3" i="37"/>
  <c r="I18" i="37"/>
  <c r="R42" i="36"/>
  <c r="R28" i="36"/>
  <c r="R27" i="36"/>
  <c r="R25" i="36"/>
  <c r="R23" i="36"/>
  <c r="R19" i="36"/>
  <c r="R17" i="36"/>
  <c r="R14" i="36"/>
  <c r="R13" i="36"/>
  <c r="R11" i="36"/>
  <c r="R10" i="36"/>
  <c r="R9" i="36"/>
  <c r="R6" i="36"/>
  <c r="R4" i="36"/>
  <c r="M66" i="36"/>
  <c r="L66" i="36" s="1"/>
  <c r="M65" i="36"/>
  <c r="M64" i="36"/>
  <c r="M69" i="36" s="1"/>
  <c r="L64" i="36"/>
  <c r="M58" i="36"/>
  <c r="L58" i="36" s="1"/>
  <c r="M57" i="36"/>
  <c r="L57" i="36" s="1"/>
  <c r="M56" i="36"/>
  <c r="M61" i="36" s="1"/>
  <c r="L56" i="36"/>
  <c r="M50" i="36"/>
  <c r="L50" i="36" s="1"/>
  <c r="E50" i="36"/>
  <c r="C50" i="36"/>
  <c r="M49" i="36"/>
  <c r="L49" i="36" s="1"/>
  <c r="M48" i="36"/>
  <c r="M53" i="36" s="1"/>
  <c r="L48" i="36"/>
  <c r="H48" i="36"/>
  <c r="E48" i="36"/>
  <c r="E51" i="36" s="1"/>
  <c r="H47" i="36"/>
  <c r="H46" i="36"/>
  <c r="L65" i="36" s="1"/>
  <c r="Q45" i="36"/>
  <c r="P45" i="36"/>
  <c r="O45" i="36"/>
  <c r="N45" i="36"/>
  <c r="M45" i="36"/>
  <c r="L45" i="36"/>
  <c r="K45" i="36"/>
  <c r="J45" i="36"/>
  <c r="H45" i="36"/>
  <c r="G45" i="36"/>
  <c r="D45" i="36"/>
  <c r="I13" i="36"/>
  <c r="I12" i="36"/>
  <c r="I43" i="36"/>
  <c r="I42" i="36"/>
  <c r="I28" i="36"/>
  <c r="I41" i="36"/>
  <c r="I27" i="36"/>
  <c r="I26" i="36"/>
  <c r="I25" i="36"/>
  <c r="I24" i="36"/>
  <c r="I23" i="36"/>
  <c r="I11" i="36"/>
  <c r="I40" i="36"/>
  <c r="I10" i="36"/>
  <c r="I22" i="36"/>
  <c r="I39" i="36"/>
  <c r="I9" i="36"/>
  <c r="I8" i="36"/>
  <c r="I38" i="36"/>
  <c r="I21" i="36"/>
  <c r="I37" i="36"/>
  <c r="I7" i="36"/>
  <c r="I6" i="36"/>
  <c r="I20" i="36"/>
  <c r="I36" i="36"/>
  <c r="I5" i="36"/>
  <c r="I35" i="36"/>
  <c r="I34" i="36"/>
  <c r="I19" i="36"/>
  <c r="I18" i="36"/>
  <c r="I17" i="36"/>
  <c r="I16" i="36"/>
  <c r="I15" i="36"/>
  <c r="I33" i="36"/>
  <c r="I32" i="36"/>
  <c r="I31" i="36"/>
  <c r="I4" i="36"/>
  <c r="I30" i="36"/>
  <c r="I3" i="36"/>
  <c r="I14" i="36"/>
  <c r="I29" i="36"/>
  <c r="I63" i="35"/>
  <c r="I59" i="35"/>
  <c r="R48" i="35"/>
  <c r="R43" i="35"/>
  <c r="R33" i="35"/>
  <c r="R56" i="35"/>
  <c r="R55" i="35"/>
  <c r="R51" i="35"/>
  <c r="R45" i="35"/>
  <c r="R39" i="35"/>
  <c r="R36" i="35"/>
  <c r="R32" i="35"/>
  <c r="R31" i="35"/>
  <c r="R27" i="35"/>
  <c r="R23" i="35"/>
  <c r="R22" i="35"/>
  <c r="R21" i="35"/>
  <c r="R18" i="35"/>
  <c r="R16" i="35"/>
  <c r="R13" i="35"/>
  <c r="M83" i="35"/>
  <c r="L83" i="35" s="1"/>
  <c r="M82" i="35"/>
  <c r="M81" i="35"/>
  <c r="M86" i="35" s="1"/>
  <c r="L81" i="35"/>
  <c r="M75" i="35"/>
  <c r="L75" i="35" s="1"/>
  <c r="M74" i="35"/>
  <c r="L74" i="35" s="1"/>
  <c r="M73" i="35"/>
  <c r="M78" i="35" s="1"/>
  <c r="L73" i="35"/>
  <c r="M67" i="35"/>
  <c r="L67" i="35" s="1"/>
  <c r="E67" i="35"/>
  <c r="M66" i="35"/>
  <c r="L66" i="35" s="1"/>
  <c r="M65" i="35"/>
  <c r="M70" i="35" s="1"/>
  <c r="L65" i="35"/>
  <c r="E65" i="35"/>
  <c r="E68" i="35" s="1"/>
  <c r="H64" i="35"/>
  <c r="H63" i="35"/>
  <c r="Q62" i="35"/>
  <c r="P62" i="35"/>
  <c r="O62" i="35"/>
  <c r="N62" i="35"/>
  <c r="M62" i="35"/>
  <c r="L62" i="35"/>
  <c r="K62" i="35"/>
  <c r="J62" i="35"/>
  <c r="H62" i="35"/>
  <c r="G62" i="35"/>
  <c r="D62" i="35"/>
  <c r="I60" i="35"/>
  <c r="I56" i="35"/>
  <c r="I55" i="35"/>
  <c r="I19" i="35"/>
  <c r="I37" i="35"/>
  <c r="I18" i="35"/>
  <c r="I17" i="35"/>
  <c r="I54" i="35"/>
  <c r="I53" i="35"/>
  <c r="I36" i="35"/>
  <c r="I58" i="35"/>
  <c r="C67" i="35" s="1"/>
  <c r="I16" i="35"/>
  <c r="I35" i="35"/>
  <c r="I15" i="35"/>
  <c r="I14" i="35"/>
  <c r="I13" i="35"/>
  <c r="I52" i="35"/>
  <c r="I51" i="35"/>
  <c r="I57" i="35"/>
  <c r="I50" i="35"/>
  <c r="I34" i="35"/>
  <c r="I49" i="35"/>
  <c r="I12" i="35"/>
  <c r="I11" i="35"/>
  <c r="I48" i="35"/>
  <c r="I10" i="35"/>
  <c r="I33" i="35"/>
  <c r="I9" i="35"/>
  <c r="I32" i="35"/>
  <c r="I47" i="35"/>
  <c r="I46" i="35"/>
  <c r="I8" i="35"/>
  <c r="I7" i="35"/>
  <c r="I31" i="35"/>
  <c r="I23" i="35"/>
  <c r="I30" i="35"/>
  <c r="I45" i="35"/>
  <c r="I29" i="35"/>
  <c r="I44" i="35"/>
  <c r="I6" i="35"/>
  <c r="I43" i="35"/>
  <c r="I42" i="35"/>
  <c r="I28" i="35"/>
  <c r="I5" i="35"/>
  <c r="I4" i="35"/>
  <c r="I27" i="35"/>
  <c r="I26" i="35"/>
  <c r="I25" i="35"/>
  <c r="I41" i="35"/>
  <c r="I24" i="35"/>
  <c r="I40" i="35"/>
  <c r="I22" i="35"/>
  <c r="I39" i="35"/>
  <c r="I21" i="35"/>
  <c r="I3" i="35"/>
  <c r="I38" i="35"/>
  <c r="I20" i="35"/>
  <c r="I51" i="34"/>
  <c r="E60" i="34"/>
  <c r="I49" i="34"/>
  <c r="I50" i="34"/>
  <c r="I56" i="34"/>
  <c r="R32" i="34"/>
  <c r="R15" i="34"/>
  <c r="R48" i="34"/>
  <c r="R38" i="34"/>
  <c r="R37" i="34"/>
  <c r="R35" i="34"/>
  <c r="R34" i="34"/>
  <c r="R20" i="34"/>
  <c r="R26" i="34"/>
  <c r="R25" i="34"/>
  <c r="R24" i="34"/>
  <c r="R19" i="34"/>
  <c r="R17" i="34"/>
  <c r="R10" i="34"/>
  <c r="R8" i="34"/>
  <c r="R4" i="34"/>
  <c r="M76" i="34"/>
  <c r="L76" i="34" s="1"/>
  <c r="M75" i="34"/>
  <c r="L75" i="34" s="1"/>
  <c r="M74" i="34"/>
  <c r="M79" i="34" s="1"/>
  <c r="L74" i="34"/>
  <c r="M68" i="34"/>
  <c r="L68" i="34" s="1"/>
  <c r="M67" i="34"/>
  <c r="M66" i="34"/>
  <c r="M71" i="34" s="1"/>
  <c r="L66" i="34"/>
  <c r="M60" i="34"/>
  <c r="L60" i="34" s="1"/>
  <c r="M59" i="34"/>
  <c r="L59" i="34" s="1"/>
  <c r="M58" i="34"/>
  <c r="M63" i="34" s="1"/>
  <c r="L58" i="34"/>
  <c r="H58" i="34"/>
  <c r="E58" i="34"/>
  <c r="E61" i="34" s="1"/>
  <c r="H57" i="34"/>
  <c r="H56" i="34"/>
  <c r="Q55" i="34"/>
  <c r="P55" i="34"/>
  <c r="O55" i="34"/>
  <c r="N55" i="34"/>
  <c r="M55" i="34"/>
  <c r="L55" i="34"/>
  <c r="K55" i="34"/>
  <c r="J55" i="34"/>
  <c r="H55" i="34"/>
  <c r="G55" i="34"/>
  <c r="D55" i="34"/>
  <c r="I53" i="34"/>
  <c r="I52" i="34"/>
  <c r="I48" i="34"/>
  <c r="I35" i="34"/>
  <c r="I19" i="34"/>
  <c r="I47" i="34"/>
  <c r="I18" i="34"/>
  <c r="I46" i="34"/>
  <c r="I45" i="34"/>
  <c r="I17" i="34"/>
  <c r="I16" i="34"/>
  <c r="I34" i="34"/>
  <c r="I44" i="34"/>
  <c r="I33" i="34"/>
  <c r="I43" i="34"/>
  <c r="I32" i="34"/>
  <c r="I15" i="34"/>
  <c r="I31" i="34"/>
  <c r="I30" i="34"/>
  <c r="I14" i="34"/>
  <c r="I13" i="34"/>
  <c r="I12" i="34"/>
  <c r="I29" i="34"/>
  <c r="I11" i="34"/>
  <c r="I25" i="34"/>
  <c r="I42" i="34"/>
  <c r="I28" i="34"/>
  <c r="I27" i="34"/>
  <c r="I26" i="34"/>
  <c r="I41" i="34"/>
  <c r="I40" i="34"/>
  <c r="I24" i="34"/>
  <c r="I10" i="34"/>
  <c r="I9" i="34"/>
  <c r="I8" i="34"/>
  <c r="I7" i="34"/>
  <c r="I39" i="34"/>
  <c r="I6" i="34"/>
  <c r="I5" i="34"/>
  <c r="I38" i="34"/>
  <c r="I23" i="34"/>
  <c r="I22" i="34"/>
  <c r="I37" i="34"/>
  <c r="I4" i="34"/>
  <c r="I21" i="34"/>
  <c r="I20" i="34"/>
  <c r="I3" i="34"/>
  <c r="I36" i="34"/>
  <c r="R38" i="33"/>
  <c r="R53" i="33"/>
  <c r="R45" i="33"/>
  <c r="R35" i="33"/>
  <c r="R49" i="33"/>
  <c r="R48" i="33"/>
  <c r="R47" i="33"/>
  <c r="R43" i="33"/>
  <c r="R39" i="33"/>
  <c r="R34" i="33"/>
  <c r="R28" i="33"/>
  <c r="R25" i="33"/>
  <c r="R24" i="33"/>
  <c r="R23" i="33"/>
  <c r="R22" i="33"/>
  <c r="R20" i="33"/>
  <c r="R7" i="33"/>
  <c r="R6" i="33"/>
  <c r="R5" i="33"/>
  <c r="M78" i="33"/>
  <c r="L78" i="33" s="1"/>
  <c r="M77" i="33"/>
  <c r="L77" i="33" s="1"/>
  <c r="M76" i="33"/>
  <c r="M81" i="33" s="1"/>
  <c r="L76" i="33"/>
  <c r="M70" i="33"/>
  <c r="L70" i="33" s="1"/>
  <c r="M69" i="33"/>
  <c r="L69" i="33" s="1"/>
  <c r="M68" i="33"/>
  <c r="M73" i="33" s="1"/>
  <c r="L68" i="33"/>
  <c r="M62" i="33"/>
  <c r="L62" i="33" s="1"/>
  <c r="E62" i="33"/>
  <c r="M61" i="33"/>
  <c r="M60" i="33"/>
  <c r="M65" i="33" s="1"/>
  <c r="L60" i="33"/>
  <c r="E60" i="33"/>
  <c r="E63" i="33" s="1"/>
  <c r="H59" i="33"/>
  <c r="H58" i="33"/>
  <c r="Q57" i="33"/>
  <c r="P57" i="33"/>
  <c r="O57" i="33"/>
  <c r="N57" i="33"/>
  <c r="M57" i="33"/>
  <c r="L57" i="33"/>
  <c r="K57" i="33"/>
  <c r="J57" i="33"/>
  <c r="H57" i="33"/>
  <c r="G57" i="33"/>
  <c r="D57" i="33"/>
  <c r="I21" i="33"/>
  <c r="I9" i="33"/>
  <c r="I53" i="33"/>
  <c r="I37" i="33"/>
  <c r="I20" i="33"/>
  <c r="I36" i="33"/>
  <c r="I35" i="33"/>
  <c r="I34" i="33"/>
  <c r="I19" i="33"/>
  <c r="I18" i="33"/>
  <c r="I52" i="33"/>
  <c r="I33" i="33"/>
  <c r="I32" i="33"/>
  <c r="I51" i="33"/>
  <c r="I17" i="33"/>
  <c r="I31" i="33"/>
  <c r="I55" i="33"/>
  <c r="I30" i="33"/>
  <c r="I16" i="33"/>
  <c r="I50" i="33"/>
  <c r="I49" i="33"/>
  <c r="I48" i="33"/>
  <c r="I29" i="33"/>
  <c r="I15" i="33"/>
  <c r="I47" i="33"/>
  <c r="I46" i="33"/>
  <c r="I45" i="33"/>
  <c r="I44" i="33"/>
  <c r="I43" i="33"/>
  <c r="I28" i="33"/>
  <c r="I42" i="33"/>
  <c r="I41" i="33"/>
  <c r="I14" i="33"/>
  <c r="I54" i="33"/>
  <c r="C62" i="33" s="1"/>
  <c r="I40" i="33"/>
  <c r="I13" i="33"/>
  <c r="I12" i="33"/>
  <c r="I11" i="33"/>
  <c r="I10" i="33"/>
  <c r="I27" i="33"/>
  <c r="I39" i="33"/>
  <c r="I38" i="33"/>
  <c r="I8" i="33"/>
  <c r="I26" i="33"/>
  <c r="I7" i="33"/>
  <c r="I25" i="33"/>
  <c r="I24" i="33"/>
  <c r="I6" i="33"/>
  <c r="I23" i="33"/>
  <c r="I5" i="33"/>
  <c r="I4" i="33"/>
  <c r="I22" i="33"/>
  <c r="I3" i="33"/>
  <c r="R33" i="32"/>
  <c r="I33" i="32"/>
  <c r="L62" i="37" l="1"/>
  <c r="L66" i="37"/>
  <c r="P54" i="37" s="1"/>
  <c r="I50" i="37"/>
  <c r="L74" i="37"/>
  <c r="P55" i="37" s="1"/>
  <c r="L58" i="37"/>
  <c r="P53" i="37" s="1"/>
  <c r="C53" i="37"/>
  <c r="C56" i="37" s="1"/>
  <c r="C60" i="37" s="1"/>
  <c r="P56" i="37" s="1"/>
  <c r="C48" i="36"/>
  <c r="C51" i="36" s="1"/>
  <c r="C55" i="36" s="1"/>
  <c r="P51" i="36" s="1"/>
  <c r="I45" i="36"/>
  <c r="L61" i="36"/>
  <c r="P49" i="36" s="1"/>
  <c r="L69" i="36"/>
  <c r="P50" i="36" s="1"/>
  <c r="L53" i="36"/>
  <c r="P48" i="36" s="1"/>
  <c r="C65" i="35"/>
  <c r="C68" i="35" s="1"/>
  <c r="C72" i="35" s="1"/>
  <c r="P68" i="35" s="1"/>
  <c r="L82" i="35"/>
  <c r="L70" i="35"/>
  <c r="P65" i="35" s="1"/>
  <c r="I62" i="35"/>
  <c r="L78" i="35"/>
  <c r="P66" i="35" s="1"/>
  <c r="L86" i="35"/>
  <c r="P67" i="35" s="1"/>
  <c r="C60" i="34"/>
  <c r="L67" i="34"/>
  <c r="L71" i="34" s="1"/>
  <c r="P59" i="34" s="1"/>
  <c r="L63" i="34"/>
  <c r="P58" i="34" s="1"/>
  <c r="I55" i="34"/>
  <c r="L79" i="34"/>
  <c r="P60" i="34" s="1"/>
  <c r="C58" i="34"/>
  <c r="C61" i="34" s="1"/>
  <c r="C65" i="34" s="1"/>
  <c r="P61" i="34" s="1"/>
  <c r="C60" i="33"/>
  <c r="C63" i="33" s="1"/>
  <c r="C67" i="33" s="1"/>
  <c r="P63" i="33" s="1"/>
  <c r="L61" i="33"/>
  <c r="L65" i="33" s="1"/>
  <c r="P60" i="33" s="1"/>
  <c r="I57" i="33"/>
  <c r="L81" i="33"/>
  <c r="P62" i="33" s="1"/>
  <c r="L73" i="33"/>
  <c r="P61" i="33" s="1"/>
  <c r="I34" i="32"/>
  <c r="R12" i="32"/>
  <c r="I38" i="32"/>
  <c r="R32" i="32"/>
  <c r="R31" i="32"/>
  <c r="R30" i="32"/>
  <c r="R28" i="32"/>
  <c r="R22" i="32"/>
  <c r="R17" i="32"/>
  <c r="R14" i="32"/>
  <c r="R13" i="32"/>
  <c r="R10" i="32"/>
  <c r="R6" i="32"/>
  <c r="M58" i="32"/>
  <c r="L58" i="32" s="1"/>
  <c r="M57" i="32"/>
  <c r="L57" i="32" s="1"/>
  <c r="M56" i="32"/>
  <c r="M61" i="32" s="1"/>
  <c r="L56" i="32"/>
  <c r="M50" i="32"/>
  <c r="L50" i="32" s="1"/>
  <c r="M49" i="32"/>
  <c r="L49" i="32" s="1"/>
  <c r="M48" i="32"/>
  <c r="M53" i="32" s="1"/>
  <c r="L48" i="32"/>
  <c r="M42" i="32"/>
  <c r="L42" i="32" s="1"/>
  <c r="E42" i="32"/>
  <c r="M41" i="32"/>
  <c r="M40" i="32"/>
  <c r="M45" i="32" s="1"/>
  <c r="L40" i="32"/>
  <c r="H40" i="32"/>
  <c r="E40" i="32"/>
  <c r="E43" i="32" s="1"/>
  <c r="H39" i="32"/>
  <c r="H38" i="32"/>
  <c r="Q37" i="32"/>
  <c r="P37" i="32"/>
  <c r="O37" i="32"/>
  <c r="N37" i="32"/>
  <c r="M37" i="32"/>
  <c r="L37" i="32"/>
  <c r="K37" i="32"/>
  <c r="J37" i="32"/>
  <c r="H37" i="32"/>
  <c r="G37" i="32"/>
  <c r="D37" i="32"/>
  <c r="I35" i="32"/>
  <c r="C42" i="32" s="1"/>
  <c r="I22" i="32"/>
  <c r="I32" i="32"/>
  <c r="I31" i="32"/>
  <c r="I30" i="32"/>
  <c r="I21" i="32"/>
  <c r="I13" i="32"/>
  <c r="I20" i="32"/>
  <c r="I19" i="32"/>
  <c r="I12" i="32"/>
  <c r="I29" i="32"/>
  <c r="I11" i="32"/>
  <c r="I28" i="32"/>
  <c r="I10" i="32"/>
  <c r="I27" i="32"/>
  <c r="I26" i="32"/>
  <c r="I25" i="32"/>
  <c r="I9" i="32"/>
  <c r="I8" i="32"/>
  <c r="I18" i="32"/>
  <c r="I7" i="32"/>
  <c r="I17" i="32"/>
  <c r="I6" i="32"/>
  <c r="I24" i="32"/>
  <c r="I5" i="32"/>
  <c r="I16" i="32"/>
  <c r="I15" i="32"/>
  <c r="I14" i="32"/>
  <c r="I4" i="32"/>
  <c r="I23" i="32"/>
  <c r="I3" i="32"/>
  <c r="C40" i="32" s="1"/>
  <c r="R4" i="31"/>
  <c r="P57" i="37" l="1"/>
  <c r="P52" i="36"/>
  <c r="P69" i="35"/>
  <c r="P62" i="34"/>
  <c r="P64" i="33"/>
  <c r="L41" i="32"/>
  <c r="L45" i="32" s="1"/>
  <c r="P40" i="32" s="1"/>
  <c r="I37" i="32"/>
  <c r="L53" i="32"/>
  <c r="P41" i="32" s="1"/>
  <c r="C43" i="32"/>
  <c r="C47" i="32" s="1"/>
  <c r="P43" i="32" s="1"/>
  <c r="L61" i="32"/>
  <c r="P42" i="32" s="1"/>
  <c r="R29" i="31"/>
  <c r="R37" i="31"/>
  <c r="R31" i="31"/>
  <c r="R30" i="31"/>
  <c r="R27" i="31"/>
  <c r="R18" i="31"/>
  <c r="R17" i="31"/>
  <c r="R9" i="31"/>
  <c r="R6" i="31"/>
  <c r="R5" i="31"/>
  <c r="M62" i="31"/>
  <c r="L62" i="31" s="1"/>
  <c r="M61" i="31"/>
  <c r="L61" i="31" s="1"/>
  <c r="M60" i="31"/>
  <c r="M65" i="31" s="1"/>
  <c r="L60" i="31"/>
  <c r="M54" i="31"/>
  <c r="L54" i="31" s="1"/>
  <c r="M53" i="31"/>
  <c r="L53" i="31" s="1"/>
  <c r="M52" i="31"/>
  <c r="M57" i="31" s="1"/>
  <c r="L52" i="31"/>
  <c r="M46" i="31"/>
  <c r="L46" i="31" s="1"/>
  <c r="E46" i="31"/>
  <c r="C46" i="31"/>
  <c r="M45" i="31"/>
  <c r="M44" i="31"/>
  <c r="M49" i="31" s="1"/>
  <c r="L44" i="31"/>
  <c r="H44" i="31"/>
  <c r="E44" i="31"/>
  <c r="E47" i="31" s="1"/>
  <c r="H43" i="31"/>
  <c r="H42" i="31"/>
  <c r="L45" i="31" s="1"/>
  <c r="Q41" i="31"/>
  <c r="P41" i="31"/>
  <c r="O41" i="31"/>
  <c r="N41" i="31"/>
  <c r="M41" i="31"/>
  <c r="L41" i="31"/>
  <c r="K41" i="31"/>
  <c r="J41" i="31"/>
  <c r="H41" i="31"/>
  <c r="G41" i="31"/>
  <c r="D41" i="31"/>
  <c r="I39" i="31"/>
  <c r="I25" i="31"/>
  <c r="I38" i="31"/>
  <c r="I24" i="31"/>
  <c r="I16" i="31"/>
  <c r="I15" i="31"/>
  <c r="I14" i="31"/>
  <c r="I23" i="31"/>
  <c r="I13" i="31"/>
  <c r="I12" i="31"/>
  <c r="I37" i="31"/>
  <c r="I36" i="31"/>
  <c r="I11" i="31"/>
  <c r="I35" i="31"/>
  <c r="I10" i="31"/>
  <c r="I34" i="31"/>
  <c r="I22" i="31"/>
  <c r="I33" i="31"/>
  <c r="I32" i="31"/>
  <c r="I31" i="31"/>
  <c r="I9" i="31"/>
  <c r="I21" i="31"/>
  <c r="I8" i="31"/>
  <c r="I7" i="31"/>
  <c r="I20" i="31"/>
  <c r="I30" i="31"/>
  <c r="I19" i="31"/>
  <c r="I29" i="31"/>
  <c r="I6" i="31"/>
  <c r="I28" i="31"/>
  <c r="I18" i="31"/>
  <c r="I26" i="31"/>
  <c r="I27" i="31"/>
  <c r="I5" i="31"/>
  <c r="I17" i="31"/>
  <c r="I4" i="31"/>
  <c r="C44" i="31" s="1"/>
  <c r="C47" i="31" s="1"/>
  <c r="C51" i="31" s="1"/>
  <c r="P47" i="31" s="1"/>
  <c r="I3" i="31"/>
  <c r="R25" i="30"/>
  <c r="R23" i="30"/>
  <c r="R18" i="30"/>
  <c r="R17" i="30"/>
  <c r="R14" i="30"/>
  <c r="R3" i="30"/>
  <c r="M49" i="30"/>
  <c r="L49" i="30" s="1"/>
  <c r="M48" i="30"/>
  <c r="M47" i="30"/>
  <c r="M52" i="30" s="1"/>
  <c r="L47" i="30"/>
  <c r="M41" i="30"/>
  <c r="L41" i="30" s="1"/>
  <c r="M40" i="30"/>
  <c r="L40" i="30" s="1"/>
  <c r="M39" i="30"/>
  <c r="M44" i="30" s="1"/>
  <c r="L39" i="30"/>
  <c r="M33" i="30"/>
  <c r="L33" i="30" s="1"/>
  <c r="E33" i="30"/>
  <c r="M32" i="30"/>
  <c r="L32" i="30" s="1"/>
  <c r="M31" i="30"/>
  <c r="M36" i="30" s="1"/>
  <c r="L31" i="30"/>
  <c r="E31" i="30"/>
  <c r="E34" i="30" s="1"/>
  <c r="H30" i="30"/>
  <c r="H29" i="30"/>
  <c r="L48" i="30" s="1"/>
  <c r="Q28" i="30"/>
  <c r="P28" i="30"/>
  <c r="O28" i="30"/>
  <c r="N28" i="30"/>
  <c r="M28" i="30"/>
  <c r="L28" i="30"/>
  <c r="K28" i="30"/>
  <c r="J28" i="30"/>
  <c r="H28" i="30"/>
  <c r="G28" i="30"/>
  <c r="D28" i="30"/>
  <c r="I13" i="30"/>
  <c r="I12" i="30"/>
  <c r="I7" i="30"/>
  <c r="I26" i="30"/>
  <c r="C33" i="30" s="1"/>
  <c r="I6" i="30"/>
  <c r="I11" i="30"/>
  <c r="I5" i="30"/>
  <c r="I25" i="30"/>
  <c r="I4" i="30"/>
  <c r="I24" i="30"/>
  <c r="I23" i="30"/>
  <c r="I22" i="30"/>
  <c r="I21" i="30"/>
  <c r="I3" i="30"/>
  <c r="C31" i="30" s="1"/>
  <c r="I20" i="30"/>
  <c r="I19" i="30"/>
  <c r="I18" i="30"/>
  <c r="I14" i="30"/>
  <c r="I10" i="30"/>
  <c r="I17" i="30"/>
  <c r="I16" i="30"/>
  <c r="I15" i="30"/>
  <c r="I9" i="30"/>
  <c r="I8" i="30"/>
  <c r="R14" i="29"/>
  <c r="R4" i="29"/>
  <c r="P44" i="32" l="1"/>
  <c r="L49" i="31"/>
  <c r="P44" i="31" s="1"/>
  <c r="L57" i="31"/>
  <c r="P45" i="31" s="1"/>
  <c r="I41" i="31"/>
  <c r="L65" i="31"/>
  <c r="P46" i="31" s="1"/>
  <c r="C34" i="30"/>
  <c r="C38" i="30" s="1"/>
  <c r="P34" i="30" s="1"/>
  <c r="I28" i="30"/>
  <c r="L52" i="30"/>
  <c r="P33" i="30" s="1"/>
  <c r="L44" i="30"/>
  <c r="P32" i="30" s="1"/>
  <c r="L36" i="30"/>
  <c r="P31" i="30" s="1"/>
  <c r="R34" i="29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P48" i="31" l="1"/>
  <c r="P35" i="30"/>
  <c r="C44" i="29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D24" i="23" a="1"/>
  <c r="C21" i="23"/>
  <c r="B23" i="23"/>
  <c r="C19" i="23"/>
  <c r="A3" i="23" a="1"/>
  <c r="D20" i="23" a="1"/>
  <c r="C28" i="23"/>
  <c r="B27" i="23"/>
  <c r="C27" i="23"/>
  <c r="C22" i="23"/>
  <c r="D27" i="23" a="1"/>
  <c r="B19" i="23"/>
  <c r="C25" i="23"/>
  <c r="B20" i="23"/>
  <c r="D17" i="23" a="1"/>
  <c r="C18" i="23"/>
  <c r="C24" i="23"/>
  <c r="D21" i="23" a="1"/>
  <c r="D22" i="23" a="1"/>
  <c r="D28" i="23" a="1"/>
  <c r="B26" i="23"/>
  <c r="B25" i="23"/>
  <c r="D18" i="23" a="1"/>
  <c r="B17" i="23"/>
  <c r="C17" i="23"/>
  <c r="B21" i="23"/>
  <c r="C26" i="23"/>
  <c r="C23" i="23"/>
  <c r="D26" i="23" a="1"/>
  <c r="B18" i="23"/>
  <c r="C20" i="23"/>
  <c r="B24" i="23"/>
  <c r="B16" i="23"/>
  <c r="D16" i="23" a="1"/>
  <c r="B22" i="23"/>
  <c r="D25" i="23" a="1"/>
  <c r="B28" i="23"/>
  <c r="C16" i="23"/>
  <c r="D23" i="23" a="1"/>
  <c r="D19" i="23" a="1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9" i="23"/>
  <c r="E19" i="23" s="1"/>
  <c r="D18" i="23"/>
  <c r="E18" i="23" s="1"/>
  <c r="D16" i="23"/>
  <c r="E16" i="23" s="1"/>
  <c r="D23" i="23"/>
  <c r="E23" i="23" s="1"/>
  <c r="D27" i="23"/>
  <c r="E27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20" i="23"/>
  <c r="E20" i="23" s="1"/>
  <c r="D21" i="23"/>
  <c r="E21" i="23" s="1"/>
  <c r="A3" i="23"/>
  <c r="C15" i="23"/>
  <c r="C9" i="23"/>
  <c r="B5" i="23"/>
  <c r="D15" i="23" a="1"/>
  <c r="B7" i="23"/>
  <c r="C10" i="23"/>
  <c r="D5" i="23" a="1"/>
  <c r="C5" i="23"/>
  <c r="B10" i="23"/>
  <c r="D10" i="23" a="1"/>
  <c r="B15" i="23"/>
  <c r="B4" i="23"/>
  <c r="C11" i="23"/>
  <c r="C13" i="23"/>
  <c r="B12" i="23"/>
  <c r="D8" i="23" a="1"/>
  <c r="D7" i="23" a="1"/>
  <c r="B6" i="23"/>
  <c r="B11" i="23"/>
  <c r="C14" i="23"/>
  <c r="B14" i="23"/>
  <c r="D12" i="23" a="1"/>
  <c r="C8" i="23"/>
  <c r="C7" i="23"/>
  <c r="D9" i="23" a="1"/>
  <c r="D14" i="23" a="1"/>
  <c r="B8" i="23"/>
  <c r="D6" i="23" a="1"/>
  <c r="D13" i="23" a="1"/>
  <c r="D11" i="23" a="1"/>
  <c r="B9" i="23"/>
  <c r="C12" i="23"/>
  <c r="C4" i="23"/>
  <c r="D4" i="23" a="1"/>
  <c r="B13" i="23"/>
  <c r="C6" i="23"/>
  <c r="D15" i="23" l="1"/>
  <c r="E15" i="23" s="1"/>
  <c r="D14" i="23"/>
  <c r="E14" i="23" s="1"/>
  <c r="D13" i="23"/>
  <c r="E13" i="23" s="1"/>
  <c r="D12" i="23"/>
  <c r="E12" i="23" s="1"/>
  <c r="D11" i="23"/>
  <c r="E11" i="23" s="1"/>
  <c r="D10" i="23"/>
  <c r="E10" i="23" s="1"/>
  <c r="D9" i="23"/>
  <c r="E9" i="23" s="1"/>
  <c r="D8" i="23"/>
  <c r="E8" i="23" s="1"/>
  <c r="D7" i="23"/>
  <c r="E7" i="23" s="1"/>
  <c r="D6" i="23"/>
  <c r="E6" i="23" s="1"/>
  <c r="D5" i="23"/>
  <c r="E5" i="23" s="1"/>
  <c r="D4" i="23"/>
  <c r="E4" i="23" s="1"/>
  <c r="P62" i="24"/>
  <c r="B3" i="23"/>
  <c r="C3" i="23"/>
  <c r="E30" i="23" a="1"/>
  <c r="D3" i="23" a="1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<sst xmlns="http://schemas.openxmlformats.org/spreadsheetml/2006/main" count="5811" uniqueCount="1750">
  <si>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</si>
  <si>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</si>
  <si>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</si>
  <si>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</si>
  <si>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</si>
  <si>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</si>
  <si>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</si>
  <si>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</si>
  <si>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</si>
  <si>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</si>
  <si>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</si>
  <si>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</si>
  <si>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</si>
  <si>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</si>
  <si>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</si>
  <si>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</si>
  <si>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</si>
  <si>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</si>
  <si>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</si>
  <si>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</si>
  <si>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</si>
  <si>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</si>
  <si>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</si>
  <si>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</si>
  <si>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</si>
  <si>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</si>
  <si>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</si>
  <si>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</si>
  <si>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</si>
  <si>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</si>
  <si>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</si>
  <si>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</si>
  <si>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</si>
  <si>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</si>
  <si>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</si>
  <si>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</si>
  <si>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</si>
  <si>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</si>
  <si>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</si>
  <si>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</si>
  <si>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</si>
  <si>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</si>
  <si>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</si>
  <si>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</si>
  <si>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</si>
  <si>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</si>
  <si>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</si>
  <si>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</si>
  <si>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</si>
  <si>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</si>
  <si>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</si>
  <si>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</si>
  <si>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</si>
  <si>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</si>
  <si>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</si>
  <si>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</si>
  <si>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</si>
  <si>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</si>
  <si>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</si>
  <si>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</si>
  <si>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</si>
  <si>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</si>
  <si>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</si>
  <si>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</si>
  <si>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</si>
  <si>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</si>
  <si>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</si>
  <si>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</si>
  <si>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</si>
  <si>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</si>
  <si>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</si>
  <si>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</si>
  <si>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</si>
  <si>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</si>
  <si>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</si>
  <si>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</si>
  <si>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</si>
  <si>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</si>
  <si>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</si>
  <si>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</si>
  <si>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</si>
  <si>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</si>
  <si>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</si>
  <si>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</si>
  <si>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</si>
  <si>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</si>
  <si>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</si>
  <si>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</si>
  <si>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</si>
  <si>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</si>
  <si>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</si>
  <si>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</si>
  <si>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</si>
  <si>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</si>
  <si>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</si>
  <si>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</si>
  <si>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</si>
  <si>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</si>
  <si>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</si>
  <si>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</si>
  <si>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</si>
  <si>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</si>
  <si>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</si>
  <si>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</si>
  <si>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</si>
  <si>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</si>
  <si>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</si>
  <si>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</si>
  <si>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</si>
  <si>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</si>
  <si>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</si>
  <si>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</si>
  <si>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</si>
  <si>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</si>
  <si>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</si>
  <si>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</si>
  <si>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</si>
  <si>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</si>
  <si>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</si>
  <si>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</si>
  <si>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</si>
  <si>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</si>
  <si>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</si>
  <si>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</si>
  <si>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</si>
  <si>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</si>
  <si>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</si>
  <si>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</si>
  <si>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</si>
  <si>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</si>
  <si>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</si>
  <si>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</si>
  <si>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</si>
  <si>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</si>
  <si>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</si>
  <si>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</si>
  <si>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</si>
  <si>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</si>
  <si>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</si>
  <si>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</si>
  <si>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</si>
  <si>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</si>
  <si>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</si>
  <si>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</si>
  <si>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</si>
  <si>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</si>
  <si>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</si>
  <si>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</si>
  <si>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</si>
  <si>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</si>
  <si>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</si>
  <si>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</si>
  <si>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</si>
  <si>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</si>
  <si>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</si>
  <si>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</si>
  <si>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</si>
  <si>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</si>
  <si>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</si>
  <si>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</si>
  <si>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</si>
  <si>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</si>
  <si>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</si>
  <si>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</si>
  <si>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</si>
  <si>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</si>
  <si>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</si>
  <si>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</si>
  <si>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</si>
  <si>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</si>
  <si>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</si>
  <si>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</si>
  <si>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</si>
  <si>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</si>
  <si>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</si>
  <si>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</si>
  <si>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</si>
  <si>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</si>
  <si>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</si>
  <si>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</si>
  <si>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</si>
  <si>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</si>
  <si>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</si>
  <si>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</si>
  <si>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</si>
  <si>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</si>
  <si>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</si>
  <si>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</si>
  <si>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</si>
  <si>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</si>
  <si>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</si>
  <si>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</si>
  <si>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</si>
  <si>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</si>
  <si>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</si>
  <si>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</si>
  <si>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</si>
  <si>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</si>
  <si>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</si>
  <si>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</si>
  <si>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</si>
  <si>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</si>
  <si>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</si>
  <si>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</si>
  <si>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</si>
  <si>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</si>
  <si>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</si>
  <si>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</si>
  <si>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</si>
  <si>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</si>
  <si>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</si>
  <si>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</si>
  <si>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</si>
  <si>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</si>
  <si>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</si>
  <si>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</si>
  <si>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</si>
  <si>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</si>
  <si>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</si>
  <si>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</si>
  <si>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</si>
  <si>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</si>
  <si>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</si>
  <si>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</si>
  <si>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</si>
  <si>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</si>
  <si>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</si>
  <si>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</si>
  <si>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</si>
  <si>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</si>
  <si>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</si>
  <si>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</si>
  <si>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</si>
  <si>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</si>
  <si>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</si>
  <si>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</si>
  <si>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</si>
  <si>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</si>
  <si>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</si>
  <si>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</si>
  <si>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</si>
  <si>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</si>
  <si>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</si>
  <si>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</si>
  <si>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</si>
  <si>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</si>
  <si>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</si>
  <si>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</si>
  <si>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</si>
  <si>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</si>
  <si>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</si>
  <si>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</si>
  <si>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</si>
  <si>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</si>
  <si>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</si>
  <si>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</si>
  <si>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</si>
  <si>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</si>
  <si>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</si>
  <si>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</si>
  <si>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</si>
  <si>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</si>
  <si>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</si>
  <si>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</si>
  <si>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</si>
  <si>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</si>
  <si>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</si>
  <si>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</si>
  <si>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</si>
  <si>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</si>
  <si>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</si>
  <si>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</si>
  <si>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</si>
  <si>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</si>
  <si>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</si>
  <si>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</si>
  <si>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</si>
  <si>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</si>
  <si>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</si>
  <si>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</si>
  <si>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</si>
  <si>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</si>
  <si>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</si>
  <si>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</si>
  <si>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</si>
  <si>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</si>
  <si>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</si>
  <si>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</si>
  <si>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</si>
  <si>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</si>
  <si>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</si>
  <si>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</si>
  <si>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</si>
  <si>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</si>
  <si>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</si>
  <si>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</si>
  <si>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</si>
  <si>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</si>
  <si>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</si>
  <si>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</si>
  <si>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</si>
  <si>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</si>
  <si>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</si>
  <si>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</si>
  <si>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</si>
  <si>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</si>
  <si>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</si>
  <si>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</si>
  <si>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</si>
  <si>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</si>
  <si>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</si>
  <si>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</si>
  <si>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</si>
  <si>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</si>
  <si>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</si>
  <si>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</si>
  <si>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</si>
  <si>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</si>
  <si>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</si>
  <si>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</si>
  <si>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</si>
  <si>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</si>
  <si>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</si>
  <si>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</si>
  <si>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</si>
  <si>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</si>
  <si>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</si>
  <si>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</si>
  <si>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</si>
  <si>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</si>
  <si>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</si>
  <si>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</si>
  <si>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</si>
  <si>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</si>
  <si>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</si>
  <si>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</si>
  <si>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</si>
  <si>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</si>
  <si>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</si>
  <si>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</si>
  <si>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</si>
  <si>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</si>
  <si>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</si>
  <si>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</si>
  <si>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</si>
  <si>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</si>
  <si>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</si>
  <si>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</si>
  <si>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</si>
  <si>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</si>
  <si>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</si>
  <si>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</si>
  <si>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</si>
  <si>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</si>
  <si>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</si>
  <si>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</si>
  <si>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</si>
  <si>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</si>
  <si>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</si>
  <si>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</si>
  <si>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</si>
  <si>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</si>
  <si>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</si>
  <si>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</si>
  <si>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</si>
  <si>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</si>
  <si>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</si>
  <si>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</si>
  <si>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</si>
  <si>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</si>
  <si>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</si>
  <si>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</si>
  <si>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</si>
  <si>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</si>
  <si>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</si>
  <si>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</si>
  <si>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</si>
  <si>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</si>
  <si>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</si>
  <si>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</si>
  <si>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</si>
  <si>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</si>
  <si>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</si>
  <si>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</si>
  <si>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</si>
  <si>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</si>
  <si>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</si>
  <si>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</si>
  <si>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</si>
  <si>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</si>
  <si>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</si>
  <si>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</si>
  <si>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</si>
  <si>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</si>
  <si>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</si>
  <si>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</si>
  <si>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</si>
  <si>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</si>
  <si>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</si>
  <si>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</si>
  <si>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</si>
  <si>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</si>
  <si>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</si>
  <si>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</si>
  <si>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</si>
  <si>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</si>
  <si>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</si>
  <si>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</si>
  <si>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</si>
  <si>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</si>
  <si>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</si>
  <si>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</si>
  <si>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</si>
  <si>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</si>
  <si>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</si>
  <si>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</si>
  <si>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</si>
  <si>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</si>
  <si>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</si>
  <si>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</si>
  <si>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</si>
  <si>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</si>
  <si>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</si>
  <si>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</si>
  <si>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</si>
  <si>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</si>
  <si>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</si>
  <si>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</si>
  <si>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</si>
  <si>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</si>
  <si>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</si>
  <si>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</si>
  <si>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</si>
  <si>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</si>
  <si>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</si>
  <si>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</si>
  <si>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</si>
  <si>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</si>
  <si>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</si>
  <si>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</si>
  <si>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</si>
  <si>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</si>
  <si>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</si>
  <si>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</si>
  <si>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</si>
  <si>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</si>
  <si>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</si>
  <si>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</si>
  <si>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</si>
  <si>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</si>
  <si>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</si>
  <si>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</si>
  <si>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</si>
  <si>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</si>
  <si>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</si>
  <si>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</si>
  <si>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</si>
  <si>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</si>
  <si>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</si>
  <si>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</si>
  <si>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</si>
  <si>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</si>
  <si>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</si>
  <si>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</si>
  <si>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</si>
  <si>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</si>
  <si>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</si>
  <si>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</si>
  <si>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</si>
  <si>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</si>
  <si>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</si>
  <si>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</si>
  <si>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</si>
  <si>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</si>
  <si>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</si>
  <si>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</si>
  <si>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</si>
  <si>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</si>
  <si>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</si>
  <si>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</si>
  <si>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</si>
  <si>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</si>
  <si>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</si>
  <si>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</si>
  <si>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</si>
  <si>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</si>
  <si>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</si>
  <si>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</si>
  <si>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</si>
  <si>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</si>
  <si>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</si>
  <si>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</si>
  <si>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</si>
  <si>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</si>
  <si>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</si>
  <si>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</si>
  <si>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</si>
  <si>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</si>
  <si>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</si>
  <si>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</si>
  <si>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</si>
  <si>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</si>
  <si>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</si>
  <si>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</si>
  <si>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</si>
  <si>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</si>
  <si>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</si>
  <si>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</si>
  <si>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</si>
  <si>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</si>
  <si>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</si>
  <si>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</si>
  <si>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</si>
  <si>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</si>
  <si>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</si>
  <si>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</si>
  <si>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</si>
  <si>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</si>
  <si>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</si>
  <si>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</si>
  <si>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</si>
  <si>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</si>
  <si>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</si>
  <si>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</si>
  <si>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</si>
  <si>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</si>
  <si>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</si>
  <si>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</si>
  <si>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</si>
  <si>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</si>
  <si>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</si>
  <si>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</si>
  <si>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</si>
  <si>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</si>
  <si>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</si>
  <si>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</si>
  <si>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</si>
  <si>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</si>
  <si>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</si>
  <si>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</si>
  <si>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</si>
  <si>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</si>
  <si>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</si>
  <si>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</si>
  <si>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</si>
  <si>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</si>
  <si>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</si>
  <si>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</si>
  <si>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</si>
  <si>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</si>
  <si>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</si>
  <si>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</si>
  <si>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</si>
  <si>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</si>
  <si>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</si>
  <si>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</si>
  <si>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</si>
  <si>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</si>
  <si>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</si>
  <si>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</si>
  <si>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</si>
  <si>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</si>
  <si>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</si>
  <si>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</si>
  <si>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</si>
  <si>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</si>
  <si>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</si>
  <si>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</si>
  <si>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</si>
  <si>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</si>
  <si>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</si>
  <si>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</si>
  <si>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</si>
  <si>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</si>
  <si>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</si>
  <si>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</si>
  <si>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</si>
  <si>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</si>
  <si>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</si>
  <si>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</si>
  <si>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</si>
  <si>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</si>
  <si>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</si>
  <si>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</si>
  <si>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</si>
  <si>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</si>
  <si>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</si>
  <si>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</si>
  <si>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</si>
  <si>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</si>
  <si>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</si>
  <si>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</si>
  <si>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</si>
  <si>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</si>
  <si>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</si>
  <si>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</si>
  <si>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</si>
  <si>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</si>
  <si>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</si>
  <si>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</si>
  <si>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</si>
  <si>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</si>
  <si>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</si>
  <si>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</si>
  <si>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</si>
  <si>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</si>
  <si>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</si>
  <si>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</si>
  <si>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</si>
  <si>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</si>
  <si>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</si>
  <si>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</si>
  <si>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</si>
  <si>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</si>
  <si>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</si>
  <si>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</si>
  <si>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</si>
  <si>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</si>
  <si>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</si>
  <si>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</si>
  <si>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</si>
  <si>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</si>
  <si>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</si>
  <si>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</si>
  <si>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</si>
  <si>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</si>
  <si>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</si>
  <si>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</si>
  <si>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</si>
  <si>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</si>
  <si>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</si>
  <si>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</si>
  <si>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</si>
  <si>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</si>
  <si>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</si>
  <si>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</si>
  <si>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</si>
  <si>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</si>
  <si>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</si>
  <si>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</si>
  <si>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</si>
  <si>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</si>
  <si>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</si>
  <si>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</si>
  <si>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</si>
  <si>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</si>
  <si>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</si>
  <si>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</si>
  <si>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</si>
  <si>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</si>
  <si>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</si>
  <si>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</si>
  <si>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</si>
  <si>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</si>
  <si>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</si>
  <si>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</si>
  <si>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</si>
  <si>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</si>
  <si>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</si>
  <si>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</si>
  <si>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</si>
  <si>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</si>
  <si>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</si>
  <si>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</si>
  <si>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</si>
  <si>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</si>
  <si>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</si>
  <si>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</si>
  <si>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</si>
  <si>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</si>
  <si>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</si>
  <si>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</si>
  <si>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</si>
  <si>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</si>
  <si>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</si>
  <si>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</si>
  <si>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</si>
  <si>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</si>
  <si>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</si>
  <si>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</si>
  <si>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</si>
  <si>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</si>
  <si>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</si>
  <si>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</si>
  <si>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</si>
  <si>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</si>
  <si>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</si>
  <si>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</si>
  <si>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</si>
  <si>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</si>
  <si>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</si>
  <si>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</si>
  <si>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</si>
  <si>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</si>
  <si>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</si>
  <si>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</si>
  <si>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</si>
  <si>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</si>
  <si>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</si>
  <si>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</si>
  <si>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</si>
  <si>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</si>
  <si>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</si>
  <si>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</si>
  <si>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</si>
  <si>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</si>
  <si>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</si>
  <si>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</si>
  <si>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</si>
  <si>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</si>
  <si>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</si>
  <si>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</si>
  <si>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</si>
  <si>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</si>
  <si>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</si>
  <si>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</si>
  <si>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</si>
  <si>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</si>
  <si>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</si>
  <si>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</si>
  <si>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</si>
  <si>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</si>
  <si>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</si>
  <si>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</si>
  <si>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</si>
  <si>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</si>
  <si>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</si>
  <si>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</si>
  <si>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</si>
  <si>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</si>
  <si>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</si>
  <si>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</si>
  <si>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</si>
  <si>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</si>
  <si>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</si>
  <si>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</si>
  <si>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</si>
  <si>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</si>
  <si>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</si>
  <si>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</si>
  <si>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</si>
  <si>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</si>
  <si>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</si>
  <si>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</si>
  <si>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</si>
  <si>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</si>
  <si>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</si>
  <si>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</si>
  <si>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</si>
  <si>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</si>
  <si>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</si>
  <si>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</si>
  <si>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</si>
  <si>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</si>
  <si>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</si>
  <si>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</si>
  <si>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</si>
  <si>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</si>
  <si>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</si>
  <si>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</si>
  <si>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</si>
  <si>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</si>
  <si>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</si>
  <si>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</si>
  <si>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</si>
  <si>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</si>
  <si>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</si>
  <si>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</si>
  <si>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</si>
  <si>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</si>
  <si>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</si>
  <si>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</si>
  <si>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</si>
  <si>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</si>
  <si>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</si>
  <si>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</si>
  <si>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</si>
  <si>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</si>
  <si>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</si>
  <si>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</si>
  <si>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</si>
  <si>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</si>
  <si>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</si>
  <si>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</si>
  <si>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</si>
  <si>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</si>
  <si>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</si>
  <si>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</si>
  <si>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</si>
  <si>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</si>
  <si>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</si>
  <si>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</si>
  <si>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</si>
  <si>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</si>
  <si>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</si>
  <si>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</si>
  <si>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</si>
  <si>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</si>
  <si>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</si>
  <si>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</si>
  <si>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</si>
  <si>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</si>
  <si>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</si>
  <si>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</si>
  <si>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</si>
  <si>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</si>
  <si>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</si>
  <si>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</si>
  <si>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</si>
  <si>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</si>
  <si>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</si>
  <si>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</si>
  <si>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</si>
  <si>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</si>
  <si>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</si>
  <si>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</si>
  <si>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</si>
  <si>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</si>
  <si>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</si>
  <si>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</si>
  <si>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</si>
  <si>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</si>
  <si>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</si>
  <si>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</si>
  <si>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</si>
  <si>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</si>
  <si>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</si>
  <si>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</si>
  <si>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</si>
  <si>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</si>
  <si>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</si>
  <si>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</si>
  <si>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</si>
  <si>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</si>
  <si>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</si>
  <si>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</si>
  <si>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</si>
  <si>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</si>
  <si>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</si>
  <si>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</si>
  <si>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</si>
  <si>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</si>
  <si>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</si>
  <si>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</si>
  <si>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</si>
  <si>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</si>
  <si>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</si>
  <si>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</si>
  <si>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</si>
  <si>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</si>
  <si>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</si>
  <si>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</si>
  <si>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</si>
  <si>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</si>
  <si>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</si>
  <si>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</si>
  <si>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</si>
  <si>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</si>
  <si>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</si>
  <si>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</si>
  <si>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</si>
  <si>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</si>
  <si>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</si>
  <si>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</si>
  <si>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</si>
  <si>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</si>
  <si>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</si>
  <si>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</si>
  <si>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</si>
  <si>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</si>
  <si>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</si>
  <si>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</si>
  <si>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</si>
  <si>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</si>
  <si>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</si>
  <si>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</si>
  <si>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</si>
  <si>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</si>
  <si>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</si>
  <si>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</si>
  <si>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</si>
  <si>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</si>
  <si>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</si>
  <si>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</si>
  <si>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</si>
  <si>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</si>
  <si>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</si>
  <si>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</si>
  <si>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</si>
  <si>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</si>
  <si>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</si>
  <si>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</si>
  <si>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</si>
  <si>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</si>
  <si>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</si>
  <si>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</si>
  <si>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</si>
  <si>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</si>
  <si>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</si>
  <si>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</si>
  <si>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</si>
  <si>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</si>
  <si>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</si>
  <si>
    <t>kh ck shop 825k</t>
  </si>
  <si>
    <t>kh ck shop 730k</t>
  </si>
  <si>
    <t>kh ck shop 1340k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</si>
  <si>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</si>
  <si>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</si>
  <si>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</si>
  <si>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</si>
  <si>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</si>
  <si>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</si>
  <si>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</si>
  <si>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</si>
  <si>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</si>
  <si>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</si>
  <si>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</si>
  <si>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</si>
  <si>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</si>
  <si>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</si>
  <si>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</si>
  <si>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</si>
  <si>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</si>
  <si>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</si>
  <si>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</si>
  <si>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</si>
  <si>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</si>
  <si>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</si>
  <si>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</si>
  <si>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</si>
  <si>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</si>
  <si>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</si>
  <si>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</si>
  <si>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</si>
  <si>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</si>
  <si>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</si>
  <si>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</si>
  <si>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</si>
  <si>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</si>
  <si>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</si>
  <si>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</si>
  <si>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</si>
  <si>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</si>
  <si>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</si>
  <si>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</si>
  <si>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</si>
  <si>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</si>
  <si>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</si>
  <si>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</si>
  <si>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</si>
  <si>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</si>
  <si>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</si>
  <si>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</si>
  <si>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</si>
  <si>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</si>
  <si>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</si>
  <si>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</si>
  <si>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</si>
  <si>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</si>
  <si>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</si>
  <si>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</si>
  <si>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Em Na</t>
  </si>
  <si>
    <t>16/2 THÁI THỊ NHẠN P10</t>
  </si>
  <si>
    <t>at 08-10</t>
  </si>
  <si>
    <t>NGAY 8-10</t>
  </si>
  <si>
    <t>AT 09-10</t>
  </si>
  <si>
    <t>09-10-2026</t>
  </si>
  <si>
    <t>Nguyễn Minh Hải (Bow)</t>
  </si>
  <si>
    <t>403 Tân Sơn, p12</t>
  </si>
  <si>
    <t>Vi Hồ</t>
  </si>
  <si>
    <t>32 Huỳnh Lan Khanh, phường 2</t>
  </si>
  <si>
    <t>W2459</t>
  </si>
  <si>
    <t>EMI</t>
  </si>
  <si>
    <t>44A Cửu Long, Tân Sơn Hòa</t>
  </si>
  <si>
    <t>Mã Quốc (VTS-35517RST)</t>
  </si>
  <si>
    <t>HD065324</t>
  </si>
  <si>
    <t>601 QL1A, An Lạc</t>
  </si>
  <si>
    <t>Huỳnh Nhi</t>
  </si>
  <si>
    <t>HD065228</t>
  </si>
  <si>
    <t>37 cao lỗ</t>
  </si>
  <si>
    <t>Hồng Phương</t>
  </si>
  <si>
    <t>HD065355</t>
  </si>
  <si>
    <t>Lô e chung cư hà đô, nguyễn văn công</t>
  </si>
  <si>
    <t>Bi Bi</t>
  </si>
  <si>
    <t>HD064052</t>
  </si>
  <si>
    <t>414/23, Cách Mạng Tháng Tám, Phường Nhiêu Lộc</t>
  </si>
  <si>
    <t>Phuong Thao</t>
  </si>
  <si>
    <t>HD065259</t>
  </si>
  <si>
    <t>chung cư bình minh, 17 đường số 1, linh trung</t>
  </si>
  <si>
    <t>Linh Lana</t>
  </si>
  <si>
    <t>HD065333</t>
  </si>
  <si>
    <t>20-22b đường 14 phường an lạc</t>
  </si>
  <si>
    <t>Lê Thị Thùy Hương</t>
  </si>
  <si>
    <t>HD065209</t>
  </si>
  <si>
    <t>15/40 ao đôi, p bình trị đông A</t>
  </si>
  <si>
    <t>Hồng Hoa</t>
  </si>
  <si>
    <t>HD065354</t>
  </si>
  <si>
    <t>Căn 98 đường A5, Palm Residence, phường Bình Trưng</t>
  </si>
  <si>
    <t>HD065346</t>
  </si>
  <si>
    <t>184 Lê Đại Hành, Phú Thọ (quầy VPBank)</t>
  </si>
  <si>
    <t>Như Ý Nguyen</t>
  </si>
  <si>
    <t>HD065296</t>
  </si>
  <si>
    <t>4 đào trí phường phú thuận</t>
  </si>
  <si>
    <t>Phương Trang</t>
  </si>
  <si>
    <t>HD065184</t>
  </si>
  <si>
    <t>189b/a29 cống quỳnh</t>
  </si>
  <si>
    <t>KA CiNi</t>
  </si>
  <si>
    <t>HD065268</t>
  </si>
  <si>
    <t>533/15 Nguyễn tri phương,p8</t>
  </si>
  <si>
    <t>Huynh My Ha</t>
  </si>
  <si>
    <t>HD065332</t>
  </si>
  <si>
    <t>Vpbank Gò Vấp, 2B Quang Trung, phường hạnh thông</t>
  </si>
  <si>
    <t>Thu Thuỷ</t>
  </si>
  <si>
    <t>HD065159</t>
  </si>
  <si>
    <t>Sunrie city tháp W2 tân hung</t>
  </si>
  <si>
    <t>Mỹ Diện</t>
  </si>
  <si>
    <t>HD065135</t>
  </si>
  <si>
    <t>vinhomes grand park tòa nhà s705 nguyễn xiển p long thạnh mỹ</t>
  </si>
  <si>
    <t>gặp Thủy fb Barbie Phạm</t>
  </si>
  <si>
    <t>HD065133</t>
  </si>
  <si>
    <t>1806/34/4 Đường Huỳnh Tấn Phát</t>
  </si>
  <si>
    <t>Nguyễn Thị Tường Vi</t>
  </si>
  <si>
    <t>HD065330</t>
  </si>
  <si>
    <t>741/3/4 lũy bán bích, phú thọ hoà</t>
  </si>
  <si>
    <t>Nhật Linh</t>
  </si>
  <si>
    <t>HD065336</t>
  </si>
  <si>
    <t>chung cư Topaz Elite, toa dragon 28, phường chánh hưng</t>
  </si>
  <si>
    <t>chi cherry</t>
  </si>
  <si>
    <t>HD065220</t>
  </si>
  <si>
    <t>104 khu Phú gia phú mỹ hưng đường ha huy tập phường Tân Hưng</t>
  </si>
  <si>
    <t>Van Anh</t>
  </si>
  <si>
    <t>HD065158</t>
  </si>
  <si>
    <t>100/27/4 ấp 3- Đông Thạnh</t>
  </si>
  <si>
    <t>HD065269</t>
  </si>
  <si>
    <t>Dương Triệu Mẫn</t>
  </si>
  <si>
    <t>HD065261</t>
  </si>
  <si>
    <t>730/126 lê đức thọ</t>
  </si>
  <si>
    <t>Mi Phông</t>
  </si>
  <si>
    <t>HD065157</t>
  </si>
  <si>
    <t>112/35 Phú Định, phường Phú Định</t>
  </si>
  <si>
    <t>Lucie Huỳnh</t>
  </si>
  <si>
    <t>HD065186</t>
  </si>
  <si>
    <t>Chung cư starlight riverside phường bình phú</t>
  </si>
  <si>
    <t>Tuyền Lê</t>
  </si>
  <si>
    <t>HD065165</t>
  </si>
  <si>
    <t>286 Lạc Long Quân kp11 phường tân ninh</t>
  </si>
  <si>
    <t>Emily Nguyễn</t>
  </si>
  <si>
    <t>HD065163</t>
  </si>
  <si>
    <t>71/8C Nguyễn Phúc Chu p15 (Phường Tân Sơn)</t>
  </si>
  <si>
    <t>Ann Nguyễn</t>
  </si>
  <si>
    <t>HD065379</t>
  </si>
  <si>
    <t>320/23 nguyễn văn linh - p.tân thuận - (căn hộ Anh Hoàng)</t>
  </si>
  <si>
    <t>HD065293</t>
  </si>
  <si>
    <t>Nhung Dang</t>
  </si>
  <si>
    <t>HD065218</t>
  </si>
  <si>
    <t>39 bến vân đồn phường xóm chiếu</t>
  </si>
  <si>
    <t>at 09-10</t>
  </si>
  <si>
    <t>NGAY 9-10</t>
  </si>
  <si>
    <t>kh ck shop 5585k</t>
  </si>
  <si>
    <t>AT 10-10</t>
  </si>
  <si>
    <t>10-10-2026</t>
  </si>
  <si>
    <t>anh thư</t>
  </si>
  <si>
    <t>230 tôn đản phường 8</t>
  </si>
  <si>
    <t>W3545</t>
  </si>
  <si>
    <t>624 lê thị riêng thới an</t>
  </si>
  <si>
    <t>Diễm Nguyễn</t>
  </si>
  <si>
    <t>HD065001</t>
  </si>
  <si>
    <t>2A Đỗ Xuân Hợp (đường 6) Phước Bình</t>
  </si>
  <si>
    <t>Hang Pham</t>
  </si>
  <si>
    <t>HD065450</t>
  </si>
  <si>
    <t>S10.03 Vinhomes Grand Park, Ng Xiển, Long Bình</t>
  </si>
  <si>
    <t>Chủ Lượm nhận hàng cho c Cúc</t>
  </si>
  <si>
    <t>HD065434</t>
  </si>
  <si>
    <t>839/1 Quốc lộ 1A, Bình Hưng hoà A</t>
  </si>
  <si>
    <t>Phúc An</t>
  </si>
  <si>
    <t>HD065004</t>
  </si>
  <si>
    <t>1027/10 huỳnh tấn phát, phú thuận</t>
  </si>
  <si>
    <t>Tiên - Hoà</t>
  </si>
  <si>
    <t>HD065502</t>
  </si>
  <si>
    <t>88/71a phạm hùng, phường chánh hưng</t>
  </si>
  <si>
    <t>BN182 miki Chouchou Fb</t>
  </si>
  <si>
    <t>HD065527</t>
  </si>
  <si>
    <t>cô dung fb Nini Thach</t>
  </si>
  <si>
    <t>HD065448</t>
  </si>
  <si>
    <t>137/74a âu durong lân-p2</t>
  </si>
  <si>
    <t>Sumin Nguyen</t>
  </si>
  <si>
    <t>HD065615</t>
  </si>
  <si>
    <t>chung cư sài gòn avenue phường tam bình</t>
  </si>
  <si>
    <t>Nguyễn Tâm</t>
  </si>
  <si>
    <t>HD065637</t>
  </si>
  <si>
    <t>16 tân hóa</t>
  </si>
  <si>
    <t>Trần Hương</t>
  </si>
  <si>
    <t>HD065468</t>
  </si>
  <si>
    <t>87 liên ấp 1-2, xã Vĩnh Lộc B</t>
  </si>
  <si>
    <t>Dương Ngọc Lan</t>
  </si>
  <si>
    <t>HD065425</t>
  </si>
  <si>
    <t>Rivergate residence Toà A, số 151-155 bến Vân Đồn</t>
  </si>
  <si>
    <t>Trang Lê</t>
  </si>
  <si>
    <t>HD065653</t>
  </si>
  <si>
    <t>Chung cư mia đường số 9a kdc trung sơn . Xã bình hưng</t>
  </si>
  <si>
    <t>Quỳnh yumi</t>
  </si>
  <si>
    <t>HD065443</t>
  </si>
  <si>
    <t>36/15 yên thế, phường 2</t>
  </si>
  <si>
    <t>c my - fb kim trang</t>
  </si>
  <si>
    <t>HD065426</t>
  </si>
  <si>
    <t>94/3/9 phú thọ hoà</t>
  </si>
  <si>
    <t>Ngoc Thao</t>
  </si>
  <si>
    <t>HD065618</t>
  </si>
  <si>
    <t>71/51/14 Đào Tông Nguyên</t>
  </si>
  <si>
    <t>Ngọc Lan Nguyễn</t>
  </si>
  <si>
    <t>HD065407</t>
  </si>
  <si>
    <t>2225 PHẠM THẾ HIỂN P6 CHUNG CƯ: GREEN RIVER BLOCK B2 (Mặt sau ngay trường học)</t>
  </si>
  <si>
    <t>Nguyệt Quế</t>
  </si>
  <si>
    <t>HD065483</t>
  </si>
  <si>
    <t>346 bến vân đồn, phường vĩnh hội</t>
  </si>
  <si>
    <t>ngọc tú</t>
  </si>
  <si>
    <t>HD065634</t>
  </si>
  <si>
    <t>695/9/3 an dương vương</t>
  </si>
  <si>
    <t>Hồng Lê</t>
  </si>
  <si>
    <t>HD065559</t>
  </si>
  <si>
    <t>Toà S6.03 - Vinhome Gran Park - Long Bình</t>
  </si>
  <si>
    <t>Nguyễn Thị Mỹ Linh</t>
  </si>
  <si>
    <t>HD065457</t>
  </si>
  <si>
    <t>21 đường số 3, khu Cityland Center Hill, phường Hạnh Thông</t>
  </si>
  <si>
    <t>Jasploy9989 (inst slideincloset)</t>
  </si>
  <si>
    <t>HD065476</t>
  </si>
  <si>
    <t>275/14B1 Đặng Nguyên Cẩn, Phường Phú Lâm (phường 14 cũ)</t>
  </si>
  <si>
    <t>Bùi Nhật Hoàng</t>
  </si>
  <si>
    <t>HD065503</t>
  </si>
  <si>
    <t>36 Nguyễn khuyến, phường 12</t>
  </si>
  <si>
    <t>Jo nhân hộ Stella Lee ( PHÒNG 801)</t>
  </si>
  <si>
    <t>HD065455</t>
  </si>
  <si>
    <t>24/22 Đường Đông Du, Phường Bến Nghé</t>
  </si>
  <si>
    <t>CUS38574</t>
  </si>
  <si>
    <t>HD065349</t>
  </si>
  <si>
    <t>38/22/5 khu phố 11 đường lý thường kiệt phường Tân Hòa</t>
  </si>
  <si>
    <t>Đan Khanh</t>
  </si>
  <si>
    <t>HD065621</t>
  </si>
  <si>
    <t>chung cư Goldview 346 Bến Vân Đồn Toà A3</t>
  </si>
  <si>
    <t>xếp hòa fb Yen Truong</t>
  </si>
  <si>
    <t>HD065600</t>
  </si>
  <si>
    <t>687 tân sơn an hội tây</t>
  </si>
  <si>
    <t>at 10-10</t>
  </si>
  <si>
    <t>NGAY 10-10</t>
  </si>
  <si>
    <t>kh ck shop 920k</t>
  </si>
  <si>
    <t>Phương Ly</t>
  </si>
  <si>
    <t>574/15/2 đường sinco bình trị đông</t>
  </si>
  <si>
    <t>AT 12-10</t>
  </si>
  <si>
    <t>12-10-2026</t>
  </si>
  <si>
    <t>AJ POST 12 / NGQL</t>
  </si>
  <si>
    <t>BN8823</t>
  </si>
  <si>
    <t>Thu Yến</t>
  </si>
  <si>
    <t>HD066044</t>
  </si>
  <si>
    <t>104 Linh Trung, Phường Linh Trung</t>
  </si>
  <si>
    <t>Hồng Thuỷ</t>
  </si>
  <si>
    <t>HD065914</t>
  </si>
  <si>
    <t>Công ty Esquel garment Manufact phường Bình hòa</t>
  </si>
  <si>
    <t>ASLEY</t>
  </si>
  <si>
    <t>HD065633</t>
  </si>
  <si>
    <t>241/4 Phạm Ngũ Lão, Bến Thành</t>
  </si>
  <si>
    <t>CUS19950/pelpanhaketya</t>
  </si>
  <si>
    <t>HD066159</t>
  </si>
  <si>
    <t>270B Lý thường kiệt, khu phố 1, Phường 6</t>
  </si>
  <si>
    <t>Đặng Thị Trúc Anh</t>
  </si>
  <si>
    <t>HD065871</t>
  </si>
  <si>
    <t>số 88 đường N3B, khu The Global City, phường Bình Trưng</t>
  </si>
  <si>
    <t>HD065910</t>
  </si>
  <si>
    <t>Cơm Nhà Lúa Khối đế P1 khu A5 Diamond, 3 Đ. Tân Thạnh, Celadon City, Tân Sơn Nhì</t>
  </si>
  <si>
    <t>Minh Hải ( zalo: thuỳ dương para )</t>
  </si>
  <si>
    <t>HD066129</t>
  </si>
  <si>
    <t>Dao Trần</t>
  </si>
  <si>
    <t>HD066042</t>
  </si>
  <si>
    <t>Block D Emerald Celadon, đường N4, Sơn Kỳ</t>
  </si>
  <si>
    <t>Bella Thuý</t>
  </si>
  <si>
    <t>HD066070</t>
  </si>
  <si>
    <t>1646 A võ văn kiet P16 Chung cu Daimond Riviside</t>
  </si>
  <si>
    <t>HD065904</t>
  </si>
  <si>
    <t>selectedstuffpt</t>
  </si>
  <si>
    <t>HD066094</t>
  </si>
  <si>
    <t>giữ hàng</t>
  </si>
  <si>
    <t>Thu Hằng</t>
  </si>
  <si>
    <t>HD065705</t>
  </si>
  <si>
    <t>38A đường 3158A phạm thế hiển phường bình đông (phuong 7) Đối diện cổng trường THPT nguyễn văn linh</t>
  </si>
  <si>
    <t>Duyên Duyên</t>
  </si>
  <si>
    <t>HD065747</t>
  </si>
  <si>
    <t>37 cư xá trần quang diệu p14</t>
  </si>
  <si>
    <t>Sophia Ha</t>
  </si>
  <si>
    <t>HD065992</t>
  </si>
  <si>
    <t>136b yên thế p2</t>
  </si>
  <si>
    <t>Hải Đăng Elly - Đăng</t>
  </si>
  <si>
    <t>HD064199</t>
  </si>
  <si>
    <t>403 Tân Sơn, An Hội Tây</t>
  </si>
  <si>
    <t>Lê fb Anh Nguyen</t>
  </si>
  <si>
    <t>HD066035</t>
  </si>
  <si>
    <t>171/1 Cô Bắc, Phường Cầu Ông Lãnh</t>
  </si>
  <si>
    <t>Trần Thoa</t>
  </si>
  <si>
    <t>HD065847</t>
  </si>
  <si>
    <t>252/3 cao thắng</t>
  </si>
  <si>
    <t>hong vy</t>
  </si>
  <si>
    <t>HD065536</t>
  </si>
  <si>
    <t>d36 đường C2, bảy hiền</t>
  </si>
  <si>
    <t>NT Hồng Cúc</t>
  </si>
  <si>
    <t>HD065765</t>
  </si>
  <si>
    <t>13c lê thánh tôn p bến nghé</t>
  </si>
  <si>
    <t>An Thi</t>
  </si>
  <si>
    <t>HD065691</t>
  </si>
  <si>
    <t>100/124 dương bá trạc p2</t>
  </si>
  <si>
    <t>HD065773</t>
  </si>
  <si>
    <t>Nguyễn Thị Mỹ Lệ</t>
  </si>
  <si>
    <t>HD065907</t>
  </si>
  <si>
    <t>243/2/25 chu văn an p12</t>
  </si>
  <si>
    <t>Nguyễn Nhật Đức Tài</t>
  </si>
  <si>
    <t>HD065819</t>
  </si>
  <si>
    <t>159/61 đường bạch đằng</t>
  </si>
  <si>
    <t>Trang</t>
  </si>
  <si>
    <t>HD066158</t>
  </si>
  <si>
    <t>50 tôn thất tùng bến thành</t>
  </si>
  <si>
    <t>HD065730</t>
  </si>
  <si>
    <t>Nguyễn Hải Phụng</t>
  </si>
  <si>
    <t>HD066051</t>
  </si>
  <si>
    <t>36 bờ bao tân thắng,P. Sơn kỳ (chung cư celedon cổng diamond brilliant block B2)</t>
  </si>
  <si>
    <t>Vu Hoang Van Anh</t>
  </si>
  <si>
    <t>HD065964</t>
  </si>
  <si>
    <t>new city vecine 1 an khánh</t>
  </si>
  <si>
    <t>Quyên</t>
  </si>
  <si>
    <t>HD066087</t>
  </si>
  <si>
    <t>Khách tự book</t>
  </si>
  <si>
    <t>Mỹ Duyên</t>
  </si>
  <si>
    <t>HD066060</t>
  </si>
  <si>
    <t>16 lê văn duyệt phường 1</t>
  </si>
  <si>
    <t>HD065848</t>
  </si>
  <si>
    <t>Cẩm Cẩm</t>
  </si>
  <si>
    <t>HD065943</t>
  </si>
  <si>
    <t>150 Hoàng Trọng Mậu, Tân Hưng</t>
  </si>
  <si>
    <t>Thanh Thảo</t>
  </si>
  <si>
    <t>HD065912</t>
  </si>
  <si>
    <t>47/3 lê trực phường gia định</t>
  </si>
  <si>
    <t>HD066057</t>
  </si>
  <si>
    <t>HD066092</t>
  </si>
  <si>
    <t>Hà Cong</t>
  </si>
  <si>
    <t>HD065919</t>
  </si>
  <si>
    <t>124 Đường 24B, Phường Bình Trị Đông B</t>
  </si>
  <si>
    <t>Minh Hải (Thanh Phan )</t>
  </si>
  <si>
    <t>HD065942</t>
  </si>
  <si>
    <t>17 Đường Số 13 Phường Bình Hưng Hòa</t>
  </si>
  <si>
    <t>Tuyết Như</t>
  </si>
  <si>
    <t>HD066153</t>
  </si>
  <si>
    <t>Park 6A Vinhome Central Park,P.Thạnh Mỹ Tây</t>
  </si>
  <si>
    <t>Nhi</t>
  </si>
  <si>
    <t>HD065995</t>
  </si>
  <si>
    <t>548/23 Điện biên phủ phường 21</t>
  </si>
  <si>
    <t>Ngọc Ngọc</t>
  </si>
  <si>
    <t>HD065974</t>
  </si>
  <si>
    <t>179/16 đình phong phú, phường tăng nhơn phú</t>
  </si>
  <si>
    <t>“NAPATSORN7416”</t>
  </si>
  <si>
    <t>HD065828</t>
  </si>
  <si>
    <t>HD065587</t>
  </si>
  <si>
    <t>ViVi Ng</t>
  </si>
  <si>
    <t>HD065702</t>
  </si>
  <si>
    <t>463B/53D/21 Cách Mạng Tháng 8, Phường 13</t>
  </si>
  <si>
    <t>Nguyễn Tkư/</t>
  </si>
  <si>
    <t>HD065985</t>
  </si>
  <si>
    <t>Hoang Ng Phuong Trinh</t>
  </si>
  <si>
    <t>HD066076</t>
  </si>
  <si>
    <t>Lavida toà B2 1080 nguyễn văn linh, tân hưng</t>
  </si>
  <si>
    <t>at 12-10</t>
  </si>
  <si>
    <t>NGAY 12-10</t>
  </si>
  <si>
    <t>kh ck shop 1175k</t>
  </si>
  <si>
    <t>Thùy Dresss</t>
  </si>
  <si>
    <t>Số 4, đường 11, phường khánh hội</t>
  </si>
  <si>
    <t>13-10-2026</t>
  </si>
  <si>
    <t>AT 13-10</t>
  </si>
  <si>
    <t>Tòa Bs10, vinhome grand park</t>
  </si>
  <si>
    <t>chị thảo</t>
  </si>
  <si>
    <t>Kho 278 1474 Võ Văn Kiệt, P3</t>
  </si>
  <si>
    <t>Quỳnh Như - Thu Hà</t>
  </si>
  <si>
    <t>29/7 Yên Thế, Phường 2 (sau sáp nhập là 29/7 Yên Thế, Phường Tân Sơn Hòa)</t>
  </si>
  <si>
    <t>Bé Sarah</t>
  </si>
  <si>
    <t>HD066378</t>
  </si>
  <si>
    <t>Vinhome grand park toà gh2</t>
  </si>
  <si>
    <t>HD066299</t>
  </si>
  <si>
    <t>Nguyễn Hoài An</t>
  </si>
  <si>
    <t>HD066234</t>
  </si>
  <si>
    <t>15 đặng thai mai p7</t>
  </si>
  <si>
    <t>Hạnh Trần</t>
  </si>
  <si>
    <t>HD066207</t>
  </si>
  <si>
    <t>Chung cư Tecco, block C, đường Nguyễn Cửu Phú, phường Tân Tạo</t>
  </si>
  <si>
    <t>Kim Cương</t>
  </si>
  <si>
    <t>HD066281</t>
  </si>
  <si>
    <t>sân đá mini cỏ nhân tạo nguyên khôi ấp 4 xã bình hưng</t>
  </si>
  <si>
    <t>Nguyễn Diễm</t>
  </si>
  <si>
    <t>HD066530</t>
  </si>
  <si>
    <t>531c-cmt8-p13</t>
  </si>
  <si>
    <t>Tran Hoang Bao</t>
  </si>
  <si>
    <t>HD066401</t>
  </si>
  <si>
    <t>2/11 đường thiên phước, p9</t>
  </si>
  <si>
    <t>fb HUỲNH THẢO GỬI ĐI MALAYSIA</t>
  </si>
  <si>
    <t>HD066318</t>
  </si>
  <si>
    <t>24/5F ẤP ĐÔNG LÂN BÀ ĐIỂM</t>
  </si>
  <si>
    <t>Nguyễn Võ Thuỳ Hương (Hoàng Ngân)</t>
  </si>
  <si>
    <t>HD066526</t>
  </si>
  <si>
    <t>66 đường số 17 phường 10</t>
  </si>
  <si>
    <t>HD066334</t>
  </si>
  <si>
    <t>BN182 MiKi</t>
  </si>
  <si>
    <t>HD066558</t>
  </si>
  <si>
    <t>163 Trương Thị Hoa</t>
  </si>
  <si>
    <t>Quỳnh Anh</t>
  </si>
  <si>
    <t>HD066450</t>
  </si>
  <si>
    <t>369/10 Lý Thái Tổ p9</t>
  </si>
  <si>
    <t>Chế Vân sale</t>
  </si>
  <si>
    <t>HD066362</t>
  </si>
  <si>
    <t>140b nguyễn văn trỗi p8</t>
  </si>
  <si>
    <t>Thảo My</t>
  </si>
  <si>
    <t>HD066273</t>
  </si>
  <si>
    <t>47 Đường Số 11 Cityland, Phường 10</t>
  </si>
  <si>
    <t>Trần Bảo Vy</t>
  </si>
  <si>
    <t>HD066397</t>
  </si>
  <si>
    <t>Số 2 Nguyễn đức thuận, Chung cư nhà công vụ quân khu 7 (Đối diện 59 nguyễn đức thuận)</t>
  </si>
  <si>
    <t>Name: SHUNFEI #83395</t>
  </si>
  <si>
    <t>HD066492</t>
  </si>
  <si>
    <t>160/46 Phan Huy Ích, phường An Hội Tây</t>
  </si>
  <si>
    <t>Pham T T Thuy</t>
  </si>
  <si>
    <t>HD066383</t>
  </si>
  <si>
    <t>576/76/25 Đoàn Văn Bơ Khánh Hội</t>
  </si>
  <si>
    <t>HD066524</t>
  </si>
  <si>
    <t>Lien Huynh</t>
  </si>
  <si>
    <t>HD066237</t>
  </si>
  <si>
    <t>231/57/64 r Đường Bình Tiên, phường 8 cũ</t>
  </si>
  <si>
    <t>HD066345</t>
  </si>
  <si>
    <t>Nguyễn Huyền Trang</t>
  </si>
  <si>
    <t>HD066384</t>
  </si>
  <si>
    <t>67 duong 14 khu lovera khang điền phong phú 4</t>
  </si>
  <si>
    <t>Hoàng Trọng - fb Đang Phượng</t>
  </si>
  <si>
    <t>HD066262</t>
  </si>
  <si>
    <t>90-92 Hoàng Trọng Mậu khu dân cư Him Lam Tân Hưng</t>
  </si>
  <si>
    <t>Quỳnh Nhi</t>
  </si>
  <si>
    <t>HD066436</t>
  </si>
  <si>
    <t>99a đường 49 tân hưng</t>
  </si>
  <si>
    <t>Khanhssi - Lê Mai Thảo Hà</t>
  </si>
  <si>
    <t>HD066157</t>
  </si>
  <si>
    <t>52 đường số 39, khu dân cư Vạn Phúc, Hiệp Bình Phước</t>
  </si>
  <si>
    <t>Yến Nhi ( chị thảo )</t>
  </si>
  <si>
    <t>HD066511</t>
  </si>
  <si>
    <t>406/8 Cộng Hòa, phường 13</t>
  </si>
  <si>
    <t>Người nhận: ZL KIM ÁNH</t>
  </si>
  <si>
    <t>HD066409</t>
  </si>
  <si>
    <t>W24130</t>
  </si>
  <si>
    <t>HD065940</t>
  </si>
  <si>
    <t>624 Lê Thị Riêng</t>
  </si>
  <si>
    <t>Thảo</t>
  </si>
  <si>
    <t>HD066471</t>
  </si>
  <si>
    <t>500/35 đoàn văn bơ p14</t>
  </si>
  <si>
    <t>Thương</t>
  </si>
  <si>
    <t>HD066356</t>
  </si>
  <si>
    <t>494/1/19 Lê Quang Định,p1</t>
  </si>
  <si>
    <t>Tên ng nhận jay bi</t>
  </si>
  <si>
    <t>HD066366</t>
  </si>
  <si>
    <t>341 cao đạt p1</t>
  </si>
  <si>
    <t>HD066253</t>
  </si>
  <si>
    <t>An An</t>
  </si>
  <si>
    <t>HD066406</t>
  </si>
  <si>
    <t>53 bạch đằng phường gia định</t>
  </si>
  <si>
    <t>Châu Cẩm Thu</t>
  </si>
  <si>
    <t>HD066249</t>
  </si>
  <si>
    <t>536/52 âu cơ p10</t>
  </si>
  <si>
    <t>Minh Tú</t>
  </si>
  <si>
    <t>HD066332</t>
  </si>
  <si>
    <t>1002 tạ quang bửu p6 - chung cư Pegasuite 1</t>
  </si>
  <si>
    <t>Nhu Quynh</t>
  </si>
  <si>
    <t>HD065741</t>
  </si>
  <si>
    <t>781 / c9 lê Hồng Phong phường 12</t>
  </si>
  <si>
    <t>HD066259</t>
  </si>
  <si>
    <t>HD066324</t>
  </si>
  <si>
    <t>269 âu dương lân phường chánh hưng</t>
  </si>
  <si>
    <t>Vô Ngã</t>
  </si>
  <si>
    <t>HD066278</t>
  </si>
  <si>
    <t>21/50 Trường Sơn, P4</t>
  </si>
  <si>
    <t>Thiên Bình</t>
  </si>
  <si>
    <t>HD066504</t>
  </si>
  <si>
    <t>90/12A Trần Văn Ơn, F Tân Sơn Nhì</t>
  </si>
  <si>
    <t>( Người nhận: Hải Đăng )Tên : Elly - Đăng</t>
  </si>
  <si>
    <t>HD066322</t>
  </si>
  <si>
    <t>403 Tân Sơn, P.12</t>
  </si>
  <si>
    <t>bống xinh</t>
  </si>
  <si>
    <t>HD066298</t>
  </si>
  <si>
    <t>363 Hùng Vương phường 9 nhà xe Khải nam</t>
  </si>
  <si>
    <t>at 13-10</t>
  </si>
  <si>
    <t>NGAY 13-10</t>
  </si>
  <si>
    <t>2 đơn</t>
  </si>
  <si>
    <t>8</t>
  </si>
  <si>
    <t>14-10-2026</t>
  </si>
  <si>
    <t>Hòa Lê</t>
  </si>
  <si>
    <t>AT 14-10</t>
  </si>
  <si>
    <t>HD066807</t>
  </si>
  <si>
    <t>Thu Thiem Zeit River tower 1 number T1.08.03, Floor 08, Thu thiem</t>
  </si>
  <si>
    <t>HD066733</t>
  </si>
  <si>
    <t>Toà nhà lux 6...Vinhomes Golden River ( Bason), 2 Nguyễn Hữu Cảnh, P. Bến Nghé</t>
  </si>
  <si>
    <t>HD066843</t>
  </si>
  <si>
    <t>Empire city Linden ressidence Mal Chí Thọ Thủ Thiêm</t>
  </si>
  <si>
    <t>HD066596</t>
  </si>
  <si>
    <t>23 nguyễn hữu thọ</t>
  </si>
  <si>
    <t>Yến Trân</t>
  </si>
  <si>
    <t>HD066855</t>
  </si>
  <si>
    <t>457/7a lê văn thọ, p8</t>
  </si>
  <si>
    <t>Trần Hy Kim Ngân</t>
  </si>
  <si>
    <t>HD066715</t>
  </si>
  <si>
    <t>125/16/33 bùi đình tuý phường 14</t>
  </si>
  <si>
    <t>Huỳnh Thanh Thanh</t>
  </si>
  <si>
    <t>HD066848</t>
  </si>
  <si>
    <t>26/2 đường 36 phường bình trưng</t>
  </si>
  <si>
    <t>HD066880</t>
  </si>
  <si>
    <t>Như Như</t>
  </si>
  <si>
    <t>HD066615</t>
  </si>
  <si>
    <t>66/6 An Dương Vương, phường 16</t>
  </si>
  <si>
    <t>HD066533</t>
  </si>
  <si>
    <t>6/24 tân chánh hiệp 36 trung mỹ tây</t>
  </si>
  <si>
    <t>Joanna Pang</t>
  </si>
  <si>
    <t>HD066759</t>
  </si>
  <si>
    <t>Block A2, 20-02, Cc Xi Grand, 258 Lý Thường Kiệt, p14</t>
  </si>
  <si>
    <t>Ten : Minơ fb Lê Tú</t>
  </si>
  <si>
    <t>HD066728</t>
  </si>
  <si>
    <t>Loan Ngô</t>
  </si>
  <si>
    <t>HD066577</t>
  </si>
  <si>
    <t>21 Lê Quang Sung phường Bình Tây (đối diện bến xe chợ lớn)</t>
  </si>
  <si>
    <t>Mai Mai</t>
  </si>
  <si>
    <t>HD066744</t>
  </si>
  <si>
    <t>1041/62/144/4 trần xuân soạn phường tân hưng</t>
  </si>
  <si>
    <t>HD066790</t>
  </si>
  <si>
    <t>778/32/29f Thống Nhất P an hội đông</t>
  </si>
  <si>
    <t>My Võ ZL</t>
  </si>
  <si>
    <t>HD066895</t>
  </si>
  <si>
    <t>86/36/3 PHỔ QUANG, PHƯỜNG TÂN SƠN HOÀ</t>
  </si>
  <si>
    <t>HD066336</t>
  </si>
  <si>
    <t>HD066867</t>
  </si>
  <si>
    <t>Nguyen Lang</t>
  </si>
  <si>
    <t>HD066653</t>
  </si>
  <si>
    <t>224/42/24/19 TX 22, thạnh Xuân</t>
  </si>
  <si>
    <t>Yến Yến</t>
  </si>
  <si>
    <t>HD066793</t>
  </si>
  <si>
    <t>104-102 đường số 28 p bình trị đông b</t>
  </si>
  <si>
    <t>Bùi Vĩ Thương</t>
  </si>
  <si>
    <t>HD066700</t>
  </si>
  <si>
    <t>3273 phạm thế hiển, p7</t>
  </si>
  <si>
    <t>Cẩm Tiên</t>
  </si>
  <si>
    <t>HD066649</t>
  </si>
  <si>
    <t>Chung cư Topaz Elite - Dragon 2A. 457 - 459 Tạ Quang Bửu - Chánh Hưng</t>
  </si>
  <si>
    <t>Elena Nguyễn</t>
  </si>
  <si>
    <t>HD066934</t>
  </si>
  <si>
    <t>56/41 duong ba trạc, Phường 02</t>
  </si>
  <si>
    <t>Vy Vy (Dung)</t>
  </si>
  <si>
    <t>Trúc Phương</t>
  </si>
  <si>
    <t>HD066903</t>
  </si>
  <si>
    <t>70/45 đường 339, Phước Long B</t>
  </si>
  <si>
    <t>Thảo Trang</t>
  </si>
  <si>
    <t>HD066870</t>
  </si>
  <si>
    <t>220/38 nguyễn văn khối p9</t>
  </si>
  <si>
    <t>c Ly</t>
  </si>
  <si>
    <t>HD066898</t>
  </si>
  <si>
    <t>cc Khang Gia 377 Tân Hương. Phường Phú Thọ Hòa</t>
  </si>
  <si>
    <t>Pham Ngoc Nhat Vy</t>
  </si>
  <si>
    <t>HD066919</t>
  </si>
  <si>
    <t>C8 cu xa Phu Tho Hoa p10</t>
  </si>
  <si>
    <t>Phạm Thu Thủy</t>
  </si>
  <si>
    <t>HD066893</t>
  </si>
  <si>
    <t>c26, 295 tấn kỳ Tân quý, Tân Sơn Nhì</t>
  </si>
  <si>
    <t>Đỗ Yến Nhi</t>
  </si>
  <si>
    <t>HD066595</t>
  </si>
  <si>
    <t>Chung cư khiêm khải, phường chánh hưng</t>
  </si>
  <si>
    <t>Nguyễn An Thu Hạ</t>
  </si>
  <si>
    <t>HD066916</t>
  </si>
  <si>
    <t>16 tân canh, tân sơn hoà</t>
  </si>
  <si>
    <t>HD066832</t>
  </si>
  <si>
    <t>242/20 phạm vän bạch p15</t>
  </si>
  <si>
    <t>HD066591</t>
  </si>
  <si>
    <t>Thuỷ</t>
  </si>
  <si>
    <t>HD066866</t>
  </si>
  <si>
    <t>Block b(p2), chung cư sài gòn avenue, đường số 11, p.tam bình</t>
  </si>
  <si>
    <t>Bội M ( Giao giờ hành chính)</t>
  </si>
  <si>
    <t>HD066869</t>
  </si>
  <si>
    <t>Số 03 Đường Ba Tháng Hai, phường Vườn Lài (địa chỉ cũ P.11)</t>
  </si>
  <si>
    <t>HD066845</t>
  </si>
  <si>
    <t>HD066847</t>
  </si>
  <si>
    <t>Thảo Phạm</t>
  </si>
  <si>
    <t>HD066629</t>
  </si>
  <si>
    <t>36/9/21/8 nguyễn triệu luật</t>
  </si>
  <si>
    <t>Bạch Lê</t>
  </si>
  <si>
    <t>HD066568</t>
  </si>
  <si>
    <t>188 quốc lộ 50 phường 6</t>
  </si>
  <si>
    <t>A Cường - Hoàng My</t>
  </si>
  <si>
    <t>HD066579</t>
  </si>
  <si>
    <t>685/78/20 xô viết nghệ tĩnh, phường 26</t>
  </si>
  <si>
    <t>HD066763</t>
  </si>
  <si>
    <t>315/18/6 Nhuyễn Thị Tú, Phường Bình Hưng Hòa B</t>
  </si>
  <si>
    <t>Tâm Trần</t>
  </si>
  <si>
    <t>HD066788</t>
  </si>
  <si>
    <t>86A trần kế xương</t>
  </si>
  <si>
    <t>W3164</t>
  </si>
  <si>
    <t>HD066647</t>
  </si>
  <si>
    <t>375 tân thới hiệp 21, Tổ 3, Kp3 ( nhớ gõ đủ)</t>
  </si>
  <si>
    <t>Ngọc Thuý - fb Nhi Do</t>
  </si>
  <si>
    <t>HD066929</t>
  </si>
  <si>
    <t>Số 1242b, Đường Lê Văn Lương, Ấp 3, Xã Phước Kiển</t>
  </si>
  <si>
    <t>Jennytram</t>
  </si>
  <si>
    <t>HD066884</t>
  </si>
  <si>
    <t>418/4 trường sa phường cầu kiệu</t>
  </si>
  <si>
    <t>Sang - fb Ivy Thuy Pham sale</t>
  </si>
  <si>
    <t>HD066665</t>
  </si>
  <si>
    <t>tên vân</t>
  </si>
  <si>
    <t>HD066742</t>
  </si>
  <si>
    <t>33/61 bến lội kp7 bình trị đông A</t>
  </si>
  <si>
    <t>Tâm trần - fb ( Cẩm Giang) Kim Sarang</t>
  </si>
  <si>
    <t>HD066783</t>
  </si>
  <si>
    <t>Thiên Nhi</t>
  </si>
  <si>
    <t>HD066754</t>
  </si>
  <si>
    <t>21 xóm voi p chợ lớn</t>
  </si>
  <si>
    <t>Veriska Foxie</t>
  </si>
  <si>
    <t>HD066861</t>
  </si>
  <si>
    <t>392/20/74 Cao Thắng, P.Hoà Hưng</t>
  </si>
  <si>
    <t>Mỹ Huyền</t>
  </si>
  <si>
    <t>HD066720</t>
  </si>
  <si>
    <t>54 phùng văn cung, phương 7, phú nhuận</t>
  </si>
  <si>
    <t>at 14-10</t>
  </si>
  <si>
    <t>NGAY 14-10</t>
  </si>
  <si>
    <t>kh ck shop 760k</t>
  </si>
  <si>
    <t>đổi hàng, kh ck shop 840k</t>
  </si>
  <si>
    <t>6</t>
  </si>
  <si>
    <t>Trần Hoàng Quyên</t>
  </si>
  <si>
    <t>HD067222</t>
  </si>
  <si>
    <t>469/40 đoàn văn bơ phuong xóm chiếu</t>
  </si>
  <si>
    <t>15-10-2026</t>
  </si>
  <si>
    <t>W24130 Labelle</t>
  </si>
  <si>
    <t>HD067255</t>
  </si>
  <si>
    <t>624 Lê Thị Riêng, thới an - Bãi xe thiên Quân</t>
  </si>
  <si>
    <t>HD067162</t>
  </si>
  <si>
    <t>sân đá mini cỏ nhân tạo nguyên khối ấp 4 xã bình hưng</t>
  </si>
  <si>
    <t>AT 15-10</t>
  </si>
  <si>
    <t>quỳnh trang</t>
  </si>
  <si>
    <t>HD066978</t>
  </si>
  <si>
    <t>11 thép mới</t>
  </si>
  <si>
    <t>HD067100</t>
  </si>
  <si>
    <t>Đông Phạm</t>
  </si>
  <si>
    <t>HD067071</t>
  </si>
  <si>
    <t>88 hùng vương p1</t>
  </si>
  <si>
    <t>Thúy Hằngg</t>
  </si>
  <si>
    <t>HD067227</t>
  </si>
  <si>
    <t>53 đường số 9 khu dân cư Him Lam, phường Tân Hưng</t>
  </si>
  <si>
    <t>Tú Uyên</t>
  </si>
  <si>
    <t>HD067247</t>
  </si>
  <si>
    <t>64A đường số 51, tân hưng</t>
  </si>
  <si>
    <t>HD067228</t>
  </si>
  <si>
    <t>29 đường số 18, phường hiệp bình</t>
  </si>
  <si>
    <t>Anh Cáo</t>
  </si>
  <si>
    <t>HD067252</t>
  </si>
  <si>
    <t>557/14/7 Nguyễn Văn Khối, phường 8</t>
  </si>
  <si>
    <t>HD066878</t>
  </si>
  <si>
    <t>403 Tân Sơn P.12</t>
  </si>
  <si>
    <t>Chị Hằng</t>
  </si>
  <si>
    <t>KDC An Phú new city Ng~ Hoàng, An Phú</t>
  </si>
  <si>
    <t>HD067081</t>
  </si>
  <si>
    <t>chị phương</t>
  </si>
  <si>
    <t>HD067034</t>
  </si>
  <si>
    <t>258/77/2 duong ba trac p2</t>
  </si>
  <si>
    <t>tran hang my(X391)</t>
  </si>
  <si>
    <t>HD067122</t>
  </si>
  <si>
    <t>5/5 Nguyễn Văn Vĩnh, phường Tân Sơn Nhất</t>
  </si>
  <si>
    <t>Quỳnh Nga</t>
  </si>
  <si>
    <t>HDO1791965444010_472517</t>
  </si>
  <si>
    <t>36/2a duong Nguyễn Văn Bứa, xã Xuân Thoi Son</t>
  </si>
  <si>
    <t>Kim Ân Hân</t>
  </si>
  <si>
    <t>HD067030</t>
  </si>
  <si>
    <t>009 Lô f chung cư Ngô gia tự p2</t>
  </si>
  <si>
    <t>Hà Oanh</t>
  </si>
  <si>
    <t>HD067118</t>
  </si>
  <si>
    <t>Chung cư bộ công an, đường số 3,lock A, sảnh A2, phường an khánh</t>
  </si>
  <si>
    <t>HSM Jingg</t>
  </si>
  <si>
    <t>HD067103</t>
  </si>
  <si>
    <t>177C Đường số 1, Phường Bình Hưng Hòa B</t>
  </si>
  <si>
    <t>Chaupha Nguyen</t>
  </si>
  <si>
    <t>HD067132</t>
  </si>
  <si>
    <t>225 đường phan anh phương binh tri đông</t>
  </si>
  <si>
    <t>quý bùi</t>
  </si>
  <si>
    <t>HD067077</t>
  </si>
  <si>
    <t>463b/27 cmt8 hòa hưng p13 cũ</t>
  </si>
  <si>
    <t>Hoàng Hồng</t>
  </si>
  <si>
    <t>HD067101</t>
  </si>
  <si>
    <t>245 Nguyễn văn hưởng thảo điền</t>
  </si>
  <si>
    <t>Niie Bao Bei</t>
  </si>
  <si>
    <t>HD066897</t>
  </si>
  <si>
    <t>Iris2 Chung cư Ha Do centrosa đường Cao Thắng Hoà Hưng</t>
  </si>
  <si>
    <t>Maria ngọc nguyen</t>
  </si>
  <si>
    <t>HD067210</t>
  </si>
  <si>
    <t>tòa c 11.6 lumeeveboulevard đường xiển phường long bình</t>
  </si>
  <si>
    <t>MC Nita Smile (MV01709)</t>
  </si>
  <si>
    <t>HD067021</t>
  </si>
  <si>
    <t>(BÃI XE KIẾN LONG) C10/2B QL1A, Xã Tân Nhựt</t>
  </si>
  <si>
    <t>Minh Hồng Nguyễn</t>
  </si>
  <si>
    <t>HD067277</t>
  </si>
  <si>
    <t>jasmine 1 Hà đô -118 Đường 3/2, phường 12</t>
  </si>
  <si>
    <t>Nguyễn thị Bé - fb Angel's Thai</t>
  </si>
  <si>
    <t>HD067102</t>
  </si>
  <si>
    <t>Empire City Thủ Thiêm, Cây Bàn, Tháp Linden, Phường Thủ Thiêm</t>
  </si>
  <si>
    <t>Na ( Fb Cana Nguyên )</t>
  </si>
  <si>
    <t>HDO1792036195678_472517</t>
  </si>
  <si>
    <t>230/2B/8 Mã Lò - Bình Trị Đông A</t>
  </si>
  <si>
    <t>Minh Trang</t>
  </si>
  <si>
    <t>HD067064</t>
  </si>
  <si>
    <t>1-3 Năm Châu phường Bảy Hiền</t>
  </si>
  <si>
    <t>Thanh Ngân</t>
  </si>
  <si>
    <t>HD067187</t>
  </si>
  <si>
    <t>14/188 Phạm Hùng, Bình Hưng</t>
  </si>
  <si>
    <t>BN2705</t>
  </si>
  <si>
    <t>HD067257</t>
  </si>
  <si>
    <t>163 Trương Thị Hoa, phường Tân Thới Hiệp</t>
  </si>
  <si>
    <t>nguyễn Cẩm ly</t>
  </si>
  <si>
    <t>HD067106</t>
  </si>
  <si>
    <t>4/4/14 Đường số 3, Hiệp Bình Phước</t>
  </si>
  <si>
    <t>Nguyễn Huyền Sương</t>
  </si>
  <si>
    <t>HD067280</t>
  </si>
  <si>
    <t>113/49/29 Lâm Thị Hố, Tân Chánh Hiệp</t>
  </si>
  <si>
    <t>Quế anh</t>
  </si>
  <si>
    <t>HD067195</t>
  </si>
  <si>
    <t>36/17 lê thị hồng, p17</t>
  </si>
  <si>
    <t>ONE M(*OM615*/SUSI)</t>
  </si>
  <si>
    <t>HD067109</t>
  </si>
  <si>
    <t>22,TÂN THỚI NHẤT 1B, Phường Tân Thới Nhất</t>
  </si>
  <si>
    <t>Tường Vy</t>
  </si>
  <si>
    <t>HD067083</t>
  </si>
  <si>
    <t>61/14 an bình p6</t>
  </si>
  <si>
    <t>Yang Yang</t>
  </si>
  <si>
    <t>HD067156</t>
  </si>
  <si>
    <t>32 đường số 8 KDC Cityland park hill p10</t>
  </si>
  <si>
    <t>kh ck shop 2720k</t>
  </si>
  <si>
    <t>HD067229</t>
  </si>
  <si>
    <t>37 Cư Xá trần quang diệu p14</t>
  </si>
  <si>
    <t>dung - fb My Ruan</t>
  </si>
  <si>
    <t>HD067025</t>
  </si>
  <si>
    <t>32 ng du. Bến nghé</t>
  </si>
  <si>
    <t>Miew</t>
  </si>
  <si>
    <t>at 15-10</t>
  </si>
  <si>
    <t>NGAY 15-10</t>
  </si>
  <si>
    <t>Chi Nguyen</t>
  </si>
  <si>
    <t>312 Lô G cư xá Thanh Đa, p. Bình Quới</t>
  </si>
  <si>
    <t>16-10-2026</t>
  </si>
  <si>
    <t>Milly Đỗ</t>
  </si>
  <si>
    <t>HD067453</t>
  </si>
  <si>
    <t>14/144/10/7 phạm hùng, bình hưng</t>
  </si>
  <si>
    <t>AT 16-10</t>
  </si>
  <si>
    <t>.Endny/ HOANG MEO</t>
  </si>
  <si>
    <t>HD067328</t>
  </si>
  <si>
    <t>22, ĐƯỜNG TÂN THỚI NHẤT 1B, PHƯỜNG TÂN THỚI NHẤT</t>
  </si>
  <si>
    <t>Mai Lê</t>
  </si>
  <si>
    <t>HD067391</t>
  </si>
  <si>
    <t>204/B12 Nguyễn văn hưởng, p thảo điền</t>
  </si>
  <si>
    <t>Bảo Uyên</t>
  </si>
  <si>
    <t>HD067329</t>
  </si>
  <si>
    <t>5606a vinhome grand park ( Đ. cầu vồng, Long Bình)</t>
  </si>
  <si>
    <t>Trân Helen</t>
  </si>
  <si>
    <t>HD067483</t>
  </si>
  <si>
    <t>36/15 Yên Thế, Phường Tân Sơn Hoà, Phường Tân Bình</t>
  </si>
  <si>
    <t>HD067368</t>
  </si>
  <si>
    <t>Christy Lương</t>
  </si>
  <si>
    <t>HD067357</t>
  </si>
  <si>
    <t>1079 tạ quang bửu phường bình đông</t>
  </si>
  <si>
    <t>Thanh Thảo Sumi</t>
  </si>
  <si>
    <t>HD067392</t>
  </si>
  <si>
    <t>Căn 16.07 toà A2 chung cư Hoàng Anh River View, số 37 đường Nguyễn Văn Hưởng, phường An Khánh (phường cũ là Thảo Điền)</t>
  </si>
  <si>
    <t>HD067386</t>
  </si>
  <si>
    <t>Saigon riverside complex (block C1) Số 4 đào trí phú thuận</t>
  </si>
  <si>
    <t>Tran Ngọc</t>
  </si>
  <si>
    <t>HD067400</t>
  </si>
  <si>
    <t>449 lạc long quân phường 5</t>
  </si>
  <si>
    <t>Thanh Hiền</t>
  </si>
  <si>
    <t>HD067569</t>
  </si>
  <si>
    <t>Block D1, Chung cư Hoàng Anh Gia Lai 3, Đường Nguyễn Hữu Thọ, xã Phước Kiển</t>
  </si>
  <si>
    <t>Việt Trinh</t>
  </si>
  <si>
    <t>HD067371</t>
  </si>
  <si>
    <t>Số 42, Đường Phùng Hưng Phường Chợ Lớn</t>
  </si>
  <si>
    <t>Hồng Nguyễn</t>
  </si>
  <si>
    <t>HD067451</t>
  </si>
  <si>
    <t>621 Tân Kỳ Tân Quý, P. Bình Hưng Hòa</t>
  </si>
  <si>
    <t>HD067377</t>
  </si>
  <si>
    <t>chung cư sunrise city view block B</t>
  </si>
  <si>
    <t>Thao Yumi</t>
  </si>
  <si>
    <t>HD067551</t>
  </si>
  <si>
    <t>Số 17, Đường Số 13, Phường Bình Hưng Hòa</t>
  </si>
  <si>
    <t>HD067598</t>
  </si>
  <si>
    <t>HD067527</t>
  </si>
  <si>
    <t>156 Trần Nhân Tôn, phường Vườn Lài (phường 2)</t>
  </si>
  <si>
    <t>Veriska Erica</t>
  </si>
  <si>
    <t>HD067552</t>
  </si>
  <si>
    <t>Lan Anh Nguyễn</t>
  </si>
  <si>
    <t>HD067596</t>
  </si>
  <si>
    <t>96 hoàng hoa thám</t>
  </si>
  <si>
    <t>THI (KT Ng)</t>
  </si>
  <si>
    <t>HD067570</t>
  </si>
  <si>
    <t>39 Nguyen thi Thap khu dan cu him lam phuong tan hung ( me in nail)</t>
  </si>
  <si>
    <t>Dinh Luong</t>
  </si>
  <si>
    <t>HD067500</t>
  </si>
  <si>
    <t>246 nguyễn duy dương f4</t>
  </si>
  <si>
    <t>Trần Thảo Anh</t>
  </si>
  <si>
    <t>HD067567</t>
  </si>
  <si>
    <t>Veronica Nhà Màu Vàng, 216/26, Nguyễn Văn Hưởng, Phường An Khánh</t>
  </si>
  <si>
    <t>Đinh Lily</t>
  </si>
  <si>
    <t>HD067487</t>
  </si>
  <si>
    <t>33C Song Hành Quốc Lộ 50, Phong Phú</t>
  </si>
  <si>
    <t>Phạm Vũ Minh Hậu</t>
  </si>
  <si>
    <t>HD067447</t>
  </si>
  <si>
    <t>The Opera Biệt thự Valora Ik6.33 đường số 11, Lk6-33 mới đúng ạ, đường số 11, Xã Bình Hưng</t>
  </si>
  <si>
    <t>Tố Như</t>
  </si>
  <si>
    <t>HD067550</t>
  </si>
  <si>
    <t>688/23/1C Hương Lộ 2, Phường Bình Trị Đông A</t>
  </si>
  <si>
    <t>Hằng Kimm</t>
  </si>
  <si>
    <t>HD067330</t>
  </si>
  <si>
    <t>31/3 ung văn khiêm thạnh mỹ tây</t>
  </si>
  <si>
    <t>Ngọc Hiền</t>
  </si>
  <si>
    <t>HD067584</t>
  </si>
  <si>
    <t>13c lê thánh tôn</t>
  </si>
  <si>
    <t>Nguyễn Ngọc Thiên Hương</t>
  </si>
  <si>
    <t>HD067544</t>
  </si>
  <si>
    <t>16 đường 168 Phước Long A</t>
  </si>
  <si>
    <t>HD067599</t>
  </si>
  <si>
    <t>38A đường 3158A phạm thế hiển phường bình đông(phuong 7) Đối diệncổng trường THPT nguyễn văn linh</t>
  </si>
  <si>
    <t>Jessicaa</t>
  </si>
  <si>
    <t>HD067352</t>
  </si>
  <si>
    <t>17A Cộng Hòa, Tân Sơn Nhất</t>
  </si>
  <si>
    <t>Chế Vân</t>
  </si>
  <si>
    <t>HD067563</t>
  </si>
  <si>
    <t>496/1/56 dương quảng hàm phường an nhơn</t>
  </si>
  <si>
    <t>HD067601</t>
  </si>
  <si>
    <t>Vũ Thị Hà</t>
  </si>
  <si>
    <t>HD067607</t>
  </si>
  <si>
    <t>20 vũ tông phan</t>
  </si>
  <si>
    <t>Bảo Như</t>
  </si>
  <si>
    <t>HD067374</t>
  </si>
  <si>
    <t>e208 nguyễn hữu cảnh p22 toà nhà landmark 3</t>
  </si>
  <si>
    <t>HD067573</t>
  </si>
  <si>
    <t>andu dang</t>
  </si>
  <si>
    <t>24/5G, Ấp Đông Lân, Xã Bà Điểm</t>
  </si>
  <si>
    <t>phương uyên</t>
  </si>
  <si>
    <t>290 An Dương Vương phường 4 (phường Chợ Quán mới)</t>
  </si>
  <si>
    <t>KHONGKWAN</t>
  </si>
  <si>
    <t>Ngõ 72 đường 18B, phường Bình Hưng Hòa A</t>
  </si>
  <si>
    <t>Nguyễn Minh Hải ( Bow)</t>
  </si>
  <si>
    <t>17 Đường Số 13 Bình Hưng Hòa</t>
  </si>
  <si>
    <t>Minea</t>
  </si>
  <si>
    <t>363 Hùng Vương, Phường 9</t>
  </si>
  <si>
    <t>DaRaVin</t>
  </si>
  <si>
    <t>301 Phạm Ngũ Lão, Phường Phạm Ngũ Lão</t>
  </si>
  <si>
    <t>at 16-10</t>
  </si>
  <si>
    <t>NGAY 16-10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</si>
</sst>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54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5" fillId="11" borderId="1" xfId="0" applyFont="1" applyFill="1" applyBorder="1"/>
    <xf numFmtId="0" fontId="0" fillId="10" borderId="1" xfId="0" applyFill="1" applyBorder="1"/>
    <xf numFmtId="0" fontId="0" fillId="10" borderId="0" xfId="0" applyFill="1"/>
    <xf numFmtId="0" fontId="5" fillId="11" borderId="0" xfId="0" applyFont="1" applyFill="1"/>
    <xf numFmtId="3" fontId="0" fillId="10" borderId="0" xfId="0" applyNumberFormat="1" applyFill="1"/>
    <xf numFmtId="0" fontId="5" fillId="10" borderId="1" xfId="0" applyFon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16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 t="str">
        <f ca="1"/>
        <v>08-10</v>
      </c>
      <c r="B9" s="4">
        <f t="shared" ca="1" si="1"/>
        <v>24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1</v>
      </c>
      <c r="E9" s="4">
        <f t="shared" ca="1" si="0"/>
        <v>23</v>
      </c>
    </row>
    <row r="10" spans="1:5" x14ac:dyDescent="0.25">
      <c r="A10" s="3" t="str">
        <f ca="1"/>
        <v>09-10</v>
      </c>
      <c r="B10" s="4">
        <f t="shared" ca="1" si="1"/>
        <v>37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37</v>
      </c>
    </row>
    <row r="11" spans="1:5" x14ac:dyDescent="0.25">
      <c r="A11" s="3" t="str">
        <f ca="1"/>
        <v>10-10</v>
      </c>
      <c r="B11" s="4">
        <f t="shared" ca="1" si="1"/>
        <v>31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1</v>
      </c>
      <c r="E11" s="4">
        <f t="shared" ca="1" si="0"/>
        <v>30</v>
      </c>
    </row>
    <row r="12" spans="1:5" x14ac:dyDescent="0.25">
      <c r="A12" s="3" t="str">
        <f ca="1"/>
        <v>12-10</v>
      </c>
      <c r="B12" s="4">
        <f t="shared" ca="1" si="1"/>
        <v>53</v>
      </c>
      <c r="C12" s="4">
        <f t="shared" ca="1" si="2"/>
        <v>1</v>
      </c>
      <c r="D12" s="4" cm="1">
        <f t="array" aca="1" ref="D12" ca="1">IFERROR(SUM(COUNTIF(INDIRECT("'"&amp;A12&amp;"'!M3:M200"),{"*đơn trả*","*hàng tỉnh*"})),0)</f>
        <v>2</v>
      </c>
      <c r="E12" s="4">
        <f t="shared" ca="1" si="0"/>
        <v>50</v>
      </c>
    </row>
    <row r="13" spans="1:5" x14ac:dyDescent="0.25">
      <c r="A13" s="3" t="str">
        <f ca="1"/>
        <v>13-10</v>
      </c>
      <c r="B13" s="4">
        <f t="shared" ca="1" si="1"/>
        <v>47</v>
      </c>
      <c r="C13" s="4">
        <f t="shared" ca="1" si="2"/>
        <v>1</v>
      </c>
      <c r="D13" s="4" cm="1">
        <f t="array" aca="1" ref="D13" ca="1">IFERROR(SUM(COUNTIF(INDIRECT("'"&amp;A13&amp;"'!M3:M200"),{"*đơn trả*","*hàng tỉnh*"})),0)</f>
        <v>3</v>
      </c>
      <c r="E13" s="4">
        <f t="shared" ca="1" si="0"/>
        <v>43</v>
      </c>
    </row>
    <row r="14" spans="1:5" x14ac:dyDescent="0.25">
      <c r="A14" s="3" t="str">
        <f ca="1"/>
        <v>14-10</v>
      </c>
      <c r="B14" s="4">
        <f t="shared" ca="1" si="1"/>
        <v>56</v>
      </c>
      <c r="C14" s="4">
        <f t="shared" ca="1" si="2"/>
        <v>1</v>
      </c>
      <c r="D14" s="4" cm="1">
        <f t="array" aca="1" ref="D14" ca="1">IFERROR(SUM(COUNTIF(INDIRECT("'"&amp;A14&amp;"'!M3:M200"),{"*đơn trả*","*hàng tỉnh*"})),0)</f>
        <v>4</v>
      </c>
      <c r="E14" s="4">
        <f t="shared" ca="1" si="0"/>
        <v>51</v>
      </c>
    </row>
    <row r="15" spans="1:5" x14ac:dyDescent="0.25">
      <c r="A15" s="3" t="str">
        <f ca="1"/>
        <v>15-10</v>
      </c>
      <c r="B15" s="4">
        <f t="shared" ca="1" si="1"/>
        <v>41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41</v>
      </c>
    </row>
    <row r="16" spans="1:5" x14ac:dyDescent="0.25">
      <c r="A16" s="3" t="str">
        <f ca="1"/>
        <v>16-10</v>
      </c>
      <c r="B16" s="4">
        <f t="shared" ca="1" si="1"/>
        <v>46</v>
      </c>
      <c r="C16" s="4">
        <f t="shared" ca="1" si="2"/>
        <v>1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45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600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2703</v>
      </c>
    </row>
    <row r="31" spans="1:5" x14ac:dyDescent="0.25">
      <c r="D31" s="5" t="s">
        <v>7</v>
      </c>
      <c r="E31" s="5">
        <f ca="1">-E29*2</f>
        <v>-1200</v>
      </c>
    </row>
    <row r="32" spans="1:5" x14ac:dyDescent="0.25">
      <c r="D32" s="5" t="s">
        <v>8</v>
      </c>
      <c r="E32" s="5">
        <f ca="1">SUBTOTAL(9,E30:E31)</f>
        <v>1503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51" t="s">
        <v>189</v>
      </c>
      <c r="D57" s="51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52">
        <f>SUMIFS(I$3:I$53,B$3:B$53,A$57,L$3:L$53,A$58)</f>
        <v>35480</v>
      </c>
      <c r="D58" s="52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53">
        <v>0</v>
      </c>
      <c r="D59" s="53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53">
        <f>-SUMIFS(I$3:I$53,B$3:B$53,A$57,P$3:P$53,"xx",N$3:N$53,"x")</f>
        <v>-1485</v>
      </c>
      <c r="D60" s="53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51">
        <f>SUBTOTAL(9,C58:C60)</f>
        <v>33995</v>
      </c>
      <c r="D61" s="51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9"/>
      <c r="D62" s="49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9"/>
      <c r="D63" s="49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50">
        <f>C61+C62+C63</f>
        <v>33995</v>
      </c>
      <c r="D65" s="50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51" t="s">
        <v>189</v>
      </c>
      <c r="D54" s="51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52">
        <f>SUMIFS(I$3:I$50,B$3:B$50,A$54,L$3:L$50,A$55)</f>
        <v>33160</v>
      </c>
      <c r="D55" s="52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53">
        <v>0</v>
      </c>
      <c r="D56" s="53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53">
        <f>-SUMIFS(I$3:I$50,B$3:B$50,A$54,P$3:P$50,"xx",N$3:N$50,"x")</f>
        <v>-15</v>
      </c>
      <c r="D57" s="53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51">
        <f>SUBTOTAL(9,C55:C57)</f>
        <v>33145</v>
      </c>
      <c r="D58" s="51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9"/>
      <c r="D60" s="49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9"/>
      <c r="D61" s="49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50">
        <f>C58+C60+C61</f>
        <v>33145</v>
      </c>
      <c r="D63" s="50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51" t="s">
        <v>189</v>
      </c>
      <c r="D38" s="51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52">
        <f>SUMIFS(I$3:I$34,B$3:B$34,A$38,L$3:L$34,A$39)</f>
        <v>20240</v>
      </c>
      <c r="D39" s="52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53">
        <v>0</v>
      </c>
      <c r="D40" s="53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53">
        <f>-SUMIFS(I$3:I$34,B$3:B$34,A$38,P$3:P$34,"xx",N$3:N$34,"x")</f>
        <v>-730</v>
      </c>
      <c r="D41" s="53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51">
        <f>SUBTOTAL(9,C39:C41)</f>
        <v>19510</v>
      </c>
      <c r="D42" s="51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9"/>
      <c r="D43" s="49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9"/>
      <c r="D44" s="49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50">
        <f>C42+C43+C44</f>
        <v>19510</v>
      </c>
      <c r="D46" s="50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51" t="s">
        <v>189</v>
      </c>
      <c r="D88" s="51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52">
        <f>SUMIFS(I$3:I$84,B$3:B$84,A$88,L$3:L$84,A$89)</f>
        <v>59285</v>
      </c>
      <c r="D89" s="52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53">
        <v>0</v>
      </c>
      <c r="D90" s="53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53">
        <f>-SUMIFS(I$3:I$84,B$3:B$84,A$88,P$3:P$84,"xx",N$3:N$84,"x")</f>
        <v>-3490</v>
      </c>
      <c r="D91" s="53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51">
        <f>SUBTOTAL(9,C89:C91)</f>
        <v>55795</v>
      </c>
      <c r="D92" s="51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9"/>
      <c r="D93" s="49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9"/>
      <c r="D94" s="49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50">
        <f>C92+C93+C94</f>
        <v>55795</v>
      </c>
      <c r="D96" s="50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51" t="s">
        <v>189</v>
      </c>
      <c r="D51" s="51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52">
        <f>SUMIFS(I$3:I$47,B$3:B$47,A$51,L$3:L$47,A$52)</f>
        <v>26130</v>
      </c>
      <c r="D52" s="52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53">
        <v>0</v>
      </c>
      <c r="D53" s="53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53">
        <f>-SUMIFS(I$3:I$47,B$3:B$47,A$51,P$3:P$47,"xx",N$3:N$47,"x")</f>
        <v>-2495</v>
      </c>
      <c r="D54" s="53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51">
        <f>SUBTOTAL(9,C52:C54)</f>
        <v>23635</v>
      </c>
      <c r="D55" s="51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9"/>
      <c r="D56" s="49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9"/>
      <c r="D57" s="49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50">
        <f>C55+C56+C57</f>
        <v>23635</v>
      </c>
      <c r="D59" s="50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0</v>
      </c>
      <c r="H4" s="21">
        <v>35</v>
      </c>
      <c r="I4" s="21">
        <f t="shared" si="0"/>
        <v>-35</v>
      </c>
      <c r="J4" s="20" t="s">
        <v>810</v>
      </c>
      <c r="K4" s="20" t="s">
        <v>31</v>
      </c>
      <c r="L4" s="20" t="s">
        <v>798</v>
      </c>
      <c r="M4" s="23" t="s">
        <v>903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0</v>
      </c>
      <c r="H14" s="21">
        <v>20</v>
      </c>
      <c r="I14" s="21">
        <f t="shared" si="0"/>
        <v>-20</v>
      </c>
      <c r="J14" s="20" t="s">
        <v>31</v>
      </c>
      <c r="K14" s="20" t="s">
        <v>31</v>
      </c>
      <c r="L14" s="20" t="s">
        <v>798</v>
      </c>
      <c r="M14" s="23" t="s">
        <v>905</v>
      </c>
      <c r="N14" s="20"/>
      <c r="O14" s="20"/>
      <c r="P14" s="20"/>
      <c r="Q14" s="20">
        <v>1</v>
      </c>
      <c r="R14" s="8">
        <f>H14</f>
        <v>20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798</v>
      </c>
      <c r="M39" s="43" t="s">
        <v>904</v>
      </c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27485</v>
      </c>
      <c r="H41" s="9">
        <f t="shared" si="2"/>
        <v>1000</v>
      </c>
      <c r="I41" s="9">
        <f t="shared" si="2"/>
        <v>26485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51" t="s">
        <v>189</v>
      </c>
      <c r="D43" s="51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52">
        <f>SUMIFS(I$3:I$39,B$3:B$39,A$43,L$3:L$39,A$44)</f>
        <v>26485</v>
      </c>
      <c r="D44" s="52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11830</v>
      </c>
      <c r="M44">
        <f>SUMIFS(Q$3:Q$39,J$3:J$39,K$43)-INT(COUNTIFS(J$3:J$39,K$43,M$3:M$39,"*gộp*")/2)</f>
        <v>13</v>
      </c>
      <c r="O44" t="s">
        <v>30</v>
      </c>
      <c r="P44">
        <f>L49</f>
        <v>11550</v>
      </c>
    </row>
    <row r="45" spans="1:18" x14ac:dyDescent="0.25">
      <c r="B45" s="13" t="s">
        <v>196</v>
      </c>
      <c r="C45" s="53">
        <v>0</v>
      </c>
      <c r="D45" s="53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4713</v>
      </c>
    </row>
    <row r="46" spans="1:18" x14ac:dyDescent="0.25">
      <c r="B46" s="13" t="s">
        <v>199</v>
      </c>
      <c r="C46" s="53">
        <f>-SUMIFS(I$3:I$39,B$3:B$39,A$43,P$3:P$39,"xx",N$3:N$39,"x")</f>
        <v>0</v>
      </c>
      <c r="D46" s="53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10368</v>
      </c>
    </row>
    <row r="47" spans="1:18" x14ac:dyDescent="0.25">
      <c r="B47" s="10" t="s">
        <v>201</v>
      </c>
      <c r="C47" s="51">
        <f>SUBTOTAL(9,C44:C46)</f>
        <v>26485</v>
      </c>
      <c r="D47" s="51"/>
      <c r="E47">
        <f>E44</f>
        <v>37</v>
      </c>
      <c r="K47" s="14" t="s">
        <v>186</v>
      </c>
      <c r="O47" t="s">
        <v>203</v>
      </c>
      <c r="P47">
        <f>-C51</f>
        <v>-26485</v>
      </c>
    </row>
    <row r="48" spans="1:18" x14ac:dyDescent="0.25">
      <c r="B48" s="13" t="s">
        <v>204</v>
      </c>
      <c r="C48" s="49"/>
      <c r="D48" s="49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49"/>
      <c r="D49" s="49"/>
      <c r="L49" s="16">
        <f>SUBTOTAL(9,L44:L48)</f>
        <v>11550</v>
      </c>
      <c r="M49" s="16">
        <f>M44</f>
        <v>13</v>
      </c>
    </row>
    <row r="51" spans="2:13" x14ac:dyDescent="0.25">
      <c r="B51" s="9" t="s">
        <v>208</v>
      </c>
      <c r="C51" s="50">
        <f>C47+C48+C49</f>
        <v>26485</v>
      </c>
      <c r="D51" s="50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5055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4713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10600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10368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FBE9-456A-42BA-958B-C36BDB39B97A}">
  <dimension ref="A1:R52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44.42578125" customWidth="1"/>
    <col min="4" max="4" width="9.85546875" customWidth="1"/>
    <col min="5" max="5" width="74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964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933</v>
      </c>
      <c r="D3" s="20" t="s">
        <v>934</v>
      </c>
      <c r="E3" s="20" t="s">
        <v>935</v>
      </c>
      <c r="F3" s="21">
        <v>6</v>
      </c>
      <c r="G3" s="21">
        <v>0</v>
      </c>
      <c r="H3" s="21">
        <v>25</v>
      </c>
      <c r="I3" s="21">
        <f t="shared" ref="I3:I26" si="0">G3-H3</f>
        <v>-25</v>
      </c>
      <c r="J3" s="20" t="s">
        <v>936</v>
      </c>
      <c r="K3" s="20" t="s">
        <v>31</v>
      </c>
      <c r="L3" s="20" t="s">
        <v>909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949</v>
      </c>
      <c r="D4" s="20" t="s">
        <v>950</v>
      </c>
      <c r="E4" s="20" t="s">
        <v>951</v>
      </c>
      <c r="F4" s="21">
        <v>6</v>
      </c>
      <c r="G4" s="21">
        <v>1105</v>
      </c>
      <c r="H4" s="21">
        <v>25</v>
      </c>
      <c r="I4" s="21">
        <f t="shared" si="0"/>
        <v>1080</v>
      </c>
      <c r="J4" s="20" t="s">
        <v>936</v>
      </c>
      <c r="K4" s="20" t="s">
        <v>31</v>
      </c>
      <c r="L4" s="20" t="s">
        <v>909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955</v>
      </c>
      <c r="D5" s="20" t="s">
        <v>956</v>
      </c>
      <c r="E5" s="20" t="s">
        <v>957</v>
      </c>
      <c r="F5" s="20" t="s">
        <v>35</v>
      </c>
      <c r="G5" s="21">
        <v>1120</v>
      </c>
      <c r="H5" s="21">
        <v>30</v>
      </c>
      <c r="I5" s="21">
        <f t="shared" si="0"/>
        <v>1090</v>
      </c>
      <c r="J5" s="20" t="s">
        <v>936</v>
      </c>
      <c r="K5" s="20" t="s">
        <v>31</v>
      </c>
      <c r="L5" s="20" t="s">
        <v>909</v>
      </c>
      <c r="M5" s="20"/>
      <c r="N5" s="20"/>
      <c r="O5" s="20"/>
      <c r="P5" s="20"/>
      <c r="Q5" s="20">
        <v>1</v>
      </c>
    </row>
    <row r="6" spans="1:18" x14ac:dyDescent="0.25">
      <c r="A6" s="20" t="s">
        <v>26</v>
      </c>
      <c r="B6" s="20" t="s">
        <v>27</v>
      </c>
      <c r="C6" s="20" t="s">
        <v>668</v>
      </c>
      <c r="D6" s="20"/>
      <c r="E6" s="20" t="s">
        <v>669</v>
      </c>
      <c r="F6" s="20" t="s">
        <v>35</v>
      </c>
      <c r="G6" s="21">
        <v>2355</v>
      </c>
      <c r="H6" s="21">
        <v>35</v>
      </c>
      <c r="I6" s="21">
        <f t="shared" si="0"/>
        <v>2320</v>
      </c>
      <c r="J6" s="20" t="s">
        <v>936</v>
      </c>
      <c r="K6" s="20" t="s">
        <v>31</v>
      </c>
      <c r="L6" s="20" t="s">
        <v>909</v>
      </c>
      <c r="M6" s="20"/>
      <c r="N6" s="20"/>
      <c r="O6" s="20"/>
      <c r="P6" s="20"/>
      <c r="Q6" s="20">
        <v>1</v>
      </c>
    </row>
    <row r="7" spans="1:18" s="13" customFormat="1" x14ac:dyDescent="0.25">
      <c r="A7" s="20" t="s">
        <v>26</v>
      </c>
      <c r="B7" s="20" t="s">
        <v>27</v>
      </c>
      <c r="C7" s="20" t="s">
        <v>665</v>
      </c>
      <c r="D7" s="20"/>
      <c r="E7" s="20" t="s">
        <v>666</v>
      </c>
      <c r="F7" s="21">
        <v>6</v>
      </c>
      <c r="G7" s="21">
        <v>30</v>
      </c>
      <c r="H7" s="21">
        <v>30</v>
      </c>
      <c r="I7" s="21">
        <f t="shared" si="0"/>
        <v>0</v>
      </c>
      <c r="J7" s="20" t="s">
        <v>936</v>
      </c>
      <c r="K7" s="20" t="s">
        <v>31</v>
      </c>
      <c r="L7" s="20" t="s">
        <v>909</v>
      </c>
      <c r="M7" s="20"/>
      <c r="N7" s="20"/>
      <c r="O7" s="20"/>
      <c r="P7" s="20"/>
      <c r="Q7" s="22">
        <v>1</v>
      </c>
    </row>
    <row r="8" spans="1:18" x14ac:dyDescent="0.25">
      <c r="A8" s="20"/>
      <c r="B8" s="20" t="s">
        <v>27</v>
      </c>
      <c r="C8" s="20" t="s">
        <v>906</v>
      </c>
      <c r="D8" s="20" t="s">
        <v>907</v>
      </c>
      <c r="E8" s="20" t="s">
        <v>908</v>
      </c>
      <c r="F8" s="21">
        <v>2</v>
      </c>
      <c r="G8" s="21">
        <v>920</v>
      </c>
      <c r="H8" s="21">
        <v>30</v>
      </c>
      <c r="I8" s="21">
        <f t="shared" si="0"/>
        <v>890</v>
      </c>
      <c r="J8" s="20" t="s">
        <v>31</v>
      </c>
      <c r="K8" s="20" t="s">
        <v>31</v>
      </c>
      <c r="L8" s="20" t="s">
        <v>909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371</v>
      </c>
      <c r="D9" s="20" t="s">
        <v>910</v>
      </c>
      <c r="E9" s="20" t="s">
        <v>911</v>
      </c>
      <c r="F9" s="20" t="s">
        <v>77</v>
      </c>
      <c r="G9" s="21">
        <v>940</v>
      </c>
      <c r="H9" s="21">
        <v>20</v>
      </c>
      <c r="I9" s="21">
        <f t="shared" si="0"/>
        <v>920</v>
      </c>
      <c r="J9" s="20" t="s">
        <v>31</v>
      </c>
      <c r="K9" s="20" t="s">
        <v>31</v>
      </c>
      <c r="L9" s="20" t="s">
        <v>909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921</v>
      </c>
      <c r="D10" s="20" t="s">
        <v>922</v>
      </c>
      <c r="E10" s="20" t="s">
        <v>923</v>
      </c>
      <c r="F10" s="21">
        <v>12</v>
      </c>
      <c r="G10" s="21">
        <v>790</v>
      </c>
      <c r="H10" s="21">
        <v>30</v>
      </c>
      <c r="I10" s="21">
        <f t="shared" si="0"/>
        <v>760</v>
      </c>
      <c r="J10" s="20" t="s">
        <v>31</v>
      </c>
      <c r="K10" s="20" t="s">
        <v>31</v>
      </c>
      <c r="L10" s="20" t="s">
        <v>909</v>
      </c>
      <c r="M10" s="20"/>
      <c r="N10" s="20"/>
      <c r="O10" s="20"/>
      <c r="P10" s="20"/>
      <c r="Q10" s="20">
        <v>1</v>
      </c>
    </row>
    <row r="11" spans="1:18" x14ac:dyDescent="0.25">
      <c r="A11" s="20" t="s">
        <v>26</v>
      </c>
      <c r="B11" s="20" t="s">
        <v>27</v>
      </c>
      <c r="C11" s="20" t="s">
        <v>784</v>
      </c>
      <c r="D11" s="20"/>
      <c r="E11" s="20" t="s">
        <v>958</v>
      </c>
      <c r="F11" s="20" t="s">
        <v>151</v>
      </c>
      <c r="G11" s="21">
        <v>30</v>
      </c>
      <c r="H11" s="21">
        <v>30</v>
      </c>
      <c r="I11" s="21">
        <f t="shared" si="0"/>
        <v>0</v>
      </c>
      <c r="J11" s="20" t="s">
        <v>31</v>
      </c>
      <c r="K11" s="20" t="s">
        <v>31</v>
      </c>
      <c r="L11" s="20" t="s">
        <v>909</v>
      </c>
      <c r="M11" s="20"/>
      <c r="N11" s="20"/>
      <c r="O11" s="20"/>
      <c r="P11" s="20"/>
      <c r="Q11" s="20">
        <v>1</v>
      </c>
    </row>
    <row r="12" spans="1:18" x14ac:dyDescent="0.25">
      <c r="A12" s="20" t="s">
        <v>26</v>
      </c>
      <c r="B12" s="20" t="s">
        <v>27</v>
      </c>
      <c r="C12" s="20" t="s">
        <v>961</v>
      </c>
      <c r="D12" s="20"/>
      <c r="E12" s="20" t="s">
        <v>962</v>
      </c>
      <c r="F12" s="20" t="s">
        <v>151</v>
      </c>
      <c r="G12" s="21">
        <v>0</v>
      </c>
      <c r="H12" s="21">
        <v>40</v>
      </c>
      <c r="I12" s="21">
        <f t="shared" si="0"/>
        <v>-40</v>
      </c>
      <c r="J12" s="20" t="s">
        <v>31</v>
      </c>
      <c r="K12" s="20" t="s">
        <v>31</v>
      </c>
      <c r="L12" s="20" t="s">
        <v>909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40</v>
      </c>
      <c r="D13" s="20"/>
      <c r="E13" s="20" t="s">
        <v>41</v>
      </c>
      <c r="F13" s="20" t="s">
        <v>42</v>
      </c>
      <c r="G13" s="21">
        <v>4710</v>
      </c>
      <c r="H13" s="21">
        <v>50</v>
      </c>
      <c r="I13" s="21">
        <f t="shared" si="0"/>
        <v>4660</v>
      </c>
      <c r="J13" s="20" t="s">
        <v>31</v>
      </c>
      <c r="K13" s="20" t="s">
        <v>31</v>
      </c>
      <c r="L13" s="20" t="s">
        <v>909</v>
      </c>
      <c r="M13" s="20"/>
      <c r="N13" s="20"/>
      <c r="O13" s="20"/>
      <c r="P13" s="20"/>
      <c r="Q13" s="20">
        <v>1</v>
      </c>
    </row>
    <row r="14" spans="1:18" s="26" customFormat="1" x14ac:dyDescent="0.25">
      <c r="A14" s="24"/>
      <c r="B14" s="24" t="s">
        <v>27</v>
      </c>
      <c r="C14" s="24" t="s">
        <v>924</v>
      </c>
      <c r="D14" s="24"/>
      <c r="E14" s="24" t="s">
        <v>925</v>
      </c>
      <c r="F14" s="25">
        <v>7</v>
      </c>
      <c r="G14" s="25">
        <v>30</v>
      </c>
      <c r="H14" s="25">
        <v>30</v>
      </c>
      <c r="I14" s="25">
        <f t="shared" si="0"/>
        <v>0</v>
      </c>
      <c r="J14" s="24" t="s">
        <v>30</v>
      </c>
      <c r="K14" s="24" t="s">
        <v>31</v>
      </c>
      <c r="L14" s="24" t="s">
        <v>909</v>
      </c>
      <c r="M14" s="24" t="s">
        <v>84</v>
      </c>
      <c r="N14" s="24"/>
      <c r="O14" s="24"/>
      <c r="P14" s="24"/>
      <c r="Q14" s="24">
        <v>1</v>
      </c>
      <c r="R14" s="34">
        <f>H14</f>
        <v>30</v>
      </c>
    </row>
    <row r="15" spans="1:18" s="45" customFormat="1" x14ac:dyDescent="0.25">
      <c r="A15" s="20"/>
      <c r="B15" s="20" t="s">
        <v>27</v>
      </c>
      <c r="C15" s="20" t="s">
        <v>912</v>
      </c>
      <c r="D15" s="20" t="s">
        <v>913</v>
      </c>
      <c r="E15" s="20" t="s">
        <v>914</v>
      </c>
      <c r="F15" s="21">
        <v>3</v>
      </c>
      <c r="G15" s="21">
        <v>945</v>
      </c>
      <c r="H15" s="21">
        <v>25</v>
      </c>
      <c r="I15" s="21">
        <f t="shared" si="0"/>
        <v>920</v>
      </c>
      <c r="J15" s="20" t="s">
        <v>30</v>
      </c>
      <c r="K15" s="20" t="s">
        <v>31</v>
      </c>
      <c r="L15" s="20" t="s">
        <v>909</v>
      </c>
      <c r="M15" s="20"/>
      <c r="N15" s="20"/>
      <c r="O15" s="20"/>
      <c r="P15" s="20"/>
      <c r="Q15" s="44">
        <v>1</v>
      </c>
    </row>
    <row r="16" spans="1:18" x14ac:dyDescent="0.25">
      <c r="A16" s="20"/>
      <c r="B16" s="20" t="s">
        <v>27</v>
      </c>
      <c r="C16" s="20" t="s">
        <v>915</v>
      </c>
      <c r="D16" s="20" t="s">
        <v>916</v>
      </c>
      <c r="E16" s="20" t="s">
        <v>917</v>
      </c>
      <c r="F16" s="21">
        <v>4</v>
      </c>
      <c r="G16" s="21">
        <v>0</v>
      </c>
      <c r="H16" s="21">
        <v>25</v>
      </c>
      <c r="I16" s="21">
        <f t="shared" si="0"/>
        <v>-25</v>
      </c>
      <c r="J16" s="20" t="s">
        <v>30</v>
      </c>
      <c r="K16" s="20" t="s">
        <v>31</v>
      </c>
      <c r="L16" s="20" t="s">
        <v>909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918</v>
      </c>
      <c r="D17" s="20" t="s">
        <v>919</v>
      </c>
      <c r="E17" s="20" t="s">
        <v>920</v>
      </c>
      <c r="F17" s="21">
        <v>3</v>
      </c>
      <c r="G17" s="21">
        <v>0</v>
      </c>
      <c r="H17" s="21">
        <v>25</v>
      </c>
      <c r="I17" s="21">
        <f t="shared" si="0"/>
        <v>-25</v>
      </c>
      <c r="J17" s="20" t="s">
        <v>30</v>
      </c>
      <c r="K17" s="20" t="s">
        <v>31</v>
      </c>
      <c r="L17" s="20" t="s">
        <v>909</v>
      </c>
      <c r="M17" s="20"/>
      <c r="N17" s="20"/>
      <c r="O17" s="20"/>
      <c r="P17" s="20"/>
      <c r="Q17" s="20">
        <v>1</v>
      </c>
      <c r="R17" s="8">
        <f t="shared" ref="R17:R18" si="1">H17</f>
        <v>25</v>
      </c>
    </row>
    <row r="18" spans="1:18" x14ac:dyDescent="0.25">
      <c r="A18" s="20"/>
      <c r="B18" s="20" t="s">
        <v>27</v>
      </c>
      <c r="C18" s="20" t="s">
        <v>926</v>
      </c>
      <c r="D18" s="20" t="s">
        <v>927</v>
      </c>
      <c r="E18" s="20" t="s">
        <v>928</v>
      </c>
      <c r="F18" s="21">
        <v>4</v>
      </c>
      <c r="G18" s="21">
        <v>485</v>
      </c>
      <c r="H18" s="21">
        <v>25</v>
      </c>
      <c r="I18" s="21">
        <f t="shared" si="0"/>
        <v>460</v>
      </c>
      <c r="J18" s="20" t="s">
        <v>30</v>
      </c>
      <c r="K18" s="20" t="s">
        <v>31</v>
      </c>
      <c r="L18" s="20" t="s">
        <v>909</v>
      </c>
      <c r="M18" s="20"/>
      <c r="N18" s="20"/>
      <c r="O18" s="20"/>
      <c r="P18" s="20"/>
      <c r="Q18" s="20">
        <v>1</v>
      </c>
      <c r="R18" s="8">
        <f t="shared" si="1"/>
        <v>25</v>
      </c>
    </row>
    <row r="19" spans="1:18" x14ac:dyDescent="0.25">
      <c r="A19" s="20"/>
      <c r="B19" s="20" t="s">
        <v>27</v>
      </c>
      <c r="C19" s="20" t="s">
        <v>929</v>
      </c>
      <c r="D19" s="20" t="s">
        <v>930</v>
      </c>
      <c r="E19" s="20" t="s">
        <v>931</v>
      </c>
      <c r="F19" s="21">
        <v>7</v>
      </c>
      <c r="G19" s="21">
        <v>800</v>
      </c>
      <c r="H19" s="21">
        <v>30</v>
      </c>
      <c r="I19" s="21">
        <f t="shared" si="0"/>
        <v>770</v>
      </c>
      <c r="J19" s="20" t="s">
        <v>30</v>
      </c>
      <c r="K19" s="20" t="s">
        <v>31</v>
      </c>
      <c r="L19" s="20" t="s">
        <v>909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487</v>
      </c>
      <c r="D20" s="20" t="s">
        <v>932</v>
      </c>
      <c r="E20" s="20" t="s">
        <v>489</v>
      </c>
      <c r="F20" s="21">
        <v>7</v>
      </c>
      <c r="G20" s="21">
        <v>490</v>
      </c>
      <c r="H20" s="21">
        <v>30</v>
      </c>
      <c r="I20" s="21">
        <f t="shared" si="0"/>
        <v>460</v>
      </c>
      <c r="J20" s="20" t="s">
        <v>30</v>
      </c>
      <c r="K20" s="20" t="s">
        <v>31</v>
      </c>
      <c r="L20" s="20" t="s">
        <v>909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937</v>
      </c>
      <c r="D21" s="20" t="s">
        <v>938</v>
      </c>
      <c r="E21" s="20" t="s">
        <v>939</v>
      </c>
      <c r="F21" s="20" t="s">
        <v>125</v>
      </c>
      <c r="G21" s="21">
        <v>810</v>
      </c>
      <c r="H21" s="21">
        <v>20</v>
      </c>
      <c r="I21" s="21">
        <f t="shared" si="0"/>
        <v>790</v>
      </c>
      <c r="J21" s="20" t="s">
        <v>30</v>
      </c>
      <c r="K21" s="20" t="s">
        <v>31</v>
      </c>
      <c r="L21" s="20" t="s">
        <v>909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940</v>
      </c>
      <c r="D22" s="20" t="s">
        <v>941</v>
      </c>
      <c r="E22" s="20" t="s">
        <v>942</v>
      </c>
      <c r="F22" s="21">
        <v>3</v>
      </c>
      <c r="G22" s="21">
        <v>0</v>
      </c>
      <c r="H22" s="21">
        <v>25</v>
      </c>
      <c r="I22" s="21">
        <f t="shared" si="0"/>
        <v>-25</v>
      </c>
      <c r="J22" s="20" t="s">
        <v>30</v>
      </c>
      <c r="K22" s="20" t="s">
        <v>31</v>
      </c>
      <c r="L22" s="20" t="s">
        <v>909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943</v>
      </c>
      <c r="D23" s="20" t="s">
        <v>944</v>
      </c>
      <c r="E23" s="20" t="s">
        <v>945</v>
      </c>
      <c r="F23" s="21">
        <v>3</v>
      </c>
      <c r="G23" s="21">
        <v>815</v>
      </c>
      <c r="H23" s="21">
        <v>25</v>
      </c>
      <c r="I23" s="21">
        <f t="shared" si="0"/>
        <v>790</v>
      </c>
      <c r="J23" s="20" t="s">
        <v>30</v>
      </c>
      <c r="K23" s="20" t="s">
        <v>31</v>
      </c>
      <c r="L23" s="20" t="s">
        <v>909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946</v>
      </c>
      <c r="D24" s="20" t="s">
        <v>947</v>
      </c>
      <c r="E24" s="20" t="s">
        <v>948</v>
      </c>
      <c r="F24" s="21">
        <v>7</v>
      </c>
      <c r="G24" s="21">
        <v>0</v>
      </c>
      <c r="H24" s="21">
        <v>30</v>
      </c>
      <c r="I24" s="21">
        <f t="shared" si="0"/>
        <v>-30</v>
      </c>
      <c r="J24" s="20" t="s">
        <v>30</v>
      </c>
      <c r="K24" s="20" t="s">
        <v>31</v>
      </c>
      <c r="L24" s="20" t="s">
        <v>909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952</v>
      </c>
      <c r="D25" s="20" t="s">
        <v>953</v>
      </c>
      <c r="E25" s="20" t="s">
        <v>954</v>
      </c>
      <c r="F25" s="21">
        <v>7</v>
      </c>
      <c r="G25" s="21">
        <v>650</v>
      </c>
      <c r="H25" s="21">
        <v>30</v>
      </c>
      <c r="I25" s="21">
        <f t="shared" si="0"/>
        <v>620</v>
      </c>
      <c r="J25" s="20" t="s">
        <v>30</v>
      </c>
      <c r="K25" s="20" t="s">
        <v>31</v>
      </c>
      <c r="L25" s="20" t="s">
        <v>909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2" t="s">
        <v>26</v>
      </c>
      <c r="B26" s="22" t="s">
        <v>27</v>
      </c>
      <c r="C26" s="22" t="s">
        <v>959</v>
      </c>
      <c r="D26" s="22"/>
      <c r="E26" s="22" t="s">
        <v>960</v>
      </c>
      <c r="F26" s="27">
        <v>6</v>
      </c>
      <c r="G26" s="27">
        <v>6980</v>
      </c>
      <c r="H26" s="27">
        <v>0</v>
      </c>
      <c r="I26" s="27">
        <f t="shared" si="0"/>
        <v>6980</v>
      </c>
      <c r="J26" s="22" t="s">
        <v>184</v>
      </c>
      <c r="K26" s="22" t="s">
        <v>31</v>
      </c>
      <c r="L26" s="22" t="s">
        <v>909</v>
      </c>
      <c r="M26" s="22" t="s">
        <v>186</v>
      </c>
      <c r="N26" s="22" t="s">
        <v>187</v>
      </c>
      <c r="O26" s="22"/>
      <c r="P26" s="22" t="s">
        <v>188</v>
      </c>
      <c r="Q26" s="20">
        <v>1</v>
      </c>
    </row>
    <row r="28" spans="1:18" x14ac:dyDescent="0.25">
      <c r="D28" s="9">
        <f>COUNTA(D3:D26)</f>
        <v>17</v>
      </c>
      <c r="G28" s="9">
        <f t="shared" ref="G28:Q28" si="2">SUBTOTAL(9,G3:G26)</f>
        <v>24005</v>
      </c>
      <c r="H28" s="9">
        <f t="shared" si="2"/>
        <v>665</v>
      </c>
      <c r="I28" s="9">
        <f t="shared" si="2"/>
        <v>23340</v>
      </c>
      <c r="J28" s="9">
        <f t="shared" si="2"/>
        <v>0</v>
      </c>
      <c r="K28" s="9">
        <f t="shared" si="2"/>
        <v>0</v>
      </c>
      <c r="L28" s="9">
        <f t="shared" si="2"/>
        <v>0</v>
      </c>
      <c r="M28" s="9">
        <f t="shared" si="2"/>
        <v>0</v>
      </c>
      <c r="N28" s="9">
        <f t="shared" si="2"/>
        <v>0</v>
      </c>
      <c r="O28" s="9">
        <f t="shared" si="2"/>
        <v>0</v>
      </c>
      <c r="P28" s="9">
        <f t="shared" si="2"/>
        <v>0</v>
      </c>
      <c r="Q28" s="9">
        <f t="shared" si="2"/>
        <v>24</v>
      </c>
    </row>
    <row r="29" spans="1:18" x14ac:dyDescent="0.25">
      <c r="H29">
        <f>-4*17</f>
        <v>-68</v>
      </c>
    </row>
    <row r="30" spans="1:18" x14ac:dyDescent="0.25">
      <c r="A30" s="9" t="s">
        <v>27</v>
      </c>
      <c r="C30" s="51" t="s">
        <v>189</v>
      </c>
      <c r="D30" s="51"/>
      <c r="E30" s="10" t="s">
        <v>190</v>
      </c>
      <c r="H30">
        <f>-2*25</f>
        <v>-50</v>
      </c>
      <c r="K30" s="11" t="s">
        <v>31</v>
      </c>
      <c r="L30" s="11" t="s">
        <v>191</v>
      </c>
      <c r="M30" s="11" t="s">
        <v>190</v>
      </c>
      <c r="O30" s="10" t="s">
        <v>192</v>
      </c>
    </row>
    <row r="31" spans="1:18" x14ac:dyDescent="0.25">
      <c r="A31" t="s">
        <v>909</v>
      </c>
      <c r="B31" s="12" t="s">
        <v>193</v>
      </c>
      <c r="C31" s="52">
        <f>SUMIFS(I$3:I$26,B$3:B$26,A$30,L$3:L$26,A$31)</f>
        <v>23340</v>
      </c>
      <c r="D31" s="52"/>
      <c r="E31" s="12">
        <f>SUMIFS(Q$3:Q$26,B$3:B$26,A$30,L$3:L$26,A$31)</f>
        <v>24</v>
      </c>
      <c r="F31" t="s">
        <v>194</v>
      </c>
      <c r="K31" t="s">
        <v>195</v>
      </c>
      <c r="L31">
        <f>SUMIFS(G$3:G$26,J$3:J$26,K$30)</f>
        <v>7390</v>
      </c>
      <c r="M31">
        <f>SUMIFS(Q$3:Q$26,J$3:J$26,K$30)-INT(COUNTIFS(J$3:J$26,K$30,M$3:M$26,"*gộp*")/2)</f>
        <v>6</v>
      </c>
      <c r="O31" t="s">
        <v>31</v>
      </c>
      <c r="P31">
        <f>L36</f>
        <v>7174</v>
      </c>
    </row>
    <row r="32" spans="1:18" x14ac:dyDescent="0.25">
      <c r="B32" s="13" t="s">
        <v>196</v>
      </c>
      <c r="C32" s="53">
        <v>0</v>
      </c>
      <c r="D32" s="53"/>
      <c r="K32" t="s">
        <v>197</v>
      </c>
      <c r="L32">
        <f>-SUMIFS(H$3:H$26,J$3:J$26,K$30)+M32*5</f>
        <v>-170</v>
      </c>
      <c r="M32">
        <f>SUMIFS(Q$3:Q$26,J$3:J$26,K$30)-INT(COUNTIFS(J$3:J$26,K$30,M$3:M$26,"*gộp*")/2)</f>
        <v>6</v>
      </c>
      <c r="O32" t="s">
        <v>30</v>
      </c>
      <c r="P32">
        <f>L44</f>
        <v>4765</v>
      </c>
    </row>
    <row r="33" spans="2:16" x14ac:dyDescent="0.25">
      <c r="B33" s="13" t="s">
        <v>199</v>
      </c>
      <c r="C33" s="53">
        <f>-SUMIFS(I$3:I$26,B$3:B$26,A$30,P$3:P$26,"xx",N$3:N$26,"x")</f>
        <v>-6980</v>
      </c>
      <c r="D33" s="53"/>
      <c r="E33" s="13">
        <f>SUMIFS(Q$3:Q$26,B$3:B$26,A$30,P$3:P$26,"xx",N$3:N$26,"x")</f>
        <v>1</v>
      </c>
      <c r="K33" t="s">
        <v>200</v>
      </c>
      <c r="L33">
        <f>-M33*2</f>
        <v>-46</v>
      </c>
      <c r="M33">
        <f>COUNTIFS(K$3:K$26,K$30,L$3:L$26,A$31)-(COUNTIFS(K$3:K$26,K$30,M$3:M$26,"*gộp*")/2)-COUNTIFS(K$3:K$26,K$30,M$3:M$26,"*đơn trả*")-COUNTIFS(K$3:K$26,K$30,M$3:M$26,"*hàng tỉnh*")</f>
        <v>23</v>
      </c>
      <c r="O33" t="s">
        <v>963</v>
      </c>
      <c r="P33">
        <f>L52</f>
        <v>4492</v>
      </c>
    </row>
    <row r="34" spans="2:16" x14ac:dyDescent="0.25">
      <c r="B34" s="10" t="s">
        <v>201</v>
      </c>
      <c r="C34" s="51">
        <f>SUBTOTAL(9,C31:C33)</f>
        <v>16360</v>
      </c>
      <c r="D34" s="51"/>
      <c r="E34">
        <f>E31</f>
        <v>24</v>
      </c>
      <c r="K34" s="14" t="s">
        <v>186</v>
      </c>
      <c r="O34" t="s">
        <v>203</v>
      </c>
      <c r="P34">
        <f>-C38</f>
        <v>-16360</v>
      </c>
    </row>
    <row r="35" spans="2:16" x14ac:dyDescent="0.25">
      <c r="B35" s="13" t="s">
        <v>204</v>
      </c>
      <c r="C35" s="49"/>
      <c r="D35" s="49"/>
      <c r="K35" s="13" t="s">
        <v>205</v>
      </c>
      <c r="O35" s="10" t="s">
        <v>206</v>
      </c>
      <c r="P35" s="10">
        <f>SUBTOTAL(9,P31:P34)</f>
        <v>71</v>
      </c>
    </row>
    <row r="36" spans="2:16" x14ac:dyDescent="0.25">
      <c r="B36" s="15" t="s">
        <v>207</v>
      </c>
      <c r="C36" s="49"/>
      <c r="D36" s="49"/>
      <c r="L36" s="16">
        <f>SUBTOTAL(9,L31:L35)</f>
        <v>7174</v>
      </c>
      <c r="M36" s="16">
        <f>M31</f>
        <v>6</v>
      </c>
    </row>
    <row r="38" spans="2:16" x14ac:dyDescent="0.25">
      <c r="B38" s="9" t="s">
        <v>208</v>
      </c>
      <c r="C38" s="50">
        <f>C34+C35+C36</f>
        <v>16360</v>
      </c>
      <c r="D38" s="50"/>
      <c r="E38" s="9" t="s">
        <v>209</v>
      </c>
      <c r="K38" s="11" t="s">
        <v>30</v>
      </c>
      <c r="L38" s="11" t="s">
        <v>191</v>
      </c>
      <c r="M38" s="11" t="s">
        <v>190</v>
      </c>
    </row>
    <row r="39" spans="2:16" x14ac:dyDescent="0.25">
      <c r="K39" t="s">
        <v>195</v>
      </c>
      <c r="L39">
        <f>SUMIFS(G$3:G$26,J$3:J$26,K$38)</f>
        <v>5025</v>
      </c>
      <c r="M39">
        <f>SUMIFS(Q$3:Q$26,J$3:J$26,K$38)-INT(COUNTIFS(J$3:J$26,K$38,M$3:M$26,"*gộp*")/2)</f>
        <v>12</v>
      </c>
    </row>
    <row r="40" spans="2:16" x14ac:dyDescent="0.25">
      <c r="K40" t="s">
        <v>197</v>
      </c>
      <c r="L40">
        <f>-SUMIFS(H$3:H$26,J$3:J$26,K$38)+M40*5</f>
        <v>-260</v>
      </c>
      <c r="M40">
        <f>SUMIFS(Q$3:Q$26,J$3:J$26,K$38)-INT(COUNTIFS(J$3:J$26,K$38,M$3:M$26,"*gộp*")/2)</f>
        <v>12</v>
      </c>
    </row>
    <row r="41" spans="2:16" x14ac:dyDescent="0.25">
      <c r="K41" t="s">
        <v>200</v>
      </c>
      <c r="L41">
        <f>-M41*2</f>
        <v>0</v>
      </c>
      <c r="M41">
        <f>COUNTIFS(K$3:K$26,K$38,L$3:L$26,A$31)-(COUNTIFS(K$3:K$26,K$38,M$3:M$26,"*gộp*")/2)-COUNTIFS(K$3:K$26,K$38,M$3:M$26,"*đơn trả*")-COUNTIFS(K$3:K$26,K$38,M$3:M$26,"*hàng tỉnh*")</f>
        <v>0</v>
      </c>
    </row>
    <row r="42" spans="2:16" x14ac:dyDescent="0.25">
      <c r="K42" s="14" t="s">
        <v>186</v>
      </c>
    </row>
    <row r="43" spans="2:16" x14ac:dyDescent="0.25">
      <c r="K43" s="13" t="s">
        <v>205</v>
      </c>
    </row>
    <row r="44" spans="2:16" x14ac:dyDescent="0.25">
      <c r="L44" s="16">
        <f>SUBTOTAL(9,L39:L43)</f>
        <v>4765</v>
      </c>
      <c r="M44" s="16">
        <f>M39</f>
        <v>12</v>
      </c>
    </row>
    <row r="46" spans="2:16" x14ac:dyDescent="0.25">
      <c r="K46" s="11" t="s">
        <v>936</v>
      </c>
      <c r="L46" s="11" t="s">
        <v>191</v>
      </c>
      <c r="M46" s="11" t="s">
        <v>190</v>
      </c>
    </row>
    <row r="47" spans="2:16" x14ac:dyDescent="0.25">
      <c r="K47" t="s">
        <v>195</v>
      </c>
      <c r="L47">
        <f>SUMIFS(G$3:G$26,J$3:J$26,K$46)</f>
        <v>4610</v>
      </c>
      <c r="M47">
        <f>SUMIFS(Q$3:Q$26,J$3:J$26,K$46)-INT(COUNTIFS(J$3:J$26,K$46,M$3:M$26,"*gộp*")/2)</f>
        <v>5</v>
      </c>
    </row>
    <row r="48" spans="2:16" x14ac:dyDescent="0.25">
      <c r="K48" t="s">
        <v>197</v>
      </c>
      <c r="L48">
        <f>SUM(H29:H30)</f>
        <v>-118</v>
      </c>
      <c r="M48">
        <f>SUMIFS(Q$3:Q$26,J$3:J$26,K$46)-INT(COUNTIFS(J$3:J$26,K$46,M$3:M$26,"*gộp*")/2)</f>
        <v>5</v>
      </c>
    </row>
    <row r="49" spans="11:13" x14ac:dyDescent="0.25">
      <c r="K49" t="s">
        <v>200</v>
      </c>
      <c r="L49">
        <f>-M49*2</f>
        <v>0</v>
      </c>
      <c r="M49">
        <f>COUNTIFS(K$3:K$26,K$46,L$3:L$26,A$31)-(COUNTIFS(K$3:K$26,K$46,M$3:M$26,"*gộp*")/2)-COUNTIFS(K$3:K$26,K$46,M$3:M$26,"*đơn trả*")-COUNTIFS(K$3:K$26,K$46,M$3:M$26,"*hàng tỉnh*")</f>
        <v>0</v>
      </c>
    </row>
    <row r="50" spans="11:13" x14ac:dyDescent="0.25">
      <c r="K50" s="14" t="s">
        <v>186</v>
      </c>
    </row>
    <row r="51" spans="11:13" x14ac:dyDescent="0.25">
      <c r="K51" s="13" t="s">
        <v>205</v>
      </c>
    </row>
    <row r="52" spans="11:13" x14ac:dyDescent="0.25">
      <c r="L52" s="16">
        <f>SUBTOTAL(9,L47:L51)</f>
        <v>4492</v>
      </c>
      <c r="M52" s="16">
        <f>M47</f>
        <v>5</v>
      </c>
    </row>
  </sheetData>
  <autoFilter ref="A2:P26" xr:uid="{00000000-0009-0000-0000-000000000000}">
    <sortState xmlns:xlrd2="http://schemas.microsoft.com/office/spreadsheetml/2017/richdata2" ref="A3:P26">
      <sortCondition ref="J2:J26"/>
    </sortState>
  </autoFilter>
  <mergeCells count="8">
    <mergeCell ref="C36:D36"/>
    <mergeCell ref="C38:D38"/>
    <mergeCell ref="C30:D30"/>
    <mergeCell ref="C31:D31"/>
    <mergeCell ref="C32:D32"/>
    <mergeCell ref="C33:D33"/>
    <mergeCell ref="C34:D34"/>
    <mergeCell ref="C35:D35"/>
  </mergeCells>
  <pageMargins left="0.75" right="0.75" top="0.75" bottom="0.5" header="0.5" footer="0.7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5D1B-1F7C-4086-99D6-40FC6540B688}">
  <dimension ref="A1:R65"/>
  <sheetViews>
    <sheetView topLeftCell="A3" workbookViewId="0">
      <selection activeCell="I36" sqref="I36"/>
    </sheetView>
  </sheetViews>
  <sheetFormatPr defaultRowHeight="15" x14ac:dyDescent="0.25"/>
  <cols>
    <col min="1" max="1" width="12.7109375" customWidth="1"/>
    <col min="2" max="2" width="9.28515625" customWidth="1"/>
    <col min="3" max="3" width="25.5703125" customWidth="1"/>
    <col min="4" max="4" width="9.85546875" customWidth="1"/>
    <col min="5" max="5" width="61.28515625" customWidth="1"/>
    <col min="6" max="6" width="8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1057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35</v>
      </c>
      <c r="H3" s="21">
        <v>35</v>
      </c>
      <c r="I3" s="21">
        <f t="shared" ref="I3:I39" si="0">G3-H3</f>
        <v>0</v>
      </c>
      <c r="J3" s="20" t="s">
        <v>965</v>
      </c>
      <c r="K3" s="20" t="s">
        <v>31</v>
      </c>
      <c r="L3" s="20" t="s">
        <v>966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967</v>
      </c>
      <c r="D4" s="20"/>
      <c r="E4" s="20" t="s">
        <v>547</v>
      </c>
      <c r="F4" s="20" t="s">
        <v>35</v>
      </c>
      <c r="G4" s="21">
        <v>0</v>
      </c>
      <c r="H4" s="21">
        <v>35</v>
      </c>
      <c r="I4" s="21">
        <f t="shared" si="0"/>
        <v>-35</v>
      </c>
      <c r="J4" s="20" t="s">
        <v>965</v>
      </c>
      <c r="K4" s="20" t="s">
        <v>31</v>
      </c>
      <c r="L4" s="20" t="s">
        <v>966</v>
      </c>
      <c r="M4" s="23" t="s">
        <v>1058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 t="s">
        <v>26</v>
      </c>
      <c r="B5" s="20" t="s">
        <v>27</v>
      </c>
      <c r="C5" s="20" t="s">
        <v>43</v>
      </c>
      <c r="D5" s="20"/>
      <c r="E5" s="20" t="s">
        <v>44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965</v>
      </c>
      <c r="K5" s="20" t="s">
        <v>31</v>
      </c>
      <c r="L5" s="20" t="s">
        <v>966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974</v>
      </c>
      <c r="D6" s="20" t="s">
        <v>975</v>
      </c>
      <c r="E6" s="20" t="s">
        <v>976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965</v>
      </c>
      <c r="K6" s="20" t="s">
        <v>31</v>
      </c>
      <c r="L6" s="20" t="s">
        <v>966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989</v>
      </c>
      <c r="D7" s="20" t="s">
        <v>990</v>
      </c>
      <c r="E7" s="20" t="s">
        <v>991</v>
      </c>
      <c r="F7" s="20" t="s">
        <v>35</v>
      </c>
      <c r="G7" s="21">
        <v>820</v>
      </c>
      <c r="H7" s="21">
        <v>30</v>
      </c>
      <c r="I7" s="21">
        <f t="shared" si="0"/>
        <v>790</v>
      </c>
      <c r="J7" s="20" t="s">
        <v>965</v>
      </c>
      <c r="K7" s="20" t="s">
        <v>31</v>
      </c>
      <c r="L7" s="20" t="s">
        <v>966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992</v>
      </c>
      <c r="D8" s="20" t="s">
        <v>993</v>
      </c>
      <c r="E8" s="20" t="s">
        <v>994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965</v>
      </c>
      <c r="K8" s="20" t="s">
        <v>31</v>
      </c>
      <c r="L8" s="20" t="s">
        <v>966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548</v>
      </c>
      <c r="D9" s="20" t="s">
        <v>998</v>
      </c>
      <c r="E9" s="20" t="s">
        <v>999</v>
      </c>
      <c r="F9" s="21">
        <v>11</v>
      </c>
      <c r="G9" s="21">
        <v>0</v>
      </c>
      <c r="H9" s="21">
        <v>25</v>
      </c>
      <c r="I9" s="21">
        <f t="shared" si="0"/>
        <v>-25</v>
      </c>
      <c r="J9" s="20" t="s">
        <v>965</v>
      </c>
      <c r="K9" s="20" t="s">
        <v>31</v>
      </c>
      <c r="L9" s="20" t="s">
        <v>966</v>
      </c>
      <c r="M9" s="20"/>
      <c r="N9" s="20"/>
      <c r="O9" s="20"/>
      <c r="P9" s="20"/>
      <c r="Q9" s="20">
        <v>1</v>
      </c>
      <c r="R9" s="8">
        <f>H9</f>
        <v>25</v>
      </c>
    </row>
    <row r="10" spans="1:18" x14ac:dyDescent="0.25">
      <c r="A10" s="20"/>
      <c r="B10" s="20" t="s">
        <v>27</v>
      </c>
      <c r="C10" s="20" t="s">
        <v>1015</v>
      </c>
      <c r="D10" s="20" t="s">
        <v>1016</v>
      </c>
      <c r="E10" s="20" t="s">
        <v>1017</v>
      </c>
      <c r="F10" s="21">
        <v>9</v>
      </c>
      <c r="G10" s="21">
        <v>810</v>
      </c>
      <c r="H10" s="21">
        <v>30</v>
      </c>
      <c r="I10" s="21">
        <f t="shared" si="0"/>
        <v>780</v>
      </c>
      <c r="J10" s="20" t="s">
        <v>965</v>
      </c>
      <c r="K10" s="20" t="s">
        <v>31</v>
      </c>
      <c r="L10" s="20" t="s">
        <v>966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1021</v>
      </c>
      <c r="D11" s="20" t="s">
        <v>1022</v>
      </c>
      <c r="E11" s="20" t="s">
        <v>1023</v>
      </c>
      <c r="F11" s="20" t="s">
        <v>129</v>
      </c>
      <c r="G11" s="21">
        <v>795</v>
      </c>
      <c r="H11" s="21">
        <v>25</v>
      </c>
      <c r="I11" s="21">
        <f t="shared" si="0"/>
        <v>770</v>
      </c>
      <c r="J11" s="20" t="s">
        <v>965</v>
      </c>
      <c r="K11" s="20" t="s">
        <v>31</v>
      </c>
      <c r="L11" s="20" t="s">
        <v>966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1030</v>
      </c>
      <c r="D12" s="20" t="s">
        <v>1031</v>
      </c>
      <c r="E12" s="20" t="s">
        <v>1032</v>
      </c>
      <c r="F12" s="20" t="s">
        <v>42</v>
      </c>
      <c r="G12" s="21">
        <v>555</v>
      </c>
      <c r="H12" s="21">
        <v>35</v>
      </c>
      <c r="I12" s="21">
        <f t="shared" si="0"/>
        <v>520</v>
      </c>
      <c r="J12" s="20" t="s">
        <v>965</v>
      </c>
      <c r="K12" s="20" t="s">
        <v>31</v>
      </c>
      <c r="L12" s="20" t="s">
        <v>966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703</v>
      </c>
      <c r="D13" s="20" t="s">
        <v>1033</v>
      </c>
      <c r="E13" s="20" t="s">
        <v>705</v>
      </c>
      <c r="F13" s="20" t="s">
        <v>129</v>
      </c>
      <c r="G13" s="21">
        <v>965</v>
      </c>
      <c r="H13" s="21">
        <v>25</v>
      </c>
      <c r="I13" s="21">
        <f t="shared" si="0"/>
        <v>940</v>
      </c>
      <c r="J13" s="20" t="s">
        <v>965</v>
      </c>
      <c r="K13" s="20" t="s">
        <v>31</v>
      </c>
      <c r="L13" s="20" t="s">
        <v>966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1037</v>
      </c>
      <c r="D14" s="20" t="s">
        <v>1038</v>
      </c>
      <c r="E14" s="20" t="s">
        <v>1039</v>
      </c>
      <c r="F14" s="21">
        <v>8</v>
      </c>
      <c r="G14" s="21">
        <v>520</v>
      </c>
      <c r="H14" s="21">
        <v>30</v>
      </c>
      <c r="I14" s="21">
        <f t="shared" si="0"/>
        <v>490</v>
      </c>
      <c r="J14" s="20" t="s">
        <v>965</v>
      </c>
      <c r="K14" s="20" t="s">
        <v>31</v>
      </c>
      <c r="L14" s="20" t="s">
        <v>966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1040</v>
      </c>
      <c r="D15" s="20" t="s">
        <v>1041</v>
      </c>
      <c r="E15" s="20" t="s">
        <v>1042</v>
      </c>
      <c r="F15" s="21">
        <v>6</v>
      </c>
      <c r="G15" s="21">
        <v>805</v>
      </c>
      <c r="H15" s="21">
        <v>25</v>
      </c>
      <c r="I15" s="21">
        <f t="shared" si="0"/>
        <v>780</v>
      </c>
      <c r="J15" s="20" t="s">
        <v>965</v>
      </c>
      <c r="K15" s="20" t="s">
        <v>31</v>
      </c>
      <c r="L15" s="20" t="s">
        <v>966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1043</v>
      </c>
      <c r="D16" s="20" t="s">
        <v>1044</v>
      </c>
      <c r="E16" s="20" t="s">
        <v>1045</v>
      </c>
      <c r="F16" s="20" t="s">
        <v>129</v>
      </c>
      <c r="G16" s="21">
        <v>445</v>
      </c>
      <c r="H16" s="21">
        <v>25</v>
      </c>
      <c r="I16" s="21">
        <f t="shared" si="0"/>
        <v>420</v>
      </c>
      <c r="J16" s="20" t="s">
        <v>965</v>
      </c>
      <c r="K16" s="20" t="s">
        <v>31</v>
      </c>
      <c r="L16" s="20" t="s">
        <v>966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346</v>
      </c>
      <c r="D17" s="20"/>
      <c r="E17" s="20" t="s">
        <v>968</v>
      </c>
      <c r="F17" s="20" t="s">
        <v>39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966</v>
      </c>
      <c r="M17" s="20"/>
      <c r="N17" s="20"/>
      <c r="O17" s="20"/>
      <c r="P17" s="20"/>
      <c r="Q17" s="20">
        <v>1</v>
      </c>
      <c r="R17" s="8">
        <f t="shared" ref="R17:R18" si="1">H17</f>
        <v>40</v>
      </c>
    </row>
    <row r="18" spans="1:18" x14ac:dyDescent="0.25">
      <c r="A18" s="20" t="s">
        <v>26</v>
      </c>
      <c r="B18" s="20" t="s">
        <v>27</v>
      </c>
      <c r="C18" s="20" t="s">
        <v>971</v>
      </c>
      <c r="D18" s="20"/>
      <c r="E18" s="20" t="s">
        <v>446</v>
      </c>
      <c r="F18" s="21">
        <v>12</v>
      </c>
      <c r="G18" s="21">
        <v>0</v>
      </c>
      <c r="H18" s="21">
        <v>45</v>
      </c>
      <c r="I18" s="21">
        <f t="shared" si="0"/>
        <v>-45</v>
      </c>
      <c r="J18" s="20" t="s">
        <v>31</v>
      </c>
      <c r="K18" s="20" t="s">
        <v>31</v>
      </c>
      <c r="L18" s="20" t="s">
        <v>966</v>
      </c>
      <c r="M18" s="20"/>
      <c r="N18" s="20"/>
      <c r="O18" s="20"/>
      <c r="P18" s="20"/>
      <c r="Q18" s="20">
        <v>1</v>
      </c>
      <c r="R18" s="8">
        <f t="shared" si="1"/>
        <v>45</v>
      </c>
    </row>
    <row r="19" spans="1:18" x14ac:dyDescent="0.25">
      <c r="A19" s="20"/>
      <c r="B19" s="20" t="s">
        <v>27</v>
      </c>
      <c r="C19" s="20" t="s">
        <v>980</v>
      </c>
      <c r="D19" s="20" t="s">
        <v>981</v>
      </c>
      <c r="E19" s="20" t="s">
        <v>982</v>
      </c>
      <c r="F19" s="20" t="s">
        <v>39</v>
      </c>
      <c r="G19" s="21">
        <v>25</v>
      </c>
      <c r="H19" s="21">
        <v>25</v>
      </c>
      <c r="I19" s="21">
        <f t="shared" si="0"/>
        <v>0</v>
      </c>
      <c r="J19" s="20" t="s">
        <v>31</v>
      </c>
      <c r="K19" s="20" t="s">
        <v>31</v>
      </c>
      <c r="L19" s="20" t="s">
        <v>966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986</v>
      </c>
      <c r="D20" s="20" t="s">
        <v>987</v>
      </c>
      <c r="E20" s="20" t="s">
        <v>988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966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995</v>
      </c>
      <c r="D21" s="20" t="s">
        <v>996</v>
      </c>
      <c r="E21" s="20" t="s">
        <v>997</v>
      </c>
      <c r="F21" s="21">
        <v>2</v>
      </c>
      <c r="G21" s="21">
        <v>790</v>
      </c>
      <c r="H21" s="21">
        <v>30</v>
      </c>
      <c r="I21" s="21">
        <f t="shared" si="0"/>
        <v>760</v>
      </c>
      <c r="J21" s="20" t="s">
        <v>31</v>
      </c>
      <c r="K21" s="20" t="s">
        <v>31</v>
      </c>
      <c r="L21" s="20" t="s">
        <v>966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1009</v>
      </c>
      <c r="D22" s="20" t="s">
        <v>1010</v>
      </c>
      <c r="E22" s="20" t="s">
        <v>1011</v>
      </c>
      <c r="F22" s="20" t="s">
        <v>39</v>
      </c>
      <c r="G22" s="21">
        <v>805</v>
      </c>
      <c r="H22" s="21">
        <v>25</v>
      </c>
      <c r="I22" s="21">
        <f t="shared" si="0"/>
        <v>780</v>
      </c>
      <c r="J22" s="20" t="s">
        <v>31</v>
      </c>
      <c r="K22" s="20" t="s">
        <v>31</v>
      </c>
      <c r="L22" s="20" t="s">
        <v>966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1034</v>
      </c>
      <c r="D23" s="20" t="s">
        <v>1035</v>
      </c>
      <c r="E23" s="20" t="s">
        <v>1036</v>
      </c>
      <c r="F23" s="20" t="s">
        <v>39</v>
      </c>
      <c r="G23" s="21">
        <v>795</v>
      </c>
      <c r="H23" s="21">
        <v>25</v>
      </c>
      <c r="I23" s="21">
        <f t="shared" si="0"/>
        <v>770</v>
      </c>
      <c r="J23" s="20" t="s">
        <v>31</v>
      </c>
      <c r="K23" s="20" t="s">
        <v>31</v>
      </c>
      <c r="L23" s="20" t="s">
        <v>966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1046</v>
      </c>
      <c r="D24" s="20" t="s">
        <v>1047</v>
      </c>
      <c r="E24" s="20" t="s">
        <v>1048</v>
      </c>
      <c r="F24" s="20" t="s">
        <v>151</v>
      </c>
      <c r="G24" s="21">
        <v>1285</v>
      </c>
      <c r="H24" s="21">
        <v>25</v>
      </c>
      <c r="I24" s="21">
        <f t="shared" si="0"/>
        <v>1260</v>
      </c>
      <c r="J24" s="20" t="s">
        <v>31</v>
      </c>
      <c r="K24" s="20" t="s">
        <v>31</v>
      </c>
      <c r="L24" s="20" t="s">
        <v>966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155</v>
      </c>
      <c r="D25" s="20" t="s">
        <v>1052</v>
      </c>
      <c r="E25" s="20" t="s">
        <v>157</v>
      </c>
      <c r="F25" s="20" t="s">
        <v>39</v>
      </c>
      <c r="G25" s="21">
        <v>965</v>
      </c>
      <c r="H25" s="21">
        <v>25</v>
      </c>
      <c r="I25" s="21">
        <f t="shared" si="0"/>
        <v>940</v>
      </c>
      <c r="J25" s="20" t="s">
        <v>31</v>
      </c>
      <c r="K25" s="20" t="s">
        <v>31</v>
      </c>
      <c r="L25" s="20" t="s">
        <v>966</v>
      </c>
      <c r="M25" s="20"/>
      <c r="N25" s="20"/>
      <c r="O25" s="20"/>
      <c r="P25" s="20"/>
      <c r="Q25" s="20">
        <v>1</v>
      </c>
    </row>
    <row r="26" spans="1:18" x14ac:dyDescent="0.25">
      <c r="A26" s="20" t="s">
        <v>26</v>
      </c>
      <c r="B26" s="20" t="s">
        <v>27</v>
      </c>
      <c r="C26" s="20" t="s">
        <v>969</v>
      </c>
      <c r="D26" s="20"/>
      <c r="E26" s="20" t="s">
        <v>970</v>
      </c>
      <c r="F26" s="20" t="s">
        <v>151</v>
      </c>
      <c r="G26" s="21">
        <v>0</v>
      </c>
      <c r="H26" s="21">
        <v>35</v>
      </c>
      <c r="I26" s="21">
        <f t="shared" si="0"/>
        <v>-35</v>
      </c>
      <c r="J26" s="20" t="s">
        <v>31</v>
      </c>
      <c r="K26" s="20" t="s">
        <v>31</v>
      </c>
      <c r="L26" s="20" t="s">
        <v>966</v>
      </c>
      <c r="M26" s="20"/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663</v>
      </c>
      <c r="D27" s="20"/>
      <c r="E27" s="20" t="s">
        <v>664</v>
      </c>
      <c r="F27" s="20" t="s">
        <v>151</v>
      </c>
      <c r="G27" s="21">
        <v>30</v>
      </c>
      <c r="H27" s="21">
        <v>30</v>
      </c>
      <c r="I27" s="21">
        <f t="shared" si="0"/>
        <v>0</v>
      </c>
      <c r="J27" s="20" t="s">
        <v>30</v>
      </c>
      <c r="K27" s="20" t="s">
        <v>31</v>
      </c>
      <c r="L27" s="20" t="s">
        <v>966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 t="s">
        <v>26</v>
      </c>
      <c r="B28" s="20" t="s">
        <v>27</v>
      </c>
      <c r="C28" s="20" t="s">
        <v>972</v>
      </c>
      <c r="D28" s="20"/>
      <c r="E28" s="20" t="s">
        <v>973</v>
      </c>
      <c r="F28" s="20" t="s">
        <v>151</v>
      </c>
      <c r="G28" s="21">
        <v>30</v>
      </c>
      <c r="H28" s="21">
        <v>30</v>
      </c>
      <c r="I28" s="21">
        <f t="shared" si="0"/>
        <v>0</v>
      </c>
      <c r="J28" s="20" t="s">
        <v>30</v>
      </c>
      <c r="K28" s="20" t="s">
        <v>31</v>
      </c>
      <c r="L28" s="20" t="s">
        <v>966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977</v>
      </c>
      <c r="D29" s="20" t="s">
        <v>978</v>
      </c>
      <c r="E29" s="20" t="s">
        <v>979</v>
      </c>
      <c r="F29" s="21">
        <v>8</v>
      </c>
      <c r="G29" s="21">
        <v>1010</v>
      </c>
      <c r="H29" s="21">
        <v>30</v>
      </c>
      <c r="I29" s="21">
        <f t="shared" si="0"/>
        <v>980</v>
      </c>
      <c r="J29" s="20" t="s">
        <v>30</v>
      </c>
      <c r="K29" s="20" t="s">
        <v>31</v>
      </c>
      <c r="L29" s="20" t="s">
        <v>966</v>
      </c>
      <c r="M29" s="23" t="s">
        <v>95</v>
      </c>
      <c r="N29" s="20"/>
      <c r="O29" s="20"/>
      <c r="P29" s="20"/>
      <c r="Q29" s="20">
        <v>1</v>
      </c>
      <c r="R29" s="8">
        <f t="shared" ref="R29:R31" si="2">H29</f>
        <v>30</v>
      </c>
    </row>
    <row r="30" spans="1:18" x14ac:dyDescent="0.25">
      <c r="A30" s="20"/>
      <c r="B30" s="20" t="s">
        <v>27</v>
      </c>
      <c r="C30" s="20" t="s">
        <v>983</v>
      </c>
      <c r="D30" s="20" t="s">
        <v>984</v>
      </c>
      <c r="E30" s="20" t="s">
        <v>985</v>
      </c>
      <c r="F30" s="21">
        <v>3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966</v>
      </c>
      <c r="M30" s="20"/>
      <c r="N30" s="20"/>
      <c r="O30" s="20"/>
      <c r="P30" s="20"/>
      <c r="Q30" s="20">
        <v>1</v>
      </c>
      <c r="R30" s="8">
        <f t="shared" si="2"/>
        <v>25</v>
      </c>
    </row>
    <row r="31" spans="1:18" s="26" customFormat="1" x14ac:dyDescent="0.25">
      <c r="A31" s="24"/>
      <c r="B31" s="24" t="s">
        <v>27</v>
      </c>
      <c r="C31" s="24" t="s">
        <v>1000</v>
      </c>
      <c r="D31" s="24" t="s">
        <v>1001</v>
      </c>
      <c r="E31" s="24" t="s">
        <v>1002</v>
      </c>
      <c r="F31" s="25">
        <v>7</v>
      </c>
      <c r="G31" s="25">
        <v>0</v>
      </c>
      <c r="H31" s="25">
        <v>30</v>
      </c>
      <c r="I31" s="25">
        <f t="shared" si="0"/>
        <v>-30</v>
      </c>
      <c r="J31" s="24" t="s">
        <v>30</v>
      </c>
      <c r="K31" s="24" t="s">
        <v>31</v>
      </c>
      <c r="L31" s="24" t="s">
        <v>966</v>
      </c>
      <c r="M31" s="24" t="s">
        <v>84</v>
      </c>
      <c r="N31" s="24"/>
      <c r="O31" s="24"/>
      <c r="P31" s="24"/>
      <c r="Q31" s="24">
        <v>1</v>
      </c>
      <c r="R31" s="34">
        <f t="shared" si="2"/>
        <v>30</v>
      </c>
    </row>
    <row r="32" spans="1:18" x14ac:dyDescent="0.25">
      <c r="A32" s="20"/>
      <c r="B32" s="20" t="s">
        <v>27</v>
      </c>
      <c r="C32" s="20" t="s">
        <v>1003</v>
      </c>
      <c r="D32" s="20" t="s">
        <v>1004</v>
      </c>
      <c r="E32" s="20" t="s">
        <v>1005</v>
      </c>
      <c r="F32" s="21">
        <v>1</v>
      </c>
      <c r="G32" s="21">
        <v>515</v>
      </c>
      <c r="H32" s="21">
        <v>25</v>
      </c>
      <c r="I32" s="21">
        <f t="shared" si="0"/>
        <v>490</v>
      </c>
      <c r="J32" s="20" t="s">
        <v>30</v>
      </c>
      <c r="K32" s="20" t="s">
        <v>31</v>
      </c>
      <c r="L32" s="20" t="s">
        <v>966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1006</v>
      </c>
      <c r="D33" s="20" t="s">
        <v>1007</v>
      </c>
      <c r="E33" s="20" t="s">
        <v>1008</v>
      </c>
      <c r="F33" s="21">
        <v>10</v>
      </c>
      <c r="G33" s="21">
        <v>805</v>
      </c>
      <c r="H33" s="21">
        <v>25</v>
      </c>
      <c r="I33" s="21">
        <f t="shared" si="0"/>
        <v>780</v>
      </c>
      <c r="J33" s="20" t="s">
        <v>30</v>
      </c>
      <c r="K33" s="20" t="s">
        <v>31</v>
      </c>
      <c r="L33" s="20" t="s">
        <v>966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1012</v>
      </c>
      <c r="D34" s="20" t="s">
        <v>1013</v>
      </c>
      <c r="E34" s="20" t="s">
        <v>1014</v>
      </c>
      <c r="F34" s="21">
        <v>7</v>
      </c>
      <c r="G34" s="21">
        <v>620</v>
      </c>
      <c r="H34" s="21">
        <v>30</v>
      </c>
      <c r="I34" s="21">
        <f t="shared" si="0"/>
        <v>590</v>
      </c>
      <c r="J34" s="20" t="s">
        <v>30</v>
      </c>
      <c r="K34" s="20" t="s">
        <v>31</v>
      </c>
      <c r="L34" s="20" t="s">
        <v>966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1018</v>
      </c>
      <c r="D35" s="20" t="s">
        <v>1019</v>
      </c>
      <c r="E35" s="20" t="s">
        <v>1020</v>
      </c>
      <c r="F35" s="20" t="s">
        <v>218</v>
      </c>
      <c r="G35" s="21">
        <v>785</v>
      </c>
      <c r="H35" s="21">
        <v>35</v>
      </c>
      <c r="I35" s="21">
        <f t="shared" si="0"/>
        <v>750</v>
      </c>
      <c r="J35" s="20" t="s">
        <v>30</v>
      </c>
      <c r="K35" s="20" t="s">
        <v>31</v>
      </c>
      <c r="L35" s="20" t="s">
        <v>966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1024</v>
      </c>
      <c r="D36" s="20" t="s">
        <v>1025</v>
      </c>
      <c r="E36" s="20" t="s">
        <v>1026</v>
      </c>
      <c r="F36" s="21">
        <v>8</v>
      </c>
      <c r="G36" s="21">
        <v>1540</v>
      </c>
      <c r="H36" s="21">
        <v>30</v>
      </c>
      <c r="I36" s="21">
        <f t="shared" si="0"/>
        <v>1510</v>
      </c>
      <c r="J36" s="20" t="s">
        <v>30</v>
      </c>
      <c r="K36" s="20" t="s">
        <v>31</v>
      </c>
      <c r="L36" s="20" t="s">
        <v>966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1027</v>
      </c>
      <c r="D37" s="20" t="s">
        <v>1028</v>
      </c>
      <c r="E37" s="20" t="s">
        <v>1029</v>
      </c>
      <c r="F37" s="21">
        <v>7</v>
      </c>
      <c r="G37" s="21">
        <v>0</v>
      </c>
      <c r="H37" s="21">
        <v>30</v>
      </c>
      <c r="I37" s="21">
        <f t="shared" si="0"/>
        <v>-30</v>
      </c>
      <c r="J37" s="20" t="s">
        <v>30</v>
      </c>
      <c r="K37" s="20" t="s">
        <v>31</v>
      </c>
      <c r="L37" s="20" t="s">
        <v>966</v>
      </c>
      <c r="M37" s="20"/>
      <c r="N37" s="20"/>
      <c r="O37" s="20"/>
      <c r="P37" s="20"/>
      <c r="Q37" s="20">
        <v>1</v>
      </c>
      <c r="R37" s="8">
        <f>H37</f>
        <v>30</v>
      </c>
    </row>
    <row r="38" spans="1:18" x14ac:dyDescent="0.25">
      <c r="A38" s="20"/>
      <c r="B38" s="20" t="s">
        <v>27</v>
      </c>
      <c r="C38" s="20" t="s">
        <v>1049</v>
      </c>
      <c r="D38" s="20" t="s">
        <v>1050</v>
      </c>
      <c r="E38" s="20" t="s">
        <v>1051</v>
      </c>
      <c r="F38" s="21">
        <v>7</v>
      </c>
      <c r="G38" s="21">
        <v>770</v>
      </c>
      <c r="H38" s="21">
        <v>30</v>
      </c>
      <c r="I38" s="21">
        <f t="shared" si="0"/>
        <v>740</v>
      </c>
      <c r="J38" s="20" t="s">
        <v>30</v>
      </c>
      <c r="K38" s="20" t="s">
        <v>31</v>
      </c>
      <c r="L38" s="20" t="s">
        <v>966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1053</v>
      </c>
      <c r="D39" s="20" t="s">
        <v>1054</v>
      </c>
      <c r="E39" s="20" t="s">
        <v>1055</v>
      </c>
      <c r="F39" s="21">
        <v>4</v>
      </c>
      <c r="G39" s="21">
        <v>965</v>
      </c>
      <c r="H39" s="21">
        <v>25</v>
      </c>
      <c r="I39" s="21">
        <f t="shared" si="0"/>
        <v>940</v>
      </c>
      <c r="J39" s="20" t="s">
        <v>30</v>
      </c>
      <c r="K39" s="20" t="s">
        <v>31</v>
      </c>
      <c r="L39" s="20" t="s">
        <v>966</v>
      </c>
      <c r="M39" s="20"/>
      <c r="N39" s="20"/>
      <c r="O39" s="20"/>
      <c r="P39" s="20"/>
      <c r="Q39" s="20">
        <v>1</v>
      </c>
    </row>
    <row r="41" spans="1:18" x14ac:dyDescent="0.25">
      <c r="D41" s="9">
        <f>COUNTA(D3:D39)</f>
        <v>29</v>
      </c>
      <c r="G41" s="9">
        <f t="shared" ref="G41:Q41" si="3">SUBTOTAL(9,G3:G39)</f>
        <v>19115</v>
      </c>
      <c r="H41" s="9">
        <f t="shared" si="3"/>
        <v>1090</v>
      </c>
      <c r="I41" s="9">
        <f t="shared" si="3"/>
        <v>18025</v>
      </c>
      <c r="J41" s="9">
        <f t="shared" si="3"/>
        <v>0</v>
      </c>
      <c r="K41" s="9">
        <f t="shared" si="3"/>
        <v>0</v>
      </c>
      <c r="L41" s="9">
        <f t="shared" si="3"/>
        <v>0</v>
      </c>
      <c r="M41" s="9">
        <f t="shared" si="3"/>
        <v>0</v>
      </c>
      <c r="N41" s="9">
        <f t="shared" si="3"/>
        <v>0</v>
      </c>
      <c r="O41" s="9">
        <f t="shared" si="3"/>
        <v>0</v>
      </c>
      <c r="P41" s="9">
        <f t="shared" si="3"/>
        <v>0</v>
      </c>
      <c r="Q41" s="9">
        <f t="shared" si="3"/>
        <v>37</v>
      </c>
    </row>
    <row r="42" spans="1:18" x14ac:dyDescent="0.25">
      <c r="H42">
        <f>-8*17</f>
        <v>-136</v>
      </c>
    </row>
    <row r="43" spans="1:18" x14ac:dyDescent="0.25">
      <c r="A43" s="9" t="s">
        <v>27</v>
      </c>
      <c r="C43" s="51" t="s">
        <v>189</v>
      </c>
      <c r="D43" s="51"/>
      <c r="E43" s="10" t="s">
        <v>190</v>
      </c>
      <c r="H43">
        <f>-5*25</f>
        <v>-125</v>
      </c>
      <c r="K43" s="11" t="s">
        <v>965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966</v>
      </c>
      <c r="B44" s="12" t="s">
        <v>193</v>
      </c>
      <c r="C44" s="52">
        <f>SUMIFS(I$3:I$39,B$3:B$39,A$43,L$3:L$39,A$44)</f>
        <v>18025</v>
      </c>
      <c r="D44" s="52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6570</v>
      </c>
      <c r="M44">
        <f>SUMIFS(Q$3:Q$39,J$3:J$39,K$43)-INT(COUNTIFS(J$3:J$39,K$43,M$3:M$39,"*gộp*")/2)</f>
        <v>14</v>
      </c>
      <c r="O44" t="s">
        <v>1056</v>
      </c>
      <c r="P44">
        <f>L49</f>
        <v>6279</v>
      </c>
    </row>
    <row r="45" spans="1:18" x14ac:dyDescent="0.25">
      <c r="B45" s="13" t="s">
        <v>196</v>
      </c>
      <c r="C45" s="53">
        <v>0</v>
      </c>
      <c r="D45" s="53"/>
      <c r="K45" t="s">
        <v>197</v>
      </c>
      <c r="L45">
        <f>SUM(H42:H44)</f>
        <v>-291</v>
      </c>
      <c r="M45">
        <f>SUMIFS(Q$3:Q$39,J$3:J$39,K$43)-INT(COUNTIFS(J$3:J$39,K$43,M$3:M$39,"*gộp*")/2)</f>
        <v>14</v>
      </c>
      <c r="O45" t="s">
        <v>31</v>
      </c>
      <c r="P45">
        <f>L57</f>
        <v>5146</v>
      </c>
    </row>
    <row r="46" spans="1:18" x14ac:dyDescent="0.25">
      <c r="B46" s="13" t="s">
        <v>199</v>
      </c>
      <c r="C46" s="53">
        <f>-SUMIFS(I$3:I$39,B$3:B$39,A$43,P$3:P$39,"xx",N$3:N$39,"x")</f>
        <v>0</v>
      </c>
      <c r="D46" s="53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30</v>
      </c>
      <c r="P46">
        <f>L65</f>
        <v>6760</v>
      </c>
    </row>
    <row r="47" spans="1:18" x14ac:dyDescent="0.25">
      <c r="B47" s="10" t="s">
        <v>201</v>
      </c>
      <c r="C47" s="51">
        <f>SUBTOTAL(9,C44:C46)</f>
        <v>18025</v>
      </c>
      <c r="D47" s="51"/>
      <c r="E47">
        <f>E44</f>
        <v>37</v>
      </c>
      <c r="K47" s="14" t="s">
        <v>186</v>
      </c>
      <c r="O47" t="s">
        <v>203</v>
      </c>
      <c r="P47">
        <f>-C51</f>
        <v>-18025</v>
      </c>
    </row>
    <row r="48" spans="1:18" x14ac:dyDescent="0.25">
      <c r="B48" s="13" t="s">
        <v>204</v>
      </c>
      <c r="C48" s="49"/>
      <c r="D48" s="49"/>
      <c r="K48" s="13" t="s">
        <v>205</v>
      </c>
      <c r="O48" s="10" t="s">
        <v>206</v>
      </c>
      <c r="P48" s="10">
        <f>SUBTOTAL(9,P44:P47)</f>
        <v>160</v>
      </c>
    </row>
    <row r="49" spans="2:13" x14ac:dyDescent="0.25">
      <c r="B49" s="15" t="s">
        <v>207</v>
      </c>
      <c r="C49" s="49"/>
      <c r="D49" s="49"/>
      <c r="L49" s="16">
        <f>SUBTOTAL(9,L44:L48)</f>
        <v>6279</v>
      </c>
      <c r="M49" s="16">
        <f>M44</f>
        <v>14</v>
      </c>
    </row>
    <row r="51" spans="2:13" x14ac:dyDescent="0.25">
      <c r="B51" s="9" t="s">
        <v>208</v>
      </c>
      <c r="C51" s="50">
        <f>C47+C48+C49</f>
        <v>18025</v>
      </c>
      <c r="D51" s="50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5475</v>
      </c>
      <c r="M52">
        <f>SUMIFS(Q$3:Q$39,J$3:J$39,K$51)-INT(COUNTIFS(J$3:J$39,K$51,M$3:M$39,"*gộp*")/2)</f>
        <v>10</v>
      </c>
    </row>
    <row r="53" spans="2:13" x14ac:dyDescent="0.25">
      <c r="K53" t="s">
        <v>197</v>
      </c>
      <c r="L53">
        <f>-SUMIFS(H$3:H$39,J$3:J$39,K$51)+M53*5</f>
        <v>-255</v>
      </c>
      <c r="M53">
        <f>SUMIFS(Q$3:Q$39,J$3:J$39,K$51)-INT(COUNTIFS(J$3:J$39,K$51,M$3:M$39,"*gộp*")/2)</f>
        <v>10</v>
      </c>
    </row>
    <row r="54" spans="2:13" x14ac:dyDescent="0.25">
      <c r="K54" t="s">
        <v>200</v>
      </c>
      <c r="L54">
        <f>-M54*2</f>
        <v>-74</v>
      </c>
      <c r="M54">
        <f>COUNTIFS(K$3:K$39,K$51,L$3:L$39,A$44)-(COUNTIFS(K$3:K$39,K$51,M$3:M$39,"*gộp*")/2)-COUNTIFS(K$3:K$39,K$51,M$3:M$39,"*đơn trả*")-COUNTIFS(K$3:K$39,K$51,M$3:M$39,"*hàng tỉnh*")</f>
        <v>37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5146</v>
      </c>
      <c r="M57" s="16">
        <f>M52</f>
        <v>10</v>
      </c>
    </row>
    <row r="59" spans="2:13" x14ac:dyDescent="0.25">
      <c r="K59" s="11" t="s">
        <v>30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7070</v>
      </c>
      <c r="M60">
        <f>SUMIFS(Q$3:Q$39,J$3:J$39,K$59)-INT(COUNTIFS(J$3:J$39,K$59,M$3:M$39,"*gộp*")/2)</f>
        <v>13</v>
      </c>
    </row>
    <row r="61" spans="2:13" x14ac:dyDescent="0.25">
      <c r="K61" t="s">
        <v>197</v>
      </c>
      <c r="L61">
        <f>-SUMIFS(H$3:H$39,J$3:J$39,K$59)+M61*5</f>
        <v>-310</v>
      </c>
      <c r="M61">
        <f>SUMIFS(Q$3:Q$39,J$3:J$39,K$59)-INT(COUNTIFS(J$3:J$39,K$59,M$3:M$39,"*gộp*")/2)</f>
        <v>13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6760</v>
      </c>
      <c r="M65" s="16">
        <f>M60</f>
        <v>13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DB37-5029-4230-9271-C6ABC713B261}">
  <dimension ref="A1:R61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2" customWidth="1"/>
    <col min="4" max="4" width="9.85546875" customWidth="1"/>
    <col min="5" max="5" width="79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450</v>
      </c>
      <c r="C1" s="17" t="s">
        <v>1143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668</v>
      </c>
      <c r="D3" s="20"/>
      <c r="E3" s="20" t="s">
        <v>669</v>
      </c>
      <c r="F3" s="20" t="s">
        <v>35</v>
      </c>
      <c r="G3" s="21">
        <v>16360</v>
      </c>
      <c r="H3" s="21">
        <v>100</v>
      </c>
      <c r="I3" s="21">
        <f t="shared" ref="I3:I35" si="0">G3-H3</f>
        <v>16260</v>
      </c>
      <c r="J3" s="20" t="s">
        <v>1059</v>
      </c>
      <c r="K3" s="20" t="s">
        <v>31</v>
      </c>
      <c r="L3" s="20" t="s">
        <v>1060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959</v>
      </c>
      <c r="D4" s="20"/>
      <c r="E4" s="20" t="s">
        <v>960</v>
      </c>
      <c r="F4" s="21">
        <v>6</v>
      </c>
      <c r="G4" s="21">
        <v>3320</v>
      </c>
      <c r="H4" s="21">
        <v>40</v>
      </c>
      <c r="I4" s="21">
        <f t="shared" si="0"/>
        <v>3280</v>
      </c>
      <c r="J4" s="20" t="s">
        <v>1059</v>
      </c>
      <c r="K4" s="20" t="s">
        <v>31</v>
      </c>
      <c r="L4" s="20" t="s">
        <v>1060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1071</v>
      </c>
      <c r="D5" s="20" t="s">
        <v>1072</v>
      </c>
      <c r="E5" s="20" t="s">
        <v>1073</v>
      </c>
      <c r="F5" s="20" t="s">
        <v>35</v>
      </c>
      <c r="G5" s="21">
        <v>1890</v>
      </c>
      <c r="H5" s="21">
        <v>30</v>
      </c>
      <c r="I5" s="21">
        <f t="shared" si="0"/>
        <v>1860</v>
      </c>
      <c r="J5" s="20" t="s">
        <v>1059</v>
      </c>
      <c r="K5" s="20" t="s">
        <v>31</v>
      </c>
      <c r="L5" s="20" t="s">
        <v>1060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1077</v>
      </c>
      <c r="D6" s="20" t="s">
        <v>1078</v>
      </c>
      <c r="E6" s="20" t="s">
        <v>1079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1059</v>
      </c>
      <c r="K6" s="20" t="s">
        <v>31</v>
      </c>
      <c r="L6" s="20" t="s">
        <v>1060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1082</v>
      </c>
      <c r="D7" s="20" t="s">
        <v>1083</v>
      </c>
      <c r="E7" s="20" t="s">
        <v>1084</v>
      </c>
      <c r="F7" s="21">
        <v>8</v>
      </c>
      <c r="G7" s="21">
        <v>810</v>
      </c>
      <c r="H7" s="21">
        <v>30</v>
      </c>
      <c r="I7" s="21">
        <f t="shared" si="0"/>
        <v>780</v>
      </c>
      <c r="J7" s="20" t="s">
        <v>1059</v>
      </c>
      <c r="K7" s="20" t="s">
        <v>31</v>
      </c>
      <c r="L7" s="20" t="s">
        <v>1060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1088</v>
      </c>
      <c r="D8" s="20" t="s">
        <v>1089</v>
      </c>
      <c r="E8" s="20" t="s">
        <v>1090</v>
      </c>
      <c r="F8" s="21">
        <v>11</v>
      </c>
      <c r="G8" s="21">
        <v>965</v>
      </c>
      <c r="H8" s="21">
        <v>25</v>
      </c>
      <c r="I8" s="21">
        <f t="shared" si="0"/>
        <v>940</v>
      </c>
      <c r="J8" s="20" t="s">
        <v>1059</v>
      </c>
      <c r="K8" s="20" t="s">
        <v>31</v>
      </c>
      <c r="L8" s="20" t="s">
        <v>1060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1091</v>
      </c>
      <c r="D9" s="20" t="s">
        <v>1092</v>
      </c>
      <c r="E9" s="20" t="s">
        <v>1093</v>
      </c>
      <c r="F9" s="20" t="s">
        <v>121</v>
      </c>
      <c r="G9" s="21">
        <v>925</v>
      </c>
      <c r="H9" s="21">
        <v>35</v>
      </c>
      <c r="I9" s="21">
        <f t="shared" si="0"/>
        <v>890</v>
      </c>
      <c r="J9" s="20" t="s">
        <v>1059</v>
      </c>
      <c r="K9" s="20" t="s">
        <v>31</v>
      </c>
      <c r="L9" s="20" t="s">
        <v>1060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1103</v>
      </c>
      <c r="D10" s="20" t="s">
        <v>1104</v>
      </c>
      <c r="E10" s="20" t="s">
        <v>1105</v>
      </c>
      <c r="F10" s="20" t="s">
        <v>129</v>
      </c>
      <c r="G10" s="21">
        <v>0</v>
      </c>
      <c r="H10" s="21">
        <v>25</v>
      </c>
      <c r="I10" s="21">
        <f t="shared" si="0"/>
        <v>-25</v>
      </c>
      <c r="J10" s="20" t="s">
        <v>1059</v>
      </c>
      <c r="K10" s="20" t="s">
        <v>31</v>
      </c>
      <c r="L10" s="20" t="s">
        <v>1060</v>
      </c>
      <c r="M10" s="20"/>
      <c r="N10" s="20"/>
      <c r="O10" s="20"/>
      <c r="P10" s="20"/>
      <c r="Q10" s="20">
        <v>1</v>
      </c>
      <c r="R10" s="8">
        <f>H10</f>
        <v>25</v>
      </c>
    </row>
    <row r="11" spans="1:18" x14ac:dyDescent="0.25">
      <c r="A11" s="20"/>
      <c r="B11" s="20" t="s">
        <v>27</v>
      </c>
      <c r="C11" s="20" t="s">
        <v>1109</v>
      </c>
      <c r="D11" s="20" t="s">
        <v>1110</v>
      </c>
      <c r="E11" s="20" t="s">
        <v>1111</v>
      </c>
      <c r="F11" s="21">
        <v>8</v>
      </c>
      <c r="G11" s="21">
        <v>1890</v>
      </c>
      <c r="H11" s="21">
        <v>30</v>
      </c>
      <c r="I11" s="21">
        <f t="shared" si="0"/>
        <v>1860</v>
      </c>
      <c r="J11" s="20" t="s">
        <v>1059</v>
      </c>
      <c r="K11" s="20" t="s">
        <v>31</v>
      </c>
      <c r="L11" s="20" t="s">
        <v>1060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1115</v>
      </c>
      <c r="D12" s="20" t="s">
        <v>1116</v>
      </c>
      <c r="E12" s="20" t="s">
        <v>1117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1059</v>
      </c>
      <c r="K12" s="20" t="s">
        <v>31</v>
      </c>
      <c r="L12" s="20" t="s">
        <v>1060</v>
      </c>
      <c r="M12" s="23" t="s">
        <v>1144</v>
      </c>
      <c r="N12" s="20"/>
      <c r="O12" s="20"/>
      <c r="P12" s="20"/>
      <c r="Q12" s="20">
        <v>1</v>
      </c>
      <c r="R12" s="8">
        <f t="shared" ref="R12:R14" si="1">H12</f>
        <v>30</v>
      </c>
    </row>
    <row r="13" spans="1:18" x14ac:dyDescent="0.25">
      <c r="A13" s="20"/>
      <c r="B13" s="20" t="s">
        <v>27</v>
      </c>
      <c r="C13" s="20" t="s">
        <v>1124</v>
      </c>
      <c r="D13" s="20" t="s">
        <v>1125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1059</v>
      </c>
      <c r="K13" s="20" t="s">
        <v>31</v>
      </c>
      <c r="L13" s="20" t="s">
        <v>1060</v>
      </c>
      <c r="M13" s="20"/>
      <c r="N13" s="20"/>
      <c r="O13" s="20"/>
      <c r="P13" s="20"/>
      <c r="Q13" s="20">
        <v>1</v>
      </c>
      <c r="R13" s="8">
        <f t="shared" si="1"/>
        <v>25</v>
      </c>
    </row>
    <row r="14" spans="1:18" x14ac:dyDescent="0.25">
      <c r="A14" s="20" t="s">
        <v>26</v>
      </c>
      <c r="B14" s="20" t="s">
        <v>27</v>
      </c>
      <c r="C14" s="20" t="s">
        <v>1063</v>
      </c>
      <c r="D14" s="20"/>
      <c r="E14" s="20" t="s">
        <v>1064</v>
      </c>
      <c r="F14" s="21">
        <v>12</v>
      </c>
      <c r="G14" s="21">
        <v>0</v>
      </c>
      <c r="H14" s="21">
        <v>80</v>
      </c>
      <c r="I14" s="21">
        <f t="shared" si="0"/>
        <v>-80</v>
      </c>
      <c r="J14" s="20" t="s">
        <v>31</v>
      </c>
      <c r="K14" s="20" t="s">
        <v>31</v>
      </c>
      <c r="L14" s="20" t="s">
        <v>1060</v>
      </c>
      <c r="M14" s="20"/>
      <c r="N14" s="20"/>
      <c r="O14" s="20"/>
      <c r="P14" s="20"/>
      <c r="Q14" s="20">
        <v>1</v>
      </c>
      <c r="R14" s="8">
        <f t="shared" si="1"/>
        <v>80</v>
      </c>
    </row>
    <row r="15" spans="1:18" x14ac:dyDescent="0.25">
      <c r="A15" s="20"/>
      <c r="B15" s="20" t="s">
        <v>27</v>
      </c>
      <c r="C15" s="20" t="s">
        <v>1065</v>
      </c>
      <c r="D15" s="20" t="s">
        <v>1066</v>
      </c>
      <c r="E15" s="20" t="s">
        <v>1067</v>
      </c>
      <c r="F15" s="21">
        <v>9</v>
      </c>
      <c r="G15" s="21">
        <v>1010</v>
      </c>
      <c r="H15" s="21">
        <v>30</v>
      </c>
      <c r="I15" s="21">
        <f t="shared" si="0"/>
        <v>980</v>
      </c>
      <c r="J15" s="20" t="s">
        <v>31</v>
      </c>
      <c r="K15" s="20" t="s">
        <v>31</v>
      </c>
      <c r="L15" s="20" t="s">
        <v>1060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1068</v>
      </c>
      <c r="D16" s="20" t="s">
        <v>1069</v>
      </c>
      <c r="E16" s="20" t="s">
        <v>1070</v>
      </c>
      <c r="F16" s="21">
        <v>9</v>
      </c>
      <c r="G16" s="21">
        <v>1120</v>
      </c>
      <c r="H16" s="21">
        <v>30</v>
      </c>
      <c r="I16" s="21">
        <f t="shared" si="0"/>
        <v>1090</v>
      </c>
      <c r="J16" s="20" t="s">
        <v>31</v>
      </c>
      <c r="K16" s="20" t="s">
        <v>31</v>
      </c>
      <c r="L16" s="20" t="s">
        <v>1060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1080</v>
      </c>
      <c r="D17" s="20" t="s">
        <v>1081</v>
      </c>
      <c r="E17" s="20" t="s">
        <v>80</v>
      </c>
      <c r="F17" s="21">
        <v>12</v>
      </c>
      <c r="G17" s="21">
        <v>0</v>
      </c>
      <c r="H17" s="21">
        <v>40</v>
      </c>
      <c r="I17" s="21">
        <f t="shared" si="0"/>
        <v>-40</v>
      </c>
      <c r="J17" s="20" t="s">
        <v>31</v>
      </c>
      <c r="K17" s="20" t="s">
        <v>31</v>
      </c>
      <c r="L17" s="20" t="s">
        <v>1060</v>
      </c>
      <c r="M17" s="20"/>
      <c r="N17" s="20"/>
      <c r="O17" s="20"/>
      <c r="P17" s="20"/>
      <c r="Q17" s="20">
        <v>1</v>
      </c>
      <c r="R17" s="8">
        <f>H17</f>
        <v>40</v>
      </c>
    </row>
    <row r="18" spans="1:18" x14ac:dyDescent="0.25">
      <c r="A18" s="20"/>
      <c r="B18" s="20" t="s">
        <v>27</v>
      </c>
      <c r="C18" s="20" t="s">
        <v>1085</v>
      </c>
      <c r="D18" s="20" t="s">
        <v>1086</v>
      </c>
      <c r="E18" s="20" t="s">
        <v>1087</v>
      </c>
      <c r="F18" s="20" t="s">
        <v>88</v>
      </c>
      <c r="G18" s="21">
        <v>770</v>
      </c>
      <c r="H18" s="21">
        <v>30</v>
      </c>
      <c r="I18" s="21">
        <f t="shared" si="0"/>
        <v>740</v>
      </c>
      <c r="J18" s="20" t="s">
        <v>31</v>
      </c>
      <c r="K18" s="20" t="s">
        <v>31</v>
      </c>
      <c r="L18" s="20" t="s">
        <v>1060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1118</v>
      </c>
      <c r="D19" s="20" t="s">
        <v>1119</v>
      </c>
      <c r="E19" s="20" t="s">
        <v>1120</v>
      </c>
      <c r="F19" s="21">
        <v>9</v>
      </c>
      <c r="G19" s="21">
        <v>970</v>
      </c>
      <c r="H19" s="21">
        <v>30</v>
      </c>
      <c r="I19" s="21">
        <f t="shared" si="0"/>
        <v>940</v>
      </c>
      <c r="J19" s="20" t="s">
        <v>31</v>
      </c>
      <c r="K19" s="20" t="s">
        <v>31</v>
      </c>
      <c r="L19" s="20" t="s">
        <v>1060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1121</v>
      </c>
      <c r="D20" s="20" t="s">
        <v>1122</v>
      </c>
      <c r="E20" s="20" t="s">
        <v>1123</v>
      </c>
      <c r="F20" s="20" t="s">
        <v>39</v>
      </c>
      <c r="G20" s="21">
        <v>965</v>
      </c>
      <c r="H20" s="21">
        <v>25</v>
      </c>
      <c r="I20" s="21">
        <f t="shared" si="0"/>
        <v>940</v>
      </c>
      <c r="J20" s="20" t="s">
        <v>31</v>
      </c>
      <c r="K20" s="20" t="s">
        <v>31</v>
      </c>
      <c r="L20" s="20" t="s">
        <v>1060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1127</v>
      </c>
      <c r="D21" s="20" t="s">
        <v>1128</v>
      </c>
      <c r="E21" s="20" t="s">
        <v>1129</v>
      </c>
      <c r="F21" s="20" t="s">
        <v>77</v>
      </c>
      <c r="G21" s="21">
        <v>950</v>
      </c>
      <c r="H21" s="21">
        <v>20</v>
      </c>
      <c r="I21" s="21">
        <f t="shared" si="0"/>
        <v>930</v>
      </c>
      <c r="J21" s="20" t="s">
        <v>31</v>
      </c>
      <c r="K21" s="20" t="s">
        <v>31</v>
      </c>
      <c r="L21" s="20" t="s">
        <v>1060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1139</v>
      </c>
      <c r="D22" s="20" t="s">
        <v>1140</v>
      </c>
      <c r="E22" s="20" t="s">
        <v>1141</v>
      </c>
      <c r="F22" s="20" t="s">
        <v>39</v>
      </c>
      <c r="G22" s="21">
        <v>0</v>
      </c>
      <c r="H22" s="21">
        <v>25</v>
      </c>
      <c r="I22" s="21">
        <f t="shared" si="0"/>
        <v>-25</v>
      </c>
      <c r="J22" s="20" t="s">
        <v>31</v>
      </c>
      <c r="K22" s="20" t="s">
        <v>31</v>
      </c>
      <c r="L22" s="20" t="s">
        <v>1060</v>
      </c>
      <c r="M22" s="20"/>
      <c r="N22" s="20"/>
      <c r="O22" s="20"/>
      <c r="P22" s="20"/>
      <c r="Q22" s="20">
        <v>1</v>
      </c>
      <c r="R22" s="8">
        <f>H22</f>
        <v>25</v>
      </c>
    </row>
    <row r="23" spans="1:18" x14ac:dyDescent="0.25">
      <c r="A23" s="20" t="s">
        <v>26</v>
      </c>
      <c r="B23" s="20" t="s">
        <v>27</v>
      </c>
      <c r="C23" s="20" t="s">
        <v>1061</v>
      </c>
      <c r="D23" s="20"/>
      <c r="E23" s="20" t="s">
        <v>1062</v>
      </c>
      <c r="F23" s="21">
        <v>4</v>
      </c>
      <c r="G23" s="21">
        <v>30</v>
      </c>
      <c r="H23" s="21">
        <v>30</v>
      </c>
      <c r="I23" s="21">
        <f t="shared" si="0"/>
        <v>0</v>
      </c>
      <c r="J23" s="20" t="s">
        <v>30</v>
      </c>
      <c r="K23" s="20" t="s">
        <v>31</v>
      </c>
      <c r="L23" s="20" t="s">
        <v>1060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1074</v>
      </c>
      <c r="D24" s="20" t="s">
        <v>1075</v>
      </c>
      <c r="E24" s="20" t="s">
        <v>1076</v>
      </c>
      <c r="F24" s="21">
        <v>7</v>
      </c>
      <c r="G24" s="21">
        <v>920</v>
      </c>
      <c r="H24" s="21">
        <v>30</v>
      </c>
      <c r="I24" s="21">
        <f t="shared" si="0"/>
        <v>890</v>
      </c>
      <c r="J24" s="20" t="s">
        <v>30</v>
      </c>
      <c r="K24" s="20" t="s">
        <v>31</v>
      </c>
      <c r="L24" s="20" t="s">
        <v>1060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1094</v>
      </c>
      <c r="D25" s="20" t="s">
        <v>1095</v>
      </c>
      <c r="E25" s="20" t="s">
        <v>1096</v>
      </c>
      <c r="F25" s="21">
        <v>4</v>
      </c>
      <c r="G25" s="21">
        <v>1675</v>
      </c>
      <c r="H25" s="21">
        <v>25</v>
      </c>
      <c r="I25" s="21">
        <f t="shared" si="0"/>
        <v>1650</v>
      </c>
      <c r="J25" s="20" t="s">
        <v>30</v>
      </c>
      <c r="K25" s="20" t="s">
        <v>31</v>
      </c>
      <c r="L25" s="20" t="s">
        <v>1060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1097</v>
      </c>
      <c r="D26" s="20" t="s">
        <v>1098</v>
      </c>
      <c r="E26" s="20" t="s">
        <v>1099</v>
      </c>
      <c r="F26" s="20" t="s">
        <v>121</v>
      </c>
      <c r="G26" s="21">
        <v>975</v>
      </c>
      <c r="H26" s="21">
        <v>35</v>
      </c>
      <c r="I26" s="21">
        <f t="shared" si="0"/>
        <v>940</v>
      </c>
      <c r="J26" s="20" t="s">
        <v>30</v>
      </c>
      <c r="K26" s="20" t="s">
        <v>31</v>
      </c>
      <c r="L26" s="20" t="s">
        <v>1060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1100</v>
      </c>
      <c r="D27" s="20" t="s">
        <v>1101</v>
      </c>
      <c r="E27" s="20" t="s">
        <v>1102</v>
      </c>
      <c r="F27" s="20" t="s">
        <v>151</v>
      </c>
      <c r="G27" s="21">
        <v>805</v>
      </c>
      <c r="H27" s="21">
        <v>25</v>
      </c>
      <c r="I27" s="21">
        <f t="shared" si="0"/>
        <v>780</v>
      </c>
      <c r="J27" s="20" t="s">
        <v>30</v>
      </c>
      <c r="K27" s="20" t="s">
        <v>31</v>
      </c>
      <c r="L27" s="20" t="s">
        <v>1060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1106</v>
      </c>
      <c r="D28" s="20" t="s">
        <v>1107</v>
      </c>
      <c r="E28" s="20" t="s">
        <v>1108</v>
      </c>
      <c r="F28" s="20" t="s">
        <v>218</v>
      </c>
      <c r="G28" s="21">
        <v>0</v>
      </c>
      <c r="H28" s="21">
        <v>35</v>
      </c>
      <c r="I28" s="21">
        <f t="shared" si="0"/>
        <v>-35</v>
      </c>
      <c r="J28" s="20" t="s">
        <v>30</v>
      </c>
      <c r="K28" s="20" t="s">
        <v>31</v>
      </c>
      <c r="L28" s="20" t="s">
        <v>1060</v>
      </c>
      <c r="M28" s="20"/>
      <c r="N28" s="20"/>
      <c r="O28" s="20"/>
      <c r="P28" s="20"/>
      <c r="Q28" s="20">
        <v>1</v>
      </c>
      <c r="R28" s="8">
        <f>H28</f>
        <v>35</v>
      </c>
    </row>
    <row r="29" spans="1:18" x14ac:dyDescent="0.25">
      <c r="A29" s="20"/>
      <c r="B29" s="20" t="s">
        <v>27</v>
      </c>
      <c r="C29" s="20" t="s">
        <v>1112</v>
      </c>
      <c r="D29" s="20" t="s">
        <v>1113</v>
      </c>
      <c r="E29" s="20" t="s">
        <v>1114</v>
      </c>
      <c r="F29" s="21">
        <v>4</v>
      </c>
      <c r="G29" s="21">
        <v>955</v>
      </c>
      <c r="H29" s="21">
        <v>25</v>
      </c>
      <c r="I29" s="21">
        <f t="shared" si="0"/>
        <v>930</v>
      </c>
      <c r="J29" s="20" t="s">
        <v>30</v>
      </c>
      <c r="K29" s="20" t="s">
        <v>31</v>
      </c>
      <c r="L29" s="20" t="s">
        <v>1060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1130</v>
      </c>
      <c r="D30" s="20" t="s">
        <v>1131</v>
      </c>
      <c r="E30" s="20" t="s">
        <v>1132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30</v>
      </c>
      <c r="K30" s="20" t="s">
        <v>31</v>
      </c>
      <c r="L30" s="20" t="s">
        <v>1060</v>
      </c>
      <c r="M30" s="20"/>
      <c r="N30" s="20"/>
      <c r="O30" s="20"/>
      <c r="P30" s="20"/>
      <c r="Q30" s="20">
        <v>1</v>
      </c>
      <c r="R30" s="8">
        <f t="shared" ref="R30:R32" si="2">H30</f>
        <v>25</v>
      </c>
    </row>
    <row r="31" spans="1:18" x14ac:dyDescent="0.25">
      <c r="A31" s="20"/>
      <c r="B31" s="20" t="s">
        <v>27</v>
      </c>
      <c r="C31" s="20" t="s">
        <v>1133</v>
      </c>
      <c r="D31" s="20" t="s">
        <v>1134</v>
      </c>
      <c r="E31" s="20" t="s">
        <v>1135</v>
      </c>
      <c r="F31" s="20" t="s">
        <v>151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1060</v>
      </c>
      <c r="M31" s="20"/>
      <c r="N31" s="20"/>
      <c r="O31" s="20"/>
      <c r="P31" s="20"/>
      <c r="Q31" s="20">
        <v>1</v>
      </c>
      <c r="R31" s="8">
        <f t="shared" si="2"/>
        <v>25</v>
      </c>
    </row>
    <row r="32" spans="1:18" x14ac:dyDescent="0.25">
      <c r="A32" s="20"/>
      <c r="B32" s="20" t="s">
        <v>27</v>
      </c>
      <c r="C32" s="20" t="s">
        <v>1136</v>
      </c>
      <c r="D32" s="20" t="s">
        <v>1137</v>
      </c>
      <c r="E32" s="20" t="s">
        <v>1138</v>
      </c>
      <c r="F32" s="21">
        <v>4</v>
      </c>
      <c r="G32" s="21">
        <v>3770</v>
      </c>
      <c r="H32" s="21">
        <v>35</v>
      </c>
      <c r="I32" s="21">
        <f t="shared" si="0"/>
        <v>3735</v>
      </c>
      <c r="J32" s="20" t="s">
        <v>30</v>
      </c>
      <c r="K32" s="20" t="s">
        <v>31</v>
      </c>
      <c r="L32" s="20" t="s">
        <v>1060</v>
      </c>
      <c r="M32" s="23" t="s">
        <v>95</v>
      </c>
      <c r="N32" s="20"/>
      <c r="O32" s="20"/>
      <c r="P32" s="20"/>
      <c r="Q32" s="20">
        <v>1</v>
      </c>
      <c r="R32" s="8">
        <f t="shared" si="2"/>
        <v>35</v>
      </c>
    </row>
    <row r="33" spans="1:18" s="29" customFormat="1" x14ac:dyDescent="0.25">
      <c r="A33" s="30" t="s">
        <v>26</v>
      </c>
      <c r="B33" s="30" t="s">
        <v>27</v>
      </c>
      <c r="C33" s="30" t="s">
        <v>663</v>
      </c>
      <c r="D33" s="30"/>
      <c r="E33" s="30" t="s">
        <v>664</v>
      </c>
      <c r="F33" s="31" t="s">
        <v>151</v>
      </c>
      <c r="G33" s="30">
        <v>0</v>
      </c>
      <c r="H33" s="30">
        <v>30</v>
      </c>
      <c r="I33" s="30">
        <f t="shared" si="0"/>
        <v>-30</v>
      </c>
      <c r="J33" s="22" t="s">
        <v>184</v>
      </c>
      <c r="K33" s="30" t="s">
        <v>31</v>
      </c>
      <c r="L33" s="22" t="s">
        <v>1060</v>
      </c>
      <c r="M33" s="23" t="s">
        <v>95</v>
      </c>
      <c r="N33" s="30"/>
      <c r="O33" s="30"/>
      <c r="P33" s="30"/>
      <c r="Q33" s="30">
        <v>1</v>
      </c>
      <c r="R33" s="29">
        <f>H33</f>
        <v>30</v>
      </c>
    </row>
    <row r="34" spans="1:18" s="29" customFormat="1" x14ac:dyDescent="0.25">
      <c r="A34" s="30"/>
      <c r="B34" s="30" t="s">
        <v>27</v>
      </c>
      <c r="C34" s="30" t="s">
        <v>747</v>
      </c>
      <c r="D34" s="30" t="s">
        <v>748</v>
      </c>
      <c r="E34" s="30" t="s">
        <v>749</v>
      </c>
      <c r="F34" s="31" t="s">
        <v>151</v>
      </c>
      <c r="G34" s="30">
        <v>915</v>
      </c>
      <c r="H34" s="30">
        <v>0</v>
      </c>
      <c r="I34" s="30">
        <f t="shared" si="0"/>
        <v>915</v>
      </c>
      <c r="J34" s="22" t="s">
        <v>184</v>
      </c>
      <c r="K34" s="30" t="s">
        <v>31</v>
      </c>
      <c r="L34" s="30" t="s">
        <v>683</v>
      </c>
      <c r="M34" s="30" t="s">
        <v>205</v>
      </c>
      <c r="N34" s="30" t="s">
        <v>187</v>
      </c>
      <c r="O34" s="30" t="s">
        <v>187</v>
      </c>
      <c r="P34" s="30" t="s">
        <v>188</v>
      </c>
      <c r="Q34" s="30">
        <v>1</v>
      </c>
    </row>
    <row r="35" spans="1:18" s="13" customFormat="1" x14ac:dyDescent="0.25">
      <c r="A35" s="22"/>
      <c r="B35" s="22" t="s">
        <v>27</v>
      </c>
      <c r="C35" s="22" t="s">
        <v>1043</v>
      </c>
      <c r="D35" s="22" t="s">
        <v>1044</v>
      </c>
      <c r="E35" s="22" t="s">
        <v>1045</v>
      </c>
      <c r="F35" s="22" t="s">
        <v>129</v>
      </c>
      <c r="G35" s="27">
        <v>445</v>
      </c>
      <c r="H35" s="27">
        <v>25</v>
      </c>
      <c r="I35" s="27">
        <f t="shared" si="0"/>
        <v>420</v>
      </c>
      <c r="J35" s="22" t="s">
        <v>184</v>
      </c>
      <c r="K35" s="22" t="s">
        <v>31</v>
      </c>
      <c r="L35" s="22" t="s">
        <v>966</v>
      </c>
      <c r="M35" s="22" t="s">
        <v>186</v>
      </c>
      <c r="N35" s="22" t="s">
        <v>187</v>
      </c>
      <c r="O35" s="22" t="s">
        <v>187</v>
      </c>
      <c r="P35" s="22" t="s">
        <v>188</v>
      </c>
      <c r="Q35" s="22">
        <v>1</v>
      </c>
    </row>
    <row r="37" spans="1:18" x14ac:dyDescent="0.25">
      <c r="D37" s="9">
        <f>COUNTA(D3:D35)</f>
        <v>28</v>
      </c>
      <c r="G37" s="9">
        <f t="shared" ref="G37:Q37" si="3">SUBTOTAL(9,G3:G35)</f>
        <v>42435</v>
      </c>
      <c r="H37" s="9">
        <f t="shared" si="3"/>
        <v>1055</v>
      </c>
      <c r="I37" s="9">
        <f t="shared" si="3"/>
        <v>41380</v>
      </c>
      <c r="J37" s="9">
        <f t="shared" si="3"/>
        <v>0</v>
      </c>
      <c r="K37" s="9">
        <f t="shared" si="3"/>
        <v>0</v>
      </c>
      <c r="L37" s="9">
        <f t="shared" si="3"/>
        <v>0</v>
      </c>
      <c r="M37" s="9">
        <f t="shared" si="3"/>
        <v>0</v>
      </c>
      <c r="N37" s="9">
        <f t="shared" si="3"/>
        <v>0</v>
      </c>
      <c r="O37" s="9">
        <f t="shared" si="3"/>
        <v>0</v>
      </c>
      <c r="P37" s="9">
        <f t="shared" si="3"/>
        <v>0</v>
      </c>
      <c r="Q37" s="9">
        <f t="shared" si="3"/>
        <v>33</v>
      </c>
    </row>
    <row r="38" spans="1:18" x14ac:dyDescent="0.25">
      <c r="H38">
        <f>-7*17</f>
        <v>-119</v>
      </c>
      <c r="I38">
        <f>1*17</f>
        <v>17</v>
      </c>
    </row>
    <row r="39" spans="1:18" x14ac:dyDescent="0.25">
      <c r="A39" s="9" t="s">
        <v>27</v>
      </c>
      <c r="C39" s="51" t="s">
        <v>189</v>
      </c>
      <c r="D39" s="51"/>
      <c r="E39" s="10" t="s">
        <v>190</v>
      </c>
      <c r="H39">
        <f>-3*25</f>
        <v>-75</v>
      </c>
      <c r="K39" s="11" t="s">
        <v>1059</v>
      </c>
      <c r="L39" s="11" t="s">
        <v>191</v>
      </c>
      <c r="M39" s="11" t="s">
        <v>190</v>
      </c>
      <c r="O39" s="10" t="s">
        <v>192</v>
      </c>
    </row>
    <row r="40" spans="1:18" x14ac:dyDescent="0.25">
      <c r="A40" t="s">
        <v>1060</v>
      </c>
      <c r="B40" s="12" t="s">
        <v>193</v>
      </c>
      <c r="C40" s="52">
        <f>SUMIFS(I$3:I$35,B$3:B$35,A$39,L$3:L$35,A$40)</f>
        <v>40045</v>
      </c>
      <c r="D40" s="52"/>
      <c r="E40" s="12">
        <f>SUMIFS(Q$3:Q$35,B$3:B$35,A$39,L$3:L$35,A$40)</f>
        <v>31</v>
      </c>
      <c r="F40" t="s">
        <v>194</v>
      </c>
      <c r="H40">
        <f>-1*30</f>
        <v>-30</v>
      </c>
      <c r="K40" t="s">
        <v>195</v>
      </c>
      <c r="L40">
        <f>SUMIFS(G$3:G$35,J$3:J$35,K$39)</f>
        <v>26160</v>
      </c>
      <c r="M40">
        <f>SUMIFS(Q$3:Q$35,J$3:J$35,K$39)-INT(COUNTIFS(J$3:J$35,K$39,M$3:M$35,"*gộp*")/2)</f>
        <v>11</v>
      </c>
      <c r="O40" t="s">
        <v>1142</v>
      </c>
      <c r="P40">
        <f>L45</f>
        <v>25499</v>
      </c>
    </row>
    <row r="41" spans="1:18" x14ac:dyDescent="0.25">
      <c r="B41" s="13" t="s">
        <v>196</v>
      </c>
      <c r="C41" s="53">
        <v>0</v>
      </c>
      <c r="D41" s="53"/>
      <c r="K41" t="s">
        <v>197</v>
      </c>
      <c r="L41">
        <f>SUM(H38:H40)</f>
        <v>-224</v>
      </c>
      <c r="M41">
        <f>SUMIFS(Q$3:Q$35,J$3:J$35,K$39)-INT(COUNTIFS(J$3:J$35,K$39,M$3:M$35,"*gộp*")/2)</f>
        <v>11</v>
      </c>
      <c r="O41" t="s">
        <v>30</v>
      </c>
      <c r="P41">
        <f>L53</f>
        <v>7975</v>
      </c>
    </row>
    <row r="42" spans="1:18" x14ac:dyDescent="0.25">
      <c r="B42" s="13" t="s">
        <v>199</v>
      </c>
      <c r="C42" s="53">
        <f>-SUMIFS(I$3:I$35,B$3:B$35,A$39,P$3:P$35,"xx",N$3:N$35,"x")</f>
        <v>-1335</v>
      </c>
      <c r="D42" s="53"/>
      <c r="E42" s="13">
        <f>SUMIFS(Q$3:Q$35,B$3:B$35,A$39,P$3:P$35,"xx",N$3:N$35,"x")</f>
        <v>2</v>
      </c>
      <c r="K42" t="s">
        <v>200</v>
      </c>
      <c r="L42">
        <f>-M42*2</f>
        <v>0</v>
      </c>
      <c r="M42">
        <f>COUNTIFS(K$3:K$35,K$39,L$3:L$35,A$40)-(COUNTIFS(K$3:K$35,K$39,M$3:M$35,"*gộp*")/2)-COUNTIFS(K$3:K$35,K$39,M$3:M$35,"*đơn trả*")-COUNTIFS(K$3:K$35,K$39,M$3:M$35,"*hàng tỉnh*")</f>
        <v>0</v>
      </c>
      <c r="O42" t="s">
        <v>31</v>
      </c>
      <c r="P42">
        <f>L61</f>
        <v>5460</v>
      </c>
    </row>
    <row r="43" spans="1:18" x14ac:dyDescent="0.25">
      <c r="B43" s="10" t="s">
        <v>201</v>
      </c>
      <c r="C43" s="51">
        <f>SUBTOTAL(9,C40:C42)</f>
        <v>38710</v>
      </c>
      <c r="D43" s="51"/>
      <c r="E43">
        <f>E40</f>
        <v>31</v>
      </c>
      <c r="K43" s="14" t="s">
        <v>186</v>
      </c>
      <c r="L43" s="28">
        <v>-437</v>
      </c>
      <c r="M43" s="28" t="s">
        <v>202</v>
      </c>
      <c r="O43" t="s">
        <v>203</v>
      </c>
      <c r="P43">
        <f>-C47</f>
        <v>-38710</v>
      </c>
    </row>
    <row r="44" spans="1:18" x14ac:dyDescent="0.25">
      <c r="B44" s="13" t="s">
        <v>204</v>
      </c>
      <c r="C44" s="49"/>
      <c r="D44" s="49"/>
      <c r="K44" s="13" t="s">
        <v>205</v>
      </c>
      <c r="O44" s="10" t="s">
        <v>206</v>
      </c>
      <c r="P44" s="10">
        <f>SUBTOTAL(9,P40:P43)</f>
        <v>224</v>
      </c>
    </row>
    <row r="45" spans="1:18" x14ac:dyDescent="0.25">
      <c r="B45" s="15" t="s">
        <v>207</v>
      </c>
      <c r="C45" s="49"/>
      <c r="D45" s="49"/>
      <c r="L45" s="16">
        <f>SUBTOTAL(9,L40:L44)</f>
        <v>25499</v>
      </c>
      <c r="M45" s="16">
        <f>M40</f>
        <v>11</v>
      </c>
    </row>
    <row r="47" spans="1:18" x14ac:dyDescent="0.25">
      <c r="B47" s="9" t="s">
        <v>208</v>
      </c>
      <c r="C47" s="50">
        <f>C43+C44+C45</f>
        <v>38710</v>
      </c>
      <c r="D47" s="50"/>
      <c r="E47" s="9" t="s">
        <v>209</v>
      </c>
      <c r="K47" s="11" t="s">
        <v>30</v>
      </c>
      <c r="L47" s="11" t="s">
        <v>191</v>
      </c>
      <c r="M47" s="11" t="s">
        <v>190</v>
      </c>
    </row>
    <row r="48" spans="1:18" x14ac:dyDescent="0.25">
      <c r="K48" t="s">
        <v>195</v>
      </c>
      <c r="L48">
        <f>SUMIFS(G$3:G$35,J$3:J$35,K$47)</f>
        <v>9130</v>
      </c>
      <c r="M48">
        <f>SUMIFS(Q$3:Q$35,J$3:J$35,K$47)-INT(COUNTIFS(J$3:J$35,K$47,M$3:M$35,"*gộp*")/2)</f>
        <v>10</v>
      </c>
    </row>
    <row r="49" spans="11:13" x14ac:dyDescent="0.25">
      <c r="K49" t="s">
        <v>197</v>
      </c>
      <c r="L49">
        <f>-SUMIFS(H$3:H$35,J$3:J$35,K$47)+M49*5</f>
        <v>-240</v>
      </c>
      <c r="M49">
        <f>SUMIFS(Q$3:Q$35,J$3:J$35,K$47)-INT(COUNTIFS(J$3:J$35,K$47,M$3:M$35,"*gộp*")/2)</f>
        <v>10</v>
      </c>
    </row>
    <row r="50" spans="11:13" x14ac:dyDescent="0.25">
      <c r="K50" t="s">
        <v>200</v>
      </c>
      <c r="L50">
        <f>-M50*2</f>
        <v>0</v>
      </c>
      <c r="M50">
        <f>COUNTIFS(K$3:K$35,K$47,L$3:L$35,A$40)-(COUNTIFS(K$3:K$35,K$47,M$3:M$35,"*gộp*")/2)-COUNTIFS(K$3:K$35,K$47,M$3:M$35,"*đơn trả*")-COUNTIFS(K$3:K$35,K$47,M$3:M$35,"*hàng tỉnh*")</f>
        <v>0</v>
      </c>
    </row>
    <row r="51" spans="11:13" x14ac:dyDescent="0.25">
      <c r="K51" s="14" t="s">
        <v>186</v>
      </c>
    </row>
    <row r="52" spans="11:13" x14ac:dyDescent="0.25">
      <c r="K52" s="13" t="s">
        <v>205</v>
      </c>
      <c r="L52" s="28">
        <v>-915</v>
      </c>
      <c r="M52" s="28" t="s">
        <v>202</v>
      </c>
    </row>
    <row r="53" spans="11:13" x14ac:dyDescent="0.25">
      <c r="L53" s="16">
        <f>SUBTOTAL(9,L48:L52)</f>
        <v>7975</v>
      </c>
      <c r="M53" s="16">
        <f>M48</f>
        <v>10</v>
      </c>
    </row>
    <row r="55" spans="11:13" x14ac:dyDescent="0.25">
      <c r="K55" s="11" t="s">
        <v>31</v>
      </c>
      <c r="L55" s="11" t="s">
        <v>191</v>
      </c>
      <c r="M55" s="11" t="s">
        <v>190</v>
      </c>
    </row>
    <row r="56" spans="11:13" x14ac:dyDescent="0.25">
      <c r="K56" t="s">
        <v>195</v>
      </c>
      <c r="L56">
        <f>SUMIFS(G$3:G$35,J$3:J$35,K$55)</f>
        <v>5785</v>
      </c>
      <c r="M56">
        <f>SUMIFS(Q$3:Q$35,J$3:J$35,K$55)-INT(COUNTIFS(J$3:J$35,K$55,M$3:M$35,"*gộp*")/2)</f>
        <v>9</v>
      </c>
    </row>
    <row r="57" spans="11:13" x14ac:dyDescent="0.25">
      <c r="K57" t="s">
        <v>197</v>
      </c>
      <c r="L57">
        <f>-SUMIFS(H$3:H$35,J$3:J$35,K$55)+M57*5</f>
        <v>-265</v>
      </c>
      <c r="M57">
        <f>SUMIFS(Q$3:Q$35,J$3:J$35,K$55)-INT(COUNTIFS(J$3:J$35,K$55,M$3:M$35,"*gộp*")/2)</f>
        <v>9</v>
      </c>
    </row>
    <row r="58" spans="11:13" x14ac:dyDescent="0.25">
      <c r="K58" t="s">
        <v>200</v>
      </c>
      <c r="L58">
        <f>-M58*2</f>
        <v>-60</v>
      </c>
      <c r="M58">
        <f>COUNTIFS(K$3:K$35,K$55,L$3:L$35,A$40)-(COUNTIFS(K$3:K$35,K$55,M$3:M$35,"*gộp*")/2)-COUNTIFS(K$3:K$35,K$55,M$3:M$35,"*đơn trả*")-COUNTIFS(K$3:K$35,K$55,M$3:M$35,"*hàng tỉnh*")</f>
        <v>30</v>
      </c>
    </row>
    <row r="59" spans="11:13" x14ac:dyDescent="0.25">
      <c r="K59" s="14" t="s">
        <v>186</v>
      </c>
    </row>
    <row r="60" spans="11:13" x14ac:dyDescent="0.25">
      <c r="K60" s="13" t="s">
        <v>205</v>
      </c>
    </row>
    <row r="61" spans="11:13" x14ac:dyDescent="0.25">
      <c r="L61" s="16">
        <f>SUBTOTAL(9,L56:L60)</f>
        <v>5460</v>
      </c>
      <c r="M61" s="16">
        <f>M56</f>
        <v>9</v>
      </c>
    </row>
  </sheetData>
  <autoFilter ref="A2:P35" xr:uid="{00000000-0009-0000-0000-000000000000}">
    <sortState xmlns:xlrd2="http://schemas.microsoft.com/office/spreadsheetml/2017/richdata2" ref="A3:P35">
      <sortCondition ref="J2:J35"/>
    </sortState>
  </autoFilter>
  <mergeCells count="8">
    <mergeCell ref="C45:D45"/>
    <mergeCell ref="C47:D47"/>
    <mergeCell ref="C39:D39"/>
    <mergeCell ref="C40:D40"/>
    <mergeCell ref="C41:D41"/>
    <mergeCell ref="C42:D42"/>
    <mergeCell ref="C43:D43"/>
    <mergeCell ref="C44:D44"/>
  </mergeCells>
  <pageMargins left="0.75" right="0.75" top="0.75" bottom="0.5" header="0.5" footer="0.7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58C01-466B-4FA5-AE15-2E18193FAB79}">
  <dimension ref="A1:R81"/>
  <sheetViews>
    <sheetView topLeftCell="A20" zoomScale="90" zoomScaleNormal="90" workbookViewId="0">
      <selection activeCell="D51" sqref="D51"/>
    </sheetView>
  </sheetViews>
  <sheetFormatPr defaultRowHeight="15" x14ac:dyDescent="0.25"/>
  <cols>
    <col min="1" max="1" width="12.7109375" customWidth="1"/>
    <col min="2" max="2" width="9.140625" customWidth="1"/>
    <col min="3" max="3" width="31.42578125" customWidth="1"/>
    <col min="4" max="4" width="9.85546875" customWidth="1"/>
    <col min="5" max="5" width="9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678</v>
      </c>
      <c r="C1" s="17" t="s">
        <v>1266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1145</v>
      </c>
      <c r="D3" s="20"/>
      <c r="E3" s="20" t="s">
        <v>1146</v>
      </c>
      <c r="F3" s="20" t="s">
        <v>35</v>
      </c>
      <c r="G3" s="21">
        <v>40</v>
      </c>
      <c r="H3" s="21">
        <v>40</v>
      </c>
      <c r="I3" s="21">
        <f t="shared" ref="I3:I34" si="0">G3-H3</f>
        <v>0</v>
      </c>
      <c r="J3" s="20" t="s">
        <v>1147</v>
      </c>
      <c r="K3" s="20" t="s">
        <v>31</v>
      </c>
      <c r="L3" s="20" t="s">
        <v>1148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668</v>
      </c>
      <c r="D4" s="20"/>
      <c r="E4" s="20" t="s">
        <v>669</v>
      </c>
      <c r="F4" s="20" t="s">
        <v>35</v>
      </c>
      <c r="G4" s="21">
        <v>8110</v>
      </c>
      <c r="H4" s="21">
        <v>70</v>
      </c>
      <c r="I4" s="21">
        <f t="shared" si="0"/>
        <v>8040</v>
      </c>
      <c r="J4" s="20" t="s">
        <v>1147</v>
      </c>
      <c r="K4" s="20" t="s">
        <v>31</v>
      </c>
      <c r="L4" s="20" t="s">
        <v>1148</v>
      </c>
      <c r="M4" s="20"/>
      <c r="N4" s="20"/>
      <c r="O4" s="20"/>
      <c r="P4" s="20"/>
      <c r="Q4" s="20">
        <v>1</v>
      </c>
    </row>
    <row r="5" spans="1:18" x14ac:dyDescent="0.25">
      <c r="A5" s="20" t="s">
        <v>26</v>
      </c>
      <c r="B5" s="20" t="s">
        <v>27</v>
      </c>
      <c r="C5" s="20" t="s">
        <v>665</v>
      </c>
      <c r="D5" s="20"/>
      <c r="E5" s="20" t="s">
        <v>666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1147</v>
      </c>
      <c r="K5" s="20" t="s">
        <v>31</v>
      </c>
      <c r="L5" s="20" t="s">
        <v>1148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 t="s">
        <v>26</v>
      </c>
      <c r="B6" s="20" t="s">
        <v>27</v>
      </c>
      <c r="C6" s="20" t="s">
        <v>43</v>
      </c>
      <c r="D6" s="20"/>
      <c r="E6" s="20" t="s">
        <v>44</v>
      </c>
      <c r="F6" s="21">
        <v>6</v>
      </c>
      <c r="G6" s="21">
        <v>0</v>
      </c>
      <c r="H6" s="21">
        <v>30</v>
      </c>
      <c r="I6" s="21">
        <f t="shared" si="0"/>
        <v>-30</v>
      </c>
      <c r="J6" s="20" t="s">
        <v>1147</v>
      </c>
      <c r="K6" s="20" t="s">
        <v>31</v>
      </c>
      <c r="L6" s="20" t="s">
        <v>1148</v>
      </c>
      <c r="M6" s="20"/>
      <c r="N6" s="20"/>
      <c r="O6" s="20"/>
      <c r="P6" s="20"/>
      <c r="Q6" s="20">
        <v>1</v>
      </c>
      <c r="R6" s="8">
        <f t="shared" ref="R6:R7" si="1">H6</f>
        <v>30</v>
      </c>
    </row>
    <row r="7" spans="1:18" x14ac:dyDescent="0.25">
      <c r="A7" s="20" t="s">
        <v>26</v>
      </c>
      <c r="B7" s="20" t="s">
        <v>27</v>
      </c>
      <c r="C7" s="20" t="s">
        <v>350</v>
      </c>
      <c r="D7" s="20"/>
      <c r="E7" s="20" t="s">
        <v>351</v>
      </c>
      <c r="F7" s="20" t="s">
        <v>35</v>
      </c>
      <c r="G7" s="21">
        <v>0</v>
      </c>
      <c r="H7" s="21">
        <v>50</v>
      </c>
      <c r="I7" s="21">
        <f t="shared" si="0"/>
        <v>-50</v>
      </c>
      <c r="J7" s="20" t="s">
        <v>1147</v>
      </c>
      <c r="K7" s="20" t="s">
        <v>31</v>
      </c>
      <c r="L7" s="20" t="s">
        <v>1148</v>
      </c>
      <c r="M7" s="20"/>
      <c r="N7" s="20"/>
      <c r="O7" s="20"/>
      <c r="P7" s="20"/>
      <c r="Q7" s="20">
        <v>1</v>
      </c>
      <c r="R7" s="8">
        <f t="shared" si="1"/>
        <v>50</v>
      </c>
    </row>
    <row r="8" spans="1:18" x14ac:dyDescent="0.25">
      <c r="A8" s="20"/>
      <c r="B8" s="20" t="s">
        <v>27</v>
      </c>
      <c r="C8" s="20" t="s">
        <v>1154</v>
      </c>
      <c r="D8" s="20" t="s">
        <v>1155</v>
      </c>
      <c r="E8" s="20" t="s">
        <v>1156</v>
      </c>
      <c r="F8" s="20" t="s">
        <v>35</v>
      </c>
      <c r="G8" s="21">
        <v>820</v>
      </c>
      <c r="H8" s="21">
        <v>30</v>
      </c>
      <c r="I8" s="21">
        <f t="shared" si="0"/>
        <v>790</v>
      </c>
      <c r="J8" s="20" t="s">
        <v>1147</v>
      </c>
      <c r="K8" s="20" t="s">
        <v>31</v>
      </c>
      <c r="L8" s="20" t="s">
        <v>1148</v>
      </c>
      <c r="M8" s="23" t="s">
        <v>374</v>
      </c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1260</v>
      </c>
      <c r="D9" s="20" t="s">
        <v>1261</v>
      </c>
      <c r="E9" s="20" t="s">
        <v>1156</v>
      </c>
      <c r="F9" s="20" t="s">
        <v>35</v>
      </c>
      <c r="G9" s="21">
        <v>620</v>
      </c>
      <c r="H9" s="21">
        <v>0</v>
      </c>
      <c r="I9" s="21">
        <f t="shared" si="0"/>
        <v>620</v>
      </c>
      <c r="J9" s="20" t="s">
        <v>1147</v>
      </c>
      <c r="K9" s="20" t="s">
        <v>31</v>
      </c>
      <c r="L9" s="20" t="s">
        <v>1148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301</v>
      </c>
      <c r="D10" s="20" t="s">
        <v>1166</v>
      </c>
      <c r="E10" s="20" t="s">
        <v>1167</v>
      </c>
      <c r="F10" s="20" t="s">
        <v>129</v>
      </c>
      <c r="G10" s="21">
        <v>915</v>
      </c>
      <c r="H10" s="21">
        <v>25</v>
      </c>
      <c r="I10" s="21">
        <f t="shared" si="0"/>
        <v>890</v>
      </c>
      <c r="J10" s="20" t="s">
        <v>1147</v>
      </c>
      <c r="K10" s="20" t="s">
        <v>31</v>
      </c>
      <c r="L10" s="20" t="s">
        <v>1148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1168</v>
      </c>
      <c r="D11" s="20" t="s">
        <v>1169</v>
      </c>
      <c r="E11" s="20" t="s">
        <v>547</v>
      </c>
      <c r="F11" s="20" t="s">
        <v>35</v>
      </c>
      <c r="G11" s="21">
        <v>900</v>
      </c>
      <c r="H11" s="21">
        <v>30</v>
      </c>
      <c r="I11" s="21">
        <f t="shared" si="0"/>
        <v>870</v>
      </c>
      <c r="J11" s="20" t="s">
        <v>1147</v>
      </c>
      <c r="K11" s="20" t="s">
        <v>31</v>
      </c>
      <c r="L11" s="20" t="s">
        <v>1148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1170</v>
      </c>
      <c r="D12" s="20" t="s">
        <v>1171</v>
      </c>
      <c r="E12" s="20" t="s">
        <v>1172</v>
      </c>
      <c r="F12" s="20" t="s">
        <v>129</v>
      </c>
      <c r="G12" s="21">
        <v>1065</v>
      </c>
      <c r="H12" s="21">
        <v>25</v>
      </c>
      <c r="I12" s="21">
        <f t="shared" si="0"/>
        <v>1040</v>
      </c>
      <c r="J12" s="20" t="s">
        <v>1147</v>
      </c>
      <c r="K12" s="20" t="s">
        <v>31</v>
      </c>
      <c r="L12" s="20" t="s">
        <v>1148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1173</v>
      </c>
      <c r="D13" s="20" t="s">
        <v>1174</v>
      </c>
      <c r="E13" s="20" t="s">
        <v>1175</v>
      </c>
      <c r="F13" s="21">
        <v>8</v>
      </c>
      <c r="G13" s="21">
        <v>970</v>
      </c>
      <c r="H13" s="21">
        <v>30</v>
      </c>
      <c r="I13" s="21">
        <f t="shared" si="0"/>
        <v>940</v>
      </c>
      <c r="J13" s="20" t="s">
        <v>1147</v>
      </c>
      <c r="K13" s="20" t="s">
        <v>31</v>
      </c>
      <c r="L13" s="20" t="s">
        <v>1148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1180</v>
      </c>
      <c r="D14" s="20" t="s">
        <v>1181</v>
      </c>
      <c r="E14" s="20" t="s">
        <v>1182</v>
      </c>
      <c r="F14" s="21">
        <v>8</v>
      </c>
      <c r="G14" s="21">
        <v>970</v>
      </c>
      <c r="H14" s="21">
        <v>30</v>
      </c>
      <c r="I14" s="21">
        <f t="shared" si="0"/>
        <v>940</v>
      </c>
      <c r="J14" s="20" t="s">
        <v>1147</v>
      </c>
      <c r="K14" s="20" t="s">
        <v>31</v>
      </c>
      <c r="L14" s="20" t="s">
        <v>1148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888</v>
      </c>
      <c r="D15" s="20" t="s">
        <v>1207</v>
      </c>
      <c r="E15" s="20" t="s">
        <v>890</v>
      </c>
      <c r="F15" s="20" t="s">
        <v>35</v>
      </c>
      <c r="G15" s="21">
        <v>320</v>
      </c>
      <c r="H15" s="21">
        <v>30</v>
      </c>
      <c r="I15" s="21">
        <f t="shared" si="0"/>
        <v>290</v>
      </c>
      <c r="J15" s="20" t="s">
        <v>1147</v>
      </c>
      <c r="K15" s="20" t="s">
        <v>31</v>
      </c>
      <c r="L15" s="20" t="s">
        <v>1148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1218</v>
      </c>
      <c r="D16" s="20" t="s">
        <v>1219</v>
      </c>
      <c r="E16" s="20" t="s">
        <v>1220</v>
      </c>
      <c r="F16" s="20" t="s">
        <v>129</v>
      </c>
      <c r="G16" s="21">
        <v>1645</v>
      </c>
      <c r="H16" s="21">
        <v>25</v>
      </c>
      <c r="I16" s="21">
        <f t="shared" si="0"/>
        <v>1620</v>
      </c>
      <c r="J16" s="20" t="s">
        <v>1147</v>
      </c>
      <c r="K16" s="20" t="s">
        <v>31</v>
      </c>
      <c r="L16" s="20" t="s">
        <v>1148</v>
      </c>
      <c r="M16" s="20"/>
      <c r="N16" s="20"/>
      <c r="O16" s="20"/>
      <c r="P16" s="20"/>
      <c r="Q16" s="20">
        <v>1</v>
      </c>
    </row>
    <row r="17" spans="1:18" s="26" customFormat="1" x14ac:dyDescent="0.25">
      <c r="A17" s="24"/>
      <c r="B17" s="24" t="s">
        <v>27</v>
      </c>
      <c r="C17" s="24" t="s">
        <v>1021</v>
      </c>
      <c r="D17" s="24" t="s">
        <v>1230</v>
      </c>
      <c r="E17" s="24" t="s">
        <v>1023</v>
      </c>
      <c r="F17" s="24" t="s">
        <v>129</v>
      </c>
      <c r="G17" s="25">
        <v>25</v>
      </c>
      <c r="H17" s="25">
        <v>25</v>
      </c>
      <c r="I17" s="25">
        <f t="shared" si="0"/>
        <v>0</v>
      </c>
      <c r="J17" s="24" t="s">
        <v>1147</v>
      </c>
      <c r="K17" s="24" t="s">
        <v>31</v>
      </c>
      <c r="L17" s="24" t="s">
        <v>1148</v>
      </c>
      <c r="M17" s="24" t="s">
        <v>84</v>
      </c>
      <c r="N17" s="24"/>
      <c r="O17" s="24"/>
      <c r="P17" s="24"/>
      <c r="Q17" s="24">
        <v>1</v>
      </c>
    </row>
    <row r="18" spans="1:18" x14ac:dyDescent="0.25">
      <c r="A18" s="20"/>
      <c r="B18" s="20" t="s">
        <v>27</v>
      </c>
      <c r="C18" s="20" t="s">
        <v>1239</v>
      </c>
      <c r="D18" s="20" t="s">
        <v>1240</v>
      </c>
      <c r="E18" s="20" t="s">
        <v>1241</v>
      </c>
      <c r="F18" s="20" t="s">
        <v>35</v>
      </c>
      <c r="G18" s="21">
        <v>920</v>
      </c>
      <c r="H18" s="21">
        <v>30</v>
      </c>
      <c r="I18" s="21">
        <f t="shared" si="0"/>
        <v>890</v>
      </c>
      <c r="J18" s="20" t="s">
        <v>1147</v>
      </c>
      <c r="K18" s="20" t="s">
        <v>31</v>
      </c>
      <c r="L18" s="20" t="s">
        <v>1148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1242</v>
      </c>
      <c r="D19" s="20" t="s">
        <v>1243</v>
      </c>
      <c r="E19" s="20" t="s">
        <v>1244</v>
      </c>
      <c r="F19" s="20" t="s">
        <v>35</v>
      </c>
      <c r="G19" s="21">
        <v>1850</v>
      </c>
      <c r="H19" s="21">
        <v>30</v>
      </c>
      <c r="I19" s="21">
        <f t="shared" si="0"/>
        <v>1820</v>
      </c>
      <c r="J19" s="20" t="s">
        <v>1147</v>
      </c>
      <c r="K19" s="20" t="s">
        <v>31</v>
      </c>
      <c r="L19" s="20" t="s">
        <v>1148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1254</v>
      </c>
      <c r="D20" s="20" t="s">
        <v>1255</v>
      </c>
      <c r="E20" s="20" t="s">
        <v>44</v>
      </c>
      <c r="F20" s="21">
        <v>6</v>
      </c>
      <c r="G20" s="21">
        <v>0</v>
      </c>
      <c r="H20" s="21">
        <v>25</v>
      </c>
      <c r="I20" s="21">
        <f t="shared" si="0"/>
        <v>-25</v>
      </c>
      <c r="J20" s="20" t="s">
        <v>1147</v>
      </c>
      <c r="K20" s="20" t="s">
        <v>31</v>
      </c>
      <c r="L20" s="20" t="s">
        <v>1148</v>
      </c>
      <c r="M20" s="20"/>
      <c r="N20" s="20"/>
      <c r="O20" s="20"/>
      <c r="P20" s="20"/>
      <c r="Q20" s="20">
        <v>1</v>
      </c>
      <c r="R20" s="8">
        <f>H20</f>
        <v>25</v>
      </c>
    </row>
    <row r="21" spans="1:18" x14ac:dyDescent="0.25">
      <c r="A21" s="20"/>
      <c r="B21" s="20" t="s">
        <v>27</v>
      </c>
      <c r="C21" s="20" t="s">
        <v>1262</v>
      </c>
      <c r="D21" s="20" t="s">
        <v>1263</v>
      </c>
      <c r="E21" s="20" t="s">
        <v>1264</v>
      </c>
      <c r="F21" s="21">
        <v>7</v>
      </c>
      <c r="G21" s="21">
        <v>810</v>
      </c>
      <c r="H21" s="21">
        <v>30</v>
      </c>
      <c r="I21" s="21">
        <f t="shared" si="0"/>
        <v>780</v>
      </c>
      <c r="J21" s="20" t="s">
        <v>1147</v>
      </c>
      <c r="K21" s="20" t="s">
        <v>31</v>
      </c>
      <c r="L21" s="20" t="s">
        <v>1148</v>
      </c>
      <c r="M21" s="20"/>
      <c r="N21" s="20"/>
      <c r="O21" s="20"/>
      <c r="P21" s="20"/>
      <c r="Q21" s="20">
        <v>1</v>
      </c>
    </row>
    <row r="22" spans="1:18" x14ac:dyDescent="0.25">
      <c r="A22" s="20" t="s">
        <v>26</v>
      </c>
      <c r="B22" s="20" t="s">
        <v>27</v>
      </c>
      <c r="C22" s="20" t="s">
        <v>346</v>
      </c>
      <c r="D22" s="20"/>
      <c r="E22" s="20" t="s">
        <v>347</v>
      </c>
      <c r="F22" s="20" t="s">
        <v>39</v>
      </c>
      <c r="G22" s="21">
        <v>0</v>
      </c>
      <c r="H22" s="21">
        <v>50</v>
      </c>
      <c r="I22" s="21">
        <f t="shared" si="0"/>
        <v>-50</v>
      </c>
      <c r="J22" s="20" t="s">
        <v>31</v>
      </c>
      <c r="K22" s="20" t="s">
        <v>31</v>
      </c>
      <c r="L22" s="20" t="s">
        <v>1148</v>
      </c>
      <c r="M22" s="20"/>
      <c r="N22" s="20"/>
      <c r="O22" s="20"/>
      <c r="P22" s="20"/>
      <c r="Q22" s="20">
        <v>1</v>
      </c>
      <c r="R22" s="8">
        <f t="shared" ref="R22:R25" si="2">H22</f>
        <v>50</v>
      </c>
    </row>
    <row r="23" spans="1:18" x14ac:dyDescent="0.25">
      <c r="A23" s="20" t="s">
        <v>26</v>
      </c>
      <c r="B23" s="20" t="s">
        <v>27</v>
      </c>
      <c r="C23" s="20" t="s">
        <v>178</v>
      </c>
      <c r="D23" s="20"/>
      <c r="E23" s="20" t="s">
        <v>80</v>
      </c>
      <c r="F23" s="21">
        <v>12</v>
      </c>
      <c r="G23" s="21">
        <v>0</v>
      </c>
      <c r="H23" s="21">
        <v>40</v>
      </c>
      <c r="I23" s="21">
        <f t="shared" si="0"/>
        <v>-40</v>
      </c>
      <c r="J23" s="20" t="s">
        <v>31</v>
      </c>
      <c r="K23" s="20" t="s">
        <v>31</v>
      </c>
      <c r="L23" s="20" t="s">
        <v>1148</v>
      </c>
      <c r="M23" s="20"/>
      <c r="N23" s="20"/>
      <c r="O23" s="20"/>
      <c r="P23" s="20"/>
      <c r="Q23" s="20">
        <v>1</v>
      </c>
      <c r="R23" s="8">
        <f t="shared" si="2"/>
        <v>40</v>
      </c>
    </row>
    <row r="24" spans="1:18" x14ac:dyDescent="0.25">
      <c r="A24" s="20" t="s">
        <v>26</v>
      </c>
      <c r="B24" s="20" t="s">
        <v>27</v>
      </c>
      <c r="C24" s="20" t="s">
        <v>1149</v>
      </c>
      <c r="D24" s="20"/>
      <c r="E24" s="20" t="s">
        <v>787</v>
      </c>
      <c r="F24" s="21">
        <v>12</v>
      </c>
      <c r="G24" s="21">
        <v>0</v>
      </c>
      <c r="H24" s="21">
        <v>35</v>
      </c>
      <c r="I24" s="21">
        <f t="shared" si="0"/>
        <v>-35</v>
      </c>
      <c r="J24" s="20" t="s">
        <v>31</v>
      </c>
      <c r="K24" s="20" t="s">
        <v>31</v>
      </c>
      <c r="L24" s="20" t="s">
        <v>1148</v>
      </c>
      <c r="M24" s="20"/>
      <c r="N24" s="20"/>
      <c r="O24" s="20"/>
      <c r="P24" s="20"/>
      <c r="Q24" s="20">
        <v>1</v>
      </c>
      <c r="R24" s="8">
        <f t="shared" si="2"/>
        <v>35</v>
      </c>
    </row>
    <row r="25" spans="1:18" x14ac:dyDescent="0.25">
      <c r="A25" s="20" t="s">
        <v>26</v>
      </c>
      <c r="B25" s="20" t="s">
        <v>27</v>
      </c>
      <c r="C25" s="20" t="s">
        <v>1150</v>
      </c>
      <c r="D25" s="20"/>
      <c r="E25" s="20" t="s">
        <v>80</v>
      </c>
      <c r="F25" s="21">
        <v>12</v>
      </c>
      <c r="G25" s="21">
        <v>0</v>
      </c>
      <c r="H25" s="21">
        <v>80</v>
      </c>
      <c r="I25" s="21">
        <f t="shared" si="0"/>
        <v>-80</v>
      </c>
      <c r="J25" s="20" t="s">
        <v>31</v>
      </c>
      <c r="K25" s="20" t="s">
        <v>31</v>
      </c>
      <c r="L25" s="20" t="s">
        <v>1148</v>
      </c>
      <c r="M25" s="20"/>
      <c r="N25" s="20"/>
      <c r="O25" s="20"/>
      <c r="P25" s="20"/>
      <c r="Q25" s="20">
        <v>1</v>
      </c>
      <c r="R25" s="8">
        <f t="shared" si="2"/>
        <v>80</v>
      </c>
    </row>
    <row r="26" spans="1:18" x14ac:dyDescent="0.25">
      <c r="A26" s="20"/>
      <c r="B26" s="20" t="s">
        <v>27</v>
      </c>
      <c r="C26" s="20" t="s">
        <v>1151</v>
      </c>
      <c r="D26" s="20" t="s">
        <v>1152</v>
      </c>
      <c r="E26" s="20" t="s">
        <v>1153</v>
      </c>
      <c r="F26" s="20" t="s">
        <v>88</v>
      </c>
      <c r="G26" s="21">
        <v>760</v>
      </c>
      <c r="H26" s="21">
        <v>30</v>
      </c>
      <c r="I26" s="21">
        <f t="shared" si="0"/>
        <v>730</v>
      </c>
      <c r="J26" s="20" t="s">
        <v>31</v>
      </c>
      <c r="K26" s="20" t="s">
        <v>31</v>
      </c>
      <c r="L26" s="20" t="s">
        <v>1148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1163</v>
      </c>
      <c r="D27" s="20" t="s">
        <v>1164</v>
      </c>
      <c r="E27" s="20" t="s">
        <v>1165</v>
      </c>
      <c r="F27" s="21">
        <v>2</v>
      </c>
      <c r="G27" s="21">
        <v>920</v>
      </c>
      <c r="H27" s="21">
        <v>30</v>
      </c>
      <c r="I27" s="21">
        <f t="shared" si="0"/>
        <v>890</v>
      </c>
      <c r="J27" s="20" t="s">
        <v>31</v>
      </c>
      <c r="K27" s="20" t="s">
        <v>31</v>
      </c>
      <c r="L27" s="20" t="s">
        <v>1148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1189</v>
      </c>
      <c r="D28" s="20" t="s">
        <v>1190</v>
      </c>
      <c r="E28" s="20" t="s">
        <v>1191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1148</v>
      </c>
      <c r="M28" s="20"/>
      <c r="N28" s="20"/>
      <c r="O28" s="20"/>
      <c r="P28" s="20"/>
      <c r="Q28" s="20">
        <v>1</v>
      </c>
      <c r="R28" s="8">
        <f>H28</f>
        <v>25</v>
      </c>
    </row>
    <row r="29" spans="1:18" x14ac:dyDescent="0.25">
      <c r="A29" s="20"/>
      <c r="B29" s="20" t="s">
        <v>27</v>
      </c>
      <c r="C29" s="20" t="s">
        <v>1208</v>
      </c>
      <c r="D29" s="20" t="s">
        <v>1209</v>
      </c>
      <c r="E29" s="20" t="s">
        <v>1210</v>
      </c>
      <c r="F29" s="20" t="s">
        <v>77</v>
      </c>
      <c r="G29" s="21">
        <v>1140</v>
      </c>
      <c r="H29" s="21">
        <v>20</v>
      </c>
      <c r="I29" s="21">
        <f t="shared" si="0"/>
        <v>1120</v>
      </c>
      <c r="J29" s="20" t="s">
        <v>31</v>
      </c>
      <c r="K29" s="20" t="s">
        <v>31</v>
      </c>
      <c r="L29" s="20" t="s">
        <v>1148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1221</v>
      </c>
      <c r="D30" s="20" t="s">
        <v>1222</v>
      </c>
      <c r="E30" s="20" t="s">
        <v>1223</v>
      </c>
      <c r="F30" s="21">
        <v>2</v>
      </c>
      <c r="G30" s="21">
        <v>920</v>
      </c>
      <c r="H30" s="21">
        <v>30</v>
      </c>
      <c r="I30" s="21">
        <f t="shared" si="0"/>
        <v>890</v>
      </c>
      <c r="J30" s="20" t="s">
        <v>31</v>
      </c>
      <c r="K30" s="20" t="s">
        <v>31</v>
      </c>
      <c r="L30" s="20" t="s">
        <v>1148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1227</v>
      </c>
      <c r="D31" s="20" t="s">
        <v>1228</v>
      </c>
      <c r="E31" s="20" t="s">
        <v>1229</v>
      </c>
      <c r="F31" s="20" t="s">
        <v>77</v>
      </c>
      <c r="G31" s="21">
        <v>910</v>
      </c>
      <c r="H31" s="21">
        <v>20</v>
      </c>
      <c r="I31" s="21">
        <f t="shared" si="0"/>
        <v>890</v>
      </c>
      <c r="J31" s="20" t="s">
        <v>31</v>
      </c>
      <c r="K31" s="20" t="s">
        <v>31</v>
      </c>
      <c r="L31" s="20" t="s">
        <v>1148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1234</v>
      </c>
      <c r="D32" s="20" t="s">
        <v>1235</v>
      </c>
      <c r="E32" s="20" t="s">
        <v>1236</v>
      </c>
      <c r="F32" s="20" t="s">
        <v>77</v>
      </c>
      <c r="G32" s="21">
        <v>910</v>
      </c>
      <c r="H32" s="21">
        <v>20</v>
      </c>
      <c r="I32" s="21">
        <f t="shared" si="0"/>
        <v>890</v>
      </c>
      <c r="J32" s="20" t="s">
        <v>31</v>
      </c>
      <c r="K32" s="20" t="s">
        <v>31</v>
      </c>
      <c r="L32" s="20" t="s">
        <v>1148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596</v>
      </c>
      <c r="D33" s="20" t="s">
        <v>1237</v>
      </c>
      <c r="E33" s="20" t="s">
        <v>598</v>
      </c>
      <c r="F33" s="21">
        <v>12</v>
      </c>
      <c r="G33" s="21">
        <v>820</v>
      </c>
      <c r="H33" s="21">
        <v>30</v>
      </c>
      <c r="I33" s="21">
        <f t="shared" si="0"/>
        <v>790</v>
      </c>
      <c r="J33" s="20" t="s">
        <v>31</v>
      </c>
      <c r="K33" s="20" t="s">
        <v>31</v>
      </c>
      <c r="L33" s="20" t="s">
        <v>1148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1245</v>
      </c>
      <c r="D34" s="20" t="s">
        <v>1246</v>
      </c>
      <c r="E34" s="20" t="s">
        <v>1247</v>
      </c>
      <c r="F34" s="20" t="s">
        <v>77</v>
      </c>
      <c r="G34" s="21">
        <v>0</v>
      </c>
      <c r="H34" s="21">
        <v>20</v>
      </c>
      <c r="I34" s="21">
        <f t="shared" si="0"/>
        <v>-20</v>
      </c>
      <c r="J34" s="20" t="s">
        <v>31</v>
      </c>
      <c r="K34" s="20" t="s">
        <v>31</v>
      </c>
      <c r="L34" s="20" t="s">
        <v>1148</v>
      </c>
      <c r="M34" s="20"/>
      <c r="N34" s="20"/>
      <c r="O34" s="20"/>
      <c r="P34" s="20"/>
      <c r="Q34" s="20">
        <v>1</v>
      </c>
      <c r="R34" s="8">
        <f>H34</f>
        <v>20</v>
      </c>
    </row>
    <row r="35" spans="1:18" x14ac:dyDescent="0.25">
      <c r="A35" s="20"/>
      <c r="B35" s="20" t="s">
        <v>27</v>
      </c>
      <c r="C35" s="20" t="s">
        <v>1248</v>
      </c>
      <c r="D35" s="20" t="s">
        <v>1249</v>
      </c>
      <c r="E35" s="20" t="s">
        <v>1250</v>
      </c>
      <c r="F35" s="20" t="s">
        <v>77</v>
      </c>
      <c r="G35" s="21">
        <v>790</v>
      </c>
      <c r="H35" s="21">
        <v>20</v>
      </c>
      <c r="I35" s="21">
        <f t="shared" ref="I35:I55" si="3">G35-H35</f>
        <v>770</v>
      </c>
      <c r="J35" s="20" t="s">
        <v>31</v>
      </c>
      <c r="K35" s="20" t="s">
        <v>31</v>
      </c>
      <c r="L35" s="20" t="s">
        <v>1148</v>
      </c>
      <c r="M35" s="23" t="s">
        <v>95</v>
      </c>
      <c r="N35" s="20"/>
      <c r="O35" s="20"/>
      <c r="P35" s="20"/>
      <c r="Q35" s="20">
        <v>1</v>
      </c>
      <c r="R35" s="8">
        <f>H35</f>
        <v>20</v>
      </c>
    </row>
    <row r="36" spans="1:18" x14ac:dyDescent="0.25">
      <c r="A36" s="20"/>
      <c r="B36" s="20" t="s">
        <v>27</v>
      </c>
      <c r="C36" s="20" t="s">
        <v>1251</v>
      </c>
      <c r="D36" s="20" t="s">
        <v>1252</v>
      </c>
      <c r="E36" s="20" t="s">
        <v>1253</v>
      </c>
      <c r="F36" s="21">
        <v>9</v>
      </c>
      <c r="G36" s="21">
        <v>1350</v>
      </c>
      <c r="H36" s="21">
        <v>30</v>
      </c>
      <c r="I36" s="21">
        <f t="shared" si="3"/>
        <v>1320</v>
      </c>
      <c r="J36" s="20" t="s">
        <v>31</v>
      </c>
      <c r="K36" s="20" t="s">
        <v>31</v>
      </c>
      <c r="L36" s="20" t="s">
        <v>1148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625</v>
      </c>
      <c r="D37" s="20" t="s">
        <v>1256</v>
      </c>
      <c r="E37" s="20" t="s">
        <v>627</v>
      </c>
      <c r="F37" s="20" t="s">
        <v>77</v>
      </c>
      <c r="G37" s="21">
        <v>800</v>
      </c>
      <c r="H37" s="21">
        <v>20</v>
      </c>
      <c r="I37" s="21">
        <f t="shared" si="3"/>
        <v>780</v>
      </c>
      <c r="J37" s="20" t="s">
        <v>31</v>
      </c>
      <c r="K37" s="20" t="s">
        <v>31</v>
      </c>
      <c r="L37" s="20" t="s">
        <v>1148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1157</v>
      </c>
      <c r="D38" s="20" t="s">
        <v>1158</v>
      </c>
      <c r="E38" s="20" t="s">
        <v>1159</v>
      </c>
      <c r="F38" s="21">
        <v>1</v>
      </c>
      <c r="G38" s="21">
        <v>0</v>
      </c>
      <c r="H38" s="21">
        <v>25</v>
      </c>
      <c r="I38" s="21">
        <f t="shared" si="3"/>
        <v>-25</v>
      </c>
      <c r="J38" s="20" t="s">
        <v>30</v>
      </c>
      <c r="K38" s="20" t="s">
        <v>31</v>
      </c>
      <c r="L38" s="20" t="s">
        <v>1148</v>
      </c>
      <c r="M38" s="46" t="s">
        <v>1267</v>
      </c>
      <c r="N38" s="20"/>
      <c r="O38" s="20"/>
      <c r="P38" s="20"/>
      <c r="Q38" s="20">
        <v>1</v>
      </c>
      <c r="R38" s="8">
        <f>H38</f>
        <v>25</v>
      </c>
    </row>
    <row r="39" spans="1:18" x14ac:dyDescent="0.25">
      <c r="A39" s="20"/>
      <c r="B39" s="20" t="s">
        <v>27</v>
      </c>
      <c r="C39" s="20" t="s">
        <v>1160</v>
      </c>
      <c r="D39" s="20" t="s">
        <v>1161</v>
      </c>
      <c r="E39" s="20" t="s">
        <v>1162</v>
      </c>
      <c r="F39" s="20" t="s">
        <v>151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1148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557</v>
      </c>
      <c r="D40" s="20" t="s">
        <v>1176</v>
      </c>
      <c r="E40" s="20" t="s">
        <v>559</v>
      </c>
      <c r="F40" s="20" t="s">
        <v>151</v>
      </c>
      <c r="G40" s="21">
        <v>915</v>
      </c>
      <c r="H40" s="21">
        <v>25</v>
      </c>
      <c r="I40" s="21">
        <f t="shared" si="3"/>
        <v>890</v>
      </c>
      <c r="J40" s="20" t="s">
        <v>30</v>
      </c>
      <c r="K40" s="20" t="s">
        <v>31</v>
      </c>
      <c r="L40" s="20" t="s">
        <v>1148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1183</v>
      </c>
      <c r="D41" s="20" t="s">
        <v>1184</v>
      </c>
      <c r="E41" s="20" t="s">
        <v>1185</v>
      </c>
      <c r="F41" s="21">
        <v>3</v>
      </c>
      <c r="G41" s="21">
        <v>995</v>
      </c>
      <c r="H41" s="21">
        <v>25</v>
      </c>
      <c r="I41" s="21">
        <f t="shared" si="3"/>
        <v>970</v>
      </c>
      <c r="J41" s="20" t="s">
        <v>30</v>
      </c>
      <c r="K41" s="20" t="s">
        <v>31</v>
      </c>
      <c r="L41" s="20" t="s">
        <v>1148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1186</v>
      </c>
      <c r="D42" s="20" t="s">
        <v>1187</v>
      </c>
      <c r="E42" s="20" t="s">
        <v>1188</v>
      </c>
      <c r="F42" s="20" t="s">
        <v>151</v>
      </c>
      <c r="G42" s="21">
        <v>815</v>
      </c>
      <c r="H42" s="21">
        <v>25</v>
      </c>
      <c r="I42" s="21">
        <f t="shared" si="3"/>
        <v>790</v>
      </c>
      <c r="J42" s="20" t="s">
        <v>30</v>
      </c>
      <c r="K42" s="20" t="s">
        <v>31</v>
      </c>
      <c r="L42" s="20" t="s">
        <v>1148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1192</v>
      </c>
      <c r="D43" s="20" t="s">
        <v>1193</v>
      </c>
      <c r="E43" s="20" t="s">
        <v>1194</v>
      </c>
      <c r="F43" s="21">
        <v>1</v>
      </c>
      <c r="G43" s="21">
        <v>0</v>
      </c>
      <c r="H43" s="21">
        <v>25</v>
      </c>
      <c r="I43" s="21">
        <f t="shared" si="3"/>
        <v>-25</v>
      </c>
      <c r="J43" s="20" t="s">
        <v>30</v>
      </c>
      <c r="K43" s="20" t="s">
        <v>31</v>
      </c>
      <c r="L43" s="20" t="s">
        <v>1148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x14ac:dyDescent="0.25">
      <c r="A44" s="20"/>
      <c r="B44" s="20" t="s">
        <v>27</v>
      </c>
      <c r="C44" s="20" t="s">
        <v>1195</v>
      </c>
      <c r="D44" s="20" t="s">
        <v>1196</v>
      </c>
      <c r="E44" s="20" t="s">
        <v>1197</v>
      </c>
      <c r="F44" s="21">
        <v>10</v>
      </c>
      <c r="G44" s="21">
        <v>515</v>
      </c>
      <c r="H44" s="21">
        <v>25</v>
      </c>
      <c r="I44" s="21">
        <f t="shared" si="3"/>
        <v>490</v>
      </c>
      <c r="J44" s="20" t="s">
        <v>30</v>
      </c>
      <c r="K44" s="20" t="s">
        <v>31</v>
      </c>
      <c r="L44" s="20" t="s">
        <v>1148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1198</v>
      </c>
      <c r="D45" s="20" t="s">
        <v>1199</v>
      </c>
      <c r="E45" s="20" t="s">
        <v>1200</v>
      </c>
      <c r="F45" s="20" t="s">
        <v>151</v>
      </c>
      <c r="G45" s="21">
        <v>560</v>
      </c>
      <c r="H45" s="21">
        <v>25</v>
      </c>
      <c r="I45" s="21">
        <f t="shared" si="3"/>
        <v>535</v>
      </c>
      <c r="J45" s="20" t="s">
        <v>30</v>
      </c>
      <c r="K45" s="20" t="s">
        <v>31</v>
      </c>
      <c r="L45" s="20" t="s">
        <v>1148</v>
      </c>
      <c r="M45" s="23" t="s">
        <v>95</v>
      </c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1201</v>
      </c>
      <c r="D46" s="20" t="s">
        <v>1202</v>
      </c>
      <c r="E46" s="20" t="s">
        <v>1203</v>
      </c>
      <c r="F46" s="21">
        <v>1</v>
      </c>
      <c r="G46" s="21">
        <v>1455</v>
      </c>
      <c r="H46" s="21">
        <v>25</v>
      </c>
      <c r="I46" s="21">
        <f t="shared" si="3"/>
        <v>1430</v>
      </c>
      <c r="J46" s="20" t="s">
        <v>30</v>
      </c>
      <c r="K46" s="20" t="s">
        <v>31</v>
      </c>
      <c r="L46" s="20" t="s">
        <v>1148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1204</v>
      </c>
      <c r="D47" s="20" t="s">
        <v>1205</v>
      </c>
      <c r="E47" s="20" t="s">
        <v>1206</v>
      </c>
      <c r="F47" s="21">
        <v>8</v>
      </c>
      <c r="G47" s="21">
        <v>0</v>
      </c>
      <c r="H47" s="21">
        <v>30</v>
      </c>
      <c r="I47" s="21">
        <f t="shared" si="3"/>
        <v>-30</v>
      </c>
      <c r="J47" s="20" t="s">
        <v>30</v>
      </c>
      <c r="K47" s="20" t="s">
        <v>31</v>
      </c>
      <c r="L47" s="20" t="s">
        <v>1148</v>
      </c>
      <c r="M47" s="20"/>
      <c r="N47" s="20"/>
      <c r="O47" s="20"/>
      <c r="P47" s="20"/>
      <c r="Q47" s="20">
        <v>1</v>
      </c>
      <c r="R47" s="8">
        <f t="shared" ref="R47:R49" si="4">H47</f>
        <v>30</v>
      </c>
    </row>
    <row r="48" spans="1:18" x14ac:dyDescent="0.25">
      <c r="A48" s="20"/>
      <c r="B48" s="20" t="s">
        <v>27</v>
      </c>
      <c r="C48" s="20" t="s">
        <v>1211</v>
      </c>
      <c r="D48" s="20" t="s">
        <v>1212</v>
      </c>
      <c r="E48" s="20" t="s">
        <v>1213</v>
      </c>
      <c r="F48" s="20" t="s">
        <v>151</v>
      </c>
      <c r="G48" s="21">
        <v>0</v>
      </c>
      <c r="H48" s="21">
        <v>25</v>
      </c>
      <c r="I48" s="21">
        <f t="shared" si="3"/>
        <v>-25</v>
      </c>
      <c r="J48" s="20" t="s">
        <v>30</v>
      </c>
      <c r="K48" s="20" t="s">
        <v>31</v>
      </c>
      <c r="L48" s="20" t="s">
        <v>1148</v>
      </c>
      <c r="M48" s="20"/>
      <c r="N48" s="20"/>
      <c r="O48" s="20"/>
      <c r="P48" s="20"/>
      <c r="Q48" s="20">
        <v>1</v>
      </c>
      <c r="R48" s="8">
        <f t="shared" si="4"/>
        <v>25</v>
      </c>
    </row>
    <row r="49" spans="1:18" x14ac:dyDescent="0.25">
      <c r="A49" s="20"/>
      <c r="B49" s="20" t="s">
        <v>27</v>
      </c>
      <c r="C49" s="20" t="s">
        <v>1214</v>
      </c>
      <c r="D49" s="20" t="s">
        <v>1215</v>
      </c>
      <c r="E49" s="20" t="s">
        <v>1216</v>
      </c>
      <c r="F49" s="21">
        <v>1</v>
      </c>
      <c r="G49" s="21">
        <v>0</v>
      </c>
      <c r="H49" s="21">
        <v>25</v>
      </c>
      <c r="I49" s="21">
        <f t="shared" si="3"/>
        <v>-25</v>
      </c>
      <c r="J49" s="20" t="s">
        <v>30</v>
      </c>
      <c r="K49" s="20" t="s">
        <v>31</v>
      </c>
      <c r="L49" s="20" t="s">
        <v>1148</v>
      </c>
      <c r="M49" s="20"/>
      <c r="N49" s="20"/>
      <c r="O49" s="20"/>
      <c r="P49" s="20"/>
      <c r="Q49" s="20">
        <v>1</v>
      </c>
      <c r="R49" s="8">
        <f t="shared" si="4"/>
        <v>25</v>
      </c>
    </row>
    <row r="50" spans="1:18" x14ac:dyDescent="0.25">
      <c r="A50" s="20"/>
      <c r="B50" s="20" t="s">
        <v>27</v>
      </c>
      <c r="C50" s="20" t="s">
        <v>738</v>
      </c>
      <c r="D50" s="20" t="s">
        <v>1217</v>
      </c>
      <c r="E50" s="20" t="s">
        <v>740</v>
      </c>
      <c r="F50" s="20" t="s">
        <v>121</v>
      </c>
      <c r="G50" s="21">
        <v>1115</v>
      </c>
      <c r="H50" s="21">
        <v>35</v>
      </c>
      <c r="I50" s="21">
        <f t="shared" si="3"/>
        <v>1080</v>
      </c>
      <c r="J50" s="20" t="s">
        <v>30</v>
      </c>
      <c r="K50" s="20" t="s">
        <v>31</v>
      </c>
      <c r="L50" s="20" t="s">
        <v>1148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27</v>
      </c>
      <c r="C51" s="20" t="s">
        <v>1231</v>
      </c>
      <c r="D51" s="20" t="s">
        <v>1232</v>
      </c>
      <c r="E51" s="20" t="s">
        <v>1233</v>
      </c>
      <c r="F51" s="21">
        <v>7</v>
      </c>
      <c r="G51" s="21">
        <v>910</v>
      </c>
      <c r="H51" s="21">
        <v>30</v>
      </c>
      <c r="I51" s="21">
        <f t="shared" si="3"/>
        <v>880</v>
      </c>
      <c r="J51" s="20" t="s">
        <v>30</v>
      </c>
      <c r="K51" s="20" t="s">
        <v>31</v>
      </c>
      <c r="L51" s="20" t="s">
        <v>1148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167</v>
      </c>
      <c r="D52" s="20" t="s">
        <v>1238</v>
      </c>
      <c r="E52" s="20" t="s">
        <v>169</v>
      </c>
      <c r="F52" s="21">
        <v>8</v>
      </c>
      <c r="G52" s="21">
        <v>890</v>
      </c>
      <c r="H52" s="21">
        <v>30</v>
      </c>
      <c r="I52" s="21">
        <f t="shared" si="3"/>
        <v>860</v>
      </c>
      <c r="J52" s="20" t="s">
        <v>30</v>
      </c>
      <c r="K52" s="20" t="s">
        <v>31</v>
      </c>
      <c r="L52" s="20" t="s">
        <v>1148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1257</v>
      </c>
      <c r="D53" s="20" t="s">
        <v>1258</v>
      </c>
      <c r="E53" s="20" t="s">
        <v>1259</v>
      </c>
      <c r="F53" s="21">
        <v>10</v>
      </c>
      <c r="G53" s="21">
        <v>3730</v>
      </c>
      <c r="H53" s="21">
        <v>35</v>
      </c>
      <c r="I53" s="21">
        <f t="shared" si="3"/>
        <v>3695</v>
      </c>
      <c r="J53" s="20" t="s">
        <v>30</v>
      </c>
      <c r="K53" s="20" t="s">
        <v>31</v>
      </c>
      <c r="L53" s="20" t="s">
        <v>1148</v>
      </c>
      <c r="M53" s="23" t="s">
        <v>95</v>
      </c>
      <c r="N53" s="20"/>
      <c r="O53" s="20"/>
      <c r="P53" s="20"/>
      <c r="Q53" s="20">
        <v>1</v>
      </c>
      <c r="R53" s="8">
        <f t="shared" ref="R53" si="5">H53</f>
        <v>35</v>
      </c>
    </row>
    <row r="54" spans="1:18" s="13" customFormat="1" x14ac:dyDescent="0.25">
      <c r="A54" s="22"/>
      <c r="B54" s="22" t="s">
        <v>27</v>
      </c>
      <c r="C54" s="22" t="s">
        <v>1177</v>
      </c>
      <c r="D54" s="22" t="s">
        <v>1178</v>
      </c>
      <c r="E54" s="22" t="s">
        <v>1179</v>
      </c>
      <c r="F54" s="22"/>
      <c r="G54" s="27">
        <v>1245</v>
      </c>
      <c r="H54" s="27">
        <v>0</v>
      </c>
      <c r="I54" s="27">
        <f t="shared" si="3"/>
        <v>1245</v>
      </c>
      <c r="J54" s="22" t="s">
        <v>184</v>
      </c>
      <c r="K54" s="22" t="s">
        <v>31</v>
      </c>
      <c r="L54" s="22" t="s">
        <v>1148</v>
      </c>
      <c r="M54" s="22" t="s">
        <v>186</v>
      </c>
      <c r="N54" s="22" t="s">
        <v>187</v>
      </c>
      <c r="O54" s="22"/>
      <c r="P54" s="22" t="s">
        <v>188</v>
      </c>
      <c r="Q54" s="22">
        <v>1</v>
      </c>
    </row>
    <row r="55" spans="1:18" s="13" customFormat="1" x14ac:dyDescent="0.25">
      <c r="A55" s="22"/>
      <c r="B55" s="22" t="s">
        <v>27</v>
      </c>
      <c r="C55" s="22" t="s">
        <v>1224</v>
      </c>
      <c r="D55" s="22" t="s">
        <v>1225</v>
      </c>
      <c r="E55" s="22" t="s">
        <v>1226</v>
      </c>
      <c r="F55" s="22"/>
      <c r="G55" s="27">
        <v>0</v>
      </c>
      <c r="H55" s="27">
        <v>0</v>
      </c>
      <c r="I55" s="27">
        <f t="shared" si="3"/>
        <v>0</v>
      </c>
      <c r="J55" s="22" t="s">
        <v>184</v>
      </c>
      <c r="K55" s="22" t="s">
        <v>31</v>
      </c>
      <c r="L55" s="22" t="s">
        <v>1148</v>
      </c>
      <c r="M55" s="22" t="s">
        <v>186</v>
      </c>
      <c r="N55" s="22" t="s">
        <v>187</v>
      </c>
      <c r="O55" s="22"/>
      <c r="P55" s="22" t="s">
        <v>188</v>
      </c>
      <c r="Q55" s="22">
        <v>1</v>
      </c>
    </row>
    <row r="57" spans="1:18" x14ac:dyDescent="0.25">
      <c r="D57" s="9">
        <f>COUNTA(D3:D55)</f>
        <v>44</v>
      </c>
      <c r="G57" s="9">
        <f t="shared" ref="G57:Q57" si="6">SUBTOTAL(9,G3:G55)</f>
        <v>42445</v>
      </c>
      <c r="H57" s="9">
        <f t="shared" si="6"/>
        <v>1520</v>
      </c>
      <c r="I57" s="9">
        <f t="shared" si="6"/>
        <v>40925</v>
      </c>
      <c r="J57" s="9">
        <f t="shared" si="6"/>
        <v>0</v>
      </c>
      <c r="K57" s="9">
        <f t="shared" si="6"/>
        <v>0</v>
      </c>
      <c r="L57" s="9">
        <f t="shared" si="6"/>
        <v>0</v>
      </c>
      <c r="M57" s="9">
        <f t="shared" si="6"/>
        <v>0</v>
      </c>
      <c r="N57" s="9">
        <f t="shared" si="6"/>
        <v>0</v>
      </c>
      <c r="O57" s="9">
        <f t="shared" si="6"/>
        <v>0</v>
      </c>
      <c r="P57" s="9">
        <f t="shared" si="6"/>
        <v>0</v>
      </c>
      <c r="Q57" s="9">
        <f t="shared" si="6"/>
        <v>53</v>
      </c>
    </row>
    <row r="58" spans="1:18" x14ac:dyDescent="0.25">
      <c r="H58">
        <f>-10*17</f>
        <v>-170</v>
      </c>
    </row>
    <row r="59" spans="1:18" x14ac:dyDescent="0.25">
      <c r="A59" s="9" t="s">
        <v>27</v>
      </c>
      <c r="C59" s="51" t="s">
        <v>189</v>
      </c>
      <c r="D59" s="51"/>
      <c r="E59" s="10" t="s">
        <v>190</v>
      </c>
      <c r="H59">
        <f>-8*25</f>
        <v>-200</v>
      </c>
      <c r="K59" s="11" t="s">
        <v>1147</v>
      </c>
      <c r="L59" s="11" t="s">
        <v>191</v>
      </c>
      <c r="M59" s="11" t="s">
        <v>190</v>
      </c>
      <c r="O59" s="10" t="s">
        <v>192</v>
      </c>
    </row>
    <row r="60" spans="1:18" x14ac:dyDescent="0.25">
      <c r="A60" t="s">
        <v>1148</v>
      </c>
      <c r="B60" s="12" t="s">
        <v>193</v>
      </c>
      <c r="C60" s="52">
        <f>SUMIFS(I$3:I$55,B$3:B$55,A$59,L$3:L$55,A$60)</f>
        <v>40925</v>
      </c>
      <c r="D60" s="52"/>
      <c r="E60" s="12">
        <f>SUMIFS(Q$3:Q$55,B$3:B$55,A$59,L$3:L$55,A$60)</f>
        <v>53</v>
      </c>
      <c r="F60" t="s">
        <v>194</v>
      </c>
      <c r="K60" t="s">
        <v>195</v>
      </c>
      <c r="L60">
        <f>SUMIFS(G$3:G$55,J$3:J$55,K$59)</f>
        <v>19980</v>
      </c>
      <c r="M60">
        <f>SUMIFS(Q$3:Q$55,J$3:J$55,K$59)-INT(COUNTIFS(J$3:J$55,K$59,M$3:M$55,"*gộp*")/2)</f>
        <v>18</v>
      </c>
      <c r="O60" t="s">
        <v>1265</v>
      </c>
      <c r="P60">
        <f>L65</f>
        <v>19610</v>
      </c>
    </row>
    <row r="61" spans="1:18" x14ac:dyDescent="0.25">
      <c r="B61" s="13" t="s">
        <v>196</v>
      </c>
      <c r="C61" s="53">
        <v>0</v>
      </c>
      <c r="D61" s="53"/>
      <c r="K61" t="s">
        <v>197</v>
      </c>
      <c r="L61">
        <f>SUM(H58:H59)</f>
        <v>-370</v>
      </c>
      <c r="M61">
        <f>SUMIFS(Q$3:Q$55,J$3:J$55,K$59)-INT(COUNTIFS(J$3:J$55,K$59,M$3:M$55,"*gộp*")/2)</f>
        <v>18</v>
      </c>
      <c r="O61" t="s">
        <v>31</v>
      </c>
      <c r="P61">
        <f>L73</f>
        <v>8800</v>
      </c>
    </row>
    <row r="62" spans="1:18" x14ac:dyDescent="0.25">
      <c r="B62" s="13" t="s">
        <v>199</v>
      </c>
      <c r="C62" s="53">
        <f>-SUMIFS(I$3:I$55,B$3:B$55,A$59,P$3:P$55,"xx",N$3:N$55,"x")</f>
        <v>-1245</v>
      </c>
      <c r="D62" s="53"/>
      <c r="E62" s="13">
        <f>SUMIFS(Q$3:Q$55,B$3:B$55,A$59,P$3:P$55,"xx",N$3:N$55,"x")</f>
        <v>2</v>
      </c>
      <c r="K62" t="s">
        <v>200</v>
      </c>
      <c r="L62">
        <f>-M62*2</f>
        <v>0</v>
      </c>
      <c r="M62">
        <f>COUNTIFS(K$3:K$55,K$59,L$3:L$55,A$60)-(COUNTIFS(K$3:K$55,K$59,M$3:M$55,"*gộp*")/2)-COUNTIFS(K$3:K$55,K$59,M$3:M$55,"*đơn trả*")-COUNTIFS(K$3:K$55,K$59,M$3:M$55,"*hàng tỉnh*")</f>
        <v>0</v>
      </c>
      <c r="O62" t="s">
        <v>30</v>
      </c>
      <c r="P62">
        <f>L81</f>
        <v>11545</v>
      </c>
    </row>
    <row r="63" spans="1:18" x14ac:dyDescent="0.25">
      <c r="B63" s="10" t="s">
        <v>201</v>
      </c>
      <c r="C63" s="51">
        <f>SUBTOTAL(9,C60:C62)</f>
        <v>39680</v>
      </c>
      <c r="D63" s="51"/>
      <c r="E63">
        <f>E60</f>
        <v>53</v>
      </c>
      <c r="K63" s="14" t="s">
        <v>186</v>
      </c>
      <c r="O63" t="s">
        <v>203</v>
      </c>
      <c r="P63">
        <f>-C67</f>
        <v>-39680</v>
      </c>
    </row>
    <row r="64" spans="1:18" x14ac:dyDescent="0.25">
      <c r="B64" s="13" t="s">
        <v>204</v>
      </c>
      <c r="C64" s="49"/>
      <c r="D64" s="49"/>
      <c r="K64" s="13" t="s">
        <v>205</v>
      </c>
      <c r="O64" s="10" t="s">
        <v>206</v>
      </c>
      <c r="P64" s="10">
        <f>SUBTOTAL(9,P60:P63)</f>
        <v>275</v>
      </c>
    </row>
    <row r="65" spans="2:13" x14ac:dyDescent="0.25">
      <c r="B65" s="15" t="s">
        <v>207</v>
      </c>
      <c r="C65" s="49"/>
      <c r="D65" s="49"/>
      <c r="L65" s="16">
        <f>SUBTOTAL(9,L60:L64)</f>
        <v>19610</v>
      </c>
      <c r="M65" s="16">
        <f>M60</f>
        <v>18</v>
      </c>
    </row>
    <row r="67" spans="2:13" x14ac:dyDescent="0.25">
      <c r="B67" s="9" t="s">
        <v>208</v>
      </c>
      <c r="C67" s="50">
        <f>C63+C64+C65</f>
        <v>39680</v>
      </c>
      <c r="D67" s="50"/>
      <c r="E67" s="9" t="s">
        <v>209</v>
      </c>
      <c r="K67" s="11" t="s">
        <v>31</v>
      </c>
      <c r="L67" s="11" t="s">
        <v>191</v>
      </c>
      <c r="M67" s="11" t="s">
        <v>190</v>
      </c>
    </row>
    <row r="68" spans="2:13" x14ac:dyDescent="0.25">
      <c r="K68" t="s">
        <v>195</v>
      </c>
      <c r="L68">
        <f>SUMIFS(G$3:G$55,J$3:J$55,K$67)</f>
        <v>9320</v>
      </c>
      <c r="M68">
        <f>SUMIFS(Q$3:Q$55,J$3:J$55,K$67)-INT(COUNTIFS(J$3:J$55,K$67,M$3:M$55,"*gộp*")/2)</f>
        <v>16</v>
      </c>
    </row>
    <row r="69" spans="2:13" x14ac:dyDescent="0.25">
      <c r="K69" t="s">
        <v>197</v>
      </c>
      <c r="L69">
        <f>-SUMIFS(H$3:H$55,J$3:J$55,K$67)+M69*5</f>
        <v>-420</v>
      </c>
      <c r="M69">
        <f>SUMIFS(Q$3:Q$55,J$3:J$55,K$67)-INT(COUNTIFS(J$3:J$55,K$67,M$3:M$55,"*gộp*")/2)</f>
        <v>16</v>
      </c>
    </row>
    <row r="70" spans="2:13" x14ac:dyDescent="0.25">
      <c r="K70" t="s">
        <v>200</v>
      </c>
      <c r="L70">
        <f>-M70*2</f>
        <v>-100</v>
      </c>
      <c r="M70">
        <f>COUNTIFS(K$3:K$55,K$67,L$3:L$55,A$60)-(COUNTIFS(K$3:K$55,K$67,M$3:M$55,"*gộp*")/2)-COUNTIFS(K$3:K$55,K$67,M$3:M$55,"*đơn trả*")-COUNTIFS(K$3:K$55,K$67,M$3:M$55,"*hàng tỉnh*")</f>
        <v>50</v>
      </c>
    </row>
    <row r="71" spans="2:13" x14ac:dyDescent="0.25">
      <c r="K71" s="14" t="s">
        <v>186</v>
      </c>
    </row>
    <row r="72" spans="2:13" x14ac:dyDescent="0.25">
      <c r="K72" s="13" t="s">
        <v>205</v>
      </c>
    </row>
    <row r="73" spans="2:13" x14ac:dyDescent="0.25">
      <c r="L73" s="16">
        <f>SUBTOTAL(9,L68:L72)</f>
        <v>8800</v>
      </c>
      <c r="M73" s="16">
        <f>M68</f>
        <v>16</v>
      </c>
    </row>
    <row r="75" spans="2:13" x14ac:dyDescent="0.25">
      <c r="K75" s="11" t="s">
        <v>30</v>
      </c>
      <c r="L75" s="11" t="s">
        <v>191</v>
      </c>
      <c r="M75" s="11" t="s">
        <v>190</v>
      </c>
    </row>
    <row r="76" spans="2:13" x14ac:dyDescent="0.25">
      <c r="K76" t="s">
        <v>195</v>
      </c>
      <c r="L76">
        <f>SUMIFS(G$3:G$55,J$3:J$55,K$75)</f>
        <v>11900</v>
      </c>
      <c r="M76">
        <f>SUMIFS(Q$3:Q$55,J$3:J$55,K$75)-INT(COUNTIFS(J$3:J$55,K$75,M$3:M$55,"*gộp*")/2)</f>
        <v>16</v>
      </c>
    </row>
    <row r="77" spans="2:13" x14ac:dyDescent="0.25">
      <c r="K77" t="s">
        <v>197</v>
      </c>
      <c r="L77">
        <f>-SUMIFS(H$3:H$55,J$3:J$55,K$75)+M77*5</f>
        <v>-355</v>
      </c>
      <c r="M77">
        <f>SUMIFS(Q$3:Q$55,J$3:J$55,K$75)-INT(COUNTIFS(J$3:J$55,K$75,M$3:M$55,"*gộp*")/2)</f>
        <v>16</v>
      </c>
    </row>
    <row r="78" spans="2:13" x14ac:dyDescent="0.25">
      <c r="K78" t="s">
        <v>200</v>
      </c>
      <c r="L78">
        <f>-M78*2</f>
        <v>0</v>
      </c>
      <c r="M78">
        <f>COUNTIFS(K$3:K$55,K$75,L$3:L$55,A$60)-(COUNTIFS(K$3:K$55,K$75,M$3:M$55,"*gộp*")/2)-COUNTIFS(K$3:K$55,K$75,M$3:M$55,"*đơn trả*")-COUNTIFS(K$3:K$55,K$75,M$3:M$55,"*hàng tỉnh*")</f>
        <v>0</v>
      </c>
    </row>
    <row r="79" spans="2:13" x14ac:dyDescent="0.25">
      <c r="K79" s="14" t="s">
        <v>186</v>
      </c>
      <c r="L79" s="28"/>
      <c r="M79" s="28"/>
    </row>
    <row r="80" spans="2:13" x14ac:dyDescent="0.25">
      <c r="K80" s="13" t="s">
        <v>205</v>
      </c>
    </row>
    <row r="81" spans="12:13" x14ac:dyDescent="0.25">
      <c r="L81" s="16">
        <f>SUBTOTAL(9,L76:L80)</f>
        <v>11545</v>
      </c>
      <c r="M81" s="16">
        <f>M76</f>
        <v>16</v>
      </c>
    </row>
  </sheetData>
  <autoFilter ref="A2:P55" xr:uid="{00000000-0009-0000-0000-000000000000}">
    <sortState xmlns:xlrd2="http://schemas.microsoft.com/office/spreadsheetml/2017/richdata2" ref="A3:P55">
      <sortCondition ref="J2:J55"/>
    </sortState>
  </autoFilter>
  <mergeCells count="8">
    <mergeCell ref="C65:D65"/>
    <mergeCell ref="C67:D67"/>
    <mergeCell ref="C59:D59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CD87D-0CFD-4617-B8E1-2737F54F8A25}">
  <dimension ref="A1:R79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36.5703125" customWidth="1"/>
    <col min="4" max="4" width="9.85546875" customWidth="1"/>
    <col min="5" max="5" width="8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1387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43</v>
      </c>
      <c r="D3" s="20"/>
      <c r="E3" s="20" t="s">
        <v>44</v>
      </c>
      <c r="F3" s="21">
        <v>6</v>
      </c>
      <c r="G3" s="21">
        <v>0</v>
      </c>
      <c r="H3" s="21">
        <v>30</v>
      </c>
      <c r="I3" s="21">
        <f t="shared" ref="I3:I33" si="0">G3-H3</f>
        <v>-30</v>
      </c>
      <c r="J3" s="20" t="s">
        <v>1271</v>
      </c>
      <c r="K3" s="20" t="s">
        <v>31</v>
      </c>
      <c r="L3" s="20" t="s">
        <v>1270</v>
      </c>
      <c r="M3" s="20"/>
      <c r="N3" s="20"/>
      <c r="O3" s="20"/>
      <c r="P3" s="20"/>
      <c r="Q3" s="20">
        <v>1</v>
      </c>
    </row>
    <row r="4" spans="1:18" x14ac:dyDescent="0.25">
      <c r="A4" s="20" t="s">
        <v>26</v>
      </c>
      <c r="B4" s="20" t="s">
        <v>27</v>
      </c>
      <c r="C4" s="20" t="s">
        <v>1273</v>
      </c>
      <c r="D4" s="20"/>
      <c r="E4" s="20" t="s">
        <v>1274</v>
      </c>
      <c r="F4" s="21">
        <v>6</v>
      </c>
      <c r="G4" s="21">
        <v>2845</v>
      </c>
      <c r="H4" s="21">
        <v>35</v>
      </c>
      <c r="I4" s="21">
        <f t="shared" si="0"/>
        <v>2810</v>
      </c>
      <c r="J4" s="20" t="s">
        <v>1271</v>
      </c>
      <c r="K4" s="20" t="s">
        <v>31</v>
      </c>
      <c r="L4" s="20" t="s">
        <v>1270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1284</v>
      </c>
      <c r="D5" s="20" t="s">
        <v>1285</v>
      </c>
      <c r="E5" s="20" t="s">
        <v>1286</v>
      </c>
      <c r="F5" s="20" t="s">
        <v>35</v>
      </c>
      <c r="G5" s="21">
        <v>920</v>
      </c>
      <c r="H5" s="21">
        <v>30</v>
      </c>
      <c r="I5" s="21">
        <f t="shared" si="0"/>
        <v>890</v>
      </c>
      <c r="J5" s="20" t="s">
        <v>1271</v>
      </c>
      <c r="K5" s="20" t="s">
        <v>31</v>
      </c>
      <c r="L5" s="20" t="s">
        <v>1270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1287</v>
      </c>
      <c r="D6" s="20" t="s">
        <v>1288</v>
      </c>
      <c r="E6" s="20" t="s">
        <v>1289</v>
      </c>
      <c r="F6" s="20" t="s">
        <v>121</v>
      </c>
      <c r="G6" s="21">
        <v>925</v>
      </c>
      <c r="H6" s="21">
        <v>35</v>
      </c>
      <c r="I6" s="21">
        <f t="shared" si="0"/>
        <v>890</v>
      </c>
      <c r="J6" s="20" t="s">
        <v>1271</v>
      </c>
      <c r="K6" s="20" t="s">
        <v>31</v>
      </c>
      <c r="L6" s="20" t="s">
        <v>1270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1293</v>
      </c>
      <c r="D7" s="20" t="s">
        <v>1294</v>
      </c>
      <c r="E7" s="20" t="s">
        <v>1295</v>
      </c>
      <c r="F7" s="20" t="s">
        <v>151</v>
      </c>
      <c r="G7" s="21">
        <v>2410</v>
      </c>
      <c r="H7" s="21">
        <v>30</v>
      </c>
      <c r="I7" s="21">
        <f t="shared" si="0"/>
        <v>2380</v>
      </c>
      <c r="J7" s="20" t="s">
        <v>1271</v>
      </c>
      <c r="K7" s="20" t="s">
        <v>31</v>
      </c>
      <c r="L7" s="20" t="s">
        <v>1270</v>
      </c>
      <c r="M7" s="23" t="s">
        <v>95</v>
      </c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1296</v>
      </c>
      <c r="D8" s="20" t="s">
        <v>1297</v>
      </c>
      <c r="E8" s="20" t="s">
        <v>1298</v>
      </c>
      <c r="F8" s="20" t="s">
        <v>42</v>
      </c>
      <c r="G8" s="21">
        <v>0</v>
      </c>
      <c r="H8" s="21">
        <v>35</v>
      </c>
      <c r="I8" s="21">
        <f t="shared" si="0"/>
        <v>-35</v>
      </c>
      <c r="J8" s="20" t="s">
        <v>1271</v>
      </c>
      <c r="K8" s="20" t="s">
        <v>31</v>
      </c>
      <c r="L8" s="20" t="s">
        <v>1270</v>
      </c>
      <c r="M8" s="23" t="s">
        <v>903</v>
      </c>
      <c r="N8" s="20"/>
      <c r="O8" s="20"/>
      <c r="P8" s="20"/>
      <c r="Q8" s="20">
        <v>1</v>
      </c>
      <c r="R8" s="8">
        <f>H8</f>
        <v>35</v>
      </c>
    </row>
    <row r="9" spans="1:18" x14ac:dyDescent="0.25">
      <c r="A9" s="20"/>
      <c r="B9" s="20" t="s">
        <v>27</v>
      </c>
      <c r="C9" s="20" t="s">
        <v>1299</v>
      </c>
      <c r="D9" s="20" t="s">
        <v>1300</v>
      </c>
      <c r="E9" s="20" t="s">
        <v>1301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1271</v>
      </c>
      <c r="K9" s="20" t="s">
        <v>31</v>
      </c>
      <c r="L9" s="20" t="s">
        <v>1270</v>
      </c>
      <c r="M9" s="20"/>
      <c r="N9" s="20"/>
      <c r="O9" s="20"/>
      <c r="P9" s="20"/>
      <c r="Q9" s="20">
        <v>1</v>
      </c>
    </row>
    <row r="10" spans="1:18" s="45" customFormat="1" x14ac:dyDescent="0.25">
      <c r="A10" s="20"/>
      <c r="B10" s="20" t="s">
        <v>27</v>
      </c>
      <c r="C10" s="20" t="s">
        <v>133</v>
      </c>
      <c r="D10" s="20" t="s">
        <v>1302</v>
      </c>
      <c r="E10" s="20" t="s">
        <v>135</v>
      </c>
      <c r="F10" s="20" t="s">
        <v>35</v>
      </c>
      <c r="G10" s="21">
        <v>960</v>
      </c>
      <c r="H10" s="21">
        <v>30</v>
      </c>
      <c r="I10" s="21">
        <f t="shared" si="0"/>
        <v>930</v>
      </c>
      <c r="J10" s="20" t="s">
        <v>1271</v>
      </c>
      <c r="K10" s="20" t="s">
        <v>31</v>
      </c>
      <c r="L10" s="20" t="s">
        <v>1270</v>
      </c>
      <c r="M10" s="20"/>
      <c r="N10" s="20"/>
      <c r="O10" s="20"/>
      <c r="P10" s="20"/>
      <c r="Q10" s="44">
        <v>1</v>
      </c>
      <c r="R10" s="47">
        <f>H10</f>
        <v>30</v>
      </c>
    </row>
    <row r="11" spans="1:18" x14ac:dyDescent="0.25">
      <c r="A11" s="20"/>
      <c r="B11" s="20" t="s">
        <v>27</v>
      </c>
      <c r="C11" s="20" t="s">
        <v>1325</v>
      </c>
      <c r="D11" s="20" t="s">
        <v>1326</v>
      </c>
      <c r="E11" s="20" t="s">
        <v>1327</v>
      </c>
      <c r="F11" s="21">
        <v>6</v>
      </c>
      <c r="G11" s="21">
        <v>915</v>
      </c>
      <c r="H11" s="21">
        <v>25</v>
      </c>
      <c r="I11" s="21">
        <f t="shared" si="0"/>
        <v>890</v>
      </c>
      <c r="J11" s="20" t="s">
        <v>1271</v>
      </c>
      <c r="K11" s="20" t="s">
        <v>31</v>
      </c>
      <c r="L11" s="20" t="s">
        <v>1270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1329</v>
      </c>
      <c r="D12" s="20" t="s">
        <v>1330</v>
      </c>
      <c r="E12" s="20" t="s">
        <v>1331</v>
      </c>
      <c r="F12" s="20" t="s">
        <v>121</v>
      </c>
      <c r="G12" s="21">
        <v>885</v>
      </c>
      <c r="H12" s="21">
        <v>35</v>
      </c>
      <c r="I12" s="21">
        <f t="shared" si="0"/>
        <v>850</v>
      </c>
      <c r="J12" s="20" t="s">
        <v>1271</v>
      </c>
      <c r="K12" s="20" t="s">
        <v>31</v>
      </c>
      <c r="L12" s="20" t="s">
        <v>1270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1332</v>
      </c>
      <c r="D13" s="20" t="s">
        <v>1333</v>
      </c>
      <c r="E13" s="20" t="s">
        <v>1334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1271</v>
      </c>
      <c r="K13" s="20" t="s">
        <v>31</v>
      </c>
      <c r="L13" s="20" t="s">
        <v>1270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1335</v>
      </c>
      <c r="D14" s="20" t="s">
        <v>1336</v>
      </c>
      <c r="E14" s="20" t="s">
        <v>1337</v>
      </c>
      <c r="F14" s="21">
        <v>7</v>
      </c>
      <c r="G14" s="21">
        <v>870</v>
      </c>
      <c r="H14" s="21">
        <v>30</v>
      </c>
      <c r="I14" s="21">
        <f t="shared" si="0"/>
        <v>840</v>
      </c>
      <c r="J14" s="20" t="s">
        <v>1271</v>
      </c>
      <c r="K14" s="20" t="s">
        <v>31</v>
      </c>
      <c r="L14" s="20" t="s">
        <v>1270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1344</v>
      </c>
      <c r="D15" s="20" t="s">
        <v>1345</v>
      </c>
      <c r="E15" s="20" t="s">
        <v>386</v>
      </c>
      <c r="F15" s="20" t="s">
        <v>35</v>
      </c>
      <c r="G15" s="21">
        <v>0</v>
      </c>
      <c r="H15" s="21">
        <v>30</v>
      </c>
      <c r="I15" s="21">
        <f t="shared" si="0"/>
        <v>-30</v>
      </c>
      <c r="J15" s="20" t="s">
        <v>1271</v>
      </c>
      <c r="K15" s="20" t="s">
        <v>31</v>
      </c>
      <c r="L15" s="20" t="s">
        <v>1270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1362</v>
      </c>
      <c r="D16" s="20" t="s">
        <v>1363</v>
      </c>
      <c r="E16" s="20" t="s">
        <v>1364</v>
      </c>
      <c r="F16" s="20" t="s">
        <v>151</v>
      </c>
      <c r="G16" s="21">
        <v>815</v>
      </c>
      <c r="H16" s="21">
        <v>25</v>
      </c>
      <c r="I16" s="21">
        <f t="shared" si="0"/>
        <v>790</v>
      </c>
      <c r="J16" s="20" t="s">
        <v>1271</v>
      </c>
      <c r="K16" s="20" t="s">
        <v>31</v>
      </c>
      <c r="L16" s="20" t="s">
        <v>1270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1365</v>
      </c>
      <c r="D17" s="20" t="s">
        <v>1366</v>
      </c>
      <c r="E17" s="20" t="s">
        <v>1367</v>
      </c>
      <c r="F17" s="21">
        <v>8</v>
      </c>
      <c r="G17" s="21">
        <v>550</v>
      </c>
      <c r="H17" s="21">
        <v>30</v>
      </c>
      <c r="I17" s="21">
        <f t="shared" si="0"/>
        <v>520</v>
      </c>
      <c r="J17" s="20" t="s">
        <v>1271</v>
      </c>
      <c r="K17" s="20" t="s">
        <v>31</v>
      </c>
      <c r="L17" s="20" t="s">
        <v>1270</v>
      </c>
      <c r="M17" s="20"/>
      <c r="N17" s="20"/>
      <c r="O17" s="20"/>
      <c r="P17" s="20"/>
      <c r="Q17" s="20">
        <v>1</v>
      </c>
      <c r="R17" s="8">
        <f>H17</f>
        <v>30</v>
      </c>
    </row>
    <row r="18" spans="1:18" x14ac:dyDescent="0.25">
      <c r="A18" s="20"/>
      <c r="B18" s="20" t="s">
        <v>27</v>
      </c>
      <c r="C18" s="20" t="s">
        <v>640</v>
      </c>
      <c r="D18" s="20" t="s">
        <v>1372</v>
      </c>
      <c r="E18" s="20" t="s">
        <v>1373</v>
      </c>
      <c r="F18" s="21">
        <v>8</v>
      </c>
      <c r="G18" s="21">
        <v>1850</v>
      </c>
      <c r="H18" s="21">
        <v>30</v>
      </c>
      <c r="I18" s="21">
        <f t="shared" si="0"/>
        <v>1820</v>
      </c>
      <c r="J18" s="20" t="s">
        <v>1271</v>
      </c>
      <c r="K18" s="20" t="s">
        <v>31</v>
      </c>
      <c r="L18" s="20" t="s">
        <v>1270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1377</v>
      </c>
      <c r="D19" s="20" t="s">
        <v>1378</v>
      </c>
      <c r="E19" s="20" t="s">
        <v>1379</v>
      </c>
      <c r="F19" s="20" t="s">
        <v>129</v>
      </c>
      <c r="G19" s="21">
        <v>455</v>
      </c>
      <c r="H19" s="21">
        <v>25</v>
      </c>
      <c r="I19" s="21">
        <f t="shared" si="0"/>
        <v>430</v>
      </c>
      <c r="J19" s="20" t="s">
        <v>1271</v>
      </c>
      <c r="K19" s="20" t="s">
        <v>31</v>
      </c>
      <c r="L19" s="20" t="s">
        <v>1270</v>
      </c>
      <c r="M19" s="20"/>
      <c r="N19" s="20"/>
      <c r="O19" s="20"/>
      <c r="P19" s="20"/>
      <c r="Q19" s="20">
        <v>1</v>
      </c>
      <c r="R19" s="8">
        <f>H19</f>
        <v>25</v>
      </c>
    </row>
    <row r="20" spans="1:18" x14ac:dyDescent="0.25">
      <c r="A20" s="20" t="s">
        <v>26</v>
      </c>
      <c r="B20" s="20" t="s">
        <v>27</v>
      </c>
      <c r="C20" s="20" t="s">
        <v>782</v>
      </c>
      <c r="D20" s="20"/>
      <c r="E20" s="20" t="s">
        <v>1272</v>
      </c>
      <c r="F20" s="21">
        <v>9</v>
      </c>
      <c r="G20" s="21">
        <v>555</v>
      </c>
      <c r="H20" s="21">
        <v>35</v>
      </c>
      <c r="I20" s="21">
        <f t="shared" si="0"/>
        <v>520</v>
      </c>
      <c r="J20" s="20" t="s">
        <v>31</v>
      </c>
      <c r="K20" s="20" t="s">
        <v>31</v>
      </c>
      <c r="L20" s="20" t="s">
        <v>1270</v>
      </c>
      <c r="M20" s="20"/>
      <c r="N20" s="20"/>
      <c r="O20" s="20"/>
      <c r="P20" s="20"/>
      <c r="Q20" s="20">
        <v>1</v>
      </c>
      <c r="R20" s="8">
        <f>H20</f>
        <v>35</v>
      </c>
    </row>
    <row r="21" spans="1:18" x14ac:dyDescent="0.25">
      <c r="A21" s="20" t="s">
        <v>26</v>
      </c>
      <c r="B21" s="20" t="s">
        <v>27</v>
      </c>
      <c r="C21" s="20" t="s">
        <v>784</v>
      </c>
      <c r="D21" s="20"/>
      <c r="E21" s="20" t="s">
        <v>785</v>
      </c>
      <c r="F21" s="20" t="s">
        <v>151</v>
      </c>
      <c r="G21" s="21">
        <v>30</v>
      </c>
      <c r="H21" s="21">
        <v>30</v>
      </c>
      <c r="I21" s="21">
        <f t="shared" si="0"/>
        <v>0</v>
      </c>
      <c r="J21" s="20" t="s">
        <v>31</v>
      </c>
      <c r="K21" s="20" t="s">
        <v>31</v>
      </c>
      <c r="L21" s="20" t="s">
        <v>1270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1277</v>
      </c>
      <c r="D22" s="20" t="s">
        <v>1278</v>
      </c>
      <c r="E22" s="20" t="s">
        <v>1279</v>
      </c>
      <c r="F22" s="21">
        <v>9</v>
      </c>
      <c r="G22" s="21">
        <v>820</v>
      </c>
      <c r="H22" s="21">
        <v>30</v>
      </c>
      <c r="I22" s="21">
        <f t="shared" si="0"/>
        <v>790</v>
      </c>
      <c r="J22" s="20" t="s">
        <v>31</v>
      </c>
      <c r="K22" s="20" t="s">
        <v>31</v>
      </c>
      <c r="L22" s="20" t="s">
        <v>1270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1248</v>
      </c>
      <c r="D23" s="24" t="s">
        <v>1280</v>
      </c>
      <c r="E23" s="24" t="s">
        <v>1250</v>
      </c>
      <c r="F23" s="24" t="s">
        <v>77</v>
      </c>
      <c r="G23" s="25">
        <v>0</v>
      </c>
      <c r="H23" s="25">
        <v>20</v>
      </c>
      <c r="I23" s="25">
        <f t="shared" si="0"/>
        <v>-20</v>
      </c>
      <c r="J23" s="24" t="s">
        <v>31</v>
      </c>
      <c r="K23" s="24" t="s">
        <v>31</v>
      </c>
      <c r="L23" s="24" t="s">
        <v>1270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1303</v>
      </c>
      <c r="D24" s="20" t="s">
        <v>1304</v>
      </c>
      <c r="E24" s="20" t="s">
        <v>1305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31</v>
      </c>
      <c r="K24" s="20" t="s">
        <v>31</v>
      </c>
      <c r="L24" s="20" t="s">
        <v>1270</v>
      </c>
      <c r="M24" s="23" t="s">
        <v>374</v>
      </c>
      <c r="N24" s="20"/>
      <c r="O24" s="20"/>
      <c r="P24" s="20"/>
      <c r="Q24" s="20">
        <v>1</v>
      </c>
      <c r="R24" s="8">
        <f t="shared" ref="R24:R26" si="1">H24</f>
        <v>30</v>
      </c>
    </row>
    <row r="25" spans="1:18" x14ac:dyDescent="0.25">
      <c r="A25" s="20"/>
      <c r="B25" s="20" t="s">
        <v>27</v>
      </c>
      <c r="C25" s="20" t="s">
        <v>1303</v>
      </c>
      <c r="D25" s="20" t="s">
        <v>1324</v>
      </c>
      <c r="E25" s="20" t="s">
        <v>1305</v>
      </c>
      <c r="F25" s="21">
        <v>12</v>
      </c>
      <c r="G25" s="21">
        <v>0</v>
      </c>
      <c r="H25" s="21">
        <v>0</v>
      </c>
      <c r="I25" s="21">
        <f t="shared" si="0"/>
        <v>0</v>
      </c>
      <c r="J25" s="20" t="s">
        <v>31</v>
      </c>
      <c r="K25" s="20" t="s">
        <v>31</v>
      </c>
      <c r="L25" s="20" t="s">
        <v>1270</v>
      </c>
      <c r="M25" s="23" t="s">
        <v>374</v>
      </c>
      <c r="N25" s="20"/>
      <c r="O25" s="20"/>
      <c r="P25" s="20"/>
      <c r="Q25" s="20">
        <v>1</v>
      </c>
      <c r="R25" s="8">
        <f t="shared" si="1"/>
        <v>0</v>
      </c>
    </row>
    <row r="26" spans="1:18" x14ac:dyDescent="0.25">
      <c r="A26" s="20"/>
      <c r="B26" s="20" t="s">
        <v>27</v>
      </c>
      <c r="C26" s="20" t="s">
        <v>1312</v>
      </c>
      <c r="D26" s="20" t="s">
        <v>1313</v>
      </c>
      <c r="E26" s="20" t="s">
        <v>1314</v>
      </c>
      <c r="F26" s="20" t="s">
        <v>39</v>
      </c>
      <c r="G26" s="21">
        <v>815</v>
      </c>
      <c r="H26" s="21">
        <v>25</v>
      </c>
      <c r="I26" s="21">
        <f t="shared" si="0"/>
        <v>790</v>
      </c>
      <c r="J26" s="20" t="s">
        <v>31</v>
      </c>
      <c r="K26" s="20" t="s">
        <v>31</v>
      </c>
      <c r="L26" s="20" t="s">
        <v>1270</v>
      </c>
      <c r="M26" s="20"/>
      <c r="N26" s="20"/>
      <c r="O26" s="20"/>
      <c r="P26" s="20"/>
      <c r="Q26" s="20">
        <v>1</v>
      </c>
      <c r="R26" s="8">
        <f t="shared" si="1"/>
        <v>25</v>
      </c>
    </row>
    <row r="27" spans="1:18" x14ac:dyDescent="0.25">
      <c r="A27" s="20"/>
      <c r="B27" s="20" t="s">
        <v>27</v>
      </c>
      <c r="C27" s="20" t="s">
        <v>1315</v>
      </c>
      <c r="D27" s="20" t="s">
        <v>1316</v>
      </c>
      <c r="E27" s="20" t="s">
        <v>1317</v>
      </c>
      <c r="F27" s="20" t="s">
        <v>151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1270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1318</v>
      </c>
      <c r="D28" s="20" t="s">
        <v>1319</v>
      </c>
      <c r="E28" s="20" t="s">
        <v>1320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1270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481</v>
      </c>
      <c r="D29" s="20" t="s">
        <v>1328</v>
      </c>
      <c r="E29" s="20" t="s">
        <v>483</v>
      </c>
      <c r="F29" s="21">
        <v>9</v>
      </c>
      <c r="G29" s="21">
        <v>1710</v>
      </c>
      <c r="H29" s="21">
        <v>30</v>
      </c>
      <c r="I29" s="21">
        <f t="shared" si="0"/>
        <v>1680</v>
      </c>
      <c r="J29" s="20" t="s">
        <v>31</v>
      </c>
      <c r="K29" s="20" t="s">
        <v>31</v>
      </c>
      <c r="L29" s="20" t="s">
        <v>1270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1338</v>
      </c>
      <c r="D30" s="20" t="s">
        <v>1339</v>
      </c>
      <c r="E30" s="20" t="s">
        <v>1340</v>
      </c>
      <c r="F30" s="20" t="s">
        <v>88</v>
      </c>
      <c r="G30" s="21">
        <v>2620</v>
      </c>
      <c r="H30" s="21">
        <v>35</v>
      </c>
      <c r="I30" s="21">
        <f t="shared" si="0"/>
        <v>2585</v>
      </c>
      <c r="J30" s="20" t="s">
        <v>31</v>
      </c>
      <c r="K30" s="20" t="s">
        <v>31</v>
      </c>
      <c r="L30" s="20" t="s">
        <v>1270</v>
      </c>
      <c r="M30" s="23" t="s">
        <v>95</v>
      </c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1341</v>
      </c>
      <c r="D31" s="20" t="s">
        <v>1342</v>
      </c>
      <c r="E31" s="20" t="s">
        <v>1343</v>
      </c>
      <c r="F31" s="20" t="s">
        <v>151</v>
      </c>
      <c r="G31" s="21">
        <v>815</v>
      </c>
      <c r="H31" s="21">
        <v>25</v>
      </c>
      <c r="I31" s="21">
        <f t="shared" si="0"/>
        <v>790</v>
      </c>
      <c r="J31" s="20" t="s">
        <v>31</v>
      </c>
      <c r="K31" s="20" t="s">
        <v>31</v>
      </c>
      <c r="L31" s="20" t="s">
        <v>1270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1346</v>
      </c>
      <c r="D32" s="20" t="s">
        <v>1347</v>
      </c>
      <c r="E32" s="20" t="s">
        <v>1348</v>
      </c>
      <c r="F32" s="21">
        <v>12</v>
      </c>
      <c r="G32" s="21">
        <v>0</v>
      </c>
      <c r="H32" s="21">
        <v>40</v>
      </c>
      <c r="I32" s="21">
        <f t="shared" si="0"/>
        <v>-40</v>
      </c>
      <c r="J32" s="20" t="s">
        <v>31</v>
      </c>
      <c r="K32" s="20" t="s">
        <v>31</v>
      </c>
      <c r="L32" s="20" t="s">
        <v>1270</v>
      </c>
      <c r="M32" s="20"/>
      <c r="N32" s="20"/>
      <c r="O32" s="20"/>
      <c r="P32" s="20"/>
      <c r="Q32" s="20">
        <v>1</v>
      </c>
      <c r="R32" s="8">
        <f>H32</f>
        <v>40</v>
      </c>
    </row>
    <row r="33" spans="1:18" x14ac:dyDescent="0.25">
      <c r="A33" s="20"/>
      <c r="B33" s="20" t="s">
        <v>27</v>
      </c>
      <c r="C33" s="20" t="s">
        <v>1352</v>
      </c>
      <c r="D33" s="20" t="s">
        <v>1353</v>
      </c>
      <c r="E33" s="20" t="s">
        <v>1354</v>
      </c>
      <c r="F33" s="20" t="s">
        <v>39</v>
      </c>
      <c r="G33" s="21">
        <v>785</v>
      </c>
      <c r="H33" s="21">
        <v>25</v>
      </c>
      <c r="I33" s="21">
        <f t="shared" si="0"/>
        <v>760</v>
      </c>
      <c r="J33" s="20" t="s">
        <v>31</v>
      </c>
      <c r="K33" s="20" t="s">
        <v>31</v>
      </c>
      <c r="L33" s="20" t="s">
        <v>1270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1359</v>
      </c>
      <c r="D34" s="20" t="s">
        <v>1360</v>
      </c>
      <c r="E34" s="20" t="s">
        <v>1361</v>
      </c>
      <c r="F34" s="20" t="s">
        <v>77</v>
      </c>
      <c r="G34" s="21">
        <v>810</v>
      </c>
      <c r="H34" s="21">
        <v>20</v>
      </c>
      <c r="I34" s="21">
        <f t="shared" ref="I34:I53" si="2">G34-H34</f>
        <v>790</v>
      </c>
      <c r="J34" s="20" t="s">
        <v>31</v>
      </c>
      <c r="K34" s="20" t="s">
        <v>31</v>
      </c>
      <c r="L34" s="20" t="s">
        <v>1270</v>
      </c>
      <c r="M34" s="20"/>
      <c r="N34" s="20"/>
      <c r="O34" s="20"/>
      <c r="P34" s="20"/>
      <c r="Q34" s="20">
        <v>1</v>
      </c>
      <c r="R34" s="8">
        <f t="shared" ref="R34:R35" si="3">H34</f>
        <v>20</v>
      </c>
    </row>
    <row r="35" spans="1:18" x14ac:dyDescent="0.25">
      <c r="A35" s="20"/>
      <c r="B35" s="20" t="s">
        <v>27</v>
      </c>
      <c r="C35" s="20" t="s">
        <v>1380</v>
      </c>
      <c r="D35" s="20" t="s">
        <v>1381</v>
      </c>
      <c r="E35" s="20" t="s">
        <v>1382</v>
      </c>
      <c r="F35" s="20" t="s">
        <v>39</v>
      </c>
      <c r="G35" s="21">
        <v>855</v>
      </c>
      <c r="H35" s="21">
        <v>25</v>
      </c>
      <c r="I35" s="21">
        <f t="shared" si="2"/>
        <v>830</v>
      </c>
      <c r="J35" s="20" t="s">
        <v>31</v>
      </c>
      <c r="K35" s="20" t="s">
        <v>31</v>
      </c>
      <c r="L35" s="20" t="s">
        <v>1270</v>
      </c>
      <c r="M35" s="20"/>
      <c r="N35" s="20"/>
      <c r="O35" s="20"/>
      <c r="P35" s="20"/>
      <c r="Q35" s="20">
        <v>1</v>
      </c>
      <c r="R35" s="8">
        <f t="shared" si="3"/>
        <v>25</v>
      </c>
    </row>
    <row r="36" spans="1:18" x14ac:dyDescent="0.25">
      <c r="A36" s="20" t="s">
        <v>26</v>
      </c>
      <c r="B36" s="20" t="s">
        <v>27</v>
      </c>
      <c r="C36" s="20" t="s">
        <v>1268</v>
      </c>
      <c r="D36" s="20"/>
      <c r="E36" s="20" t="s">
        <v>1269</v>
      </c>
      <c r="F36" s="21">
        <v>4</v>
      </c>
      <c r="G36" s="21">
        <v>40</v>
      </c>
      <c r="H36" s="21">
        <v>40</v>
      </c>
      <c r="I36" s="21">
        <f t="shared" si="2"/>
        <v>0</v>
      </c>
      <c r="J36" s="20" t="s">
        <v>30</v>
      </c>
      <c r="K36" s="20" t="s">
        <v>31</v>
      </c>
      <c r="L36" s="20" t="s">
        <v>1270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1275</v>
      </c>
      <c r="D37" s="20"/>
      <c r="E37" s="20" t="s">
        <v>1276</v>
      </c>
      <c r="F37" s="20" t="s">
        <v>151</v>
      </c>
      <c r="G37" s="21">
        <v>0</v>
      </c>
      <c r="H37" s="21">
        <v>40</v>
      </c>
      <c r="I37" s="21">
        <f t="shared" si="2"/>
        <v>-40</v>
      </c>
      <c r="J37" s="20" t="s">
        <v>30</v>
      </c>
      <c r="K37" s="20" t="s">
        <v>31</v>
      </c>
      <c r="L37" s="20" t="s">
        <v>1270</v>
      </c>
      <c r="M37" s="20"/>
      <c r="N37" s="20"/>
      <c r="O37" s="20"/>
      <c r="P37" s="20"/>
      <c r="Q37" s="20">
        <v>1</v>
      </c>
      <c r="R37" s="8">
        <f t="shared" ref="R37:R38" si="4">H37</f>
        <v>40</v>
      </c>
    </row>
    <row r="38" spans="1:18" x14ac:dyDescent="0.25">
      <c r="A38" s="20"/>
      <c r="B38" s="20" t="s">
        <v>27</v>
      </c>
      <c r="C38" s="20" t="s">
        <v>1281</v>
      </c>
      <c r="D38" s="20" t="s">
        <v>1282</v>
      </c>
      <c r="E38" s="20" t="s">
        <v>1283</v>
      </c>
      <c r="F38" s="20" t="s">
        <v>125</v>
      </c>
      <c r="G38" s="21">
        <v>810</v>
      </c>
      <c r="H38" s="21">
        <v>20</v>
      </c>
      <c r="I38" s="21">
        <f t="shared" si="2"/>
        <v>790</v>
      </c>
      <c r="J38" s="20" t="s">
        <v>30</v>
      </c>
      <c r="K38" s="20" t="s">
        <v>31</v>
      </c>
      <c r="L38" s="20" t="s">
        <v>1270</v>
      </c>
      <c r="M38" s="20"/>
      <c r="N38" s="20"/>
      <c r="O38" s="20"/>
      <c r="P38" s="20"/>
      <c r="Q38" s="20">
        <v>1</v>
      </c>
      <c r="R38" s="8">
        <f t="shared" si="4"/>
        <v>20</v>
      </c>
    </row>
    <row r="39" spans="1:18" x14ac:dyDescent="0.25">
      <c r="A39" s="20"/>
      <c r="B39" s="20" t="s">
        <v>27</v>
      </c>
      <c r="C39" s="20" t="s">
        <v>1290</v>
      </c>
      <c r="D39" s="20" t="s">
        <v>1291</v>
      </c>
      <c r="E39" s="20" t="s">
        <v>1292</v>
      </c>
      <c r="F39" s="21">
        <v>10</v>
      </c>
      <c r="G39" s="21">
        <v>815</v>
      </c>
      <c r="H39" s="21">
        <v>25</v>
      </c>
      <c r="I39" s="21">
        <f t="shared" si="2"/>
        <v>790</v>
      </c>
      <c r="J39" s="20" t="s">
        <v>30</v>
      </c>
      <c r="K39" s="20" t="s">
        <v>31</v>
      </c>
      <c r="L39" s="20" t="s">
        <v>1270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1306</v>
      </c>
      <c r="D40" s="20" t="s">
        <v>1307</v>
      </c>
      <c r="E40" s="20" t="s">
        <v>1308</v>
      </c>
      <c r="F40" s="21">
        <v>10</v>
      </c>
      <c r="G40" s="21">
        <v>955</v>
      </c>
      <c r="H40" s="21">
        <v>25</v>
      </c>
      <c r="I40" s="21">
        <f t="shared" si="2"/>
        <v>930</v>
      </c>
      <c r="J40" s="20" t="s">
        <v>30</v>
      </c>
      <c r="K40" s="20" t="s">
        <v>31</v>
      </c>
      <c r="L40" s="20" t="s">
        <v>1270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1309</v>
      </c>
      <c r="D41" s="20" t="s">
        <v>1310</v>
      </c>
      <c r="E41" s="20" t="s">
        <v>1311</v>
      </c>
      <c r="F41" s="20" t="s">
        <v>125</v>
      </c>
      <c r="G41" s="21">
        <v>780</v>
      </c>
      <c r="H41" s="21">
        <v>20</v>
      </c>
      <c r="I41" s="21">
        <f t="shared" si="2"/>
        <v>760</v>
      </c>
      <c r="J41" s="20" t="s">
        <v>30</v>
      </c>
      <c r="K41" s="20" t="s">
        <v>31</v>
      </c>
      <c r="L41" s="20" t="s">
        <v>1270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1321</v>
      </c>
      <c r="D42" s="20" t="s">
        <v>1322</v>
      </c>
      <c r="E42" s="20" t="s">
        <v>1323</v>
      </c>
      <c r="F42" s="21">
        <v>4</v>
      </c>
      <c r="G42" s="21">
        <v>0</v>
      </c>
      <c r="H42" s="21">
        <v>25</v>
      </c>
      <c r="I42" s="21">
        <f t="shared" si="2"/>
        <v>-25</v>
      </c>
      <c r="J42" s="20" t="s">
        <v>30</v>
      </c>
      <c r="K42" s="20" t="s">
        <v>31</v>
      </c>
      <c r="L42" s="20" t="s">
        <v>1270</v>
      </c>
      <c r="M42" s="20"/>
      <c r="N42" s="20"/>
      <c r="O42" s="20"/>
      <c r="P42" s="20"/>
      <c r="Q42" s="20">
        <v>1</v>
      </c>
    </row>
    <row r="43" spans="1:18" s="45" customFormat="1" x14ac:dyDescent="0.25">
      <c r="A43" s="20"/>
      <c r="B43" s="20" t="s">
        <v>27</v>
      </c>
      <c r="C43" s="20" t="s">
        <v>1349</v>
      </c>
      <c r="D43" s="20" t="s">
        <v>1350</v>
      </c>
      <c r="E43" s="20" t="s">
        <v>1351</v>
      </c>
      <c r="F43" s="21">
        <v>4</v>
      </c>
      <c r="G43" s="21">
        <v>0</v>
      </c>
      <c r="H43" s="21">
        <v>25</v>
      </c>
      <c r="I43" s="21">
        <f t="shared" si="2"/>
        <v>-25</v>
      </c>
      <c r="J43" s="20" t="s">
        <v>30</v>
      </c>
      <c r="K43" s="20" t="s">
        <v>31</v>
      </c>
      <c r="L43" s="20" t="s">
        <v>1270</v>
      </c>
      <c r="M43" s="20"/>
      <c r="N43" s="20"/>
      <c r="O43" s="20"/>
      <c r="P43" s="20"/>
      <c r="Q43" s="44">
        <v>1</v>
      </c>
    </row>
    <row r="44" spans="1:18" x14ac:dyDescent="0.25">
      <c r="A44" s="20"/>
      <c r="B44" s="20" t="s">
        <v>27</v>
      </c>
      <c r="C44" s="20" t="s">
        <v>1355</v>
      </c>
      <c r="D44" s="20" t="s">
        <v>1356</v>
      </c>
      <c r="E44" s="20" t="s">
        <v>1357</v>
      </c>
      <c r="F44" s="21">
        <v>5</v>
      </c>
      <c r="G44" s="21">
        <v>0</v>
      </c>
      <c r="H44" s="21">
        <v>25</v>
      </c>
      <c r="I44" s="21">
        <f t="shared" si="2"/>
        <v>-25</v>
      </c>
      <c r="J44" s="20" t="s">
        <v>30</v>
      </c>
      <c r="K44" s="20" t="s">
        <v>31</v>
      </c>
      <c r="L44" s="20" t="s">
        <v>1270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1368</v>
      </c>
      <c r="D45" s="20" t="s">
        <v>1369</v>
      </c>
      <c r="E45" s="20" t="s">
        <v>1370</v>
      </c>
      <c r="F45" s="21">
        <v>10</v>
      </c>
      <c r="G45" s="21">
        <v>605</v>
      </c>
      <c r="H45" s="21">
        <v>25</v>
      </c>
      <c r="I45" s="21">
        <f t="shared" si="2"/>
        <v>580</v>
      </c>
      <c r="J45" s="20" t="s">
        <v>30</v>
      </c>
      <c r="K45" s="20" t="s">
        <v>31</v>
      </c>
      <c r="L45" s="20" t="s">
        <v>1270</v>
      </c>
      <c r="M45" s="20"/>
      <c r="N45" s="20"/>
      <c r="O45" s="20"/>
      <c r="P45" s="20"/>
      <c r="Q45" s="20">
        <v>1</v>
      </c>
    </row>
    <row r="46" spans="1:18" s="26" customFormat="1" x14ac:dyDescent="0.25">
      <c r="A46" s="24"/>
      <c r="B46" s="24" t="s">
        <v>27</v>
      </c>
      <c r="C46" s="24" t="s">
        <v>1094</v>
      </c>
      <c r="D46" s="24" t="s">
        <v>1371</v>
      </c>
      <c r="E46" s="24" t="s">
        <v>1096</v>
      </c>
      <c r="F46" s="25">
        <v>4</v>
      </c>
      <c r="G46" s="25">
        <v>75</v>
      </c>
      <c r="H46" s="25">
        <v>25</v>
      </c>
      <c r="I46" s="25">
        <f t="shared" si="2"/>
        <v>50</v>
      </c>
      <c r="J46" s="24" t="s">
        <v>30</v>
      </c>
      <c r="K46" s="24" t="s">
        <v>31</v>
      </c>
      <c r="L46" s="24" t="s">
        <v>1270</v>
      </c>
      <c r="M46" s="24" t="s">
        <v>84</v>
      </c>
      <c r="N46" s="24"/>
      <c r="O46" s="24"/>
      <c r="P46" s="24"/>
      <c r="Q46" s="24">
        <v>1</v>
      </c>
    </row>
    <row r="47" spans="1:18" x14ac:dyDescent="0.25">
      <c r="A47" s="20"/>
      <c r="B47" s="20" t="s">
        <v>27</v>
      </c>
      <c r="C47" s="20" t="s">
        <v>1374</v>
      </c>
      <c r="D47" s="20" t="s">
        <v>1375</v>
      </c>
      <c r="E47" s="20" t="s">
        <v>1376</v>
      </c>
      <c r="F47" s="20" t="s">
        <v>151</v>
      </c>
      <c r="G47" s="21">
        <v>815</v>
      </c>
      <c r="H47" s="21">
        <v>25</v>
      </c>
      <c r="I47" s="21">
        <f t="shared" si="2"/>
        <v>790</v>
      </c>
      <c r="J47" s="20" t="s">
        <v>30</v>
      </c>
      <c r="K47" s="20" t="s">
        <v>31</v>
      </c>
      <c r="L47" s="20" t="s">
        <v>1270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1383</v>
      </c>
      <c r="D48" s="20" t="s">
        <v>1384</v>
      </c>
      <c r="E48" s="20" t="s">
        <v>1385</v>
      </c>
      <c r="F48" s="21">
        <v>5</v>
      </c>
      <c r="G48" s="21">
        <v>0</v>
      </c>
      <c r="H48" s="21">
        <v>25</v>
      </c>
      <c r="I48" s="21">
        <f t="shared" si="2"/>
        <v>-25</v>
      </c>
      <c r="J48" s="20" t="s">
        <v>30</v>
      </c>
      <c r="K48" s="20" t="s">
        <v>31</v>
      </c>
      <c r="L48" s="20" t="s">
        <v>1270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s="29" customFormat="1" x14ac:dyDescent="0.25">
      <c r="A49" s="30"/>
      <c r="B49" s="30" t="s">
        <v>27</v>
      </c>
      <c r="C49" s="30" t="s">
        <v>1318</v>
      </c>
      <c r="D49" s="30" t="s">
        <v>1358</v>
      </c>
      <c r="E49" s="30" t="s">
        <v>1320</v>
      </c>
      <c r="F49" s="31" t="s">
        <v>39</v>
      </c>
      <c r="G49" s="30">
        <v>0</v>
      </c>
      <c r="H49" s="30">
        <v>0</v>
      </c>
      <c r="I49" s="30">
        <f>G49-H49</f>
        <v>0</v>
      </c>
      <c r="J49" s="22" t="s">
        <v>184</v>
      </c>
      <c r="K49" s="30" t="s">
        <v>31</v>
      </c>
      <c r="L49" s="30" t="s">
        <v>1270</v>
      </c>
      <c r="M49" s="30" t="s">
        <v>186</v>
      </c>
      <c r="N49" s="30" t="s">
        <v>187</v>
      </c>
      <c r="O49" s="30"/>
      <c r="P49" s="30" t="s">
        <v>188</v>
      </c>
      <c r="Q49" s="30">
        <v>1</v>
      </c>
    </row>
    <row r="50" spans="1:17" s="13" customFormat="1" x14ac:dyDescent="0.25">
      <c r="A50" s="22"/>
      <c r="B50" s="22" t="s">
        <v>27</v>
      </c>
      <c r="C50" s="22" t="s">
        <v>1231</v>
      </c>
      <c r="D50" s="22" t="s">
        <v>1232</v>
      </c>
      <c r="E50" s="22" t="s">
        <v>1233</v>
      </c>
      <c r="F50" s="27">
        <v>7</v>
      </c>
      <c r="G50" s="27">
        <v>880</v>
      </c>
      <c r="H50" s="27">
        <v>0</v>
      </c>
      <c r="I50" s="27">
        <f t="shared" si="2"/>
        <v>880</v>
      </c>
      <c r="J50" s="22" t="s">
        <v>184</v>
      </c>
      <c r="K50" s="22" t="s">
        <v>31</v>
      </c>
      <c r="L50" s="22" t="s">
        <v>1148</v>
      </c>
      <c r="M50" s="48" t="s">
        <v>205</v>
      </c>
      <c r="N50" s="22" t="s">
        <v>187</v>
      </c>
      <c r="O50" s="22" t="s">
        <v>187</v>
      </c>
      <c r="P50" s="22" t="s">
        <v>188</v>
      </c>
      <c r="Q50" s="22">
        <v>1</v>
      </c>
    </row>
    <row r="51" spans="1:17" s="29" customFormat="1" x14ac:dyDescent="0.25">
      <c r="A51" s="30"/>
      <c r="B51" s="30" t="s">
        <v>27</v>
      </c>
      <c r="C51" s="30" t="s">
        <v>1024</v>
      </c>
      <c r="D51" s="30" t="s">
        <v>1025</v>
      </c>
      <c r="E51" s="30" t="s">
        <v>1026</v>
      </c>
      <c r="F51" s="31" t="s">
        <v>1389</v>
      </c>
      <c r="G51" s="30">
        <v>1540</v>
      </c>
      <c r="H51" s="30">
        <v>0</v>
      </c>
      <c r="I51" s="30">
        <f t="shared" si="2"/>
        <v>1540</v>
      </c>
      <c r="J51" s="22" t="s">
        <v>184</v>
      </c>
      <c r="K51" s="30" t="s">
        <v>31</v>
      </c>
      <c r="L51" s="30" t="s">
        <v>966</v>
      </c>
      <c r="M51" s="30" t="s">
        <v>205</v>
      </c>
      <c r="N51" s="30" t="s">
        <v>187</v>
      </c>
      <c r="O51" s="30" t="s">
        <v>187</v>
      </c>
      <c r="P51" s="30" t="s">
        <v>188</v>
      </c>
      <c r="Q51" s="30">
        <v>1</v>
      </c>
    </row>
    <row r="52" spans="1:17" s="13" customFormat="1" x14ac:dyDescent="0.25">
      <c r="A52" s="22"/>
      <c r="B52" s="22" t="s">
        <v>27</v>
      </c>
      <c r="C52" s="22" t="s">
        <v>1154</v>
      </c>
      <c r="D52" s="22" t="s">
        <v>1155</v>
      </c>
      <c r="E52" s="22" t="s">
        <v>1156</v>
      </c>
      <c r="F52" s="22" t="s">
        <v>35</v>
      </c>
      <c r="G52" s="27">
        <v>820</v>
      </c>
      <c r="H52" s="27">
        <v>30</v>
      </c>
      <c r="I52" s="27">
        <f t="shared" si="2"/>
        <v>790</v>
      </c>
      <c r="J52" s="22" t="s">
        <v>184</v>
      </c>
      <c r="K52" s="22" t="s">
        <v>31</v>
      </c>
      <c r="L52" s="22" t="s">
        <v>1148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7" s="13" customFormat="1" x14ac:dyDescent="0.25">
      <c r="A53" s="22"/>
      <c r="B53" s="22" t="s">
        <v>27</v>
      </c>
      <c r="C53" s="22" t="s">
        <v>1260</v>
      </c>
      <c r="D53" s="22" t="s">
        <v>1261</v>
      </c>
      <c r="E53" s="22" t="s">
        <v>1156</v>
      </c>
      <c r="F53" s="22" t="s">
        <v>35</v>
      </c>
      <c r="G53" s="27">
        <v>620</v>
      </c>
      <c r="H53" s="27">
        <v>0</v>
      </c>
      <c r="I53" s="27">
        <f t="shared" si="2"/>
        <v>620</v>
      </c>
      <c r="J53" s="22" t="s">
        <v>184</v>
      </c>
      <c r="K53" s="22" t="s">
        <v>31</v>
      </c>
      <c r="L53" s="22" t="s">
        <v>1148</v>
      </c>
      <c r="M53" s="22" t="s">
        <v>186</v>
      </c>
      <c r="N53" s="22" t="s">
        <v>187</v>
      </c>
      <c r="O53" s="22" t="s">
        <v>187</v>
      </c>
      <c r="P53" s="22" t="s">
        <v>188</v>
      </c>
      <c r="Q53" s="22">
        <v>1</v>
      </c>
    </row>
    <row r="55" spans="1:17" x14ac:dyDescent="0.25">
      <c r="D55" s="9">
        <f>COUNTA(D3:D53)</f>
        <v>45</v>
      </c>
      <c r="G55" s="9">
        <f t="shared" ref="G55:Q55" si="5">SUBTOTAL(9,G3:G53)</f>
        <v>34390</v>
      </c>
      <c r="H55" s="9">
        <f t="shared" si="5"/>
        <v>1305</v>
      </c>
      <c r="I55" s="9">
        <f t="shared" si="5"/>
        <v>33085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7" x14ac:dyDescent="0.25">
      <c r="H56">
        <f>-11*17</f>
        <v>-187</v>
      </c>
      <c r="I56">
        <f>1*25</f>
        <v>25</v>
      </c>
    </row>
    <row r="57" spans="1:17" x14ac:dyDescent="0.25">
      <c r="A57" s="9" t="s">
        <v>27</v>
      </c>
      <c r="C57" s="51" t="s">
        <v>189</v>
      </c>
      <c r="D57" s="51"/>
      <c r="E57" s="10" t="s">
        <v>190</v>
      </c>
      <c r="H57">
        <f>-3*25</f>
        <v>-75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7" x14ac:dyDescent="0.25">
      <c r="A58" t="s">
        <v>1270</v>
      </c>
      <c r="B58" s="12" t="s">
        <v>193</v>
      </c>
      <c r="C58" s="52">
        <f>SUMIFS(I$3:I$53,B$3:B$53,A$57,L$3:L$53,A$58)</f>
        <v>29255</v>
      </c>
      <c r="D58" s="52"/>
      <c r="E58" s="12">
        <f>SUMIFS(Q$3:Q$53,B$3:B$53,A$57,L$3:L$53,A$58)</f>
        <v>47</v>
      </c>
      <c r="F58" t="s">
        <v>194</v>
      </c>
      <c r="H58">
        <f>-3*30</f>
        <v>-90</v>
      </c>
      <c r="K58" t="s">
        <v>195</v>
      </c>
      <c r="L58">
        <f>SUMIFS(G$3:G$53,J$3:J$53,K$57)</f>
        <v>4895</v>
      </c>
      <c r="M58">
        <f>SUMIFS(Q$3:Q$53,J$3:J$53,K$57)-INT(COUNTIFS(J$3:J$53,K$57,M$3:M$53,"*gộp*")/2)</f>
        <v>13</v>
      </c>
      <c r="O58" t="s">
        <v>30</v>
      </c>
      <c r="P58">
        <f>L63</f>
        <v>2195</v>
      </c>
    </row>
    <row r="59" spans="1:17" x14ac:dyDescent="0.25">
      <c r="B59" s="13" t="s">
        <v>196</v>
      </c>
      <c r="C59" s="53">
        <v>0</v>
      </c>
      <c r="D59" s="53"/>
      <c r="K59" t="s">
        <v>197</v>
      </c>
      <c r="L59">
        <f>-SUMIFS(H$3:H$53,J$3:J$53,K$57)+M59*5</f>
        <v>-280</v>
      </c>
      <c r="M59">
        <f>SUMIFS(Q$3:Q$53,J$3:J$53,K$57)-INT(COUNTIFS(J$3:J$53,K$57,M$3:M$53,"*gộp*")/2)</f>
        <v>13</v>
      </c>
      <c r="O59" t="s">
        <v>1386</v>
      </c>
      <c r="P59">
        <f>L71</f>
        <v>14033</v>
      </c>
    </row>
    <row r="60" spans="1:17" x14ac:dyDescent="0.25">
      <c r="B60" s="13" t="s">
        <v>199</v>
      </c>
      <c r="C60" s="53">
        <f>-SUMIFS(I$3:I$53,B$3:B$53,A$57,P$3:P$53,"xx",N$3:N$53,"x")</f>
        <v>-3830</v>
      </c>
      <c r="D60" s="53"/>
      <c r="E60" s="13">
        <f>SUMIFS(Q$3:Q$53,B$3:B$53,A$57,P$3:P$53,"xx",N$3:N$53,"x")</f>
        <v>5</v>
      </c>
      <c r="K60" t="s">
        <v>200</v>
      </c>
      <c r="L60">
        <f>-M60*2</f>
        <v>0</v>
      </c>
      <c r="M60">
        <f>COUNTIFS(K$3:K$53,K$57,L$3:L$53,A$58)-(COUNTIFS(K$3:K$53,K$57,M$3:M$53,"*gộp*")/2)-COUNTIFS(K$3:K$53,K$57,M$3:M$53,"*đơn trả*")-COUNTIFS(K$3:K$53,K$57,M$3:M$53,"*hàng tỉnh*")</f>
        <v>0</v>
      </c>
      <c r="O60" t="s">
        <v>31</v>
      </c>
      <c r="P60">
        <f>L79</f>
        <v>9384</v>
      </c>
    </row>
    <row r="61" spans="1:17" x14ac:dyDescent="0.25">
      <c r="B61" s="10" t="s">
        <v>201</v>
      </c>
      <c r="C61" s="51">
        <f>SUBTOTAL(9,C58:C60)</f>
        <v>25425</v>
      </c>
      <c r="D61" s="51"/>
      <c r="E61">
        <f>E58</f>
        <v>47</v>
      </c>
      <c r="K61" s="14" t="s">
        <v>186</v>
      </c>
      <c r="O61" t="s">
        <v>203</v>
      </c>
      <c r="P61">
        <f>-C65</f>
        <v>-25425</v>
      </c>
    </row>
    <row r="62" spans="1:17" x14ac:dyDescent="0.25">
      <c r="B62" s="13" t="s">
        <v>204</v>
      </c>
      <c r="C62" s="49"/>
      <c r="D62" s="49"/>
      <c r="K62" s="13" t="s">
        <v>205</v>
      </c>
      <c r="L62" s="28">
        <v>-2420</v>
      </c>
      <c r="M62" s="28" t="s">
        <v>1388</v>
      </c>
      <c r="O62" s="10" t="s">
        <v>206</v>
      </c>
      <c r="P62" s="10">
        <f>SUBTOTAL(9,P58:P61)</f>
        <v>187</v>
      </c>
    </row>
    <row r="63" spans="1:17" x14ac:dyDescent="0.25">
      <c r="B63" s="15" t="s">
        <v>207</v>
      </c>
      <c r="C63" s="49"/>
      <c r="D63" s="49"/>
      <c r="L63" s="16">
        <f>SUBTOTAL(9,L58:L62)</f>
        <v>2195</v>
      </c>
      <c r="M63" s="16">
        <f>M58</f>
        <v>13</v>
      </c>
    </row>
    <row r="65" spans="2:13" x14ac:dyDescent="0.25">
      <c r="B65" s="9" t="s">
        <v>208</v>
      </c>
      <c r="C65" s="50">
        <f>C61+C62+C63</f>
        <v>25425</v>
      </c>
      <c r="D65" s="50"/>
      <c r="E65" s="9" t="s">
        <v>209</v>
      </c>
      <c r="K65" s="11" t="s">
        <v>1271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15820</v>
      </c>
      <c r="M66">
        <f>SUMIFS(Q$3:Q$53,J$3:J$53,K$65)-INT(COUNTIFS(J$3:J$53,K$65,M$3:M$53,"*gộp*")/2)</f>
        <v>17</v>
      </c>
    </row>
    <row r="67" spans="2:13" x14ac:dyDescent="0.25">
      <c r="K67" t="s">
        <v>197</v>
      </c>
      <c r="L67">
        <f>SUM(H56:H58)</f>
        <v>-352</v>
      </c>
      <c r="M67">
        <f>SUMIFS(Q$3:Q$53,J$3:J$53,K$65)-INT(COUNTIFS(J$3:J$53,K$65,M$3:M$53,"*gộp*")/2)</f>
        <v>17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  <c r="L69" s="28">
        <v>-1435</v>
      </c>
      <c r="M69" s="28" t="s">
        <v>1388</v>
      </c>
    </row>
    <row r="70" spans="2:13" x14ac:dyDescent="0.25">
      <c r="K70" s="13" t="s">
        <v>205</v>
      </c>
    </row>
    <row r="71" spans="2:13" x14ac:dyDescent="0.25">
      <c r="L71" s="16">
        <f>SUBTOTAL(9,L66:L70)</f>
        <v>14033</v>
      </c>
      <c r="M71" s="16">
        <f>M66</f>
        <v>17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9815</v>
      </c>
      <c r="M74">
        <f>SUMIFS(Q$3:Q$53,J$3:J$53,K$73)-INT(COUNTIFS(J$3:J$53,K$73,M$3:M$53,"*gộp*")/2)</f>
        <v>15</v>
      </c>
    </row>
    <row r="75" spans="2:13" x14ac:dyDescent="0.25">
      <c r="K75" t="s">
        <v>197</v>
      </c>
      <c r="L75">
        <f>-SUMIFS(H$3:H$53,J$3:J$53,K$73)+M75*5</f>
        <v>-345</v>
      </c>
      <c r="M75">
        <f>SUMIFS(Q$3:Q$53,J$3:J$53,K$73)-INT(COUNTIFS(J$3:J$53,K$73,M$3:M$53,"*gộp*")/2)</f>
        <v>15</v>
      </c>
    </row>
    <row r="76" spans="2:13" x14ac:dyDescent="0.25">
      <c r="K76" t="s">
        <v>200</v>
      </c>
      <c r="L76">
        <f>-M76*2</f>
        <v>-86</v>
      </c>
      <c r="M76">
        <f>COUNTIFS(K$3:K$53,K$73,L$3:L$53,A$58)-(COUNTIFS(K$3:K$53,K$73,M$3:M$53,"*gộp*")/2)-COUNTIFS(K$3:K$53,K$73,M$3:M$53,"*đơn trả*")-COUNTIFS(K$3:K$53,K$73,M$3:M$53,"*hàng tỉnh*")</f>
        <v>43</v>
      </c>
    </row>
    <row r="77" spans="2:13" x14ac:dyDescent="0.25">
      <c r="K77" s="14" t="s">
        <v>186</v>
      </c>
    </row>
    <row r="78" spans="2:13" x14ac:dyDescent="0.25">
      <c r="K78" s="13" t="s">
        <v>205</v>
      </c>
    </row>
    <row r="79" spans="2:13" x14ac:dyDescent="0.25">
      <c r="L79" s="16">
        <f>SUBTOTAL(9,L74:L78)</f>
        <v>9384</v>
      </c>
      <c r="M79" s="16">
        <f>M74</f>
        <v>15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69CAB-5B0C-479B-A92D-534EDBCD9B77}">
  <dimension ref="A1:R86"/>
  <sheetViews>
    <sheetView workbookViewId="0"/>
  </sheetViews>
  <sheetFormatPr defaultRowHeight="15" x14ac:dyDescent="0.25"/>
  <cols>
    <col min="1" max="1" width="12.7109375" customWidth="1"/>
    <col min="2" max="2" width="9" customWidth="1"/>
    <col min="3" max="3" width="34.7109375" customWidth="1"/>
    <col min="4" max="4" width="9.85546875" customWidth="1"/>
    <col min="5" max="5" width="74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3.5703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1522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665</v>
      </c>
      <c r="D3" s="20"/>
      <c r="E3" s="20" t="s">
        <v>666</v>
      </c>
      <c r="F3" s="21">
        <v>6</v>
      </c>
      <c r="G3" s="21">
        <v>40</v>
      </c>
      <c r="H3" s="21">
        <v>40</v>
      </c>
      <c r="I3" s="21">
        <f t="shared" ref="I3:I34" si="0">G3-H3</f>
        <v>0</v>
      </c>
      <c r="J3" s="20" t="s">
        <v>1392</v>
      </c>
      <c r="K3" s="20" t="s">
        <v>31</v>
      </c>
      <c r="L3" s="20" t="s">
        <v>1390</v>
      </c>
      <c r="M3" s="20"/>
      <c r="N3" s="20"/>
      <c r="O3" s="20"/>
      <c r="P3" s="20"/>
      <c r="Q3" s="20">
        <v>1</v>
      </c>
    </row>
    <row r="4" spans="1:18" s="26" customFormat="1" x14ac:dyDescent="0.25">
      <c r="A4" s="24"/>
      <c r="B4" s="24" t="s">
        <v>27</v>
      </c>
      <c r="C4" s="24" t="s">
        <v>1115</v>
      </c>
      <c r="D4" s="24" t="s">
        <v>1410</v>
      </c>
      <c r="E4" s="24" t="s">
        <v>1117</v>
      </c>
      <c r="F4" s="24" t="s">
        <v>35</v>
      </c>
      <c r="G4" s="25">
        <v>30</v>
      </c>
      <c r="H4" s="25">
        <v>30</v>
      </c>
      <c r="I4" s="25">
        <f t="shared" si="0"/>
        <v>0</v>
      </c>
      <c r="J4" s="24" t="s">
        <v>1392</v>
      </c>
      <c r="K4" s="24" t="s">
        <v>31</v>
      </c>
      <c r="L4" s="24" t="s">
        <v>1390</v>
      </c>
      <c r="M4" s="24" t="s">
        <v>84</v>
      </c>
      <c r="N4" s="24"/>
      <c r="O4" s="24"/>
      <c r="P4" s="24"/>
      <c r="Q4" s="24">
        <v>1</v>
      </c>
    </row>
    <row r="5" spans="1:18" x14ac:dyDescent="0.25">
      <c r="A5" s="20"/>
      <c r="B5" s="20" t="s">
        <v>27</v>
      </c>
      <c r="C5" s="20" t="s">
        <v>1411</v>
      </c>
      <c r="D5" s="20" t="s">
        <v>1412</v>
      </c>
      <c r="E5" s="20" t="s">
        <v>1413</v>
      </c>
      <c r="F5" s="21">
        <v>8</v>
      </c>
      <c r="G5" s="21">
        <v>970</v>
      </c>
      <c r="H5" s="21">
        <v>30</v>
      </c>
      <c r="I5" s="21">
        <f t="shared" si="0"/>
        <v>940</v>
      </c>
      <c r="J5" s="20" t="s">
        <v>1392</v>
      </c>
      <c r="K5" s="20" t="s">
        <v>31</v>
      </c>
      <c r="L5" s="20" t="s">
        <v>1390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1421</v>
      </c>
      <c r="D6" s="20" t="s">
        <v>1422</v>
      </c>
      <c r="E6" s="20" t="s">
        <v>1423</v>
      </c>
      <c r="F6" s="21">
        <v>6</v>
      </c>
      <c r="G6" s="21">
        <v>35</v>
      </c>
      <c r="H6" s="21">
        <v>25</v>
      </c>
      <c r="I6" s="21">
        <f t="shared" si="0"/>
        <v>10</v>
      </c>
      <c r="J6" s="20" t="s">
        <v>1392</v>
      </c>
      <c r="K6" s="20" t="s">
        <v>31</v>
      </c>
      <c r="L6" s="20" t="s">
        <v>1390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1437</v>
      </c>
      <c r="D7" s="20" t="s">
        <v>1438</v>
      </c>
      <c r="E7" s="20" t="s">
        <v>1439</v>
      </c>
      <c r="F7" s="20" t="s">
        <v>35</v>
      </c>
      <c r="G7" s="21">
        <v>880</v>
      </c>
      <c r="H7" s="21">
        <v>30</v>
      </c>
      <c r="I7" s="21">
        <f t="shared" si="0"/>
        <v>850</v>
      </c>
      <c r="J7" s="20" t="s">
        <v>1392</v>
      </c>
      <c r="K7" s="20" t="s">
        <v>31</v>
      </c>
      <c r="L7" s="20" t="s">
        <v>1390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1440</v>
      </c>
      <c r="D8" s="20" t="s">
        <v>1441</v>
      </c>
      <c r="E8" s="20" t="s">
        <v>1442</v>
      </c>
      <c r="F8" s="21">
        <v>8</v>
      </c>
      <c r="G8" s="21">
        <v>960</v>
      </c>
      <c r="H8" s="21">
        <v>30</v>
      </c>
      <c r="I8" s="21">
        <f t="shared" si="0"/>
        <v>930</v>
      </c>
      <c r="J8" s="20" t="s">
        <v>1392</v>
      </c>
      <c r="K8" s="20" t="s">
        <v>31</v>
      </c>
      <c r="L8" s="20" t="s">
        <v>1390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1450</v>
      </c>
      <c r="D9" s="20" t="s">
        <v>1451</v>
      </c>
      <c r="E9" s="20" t="s">
        <v>1452</v>
      </c>
      <c r="F9" s="21">
        <v>9</v>
      </c>
      <c r="G9" s="21">
        <v>1090</v>
      </c>
      <c r="H9" s="21">
        <v>30</v>
      </c>
      <c r="I9" s="21">
        <f t="shared" si="0"/>
        <v>1060</v>
      </c>
      <c r="J9" s="20" t="s">
        <v>1392</v>
      </c>
      <c r="K9" s="20" t="s">
        <v>31</v>
      </c>
      <c r="L9" s="20" t="s">
        <v>1390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1456</v>
      </c>
      <c r="D10" s="20" t="s">
        <v>1457</v>
      </c>
      <c r="E10" s="20" t="s">
        <v>1458</v>
      </c>
      <c r="F10" s="20" t="s">
        <v>129</v>
      </c>
      <c r="G10" s="21">
        <v>815</v>
      </c>
      <c r="H10" s="21">
        <v>25</v>
      </c>
      <c r="I10" s="21">
        <f t="shared" si="0"/>
        <v>790</v>
      </c>
      <c r="J10" s="20" t="s">
        <v>1392</v>
      </c>
      <c r="K10" s="20" t="s">
        <v>31</v>
      </c>
      <c r="L10" s="20" t="s">
        <v>1390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1462</v>
      </c>
      <c r="D11" s="20" t="s">
        <v>1463</v>
      </c>
      <c r="E11" s="20" t="s">
        <v>1464</v>
      </c>
      <c r="F11" s="20" t="s">
        <v>129</v>
      </c>
      <c r="G11" s="21">
        <v>1065</v>
      </c>
      <c r="H11" s="21">
        <v>25</v>
      </c>
      <c r="I11" s="21">
        <f t="shared" si="0"/>
        <v>1040</v>
      </c>
      <c r="J11" s="20" t="s">
        <v>1392</v>
      </c>
      <c r="K11" s="20" t="s">
        <v>31</v>
      </c>
      <c r="L11" s="20" t="s">
        <v>1390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1465</v>
      </c>
      <c r="D12" s="20" t="s">
        <v>1466</v>
      </c>
      <c r="E12" s="20" t="s">
        <v>1467</v>
      </c>
      <c r="F12" s="21">
        <v>8</v>
      </c>
      <c r="G12" s="21">
        <v>1120</v>
      </c>
      <c r="H12" s="21">
        <v>30</v>
      </c>
      <c r="I12" s="21">
        <f t="shared" si="0"/>
        <v>1090</v>
      </c>
      <c r="J12" s="20" t="s">
        <v>1392</v>
      </c>
      <c r="K12" s="20" t="s">
        <v>31</v>
      </c>
      <c r="L12" s="20" t="s">
        <v>1390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278</v>
      </c>
      <c r="D13" s="20" t="s">
        <v>1481</v>
      </c>
      <c r="E13" s="20" t="s">
        <v>1126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1392</v>
      </c>
      <c r="K13" s="20" t="s">
        <v>31</v>
      </c>
      <c r="L13" s="20" t="s">
        <v>1390</v>
      </c>
      <c r="M13" s="20"/>
      <c r="N13" s="20"/>
      <c r="O13" s="20"/>
      <c r="P13" s="20"/>
      <c r="Q13" s="20">
        <v>1</v>
      </c>
      <c r="R13" s="8">
        <f>H13</f>
        <v>25</v>
      </c>
    </row>
    <row r="14" spans="1:18" x14ac:dyDescent="0.25">
      <c r="A14" s="20"/>
      <c r="B14" s="20" t="s">
        <v>27</v>
      </c>
      <c r="C14" s="20" t="s">
        <v>1482</v>
      </c>
      <c r="D14" s="20" t="s">
        <v>1483</v>
      </c>
      <c r="E14" s="20" t="s">
        <v>1484</v>
      </c>
      <c r="F14" s="20" t="s">
        <v>35</v>
      </c>
      <c r="G14" s="21">
        <v>820</v>
      </c>
      <c r="H14" s="21">
        <v>30</v>
      </c>
      <c r="I14" s="21">
        <f t="shared" si="0"/>
        <v>790</v>
      </c>
      <c r="J14" s="20" t="s">
        <v>1392</v>
      </c>
      <c r="K14" s="20" t="s">
        <v>31</v>
      </c>
      <c r="L14" s="20" t="s">
        <v>1390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1485</v>
      </c>
      <c r="D15" s="20" t="s">
        <v>1486</v>
      </c>
      <c r="E15" s="20" t="s">
        <v>1487</v>
      </c>
      <c r="F15" s="21">
        <v>8</v>
      </c>
      <c r="G15" s="21">
        <v>970</v>
      </c>
      <c r="H15" s="21">
        <v>30</v>
      </c>
      <c r="I15" s="21">
        <f t="shared" si="0"/>
        <v>940</v>
      </c>
      <c r="J15" s="20" t="s">
        <v>1392</v>
      </c>
      <c r="K15" s="20" t="s">
        <v>31</v>
      </c>
      <c r="L15" s="20" t="s">
        <v>1390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352</v>
      </c>
      <c r="D16" s="20" t="s">
        <v>1491</v>
      </c>
      <c r="E16" s="20" t="s">
        <v>1492</v>
      </c>
      <c r="F16" s="20" t="s">
        <v>35</v>
      </c>
      <c r="G16" s="21">
        <v>0</v>
      </c>
      <c r="H16" s="21">
        <v>30</v>
      </c>
      <c r="I16" s="21">
        <f t="shared" si="0"/>
        <v>-30</v>
      </c>
      <c r="J16" s="20" t="s">
        <v>1392</v>
      </c>
      <c r="K16" s="20" t="s">
        <v>31</v>
      </c>
      <c r="L16" s="20" t="s">
        <v>1390</v>
      </c>
      <c r="M16" s="20"/>
      <c r="N16" s="20"/>
      <c r="O16" s="20"/>
      <c r="P16" s="20"/>
      <c r="Q16" s="20">
        <v>1</v>
      </c>
      <c r="R16" s="8">
        <f>H16</f>
        <v>30</v>
      </c>
    </row>
    <row r="17" spans="1:18" x14ac:dyDescent="0.25">
      <c r="A17" s="20"/>
      <c r="B17" s="20" t="s">
        <v>27</v>
      </c>
      <c r="C17" s="20" t="s">
        <v>1505</v>
      </c>
      <c r="D17" s="20" t="s">
        <v>1506</v>
      </c>
      <c r="E17" s="20" t="s">
        <v>820</v>
      </c>
      <c r="F17" s="21">
        <v>11</v>
      </c>
      <c r="G17" s="21">
        <v>1595</v>
      </c>
      <c r="H17" s="21">
        <v>25</v>
      </c>
      <c r="I17" s="21">
        <f t="shared" si="0"/>
        <v>1570</v>
      </c>
      <c r="J17" s="20" t="s">
        <v>1392</v>
      </c>
      <c r="K17" s="20" t="s">
        <v>31</v>
      </c>
      <c r="L17" s="20" t="s">
        <v>1390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1507</v>
      </c>
      <c r="D18" s="20" t="s">
        <v>1508</v>
      </c>
      <c r="E18" s="20" t="s">
        <v>1509</v>
      </c>
      <c r="F18" s="20" t="s">
        <v>35</v>
      </c>
      <c r="G18" s="21">
        <v>0</v>
      </c>
      <c r="H18" s="21">
        <v>30</v>
      </c>
      <c r="I18" s="21">
        <f t="shared" si="0"/>
        <v>-30</v>
      </c>
      <c r="J18" s="20" t="s">
        <v>1392</v>
      </c>
      <c r="K18" s="20" t="s">
        <v>31</v>
      </c>
      <c r="L18" s="20" t="s">
        <v>1390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1512</v>
      </c>
      <c r="D19" s="20" t="s">
        <v>1513</v>
      </c>
      <c r="E19" s="20" t="s">
        <v>1514</v>
      </c>
      <c r="F19" s="21">
        <v>5</v>
      </c>
      <c r="G19" s="21">
        <v>815</v>
      </c>
      <c r="H19" s="21">
        <v>25</v>
      </c>
      <c r="I19" s="21">
        <f t="shared" si="0"/>
        <v>790</v>
      </c>
      <c r="J19" s="20" t="s">
        <v>1392</v>
      </c>
      <c r="K19" s="20" t="s">
        <v>31</v>
      </c>
      <c r="L19" s="20" t="s">
        <v>1390</v>
      </c>
      <c r="M19" s="20"/>
      <c r="N19" s="20"/>
      <c r="O19" s="20"/>
      <c r="P19" s="20"/>
      <c r="Q19" s="20">
        <v>1</v>
      </c>
    </row>
    <row r="20" spans="1:18" x14ac:dyDescent="0.25">
      <c r="A20" s="20" t="s">
        <v>26</v>
      </c>
      <c r="B20" s="20" t="s">
        <v>27</v>
      </c>
      <c r="C20" s="20" t="s">
        <v>348</v>
      </c>
      <c r="D20" s="20"/>
      <c r="E20" s="20" t="s">
        <v>349</v>
      </c>
      <c r="F20" s="20" t="s">
        <v>39</v>
      </c>
      <c r="G20" s="21">
        <v>30</v>
      </c>
      <c r="H20" s="21">
        <v>30</v>
      </c>
      <c r="I20" s="21">
        <f t="shared" si="0"/>
        <v>0</v>
      </c>
      <c r="J20" s="20" t="s">
        <v>31</v>
      </c>
      <c r="K20" s="20" t="s">
        <v>31</v>
      </c>
      <c r="L20" s="20" t="s">
        <v>1390</v>
      </c>
      <c r="M20" s="20"/>
      <c r="N20" s="20"/>
      <c r="O20" s="20"/>
      <c r="P20" s="20"/>
      <c r="Q20" s="20">
        <v>1</v>
      </c>
    </row>
    <row r="21" spans="1:18" x14ac:dyDescent="0.25">
      <c r="A21" s="20" t="s">
        <v>26</v>
      </c>
      <c r="B21" s="20" t="s">
        <v>27</v>
      </c>
      <c r="C21" s="20" t="s">
        <v>346</v>
      </c>
      <c r="D21" s="20"/>
      <c r="E21" s="20" t="s">
        <v>347</v>
      </c>
      <c r="F21" s="20" t="s">
        <v>39</v>
      </c>
      <c r="G21" s="21">
        <v>0</v>
      </c>
      <c r="H21" s="21">
        <v>40</v>
      </c>
      <c r="I21" s="21">
        <f t="shared" si="0"/>
        <v>-40</v>
      </c>
      <c r="J21" s="20" t="s">
        <v>31</v>
      </c>
      <c r="K21" s="20" t="s">
        <v>31</v>
      </c>
      <c r="L21" s="20" t="s">
        <v>1390</v>
      </c>
      <c r="M21" s="20"/>
      <c r="N21" s="20"/>
      <c r="O21" s="20"/>
      <c r="P21" s="20"/>
      <c r="Q21" s="20">
        <v>1</v>
      </c>
      <c r="R21" s="8">
        <f t="shared" ref="R21:R23" si="1">H21</f>
        <v>40</v>
      </c>
    </row>
    <row r="22" spans="1:18" x14ac:dyDescent="0.25">
      <c r="A22" s="20"/>
      <c r="B22" s="20" t="s">
        <v>27</v>
      </c>
      <c r="C22" s="20" t="s">
        <v>307</v>
      </c>
      <c r="D22" s="20" t="s">
        <v>1393</v>
      </c>
      <c r="E22" s="20" t="s">
        <v>1394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1390</v>
      </c>
      <c r="M22" s="23" t="s">
        <v>374</v>
      </c>
      <c r="N22" s="20"/>
      <c r="O22" s="20"/>
      <c r="P22" s="20"/>
      <c r="Q22" s="20">
        <v>1</v>
      </c>
      <c r="R22" s="8">
        <f t="shared" si="1"/>
        <v>30</v>
      </c>
    </row>
    <row r="23" spans="1:18" x14ac:dyDescent="0.25">
      <c r="A23" s="20"/>
      <c r="B23" s="20" t="s">
        <v>27</v>
      </c>
      <c r="C23" s="20" t="s">
        <v>307</v>
      </c>
      <c r="D23" s="20" t="s">
        <v>1433</v>
      </c>
      <c r="E23" s="20" t="s">
        <v>1394</v>
      </c>
      <c r="F23" s="21">
        <v>2</v>
      </c>
      <c r="G23" s="21">
        <v>0</v>
      </c>
      <c r="H23" s="21">
        <v>0</v>
      </c>
      <c r="I23" s="21">
        <f t="shared" si="0"/>
        <v>0</v>
      </c>
      <c r="J23" s="20" t="s">
        <v>31</v>
      </c>
      <c r="K23" s="20" t="s">
        <v>31</v>
      </c>
      <c r="L23" s="20" t="s">
        <v>1390</v>
      </c>
      <c r="M23" s="23" t="s">
        <v>374</v>
      </c>
      <c r="N23" s="20"/>
      <c r="O23" s="20"/>
      <c r="P23" s="20"/>
      <c r="Q23" s="20">
        <v>1</v>
      </c>
      <c r="R23" s="8">
        <f t="shared" si="1"/>
        <v>0</v>
      </c>
    </row>
    <row r="24" spans="1:18" x14ac:dyDescent="0.25">
      <c r="A24" s="20"/>
      <c r="B24" s="20" t="s">
        <v>27</v>
      </c>
      <c r="C24" s="20" t="s">
        <v>741</v>
      </c>
      <c r="D24" s="20" t="s">
        <v>1397</v>
      </c>
      <c r="E24" s="20" t="s">
        <v>1398</v>
      </c>
      <c r="F24" s="21">
        <v>2</v>
      </c>
      <c r="G24" s="21">
        <v>1090</v>
      </c>
      <c r="H24" s="21">
        <v>30</v>
      </c>
      <c r="I24" s="21">
        <f t="shared" si="0"/>
        <v>1060</v>
      </c>
      <c r="J24" s="20" t="s">
        <v>31</v>
      </c>
      <c r="K24" s="20" t="s">
        <v>31</v>
      </c>
      <c r="L24" s="20" t="s">
        <v>1390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1401</v>
      </c>
      <c r="D25" s="20" t="s">
        <v>1402</v>
      </c>
      <c r="E25" s="20" t="s">
        <v>1403</v>
      </c>
      <c r="F25" s="20" t="s">
        <v>39</v>
      </c>
      <c r="G25" s="21">
        <v>945</v>
      </c>
      <c r="H25" s="21">
        <v>25</v>
      </c>
      <c r="I25" s="21">
        <f t="shared" si="0"/>
        <v>920</v>
      </c>
      <c r="J25" s="20" t="s">
        <v>31</v>
      </c>
      <c r="K25" s="20" t="s">
        <v>31</v>
      </c>
      <c r="L25" s="20" t="s">
        <v>1390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1404</v>
      </c>
      <c r="D26" s="20" t="s">
        <v>1405</v>
      </c>
      <c r="E26" s="20" t="s">
        <v>1406</v>
      </c>
      <c r="F26" s="20" t="s">
        <v>77</v>
      </c>
      <c r="G26" s="21">
        <v>910</v>
      </c>
      <c r="H26" s="21">
        <v>20</v>
      </c>
      <c r="I26" s="21">
        <f t="shared" si="0"/>
        <v>890</v>
      </c>
      <c r="J26" s="20" t="s">
        <v>31</v>
      </c>
      <c r="K26" s="20" t="s">
        <v>31</v>
      </c>
      <c r="L26" s="20" t="s">
        <v>1390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1407</v>
      </c>
      <c r="D27" s="20" t="s">
        <v>1408</v>
      </c>
      <c r="E27" s="20" t="s">
        <v>1409</v>
      </c>
      <c r="F27" s="21">
        <v>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1390</v>
      </c>
      <c r="M27" s="20"/>
      <c r="N27" s="20"/>
      <c r="O27" s="20"/>
      <c r="P27" s="20"/>
      <c r="Q27" s="20">
        <v>1</v>
      </c>
      <c r="R27" s="8">
        <f>H27</f>
        <v>30</v>
      </c>
    </row>
    <row r="28" spans="1:18" x14ac:dyDescent="0.25">
      <c r="A28" s="20"/>
      <c r="B28" s="20" t="s">
        <v>27</v>
      </c>
      <c r="C28" s="20" t="s">
        <v>596</v>
      </c>
      <c r="D28" s="20" t="s">
        <v>1414</v>
      </c>
      <c r="E28" s="20" t="s">
        <v>1415</v>
      </c>
      <c r="F28" s="21">
        <v>12</v>
      </c>
      <c r="G28" s="21">
        <v>1680</v>
      </c>
      <c r="H28" s="21">
        <v>30</v>
      </c>
      <c r="I28" s="21">
        <f t="shared" si="0"/>
        <v>1650</v>
      </c>
      <c r="J28" s="20" t="s">
        <v>31</v>
      </c>
      <c r="K28" s="20" t="s">
        <v>31</v>
      </c>
      <c r="L28" s="20" t="s">
        <v>1390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772</v>
      </c>
      <c r="D29" s="20" t="s">
        <v>1427</v>
      </c>
      <c r="E29" s="20" t="s">
        <v>1428</v>
      </c>
      <c r="F29" s="20" t="s">
        <v>39</v>
      </c>
      <c r="G29" s="21">
        <v>865</v>
      </c>
      <c r="H29" s="21">
        <v>25</v>
      </c>
      <c r="I29" s="21">
        <f t="shared" si="0"/>
        <v>840</v>
      </c>
      <c r="J29" s="20" t="s">
        <v>31</v>
      </c>
      <c r="K29" s="20" t="s">
        <v>31</v>
      </c>
      <c r="L29" s="20" t="s">
        <v>1390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371</v>
      </c>
      <c r="D30" s="20" t="s">
        <v>1432</v>
      </c>
      <c r="E30" s="20" t="s">
        <v>373</v>
      </c>
      <c r="F30" s="20" t="s">
        <v>77</v>
      </c>
      <c r="G30" s="21">
        <v>1410</v>
      </c>
      <c r="H30" s="21">
        <v>20</v>
      </c>
      <c r="I30" s="21">
        <f t="shared" si="0"/>
        <v>1390</v>
      </c>
      <c r="J30" s="20" t="s">
        <v>31</v>
      </c>
      <c r="K30" s="20" t="s">
        <v>31</v>
      </c>
      <c r="L30" s="20" t="s">
        <v>1390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1434</v>
      </c>
      <c r="D31" s="20" t="s">
        <v>1435</v>
      </c>
      <c r="E31" s="20" t="s">
        <v>1436</v>
      </c>
      <c r="F31" s="21">
        <v>12</v>
      </c>
      <c r="G31" s="21">
        <v>0</v>
      </c>
      <c r="H31" s="21">
        <v>30</v>
      </c>
      <c r="I31" s="21">
        <f t="shared" si="0"/>
        <v>-30</v>
      </c>
      <c r="J31" s="20" t="s">
        <v>31</v>
      </c>
      <c r="K31" s="20" t="s">
        <v>31</v>
      </c>
      <c r="L31" s="20" t="s">
        <v>1390</v>
      </c>
      <c r="M31" s="20"/>
      <c r="N31" s="20"/>
      <c r="O31" s="20"/>
      <c r="P31" s="20"/>
      <c r="Q31" s="20">
        <v>1</v>
      </c>
      <c r="R31" s="8">
        <f t="shared" ref="R31:R32" si="2">H31</f>
        <v>30</v>
      </c>
    </row>
    <row r="32" spans="1:18" x14ac:dyDescent="0.25">
      <c r="A32" s="20" t="s">
        <v>26</v>
      </c>
      <c r="B32" s="20" t="s">
        <v>27</v>
      </c>
      <c r="C32" s="20" t="s">
        <v>1449</v>
      </c>
      <c r="D32" s="20"/>
      <c r="E32" s="20" t="s">
        <v>157</v>
      </c>
      <c r="F32" s="20" t="s">
        <v>39</v>
      </c>
      <c r="G32" s="21">
        <v>0</v>
      </c>
      <c r="H32" s="21">
        <v>50</v>
      </c>
      <c r="I32" s="21">
        <f t="shared" si="0"/>
        <v>-50</v>
      </c>
      <c r="J32" s="20" t="s">
        <v>31</v>
      </c>
      <c r="K32" s="20" t="s">
        <v>31</v>
      </c>
      <c r="L32" s="20" t="s">
        <v>1390</v>
      </c>
      <c r="M32" s="20"/>
      <c r="N32" s="20"/>
      <c r="O32" s="20"/>
      <c r="P32" s="20"/>
      <c r="Q32" s="20">
        <v>1</v>
      </c>
      <c r="R32" s="8">
        <f t="shared" si="2"/>
        <v>50</v>
      </c>
    </row>
    <row r="33" spans="1:18" x14ac:dyDescent="0.25">
      <c r="A33" s="20"/>
      <c r="B33" s="20" t="s">
        <v>27</v>
      </c>
      <c r="C33" s="20" t="s">
        <v>1453</v>
      </c>
      <c r="D33" s="20" t="s">
        <v>1454</v>
      </c>
      <c r="E33" s="20" t="s">
        <v>1455</v>
      </c>
      <c r="F33" s="20" t="s">
        <v>39</v>
      </c>
      <c r="G33" s="21">
        <v>2510</v>
      </c>
      <c r="H33" s="21">
        <v>30</v>
      </c>
      <c r="I33" s="21">
        <f t="shared" si="0"/>
        <v>2480</v>
      </c>
      <c r="J33" s="20" t="s">
        <v>31</v>
      </c>
      <c r="K33" s="20" t="s">
        <v>31</v>
      </c>
      <c r="L33" s="20" t="s">
        <v>1390</v>
      </c>
      <c r="M33" s="23" t="s">
        <v>95</v>
      </c>
      <c r="N33" s="20"/>
      <c r="O33" s="20"/>
      <c r="P33" s="20"/>
      <c r="Q33" s="20">
        <v>1</v>
      </c>
      <c r="R33" s="8">
        <f>H33</f>
        <v>30</v>
      </c>
    </row>
    <row r="34" spans="1:18" x14ac:dyDescent="0.25">
      <c r="A34" s="20"/>
      <c r="B34" s="20" t="s">
        <v>27</v>
      </c>
      <c r="C34" s="20" t="s">
        <v>732</v>
      </c>
      <c r="D34" s="20" t="s">
        <v>1471</v>
      </c>
      <c r="E34" s="20" t="s">
        <v>1472</v>
      </c>
      <c r="F34" s="20" t="s">
        <v>151</v>
      </c>
      <c r="G34" s="21">
        <v>1035</v>
      </c>
      <c r="H34" s="21">
        <v>25</v>
      </c>
      <c r="I34" s="21">
        <f t="shared" si="0"/>
        <v>1010</v>
      </c>
      <c r="J34" s="20" t="s">
        <v>31</v>
      </c>
      <c r="K34" s="20" t="s">
        <v>31</v>
      </c>
      <c r="L34" s="20" t="s">
        <v>1390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1488</v>
      </c>
      <c r="D35" s="20" t="s">
        <v>1489</v>
      </c>
      <c r="E35" s="20" t="s">
        <v>1490</v>
      </c>
      <c r="F35" s="20" t="s">
        <v>77</v>
      </c>
      <c r="G35" s="21">
        <v>1540</v>
      </c>
      <c r="H35" s="21">
        <v>20</v>
      </c>
      <c r="I35" s="21">
        <f t="shared" ref="I35:I60" si="3">G35-H35</f>
        <v>1520</v>
      </c>
      <c r="J35" s="20" t="s">
        <v>31</v>
      </c>
      <c r="K35" s="20" t="s">
        <v>31</v>
      </c>
      <c r="L35" s="20" t="s">
        <v>1390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1496</v>
      </c>
      <c r="D36" s="20" t="s">
        <v>1497</v>
      </c>
      <c r="E36" s="20" t="s">
        <v>1498</v>
      </c>
      <c r="F36" s="21">
        <v>12</v>
      </c>
      <c r="G36" s="21">
        <v>0</v>
      </c>
      <c r="H36" s="21">
        <v>30</v>
      </c>
      <c r="I36" s="21">
        <f t="shared" si="3"/>
        <v>-30</v>
      </c>
      <c r="J36" s="20" t="s">
        <v>31</v>
      </c>
      <c r="K36" s="20" t="s">
        <v>31</v>
      </c>
      <c r="L36" s="20" t="s">
        <v>1390</v>
      </c>
      <c r="M36" s="20"/>
      <c r="N36" s="20"/>
      <c r="O36" s="20"/>
      <c r="P36" s="20"/>
      <c r="Q36" s="20">
        <v>1</v>
      </c>
      <c r="R36" s="8">
        <f>H36</f>
        <v>30</v>
      </c>
    </row>
    <row r="37" spans="1:18" x14ac:dyDescent="0.25">
      <c r="A37" s="20"/>
      <c r="B37" s="20" t="s">
        <v>27</v>
      </c>
      <c r="C37" s="20" t="s">
        <v>1510</v>
      </c>
      <c r="D37" s="20" t="s">
        <v>1511</v>
      </c>
      <c r="E37" s="20" t="s">
        <v>1495</v>
      </c>
      <c r="F37" s="20" t="s">
        <v>77</v>
      </c>
      <c r="G37" s="21">
        <v>1080</v>
      </c>
      <c r="H37" s="21">
        <v>20</v>
      </c>
      <c r="I37" s="21">
        <f t="shared" si="3"/>
        <v>1060</v>
      </c>
      <c r="J37" s="20" t="s">
        <v>31</v>
      </c>
      <c r="K37" s="20" t="s">
        <v>31</v>
      </c>
      <c r="L37" s="20" t="s">
        <v>1390</v>
      </c>
      <c r="M37" s="20"/>
      <c r="N37" s="20"/>
      <c r="O37" s="20"/>
      <c r="P37" s="20"/>
      <c r="Q37" s="20">
        <v>1</v>
      </c>
    </row>
    <row r="38" spans="1:18" x14ac:dyDescent="0.25">
      <c r="A38" s="20" t="s">
        <v>26</v>
      </c>
      <c r="B38" s="20" t="s">
        <v>27</v>
      </c>
      <c r="C38" s="20" t="s">
        <v>1391</v>
      </c>
      <c r="D38" s="20"/>
      <c r="E38" s="20" t="s">
        <v>785</v>
      </c>
      <c r="F38" s="20" t="s">
        <v>151</v>
      </c>
      <c r="G38" s="21">
        <v>730</v>
      </c>
      <c r="H38" s="21">
        <v>30</v>
      </c>
      <c r="I38" s="21">
        <f t="shared" si="3"/>
        <v>700</v>
      </c>
      <c r="J38" s="20" t="s">
        <v>30</v>
      </c>
      <c r="K38" s="20" t="s">
        <v>31</v>
      </c>
      <c r="L38" s="20" t="s">
        <v>1390</v>
      </c>
      <c r="M38" s="20"/>
      <c r="N38" s="20"/>
      <c r="O38" s="20"/>
      <c r="P38" s="20"/>
      <c r="Q38" s="20">
        <v>1</v>
      </c>
    </row>
    <row r="39" spans="1:18" x14ac:dyDescent="0.25">
      <c r="A39" s="20" t="s">
        <v>26</v>
      </c>
      <c r="B39" s="20" t="s">
        <v>27</v>
      </c>
      <c r="C39" s="20" t="s">
        <v>663</v>
      </c>
      <c r="D39" s="20"/>
      <c r="E39" s="20" t="s">
        <v>664</v>
      </c>
      <c r="F39" s="20" t="s">
        <v>151</v>
      </c>
      <c r="G39" s="21">
        <v>0</v>
      </c>
      <c r="H39" s="21">
        <v>30</v>
      </c>
      <c r="I39" s="21">
        <f t="shared" si="3"/>
        <v>-30</v>
      </c>
      <c r="J39" s="20" t="s">
        <v>30</v>
      </c>
      <c r="K39" s="20" t="s">
        <v>31</v>
      </c>
      <c r="L39" s="20" t="s">
        <v>1390</v>
      </c>
      <c r="M39" s="20"/>
      <c r="N39" s="20"/>
      <c r="O39" s="20"/>
      <c r="P39" s="20"/>
      <c r="Q39" s="20">
        <v>1</v>
      </c>
      <c r="R39" s="8">
        <f>H39</f>
        <v>30</v>
      </c>
    </row>
    <row r="40" spans="1:18" x14ac:dyDescent="0.25">
      <c r="A40" s="20"/>
      <c r="B40" s="20" t="s">
        <v>27</v>
      </c>
      <c r="C40" s="20" t="s">
        <v>263</v>
      </c>
      <c r="D40" s="20" t="s">
        <v>1395</v>
      </c>
      <c r="E40" s="20" t="s">
        <v>1396</v>
      </c>
      <c r="F40" s="21">
        <v>1</v>
      </c>
      <c r="G40" s="21">
        <v>815</v>
      </c>
      <c r="H40" s="21">
        <v>25</v>
      </c>
      <c r="I40" s="21">
        <f t="shared" si="3"/>
        <v>790</v>
      </c>
      <c r="J40" s="20" t="s">
        <v>30</v>
      </c>
      <c r="K40" s="20" t="s">
        <v>31</v>
      </c>
      <c r="L40" s="20" t="s">
        <v>1390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1227</v>
      </c>
      <c r="D41" s="20" t="s">
        <v>1399</v>
      </c>
      <c r="E41" s="20" t="s">
        <v>1400</v>
      </c>
      <c r="F41" s="21">
        <v>7</v>
      </c>
      <c r="G41" s="21">
        <v>30</v>
      </c>
      <c r="H41" s="21">
        <v>30</v>
      </c>
      <c r="I41" s="21">
        <f t="shared" si="3"/>
        <v>0</v>
      </c>
      <c r="J41" s="20" t="s">
        <v>30</v>
      </c>
      <c r="K41" s="20" t="s">
        <v>31</v>
      </c>
      <c r="L41" s="20" t="s">
        <v>1390</v>
      </c>
      <c r="M41" s="23" t="s">
        <v>1523</v>
      </c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1416</v>
      </c>
      <c r="D42" s="20" t="s">
        <v>1417</v>
      </c>
      <c r="E42" s="20" t="s">
        <v>1418</v>
      </c>
      <c r="F42" s="21">
        <v>10</v>
      </c>
      <c r="G42" s="21">
        <v>25</v>
      </c>
      <c r="H42" s="21">
        <v>25</v>
      </c>
      <c r="I42" s="21">
        <f t="shared" si="3"/>
        <v>0</v>
      </c>
      <c r="J42" s="20" t="s">
        <v>30</v>
      </c>
      <c r="K42" s="20" t="s">
        <v>31</v>
      </c>
      <c r="L42" s="20" t="s">
        <v>1390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1419</v>
      </c>
      <c r="D43" s="20" t="s">
        <v>1420</v>
      </c>
      <c r="E43" s="20" t="s">
        <v>740</v>
      </c>
      <c r="F43" s="20" t="s">
        <v>121</v>
      </c>
      <c r="G43" s="21">
        <v>2670</v>
      </c>
      <c r="H43" s="21">
        <v>40</v>
      </c>
      <c r="I43" s="21">
        <f t="shared" si="3"/>
        <v>2630</v>
      </c>
      <c r="J43" s="20" t="s">
        <v>30</v>
      </c>
      <c r="K43" s="20" t="s">
        <v>31</v>
      </c>
      <c r="L43" s="20" t="s">
        <v>1390</v>
      </c>
      <c r="M43" s="23" t="s">
        <v>95</v>
      </c>
      <c r="N43" s="20"/>
      <c r="O43" s="20"/>
      <c r="P43" s="20"/>
      <c r="Q43" s="20">
        <v>1</v>
      </c>
      <c r="R43" s="8">
        <f>H43</f>
        <v>40</v>
      </c>
    </row>
    <row r="44" spans="1:18" x14ac:dyDescent="0.25">
      <c r="A44" s="20"/>
      <c r="B44" s="20" t="s">
        <v>27</v>
      </c>
      <c r="C44" s="20" t="s">
        <v>1424</v>
      </c>
      <c r="D44" s="20" t="s">
        <v>1425</v>
      </c>
      <c r="E44" s="20" t="s">
        <v>1426</v>
      </c>
      <c r="F44" s="21">
        <v>7</v>
      </c>
      <c r="G44" s="21">
        <v>30</v>
      </c>
      <c r="H44" s="21">
        <v>30</v>
      </c>
      <c r="I44" s="21">
        <f t="shared" si="3"/>
        <v>0</v>
      </c>
      <c r="J44" s="20" t="s">
        <v>30</v>
      </c>
      <c r="K44" s="20" t="s">
        <v>31</v>
      </c>
      <c r="L44" s="20" t="s">
        <v>1390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1429</v>
      </c>
      <c r="D45" s="20" t="s">
        <v>1430</v>
      </c>
      <c r="E45" s="20" t="s">
        <v>1431</v>
      </c>
      <c r="F45" s="20" t="s">
        <v>151</v>
      </c>
      <c r="G45" s="21">
        <v>0</v>
      </c>
      <c r="H45" s="21">
        <v>25</v>
      </c>
      <c r="I45" s="21">
        <f t="shared" si="3"/>
        <v>-25</v>
      </c>
      <c r="J45" s="20" t="s">
        <v>30</v>
      </c>
      <c r="K45" s="20" t="s">
        <v>31</v>
      </c>
      <c r="L45" s="20" t="s">
        <v>1390</v>
      </c>
      <c r="M45" s="20"/>
      <c r="N45" s="20"/>
      <c r="O45" s="20"/>
      <c r="P45" s="20"/>
      <c r="Q45" s="20">
        <v>1</v>
      </c>
      <c r="R45" s="8">
        <f>H45</f>
        <v>25</v>
      </c>
    </row>
    <row r="46" spans="1:18" x14ac:dyDescent="0.25">
      <c r="A46" s="20"/>
      <c r="B46" s="20" t="s">
        <v>27</v>
      </c>
      <c r="C46" s="20" t="s">
        <v>1443</v>
      </c>
      <c r="D46" s="20" t="s">
        <v>1444</v>
      </c>
      <c r="E46" s="20" t="s">
        <v>1445</v>
      </c>
      <c r="F46" s="21">
        <v>8</v>
      </c>
      <c r="G46" s="21">
        <v>1960</v>
      </c>
      <c r="H46" s="21">
        <v>30</v>
      </c>
      <c r="I46" s="21">
        <f t="shared" si="3"/>
        <v>1930</v>
      </c>
      <c r="J46" s="20" t="s">
        <v>30</v>
      </c>
      <c r="K46" s="20" t="s">
        <v>31</v>
      </c>
      <c r="L46" s="20" t="s">
        <v>1390</v>
      </c>
      <c r="M46" s="20"/>
      <c r="N46" s="20"/>
      <c r="O46" s="20"/>
      <c r="P46" s="20"/>
      <c r="Q46" s="20">
        <v>1</v>
      </c>
    </row>
    <row r="47" spans="1:18" s="26" customFormat="1" x14ac:dyDescent="0.25">
      <c r="A47" s="24"/>
      <c r="B47" s="24" t="s">
        <v>27</v>
      </c>
      <c r="C47" s="24" t="s">
        <v>1446</v>
      </c>
      <c r="D47" s="24" t="s">
        <v>1447</v>
      </c>
      <c r="E47" s="24" t="s">
        <v>1448</v>
      </c>
      <c r="F47" s="25">
        <v>8</v>
      </c>
      <c r="G47" s="25">
        <v>30</v>
      </c>
      <c r="H47" s="25">
        <v>30</v>
      </c>
      <c r="I47" s="25">
        <f t="shared" si="3"/>
        <v>0</v>
      </c>
      <c r="J47" s="24" t="s">
        <v>30</v>
      </c>
      <c r="K47" s="24" t="s">
        <v>31</v>
      </c>
      <c r="L47" s="24" t="s">
        <v>1390</v>
      </c>
      <c r="M47" s="24" t="s">
        <v>84</v>
      </c>
      <c r="N47" s="24"/>
      <c r="O47" s="24"/>
      <c r="P47" s="24"/>
      <c r="Q47" s="24">
        <v>1</v>
      </c>
    </row>
    <row r="48" spans="1:18" x14ac:dyDescent="0.25">
      <c r="A48" s="20"/>
      <c r="B48" s="20" t="s">
        <v>27</v>
      </c>
      <c r="C48" s="20" t="s">
        <v>1459</v>
      </c>
      <c r="D48" s="20" t="s">
        <v>1460</v>
      </c>
      <c r="E48" s="20" t="s">
        <v>1461</v>
      </c>
      <c r="F48" s="20" t="s">
        <v>151</v>
      </c>
      <c r="G48" s="21">
        <v>3380</v>
      </c>
      <c r="H48" s="21">
        <v>35</v>
      </c>
      <c r="I48" s="21">
        <f t="shared" si="3"/>
        <v>3345</v>
      </c>
      <c r="J48" s="20" t="s">
        <v>30</v>
      </c>
      <c r="K48" s="20" t="s">
        <v>31</v>
      </c>
      <c r="L48" s="20" t="s">
        <v>1390</v>
      </c>
      <c r="M48" s="23" t="s">
        <v>95</v>
      </c>
      <c r="N48" s="20"/>
      <c r="O48" s="20"/>
      <c r="P48" s="20"/>
      <c r="Q48" s="20">
        <v>1</v>
      </c>
      <c r="R48" s="8">
        <f>H48</f>
        <v>35</v>
      </c>
    </row>
    <row r="49" spans="1:18" x14ac:dyDescent="0.25">
      <c r="A49" s="20"/>
      <c r="B49" s="20" t="s">
        <v>27</v>
      </c>
      <c r="C49" s="20" t="s">
        <v>1468</v>
      </c>
      <c r="D49" s="20" t="s">
        <v>1469</v>
      </c>
      <c r="E49" s="20" t="s">
        <v>1470</v>
      </c>
      <c r="F49" s="20" t="s">
        <v>151</v>
      </c>
      <c r="G49" s="21">
        <v>1465</v>
      </c>
      <c r="H49" s="21">
        <v>25</v>
      </c>
      <c r="I49" s="21">
        <f t="shared" si="3"/>
        <v>1440</v>
      </c>
      <c r="J49" s="20" t="s">
        <v>30</v>
      </c>
      <c r="K49" s="20" t="s">
        <v>31</v>
      </c>
      <c r="L49" s="20" t="s">
        <v>1390</v>
      </c>
      <c r="M49" s="20"/>
      <c r="N49" s="20"/>
      <c r="O49" s="20"/>
      <c r="P49" s="20"/>
      <c r="Q49" s="20">
        <v>1</v>
      </c>
    </row>
    <row r="50" spans="1:18" s="26" customFormat="1" x14ac:dyDescent="0.25">
      <c r="A50" s="24"/>
      <c r="B50" s="24" t="s">
        <v>27</v>
      </c>
      <c r="C50" s="24" t="s">
        <v>1106</v>
      </c>
      <c r="D50" s="24" t="s">
        <v>1473</v>
      </c>
      <c r="E50" s="24" t="s">
        <v>1108</v>
      </c>
      <c r="F50" s="24" t="s">
        <v>218</v>
      </c>
      <c r="G50" s="25">
        <v>35</v>
      </c>
      <c r="H50" s="25">
        <v>35</v>
      </c>
      <c r="I50" s="25">
        <f t="shared" si="3"/>
        <v>0</v>
      </c>
      <c r="J50" s="24" t="s">
        <v>30</v>
      </c>
      <c r="K50" s="24" t="s">
        <v>31</v>
      </c>
      <c r="L50" s="24" t="s">
        <v>1390</v>
      </c>
      <c r="M50" s="23" t="s">
        <v>1524</v>
      </c>
      <c r="N50" s="24"/>
      <c r="O50" s="24"/>
      <c r="P50" s="24"/>
      <c r="Q50" s="24">
        <v>1</v>
      </c>
    </row>
    <row r="51" spans="1:18" x14ac:dyDescent="0.25">
      <c r="A51" s="20"/>
      <c r="B51" s="20" t="s">
        <v>27</v>
      </c>
      <c r="C51" s="20" t="s">
        <v>1477</v>
      </c>
      <c r="D51" s="20" t="s">
        <v>1478</v>
      </c>
      <c r="E51" s="20" t="s">
        <v>1479</v>
      </c>
      <c r="F51" s="21">
        <v>10</v>
      </c>
      <c r="G51" s="21">
        <v>0</v>
      </c>
      <c r="H51" s="21">
        <v>25</v>
      </c>
      <c r="I51" s="21">
        <f t="shared" si="3"/>
        <v>-25</v>
      </c>
      <c r="J51" s="20" t="s">
        <v>30</v>
      </c>
      <c r="K51" s="20" t="s">
        <v>31</v>
      </c>
      <c r="L51" s="20" t="s">
        <v>1390</v>
      </c>
      <c r="M51" s="20"/>
      <c r="N51" s="20"/>
      <c r="O51" s="20"/>
      <c r="P51" s="20"/>
      <c r="Q51" s="20">
        <v>1</v>
      </c>
      <c r="R51" s="8">
        <f>H51</f>
        <v>25</v>
      </c>
    </row>
    <row r="52" spans="1:18" x14ac:dyDescent="0.25">
      <c r="A52" s="20"/>
      <c r="B52" s="20" t="s">
        <v>27</v>
      </c>
      <c r="C52" s="20" t="s">
        <v>1074</v>
      </c>
      <c r="D52" s="20" t="s">
        <v>1480</v>
      </c>
      <c r="E52" s="20" t="s">
        <v>1076</v>
      </c>
      <c r="F52" s="21">
        <v>7</v>
      </c>
      <c r="G52" s="21">
        <v>1050</v>
      </c>
      <c r="H52" s="21">
        <v>30</v>
      </c>
      <c r="I52" s="21">
        <f t="shared" si="3"/>
        <v>1020</v>
      </c>
      <c r="J52" s="20" t="s">
        <v>30</v>
      </c>
      <c r="K52" s="20" t="s">
        <v>31</v>
      </c>
      <c r="L52" s="20" t="s">
        <v>1390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1499</v>
      </c>
      <c r="D53" s="20" t="s">
        <v>1500</v>
      </c>
      <c r="E53" s="20" t="s">
        <v>1501</v>
      </c>
      <c r="F53" s="20" t="s">
        <v>218</v>
      </c>
      <c r="G53" s="21">
        <v>1795</v>
      </c>
      <c r="H53" s="21">
        <v>35</v>
      </c>
      <c r="I53" s="21">
        <f t="shared" si="3"/>
        <v>1760</v>
      </c>
      <c r="J53" s="20" t="s">
        <v>30</v>
      </c>
      <c r="K53" s="20" t="s">
        <v>31</v>
      </c>
      <c r="L53" s="20" t="s">
        <v>1390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1502</v>
      </c>
      <c r="D54" s="20" t="s">
        <v>1503</v>
      </c>
      <c r="E54" s="20" t="s">
        <v>1504</v>
      </c>
      <c r="F54" s="20" t="s">
        <v>125</v>
      </c>
      <c r="G54" s="21">
        <v>1080</v>
      </c>
      <c r="H54" s="21">
        <v>20</v>
      </c>
      <c r="I54" s="21">
        <f t="shared" si="3"/>
        <v>1060</v>
      </c>
      <c r="J54" s="20" t="s">
        <v>30</v>
      </c>
      <c r="K54" s="20" t="s">
        <v>31</v>
      </c>
      <c r="L54" s="20" t="s">
        <v>1390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1515</v>
      </c>
      <c r="D55" s="20" t="s">
        <v>1516</v>
      </c>
      <c r="E55" s="20" t="s">
        <v>1517</v>
      </c>
      <c r="F55" s="21">
        <v>10</v>
      </c>
      <c r="G55" s="21">
        <v>0</v>
      </c>
      <c r="H55" s="21">
        <v>25</v>
      </c>
      <c r="I55" s="21">
        <f t="shared" si="3"/>
        <v>-25</v>
      </c>
      <c r="J55" s="20" t="s">
        <v>30</v>
      </c>
      <c r="K55" s="20" t="s">
        <v>31</v>
      </c>
      <c r="L55" s="20" t="s">
        <v>1390</v>
      </c>
      <c r="M55" s="20"/>
      <c r="N55" s="20"/>
      <c r="O55" s="20"/>
      <c r="P55" s="20"/>
      <c r="Q55" s="20">
        <v>1</v>
      </c>
      <c r="R55" s="8">
        <f t="shared" ref="R55:R56" si="4">H55</f>
        <v>25</v>
      </c>
    </row>
    <row r="56" spans="1:18" x14ac:dyDescent="0.25">
      <c r="A56" s="20"/>
      <c r="B56" s="20" t="s">
        <v>27</v>
      </c>
      <c r="C56" s="20" t="s">
        <v>1518</v>
      </c>
      <c r="D56" s="20" t="s">
        <v>1519</v>
      </c>
      <c r="E56" s="20" t="s">
        <v>1520</v>
      </c>
      <c r="F56" s="20" t="s">
        <v>125</v>
      </c>
      <c r="G56" s="21">
        <v>0</v>
      </c>
      <c r="H56" s="21">
        <v>20</v>
      </c>
      <c r="I56" s="21">
        <f t="shared" si="3"/>
        <v>-20</v>
      </c>
      <c r="J56" s="20" t="s">
        <v>30</v>
      </c>
      <c r="K56" s="20" t="s">
        <v>31</v>
      </c>
      <c r="L56" s="20" t="s">
        <v>1390</v>
      </c>
      <c r="M56" s="20"/>
      <c r="N56" s="20"/>
      <c r="O56" s="20"/>
      <c r="P56" s="20"/>
      <c r="Q56" s="20">
        <v>1</v>
      </c>
      <c r="R56" s="8">
        <f t="shared" si="4"/>
        <v>20</v>
      </c>
    </row>
    <row r="57" spans="1:18" s="13" customFormat="1" x14ac:dyDescent="0.25">
      <c r="A57" s="22"/>
      <c r="B57" s="22" t="s">
        <v>27</v>
      </c>
      <c r="C57" s="22" t="s">
        <v>1474</v>
      </c>
      <c r="D57" s="22" t="s">
        <v>1475</v>
      </c>
      <c r="E57" s="22" t="s">
        <v>1476</v>
      </c>
      <c r="F57" s="22" t="s">
        <v>88</v>
      </c>
      <c r="G57" s="27">
        <v>1380</v>
      </c>
      <c r="H57" s="27">
        <v>30</v>
      </c>
      <c r="I57" s="27">
        <f>G57-H57</f>
        <v>1350</v>
      </c>
      <c r="J57" s="22" t="s">
        <v>184</v>
      </c>
      <c r="K57" s="22" t="s">
        <v>31</v>
      </c>
      <c r="L57" s="22" t="s">
        <v>1390</v>
      </c>
      <c r="M57" s="22" t="s">
        <v>186</v>
      </c>
      <c r="N57" s="22" t="s">
        <v>187</v>
      </c>
      <c r="O57" s="22"/>
      <c r="P57" s="22" t="s">
        <v>188</v>
      </c>
      <c r="Q57" s="22">
        <v>1</v>
      </c>
    </row>
    <row r="58" spans="1:18" s="13" customFormat="1" x14ac:dyDescent="0.25">
      <c r="A58" s="22"/>
      <c r="B58" s="22" t="s">
        <v>27</v>
      </c>
      <c r="C58" s="22" t="s">
        <v>1493</v>
      </c>
      <c r="D58" s="22" t="s">
        <v>1494</v>
      </c>
      <c r="E58" s="22" t="s">
        <v>1495</v>
      </c>
      <c r="F58" s="22" t="s">
        <v>77</v>
      </c>
      <c r="G58" s="27">
        <v>1060</v>
      </c>
      <c r="H58" s="27">
        <v>0</v>
      </c>
      <c r="I58" s="27">
        <f t="shared" si="3"/>
        <v>1060</v>
      </c>
      <c r="J58" s="22" t="s">
        <v>184</v>
      </c>
      <c r="K58" s="22" t="s">
        <v>31</v>
      </c>
      <c r="L58" s="22" t="s">
        <v>1390</v>
      </c>
      <c r="M58" s="22" t="s">
        <v>186</v>
      </c>
      <c r="N58" s="22" t="s">
        <v>187</v>
      </c>
      <c r="O58" s="22"/>
      <c r="P58" s="22" t="s">
        <v>188</v>
      </c>
      <c r="Q58" s="22">
        <v>1</v>
      </c>
    </row>
    <row r="59" spans="1:18" s="29" customFormat="1" x14ac:dyDescent="0.25">
      <c r="A59" s="30" t="s">
        <v>26</v>
      </c>
      <c r="B59" s="30" t="s">
        <v>27</v>
      </c>
      <c r="C59" s="30" t="s">
        <v>1273</v>
      </c>
      <c r="D59" s="30"/>
      <c r="E59" s="30" t="s">
        <v>1274</v>
      </c>
      <c r="F59" s="31" t="s">
        <v>1525</v>
      </c>
      <c r="G59" s="30">
        <v>2845</v>
      </c>
      <c r="H59" s="30">
        <v>35</v>
      </c>
      <c r="I59" s="30">
        <f t="shared" si="3"/>
        <v>2810</v>
      </c>
      <c r="J59" s="22" t="s">
        <v>184</v>
      </c>
      <c r="K59" s="30" t="s">
        <v>31</v>
      </c>
      <c r="L59" s="30" t="s">
        <v>1270</v>
      </c>
      <c r="M59" s="30" t="s">
        <v>186</v>
      </c>
      <c r="N59" s="30" t="s">
        <v>187</v>
      </c>
      <c r="O59" s="30" t="s">
        <v>187</v>
      </c>
      <c r="P59" s="30" t="s">
        <v>188</v>
      </c>
      <c r="Q59" s="30">
        <v>1</v>
      </c>
    </row>
    <row r="60" spans="1:18" s="13" customFormat="1" x14ac:dyDescent="0.25">
      <c r="A60" s="22"/>
      <c r="B60" s="22" t="s">
        <v>27</v>
      </c>
      <c r="C60" s="22" t="s">
        <v>1335</v>
      </c>
      <c r="D60" s="22" t="s">
        <v>1336</v>
      </c>
      <c r="E60" s="22" t="s">
        <v>1337</v>
      </c>
      <c r="F60" s="27">
        <v>7</v>
      </c>
      <c r="G60" s="27">
        <v>870</v>
      </c>
      <c r="H60" s="27">
        <v>30</v>
      </c>
      <c r="I60" s="27">
        <f t="shared" si="3"/>
        <v>840</v>
      </c>
      <c r="J60" s="22" t="s">
        <v>184</v>
      </c>
      <c r="K60" s="22" t="s">
        <v>31</v>
      </c>
      <c r="L60" s="22" t="s">
        <v>1270</v>
      </c>
      <c r="M60" s="22" t="s">
        <v>186</v>
      </c>
      <c r="N60" s="22" t="s">
        <v>187</v>
      </c>
      <c r="O60" s="22" t="s">
        <v>187</v>
      </c>
      <c r="P60" s="22" t="s">
        <v>188</v>
      </c>
      <c r="Q60" s="22">
        <v>1</v>
      </c>
    </row>
    <row r="62" spans="1:18" x14ac:dyDescent="0.25">
      <c r="D62" s="9">
        <f>COUNTA(D3:D60)</f>
        <v>51</v>
      </c>
      <c r="G62" s="9">
        <f t="shared" ref="G62:Q62" si="5">SUBTOTAL(9,G3:G60)</f>
        <v>45550</v>
      </c>
      <c r="H62" s="9">
        <f t="shared" si="5"/>
        <v>1615</v>
      </c>
      <c r="I62" s="9">
        <f t="shared" si="5"/>
        <v>43935</v>
      </c>
      <c r="J62" s="9">
        <f t="shared" si="5"/>
        <v>0</v>
      </c>
      <c r="K62" s="9">
        <f t="shared" si="5"/>
        <v>0</v>
      </c>
      <c r="L62" s="9">
        <f t="shared" si="5"/>
        <v>0</v>
      </c>
      <c r="M62" s="9">
        <f t="shared" si="5"/>
        <v>0</v>
      </c>
      <c r="N62" s="9">
        <f t="shared" si="5"/>
        <v>0</v>
      </c>
      <c r="O62" s="9">
        <f t="shared" si="5"/>
        <v>0</v>
      </c>
      <c r="P62" s="9">
        <f t="shared" si="5"/>
        <v>0</v>
      </c>
      <c r="Q62" s="9">
        <f t="shared" si="5"/>
        <v>58</v>
      </c>
    </row>
    <row r="63" spans="1:18" x14ac:dyDescent="0.25">
      <c r="H63">
        <f>-11*17</f>
        <v>-187</v>
      </c>
      <c r="I63">
        <f>2*17</f>
        <v>34</v>
      </c>
    </row>
    <row r="64" spans="1:18" x14ac:dyDescent="0.25">
      <c r="A64" s="9" t="s">
        <v>27</v>
      </c>
      <c r="C64" s="51" t="s">
        <v>189</v>
      </c>
      <c r="D64" s="51"/>
      <c r="E64" s="10" t="s">
        <v>190</v>
      </c>
      <c r="H64">
        <f>-6*25</f>
        <v>-150</v>
      </c>
      <c r="K64" s="11" t="s">
        <v>31</v>
      </c>
      <c r="L64" s="11" t="s">
        <v>191</v>
      </c>
      <c r="M64" s="11" t="s">
        <v>190</v>
      </c>
      <c r="O64" s="10" t="s">
        <v>192</v>
      </c>
    </row>
    <row r="65" spans="1:16" x14ac:dyDescent="0.25">
      <c r="A65" t="s">
        <v>1390</v>
      </c>
      <c r="B65" s="12" t="s">
        <v>193</v>
      </c>
      <c r="C65" s="52">
        <f>SUMIFS(I$3:I$60,B$3:B$60,A$64,L$3:L$60,A$65)</f>
        <v>40285</v>
      </c>
      <c r="D65" s="52"/>
      <c r="E65" s="12">
        <f>SUMIFS(Q$3:Q$60,B$3:B$60,A$64,L$3:L$60,A$65)</f>
        <v>56</v>
      </c>
      <c r="F65" t="s">
        <v>194</v>
      </c>
      <c r="K65" t="s">
        <v>195</v>
      </c>
      <c r="L65">
        <f>SUMIFS(G$3:G$60,J$3:J$60,K$64)</f>
        <v>13095</v>
      </c>
      <c r="M65">
        <f>SUMIFS(Q$3:Q$60,J$3:J$60,K$64)-INT(COUNTIFS(J$3:J$60,K$64,M$3:M$60,"*gộp*")/2)</f>
        <v>17</v>
      </c>
      <c r="O65" t="s">
        <v>31</v>
      </c>
      <c r="P65">
        <f>L70</f>
        <v>12593</v>
      </c>
    </row>
    <row r="66" spans="1:16" x14ac:dyDescent="0.25">
      <c r="B66" s="13" t="s">
        <v>196</v>
      </c>
      <c r="C66" s="53">
        <v>0</v>
      </c>
      <c r="D66" s="53"/>
      <c r="K66" t="s">
        <v>197</v>
      </c>
      <c r="L66">
        <f>-SUMIFS(H$3:H$60,J$3:J$60,K$64)+M66*5</f>
        <v>-400</v>
      </c>
      <c r="M66">
        <f>SUMIFS(Q$3:Q$60,J$3:J$60,K$64)-INT(COUNTIFS(J$3:J$60,K$64,M$3:M$60,"*gộp*")/2)</f>
        <v>17</v>
      </c>
      <c r="O66" t="s">
        <v>30</v>
      </c>
      <c r="P66">
        <f>L78</f>
        <v>14645</v>
      </c>
    </row>
    <row r="67" spans="1:16" x14ac:dyDescent="0.25">
      <c r="B67" s="13" t="s">
        <v>199</v>
      </c>
      <c r="C67" s="53">
        <f>-SUMIFS(I$3:I$60,B$3:B$60,A$64,P$3:P$60,"xx",N$3:N$60,"x")</f>
        <v>-6060</v>
      </c>
      <c r="D67" s="53"/>
      <c r="E67" s="13">
        <f>SUMIFS(Q$3:Q$60,B$3:B$60,A$64,P$3:P$60,"xx",N$3:N$60,"x")</f>
        <v>4</v>
      </c>
      <c r="K67" t="s">
        <v>200</v>
      </c>
      <c r="L67">
        <f>-M67*2</f>
        <v>-102</v>
      </c>
      <c r="M67">
        <f>COUNTIFS(K$3:K$60,K$64,L$3:L$60,A$65)-(COUNTIFS(K$3:K$60,K$64,M$3:M$60,"*gộp*")/2)-COUNTIFS(K$3:K$60,K$64,M$3:M$60,"*đơn trả*")-COUNTIFS(K$3:K$60,K$64,M$3:M$60,"*hàng tỉnh*")</f>
        <v>51</v>
      </c>
      <c r="O67" t="s">
        <v>1521</v>
      </c>
      <c r="P67">
        <f>L86</f>
        <v>7184</v>
      </c>
    </row>
    <row r="68" spans="1:16" x14ac:dyDescent="0.25">
      <c r="B68" s="10" t="s">
        <v>201</v>
      </c>
      <c r="C68" s="51">
        <f>SUBTOTAL(9,C65:C67)</f>
        <v>34225</v>
      </c>
      <c r="D68" s="51"/>
      <c r="E68">
        <f>E65</f>
        <v>56</v>
      </c>
      <c r="K68" s="14" t="s">
        <v>186</v>
      </c>
      <c r="O68" t="s">
        <v>203</v>
      </c>
      <c r="P68">
        <f>-C72</f>
        <v>-34225</v>
      </c>
    </row>
    <row r="69" spans="1:16" x14ac:dyDescent="0.25">
      <c r="B69" s="13" t="s">
        <v>204</v>
      </c>
      <c r="C69" s="49"/>
      <c r="D69" s="49"/>
      <c r="K69" s="13" t="s">
        <v>205</v>
      </c>
      <c r="O69" s="10" t="s">
        <v>206</v>
      </c>
      <c r="P69" s="10">
        <f>SUBTOTAL(9,P65:P68)</f>
        <v>197</v>
      </c>
    </row>
    <row r="70" spans="1:16" x14ac:dyDescent="0.25">
      <c r="B70" s="15" t="s">
        <v>207</v>
      </c>
      <c r="C70" s="49"/>
      <c r="D70" s="49"/>
      <c r="L70" s="16">
        <f>SUBTOTAL(9,L65:L69)</f>
        <v>12593</v>
      </c>
      <c r="M70" s="16">
        <f>M65</f>
        <v>17</v>
      </c>
    </row>
    <row r="72" spans="1:16" x14ac:dyDescent="0.25">
      <c r="B72" s="9" t="s">
        <v>208</v>
      </c>
      <c r="C72" s="50">
        <f>C68+C69+C70</f>
        <v>34225</v>
      </c>
      <c r="D72" s="50"/>
      <c r="E72" s="9" t="s">
        <v>209</v>
      </c>
      <c r="K72" s="11" t="s">
        <v>30</v>
      </c>
      <c r="L72" s="11" t="s">
        <v>191</v>
      </c>
      <c r="M72" s="11" t="s">
        <v>190</v>
      </c>
    </row>
    <row r="73" spans="1:16" x14ac:dyDescent="0.25">
      <c r="K73" t="s">
        <v>195</v>
      </c>
      <c r="L73">
        <f>SUMIFS(G$3:G$60,J$3:J$60,K$72)</f>
        <v>15095</v>
      </c>
      <c r="M73">
        <f>SUMIFS(Q$3:Q$60,J$3:J$60,K$72)-INT(COUNTIFS(J$3:J$60,K$72,M$3:M$60,"*gộp*")/2)</f>
        <v>19</v>
      </c>
    </row>
    <row r="74" spans="1:16" x14ac:dyDescent="0.25">
      <c r="K74" t="s">
        <v>197</v>
      </c>
      <c r="L74">
        <f>-SUMIFS(H$3:H$60,J$3:J$60,K$72)+M74*5</f>
        <v>-450</v>
      </c>
      <c r="M74">
        <f>SUMIFS(Q$3:Q$60,J$3:J$60,K$72)-INT(COUNTIFS(J$3:J$60,K$72,M$3:M$60,"*gộp*")/2)</f>
        <v>19</v>
      </c>
    </row>
    <row r="75" spans="1:16" x14ac:dyDescent="0.25">
      <c r="K75" t="s">
        <v>200</v>
      </c>
      <c r="L75">
        <f>-M75*2</f>
        <v>0</v>
      </c>
      <c r="M75">
        <f>COUNTIFS(K$3:K$60,K$72,L$3:L$60,A$65)-(COUNTIFS(K$3:K$60,K$72,M$3:M$60,"*gộp*")/2)-COUNTIFS(K$3:K$60,K$72,M$3:M$60,"*đơn trả*")-COUNTIFS(K$3:K$60,K$72,M$3:M$60,"*hàng tỉnh*")</f>
        <v>0</v>
      </c>
    </row>
    <row r="76" spans="1:16" x14ac:dyDescent="0.25">
      <c r="K76" s="14" t="s">
        <v>186</v>
      </c>
    </row>
    <row r="77" spans="1:16" x14ac:dyDescent="0.25">
      <c r="K77" s="13" t="s">
        <v>205</v>
      </c>
    </row>
    <row r="78" spans="1:16" x14ac:dyDescent="0.25">
      <c r="L78" s="16">
        <f>SUBTOTAL(9,L73:L77)</f>
        <v>14645</v>
      </c>
      <c r="M78" s="16">
        <f>M73</f>
        <v>19</v>
      </c>
    </row>
    <row r="80" spans="1:16" x14ac:dyDescent="0.25">
      <c r="K80" s="11" t="s">
        <v>1392</v>
      </c>
      <c r="L80" s="11" t="s">
        <v>191</v>
      </c>
      <c r="M80" s="11" t="s">
        <v>190</v>
      </c>
    </row>
    <row r="81" spans="11:13" x14ac:dyDescent="0.25">
      <c r="K81" t="s">
        <v>195</v>
      </c>
      <c r="L81">
        <f>SUMIFS(G$3:G$60,J$3:J$60,K$80)</f>
        <v>11205</v>
      </c>
      <c r="M81">
        <f>SUMIFS(Q$3:Q$60,J$3:J$60,K$80)-INT(COUNTIFS(J$3:J$60,K$80,M$3:M$60,"*gộp*")/2)</f>
        <v>17</v>
      </c>
    </row>
    <row r="82" spans="11:13" x14ac:dyDescent="0.25">
      <c r="K82" t="s">
        <v>197</v>
      </c>
      <c r="L82">
        <f>SUM(H63:H64)</f>
        <v>-337</v>
      </c>
      <c r="M82">
        <f>SUMIFS(Q$3:Q$60,J$3:J$60,K$80)-INT(COUNTIFS(J$3:J$60,K$80,M$3:M$60,"*gộp*")/2)</f>
        <v>17</v>
      </c>
    </row>
    <row r="83" spans="11:13" x14ac:dyDescent="0.25">
      <c r="K83" t="s">
        <v>200</v>
      </c>
      <c r="L83">
        <f>-M83*2</f>
        <v>0</v>
      </c>
      <c r="M83">
        <f>COUNTIFS(K$3:K$60,K$80,L$3:L$60,A$65)-(COUNTIFS(K$3:K$60,K$80,M$3:M$60,"*gộp*")/2)-COUNTIFS(K$3:K$60,K$80,M$3:M$60,"*đơn trả*")-COUNTIFS(K$3:K$60,K$80,M$3:M$60,"*hàng tỉnh*")</f>
        <v>0</v>
      </c>
    </row>
    <row r="84" spans="11:13" x14ac:dyDescent="0.25">
      <c r="K84" s="14" t="s">
        <v>186</v>
      </c>
      <c r="L84" s="28">
        <v>-3684</v>
      </c>
      <c r="M84" s="28" t="s">
        <v>1388</v>
      </c>
    </row>
    <row r="85" spans="11:13" x14ac:dyDescent="0.25">
      <c r="K85" s="13" t="s">
        <v>205</v>
      </c>
    </row>
    <row r="86" spans="11:13" x14ac:dyDescent="0.25">
      <c r="L86" s="16">
        <f>SUBTOTAL(9,L81:L85)</f>
        <v>7184</v>
      </c>
      <c r="M86" s="16">
        <f>M81</f>
        <v>17</v>
      </c>
    </row>
  </sheetData>
  <autoFilter ref="A2:P60" xr:uid="{00000000-0009-0000-0000-000000000000}">
    <sortState xmlns:xlrd2="http://schemas.microsoft.com/office/spreadsheetml/2017/richdata2" ref="A3:P60">
      <sortCondition ref="J2:J60"/>
    </sortState>
  </autoFilter>
  <mergeCells count="8">
    <mergeCell ref="C70:D70"/>
    <mergeCell ref="C72:D72"/>
    <mergeCell ref="C64:D64"/>
    <mergeCell ref="C65:D65"/>
    <mergeCell ref="C66:D66"/>
    <mergeCell ref="C67:D67"/>
    <mergeCell ref="C68:D68"/>
    <mergeCell ref="C69:D69"/>
  </mergeCells>
  <pageMargins left="0.75" right="0.75" top="0.75" bottom="0.5" header="0.5" footer="0.75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7C54-8107-492F-A328-08C531E0C522}">
  <dimension ref="A1:R69"/>
  <sheetViews>
    <sheetView workbookViewId="0"/>
  </sheetViews>
  <sheetFormatPr defaultRowHeight="15" x14ac:dyDescent="0.25"/>
  <cols>
    <col min="1" max="1" width="12.7109375" customWidth="1"/>
    <col min="2" max="2" width="8.140625" customWidth="1"/>
    <col min="3" max="3" width="33" customWidth="1"/>
    <col min="4" max="4" width="26.140625" customWidth="1"/>
    <col min="5" max="5" width="62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1639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1287</v>
      </c>
      <c r="D3" s="20" t="s">
        <v>1533</v>
      </c>
      <c r="E3" s="20" t="s">
        <v>1534</v>
      </c>
      <c r="F3" s="20" t="s">
        <v>121</v>
      </c>
      <c r="G3" s="21">
        <v>925</v>
      </c>
      <c r="H3" s="21">
        <v>35</v>
      </c>
      <c r="I3" s="21">
        <f t="shared" ref="I3:I43" si="0">G3-H3</f>
        <v>890</v>
      </c>
      <c r="J3" s="20" t="s">
        <v>1535</v>
      </c>
      <c r="K3" s="20" t="s">
        <v>31</v>
      </c>
      <c r="L3" s="20" t="s">
        <v>1529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1284</v>
      </c>
      <c r="D4" s="20" t="s">
        <v>1539</v>
      </c>
      <c r="E4" s="20" t="s">
        <v>1286</v>
      </c>
      <c r="F4" s="20" t="s">
        <v>35</v>
      </c>
      <c r="G4" s="21">
        <v>0</v>
      </c>
      <c r="H4" s="21">
        <v>30</v>
      </c>
      <c r="I4" s="21">
        <f t="shared" si="0"/>
        <v>-30</v>
      </c>
      <c r="J4" s="20" t="s">
        <v>1535</v>
      </c>
      <c r="K4" s="20" t="s">
        <v>31</v>
      </c>
      <c r="L4" s="20" t="s">
        <v>1529</v>
      </c>
      <c r="M4" s="20"/>
      <c r="N4" s="20"/>
      <c r="O4" s="20"/>
      <c r="P4" s="20"/>
      <c r="Q4" s="20">
        <v>1</v>
      </c>
      <c r="R4" s="8">
        <f>H4</f>
        <v>30</v>
      </c>
    </row>
    <row r="5" spans="1:18" x14ac:dyDescent="0.25">
      <c r="A5" s="20"/>
      <c r="B5" s="20" t="s">
        <v>27</v>
      </c>
      <c r="C5" s="20" t="s">
        <v>1565</v>
      </c>
      <c r="D5" s="20" t="s">
        <v>1566</v>
      </c>
      <c r="E5" s="20" t="s">
        <v>1567</v>
      </c>
      <c r="F5" s="20" t="s">
        <v>42</v>
      </c>
      <c r="G5" s="21">
        <v>875</v>
      </c>
      <c r="H5" s="21">
        <v>35</v>
      </c>
      <c r="I5" s="21">
        <f t="shared" si="0"/>
        <v>840</v>
      </c>
      <c r="J5" s="20" t="s">
        <v>1535</v>
      </c>
      <c r="K5" s="20" t="s">
        <v>31</v>
      </c>
      <c r="L5" s="20" t="s">
        <v>1529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1574</v>
      </c>
      <c r="D6" s="20" t="s">
        <v>1575</v>
      </c>
      <c r="E6" s="20" t="s">
        <v>1576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1535</v>
      </c>
      <c r="K6" s="20" t="s">
        <v>31</v>
      </c>
      <c r="L6" s="20" t="s">
        <v>1529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1577</v>
      </c>
      <c r="D7" s="20" t="s">
        <v>1578</v>
      </c>
      <c r="E7" s="20" t="s">
        <v>1579</v>
      </c>
      <c r="F7" s="20" t="s">
        <v>35</v>
      </c>
      <c r="G7" s="21">
        <v>850</v>
      </c>
      <c r="H7" s="21">
        <v>30</v>
      </c>
      <c r="I7" s="21">
        <f t="shared" si="0"/>
        <v>820</v>
      </c>
      <c r="J7" s="20" t="s">
        <v>1535</v>
      </c>
      <c r="K7" s="20" t="s">
        <v>31</v>
      </c>
      <c r="L7" s="20" t="s">
        <v>1529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1589</v>
      </c>
      <c r="D8" s="20" t="s">
        <v>1590</v>
      </c>
      <c r="E8" s="20" t="s">
        <v>1591</v>
      </c>
      <c r="F8" s="21">
        <v>9</v>
      </c>
      <c r="G8" s="21">
        <v>960</v>
      </c>
      <c r="H8" s="21">
        <v>30</v>
      </c>
      <c r="I8" s="21">
        <f t="shared" si="0"/>
        <v>930</v>
      </c>
      <c r="J8" s="20" t="s">
        <v>1535</v>
      </c>
      <c r="K8" s="20" t="s">
        <v>31</v>
      </c>
      <c r="L8" s="20" t="s">
        <v>1529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1592</v>
      </c>
      <c r="D9" s="20" t="s">
        <v>1593</v>
      </c>
      <c r="E9" s="20" t="s">
        <v>1594</v>
      </c>
      <c r="F9" s="20" t="s">
        <v>121</v>
      </c>
      <c r="G9" s="21">
        <v>0</v>
      </c>
      <c r="H9" s="21">
        <v>35</v>
      </c>
      <c r="I9" s="21">
        <f t="shared" si="0"/>
        <v>-35</v>
      </c>
      <c r="J9" s="20" t="s">
        <v>1535</v>
      </c>
      <c r="K9" s="20" t="s">
        <v>31</v>
      </c>
      <c r="L9" s="20" t="s">
        <v>1529</v>
      </c>
      <c r="M9" s="20"/>
      <c r="N9" s="20"/>
      <c r="O9" s="20"/>
      <c r="P9" s="20"/>
      <c r="Q9" s="20">
        <v>1</v>
      </c>
      <c r="R9" s="8">
        <f t="shared" ref="R9:R11" si="1">H9</f>
        <v>35</v>
      </c>
    </row>
    <row r="10" spans="1:18" x14ac:dyDescent="0.25">
      <c r="A10" s="20"/>
      <c r="B10" s="20" t="s">
        <v>27</v>
      </c>
      <c r="C10" s="20" t="s">
        <v>1601</v>
      </c>
      <c r="D10" s="20" t="s">
        <v>1602</v>
      </c>
      <c r="E10" s="20" t="s">
        <v>1603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1535</v>
      </c>
      <c r="K10" s="20" t="s">
        <v>31</v>
      </c>
      <c r="L10" s="20" t="s">
        <v>1529</v>
      </c>
      <c r="M10" s="20"/>
      <c r="N10" s="20"/>
      <c r="O10" s="20"/>
      <c r="P10" s="20"/>
      <c r="Q10" s="20">
        <v>1</v>
      </c>
      <c r="R10" s="8">
        <f t="shared" si="1"/>
        <v>30</v>
      </c>
    </row>
    <row r="11" spans="1:18" x14ac:dyDescent="0.25">
      <c r="A11" s="20"/>
      <c r="B11" s="20" t="s">
        <v>27</v>
      </c>
      <c r="C11" s="20" t="s">
        <v>1607</v>
      </c>
      <c r="D11" s="20" t="s">
        <v>1608</v>
      </c>
      <c r="E11" s="20" t="s">
        <v>1609</v>
      </c>
      <c r="F11" s="20" t="s">
        <v>121</v>
      </c>
      <c r="G11" s="21">
        <v>0</v>
      </c>
      <c r="H11" s="21">
        <v>35</v>
      </c>
      <c r="I11" s="21">
        <f t="shared" si="0"/>
        <v>-35</v>
      </c>
      <c r="J11" s="20" t="s">
        <v>1535</v>
      </c>
      <c r="K11" s="20" t="s">
        <v>31</v>
      </c>
      <c r="L11" s="20" t="s">
        <v>1529</v>
      </c>
      <c r="M11" s="20"/>
      <c r="N11" s="20"/>
      <c r="O11" s="20"/>
      <c r="P11" s="20"/>
      <c r="Q11" s="20">
        <v>1</v>
      </c>
      <c r="R11" s="8">
        <f t="shared" si="1"/>
        <v>35</v>
      </c>
    </row>
    <row r="12" spans="1:18" x14ac:dyDescent="0.25">
      <c r="A12" s="20" t="s">
        <v>26</v>
      </c>
      <c r="B12" s="20" t="s">
        <v>27</v>
      </c>
      <c r="C12" s="20" t="s">
        <v>668</v>
      </c>
      <c r="D12" s="20"/>
      <c r="E12" s="20" t="s">
        <v>669</v>
      </c>
      <c r="F12" s="20" t="s">
        <v>35</v>
      </c>
      <c r="G12" s="21">
        <v>8350</v>
      </c>
      <c r="H12" s="21">
        <v>70</v>
      </c>
      <c r="I12" s="21">
        <f t="shared" si="0"/>
        <v>8280</v>
      </c>
      <c r="J12" s="20" t="s">
        <v>1535</v>
      </c>
      <c r="K12" s="20" t="s">
        <v>31</v>
      </c>
      <c r="L12" s="20" t="s">
        <v>1529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1637</v>
      </c>
      <c r="D13" s="20"/>
      <c r="E13" s="20" t="s">
        <v>44</v>
      </c>
      <c r="F13" s="21">
        <v>6</v>
      </c>
      <c r="G13" s="21">
        <v>0</v>
      </c>
      <c r="H13" s="21">
        <v>30</v>
      </c>
      <c r="I13" s="21">
        <f t="shared" si="0"/>
        <v>-30</v>
      </c>
      <c r="J13" s="20" t="s">
        <v>1535</v>
      </c>
      <c r="K13" s="20" t="s">
        <v>31</v>
      </c>
      <c r="L13" s="20" t="s">
        <v>1529</v>
      </c>
      <c r="M13" s="20"/>
      <c r="N13" s="20"/>
      <c r="O13" s="20"/>
      <c r="P13" s="20"/>
      <c r="Q13" s="20">
        <v>1</v>
      </c>
      <c r="R13" s="8">
        <f t="shared" ref="R13:R14" si="2">H13</f>
        <v>30</v>
      </c>
    </row>
    <row r="14" spans="1:18" x14ac:dyDescent="0.25">
      <c r="A14" s="20"/>
      <c r="B14" s="20" t="s">
        <v>27</v>
      </c>
      <c r="C14" s="20" t="s">
        <v>1530</v>
      </c>
      <c r="D14" s="20" t="s">
        <v>1531</v>
      </c>
      <c r="E14" s="20" t="s">
        <v>1532</v>
      </c>
      <c r="F14" s="21">
        <v>12</v>
      </c>
      <c r="G14" s="21">
        <v>0</v>
      </c>
      <c r="H14" s="21">
        <v>30</v>
      </c>
      <c r="I14" s="21">
        <f t="shared" si="0"/>
        <v>-30</v>
      </c>
      <c r="J14" s="20" t="s">
        <v>31</v>
      </c>
      <c r="K14" s="20" t="s">
        <v>31</v>
      </c>
      <c r="L14" s="20" t="s">
        <v>1529</v>
      </c>
      <c r="M14" s="20"/>
      <c r="N14" s="20"/>
      <c r="O14" s="20"/>
      <c r="P14" s="20"/>
      <c r="Q14" s="20">
        <v>1</v>
      </c>
      <c r="R14" s="8">
        <f t="shared" si="2"/>
        <v>30</v>
      </c>
    </row>
    <row r="15" spans="1:18" x14ac:dyDescent="0.25">
      <c r="A15" s="20"/>
      <c r="B15" s="20" t="s">
        <v>27</v>
      </c>
      <c r="C15" s="20" t="s">
        <v>1234</v>
      </c>
      <c r="D15" s="20" t="s">
        <v>1549</v>
      </c>
      <c r="E15" s="20" t="s">
        <v>1550</v>
      </c>
      <c r="F15" s="20" t="s">
        <v>88</v>
      </c>
      <c r="G15" s="21">
        <v>920</v>
      </c>
      <c r="H15" s="21">
        <v>30</v>
      </c>
      <c r="I15" s="21">
        <f t="shared" si="0"/>
        <v>890</v>
      </c>
      <c r="J15" s="20" t="s">
        <v>31</v>
      </c>
      <c r="K15" s="20" t="s">
        <v>31</v>
      </c>
      <c r="L15" s="20" t="s">
        <v>1529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1551</v>
      </c>
      <c r="D16" s="20" t="s">
        <v>1552</v>
      </c>
      <c r="E16" s="20" t="s">
        <v>1553</v>
      </c>
      <c r="F16" s="20" t="s">
        <v>39</v>
      </c>
      <c r="G16" s="21">
        <v>1055</v>
      </c>
      <c r="H16" s="21">
        <v>25</v>
      </c>
      <c r="I16" s="21">
        <f t="shared" si="0"/>
        <v>1030</v>
      </c>
      <c r="J16" s="20" t="s">
        <v>31</v>
      </c>
      <c r="K16" s="20" t="s">
        <v>31</v>
      </c>
      <c r="L16" s="20" t="s">
        <v>1529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1449</v>
      </c>
      <c r="D17" s="20" t="s">
        <v>1554</v>
      </c>
      <c r="E17" s="20" t="s">
        <v>1555</v>
      </c>
      <c r="F17" s="20" t="s">
        <v>39</v>
      </c>
      <c r="G17" s="21">
        <v>0</v>
      </c>
      <c r="H17" s="21">
        <v>25</v>
      </c>
      <c r="I17" s="21">
        <f t="shared" si="0"/>
        <v>-25</v>
      </c>
      <c r="J17" s="20" t="s">
        <v>31</v>
      </c>
      <c r="K17" s="20" t="s">
        <v>31</v>
      </c>
      <c r="L17" s="20" t="s">
        <v>1529</v>
      </c>
      <c r="M17" s="20"/>
      <c r="N17" s="20"/>
      <c r="O17" s="20"/>
      <c r="P17" s="20"/>
      <c r="Q17" s="20">
        <v>1</v>
      </c>
      <c r="R17" s="8">
        <f>H17</f>
        <v>25</v>
      </c>
    </row>
    <row r="18" spans="1:18" s="26" customFormat="1" x14ac:dyDescent="0.25">
      <c r="A18" s="24" t="s">
        <v>26</v>
      </c>
      <c r="B18" s="24" t="s">
        <v>27</v>
      </c>
      <c r="C18" s="24" t="s">
        <v>1556</v>
      </c>
      <c r="D18" s="24"/>
      <c r="E18" s="24" t="s">
        <v>1557</v>
      </c>
      <c r="F18" s="25">
        <v>2</v>
      </c>
      <c r="G18" s="25">
        <v>30</v>
      </c>
      <c r="H18" s="25">
        <v>30</v>
      </c>
      <c r="I18" s="25">
        <f t="shared" si="0"/>
        <v>0</v>
      </c>
      <c r="J18" s="24" t="s">
        <v>31</v>
      </c>
      <c r="K18" s="24" t="s">
        <v>31</v>
      </c>
      <c r="L18" s="24" t="s">
        <v>1529</v>
      </c>
      <c r="M18" s="24" t="s">
        <v>84</v>
      </c>
      <c r="N18" s="24"/>
      <c r="O18" s="24"/>
      <c r="P18" s="24"/>
      <c r="Q18" s="24">
        <v>1</v>
      </c>
    </row>
    <row r="19" spans="1:18" x14ac:dyDescent="0.25">
      <c r="A19" s="20"/>
      <c r="B19" s="20" t="s">
        <v>27</v>
      </c>
      <c r="C19" s="20" t="s">
        <v>139</v>
      </c>
      <c r="D19" s="20" t="s">
        <v>1558</v>
      </c>
      <c r="E19" s="20" t="s">
        <v>141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1529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1571</v>
      </c>
      <c r="D20" s="20" t="s">
        <v>1572</v>
      </c>
      <c r="E20" s="20" t="s">
        <v>1573</v>
      </c>
      <c r="F20" s="21">
        <v>2</v>
      </c>
      <c r="G20" s="21">
        <v>320</v>
      </c>
      <c r="H20" s="21">
        <v>30</v>
      </c>
      <c r="I20" s="21">
        <f t="shared" si="0"/>
        <v>290</v>
      </c>
      <c r="J20" s="20" t="s">
        <v>31</v>
      </c>
      <c r="K20" s="20" t="s">
        <v>31</v>
      </c>
      <c r="L20" s="20" t="s">
        <v>1529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1583</v>
      </c>
      <c r="D21" s="20" t="s">
        <v>1584</v>
      </c>
      <c r="E21" s="20" t="s">
        <v>1585</v>
      </c>
      <c r="F21" s="21">
        <v>2</v>
      </c>
      <c r="G21" s="21">
        <v>820</v>
      </c>
      <c r="H21" s="21">
        <v>30</v>
      </c>
      <c r="I21" s="21">
        <f t="shared" si="0"/>
        <v>790</v>
      </c>
      <c r="J21" s="20" t="s">
        <v>31</v>
      </c>
      <c r="K21" s="20" t="s">
        <v>31</v>
      </c>
      <c r="L21" s="20" t="s">
        <v>1529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1598</v>
      </c>
      <c r="D22" s="20" t="s">
        <v>1599</v>
      </c>
      <c r="E22" s="20" t="s">
        <v>1600</v>
      </c>
      <c r="F22" s="21">
        <v>2</v>
      </c>
      <c r="G22" s="21">
        <v>870</v>
      </c>
      <c r="H22" s="21">
        <v>30</v>
      </c>
      <c r="I22" s="21">
        <f t="shared" si="0"/>
        <v>840</v>
      </c>
      <c r="J22" s="20" t="s">
        <v>31</v>
      </c>
      <c r="K22" s="20" t="s">
        <v>31</v>
      </c>
      <c r="L22" s="20" t="s">
        <v>1529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1610</v>
      </c>
      <c r="D23" s="20" t="s">
        <v>1611</v>
      </c>
      <c r="E23" s="20" t="s">
        <v>1612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1529</v>
      </c>
      <c r="M23" s="20"/>
      <c r="N23" s="20"/>
      <c r="O23" s="20"/>
      <c r="P23" s="20"/>
      <c r="Q23" s="20">
        <v>1</v>
      </c>
      <c r="R23" s="8">
        <f>H23</f>
        <v>30</v>
      </c>
    </row>
    <row r="24" spans="1:18" x14ac:dyDescent="0.25">
      <c r="A24" s="20"/>
      <c r="B24" s="20" t="s">
        <v>27</v>
      </c>
      <c r="C24" s="20" t="s">
        <v>1613</v>
      </c>
      <c r="D24" s="20" t="s">
        <v>1614</v>
      </c>
      <c r="E24" s="20" t="s">
        <v>1615</v>
      </c>
      <c r="F24" s="20" t="s">
        <v>88</v>
      </c>
      <c r="G24" s="21">
        <v>1890</v>
      </c>
      <c r="H24" s="21">
        <v>30</v>
      </c>
      <c r="I24" s="21">
        <f t="shared" si="0"/>
        <v>1860</v>
      </c>
      <c r="J24" s="20" t="s">
        <v>31</v>
      </c>
      <c r="K24" s="20" t="s">
        <v>31</v>
      </c>
      <c r="L24" s="20" t="s">
        <v>1529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1616</v>
      </c>
      <c r="D25" s="20" t="s">
        <v>1617</v>
      </c>
      <c r="E25" s="20" t="s">
        <v>1618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1529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1619</v>
      </c>
      <c r="D26" s="20" t="s">
        <v>1620</v>
      </c>
      <c r="E26" s="20" t="s">
        <v>1621</v>
      </c>
      <c r="F26" s="20" t="s">
        <v>39</v>
      </c>
      <c r="G26" s="21">
        <v>2810</v>
      </c>
      <c r="H26" s="21">
        <v>30</v>
      </c>
      <c r="I26" s="21">
        <f t="shared" si="0"/>
        <v>2780</v>
      </c>
      <c r="J26" s="20" t="s">
        <v>31</v>
      </c>
      <c r="K26" s="20" t="s">
        <v>31</v>
      </c>
      <c r="L26" s="20" t="s">
        <v>1529</v>
      </c>
      <c r="M26" s="23" t="s">
        <v>95</v>
      </c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1622</v>
      </c>
      <c r="D27" s="20" t="s">
        <v>1623</v>
      </c>
      <c r="E27" s="20" t="s">
        <v>1624</v>
      </c>
      <c r="F27" s="21">
        <v>12</v>
      </c>
      <c r="G27" s="21">
        <v>0</v>
      </c>
      <c r="H27" s="21">
        <v>30</v>
      </c>
      <c r="I27" s="21">
        <f t="shared" si="0"/>
        <v>-30</v>
      </c>
      <c r="J27" s="20" t="s">
        <v>31</v>
      </c>
      <c r="K27" s="20" t="s">
        <v>31</v>
      </c>
      <c r="L27" s="20" t="s">
        <v>1529</v>
      </c>
      <c r="M27" s="20"/>
      <c r="N27" s="20"/>
      <c r="O27" s="20"/>
      <c r="P27" s="20"/>
      <c r="Q27" s="20">
        <v>1</v>
      </c>
      <c r="R27" s="8">
        <f t="shared" ref="R27:R28" si="3">H27</f>
        <v>30</v>
      </c>
    </row>
    <row r="28" spans="1:18" x14ac:dyDescent="0.25">
      <c r="A28" s="20"/>
      <c r="B28" s="20" t="s">
        <v>27</v>
      </c>
      <c r="C28" s="20" t="s">
        <v>1628</v>
      </c>
      <c r="D28" s="20" t="s">
        <v>1629</v>
      </c>
      <c r="E28" s="20" t="s">
        <v>1630</v>
      </c>
      <c r="F28" s="20" t="s">
        <v>39</v>
      </c>
      <c r="G28" s="21">
        <v>0</v>
      </c>
      <c r="H28" s="21">
        <v>25</v>
      </c>
      <c r="I28" s="21">
        <f t="shared" si="0"/>
        <v>-25</v>
      </c>
      <c r="J28" s="20" t="s">
        <v>31</v>
      </c>
      <c r="K28" s="20" t="s">
        <v>31</v>
      </c>
      <c r="L28" s="20" t="s">
        <v>1529</v>
      </c>
      <c r="M28" s="23" t="s">
        <v>1631</v>
      </c>
      <c r="N28" s="20"/>
      <c r="O28" s="20"/>
      <c r="P28" s="20"/>
      <c r="Q28" s="20">
        <v>1</v>
      </c>
      <c r="R28" s="8">
        <f t="shared" si="3"/>
        <v>25</v>
      </c>
    </row>
    <row r="29" spans="1:18" x14ac:dyDescent="0.25">
      <c r="A29" s="20"/>
      <c r="B29" s="20" t="s">
        <v>27</v>
      </c>
      <c r="C29" s="20" t="s">
        <v>1526</v>
      </c>
      <c r="D29" s="20" t="s">
        <v>1527</v>
      </c>
      <c r="E29" s="20" t="s">
        <v>1528</v>
      </c>
      <c r="F29" s="21">
        <v>4</v>
      </c>
      <c r="G29" s="21">
        <v>815</v>
      </c>
      <c r="H29" s="21">
        <v>25</v>
      </c>
      <c r="I29" s="21">
        <f t="shared" si="0"/>
        <v>790</v>
      </c>
      <c r="J29" s="20" t="s">
        <v>30</v>
      </c>
      <c r="K29" s="20" t="s">
        <v>31</v>
      </c>
      <c r="L29" s="20" t="s">
        <v>1529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1536</v>
      </c>
      <c r="D30" s="20" t="s">
        <v>1537</v>
      </c>
      <c r="E30" s="20" t="s">
        <v>1538</v>
      </c>
      <c r="F30" s="20" t="s">
        <v>151</v>
      </c>
      <c r="G30" s="21">
        <v>1725</v>
      </c>
      <c r="H30" s="21">
        <v>25</v>
      </c>
      <c r="I30" s="21">
        <f t="shared" si="0"/>
        <v>1700</v>
      </c>
      <c r="J30" s="20" t="s">
        <v>30</v>
      </c>
      <c r="K30" s="20" t="s">
        <v>31</v>
      </c>
      <c r="L30" s="20" t="s">
        <v>1529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1540</v>
      </c>
      <c r="D31" s="20" t="s">
        <v>1541</v>
      </c>
      <c r="E31" s="20" t="s">
        <v>1542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30</v>
      </c>
      <c r="K31" s="20" t="s">
        <v>31</v>
      </c>
      <c r="L31" s="20" t="s">
        <v>1529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1543</v>
      </c>
      <c r="D32" s="20" t="s">
        <v>1544</v>
      </c>
      <c r="E32" s="20" t="s">
        <v>1545</v>
      </c>
      <c r="F32" s="21">
        <v>7</v>
      </c>
      <c r="G32" s="21">
        <v>1060</v>
      </c>
      <c r="H32" s="21">
        <v>30</v>
      </c>
      <c r="I32" s="21">
        <f t="shared" si="0"/>
        <v>1030</v>
      </c>
      <c r="J32" s="20" t="s">
        <v>30</v>
      </c>
      <c r="K32" s="20" t="s">
        <v>31</v>
      </c>
      <c r="L32" s="20" t="s">
        <v>1529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1546</v>
      </c>
      <c r="D33" s="20" t="s">
        <v>1547</v>
      </c>
      <c r="E33" s="20" t="s">
        <v>1548</v>
      </c>
      <c r="F33" s="21">
        <v>7</v>
      </c>
      <c r="G33" s="21">
        <v>950</v>
      </c>
      <c r="H33" s="21">
        <v>30</v>
      </c>
      <c r="I33" s="21">
        <f t="shared" si="0"/>
        <v>920</v>
      </c>
      <c r="J33" s="20" t="s">
        <v>30</v>
      </c>
      <c r="K33" s="20" t="s">
        <v>31</v>
      </c>
      <c r="L33" s="20" t="s">
        <v>1529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1559</v>
      </c>
      <c r="D34" s="20" t="s">
        <v>1560</v>
      </c>
      <c r="E34" s="20" t="s">
        <v>1561</v>
      </c>
      <c r="F34" s="21">
        <v>8</v>
      </c>
      <c r="G34" s="21">
        <v>820</v>
      </c>
      <c r="H34" s="21">
        <v>30</v>
      </c>
      <c r="I34" s="21">
        <f t="shared" si="0"/>
        <v>790</v>
      </c>
      <c r="J34" s="20" t="s">
        <v>30</v>
      </c>
      <c r="K34" s="20" t="s">
        <v>31</v>
      </c>
      <c r="L34" s="20" t="s">
        <v>1529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1562</v>
      </c>
      <c r="D35" s="20" t="s">
        <v>1563</v>
      </c>
      <c r="E35" s="20" t="s">
        <v>1564</v>
      </c>
      <c r="F35" s="20" t="s">
        <v>151</v>
      </c>
      <c r="G35" s="21">
        <v>1085</v>
      </c>
      <c r="H35" s="21">
        <v>25</v>
      </c>
      <c r="I35" s="21">
        <f t="shared" si="0"/>
        <v>1060</v>
      </c>
      <c r="J35" s="20" t="s">
        <v>30</v>
      </c>
      <c r="K35" s="20" t="s">
        <v>31</v>
      </c>
      <c r="L35" s="20" t="s">
        <v>1529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1568</v>
      </c>
      <c r="D36" s="20" t="s">
        <v>1569</v>
      </c>
      <c r="E36" s="20" t="s">
        <v>1570</v>
      </c>
      <c r="F36" s="21">
        <v>10</v>
      </c>
      <c r="G36" s="21">
        <v>915</v>
      </c>
      <c r="H36" s="21">
        <v>25</v>
      </c>
      <c r="I36" s="21">
        <f t="shared" si="0"/>
        <v>890</v>
      </c>
      <c r="J36" s="20" t="s">
        <v>30</v>
      </c>
      <c r="K36" s="20" t="s">
        <v>31</v>
      </c>
      <c r="L36" s="20" t="s">
        <v>1529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1580</v>
      </c>
      <c r="D37" s="20" t="s">
        <v>1581</v>
      </c>
      <c r="E37" s="20" t="s">
        <v>1582</v>
      </c>
      <c r="F37" s="21">
        <v>10</v>
      </c>
      <c r="G37" s="21">
        <v>25</v>
      </c>
      <c r="H37" s="21">
        <v>25</v>
      </c>
      <c r="I37" s="21">
        <f t="shared" si="0"/>
        <v>0</v>
      </c>
      <c r="J37" s="20" t="s">
        <v>30</v>
      </c>
      <c r="K37" s="20" t="s">
        <v>31</v>
      </c>
      <c r="L37" s="20" t="s">
        <v>1529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1586</v>
      </c>
      <c r="D38" s="20" t="s">
        <v>1587</v>
      </c>
      <c r="E38" s="20" t="s">
        <v>1588</v>
      </c>
      <c r="F38" s="21">
        <v>10</v>
      </c>
      <c r="G38" s="21">
        <v>1605</v>
      </c>
      <c r="H38" s="21">
        <v>25</v>
      </c>
      <c r="I38" s="21">
        <f t="shared" si="0"/>
        <v>1580</v>
      </c>
      <c r="J38" s="20" t="s">
        <v>30</v>
      </c>
      <c r="K38" s="20" t="s">
        <v>31</v>
      </c>
      <c r="L38" s="20" t="s">
        <v>1529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1595</v>
      </c>
      <c r="D39" s="20" t="s">
        <v>1596</v>
      </c>
      <c r="E39" s="20" t="s">
        <v>1597</v>
      </c>
      <c r="F39" s="21">
        <v>10</v>
      </c>
      <c r="G39" s="21">
        <v>2220</v>
      </c>
      <c r="H39" s="21">
        <v>30</v>
      </c>
      <c r="I39" s="21">
        <f t="shared" si="0"/>
        <v>2190</v>
      </c>
      <c r="J39" s="20" t="s">
        <v>30</v>
      </c>
      <c r="K39" s="20" t="s">
        <v>31</v>
      </c>
      <c r="L39" s="20" t="s">
        <v>1529</v>
      </c>
      <c r="M39" s="23" t="s">
        <v>95</v>
      </c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1604</v>
      </c>
      <c r="D40" s="20" t="s">
        <v>1605</v>
      </c>
      <c r="E40" s="20" t="s">
        <v>1606</v>
      </c>
      <c r="F40" s="20" t="s">
        <v>151</v>
      </c>
      <c r="G40" s="21">
        <v>915</v>
      </c>
      <c r="H40" s="21">
        <v>25</v>
      </c>
      <c r="I40" s="21">
        <f t="shared" si="0"/>
        <v>890</v>
      </c>
      <c r="J40" s="20" t="s">
        <v>30</v>
      </c>
      <c r="K40" s="20" t="s">
        <v>31</v>
      </c>
      <c r="L40" s="20" t="s">
        <v>1529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1625</v>
      </c>
      <c r="D41" s="20" t="s">
        <v>1626</v>
      </c>
      <c r="E41" s="20" t="s">
        <v>1627</v>
      </c>
      <c r="F41" s="21">
        <v>5</v>
      </c>
      <c r="G41" s="21">
        <v>945</v>
      </c>
      <c r="H41" s="21">
        <v>25</v>
      </c>
      <c r="I41" s="21">
        <f t="shared" si="0"/>
        <v>920</v>
      </c>
      <c r="J41" s="20" t="s">
        <v>30</v>
      </c>
      <c r="K41" s="20" t="s">
        <v>31</v>
      </c>
      <c r="L41" s="20" t="s">
        <v>1529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1183</v>
      </c>
      <c r="D42" s="24" t="s">
        <v>1632</v>
      </c>
      <c r="E42" s="24" t="s">
        <v>1633</v>
      </c>
      <c r="F42" s="25">
        <v>3</v>
      </c>
      <c r="G42" s="25">
        <v>0</v>
      </c>
      <c r="H42" s="25">
        <v>25</v>
      </c>
      <c r="I42" s="25">
        <f t="shared" si="0"/>
        <v>-25</v>
      </c>
      <c r="J42" s="24" t="s">
        <v>30</v>
      </c>
      <c r="K42" s="24" t="s">
        <v>31</v>
      </c>
      <c r="L42" s="24" t="s">
        <v>1529</v>
      </c>
      <c r="M42" s="24" t="s">
        <v>84</v>
      </c>
      <c r="N42" s="24"/>
      <c r="O42" s="24"/>
      <c r="P42" s="24"/>
      <c r="Q42" s="24">
        <v>1</v>
      </c>
      <c r="R42" s="34">
        <f>H42</f>
        <v>25</v>
      </c>
    </row>
    <row r="43" spans="1:18" x14ac:dyDescent="0.25">
      <c r="A43" s="20"/>
      <c r="B43" s="20" t="s">
        <v>27</v>
      </c>
      <c r="C43" s="20" t="s">
        <v>1634</v>
      </c>
      <c r="D43" s="20" t="s">
        <v>1635</v>
      </c>
      <c r="E43" s="20" t="s">
        <v>1636</v>
      </c>
      <c r="F43" s="21">
        <v>1</v>
      </c>
      <c r="G43" s="21">
        <v>695</v>
      </c>
      <c r="H43" s="21">
        <v>25</v>
      </c>
      <c r="I43" s="21">
        <f t="shared" si="0"/>
        <v>670</v>
      </c>
      <c r="J43" s="20" t="s">
        <v>30</v>
      </c>
      <c r="K43" s="20" t="s">
        <v>31</v>
      </c>
      <c r="L43" s="20" t="s">
        <v>1529</v>
      </c>
      <c r="M43" s="20"/>
      <c r="N43" s="20"/>
      <c r="O43" s="20"/>
      <c r="P43" s="20"/>
      <c r="Q43" s="20">
        <v>1</v>
      </c>
    </row>
    <row r="45" spans="1:18" x14ac:dyDescent="0.25">
      <c r="D45" s="9">
        <f>COUNTA(D3:D43)</f>
        <v>38</v>
      </c>
      <c r="G45" s="9">
        <f t="shared" ref="G45:Q45" si="4">SUBTOTAL(9,G3:G43)</f>
        <v>35265</v>
      </c>
      <c r="H45" s="9">
        <f t="shared" si="4"/>
        <v>1220</v>
      </c>
      <c r="I45" s="9">
        <f t="shared" si="4"/>
        <v>34045</v>
      </c>
      <c r="J45" s="9">
        <f t="shared" si="4"/>
        <v>0</v>
      </c>
      <c r="K45" s="9">
        <f t="shared" si="4"/>
        <v>0</v>
      </c>
      <c r="L45" s="9">
        <f t="shared" si="4"/>
        <v>0</v>
      </c>
      <c r="M45" s="9">
        <f t="shared" si="4"/>
        <v>0</v>
      </c>
      <c r="N45" s="9">
        <f t="shared" si="4"/>
        <v>0</v>
      </c>
      <c r="O45" s="9">
        <f t="shared" si="4"/>
        <v>0</v>
      </c>
      <c r="P45" s="9">
        <f t="shared" si="4"/>
        <v>0</v>
      </c>
      <c r="Q45" s="9">
        <f t="shared" si="4"/>
        <v>41</v>
      </c>
    </row>
    <row r="46" spans="1:18" x14ac:dyDescent="0.25">
      <c r="H46">
        <f>-1*17</f>
        <v>-17</v>
      </c>
    </row>
    <row r="47" spans="1:18" x14ac:dyDescent="0.25">
      <c r="A47" s="9" t="s">
        <v>27</v>
      </c>
      <c r="C47" s="51" t="s">
        <v>189</v>
      </c>
      <c r="D47" s="51"/>
      <c r="E47" s="10" t="s">
        <v>190</v>
      </c>
      <c r="H47">
        <f>-6*25</f>
        <v>-150</v>
      </c>
      <c r="K47" s="11" t="s">
        <v>30</v>
      </c>
      <c r="L47" s="11" t="s">
        <v>191</v>
      </c>
      <c r="M47" s="11" t="s">
        <v>190</v>
      </c>
      <c r="O47" s="10" t="s">
        <v>192</v>
      </c>
    </row>
    <row r="48" spans="1:18" x14ac:dyDescent="0.25">
      <c r="A48" t="s">
        <v>1529</v>
      </c>
      <c r="B48" s="12" t="s">
        <v>193</v>
      </c>
      <c r="C48" s="52">
        <f>SUMIFS(I$3:I$43,B$3:B$43,A$47,L$3:L$43,A$48)</f>
        <v>34045</v>
      </c>
      <c r="D48" s="52"/>
      <c r="E48" s="12">
        <f>SUMIFS(Q$3:Q$43,B$3:B$43,A$47,L$3:L$43,A$48)</f>
        <v>41</v>
      </c>
      <c r="F48" t="s">
        <v>194</v>
      </c>
      <c r="H48">
        <f>-4*30</f>
        <v>-120</v>
      </c>
      <c r="K48" t="s">
        <v>195</v>
      </c>
      <c r="L48">
        <f>SUMIFS(G$3:G$43,J$3:J$43,K$47)</f>
        <v>14590</v>
      </c>
      <c r="M48">
        <f>SUMIFS(Q$3:Q$43,J$3:J$43,K$47)-INT(COUNTIFS(J$3:J$43,K$47,M$3:M$43,"*gộp*")/2)</f>
        <v>15</v>
      </c>
      <c r="O48" t="s">
        <v>30</v>
      </c>
      <c r="P48">
        <f>L53</f>
        <v>14270</v>
      </c>
    </row>
    <row r="49" spans="2:16" x14ac:dyDescent="0.25">
      <c r="B49" s="13" t="s">
        <v>196</v>
      </c>
      <c r="C49" s="53">
        <v>0</v>
      </c>
      <c r="D49" s="53"/>
      <c r="K49" t="s">
        <v>197</v>
      </c>
      <c r="L49">
        <f>-SUMIFS(H$3:H$43,J$3:J$43,K$47)+M49*5</f>
        <v>-320</v>
      </c>
      <c r="M49">
        <f>SUMIFS(Q$3:Q$43,J$3:J$43,K$47)-INT(COUNTIFS(J$3:J$43,K$47,M$3:M$43,"*gộp*")/2)</f>
        <v>15</v>
      </c>
      <c r="O49" t="s">
        <v>31</v>
      </c>
      <c r="P49">
        <f>L61</f>
        <v>8273</v>
      </c>
    </row>
    <row r="50" spans="2:16" x14ac:dyDescent="0.25">
      <c r="B50" s="13" t="s">
        <v>199</v>
      </c>
      <c r="C50" s="53">
        <f>-SUMIFS(I$3:I$43,B$3:B$43,A$47,P$3:P$43,"xx",N$3:N$43,"x")</f>
        <v>0</v>
      </c>
      <c r="D50" s="53"/>
      <c r="E50" s="13">
        <f>SUMIFS(Q$3:Q$43,B$3:B$43,A$47,P$3:P$43,"xx",N$3:N$43,"x")</f>
        <v>0</v>
      </c>
      <c r="K50" t="s">
        <v>200</v>
      </c>
      <c r="L50">
        <f>-M50*2</f>
        <v>0</v>
      </c>
      <c r="M50">
        <f>COUNTIFS(K$3:K$43,K$47,L$3:L$43,A$48)-(COUNTIFS(K$3:K$43,K$47,M$3:M$43,"*gộp*")/2)-COUNTIFS(K$3:K$43,K$47,M$3:M$43,"*đơn trả*")-COUNTIFS(K$3:K$43,K$47,M$3:M$43,"*hàng tỉnh*")</f>
        <v>0</v>
      </c>
      <c r="O50" t="s">
        <v>1638</v>
      </c>
      <c r="P50">
        <f>L69</f>
        <v>11673</v>
      </c>
    </row>
    <row r="51" spans="2:16" x14ac:dyDescent="0.25">
      <c r="B51" s="10" t="s">
        <v>201</v>
      </c>
      <c r="C51" s="51">
        <f>SUBTOTAL(9,C48:C50)</f>
        <v>34045</v>
      </c>
      <c r="D51" s="51"/>
      <c r="E51">
        <f>E48</f>
        <v>41</v>
      </c>
      <c r="K51" s="14" t="s">
        <v>186</v>
      </c>
      <c r="O51" t="s">
        <v>203</v>
      </c>
      <c r="P51">
        <f>-C55</f>
        <v>-34045</v>
      </c>
    </row>
    <row r="52" spans="2:16" x14ac:dyDescent="0.25">
      <c r="B52" s="13" t="s">
        <v>204</v>
      </c>
      <c r="C52" s="49"/>
      <c r="D52" s="49"/>
      <c r="K52" s="13" t="s">
        <v>205</v>
      </c>
      <c r="O52" s="10" t="s">
        <v>206</v>
      </c>
      <c r="P52" s="10">
        <f>SUBTOTAL(9,P48:P51)</f>
        <v>171</v>
      </c>
    </row>
    <row r="53" spans="2:16" x14ac:dyDescent="0.25">
      <c r="B53" s="15" t="s">
        <v>207</v>
      </c>
      <c r="C53" s="49"/>
      <c r="D53" s="49"/>
      <c r="L53" s="16">
        <f>SUBTOTAL(9,L48:L52)</f>
        <v>14270</v>
      </c>
      <c r="M53" s="16">
        <f>M48</f>
        <v>15</v>
      </c>
    </row>
    <row r="55" spans="2:16" x14ac:dyDescent="0.25">
      <c r="B55" s="9" t="s">
        <v>208</v>
      </c>
      <c r="C55" s="50">
        <f>C51+C52+C53</f>
        <v>34045</v>
      </c>
      <c r="D55" s="50"/>
      <c r="E55" s="9" t="s">
        <v>209</v>
      </c>
      <c r="K55" s="11" t="s">
        <v>31</v>
      </c>
      <c r="L55" s="11" t="s">
        <v>191</v>
      </c>
      <c r="M55" s="11" t="s">
        <v>190</v>
      </c>
    </row>
    <row r="56" spans="2:16" x14ac:dyDescent="0.25">
      <c r="K56" t="s">
        <v>195</v>
      </c>
      <c r="L56">
        <f>SUMIFS(G$3:G$43,J$3:J$43,K$55)</f>
        <v>8715</v>
      </c>
      <c r="M56">
        <f>SUMIFS(Q$3:Q$43,J$3:J$43,K$55)-INT(COUNTIFS(J$3:J$43,K$55,M$3:M$43,"*gộp*")/2)</f>
        <v>15</v>
      </c>
    </row>
    <row r="57" spans="2:16" x14ac:dyDescent="0.25">
      <c r="K57" t="s">
        <v>197</v>
      </c>
      <c r="L57">
        <f>-SUMIFS(H$3:H$43,J$3:J$43,K$55)+M57*5</f>
        <v>-360</v>
      </c>
      <c r="M57">
        <f>SUMIFS(Q$3:Q$43,J$3:J$43,K$55)-INT(COUNTIFS(J$3:J$43,K$55,M$3:M$43,"*gộp*")/2)</f>
        <v>15</v>
      </c>
    </row>
    <row r="58" spans="2:16" x14ac:dyDescent="0.25">
      <c r="K58" t="s">
        <v>200</v>
      </c>
      <c r="L58">
        <f>-M58*2</f>
        <v>-82</v>
      </c>
      <c r="M58">
        <f>COUNTIFS(K$3:K$43,K$55,L$3:L$43,A$48)-(COUNTIFS(K$3:K$43,K$55,M$3:M$43,"*gộp*")/2)-COUNTIFS(K$3:K$43,K$55,M$3:M$43,"*đơn trả*")-COUNTIFS(K$3:K$43,K$55,M$3:M$43,"*hàng tỉnh*")</f>
        <v>41</v>
      </c>
    </row>
    <row r="59" spans="2:16" x14ac:dyDescent="0.25">
      <c r="K59" s="14" t="s">
        <v>186</v>
      </c>
    </row>
    <row r="60" spans="2:16" x14ac:dyDescent="0.25">
      <c r="K60" s="13" t="s">
        <v>205</v>
      </c>
    </row>
    <row r="61" spans="2:16" x14ac:dyDescent="0.25">
      <c r="L61" s="16">
        <f>SUBTOTAL(9,L56:L60)</f>
        <v>8273</v>
      </c>
      <c r="M61" s="16">
        <f>M56</f>
        <v>15</v>
      </c>
    </row>
    <row r="63" spans="2:16" x14ac:dyDescent="0.25">
      <c r="K63" s="11" t="s">
        <v>1535</v>
      </c>
      <c r="L63" s="11" t="s">
        <v>191</v>
      </c>
      <c r="M63" s="11" t="s">
        <v>190</v>
      </c>
    </row>
    <row r="64" spans="2:16" x14ac:dyDescent="0.25">
      <c r="K64" t="s">
        <v>195</v>
      </c>
      <c r="L64">
        <f>SUMIFS(G$3:G$43,J$3:J$43,K$63)</f>
        <v>11960</v>
      </c>
      <c r="M64">
        <f>SUMIFS(Q$3:Q$43,J$3:J$43,K$63)-INT(COUNTIFS(J$3:J$43,K$63,M$3:M$43,"*gộp*")/2)</f>
        <v>11</v>
      </c>
    </row>
    <row r="65" spans="11:13" x14ac:dyDescent="0.25">
      <c r="K65" t="s">
        <v>197</v>
      </c>
      <c r="L65">
        <f>SUM(H46:H48)</f>
        <v>-287</v>
      </c>
      <c r="M65">
        <f>SUMIFS(Q$3:Q$43,J$3:J$43,K$63)-INT(COUNTIFS(J$3:J$43,K$63,M$3:M$43,"*gộp*")/2)</f>
        <v>11</v>
      </c>
    </row>
    <row r="66" spans="11:13" x14ac:dyDescent="0.25">
      <c r="K66" t="s">
        <v>200</v>
      </c>
      <c r="L66">
        <f>-M66*2</f>
        <v>0</v>
      </c>
      <c r="M66">
        <f>COUNTIFS(K$3:K$43,K$63,L$3:L$43,A$48)-(COUNTIFS(K$3:K$43,K$63,M$3:M$43,"*gộp*")/2)-COUNTIFS(K$3:K$43,K$63,M$3:M$43,"*đơn trả*")-COUNTIFS(K$3:K$43,K$63,M$3:M$43,"*hàng tỉnh*")</f>
        <v>0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11673</v>
      </c>
      <c r="M69" s="16">
        <f>M64</f>
        <v>11</v>
      </c>
    </row>
  </sheetData>
  <autoFilter ref="A2:P43" xr:uid="{00000000-0009-0000-0000-000000000000}">
    <sortState xmlns:xlrd2="http://schemas.microsoft.com/office/spreadsheetml/2017/richdata2" ref="A3:P43">
      <sortCondition ref="J2:J43"/>
    </sortState>
  </autoFilter>
  <mergeCells count="8">
    <mergeCell ref="C53:D53"/>
    <mergeCell ref="C55:D55"/>
    <mergeCell ref="C47:D47"/>
    <mergeCell ref="C48:D48"/>
    <mergeCell ref="C49:D49"/>
    <mergeCell ref="C50:D50"/>
    <mergeCell ref="C51:D51"/>
    <mergeCell ref="C52:D52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F3E0C-294F-4625-990D-F6671FFDCF23}">
  <dimension ref="A1:R74"/>
  <sheetViews>
    <sheetView tabSelected="1" zoomScale="90" zoomScaleNormal="90" workbookViewId="0"/>
  </sheetViews>
  <sheetFormatPr defaultRowHeight="15" x14ac:dyDescent="0.25"/>
  <cols>
    <col min="1" max="1" width="12.7109375" customWidth="1"/>
    <col min="2" max="2" width="8.5703125" customWidth="1"/>
    <col min="3" max="3" width="34.7109375" customWidth="1"/>
    <col min="4" max="4" width="9.85546875" customWidth="1"/>
    <col min="5" max="5" width="11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4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357</v>
      </c>
      <c r="C1" s="17" t="s">
        <v>1749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  <c r="R2" s="20"/>
    </row>
    <row r="3" spans="1:18" x14ac:dyDescent="0.25">
      <c r="A3" s="20"/>
      <c r="B3" s="20" t="s">
        <v>27</v>
      </c>
      <c r="C3" s="20" t="s">
        <v>1643</v>
      </c>
      <c r="D3" s="20" t="s">
        <v>1644</v>
      </c>
      <c r="E3" s="20" t="s">
        <v>1645</v>
      </c>
      <c r="F3" s="20" t="s">
        <v>121</v>
      </c>
      <c r="G3" s="21">
        <v>3850</v>
      </c>
      <c r="H3" s="21">
        <v>45</v>
      </c>
      <c r="I3" s="21">
        <f>G3-H3</f>
        <v>3805</v>
      </c>
      <c r="J3" s="20" t="s">
        <v>1646</v>
      </c>
      <c r="K3" s="20" t="s">
        <v>31</v>
      </c>
      <c r="L3" s="20" t="s">
        <v>1642</v>
      </c>
      <c r="M3" s="23" t="s">
        <v>95</v>
      </c>
      <c r="N3" s="20"/>
      <c r="O3" s="20"/>
      <c r="P3" s="20"/>
      <c r="Q3" s="20">
        <v>1</v>
      </c>
      <c r="R3" s="21">
        <f>H3</f>
        <v>45</v>
      </c>
    </row>
    <row r="4" spans="1:18" x14ac:dyDescent="0.25">
      <c r="A4" s="20"/>
      <c r="B4" s="20" t="s">
        <v>27</v>
      </c>
      <c r="C4" s="20" t="s">
        <v>1653</v>
      </c>
      <c r="D4" s="20" t="s">
        <v>1654</v>
      </c>
      <c r="E4" s="20" t="s">
        <v>1655</v>
      </c>
      <c r="F4" s="21">
        <v>9</v>
      </c>
      <c r="G4" s="21">
        <v>820</v>
      </c>
      <c r="H4" s="21">
        <v>30</v>
      </c>
      <c r="I4" s="21">
        <f>G4-H4</f>
        <v>790</v>
      </c>
      <c r="J4" s="20" t="s">
        <v>1646</v>
      </c>
      <c r="K4" s="20" t="s">
        <v>31</v>
      </c>
      <c r="L4" s="20" t="s">
        <v>1642</v>
      </c>
      <c r="M4" s="20"/>
      <c r="N4" s="20"/>
      <c r="O4" s="20"/>
      <c r="P4" s="20"/>
      <c r="Q4" s="20">
        <v>1</v>
      </c>
      <c r="R4" s="20"/>
    </row>
    <row r="5" spans="1:18" x14ac:dyDescent="0.25">
      <c r="A5" s="20"/>
      <c r="B5" s="20" t="s">
        <v>27</v>
      </c>
      <c r="C5" s="20" t="s">
        <v>1660</v>
      </c>
      <c r="D5" s="20" t="s">
        <v>1661</v>
      </c>
      <c r="E5" s="20" t="s">
        <v>1662</v>
      </c>
      <c r="F5" s="21">
        <v>8</v>
      </c>
      <c r="G5" s="21">
        <v>950</v>
      </c>
      <c r="H5" s="21">
        <v>30</v>
      </c>
      <c r="I5" s="21">
        <f>G5-H5</f>
        <v>920</v>
      </c>
      <c r="J5" s="20" t="s">
        <v>1646</v>
      </c>
      <c r="K5" s="20" t="s">
        <v>31</v>
      </c>
      <c r="L5" s="20" t="s">
        <v>1642</v>
      </c>
      <c r="M5" s="20"/>
      <c r="N5" s="20"/>
      <c r="O5" s="20"/>
      <c r="P5" s="20"/>
      <c r="Q5" s="20">
        <v>1</v>
      </c>
      <c r="R5" s="20"/>
    </row>
    <row r="6" spans="1:18" x14ac:dyDescent="0.25">
      <c r="A6" s="20"/>
      <c r="B6" s="20" t="s">
        <v>27</v>
      </c>
      <c r="C6" s="20" t="s">
        <v>1668</v>
      </c>
      <c r="D6" s="20" t="s">
        <v>1669</v>
      </c>
      <c r="E6" s="20" t="s">
        <v>1670</v>
      </c>
      <c r="F6" s="21">
        <v>11</v>
      </c>
      <c r="G6" s="21">
        <v>1575</v>
      </c>
      <c r="H6" s="21">
        <v>25</v>
      </c>
      <c r="I6" s="21">
        <f>G6-H6</f>
        <v>1550</v>
      </c>
      <c r="J6" s="20" t="s">
        <v>1646</v>
      </c>
      <c r="K6" s="20" t="s">
        <v>31</v>
      </c>
      <c r="L6" s="20" t="s">
        <v>1642</v>
      </c>
      <c r="M6" s="20"/>
      <c r="N6" s="20"/>
      <c r="O6" s="20"/>
      <c r="P6" s="20"/>
      <c r="Q6" s="20">
        <v>1</v>
      </c>
      <c r="R6" s="20"/>
    </row>
    <row r="7" spans="1:18" x14ac:dyDescent="0.25">
      <c r="A7" s="20"/>
      <c r="B7" s="20" t="s">
        <v>27</v>
      </c>
      <c r="C7" s="20" t="s">
        <v>1677</v>
      </c>
      <c r="D7" s="20" t="s">
        <v>1678</v>
      </c>
      <c r="E7" s="20" t="s">
        <v>1679</v>
      </c>
      <c r="F7" s="20" t="s">
        <v>35</v>
      </c>
      <c r="G7" s="21">
        <v>790</v>
      </c>
      <c r="H7" s="21">
        <v>30</v>
      </c>
      <c r="I7" s="21">
        <f>G7-H7</f>
        <v>760</v>
      </c>
      <c r="J7" s="20" t="s">
        <v>1646</v>
      </c>
      <c r="K7" s="20" t="s">
        <v>31</v>
      </c>
      <c r="L7" s="20" t="s">
        <v>1642</v>
      </c>
      <c r="M7" s="20"/>
      <c r="N7" s="20"/>
      <c r="O7" s="20"/>
      <c r="P7" s="20"/>
      <c r="Q7" s="20">
        <v>1</v>
      </c>
      <c r="R7" s="20"/>
    </row>
    <row r="8" spans="1:18" x14ac:dyDescent="0.25">
      <c r="A8" s="20"/>
      <c r="B8" s="20" t="s">
        <v>27</v>
      </c>
      <c r="C8" s="20" t="s">
        <v>1682</v>
      </c>
      <c r="D8" s="20" t="s">
        <v>1683</v>
      </c>
      <c r="E8" s="20" t="s">
        <v>1684</v>
      </c>
      <c r="F8" s="20" t="s">
        <v>35</v>
      </c>
      <c r="G8" s="21">
        <v>1110</v>
      </c>
      <c r="H8" s="21">
        <v>30</v>
      </c>
      <c r="I8" s="21">
        <f>G8-H8</f>
        <v>1080</v>
      </c>
      <c r="J8" s="20" t="s">
        <v>1646</v>
      </c>
      <c r="K8" s="20" t="s">
        <v>31</v>
      </c>
      <c r="L8" s="20" t="s">
        <v>1642</v>
      </c>
      <c r="M8" s="20"/>
      <c r="N8" s="20"/>
      <c r="O8" s="20"/>
      <c r="P8" s="20"/>
      <c r="Q8" s="20">
        <v>1</v>
      </c>
      <c r="R8" s="20"/>
    </row>
    <row r="9" spans="1:18" x14ac:dyDescent="0.25">
      <c r="A9" s="20"/>
      <c r="B9" s="20" t="s">
        <v>27</v>
      </c>
      <c r="C9" s="20" t="s">
        <v>1702</v>
      </c>
      <c r="D9" s="20" t="s">
        <v>1703</v>
      </c>
      <c r="E9" s="20" t="s">
        <v>1704</v>
      </c>
      <c r="F9" s="20" t="s">
        <v>121</v>
      </c>
      <c r="G9" s="21">
        <v>905</v>
      </c>
      <c r="H9" s="21">
        <v>35</v>
      </c>
      <c r="I9" s="21">
        <f>G9-H9</f>
        <v>870</v>
      </c>
      <c r="J9" s="20" t="s">
        <v>1646</v>
      </c>
      <c r="K9" s="20" t="s">
        <v>31</v>
      </c>
      <c r="L9" s="20" t="s">
        <v>1642</v>
      </c>
      <c r="M9" s="20"/>
      <c r="N9" s="20"/>
      <c r="O9" s="20"/>
      <c r="P9" s="20"/>
      <c r="Q9" s="20">
        <v>1</v>
      </c>
      <c r="R9" s="20"/>
    </row>
    <row r="10" spans="1:18" x14ac:dyDescent="0.25">
      <c r="A10" s="20"/>
      <c r="B10" s="20" t="s">
        <v>27</v>
      </c>
      <c r="C10" s="20" t="s">
        <v>1705</v>
      </c>
      <c r="D10" s="20" t="s">
        <v>1706</v>
      </c>
      <c r="E10" s="20" t="s">
        <v>1707</v>
      </c>
      <c r="F10" s="20" t="s">
        <v>121</v>
      </c>
      <c r="G10" s="21">
        <v>0</v>
      </c>
      <c r="H10" s="21">
        <v>35</v>
      </c>
      <c r="I10" s="21">
        <f>G10-H10</f>
        <v>-35</v>
      </c>
      <c r="J10" s="20" t="s">
        <v>1646</v>
      </c>
      <c r="K10" s="20" t="s">
        <v>31</v>
      </c>
      <c r="L10" s="20" t="s">
        <v>1642</v>
      </c>
      <c r="M10" s="20"/>
      <c r="N10" s="20"/>
      <c r="O10" s="20"/>
      <c r="P10" s="20"/>
      <c r="Q10" s="20">
        <v>1</v>
      </c>
      <c r="R10" s="21">
        <f t="shared" ref="R10:R11" si="0">H10</f>
        <v>35</v>
      </c>
    </row>
    <row r="11" spans="1:18" x14ac:dyDescent="0.25">
      <c r="A11" s="20"/>
      <c r="B11" s="20" t="s">
        <v>27</v>
      </c>
      <c r="C11" s="20" t="s">
        <v>1708</v>
      </c>
      <c r="D11" s="20" t="s">
        <v>1709</v>
      </c>
      <c r="E11" s="20" t="s">
        <v>1710</v>
      </c>
      <c r="F11" s="20" t="s">
        <v>35</v>
      </c>
      <c r="G11" s="21">
        <v>0</v>
      </c>
      <c r="H11" s="21">
        <v>30</v>
      </c>
      <c r="I11" s="21">
        <f>G11-H11</f>
        <v>-30</v>
      </c>
      <c r="J11" s="20" t="s">
        <v>1646</v>
      </c>
      <c r="K11" s="20" t="s">
        <v>31</v>
      </c>
      <c r="L11" s="20" t="s">
        <v>1642</v>
      </c>
      <c r="M11" s="20"/>
      <c r="N11" s="20"/>
      <c r="O11" s="20"/>
      <c r="P11" s="20"/>
      <c r="Q11" s="20">
        <v>1</v>
      </c>
      <c r="R11" s="21">
        <f t="shared" si="0"/>
        <v>30</v>
      </c>
    </row>
    <row r="12" spans="1:18" x14ac:dyDescent="0.25">
      <c r="A12" s="20"/>
      <c r="B12" s="20" t="s">
        <v>27</v>
      </c>
      <c r="C12" s="20" t="s">
        <v>1717</v>
      </c>
      <c r="D12" s="20" t="s">
        <v>1718</v>
      </c>
      <c r="E12" s="20" t="s">
        <v>1719</v>
      </c>
      <c r="F12" s="21">
        <v>9</v>
      </c>
      <c r="G12" s="21">
        <v>460</v>
      </c>
      <c r="H12" s="21">
        <v>30</v>
      </c>
      <c r="I12" s="21">
        <f>G12-H12</f>
        <v>430</v>
      </c>
      <c r="J12" s="20" t="s">
        <v>1646</v>
      </c>
      <c r="K12" s="20" t="s">
        <v>31</v>
      </c>
      <c r="L12" s="20" t="s">
        <v>1642</v>
      </c>
      <c r="M12" s="20"/>
      <c r="N12" s="20"/>
      <c r="O12" s="20"/>
      <c r="P12" s="20"/>
      <c r="Q12" s="20">
        <v>1</v>
      </c>
      <c r="R12" s="20"/>
    </row>
    <row r="13" spans="1:18" s="26" customFormat="1" x14ac:dyDescent="0.25">
      <c r="A13" s="24"/>
      <c r="B13" s="24" t="s">
        <v>27</v>
      </c>
      <c r="C13" s="24" t="s">
        <v>1180</v>
      </c>
      <c r="D13" s="24" t="s">
        <v>1720</v>
      </c>
      <c r="E13" s="24" t="s">
        <v>1721</v>
      </c>
      <c r="F13" s="25">
        <v>8</v>
      </c>
      <c r="G13" s="25">
        <v>170</v>
      </c>
      <c r="H13" s="25">
        <v>30</v>
      </c>
      <c r="I13" s="25">
        <f>G13-H13</f>
        <v>140</v>
      </c>
      <c r="J13" s="24" t="s">
        <v>1646</v>
      </c>
      <c r="K13" s="24" t="s">
        <v>31</v>
      </c>
      <c r="L13" s="24" t="s">
        <v>1642</v>
      </c>
      <c r="M13" s="24" t="s">
        <v>84</v>
      </c>
      <c r="N13" s="24"/>
      <c r="O13" s="24"/>
      <c r="P13" s="24"/>
      <c r="Q13" s="24">
        <v>1</v>
      </c>
      <c r="R13" s="24"/>
    </row>
    <row r="14" spans="1:18" x14ac:dyDescent="0.25">
      <c r="A14" s="20" t="s">
        <v>26</v>
      </c>
      <c r="B14" s="20" t="s">
        <v>27</v>
      </c>
      <c r="C14" s="20" t="s">
        <v>668</v>
      </c>
      <c r="D14" s="20"/>
      <c r="E14" s="20" t="s">
        <v>669</v>
      </c>
      <c r="F14" s="20" t="s">
        <v>35</v>
      </c>
      <c r="G14" s="21">
        <v>2140</v>
      </c>
      <c r="H14" s="21">
        <v>40</v>
      </c>
      <c r="I14" s="21">
        <f>G14-H14</f>
        <v>2100</v>
      </c>
      <c r="J14" s="20" t="s">
        <v>1646</v>
      </c>
      <c r="K14" s="20" t="s">
        <v>31</v>
      </c>
      <c r="L14" s="20" t="s">
        <v>1642</v>
      </c>
      <c r="M14" s="20"/>
      <c r="N14" s="20"/>
      <c r="O14" s="20"/>
      <c r="P14" s="20"/>
      <c r="Q14" s="20">
        <v>1</v>
      </c>
      <c r="R14" s="20"/>
    </row>
    <row r="15" spans="1:18" x14ac:dyDescent="0.25">
      <c r="A15" s="20" t="s">
        <v>26</v>
      </c>
      <c r="B15" s="20" t="s">
        <v>27</v>
      </c>
      <c r="C15" s="20" t="s">
        <v>350</v>
      </c>
      <c r="D15" s="20"/>
      <c r="E15" s="20" t="s">
        <v>351</v>
      </c>
      <c r="F15" s="20" t="s">
        <v>35</v>
      </c>
      <c r="G15" s="21">
        <v>0</v>
      </c>
      <c r="H15" s="21">
        <v>35</v>
      </c>
      <c r="I15" s="21">
        <f>G15-H15</f>
        <v>-35</v>
      </c>
      <c r="J15" s="20" t="s">
        <v>1646</v>
      </c>
      <c r="K15" s="20" t="s">
        <v>31</v>
      </c>
      <c r="L15" s="20" t="s">
        <v>1642</v>
      </c>
      <c r="M15" s="20"/>
      <c r="N15" s="20"/>
      <c r="O15" s="20"/>
      <c r="P15" s="20"/>
      <c r="Q15" s="20">
        <v>1</v>
      </c>
      <c r="R15" s="21">
        <f t="shared" ref="R15:R19" si="1">H15</f>
        <v>35</v>
      </c>
    </row>
    <row r="16" spans="1:18" x14ac:dyDescent="0.25">
      <c r="A16" s="20" t="s">
        <v>26</v>
      </c>
      <c r="B16" s="20" t="s">
        <v>27</v>
      </c>
      <c r="C16" s="20" t="s">
        <v>1740</v>
      </c>
      <c r="D16" s="20"/>
      <c r="E16" s="20" t="s">
        <v>1741</v>
      </c>
      <c r="F16" s="20" t="s">
        <v>35</v>
      </c>
      <c r="G16" s="21">
        <v>0</v>
      </c>
      <c r="H16" s="21">
        <v>35</v>
      </c>
      <c r="I16" s="21">
        <f>G16-H16</f>
        <v>-35</v>
      </c>
      <c r="J16" s="20" t="s">
        <v>1646</v>
      </c>
      <c r="K16" s="20" t="s">
        <v>31</v>
      </c>
      <c r="L16" s="20" t="s">
        <v>1642</v>
      </c>
      <c r="M16" s="20"/>
      <c r="N16" s="20"/>
      <c r="O16" s="20"/>
      <c r="P16" s="20"/>
      <c r="Q16" s="20">
        <v>1</v>
      </c>
      <c r="R16" s="21">
        <f t="shared" si="1"/>
        <v>35</v>
      </c>
    </row>
    <row r="17" spans="1:18" x14ac:dyDescent="0.25">
      <c r="A17" s="20" t="s">
        <v>26</v>
      </c>
      <c r="B17" s="20" t="s">
        <v>27</v>
      </c>
      <c r="C17" s="20" t="s">
        <v>1742</v>
      </c>
      <c r="D17" s="20"/>
      <c r="E17" s="20" t="s">
        <v>1743</v>
      </c>
      <c r="F17" s="20" t="s">
        <v>35</v>
      </c>
      <c r="G17" s="21">
        <v>0</v>
      </c>
      <c r="H17" s="21">
        <v>35</v>
      </c>
      <c r="I17" s="21">
        <f>G17-H17</f>
        <v>-35</v>
      </c>
      <c r="J17" s="20" t="s">
        <v>1646</v>
      </c>
      <c r="K17" s="20" t="s">
        <v>31</v>
      </c>
      <c r="L17" s="20" t="s">
        <v>1642</v>
      </c>
      <c r="M17" s="20"/>
      <c r="N17" s="20"/>
      <c r="O17" s="20"/>
      <c r="P17" s="20"/>
      <c r="Q17" s="20">
        <v>1</v>
      </c>
      <c r="R17" s="21">
        <f t="shared" si="1"/>
        <v>35</v>
      </c>
    </row>
    <row r="18" spans="1:18" s="26" customFormat="1" x14ac:dyDescent="0.25">
      <c r="A18" s="24" t="s">
        <v>26</v>
      </c>
      <c r="B18" s="24" t="s">
        <v>27</v>
      </c>
      <c r="C18" s="24" t="s">
        <v>1640</v>
      </c>
      <c r="D18" s="24"/>
      <c r="E18" s="24" t="s">
        <v>1641</v>
      </c>
      <c r="F18" s="24" t="s">
        <v>77</v>
      </c>
      <c r="G18" s="25">
        <v>0</v>
      </c>
      <c r="H18" s="25">
        <v>20</v>
      </c>
      <c r="I18" s="25">
        <f>G18-H18</f>
        <v>-20</v>
      </c>
      <c r="J18" s="24" t="s">
        <v>31</v>
      </c>
      <c r="K18" s="24" t="s">
        <v>31</v>
      </c>
      <c r="L18" s="24" t="s">
        <v>1642</v>
      </c>
      <c r="M18" s="24" t="s">
        <v>84</v>
      </c>
      <c r="N18" s="24"/>
      <c r="O18" s="24"/>
      <c r="P18" s="24"/>
      <c r="Q18" s="24">
        <v>1</v>
      </c>
      <c r="R18" s="25">
        <f t="shared" si="1"/>
        <v>20</v>
      </c>
    </row>
    <row r="19" spans="1:18" x14ac:dyDescent="0.25">
      <c r="A19" s="20"/>
      <c r="B19" s="20" t="s">
        <v>27</v>
      </c>
      <c r="C19" s="20" t="s">
        <v>1647</v>
      </c>
      <c r="D19" s="20" t="s">
        <v>1648</v>
      </c>
      <c r="E19" s="20" t="s">
        <v>1649</v>
      </c>
      <c r="F19" s="21">
        <v>12</v>
      </c>
      <c r="G19" s="21">
        <v>0</v>
      </c>
      <c r="H19" s="21">
        <v>30</v>
      </c>
      <c r="I19" s="21">
        <f>G19-H19</f>
        <v>-30</v>
      </c>
      <c r="J19" s="20" t="s">
        <v>31</v>
      </c>
      <c r="K19" s="20" t="s">
        <v>31</v>
      </c>
      <c r="L19" s="20" t="s">
        <v>1642</v>
      </c>
      <c r="M19" s="20"/>
      <c r="N19" s="20"/>
      <c r="O19" s="20"/>
      <c r="P19" s="20"/>
      <c r="Q19" s="20">
        <v>1</v>
      </c>
      <c r="R19" s="21">
        <f t="shared" si="1"/>
        <v>30</v>
      </c>
    </row>
    <row r="20" spans="1:18" x14ac:dyDescent="0.25">
      <c r="A20" s="20"/>
      <c r="B20" s="20" t="s">
        <v>27</v>
      </c>
      <c r="C20" s="20" t="s">
        <v>1650</v>
      </c>
      <c r="D20" s="20" t="s">
        <v>1651</v>
      </c>
      <c r="E20" s="20" t="s">
        <v>1652</v>
      </c>
      <c r="F20" s="21">
        <v>2</v>
      </c>
      <c r="G20" s="21">
        <v>1070</v>
      </c>
      <c r="H20" s="21">
        <v>30</v>
      </c>
      <c r="I20" s="21">
        <f>G20-H20</f>
        <v>1040</v>
      </c>
      <c r="J20" s="20" t="s">
        <v>31</v>
      </c>
      <c r="K20" s="20" t="s">
        <v>31</v>
      </c>
      <c r="L20" s="20" t="s">
        <v>1642</v>
      </c>
      <c r="M20" s="20"/>
      <c r="N20" s="20"/>
      <c r="O20" s="20"/>
      <c r="P20" s="20"/>
      <c r="Q20" s="20">
        <v>1</v>
      </c>
      <c r="R20" s="20"/>
    </row>
    <row r="21" spans="1:18" x14ac:dyDescent="0.25">
      <c r="A21" s="20"/>
      <c r="B21" s="20" t="s">
        <v>27</v>
      </c>
      <c r="C21" s="20" t="s">
        <v>436</v>
      </c>
      <c r="D21" s="20" t="s">
        <v>1659</v>
      </c>
      <c r="E21" s="20" t="s">
        <v>438</v>
      </c>
      <c r="F21" s="20" t="s">
        <v>88</v>
      </c>
      <c r="G21" s="21">
        <v>0</v>
      </c>
      <c r="H21" s="21">
        <v>30</v>
      </c>
      <c r="I21" s="21">
        <f>G21-H21</f>
        <v>-30</v>
      </c>
      <c r="J21" s="20" t="s">
        <v>31</v>
      </c>
      <c r="K21" s="20" t="s">
        <v>31</v>
      </c>
      <c r="L21" s="20" t="s">
        <v>1642</v>
      </c>
      <c r="M21" s="20"/>
      <c r="N21" s="20"/>
      <c r="O21" s="20"/>
      <c r="P21" s="20"/>
      <c r="Q21" s="20">
        <v>1</v>
      </c>
      <c r="R21" s="21">
        <f>H21</f>
        <v>30</v>
      </c>
    </row>
    <row r="22" spans="1:18" x14ac:dyDescent="0.25">
      <c r="A22" s="20"/>
      <c r="B22" s="20" t="s">
        <v>27</v>
      </c>
      <c r="C22" s="20" t="s">
        <v>1663</v>
      </c>
      <c r="D22" s="20" t="s">
        <v>1664</v>
      </c>
      <c r="E22" s="20" t="s">
        <v>1665</v>
      </c>
      <c r="F22" s="21">
        <v>2</v>
      </c>
      <c r="G22" s="21">
        <v>720</v>
      </c>
      <c r="H22" s="21">
        <v>30</v>
      </c>
      <c r="I22" s="21">
        <f>G22-H22</f>
        <v>690</v>
      </c>
      <c r="J22" s="20" t="s">
        <v>31</v>
      </c>
      <c r="K22" s="20" t="s">
        <v>31</v>
      </c>
      <c r="L22" s="20" t="s">
        <v>1642</v>
      </c>
      <c r="M22" s="20"/>
      <c r="N22" s="20"/>
      <c r="O22" s="20"/>
      <c r="P22" s="20"/>
      <c r="Q22" s="20">
        <v>1</v>
      </c>
      <c r="R22" s="20"/>
    </row>
    <row r="23" spans="1:18" x14ac:dyDescent="0.25">
      <c r="A23" s="20"/>
      <c r="B23" s="20" t="s">
        <v>27</v>
      </c>
      <c r="C23" s="20" t="s">
        <v>1510</v>
      </c>
      <c r="D23" s="20" t="s">
        <v>1685</v>
      </c>
      <c r="E23" s="20" t="s">
        <v>1495</v>
      </c>
      <c r="F23" s="20" t="s">
        <v>77</v>
      </c>
      <c r="G23" s="21">
        <v>1210</v>
      </c>
      <c r="H23" s="21">
        <v>20</v>
      </c>
      <c r="I23" s="21">
        <f>G23-H23</f>
        <v>1190</v>
      </c>
      <c r="J23" s="20" t="s">
        <v>31</v>
      </c>
      <c r="K23" s="20" t="s">
        <v>31</v>
      </c>
      <c r="L23" s="20" t="s">
        <v>1642</v>
      </c>
      <c r="M23" s="20"/>
      <c r="N23" s="20"/>
      <c r="O23" s="20"/>
      <c r="P23" s="20"/>
      <c r="Q23" s="20">
        <v>1</v>
      </c>
      <c r="R23" s="20"/>
    </row>
    <row r="24" spans="1:18" x14ac:dyDescent="0.25">
      <c r="A24" s="20"/>
      <c r="B24" s="20" t="s">
        <v>27</v>
      </c>
      <c r="C24" s="20" t="s">
        <v>1699</v>
      </c>
      <c r="D24" s="20" t="s">
        <v>1700</v>
      </c>
      <c r="E24" s="20" t="s">
        <v>1701</v>
      </c>
      <c r="F24" s="21">
        <v>2</v>
      </c>
      <c r="G24" s="21">
        <v>920</v>
      </c>
      <c r="H24" s="21">
        <v>30</v>
      </c>
      <c r="I24" s="21">
        <f>G24-H24</f>
        <v>890</v>
      </c>
      <c r="J24" s="20" t="s">
        <v>31</v>
      </c>
      <c r="K24" s="20" t="s">
        <v>31</v>
      </c>
      <c r="L24" s="20" t="s">
        <v>1642</v>
      </c>
      <c r="M24" s="23" t="s">
        <v>374</v>
      </c>
      <c r="N24" s="20"/>
      <c r="O24" s="20"/>
      <c r="P24" s="20"/>
      <c r="Q24" s="20">
        <v>1</v>
      </c>
      <c r="R24" s="20"/>
    </row>
    <row r="25" spans="1:18" x14ac:dyDescent="0.25">
      <c r="A25" s="20"/>
      <c r="B25" s="20" t="s">
        <v>27</v>
      </c>
      <c r="C25" s="20" t="s">
        <v>1699</v>
      </c>
      <c r="D25" s="20" t="s">
        <v>1735</v>
      </c>
      <c r="E25" s="20" t="s">
        <v>1701</v>
      </c>
      <c r="F25" s="21">
        <v>2</v>
      </c>
      <c r="G25" s="21">
        <v>960</v>
      </c>
      <c r="H25" s="21">
        <v>0</v>
      </c>
      <c r="I25" s="21">
        <f>G25-H25</f>
        <v>960</v>
      </c>
      <c r="J25" s="20" t="s">
        <v>31</v>
      </c>
      <c r="K25" s="20" t="s">
        <v>31</v>
      </c>
      <c r="L25" s="20" t="s">
        <v>1642</v>
      </c>
      <c r="M25" s="23" t="s">
        <v>374</v>
      </c>
      <c r="N25" s="20"/>
      <c r="O25" s="20"/>
      <c r="P25" s="20"/>
      <c r="Q25" s="20">
        <v>1</v>
      </c>
      <c r="R25" s="20"/>
    </row>
    <row r="26" spans="1:18" x14ac:dyDescent="0.25">
      <c r="A26" s="20"/>
      <c r="B26" s="20" t="s">
        <v>27</v>
      </c>
      <c r="C26" s="20" t="s">
        <v>1711</v>
      </c>
      <c r="D26" s="20" t="s">
        <v>1712</v>
      </c>
      <c r="E26" s="20" t="s">
        <v>1713</v>
      </c>
      <c r="F26" s="20" t="s">
        <v>77</v>
      </c>
      <c r="G26" s="21">
        <v>510</v>
      </c>
      <c r="H26" s="21">
        <v>20</v>
      </c>
      <c r="I26" s="21">
        <f>G26-H26</f>
        <v>490</v>
      </c>
      <c r="J26" s="20" t="s">
        <v>31</v>
      </c>
      <c r="K26" s="20" t="s">
        <v>31</v>
      </c>
      <c r="L26" s="20" t="s">
        <v>1642</v>
      </c>
      <c r="M26" s="20"/>
      <c r="N26" s="20"/>
      <c r="O26" s="20"/>
      <c r="P26" s="20"/>
      <c r="Q26" s="20">
        <v>1</v>
      </c>
      <c r="R26" s="20"/>
    </row>
    <row r="27" spans="1:18" s="26" customFormat="1" x14ac:dyDescent="0.25">
      <c r="A27" s="24"/>
      <c r="B27" s="24" t="s">
        <v>27</v>
      </c>
      <c r="C27" s="24" t="s">
        <v>1725</v>
      </c>
      <c r="D27" s="24" t="s">
        <v>1726</v>
      </c>
      <c r="E27" s="24" t="s">
        <v>1727</v>
      </c>
      <c r="F27" s="24" t="s">
        <v>39</v>
      </c>
      <c r="G27" s="25">
        <v>25</v>
      </c>
      <c r="H27" s="25">
        <v>25</v>
      </c>
      <c r="I27" s="25">
        <f>G27-H27</f>
        <v>0</v>
      </c>
      <c r="J27" s="24" t="s">
        <v>31</v>
      </c>
      <c r="K27" s="24" t="s">
        <v>31</v>
      </c>
      <c r="L27" s="24" t="s">
        <v>1642</v>
      </c>
      <c r="M27" s="24" t="s">
        <v>84</v>
      </c>
      <c r="N27" s="24"/>
      <c r="O27" s="24"/>
      <c r="P27" s="24"/>
      <c r="Q27" s="24">
        <v>1</v>
      </c>
      <c r="R27" s="24"/>
    </row>
    <row r="28" spans="1:18" x14ac:dyDescent="0.25">
      <c r="A28" s="20"/>
      <c r="B28" s="20" t="s">
        <v>27</v>
      </c>
      <c r="C28" s="20" t="s">
        <v>1729</v>
      </c>
      <c r="D28" s="20" t="s">
        <v>1730</v>
      </c>
      <c r="E28" s="20" t="s">
        <v>1731</v>
      </c>
      <c r="F28" s="21">
        <v>2</v>
      </c>
      <c r="G28" s="21">
        <v>1090</v>
      </c>
      <c r="H28" s="21">
        <v>30</v>
      </c>
      <c r="I28" s="21">
        <f>G28-H28</f>
        <v>1060</v>
      </c>
      <c r="J28" s="20" t="s">
        <v>31</v>
      </c>
      <c r="K28" s="20" t="s">
        <v>31</v>
      </c>
      <c r="L28" s="20" t="s">
        <v>1642</v>
      </c>
      <c r="M28" s="20"/>
      <c r="N28" s="20"/>
      <c r="O28" s="20"/>
      <c r="P28" s="20"/>
      <c r="Q28" s="20">
        <v>1</v>
      </c>
      <c r="R28" s="20"/>
    </row>
    <row r="29" spans="1:18" x14ac:dyDescent="0.25">
      <c r="A29" s="20"/>
      <c r="B29" s="20" t="s">
        <v>27</v>
      </c>
      <c r="C29" s="20" t="s">
        <v>1732</v>
      </c>
      <c r="D29" s="20" t="s">
        <v>1733</v>
      </c>
      <c r="E29" s="20" t="s">
        <v>1734</v>
      </c>
      <c r="F29" s="20" t="s">
        <v>77</v>
      </c>
      <c r="G29" s="21">
        <v>950</v>
      </c>
      <c r="H29" s="21">
        <v>20</v>
      </c>
      <c r="I29" s="21">
        <f>G29-H29</f>
        <v>930</v>
      </c>
      <c r="J29" s="20" t="s">
        <v>31</v>
      </c>
      <c r="K29" s="20" t="s">
        <v>31</v>
      </c>
      <c r="L29" s="20" t="s">
        <v>1642</v>
      </c>
      <c r="M29" s="20"/>
      <c r="N29" s="20"/>
      <c r="O29" s="20"/>
      <c r="P29" s="20"/>
      <c r="Q29" s="20">
        <v>1</v>
      </c>
      <c r="R29" s="20"/>
    </row>
    <row r="30" spans="1:18" x14ac:dyDescent="0.25">
      <c r="A30" s="20" t="s">
        <v>26</v>
      </c>
      <c r="B30" s="20" t="s">
        <v>27</v>
      </c>
      <c r="C30" s="20" t="s">
        <v>1736</v>
      </c>
      <c r="D30" s="20"/>
      <c r="E30" s="20" t="s">
        <v>1737</v>
      </c>
      <c r="F30" s="20" t="s">
        <v>42</v>
      </c>
      <c r="G30" s="21">
        <v>0</v>
      </c>
      <c r="H30" s="21">
        <v>70</v>
      </c>
      <c r="I30" s="21">
        <f>G30-H30</f>
        <v>-70</v>
      </c>
      <c r="J30" s="20" t="s">
        <v>31</v>
      </c>
      <c r="K30" s="20" t="s">
        <v>31</v>
      </c>
      <c r="L30" s="20" t="s">
        <v>1642</v>
      </c>
      <c r="M30" s="20"/>
      <c r="N30" s="20"/>
      <c r="O30" s="20"/>
      <c r="P30" s="20"/>
      <c r="Q30" s="20">
        <v>1</v>
      </c>
      <c r="R30" s="21">
        <f t="shared" ref="R30:R33" si="2">H30</f>
        <v>70</v>
      </c>
    </row>
    <row r="31" spans="1:18" x14ac:dyDescent="0.25">
      <c r="A31" s="20" t="s">
        <v>26</v>
      </c>
      <c r="B31" s="20" t="s">
        <v>27</v>
      </c>
      <c r="C31" s="20" t="s">
        <v>178</v>
      </c>
      <c r="D31" s="20"/>
      <c r="E31" s="20" t="s">
        <v>80</v>
      </c>
      <c r="F31" s="21">
        <v>12</v>
      </c>
      <c r="G31" s="21">
        <v>0</v>
      </c>
      <c r="H31" s="21">
        <v>35</v>
      </c>
      <c r="I31" s="21">
        <f>G31-H31</f>
        <v>-35</v>
      </c>
      <c r="J31" s="20" t="s">
        <v>31</v>
      </c>
      <c r="K31" s="20" t="s">
        <v>31</v>
      </c>
      <c r="L31" s="20" t="s">
        <v>1642</v>
      </c>
      <c r="M31" s="20"/>
      <c r="N31" s="20"/>
      <c r="O31" s="20"/>
      <c r="P31" s="20"/>
      <c r="Q31" s="20">
        <v>1</v>
      </c>
      <c r="R31" s="21">
        <f t="shared" si="2"/>
        <v>35</v>
      </c>
    </row>
    <row r="32" spans="1:18" x14ac:dyDescent="0.25">
      <c r="A32" s="20" t="s">
        <v>26</v>
      </c>
      <c r="B32" s="20" t="s">
        <v>27</v>
      </c>
      <c r="C32" s="20" t="s">
        <v>971</v>
      </c>
      <c r="D32" s="20"/>
      <c r="E32" s="20" t="s">
        <v>446</v>
      </c>
      <c r="F32" s="21">
        <v>12</v>
      </c>
      <c r="G32" s="21">
        <v>0</v>
      </c>
      <c r="H32" s="21">
        <v>35</v>
      </c>
      <c r="I32" s="21">
        <f>G32-H32</f>
        <v>-35</v>
      </c>
      <c r="J32" s="20" t="s">
        <v>31</v>
      </c>
      <c r="K32" s="20" t="s">
        <v>31</v>
      </c>
      <c r="L32" s="20" t="s">
        <v>1642</v>
      </c>
      <c r="M32" s="20"/>
      <c r="N32" s="20"/>
      <c r="O32" s="20"/>
      <c r="P32" s="20"/>
      <c r="Q32" s="20">
        <v>1</v>
      </c>
      <c r="R32" s="21">
        <f t="shared" si="2"/>
        <v>35</v>
      </c>
    </row>
    <row r="33" spans="1:18" x14ac:dyDescent="0.25">
      <c r="A33" s="20"/>
      <c r="B33" s="20" t="s">
        <v>27</v>
      </c>
      <c r="C33" s="20" t="s">
        <v>1656</v>
      </c>
      <c r="D33" s="20" t="s">
        <v>1657</v>
      </c>
      <c r="E33" s="20" t="s">
        <v>1658</v>
      </c>
      <c r="F33" s="20" t="s">
        <v>151</v>
      </c>
      <c r="G33" s="21">
        <v>0</v>
      </c>
      <c r="H33" s="21">
        <v>25</v>
      </c>
      <c r="I33" s="21">
        <f>G33-H33</f>
        <v>-25</v>
      </c>
      <c r="J33" s="20" t="s">
        <v>30</v>
      </c>
      <c r="K33" s="20" t="s">
        <v>31</v>
      </c>
      <c r="L33" s="20" t="s">
        <v>1642</v>
      </c>
      <c r="M33" s="20"/>
      <c r="N33" s="20"/>
      <c r="O33" s="20"/>
      <c r="P33" s="20"/>
      <c r="Q33" s="20">
        <v>1</v>
      </c>
      <c r="R33" s="21">
        <f t="shared" si="2"/>
        <v>25</v>
      </c>
    </row>
    <row r="34" spans="1:18" x14ac:dyDescent="0.25">
      <c r="A34" s="20"/>
      <c r="B34" s="20" t="s">
        <v>27</v>
      </c>
      <c r="C34" s="20" t="s">
        <v>857</v>
      </c>
      <c r="D34" s="20" t="s">
        <v>1666</v>
      </c>
      <c r="E34" s="20" t="s">
        <v>1667</v>
      </c>
      <c r="F34" s="21">
        <v>7</v>
      </c>
      <c r="G34" s="21">
        <v>1510</v>
      </c>
      <c r="H34" s="21">
        <v>30</v>
      </c>
      <c r="I34" s="21">
        <f>G34-H34</f>
        <v>1480</v>
      </c>
      <c r="J34" s="20" t="s">
        <v>30</v>
      </c>
      <c r="K34" s="20" t="s">
        <v>31</v>
      </c>
      <c r="L34" s="20" t="s">
        <v>1642</v>
      </c>
      <c r="M34" s="20"/>
      <c r="N34" s="20"/>
      <c r="O34" s="20"/>
      <c r="P34" s="20"/>
      <c r="Q34" s="20">
        <v>1</v>
      </c>
      <c r="R34" s="20"/>
    </row>
    <row r="35" spans="1:18" x14ac:dyDescent="0.25">
      <c r="A35" s="20"/>
      <c r="B35" s="20" t="s">
        <v>27</v>
      </c>
      <c r="C35" s="20" t="s">
        <v>1671</v>
      </c>
      <c r="D35" s="20" t="s">
        <v>1672</v>
      </c>
      <c r="E35" s="20" t="s">
        <v>1673</v>
      </c>
      <c r="F35" s="20" t="s">
        <v>218</v>
      </c>
      <c r="G35" s="21">
        <v>1965</v>
      </c>
      <c r="H35" s="21">
        <v>35</v>
      </c>
      <c r="I35" s="21">
        <f>G35-H35</f>
        <v>1930</v>
      </c>
      <c r="J35" s="20" t="s">
        <v>30</v>
      </c>
      <c r="K35" s="20" t="s">
        <v>31</v>
      </c>
      <c r="L35" s="20" t="s">
        <v>1642</v>
      </c>
      <c r="M35" s="20"/>
      <c r="N35" s="20"/>
      <c r="O35" s="20"/>
      <c r="P35" s="20"/>
      <c r="Q35" s="20">
        <v>1</v>
      </c>
      <c r="R35" s="20"/>
    </row>
    <row r="36" spans="1:18" x14ac:dyDescent="0.25">
      <c r="A36" s="20"/>
      <c r="B36" s="20" t="s">
        <v>27</v>
      </c>
      <c r="C36" s="20" t="s">
        <v>1674</v>
      </c>
      <c r="D36" s="20" t="s">
        <v>1675</v>
      </c>
      <c r="E36" s="20" t="s">
        <v>1676</v>
      </c>
      <c r="F36" s="21">
        <v>5</v>
      </c>
      <c r="G36" s="21">
        <v>785</v>
      </c>
      <c r="H36" s="21">
        <v>25</v>
      </c>
      <c r="I36" s="21">
        <f>G36-H36</f>
        <v>760</v>
      </c>
      <c r="J36" s="20" t="s">
        <v>30</v>
      </c>
      <c r="K36" s="20" t="s">
        <v>31</v>
      </c>
      <c r="L36" s="20" t="s">
        <v>1642</v>
      </c>
      <c r="M36" s="20"/>
      <c r="N36" s="20"/>
      <c r="O36" s="20"/>
      <c r="P36" s="20"/>
      <c r="Q36" s="20">
        <v>1</v>
      </c>
      <c r="R36" s="20"/>
    </row>
    <row r="37" spans="1:18" x14ac:dyDescent="0.25">
      <c r="A37" s="20"/>
      <c r="B37" s="20" t="s">
        <v>27</v>
      </c>
      <c r="C37" s="20" t="s">
        <v>456</v>
      </c>
      <c r="D37" s="20" t="s">
        <v>1680</v>
      </c>
      <c r="E37" s="20" t="s">
        <v>1681</v>
      </c>
      <c r="F37" s="21">
        <v>7</v>
      </c>
      <c r="G37" s="21">
        <v>880</v>
      </c>
      <c r="H37" s="21">
        <v>30</v>
      </c>
      <c r="I37" s="21">
        <f>G37-H37</f>
        <v>850</v>
      </c>
      <c r="J37" s="20" t="s">
        <v>30</v>
      </c>
      <c r="K37" s="20" t="s">
        <v>31</v>
      </c>
      <c r="L37" s="20" t="s">
        <v>1642</v>
      </c>
      <c r="M37" s="20"/>
      <c r="N37" s="20"/>
      <c r="O37" s="20"/>
      <c r="P37" s="20"/>
      <c r="Q37" s="20">
        <v>1</v>
      </c>
      <c r="R37" s="20"/>
    </row>
    <row r="38" spans="1:18" x14ac:dyDescent="0.25">
      <c r="A38" s="20"/>
      <c r="B38" s="20" t="s">
        <v>27</v>
      </c>
      <c r="C38" s="20" t="s">
        <v>227</v>
      </c>
      <c r="D38" s="20" t="s">
        <v>1686</v>
      </c>
      <c r="E38" s="20" t="s">
        <v>1687</v>
      </c>
      <c r="F38" s="21">
        <v>10</v>
      </c>
      <c r="G38" s="21">
        <v>0</v>
      </c>
      <c r="H38" s="21">
        <v>25</v>
      </c>
      <c r="I38" s="21">
        <f>G38-H38</f>
        <v>-25</v>
      </c>
      <c r="J38" s="20" t="s">
        <v>30</v>
      </c>
      <c r="K38" s="20" t="s">
        <v>31</v>
      </c>
      <c r="L38" s="20" t="s">
        <v>1642</v>
      </c>
      <c r="M38" s="20"/>
      <c r="N38" s="20"/>
      <c r="O38" s="20"/>
      <c r="P38" s="20"/>
      <c r="Q38" s="20">
        <v>1</v>
      </c>
      <c r="R38" s="21">
        <f t="shared" ref="R38:R39" si="3">H38</f>
        <v>25</v>
      </c>
    </row>
    <row r="39" spans="1:18" x14ac:dyDescent="0.25">
      <c r="A39" s="20"/>
      <c r="B39" s="20" t="s">
        <v>27</v>
      </c>
      <c r="C39" s="20" t="s">
        <v>1688</v>
      </c>
      <c r="D39" s="20" t="s">
        <v>1689</v>
      </c>
      <c r="E39" s="20" t="s">
        <v>1517</v>
      </c>
      <c r="F39" s="21">
        <v>10</v>
      </c>
      <c r="G39" s="21">
        <v>0</v>
      </c>
      <c r="H39" s="21">
        <v>25</v>
      </c>
      <c r="I39" s="21">
        <f>G39-H39</f>
        <v>-25</v>
      </c>
      <c r="J39" s="20" t="s">
        <v>30</v>
      </c>
      <c r="K39" s="20" t="s">
        <v>31</v>
      </c>
      <c r="L39" s="20" t="s">
        <v>1642</v>
      </c>
      <c r="M39" s="20"/>
      <c r="N39" s="20"/>
      <c r="O39" s="20"/>
      <c r="P39" s="20"/>
      <c r="Q39" s="20">
        <v>1</v>
      </c>
      <c r="R39" s="21">
        <f t="shared" si="3"/>
        <v>25</v>
      </c>
    </row>
    <row r="40" spans="1:18" x14ac:dyDescent="0.25">
      <c r="A40" s="20"/>
      <c r="B40" s="20" t="s">
        <v>27</v>
      </c>
      <c r="C40" s="20" t="s">
        <v>1690</v>
      </c>
      <c r="D40" s="20" t="s">
        <v>1691</v>
      </c>
      <c r="E40" s="20" t="s">
        <v>1692</v>
      </c>
      <c r="F40" s="20" t="s">
        <v>151</v>
      </c>
      <c r="G40" s="21">
        <v>1105</v>
      </c>
      <c r="H40" s="21">
        <v>25</v>
      </c>
      <c r="I40" s="21">
        <f>G40-H40</f>
        <v>1080</v>
      </c>
      <c r="J40" s="20" t="s">
        <v>30</v>
      </c>
      <c r="K40" s="20" t="s">
        <v>31</v>
      </c>
      <c r="L40" s="20" t="s">
        <v>1642</v>
      </c>
      <c r="M40" s="20"/>
      <c r="N40" s="20"/>
      <c r="O40" s="20"/>
      <c r="P40" s="20"/>
      <c r="Q40" s="20">
        <v>1</v>
      </c>
      <c r="R40" s="20"/>
    </row>
    <row r="41" spans="1:18" x14ac:dyDescent="0.25">
      <c r="A41" s="20"/>
      <c r="B41" s="20" t="s">
        <v>27</v>
      </c>
      <c r="C41" s="20" t="s">
        <v>1693</v>
      </c>
      <c r="D41" s="20" t="s">
        <v>1694</v>
      </c>
      <c r="E41" s="20" t="s">
        <v>1695</v>
      </c>
      <c r="F41" s="21">
        <v>7</v>
      </c>
      <c r="G41" s="21">
        <v>960</v>
      </c>
      <c r="H41" s="21">
        <v>30</v>
      </c>
      <c r="I41" s="21">
        <f>G41-H41</f>
        <v>930</v>
      </c>
      <c r="J41" s="20" t="s">
        <v>30</v>
      </c>
      <c r="K41" s="20" t="s">
        <v>31</v>
      </c>
      <c r="L41" s="20" t="s">
        <v>1642</v>
      </c>
      <c r="M41" s="20"/>
      <c r="N41" s="20"/>
      <c r="O41" s="20"/>
      <c r="P41" s="20"/>
      <c r="Q41" s="20">
        <v>1</v>
      </c>
      <c r="R41" s="20"/>
    </row>
    <row r="42" spans="1:18" x14ac:dyDescent="0.25">
      <c r="A42" s="20"/>
      <c r="B42" s="20" t="s">
        <v>27</v>
      </c>
      <c r="C42" s="20" t="s">
        <v>1696</v>
      </c>
      <c r="D42" s="20" t="s">
        <v>1697</v>
      </c>
      <c r="E42" s="20" t="s">
        <v>1698</v>
      </c>
      <c r="F42" s="21">
        <v>10</v>
      </c>
      <c r="G42" s="21">
        <v>65</v>
      </c>
      <c r="H42" s="21">
        <v>25</v>
      </c>
      <c r="I42" s="21">
        <f>G42-H42</f>
        <v>40</v>
      </c>
      <c r="J42" s="20" t="s">
        <v>30</v>
      </c>
      <c r="K42" s="20" t="s">
        <v>31</v>
      </c>
      <c r="L42" s="20" t="s">
        <v>1642</v>
      </c>
      <c r="M42" s="20"/>
      <c r="N42" s="20"/>
      <c r="O42" s="20"/>
      <c r="P42" s="20"/>
      <c r="Q42" s="20">
        <v>1</v>
      </c>
      <c r="R42" s="20"/>
    </row>
    <row r="43" spans="1:18" x14ac:dyDescent="0.25">
      <c r="A43" s="20"/>
      <c r="B43" s="20" t="s">
        <v>27</v>
      </c>
      <c r="C43" s="20" t="s">
        <v>1714</v>
      </c>
      <c r="D43" s="20" t="s">
        <v>1715</v>
      </c>
      <c r="E43" s="20" t="s">
        <v>1716</v>
      </c>
      <c r="F43" s="21">
        <v>1</v>
      </c>
      <c r="G43" s="21">
        <v>955</v>
      </c>
      <c r="H43" s="21">
        <v>25</v>
      </c>
      <c r="I43" s="21">
        <f>G43-H43</f>
        <v>930</v>
      </c>
      <c r="J43" s="20" t="s">
        <v>30</v>
      </c>
      <c r="K43" s="20" t="s">
        <v>31</v>
      </c>
      <c r="L43" s="20" t="s">
        <v>1642</v>
      </c>
      <c r="M43" s="20"/>
      <c r="N43" s="20"/>
      <c r="O43" s="20"/>
      <c r="P43" s="20"/>
      <c r="Q43" s="20">
        <v>1</v>
      </c>
      <c r="R43" s="20"/>
    </row>
    <row r="44" spans="1:18" x14ac:dyDescent="0.25">
      <c r="A44" s="20"/>
      <c r="B44" s="20" t="s">
        <v>27</v>
      </c>
      <c r="C44" s="20" t="s">
        <v>1722</v>
      </c>
      <c r="D44" s="20" t="s">
        <v>1723</v>
      </c>
      <c r="E44" s="20" t="s">
        <v>1724</v>
      </c>
      <c r="F44" s="20" t="s">
        <v>151</v>
      </c>
      <c r="G44" s="21">
        <v>1455</v>
      </c>
      <c r="H44" s="21">
        <v>25</v>
      </c>
      <c r="I44" s="21">
        <f>G44-H44</f>
        <v>1430</v>
      </c>
      <c r="J44" s="20" t="s">
        <v>30</v>
      </c>
      <c r="K44" s="20" t="s">
        <v>31</v>
      </c>
      <c r="L44" s="20" t="s">
        <v>1642</v>
      </c>
      <c r="M44" s="20"/>
      <c r="N44" s="20"/>
      <c r="O44" s="20"/>
      <c r="P44" s="20"/>
      <c r="Q44" s="20">
        <v>1</v>
      </c>
      <c r="R44" s="20"/>
    </row>
    <row r="45" spans="1:18" x14ac:dyDescent="0.25">
      <c r="A45" s="20"/>
      <c r="B45" s="20" t="s">
        <v>27</v>
      </c>
      <c r="C45" s="20" t="s">
        <v>839</v>
      </c>
      <c r="D45" s="20" t="s">
        <v>1728</v>
      </c>
      <c r="E45" s="20" t="s">
        <v>841</v>
      </c>
      <c r="F45" s="21">
        <v>1</v>
      </c>
      <c r="G45" s="21">
        <v>0</v>
      </c>
      <c r="H45" s="21">
        <v>25</v>
      </c>
      <c r="I45" s="21">
        <f>G45-H45</f>
        <v>-25</v>
      </c>
      <c r="J45" s="20" t="s">
        <v>30</v>
      </c>
      <c r="K45" s="20" t="s">
        <v>31</v>
      </c>
      <c r="L45" s="20" t="s">
        <v>1642</v>
      </c>
      <c r="M45" s="20"/>
      <c r="N45" s="20"/>
      <c r="O45" s="20"/>
      <c r="P45" s="20"/>
      <c r="Q45" s="20">
        <v>1</v>
      </c>
      <c r="R45" s="21">
        <f>H45</f>
        <v>25</v>
      </c>
    </row>
    <row r="46" spans="1:18" x14ac:dyDescent="0.25">
      <c r="A46" s="20" t="s">
        <v>26</v>
      </c>
      <c r="B46" s="20" t="s">
        <v>27</v>
      </c>
      <c r="C46" s="20" t="s">
        <v>1738</v>
      </c>
      <c r="D46" s="20"/>
      <c r="E46" s="20" t="s">
        <v>1739</v>
      </c>
      <c r="F46" s="21">
        <v>5</v>
      </c>
      <c r="G46" s="21">
        <v>30</v>
      </c>
      <c r="H46" s="21">
        <v>30</v>
      </c>
      <c r="I46" s="21">
        <f>G46-H46</f>
        <v>0</v>
      </c>
      <c r="J46" s="20" t="s">
        <v>30</v>
      </c>
      <c r="K46" s="20" t="s">
        <v>31</v>
      </c>
      <c r="L46" s="20" t="s">
        <v>1642</v>
      </c>
      <c r="M46" s="20"/>
      <c r="N46" s="20"/>
      <c r="O46" s="20"/>
      <c r="P46" s="20"/>
      <c r="Q46" s="20">
        <v>1</v>
      </c>
      <c r="R46" s="20"/>
    </row>
    <row r="47" spans="1:18" x14ac:dyDescent="0.25">
      <c r="A47" s="20" t="s">
        <v>26</v>
      </c>
      <c r="B47" s="20" t="s">
        <v>27</v>
      </c>
      <c r="C47" s="20" t="s">
        <v>1744</v>
      </c>
      <c r="D47" s="20"/>
      <c r="E47" s="20" t="s">
        <v>1745</v>
      </c>
      <c r="F47" s="21">
        <v>5</v>
      </c>
      <c r="G47" s="21">
        <v>0</v>
      </c>
      <c r="H47" s="21">
        <v>60</v>
      </c>
      <c r="I47" s="21">
        <f>G47-H47</f>
        <v>-60</v>
      </c>
      <c r="J47" s="20" t="s">
        <v>30</v>
      </c>
      <c r="K47" s="20" t="s">
        <v>31</v>
      </c>
      <c r="L47" s="20" t="s">
        <v>1642</v>
      </c>
      <c r="M47" s="20"/>
      <c r="N47" s="20"/>
      <c r="O47" s="20"/>
      <c r="P47" s="20"/>
      <c r="Q47" s="20">
        <v>1</v>
      </c>
      <c r="R47" s="21">
        <f t="shared" ref="R47:R48" si="4">H47</f>
        <v>60</v>
      </c>
    </row>
    <row r="48" spans="1:18" x14ac:dyDescent="0.25">
      <c r="A48" s="20" t="s">
        <v>26</v>
      </c>
      <c r="B48" s="20" t="s">
        <v>27</v>
      </c>
      <c r="C48" s="20" t="s">
        <v>1746</v>
      </c>
      <c r="D48" s="20"/>
      <c r="E48" s="20" t="s">
        <v>1747</v>
      </c>
      <c r="F48" s="21">
        <v>1</v>
      </c>
      <c r="G48" s="21">
        <v>0</v>
      </c>
      <c r="H48" s="21">
        <v>30</v>
      </c>
      <c r="I48" s="21">
        <f>G48-H48</f>
        <v>-30</v>
      </c>
      <c r="J48" s="20" t="s">
        <v>30</v>
      </c>
      <c r="K48" s="20" t="s">
        <v>31</v>
      </c>
      <c r="L48" s="20" t="s">
        <v>1642</v>
      </c>
      <c r="M48" s="20"/>
      <c r="N48" s="20"/>
      <c r="O48" s="20"/>
      <c r="P48" s="20"/>
      <c r="Q48" s="20">
        <v>1</v>
      </c>
      <c r="R48" s="21">
        <f t="shared" si="4"/>
        <v>30</v>
      </c>
    </row>
    <row r="50" spans="1:17" x14ac:dyDescent="0.25">
      <c r="D50" s="9">
        <f>COUNTA(D3:D48)</f>
        <v>35</v>
      </c>
      <c r="G50" s="9">
        <f>SUBTOTAL(9,G3:G48)</f>
        <v>29935</v>
      </c>
      <c r="H50" s="9">
        <f>SUBTOTAL(9,H3:H48)</f>
        <v>1390</v>
      </c>
      <c r="I50" s="9">
        <f>SUBTOTAL(9,I3:I48)</f>
        <v>28545</v>
      </c>
      <c r="J50" s="9">
        <f>SUBTOTAL(9,J3:J48)</f>
        <v>0</v>
      </c>
      <c r="K50" s="9">
        <f>SUBTOTAL(9,K3:K48)</f>
        <v>0</v>
      </c>
      <c r="L50" s="9">
        <f>SUBTOTAL(9,L3:L48)</f>
        <v>0</v>
      </c>
      <c r="M50" s="9">
        <f>SUBTOTAL(9,M3:M48)</f>
        <v>0</v>
      </c>
      <c r="N50" s="9">
        <f>SUBTOTAL(9,N3:N48)</f>
        <v>0</v>
      </c>
      <c r="O50" s="9">
        <f>SUBTOTAL(9,O3:O48)</f>
        <v>0</v>
      </c>
      <c r="P50" s="9">
        <f>SUBTOTAL(9,P3:P48)</f>
        <v>0</v>
      </c>
      <c r="Q50" s="9">
        <f>SUBTOTAL(9,Q3:Q48)</f>
        <v>46</v>
      </c>
    </row>
    <row r="51" spans="1:17" x14ac:dyDescent="0.25">
      <c r="H51">
        <f>-3*17</f>
        <v>-51</v>
      </c>
    </row>
    <row r="52" spans="1:17" x14ac:dyDescent="0.25">
      <c r="A52" s="9" t="s">
        <v>27</v>
      </c>
      <c r="C52" s="51" t="s">
        <v>189</v>
      </c>
      <c r="D52" s="51"/>
      <c r="E52" s="10" t="s">
        <v>190</v>
      </c>
      <c r="H52">
        <f>-9*25</f>
        <v>-225</v>
      </c>
      <c r="K52" s="11" t="s">
        <v>31</v>
      </c>
      <c r="L52" s="11" t="s">
        <v>191</v>
      </c>
      <c r="M52" s="11" t="s">
        <v>190</v>
      </c>
      <c r="O52" s="10" t="s">
        <v>192</v>
      </c>
    </row>
    <row r="53" spans="1:17" x14ac:dyDescent="0.25">
      <c r="A53" t="s">
        <v>1642</v>
      </c>
      <c r="B53" s="12" t="s">
        <v>193</v>
      </c>
      <c r="C53" s="52">
        <f>SUMIFS(I$3:I$48,B$3:B$48,A$52,L$3:L$48,A$53)</f>
        <v>28545</v>
      </c>
      <c r="D53" s="52"/>
      <c r="E53" s="12">
        <f>SUMIFS(Q$3:Q$48,B$3:B$48,A$52,L$3:L$48,A$53)</f>
        <v>46</v>
      </c>
      <c r="F53" t="s">
        <v>194</v>
      </c>
      <c r="H53">
        <f>-3*30</f>
        <v>-90</v>
      </c>
      <c r="K53" t="s">
        <v>195</v>
      </c>
      <c r="L53">
        <f>SUMIFS(G$3:G$48,J$3:J$48,K$52)</f>
        <v>7455</v>
      </c>
      <c r="M53">
        <f>SUMIFS(Q$3:Q$48,J$3:J$48,K$52)-INT(COUNTIFS(J$3:J$48,K$52,M$3:M$48,"*gộp*")/2)</f>
        <v>14</v>
      </c>
      <c r="O53" t="s">
        <v>31</v>
      </c>
      <c r="P53">
        <f>L58</f>
        <v>7010</v>
      </c>
    </row>
    <row r="54" spans="1:17" x14ac:dyDescent="0.25">
      <c r="B54" s="13" t="s">
        <v>196</v>
      </c>
      <c r="C54" s="53">
        <v>0</v>
      </c>
      <c r="D54" s="53"/>
      <c r="K54" t="s">
        <v>197</v>
      </c>
      <c r="L54">
        <f>-SUMIFS(H$3:H$48,J$3:J$48,K$52)+M54*5</f>
        <v>-355</v>
      </c>
      <c r="M54">
        <f>SUMIFS(Q$3:Q$48,J$3:J$48,K$52)-INT(COUNTIFS(J$3:J$48,K$52,M$3:M$48,"*gộp*")/2)</f>
        <v>14</v>
      </c>
      <c r="O54" t="s">
        <v>1748</v>
      </c>
      <c r="P54">
        <f>L66</f>
        <v>12404</v>
      </c>
    </row>
    <row r="55" spans="1:17" x14ac:dyDescent="0.25">
      <c r="B55" s="13" t="s">
        <v>199</v>
      </c>
      <c r="C55" s="53">
        <f>-SUMIFS(I$3:I$48,B$3:B$48,A$52,P$3:P$48,"xx",N$3:N$48,"x")</f>
        <v>0</v>
      </c>
      <c r="D55" s="53"/>
      <c r="E55" s="13">
        <f>SUMIFS(Q$3:Q$48,B$3:B$48,A$52,P$3:P$48,"xx",N$3:N$48,"x")</f>
        <v>0</v>
      </c>
      <c r="K55" t="s">
        <v>200</v>
      </c>
      <c r="L55">
        <f>-M55*2</f>
        <v>-90</v>
      </c>
      <c r="M55">
        <f>COUNTIFS(K$3:K$48,K$52,L$3:L$48,A$53)-(COUNTIFS(K$3:K$48,K$52,M$3:M$48,"*gộp*")/2)-COUNTIFS(K$3:K$48,K$52,M$3:M$48,"*đơn trả*")-COUNTIFS(K$3:K$48,K$52,M$3:M$48,"*hàng tỉnh*")</f>
        <v>45</v>
      </c>
      <c r="O55" t="s">
        <v>30</v>
      </c>
      <c r="P55">
        <f>L74</f>
        <v>9320</v>
      </c>
    </row>
    <row r="56" spans="1:17" x14ac:dyDescent="0.25">
      <c r="B56" s="10" t="s">
        <v>201</v>
      </c>
      <c r="C56" s="51">
        <f>SUBTOTAL(9,C53:C55)</f>
        <v>28545</v>
      </c>
      <c r="D56" s="51"/>
      <c r="E56">
        <f>E53</f>
        <v>46</v>
      </c>
      <c r="K56" s="14" t="s">
        <v>186</v>
      </c>
      <c r="O56" t="s">
        <v>203</v>
      </c>
      <c r="P56">
        <f>-C60</f>
        <v>-28545</v>
      </c>
    </row>
    <row r="57" spans="1:17" x14ac:dyDescent="0.25">
      <c r="B57" s="13" t="s">
        <v>204</v>
      </c>
      <c r="C57" s="49"/>
      <c r="D57" s="49"/>
      <c r="K57" s="13" t="s">
        <v>205</v>
      </c>
      <c r="O57" s="10" t="s">
        <v>206</v>
      </c>
      <c r="P57" s="10">
        <f>SUBTOTAL(9,P53:P56)</f>
        <v>189</v>
      </c>
    </row>
    <row r="58" spans="1:17" x14ac:dyDescent="0.25">
      <c r="B58" s="15" t="s">
        <v>207</v>
      </c>
      <c r="C58" s="49"/>
      <c r="D58" s="49"/>
      <c r="L58" s="16">
        <f>SUBTOTAL(9,L53:L57)</f>
        <v>7010</v>
      </c>
      <c r="M58" s="16">
        <f>M53</f>
        <v>14</v>
      </c>
    </row>
    <row r="60" spans="1:17" x14ac:dyDescent="0.25">
      <c r="B60" s="9" t="s">
        <v>208</v>
      </c>
      <c r="C60" s="50">
        <f>C56+C57+C58</f>
        <v>28545</v>
      </c>
      <c r="D60" s="50"/>
      <c r="E60" s="9" t="s">
        <v>209</v>
      </c>
      <c r="K60" s="11" t="s">
        <v>1646</v>
      </c>
      <c r="L60" s="11" t="s">
        <v>191</v>
      </c>
      <c r="M60" s="11" t="s">
        <v>190</v>
      </c>
    </row>
    <row r="61" spans="1:17" x14ac:dyDescent="0.25">
      <c r="K61" t="s">
        <v>195</v>
      </c>
      <c r="L61">
        <f>SUMIFS(G$3:G$48,J$3:J$48,K$60)</f>
        <v>12770</v>
      </c>
      <c r="M61">
        <f>SUMIFS(Q$3:Q$48,J$3:J$48,K$60)-INT(COUNTIFS(J$3:J$48,K$60,M$3:M$48,"*gộp*")/2)</f>
        <v>15</v>
      </c>
    </row>
    <row r="62" spans="1:17" x14ac:dyDescent="0.25">
      <c r="K62" t="s">
        <v>197</v>
      </c>
      <c r="L62">
        <f>SUM(H51:H53)</f>
        <v>-366</v>
      </c>
      <c r="M62">
        <f>SUMIFS(Q$3:Q$48,J$3:J$48,K$60)-INT(COUNTIFS(J$3:J$48,K$60,M$3:M$48,"*gộp*")/2)</f>
        <v>15</v>
      </c>
    </row>
    <row r="63" spans="1:17" x14ac:dyDescent="0.25">
      <c r="K63" t="s">
        <v>200</v>
      </c>
      <c r="L63">
        <f>-M63*2</f>
        <v>0</v>
      </c>
      <c r="M63">
        <f>COUNTIFS(K$3:K$48,K$60,L$3:L$48,A$53)-(COUNTIFS(K$3:K$48,K$60,M$3:M$48,"*gộp*")/2)-COUNTIFS(K$3:K$48,K$60,M$3:M$48,"*đơn trả*")-COUNTIFS(K$3:K$48,K$60,M$3:M$48,"*hàng tỉnh*")</f>
        <v>0</v>
      </c>
    </row>
    <row r="64" spans="1:17" x14ac:dyDescent="0.25">
      <c r="K64" s="14" t="s">
        <v>186</v>
      </c>
    </row>
    <row r="65" spans="11:13" x14ac:dyDescent="0.25">
      <c r="K65" s="13" t="s">
        <v>205</v>
      </c>
    </row>
    <row r="66" spans="11:13" x14ac:dyDescent="0.25">
      <c r="L66" s="16">
        <f>SUBTOTAL(9,L61:L65)</f>
        <v>12404</v>
      </c>
      <c r="M66" s="16">
        <f>M61</f>
        <v>15</v>
      </c>
    </row>
    <row r="68" spans="11:13" x14ac:dyDescent="0.25">
      <c r="K68" s="11" t="s">
        <v>30</v>
      </c>
      <c r="L68" s="11" t="s">
        <v>191</v>
      </c>
      <c r="M68" s="11" t="s">
        <v>190</v>
      </c>
    </row>
    <row r="69" spans="11:13" x14ac:dyDescent="0.25">
      <c r="K69" t="s">
        <v>195</v>
      </c>
      <c r="L69">
        <f>SUMIFS(G$3:G$48,J$3:J$48,K$68)</f>
        <v>9710</v>
      </c>
      <c r="M69">
        <f>SUMIFS(Q$3:Q$48,J$3:J$48,K$68)-INT(COUNTIFS(J$3:J$48,K$68,M$3:M$48,"*gộp*")/2)</f>
        <v>16</v>
      </c>
    </row>
    <row r="70" spans="11:13" x14ac:dyDescent="0.25">
      <c r="K70" t="s">
        <v>197</v>
      </c>
      <c r="L70">
        <f>-SUMIFS(H$3:H$48,J$3:J$48,K$68)+M70*5</f>
        <v>-390</v>
      </c>
      <c r="M70">
        <f>SUMIFS(Q$3:Q$48,J$3:J$48,K$68)-INT(COUNTIFS(J$3:J$48,K$68,M$3:M$48,"*gộp*")/2)</f>
        <v>16</v>
      </c>
    </row>
    <row r="71" spans="11:13" x14ac:dyDescent="0.25">
      <c r="K71" t="s">
        <v>200</v>
      </c>
      <c r="L71">
        <f>-M71*2</f>
        <v>0</v>
      </c>
      <c r="M71">
        <f>COUNTIFS(K$3:K$48,K$68,L$3:L$48,A$53)-(COUNTIFS(K$3:K$48,K$68,M$3:M$48,"*gộp*")/2)-COUNTIFS(K$3:K$48,K$68,M$3:M$48,"*đơn trả*")-COUNTIFS(K$3:K$48,K$68,M$3:M$48,"*hàng tỉnh*")</f>
        <v>0</v>
      </c>
    </row>
    <row r="72" spans="11:13" x14ac:dyDescent="0.25">
      <c r="K72" s="14" t="s">
        <v>186</v>
      </c>
    </row>
    <row r="73" spans="11:13" x14ac:dyDescent="0.25">
      <c r="K73" s="13" t="s">
        <v>205</v>
      </c>
    </row>
    <row r="74" spans="11:13" x14ac:dyDescent="0.25">
      <c r="L74" s="16">
        <f>SUBTOTAL(9,L69:L73)</f>
        <v>9320</v>
      </c>
      <c r="M74" s="16">
        <f>M69</f>
        <v>16</v>
      </c>
    </row>
  </sheetData>
  <autoFilter ref="A2:P48" xr:uid="{00000000-0009-0000-0000-000000000000}">
    <sortState xmlns:xlrd2="http://schemas.microsoft.com/office/spreadsheetml/2017/richdata2" ref="A3:P48">
      <sortCondition ref="J2:J48"/>
    </sortState>
  </autoFilter>
  <mergeCells count="8">
    <mergeCell ref="C58:D58"/>
    <mergeCell ref="C60:D60"/>
    <mergeCell ref="C52:D52"/>
    <mergeCell ref="C53:D53"/>
    <mergeCell ref="C54:D54"/>
    <mergeCell ref="C55:D55"/>
    <mergeCell ref="C56:D56"/>
    <mergeCell ref="C57:D57"/>
  </mergeCells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2026-10-16T07:09:51Z</dcterms:modified>
</cp:coreProperties>
</file>